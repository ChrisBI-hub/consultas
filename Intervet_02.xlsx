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e2b3012e50752a/Documents/ABCBI_C/Intervet/"/>
    </mc:Choice>
  </mc:AlternateContent>
  <xr:revisionPtr revIDLastSave="187" documentId="13_ncr:1_{11400A1A-723D-41CF-BFAE-1B724A59DB55}" xr6:coauthVersionLast="47" xr6:coauthVersionMax="47" xr10:uidLastSave="{E1B77176-0744-4A5E-8513-C48E92A10FCB}"/>
  <bookViews>
    <workbookView xWindow="-28920" yWindow="-120" windowWidth="29040" windowHeight="15720" activeTab="2" xr2:uid="{42565809-8241-4C10-8DEC-04B702F19E11}"/>
  </bookViews>
  <sheets>
    <sheet name="FINAL" sheetId="4" r:id="rId1"/>
    <sheet name="ABEL" sheetId="1" r:id="rId2"/>
    <sheet name="BASE DE EXCEL" sheetId="2" r:id="rId3"/>
    <sheet name="QUERY" sheetId="3" r:id="rId4"/>
  </sheets>
  <definedNames>
    <definedName name="_xlnm._FilterDatabase" localSheetId="1" hidden="1">ABEL!$A$1:$CM$176</definedName>
    <definedName name="_xlnm._FilterDatabase" localSheetId="3" hidden="1">QUERY!#REF!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2" l="1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O57" i="2" a="1"/>
  <c r="O57" i="2" s="1"/>
  <c r="O58" i="2" a="1"/>
  <c r="O58" i="2" s="1"/>
  <c r="O59" i="2" a="1"/>
  <c r="O59" i="2" s="1"/>
  <c r="O60" i="2" a="1"/>
  <c r="O60" i="2" s="1"/>
  <c r="O61" i="2" a="1"/>
  <c r="O61" i="2" s="1"/>
  <c r="O62" i="2" a="1"/>
  <c r="O62" i="2" s="1"/>
  <c r="O63" i="2" a="1"/>
  <c r="O63" i="2"/>
  <c r="O64" i="2" a="1"/>
  <c r="O64" i="2" s="1"/>
  <c r="O65" i="2" a="1"/>
  <c r="O65" i="2" s="1"/>
  <c r="O66" i="2" a="1"/>
  <c r="O66" i="2" s="1"/>
  <c r="O67" i="2" a="1"/>
  <c r="O67" i="2" s="1"/>
  <c r="O68" i="2" a="1"/>
  <c r="O68" i="2" s="1"/>
  <c r="O69" i="2" a="1"/>
  <c r="O69" i="2" s="1"/>
  <c r="O70" i="2" a="1"/>
  <c r="O70" i="2" s="1"/>
  <c r="O71" i="2" a="1"/>
  <c r="O71" i="2" s="1"/>
  <c r="O72" i="2" a="1"/>
  <c r="O72" i="2" s="1"/>
  <c r="O73" i="2" a="1"/>
  <c r="O73" i="2" s="1"/>
  <c r="O74" i="2" a="1"/>
  <c r="O74" i="2" s="1"/>
  <c r="O75" i="2" a="1"/>
  <c r="O75" i="2" s="1"/>
  <c r="O76" i="2" a="1"/>
  <c r="O76" i="2" s="1"/>
  <c r="O77" i="2" a="1"/>
  <c r="O77" i="2" s="1"/>
  <c r="O78" i="2" a="1"/>
  <c r="O78" i="2" s="1"/>
  <c r="O79" i="2" a="1"/>
  <c r="O79" i="2"/>
  <c r="O80" i="2" a="1"/>
  <c r="O80" i="2" s="1"/>
  <c r="O81" i="2" a="1"/>
  <c r="O81" i="2" s="1"/>
  <c r="O82" i="2" a="1"/>
  <c r="O82" i="2" s="1"/>
  <c r="O83" i="2" a="1"/>
  <c r="O83" i="2" s="1"/>
  <c r="O84" i="2" a="1"/>
  <c r="O84" i="2" s="1"/>
  <c r="O85" i="2" a="1"/>
  <c r="O85" i="2" s="1"/>
  <c r="O86" i="2" a="1"/>
  <c r="O86" i="2" s="1"/>
  <c r="O87" i="2" a="1"/>
  <c r="O87" i="2"/>
  <c r="O88" i="2" a="1"/>
  <c r="O88" i="2" s="1"/>
  <c r="O89" i="2" a="1"/>
  <c r="O89" i="2" s="1"/>
  <c r="O90" i="2" a="1"/>
  <c r="O90" i="2" s="1"/>
  <c r="O91" i="2" a="1"/>
  <c r="O91" i="2" s="1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 s="1"/>
  <c r="O98" i="2" a="1"/>
  <c r="O98" i="2" s="1"/>
  <c r="O99" i="2" a="1"/>
  <c r="O99" i="2" s="1"/>
  <c r="O100" i="2" a="1"/>
  <c r="O100" i="2" s="1"/>
  <c r="O101" i="2" a="1"/>
  <c r="O101" i="2" s="1"/>
  <c r="O102" i="2" a="1"/>
  <c r="O102" i="2" s="1"/>
  <c r="O103" i="2" a="1"/>
  <c r="O103" i="2" s="1"/>
  <c r="O104" i="2" a="1"/>
  <c r="O104" i="2" s="1"/>
  <c r="O105" i="2" a="1"/>
  <c r="O105" i="2" s="1"/>
  <c r="O106" i="2" a="1"/>
  <c r="O106" i="2" s="1"/>
  <c r="O107" i="2" a="1"/>
  <c r="O107" i="2" s="1"/>
  <c r="O108" i="2" a="1"/>
  <c r="O108" i="2" s="1"/>
  <c r="O109" i="2" a="1"/>
  <c r="O109" i="2" s="1"/>
  <c r="O110" i="2" a="1"/>
  <c r="O110" i="2" s="1"/>
  <c r="O111" i="2" a="1"/>
  <c r="O111" i="2" s="1"/>
  <c r="O112" i="2" a="1"/>
  <c r="O112" i="2" s="1"/>
  <c r="O113" i="2" a="1"/>
  <c r="O113" i="2" s="1"/>
  <c r="O114" i="2" a="1"/>
  <c r="O114" i="2" s="1"/>
  <c r="O115" i="2" a="1"/>
  <c r="O115" i="2" s="1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 s="1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T57" i="2" a="1"/>
  <c r="T57" i="2" s="1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 s="1"/>
  <c r="T68" i="2" a="1"/>
  <c r="T68" i="2" s="1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4" i="2" s="1"/>
  <c r="T85" i="2" a="1"/>
  <c r="T85" i="2" s="1"/>
  <c r="T86" i="2" a="1"/>
  <c r="T86" i="2" s="1"/>
  <c r="T87" i="2" a="1"/>
  <c r="T87" i="2" s="1"/>
  <c r="T88" i="2" a="1"/>
  <c r="T88" i="2" s="1"/>
  <c r="T89" i="2" a="1"/>
  <c r="T89" i="2" s="1"/>
  <c r="T90" i="2" a="1"/>
  <c r="T90" i="2" s="1"/>
  <c r="T91" i="2" a="1"/>
  <c r="T91" i="2" s="1"/>
  <c r="T92" i="2" a="1"/>
  <c r="T92" i="2"/>
  <c r="T93" i="2" a="1"/>
  <c r="T93" i="2" s="1"/>
  <c r="T94" i="2" a="1"/>
  <c r="T94" i="2" s="1"/>
  <c r="T95" i="2" a="1"/>
  <c r="T95" i="2" s="1"/>
  <c r="T96" i="2" a="1"/>
  <c r="T96" i="2" s="1"/>
  <c r="T97" i="2" a="1"/>
  <c r="T97" i="2" s="1"/>
  <c r="T98" i="2" a="1"/>
  <c r="T98" i="2" s="1"/>
  <c r="T99" i="2" a="1"/>
  <c r="T99" i="2" s="1"/>
  <c r="T100" i="2" a="1"/>
  <c r="T100" i="2" s="1"/>
  <c r="T101" i="2" a="1"/>
  <c r="T101" i="2" s="1"/>
  <c r="T102" i="2" a="1"/>
  <c r="T102" i="2" s="1"/>
  <c r="T103" i="2" a="1"/>
  <c r="T103" i="2" s="1"/>
  <c r="T104" i="2" a="1"/>
  <c r="T104" i="2" s="1"/>
  <c r="T105" i="2" a="1"/>
  <c r="T105" i="2" s="1"/>
  <c r="T106" i="2" a="1"/>
  <c r="T106" i="2" s="1"/>
  <c r="T107" i="2" a="1"/>
  <c r="T107" i="2" s="1"/>
  <c r="T108" i="2" a="1"/>
  <c r="T108" i="2" s="1"/>
  <c r="T109" i="2" a="1"/>
  <c r="T109" i="2" s="1"/>
  <c r="T110" i="2" a="1"/>
  <c r="T110" i="2" s="1"/>
  <c r="T111" i="2" a="1"/>
  <c r="T111" i="2" s="1"/>
  <c r="T112" i="2" a="1"/>
  <c r="T112" i="2" s="1"/>
  <c r="T113" i="2" a="1"/>
  <c r="T113" i="2" s="1"/>
  <c r="T114" i="2" a="1"/>
  <c r="T114" i="2" s="1"/>
  <c r="T115" i="2" a="1"/>
  <c r="T115" i="2" s="1"/>
  <c r="T116" i="2" a="1"/>
  <c r="T116" i="2" s="1"/>
  <c r="T117" i="2" a="1"/>
  <c r="T117" i="2" s="1"/>
  <c r="T118" i="2" a="1"/>
  <c r="T118" i="2" s="1"/>
  <c r="T119" i="2" a="1"/>
  <c r="T119" i="2" s="1"/>
  <c r="T120" i="2" a="1"/>
  <c r="T120" i="2" s="1"/>
  <c r="T121" i="2" a="1"/>
  <c r="T121" i="2" s="1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N57" i="2" a="1"/>
  <c r="AN57" i="2" s="1"/>
  <c r="AN58" i="2" a="1"/>
  <c r="AN58" i="2" s="1"/>
  <c r="AN59" i="2" a="1"/>
  <c r="AN59" i="2" s="1"/>
  <c r="AN60" i="2" a="1"/>
  <c r="AN60" i="2" s="1"/>
  <c r="AN61" i="2" a="1"/>
  <c r="AN61" i="2" s="1"/>
  <c r="AN62" i="2" a="1"/>
  <c r="AN62" i="2" s="1"/>
  <c r="AN63" i="2" a="1"/>
  <c r="AN63" i="2" s="1"/>
  <c r="AN64" i="2" a="1"/>
  <c r="AN64" i="2" s="1"/>
  <c r="AN65" i="2" a="1"/>
  <c r="AN65" i="2" s="1"/>
  <c r="AN66" i="2" a="1"/>
  <c r="AN66" i="2" s="1"/>
  <c r="AN67" i="2" a="1"/>
  <c r="AN67" i="2" s="1"/>
  <c r="AN68" i="2" a="1"/>
  <c r="AN68" i="2" s="1"/>
  <c r="AN69" i="2" a="1"/>
  <c r="AN69" i="2" s="1"/>
  <c r="AN70" i="2" a="1"/>
  <c r="AN70" i="2" s="1"/>
  <c r="AN71" i="2" a="1"/>
  <c r="AN71" i="2" s="1"/>
  <c r="AN72" i="2" a="1"/>
  <c r="AN72" i="2" s="1"/>
  <c r="AN73" i="2" a="1"/>
  <c r="AN73" i="2" s="1"/>
  <c r="AN74" i="2" a="1"/>
  <c r="AN74" i="2" s="1"/>
  <c r="AN75" i="2" a="1"/>
  <c r="AN75" i="2" s="1"/>
  <c r="AN76" i="2" a="1"/>
  <c r="AN76" i="2" s="1"/>
  <c r="AN77" i="2" a="1"/>
  <c r="AN77" i="2" s="1"/>
  <c r="AN78" i="2" a="1"/>
  <c r="AN78" i="2" s="1"/>
  <c r="AN79" i="2" a="1"/>
  <c r="AN79" i="2" s="1"/>
  <c r="AN80" i="2" a="1"/>
  <c r="AN80" i="2" s="1"/>
  <c r="AN81" i="2" a="1"/>
  <c r="AN81" i="2" s="1"/>
  <c r="AN82" i="2" a="1"/>
  <c r="AN82" i="2" s="1"/>
  <c r="AN83" i="2" a="1"/>
  <c r="AN83" i="2" s="1"/>
  <c r="AN84" i="2" a="1"/>
  <c r="AN84" i="2" s="1"/>
  <c r="AN85" i="2" a="1"/>
  <c r="AN85" i="2" s="1"/>
  <c r="AN86" i="2" a="1"/>
  <c r="AN86" i="2" s="1"/>
  <c r="AN87" i="2" a="1"/>
  <c r="AN87" i="2" s="1"/>
  <c r="AN88" i="2" a="1"/>
  <c r="AN88" i="2" s="1"/>
  <c r="AN89" i="2" a="1"/>
  <c r="AN89" i="2" s="1"/>
  <c r="AN90" i="2" a="1"/>
  <c r="AN90" i="2" s="1"/>
  <c r="AN91" i="2" a="1"/>
  <c r="AN91" i="2" s="1"/>
  <c r="AN92" i="2" a="1"/>
  <c r="AN92" i="2" s="1"/>
  <c r="AN93" i="2" a="1"/>
  <c r="AN93" i="2" s="1"/>
  <c r="AN94" i="2" a="1"/>
  <c r="AN94" i="2" s="1"/>
  <c r="AN95" i="2" a="1"/>
  <c r="AN95" i="2" s="1"/>
  <c r="AN96" i="2" a="1"/>
  <c r="AN96" i="2" s="1"/>
  <c r="AN97" i="2" a="1"/>
  <c r="AN97" i="2" s="1"/>
  <c r="AN98" i="2" a="1"/>
  <c r="AN98" i="2" s="1"/>
  <c r="AN99" i="2" a="1"/>
  <c r="AN99" i="2" s="1"/>
  <c r="AN100" i="2" a="1"/>
  <c r="AN100" i="2" s="1"/>
  <c r="AN101" i="2" a="1"/>
  <c r="AN101" i="2" s="1"/>
  <c r="AN102" i="2" a="1"/>
  <c r="AN102" i="2" s="1"/>
  <c r="AN103" i="2" a="1"/>
  <c r="AN103" i="2" s="1"/>
  <c r="AN104" i="2" a="1"/>
  <c r="AN104" i="2" s="1"/>
  <c r="AN105" i="2" a="1"/>
  <c r="AN105" i="2" s="1"/>
  <c r="AN106" i="2" a="1"/>
  <c r="AN106" i="2" s="1"/>
  <c r="AN107" i="2" a="1"/>
  <c r="AN107" i="2" s="1"/>
  <c r="AN108" i="2" a="1"/>
  <c r="AN108" i="2" s="1"/>
  <c r="AN109" i="2" a="1"/>
  <c r="AN109" i="2" s="1"/>
  <c r="AN110" i="2" a="1"/>
  <c r="AN110" i="2" s="1"/>
  <c r="AN111" i="2" a="1"/>
  <c r="AN111" i="2" s="1"/>
  <c r="AN112" i="2" a="1"/>
  <c r="AN112" i="2" s="1"/>
  <c r="AN113" i="2" a="1"/>
  <c r="AN113" i="2" s="1"/>
  <c r="AN114" i="2" a="1"/>
  <c r="AN114" i="2" s="1"/>
  <c r="AN115" i="2" a="1"/>
  <c r="AN115" i="2" s="1"/>
  <c r="AN116" i="2" a="1"/>
  <c r="AN116" i="2" s="1"/>
  <c r="AN117" i="2" a="1"/>
  <c r="AN117" i="2" s="1"/>
  <c r="AN118" i="2" a="1"/>
  <c r="AN118" i="2" s="1"/>
  <c r="AN119" i="2" a="1"/>
  <c r="AN119" i="2" s="1"/>
  <c r="AN120" i="2" a="1"/>
  <c r="AN120" i="2" s="1"/>
  <c r="AN121" i="2" a="1"/>
  <c r="AN121" i="2" s="1"/>
  <c r="T19" i="2" a="1"/>
  <c r="T19" i="2" s="1"/>
  <c r="T2" i="2" a="1"/>
  <c r="T2" i="2" s="1"/>
  <c r="AL19" i="2"/>
  <c r="AL55" i="2"/>
  <c r="M10" i="2"/>
  <c r="AN19" i="2" a="1"/>
  <c r="AN19" i="2" s="1"/>
  <c r="AN39" i="2" a="1"/>
  <c r="AN39" i="2" s="1"/>
  <c r="DT4" i="4" s="1"/>
  <c r="AN2" i="2" a="1"/>
  <c r="AN2" i="2" s="1"/>
  <c r="AN3" i="2" a="1"/>
  <c r="AN3" i="2" s="1"/>
  <c r="AN10" i="2" a="1"/>
  <c r="AN10" i="2" s="1"/>
  <c r="AN20" i="2" a="1"/>
  <c r="AN20" i="2" s="1"/>
  <c r="AN40" i="2" a="1"/>
  <c r="AN40" i="2" s="1"/>
  <c r="AN4" i="2" a="1"/>
  <c r="AN4" i="2" s="1"/>
  <c r="AN5" i="2" a="1"/>
  <c r="AN5" i="2" s="1"/>
  <c r="DT13" i="4" s="1"/>
  <c r="AN11" i="2" a="1"/>
  <c r="AN11" i="2" s="1"/>
  <c r="DT14" i="4" s="1"/>
  <c r="AN6" i="2" a="1"/>
  <c r="AN6" i="2" s="1"/>
  <c r="DT15" i="4" s="1"/>
  <c r="AN7" i="2" a="1"/>
  <c r="AN7" i="2" s="1"/>
  <c r="AN8" i="2" a="1"/>
  <c r="AN8" i="2" s="1"/>
  <c r="DT33" i="4" s="1"/>
  <c r="AN9" i="2" a="1"/>
  <c r="AN9" i="2" s="1"/>
  <c r="AN12" i="2" a="1"/>
  <c r="AN12" i="2" s="1"/>
  <c r="AN21" i="2" a="1"/>
  <c r="AN21" i="2" s="1"/>
  <c r="AN13" i="2" a="1"/>
  <c r="AN13" i="2" s="1"/>
  <c r="DT43" i="4" s="1"/>
  <c r="AN14" i="2" a="1"/>
  <c r="AN14" i="2" s="1"/>
  <c r="AN15" i="2" a="1"/>
  <c r="AN15" i="2" s="1"/>
  <c r="DT46" i="4" s="1"/>
  <c r="AN16" i="2" a="1"/>
  <c r="AN16" i="2" s="1"/>
  <c r="AN17" i="2" a="1"/>
  <c r="AN17" i="2" s="1"/>
  <c r="DT49" i="4" s="1"/>
  <c r="AN41" i="2" a="1"/>
  <c r="AN41" i="2" s="1"/>
  <c r="DT56" i="4" s="1"/>
  <c r="AN22" i="2" a="1"/>
  <c r="AN22" i="2" s="1"/>
  <c r="AN23" i="2" a="1"/>
  <c r="AN23" i="2" s="1"/>
  <c r="AN24" i="2" a="1"/>
  <c r="AN24" i="2" s="1"/>
  <c r="AN25" i="2" a="1"/>
  <c r="AN25" i="2" s="1"/>
  <c r="AN26" i="2" a="1"/>
  <c r="AN26" i="2" s="1"/>
  <c r="AN18" i="2" a="1"/>
  <c r="AN18" i="2" s="1"/>
  <c r="AN27" i="2" a="1"/>
  <c r="AN27" i="2" s="1"/>
  <c r="AN28" i="2" a="1"/>
  <c r="AN28" i="2" s="1"/>
  <c r="AN29" i="2" a="1"/>
  <c r="AN29" i="2" s="1"/>
  <c r="AN30" i="2" a="1"/>
  <c r="AN30" i="2" s="1"/>
  <c r="AN31" i="2" a="1"/>
  <c r="AN31" i="2" s="1"/>
  <c r="AN32" i="2" a="1"/>
  <c r="AN32" i="2" s="1"/>
  <c r="AN33" i="2" a="1"/>
  <c r="AN33" i="2" s="1"/>
  <c r="AN34" i="2" a="1"/>
  <c r="AN34" i="2" s="1"/>
  <c r="AN35" i="2" a="1"/>
  <c r="AN35" i="2" s="1"/>
  <c r="AN36" i="2" a="1"/>
  <c r="AN36" i="2" s="1"/>
  <c r="DT119" i="4" s="1"/>
  <c r="AN42" i="2" a="1"/>
  <c r="AN42" i="2" s="1"/>
  <c r="AN37" i="2" a="1"/>
  <c r="AN37" i="2" s="1"/>
  <c r="AN38" i="2" a="1"/>
  <c r="AN38" i="2" s="1"/>
  <c r="AN43" i="2" a="1"/>
  <c r="AN43" i="2" s="1"/>
  <c r="AN44" i="2" a="1"/>
  <c r="AN44" i="2" s="1"/>
  <c r="AN45" i="2" a="1"/>
  <c r="AN45" i="2" s="1"/>
  <c r="DT150" i="4" s="1"/>
  <c r="AN46" i="2" a="1"/>
  <c r="AN46" i="2" s="1"/>
  <c r="DT151" i="4" s="1"/>
  <c r="AN47" i="2" a="1"/>
  <c r="AN47" i="2" s="1"/>
  <c r="DT152" i="4" s="1"/>
  <c r="AN48" i="2" a="1"/>
  <c r="AN48" i="2" s="1"/>
  <c r="DT153" i="4" s="1"/>
  <c r="AN49" i="2" a="1"/>
  <c r="AN49" i="2" s="1"/>
  <c r="DT154" i="4" s="1"/>
  <c r="AN50" i="2" a="1"/>
  <c r="AN50" i="2" s="1"/>
  <c r="AN51" i="2" a="1"/>
  <c r="AN51" i="2" s="1"/>
  <c r="AN52" i="2" a="1"/>
  <c r="AN52" i="2" s="1"/>
  <c r="AN53" i="2" a="1"/>
  <c r="AN53" i="2" s="1"/>
  <c r="DT165" i="4" s="1"/>
  <c r="AN54" i="2" a="1"/>
  <c r="AN54" i="2" s="1"/>
  <c r="AN55" i="2" a="1"/>
  <c r="AN55" i="2" s="1"/>
  <c r="AN56" i="2" a="1"/>
  <c r="AN56" i="2" s="1"/>
  <c r="T39" i="2" a="1"/>
  <c r="T39" i="2" s="1"/>
  <c r="CZ4" i="4" s="1"/>
  <c r="T3" i="2" a="1"/>
  <c r="T3" i="2" s="1"/>
  <c r="T10" i="2" a="1"/>
  <c r="T10" i="2" s="1"/>
  <c r="T20" i="2" a="1"/>
  <c r="T20" i="2" s="1"/>
  <c r="T40" i="2" a="1"/>
  <c r="T40" i="2" s="1"/>
  <c r="T4" i="2" a="1"/>
  <c r="T4" i="2" s="1"/>
  <c r="T5" i="2" a="1"/>
  <c r="T5" i="2" s="1"/>
  <c r="CZ13" i="4" s="1"/>
  <c r="T11" i="2" a="1"/>
  <c r="T11" i="2" s="1"/>
  <c r="CZ14" i="4" s="1"/>
  <c r="T6" i="2" a="1"/>
  <c r="T6" i="2" s="1"/>
  <c r="CZ15" i="4" s="1"/>
  <c r="T7" i="2" a="1"/>
  <c r="T7" i="2" s="1"/>
  <c r="T8" i="2" a="1"/>
  <c r="T8" i="2" s="1"/>
  <c r="CZ23" i="4" s="1"/>
  <c r="T9" i="2" a="1"/>
  <c r="T9" i="2" s="1"/>
  <c r="T12" i="2" a="1"/>
  <c r="T12" i="2" s="1"/>
  <c r="CZ38" i="4" s="1"/>
  <c r="T21" i="2" a="1"/>
  <c r="T21" i="2" s="1"/>
  <c r="CZ40" i="4" s="1"/>
  <c r="T13" i="2" a="1"/>
  <c r="T13" i="2" s="1"/>
  <c r="CZ43" i="4" s="1"/>
  <c r="T14" i="2" a="1"/>
  <c r="T14" i="2" s="1"/>
  <c r="T15" i="2" a="1"/>
  <c r="T15" i="2" s="1"/>
  <c r="CZ46" i="4" s="1"/>
  <c r="T16" i="2" a="1"/>
  <c r="T16" i="2" s="1"/>
  <c r="CZ47" i="4" s="1"/>
  <c r="T17" i="2" a="1"/>
  <c r="T17" i="2" s="1"/>
  <c r="CZ55" i="4" s="1"/>
  <c r="T41" i="2" a="1"/>
  <c r="T41" i="2" s="1"/>
  <c r="CZ56" i="4" s="1"/>
  <c r="T22" i="2" a="1"/>
  <c r="T22" i="2" s="1"/>
  <c r="CZ57" i="4" s="1"/>
  <c r="T23" i="2" a="1"/>
  <c r="T23" i="2" s="1"/>
  <c r="T24" i="2" a="1"/>
  <c r="T24" i="2" s="1"/>
  <c r="T25" i="2" a="1"/>
  <c r="T25" i="2" s="1"/>
  <c r="CZ63" i="4" s="1"/>
  <c r="T26" i="2" a="1"/>
  <c r="T26" i="2" s="1"/>
  <c r="T18" i="2" a="1"/>
  <c r="T18" i="2" s="1"/>
  <c r="T27" i="2" a="1"/>
  <c r="T27" i="2" s="1"/>
  <c r="CZ71" i="4" s="1"/>
  <c r="T28" i="2" a="1"/>
  <c r="T28" i="2" s="1"/>
  <c r="CZ80" i="4" s="1"/>
  <c r="T29" i="2" a="1"/>
  <c r="T29" i="2" s="1"/>
  <c r="CZ87" i="4" s="1"/>
  <c r="T30" i="2" a="1"/>
  <c r="T30" i="2" s="1"/>
  <c r="CZ96" i="4" s="1"/>
  <c r="T31" i="2" a="1"/>
  <c r="T31" i="2" s="1"/>
  <c r="T32" i="2" a="1"/>
  <c r="T32" i="2" s="1"/>
  <c r="CZ104" i="4" s="1"/>
  <c r="T33" i="2" a="1"/>
  <c r="T33" i="2" s="1"/>
  <c r="CZ106" i="4" s="1"/>
  <c r="T34" i="2" a="1"/>
  <c r="T34" i="2" s="1"/>
  <c r="T35" i="2" a="1"/>
  <c r="T35" i="2" s="1"/>
  <c r="T36" i="2" a="1"/>
  <c r="T36" i="2" s="1"/>
  <c r="CZ119" i="4" s="1"/>
  <c r="T42" i="2" a="1"/>
  <c r="T42" i="2" s="1"/>
  <c r="T37" i="2" a="1"/>
  <c r="T37" i="2" s="1"/>
  <c r="CZ127" i="4" s="1"/>
  <c r="T38" i="2" a="1"/>
  <c r="T38" i="2" s="1"/>
  <c r="T43" i="2" a="1"/>
  <c r="T43" i="2" s="1"/>
  <c r="T44" i="2" a="1"/>
  <c r="T44" i="2" s="1"/>
  <c r="T45" i="2" a="1"/>
  <c r="T45" i="2" s="1"/>
  <c r="CZ150" i="4" s="1"/>
  <c r="T46" i="2" a="1"/>
  <c r="T46" i="2" s="1"/>
  <c r="CZ151" i="4" s="1"/>
  <c r="T47" i="2" a="1"/>
  <c r="T47" i="2" s="1"/>
  <c r="CZ152" i="4" s="1"/>
  <c r="T48" i="2" a="1"/>
  <c r="T48" i="2" s="1"/>
  <c r="CZ153" i="4" s="1"/>
  <c r="T49" i="2" a="1"/>
  <c r="T49" i="2" s="1"/>
  <c r="CZ154" i="4" s="1"/>
  <c r="T50" i="2" a="1"/>
  <c r="T50" i="2" s="1"/>
  <c r="T51" i="2" a="1"/>
  <c r="T51" i="2" s="1"/>
  <c r="CZ160" i="4" s="1"/>
  <c r="T52" i="2" a="1"/>
  <c r="T52" i="2" s="1"/>
  <c r="T53" i="2" a="1"/>
  <c r="T53" i="2" s="1"/>
  <c r="CZ165" i="4" s="1"/>
  <c r="T54" i="2" a="1"/>
  <c r="T54" i="2" s="1"/>
  <c r="CZ167" i="4" s="1"/>
  <c r="T55" i="2" a="1"/>
  <c r="T55" i="2" s="1"/>
  <c r="T56" i="2" a="1"/>
  <c r="T56" i="2" s="1"/>
  <c r="O39" i="2" a="1"/>
  <c r="O39" i="2" s="1"/>
  <c r="O2" i="2" a="1"/>
  <c r="O2" i="2" s="1"/>
  <c r="O3" i="2" a="1"/>
  <c r="O3" i="2" s="1"/>
  <c r="O10" i="2" a="1"/>
  <c r="O10" i="2" s="1"/>
  <c r="O20" i="2" a="1"/>
  <c r="O20" i="2" s="1"/>
  <c r="O40" i="2" a="1"/>
  <c r="O40" i="2" s="1"/>
  <c r="O4" i="2" a="1"/>
  <c r="O4" i="2" s="1"/>
  <c r="O5" i="2" a="1"/>
  <c r="O5" i="2" s="1"/>
  <c r="O11" i="2" a="1"/>
  <c r="O11" i="2" s="1"/>
  <c r="O6" i="2" a="1"/>
  <c r="O6" i="2" s="1"/>
  <c r="O7" i="2" a="1"/>
  <c r="O7" i="2" s="1"/>
  <c r="O8" i="2" a="1"/>
  <c r="O8" i="2" s="1"/>
  <c r="O9" i="2" a="1"/>
  <c r="O9" i="2" s="1"/>
  <c r="O12" i="2" a="1"/>
  <c r="O12" i="2" s="1"/>
  <c r="O21" i="2" a="1"/>
  <c r="O21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41" i="2" a="1"/>
  <c r="O41" i="2" s="1"/>
  <c r="O22" i="2" a="1"/>
  <c r="O22" i="2" s="1"/>
  <c r="O23" i="2" a="1"/>
  <c r="O23" i="2" s="1"/>
  <c r="O24" i="2" a="1"/>
  <c r="O24" i="2" s="1"/>
  <c r="O25" i="2" a="1"/>
  <c r="O25" i="2" s="1"/>
  <c r="O26" i="2" a="1"/>
  <c r="O26" i="2" s="1"/>
  <c r="O18" i="2" a="1"/>
  <c r="O18" i="2" s="1"/>
  <c r="O27" i="2" a="1"/>
  <c r="O27" i="2" s="1"/>
  <c r="O28" i="2" a="1"/>
  <c r="O28" i="2" s="1"/>
  <c r="O29" i="2" a="1"/>
  <c r="O29" i="2" s="1"/>
  <c r="O30" i="2" a="1"/>
  <c r="O30" i="2" s="1"/>
  <c r="O31" i="2" a="1"/>
  <c r="O31" i="2" s="1"/>
  <c r="O32" i="2" a="1"/>
  <c r="O32" i="2" s="1"/>
  <c r="O33" i="2" a="1"/>
  <c r="O33" i="2" s="1"/>
  <c r="O34" i="2" a="1"/>
  <c r="O34" i="2" s="1"/>
  <c r="O35" i="2" a="1"/>
  <c r="O35" i="2" s="1"/>
  <c r="O36" i="2" a="1"/>
  <c r="O36" i="2" s="1"/>
  <c r="O42" i="2" a="1"/>
  <c r="O42" i="2" s="1"/>
  <c r="O37" i="2" a="1"/>
  <c r="O37" i="2" s="1"/>
  <c r="O38" i="2" a="1"/>
  <c r="O38" i="2" s="1"/>
  <c r="O43" i="2" a="1"/>
  <c r="O43" i="2" s="1"/>
  <c r="O44" i="2" a="1"/>
  <c r="O44" i="2" s="1"/>
  <c r="O45" i="2" a="1"/>
  <c r="O45" i="2" s="1"/>
  <c r="O46" i="2" a="1"/>
  <c r="O46" i="2" s="1"/>
  <c r="O47" i="2" a="1"/>
  <c r="O47" i="2" s="1"/>
  <c r="O48" i="2" a="1"/>
  <c r="O48" i="2" s="1"/>
  <c r="O49" i="2" a="1"/>
  <c r="O49" i="2" s="1"/>
  <c r="O50" i="2" a="1"/>
  <c r="O50" i="2" s="1"/>
  <c r="O51" i="2" a="1"/>
  <c r="O51" i="2" s="1"/>
  <c r="O52" i="2" a="1"/>
  <c r="O52" i="2" s="1"/>
  <c r="O53" i="2" a="1"/>
  <c r="O53" i="2" s="1"/>
  <c r="O54" i="2" a="1"/>
  <c r="O54" i="2" s="1"/>
  <c r="O55" i="2" a="1"/>
  <c r="O55" i="2" s="1"/>
  <c r="O56" i="2" a="1"/>
  <c r="O56" i="2" s="1"/>
  <c r="O19" i="2" a="1"/>
  <c r="O19" i="2" s="1"/>
  <c r="CU26" i="4" s="1"/>
  <c r="HU2" i="4"/>
  <c r="HU3" i="4"/>
  <c r="HU4" i="4"/>
  <c r="HU5" i="4"/>
  <c r="HU6" i="4"/>
  <c r="HU7" i="4"/>
  <c r="HU8" i="4"/>
  <c r="HU9" i="4"/>
  <c r="HU10" i="4"/>
  <c r="HU11" i="4"/>
  <c r="HU12" i="4"/>
  <c r="HU13" i="4"/>
  <c r="HU14" i="4"/>
  <c r="HU15" i="4"/>
  <c r="HU16" i="4"/>
  <c r="HU17" i="4"/>
  <c r="HU18" i="4"/>
  <c r="HU19" i="4"/>
  <c r="HU20" i="4"/>
  <c r="HU21" i="4"/>
  <c r="HU22" i="4"/>
  <c r="HU23" i="4"/>
  <c r="HU24" i="4"/>
  <c r="HU25" i="4"/>
  <c r="HU26" i="4"/>
  <c r="HU27" i="4"/>
  <c r="HU28" i="4"/>
  <c r="HU29" i="4"/>
  <c r="HU30" i="4"/>
  <c r="HU31" i="4"/>
  <c r="HU32" i="4"/>
  <c r="HU33" i="4"/>
  <c r="HU34" i="4"/>
  <c r="HU35" i="4"/>
  <c r="HU36" i="4"/>
  <c r="HU37" i="4"/>
  <c r="HU38" i="4"/>
  <c r="HU39" i="4"/>
  <c r="HU40" i="4"/>
  <c r="HU41" i="4"/>
  <c r="HU42" i="4"/>
  <c r="HU43" i="4"/>
  <c r="HU44" i="4"/>
  <c r="HU45" i="4"/>
  <c r="HU46" i="4"/>
  <c r="HU47" i="4"/>
  <c r="HU48" i="4"/>
  <c r="HU49" i="4"/>
  <c r="HU50" i="4"/>
  <c r="HU51" i="4"/>
  <c r="HU52" i="4"/>
  <c r="HU53" i="4"/>
  <c r="HU54" i="4"/>
  <c r="HU55" i="4"/>
  <c r="HU56" i="4"/>
  <c r="HU57" i="4"/>
  <c r="HU58" i="4"/>
  <c r="HU59" i="4"/>
  <c r="HU60" i="4"/>
  <c r="HU61" i="4"/>
  <c r="HU62" i="4"/>
  <c r="HU63" i="4"/>
  <c r="HU64" i="4"/>
  <c r="HU65" i="4"/>
  <c r="HU66" i="4"/>
  <c r="HU67" i="4"/>
  <c r="HU68" i="4"/>
  <c r="HU69" i="4"/>
  <c r="HU70" i="4"/>
  <c r="HU71" i="4"/>
  <c r="HU72" i="4"/>
  <c r="HU73" i="4"/>
  <c r="HU74" i="4"/>
  <c r="HU75" i="4"/>
  <c r="HU76" i="4"/>
  <c r="HU77" i="4"/>
  <c r="HU78" i="4"/>
  <c r="HU79" i="4"/>
  <c r="HU80" i="4"/>
  <c r="HU81" i="4"/>
  <c r="HU82" i="4"/>
  <c r="HU83" i="4"/>
  <c r="HU84" i="4"/>
  <c r="HU85" i="4"/>
  <c r="HU86" i="4"/>
  <c r="HU87" i="4"/>
  <c r="HU88" i="4"/>
  <c r="HU89" i="4"/>
  <c r="HU90" i="4"/>
  <c r="HU91" i="4"/>
  <c r="HU92" i="4"/>
  <c r="HU93" i="4"/>
  <c r="HU94" i="4"/>
  <c r="HU95" i="4"/>
  <c r="HU96" i="4"/>
  <c r="HU97" i="4"/>
  <c r="HU98" i="4"/>
  <c r="HU99" i="4"/>
  <c r="HU100" i="4"/>
  <c r="HU101" i="4"/>
  <c r="HU102" i="4"/>
  <c r="HU103" i="4"/>
  <c r="HU104" i="4"/>
  <c r="HU105" i="4"/>
  <c r="HU106" i="4"/>
  <c r="HU107" i="4"/>
  <c r="HU108" i="4"/>
  <c r="HU109" i="4"/>
  <c r="HU110" i="4"/>
  <c r="HU111" i="4"/>
  <c r="HU112" i="4"/>
  <c r="HU113" i="4"/>
  <c r="HU114" i="4"/>
  <c r="HU115" i="4"/>
  <c r="HU116" i="4"/>
  <c r="HU117" i="4"/>
  <c r="HU118" i="4"/>
  <c r="HU119" i="4"/>
  <c r="HU120" i="4"/>
  <c r="HU121" i="4"/>
  <c r="HU122" i="4"/>
  <c r="HU123" i="4"/>
  <c r="HU124" i="4"/>
  <c r="HU125" i="4"/>
  <c r="HU126" i="4"/>
  <c r="HU127" i="4"/>
  <c r="HU128" i="4"/>
  <c r="HU129" i="4"/>
  <c r="HU130" i="4"/>
  <c r="HU131" i="4"/>
  <c r="HU132" i="4"/>
  <c r="HU133" i="4"/>
  <c r="HU134" i="4"/>
  <c r="HU135" i="4"/>
  <c r="HU136" i="4"/>
  <c r="HU137" i="4"/>
  <c r="HU138" i="4"/>
  <c r="HU139" i="4"/>
  <c r="HU140" i="4"/>
  <c r="HU141" i="4"/>
  <c r="HU142" i="4"/>
  <c r="HU143" i="4"/>
  <c r="HU144" i="4"/>
  <c r="HU145" i="4"/>
  <c r="HU146" i="4"/>
  <c r="HU147" i="4"/>
  <c r="HU148" i="4"/>
  <c r="HU149" i="4"/>
  <c r="HU150" i="4"/>
  <c r="HU151" i="4"/>
  <c r="HU152" i="4"/>
  <c r="HU153" i="4"/>
  <c r="HU154" i="4"/>
  <c r="HU155" i="4"/>
  <c r="HU156" i="4"/>
  <c r="HU157" i="4"/>
  <c r="HU158" i="4"/>
  <c r="HU159" i="4"/>
  <c r="HU160" i="4"/>
  <c r="HU161" i="4"/>
  <c r="HU162" i="4"/>
  <c r="HU163" i="4"/>
  <c r="HU164" i="4"/>
  <c r="HU165" i="4"/>
  <c r="HU166" i="4"/>
  <c r="HU167" i="4"/>
  <c r="HU168" i="4"/>
  <c r="HU169" i="4"/>
  <c r="HU170" i="4"/>
  <c r="HU171" i="4"/>
  <c r="HU172" i="4"/>
  <c r="HU173" i="4"/>
  <c r="HU174" i="4"/>
  <c r="HU175" i="4"/>
  <c r="HT2" i="4"/>
  <c r="HT3" i="4"/>
  <c r="HT4" i="4"/>
  <c r="HT5" i="4"/>
  <c r="HT6" i="4"/>
  <c r="HT7" i="4"/>
  <c r="HT8" i="4"/>
  <c r="HT9" i="4"/>
  <c r="HT10" i="4"/>
  <c r="HT11" i="4"/>
  <c r="HT12" i="4"/>
  <c r="HT13" i="4"/>
  <c r="HT14" i="4"/>
  <c r="HT15" i="4"/>
  <c r="HT16" i="4"/>
  <c r="HT17" i="4"/>
  <c r="HT18" i="4"/>
  <c r="HT19" i="4"/>
  <c r="HT20" i="4"/>
  <c r="HT21" i="4"/>
  <c r="HT22" i="4"/>
  <c r="HT23" i="4"/>
  <c r="HT24" i="4"/>
  <c r="HT25" i="4"/>
  <c r="HT26" i="4"/>
  <c r="HT27" i="4"/>
  <c r="HT28" i="4"/>
  <c r="HT29" i="4"/>
  <c r="HT30" i="4"/>
  <c r="HT31" i="4"/>
  <c r="HT32" i="4"/>
  <c r="HT33" i="4"/>
  <c r="HT34" i="4"/>
  <c r="HT35" i="4"/>
  <c r="HT36" i="4"/>
  <c r="HT37" i="4"/>
  <c r="HT38" i="4"/>
  <c r="HT39" i="4"/>
  <c r="HT40" i="4"/>
  <c r="HT41" i="4"/>
  <c r="HT42" i="4"/>
  <c r="HT43" i="4"/>
  <c r="HT44" i="4"/>
  <c r="HT45" i="4"/>
  <c r="HT46" i="4"/>
  <c r="HT47" i="4"/>
  <c r="HT48" i="4"/>
  <c r="HT49" i="4"/>
  <c r="HT50" i="4"/>
  <c r="HT51" i="4"/>
  <c r="HT52" i="4"/>
  <c r="HT53" i="4"/>
  <c r="HT54" i="4"/>
  <c r="HT55" i="4"/>
  <c r="HT56" i="4"/>
  <c r="HT57" i="4"/>
  <c r="HT58" i="4"/>
  <c r="HT59" i="4"/>
  <c r="HT60" i="4"/>
  <c r="HT61" i="4"/>
  <c r="HT62" i="4"/>
  <c r="HT63" i="4"/>
  <c r="HT64" i="4"/>
  <c r="HT65" i="4"/>
  <c r="HT66" i="4"/>
  <c r="HT67" i="4"/>
  <c r="HT68" i="4"/>
  <c r="HT69" i="4"/>
  <c r="HT70" i="4"/>
  <c r="HT71" i="4"/>
  <c r="HT72" i="4"/>
  <c r="HT73" i="4"/>
  <c r="HT74" i="4"/>
  <c r="HT75" i="4"/>
  <c r="HT76" i="4"/>
  <c r="HT77" i="4"/>
  <c r="HT78" i="4"/>
  <c r="HT79" i="4"/>
  <c r="HT80" i="4"/>
  <c r="HT81" i="4"/>
  <c r="HT82" i="4"/>
  <c r="HT83" i="4"/>
  <c r="HT84" i="4"/>
  <c r="HT85" i="4"/>
  <c r="HT86" i="4"/>
  <c r="HT87" i="4"/>
  <c r="HT88" i="4"/>
  <c r="HT89" i="4"/>
  <c r="HT90" i="4"/>
  <c r="HT91" i="4"/>
  <c r="HT92" i="4"/>
  <c r="HT93" i="4"/>
  <c r="HT94" i="4"/>
  <c r="HT95" i="4"/>
  <c r="HT96" i="4"/>
  <c r="HT97" i="4"/>
  <c r="HT98" i="4"/>
  <c r="HT99" i="4"/>
  <c r="HT100" i="4"/>
  <c r="HT101" i="4"/>
  <c r="HT102" i="4"/>
  <c r="HT103" i="4"/>
  <c r="HT104" i="4"/>
  <c r="HT105" i="4"/>
  <c r="HT106" i="4"/>
  <c r="HT107" i="4"/>
  <c r="HT108" i="4"/>
  <c r="HT109" i="4"/>
  <c r="HT110" i="4"/>
  <c r="HT111" i="4"/>
  <c r="HT112" i="4"/>
  <c r="HT113" i="4"/>
  <c r="HT114" i="4"/>
  <c r="HT115" i="4"/>
  <c r="HT116" i="4"/>
  <c r="HT117" i="4"/>
  <c r="HT118" i="4"/>
  <c r="HT119" i="4"/>
  <c r="HT120" i="4"/>
  <c r="HT121" i="4"/>
  <c r="HT122" i="4"/>
  <c r="HT123" i="4"/>
  <c r="HT124" i="4"/>
  <c r="HT125" i="4"/>
  <c r="HT126" i="4"/>
  <c r="HT127" i="4"/>
  <c r="HT128" i="4"/>
  <c r="HT129" i="4"/>
  <c r="HT130" i="4"/>
  <c r="HT131" i="4"/>
  <c r="HT132" i="4"/>
  <c r="HT133" i="4"/>
  <c r="HT134" i="4"/>
  <c r="HT135" i="4"/>
  <c r="HT136" i="4"/>
  <c r="HT137" i="4"/>
  <c r="HT138" i="4"/>
  <c r="HT139" i="4"/>
  <c r="HT140" i="4"/>
  <c r="HT141" i="4"/>
  <c r="HT142" i="4"/>
  <c r="HT143" i="4"/>
  <c r="HT144" i="4"/>
  <c r="HT145" i="4"/>
  <c r="HT146" i="4"/>
  <c r="HT147" i="4"/>
  <c r="HT148" i="4"/>
  <c r="HT149" i="4"/>
  <c r="HT150" i="4"/>
  <c r="HT151" i="4"/>
  <c r="HT152" i="4"/>
  <c r="HT153" i="4"/>
  <c r="HT154" i="4"/>
  <c r="HT155" i="4"/>
  <c r="HT156" i="4"/>
  <c r="HT157" i="4"/>
  <c r="HT158" i="4"/>
  <c r="HT159" i="4"/>
  <c r="HT160" i="4"/>
  <c r="HT161" i="4"/>
  <c r="HT162" i="4"/>
  <c r="HT163" i="4"/>
  <c r="HT164" i="4"/>
  <c r="HT165" i="4"/>
  <c r="HT166" i="4"/>
  <c r="HT167" i="4"/>
  <c r="HT168" i="4"/>
  <c r="HT169" i="4"/>
  <c r="HT170" i="4"/>
  <c r="HT171" i="4"/>
  <c r="HT172" i="4"/>
  <c r="HT173" i="4"/>
  <c r="HT174" i="4"/>
  <c r="HT175" i="4"/>
  <c r="ET2" i="4"/>
  <c r="ET3" i="4"/>
  <c r="ET4" i="4"/>
  <c r="ET5" i="4"/>
  <c r="ET6" i="4"/>
  <c r="ET7" i="4"/>
  <c r="ET8" i="4"/>
  <c r="ET9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41" i="4"/>
  <c r="ET42" i="4"/>
  <c r="ET43" i="4"/>
  <c r="ET44" i="4"/>
  <c r="ET45" i="4"/>
  <c r="ET46" i="4"/>
  <c r="ET47" i="4"/>
  <c r="ET48" i="4"/>
  <c r="ET49" i="4"/>
  <c r="ET50" i="4"/>
  <c r="ET51" i="4"/>
  <c r="ET52" i="4"/>
  <c r="ET53" i="4"/>
  <c r="ET54" i="4"/>
  <c r="ET55" i="4"/>
  <c r="ET56" i="4"/>
  <c r="ET57" i="4"/>
  <c r="ET58" i="4"/>
  <c r="ET59" i="4"/>
  <c r="ET60" i="4"/>
  <c r="ET61" i="4"/>
  <c r="ET62" i="4"/>
  <c r="ET63" i="4"/>
  <c r="ET64" i="4"/>
  <c r="ET65" i="4"/>
  <c r="ET66" i="4"/>
  <c r="ET67" i="4"/>
  <c r="ET68" i="4"/>
  <c r="ET69" i="4"/>
  <c r="ET70" i="4"/>
  <c r="ET71" i="4"/>
  <c r="ET72" i="4"/>
  <c r="ET73" i="4"/>
  <c r="ET74" i="4"/>
  <c r="ET75" i="4"/>
  <c r="ET76" i="4"/>
  <c r="ET77" i="4"/>
  <c r="ET78" i="4"/>
  <c r="ET79" i="4"/>
  <c r="ET80" i="4"/>
  <c r="ET81" i="4"/>
  <c r="ET82" i="4"/>
  <c r="ET83" i="4"/>
  <c r="ET84" i="4"/>
  <c r="ET85" i="4"/>
  <c r="ET86" i="4"/>
  <c r="ET87" i="4"/>
  <c r="ET88" i="4"/>
  <c r="ET89" i="4"/>
  <c r="ET90" i="4"/>
  <c r="ET91" i="4"/>
  <c r="ET92" i="4"/>
  <c r="ET93" i="4"/>
  <c r="ET94" i="4"/>
  <c r="ET95" i="4"/>
  <c r="ET96" i="4"/>
  <c r="ET97" i="4"/>
  <c r="ET98" i="4"/>
  <c r="ET99" i="4"/>
  <c r="ET100" i="4"/>
  <c r="ET101" i="4"/>
  <c r="ET102" i="4"/>
  <c r="ET103" i="4"/>
  <c r="ET104" i="4"/>
  <c r="ET105" i="4"/>
  <c r="ET106" i="4"/>
  <c r="ET107" i="4"/>
  <c r="ET108" i="4"/>
  <c r="ET109" i="4"/>
  <c r="ET110" i="4"/>
  <c r="ET111" i="4"/>
  <c r="ET112" i="4"/>
  <c r="ET113" i="4"/>
  <c r="ET114" i="4"/>
  <c r="ET115" i="4"/>
  <c r="ET116" i="4"/>
  <c r="ET117" i="4"/>
  <c r="ET118" i="4"/>
  <c r="ET119" i="4"/>
  <c r="ET120" i="4"/>
  <c r="ET121" i="4"/>
  <c r="ET122" i="4"/>
  <c r="ET123" i="4"/>
  <c r="ET124" i="4"/>
  <c r="ET125" i="4"/>
  <c r="ET126" i="4"/>
  <c r="ET127" i="4"/>
  <c r="ET128" i="4"/>
  <c r="ET129" i="4"/>
  <c r="ET130" i="4"/>
  <c r="ET131" i="4"/>
  <c r="ET132" i="4"/>
  <c r="ET133" i="4"/>
  <c r="ET134" i="4"/>
  <c r="ET135" i="4"/>
  <c r="ET136" i="4"/>
  <c r="ET137" i="4"/>
  <c r="ET138" i="4"/>
  <c r="ET139" i="4"/>
  <c r="ET140" i="4"/>
  <c r="ET141" i="4"/>
  <c r="ET142" i="4"/>
  <c r="ET143" i="4"/>
  <c r="ET144" i="4"/>
  <c r="ET145" i="4"/>
  <c r="ET146" i="4"/>
  <c r="ET147" i="4"/>
  <c r="ET148" i="4"/>
  <c r="ET149" i="4"/>
  <c r="ET150" i="4"/>
  <c r="ET151" i="4"/>
  <c r="ET152" i="4"/>
  <c r="ET153" i="4"/>
  <c r="ET154" i="4"/>
  <c r="ET155" i="4"/>
  <c r="ET156" i="4"/>
  <c r="ET157" i="4"/>
  <c r="ET158" i="4"/>
  <c r="ET159" i="4"/>
  <c r="ET160" i="4"/>
  <c r="ET161" i="4"/>
  <c r="ET162" i="4"/>
  <c r="ET163" i="4"/>
  <c r="ET164" i="4"/>
  <c r="ET165" i="4"/>
  <c r="ET166" i="4"/>
  <c r="ET167" i="4"/>
  <c r="ET168" i="4"/>
  <c r="ET169" i="4"/>
  <c r="ET170" i="4"/>
  <c r="ET171" i="4"/>
  <c r="ET172" i="4"/>
  <c r="ET173" i="4"/>
  <c r="ET174" i="4"/>
  <c r="ET175" i="4"/>
  <c r="ES2" i="4"/>
  <c r="ES3" i="4"/>
  <c r="ES4" i="4"/>
  <c r="ES5" i="4"/>
  <c r="ES6" i="4"/>
  <c r="ES7" i="4"/>
  <c r="ES8" i="4"/>
  <c r="ES9" i="4"/>
  <c r="ES10" i="4"/>
  <c r="ES11" i="4"/>
  <c r="ES12" i="4"/>
  <c r="ES13" i="4"/>
  <c r="ES14" i="4"/>
  <c r="ES15" i="4"/>
  <c r="ES16" i="4"/>
  <c r="ES17" i="4"/>
  <c r="ES18" i="4"/>
  <c r="ES19" i="4"/>
  <c r="ES20" i="4"/>
  <c r="ES21" i="4"/>
  <c r="ES22" i="4"/>
  <c r="ES23" i="4"/>
  <c r="ES24" i="4"/>
  <c r="ES25" i="4"/>
  <c r="ES26" i="4"/>
  <c r="ES27" i="4"/>
  <c r="ES28" i="4"/>
  <c r="ES29" i="4"/>
  <c r="ES30" i="4"/>
  <c r="ES31" i="4"/>
  <c r="ES32" i="4"/>
  <c r="ES33" i="4"/>
  <c r="ES34" i="4"/>
  <c r="ES35" i="4"/>
  <c r="ES36" i="4"/>
  <c r="ES37" i="4"/>
  <c r="ES38" i="4"/>
  <c r="ES39" i="4"/>
  <c r="ES40" i="4"/>
  <c r="ES41" i="4"/>
  <c r="ES42" i="4"/>
  <c r="ES43" i="4"/>
  <c r="ES44" i="4"/>
  <c r="ES45" i="4"/>
  <c r="ES46" i="4"/>
  <c r="ES47" i="4"/>
  <c r="ES48" i="4"/>
  <c r="ES49" i="4"/>
  <c r="ES50" i="4"/>
  <c r="ES51" i="4"/>
  <c r="ES52" i="4"/>
  <c r="ES53" i="4"/>
  <c r="ES54" i="4"/>
  <c r="ES55" i="4"/>
  <c r="ES56" i="4"/>
  <c r="ES57" i="4"/>
  <c r="ES58" i="4"/>
  <c r="ES59" i="4"/>
  <c r="ES60" i="4"/>
  <c r="ES61" i="4"/>
  <c r="ES62" i="4"/>
  <c r="ES63" i="4"/>
  <c r="ES64" i="4"/>
  <c r="ES65" i="4"/>
  <c r="ES66" i="4"/>
  <c r="ES67" i="4"/>
  <c r="ES68" i="4"/>
  <c r="ES69" i="4"/>
  <c r="ES70" i="4"/>
  <c r="ES71" i="4"/>
  <c r="ES72" i="4"/>
  <c r="ES73" i="4"/>
  <c r="ES74" i="4"/>
  <c r="ES75" i="4"/>
  <c r="ES76" i="4"/>
  <c r="ES77" i="4"/>
  <c r="ES78" i="4"/>
  <c r="ES79" i="4"/>
  <c r="ES80" i="4"/>
  <c r="ES81" i="4"/>
  <c r="ES82" i="4"/>
  <c r="ES83" i="4"/>
  <c r="ES84" i="4"/>
  <c r="ES85" i="4"/>
  <c r="ES86" i="4"/>
  <c r="ES87" i="4"/>
  <c r="ES88" i="4"/>
  <c r="ES89" i="4"/>
  <c r="ES90" i="4"/>
  <c r="ES91" i="4"/>
  <c r="ES92" i="4"/>
  <c r="ES93" i="4"/>
  <c r="ES94" i="4"/>
  <c r="ES95" i="4"/>
  <c r="ES96" i="4"/>
  <c r="ES97" i="4"/>
  <c r="ES98" i="4"/>
  <c r="ES99" i="4"/>
  <c r="ES100" i="4"/>
  <c r="ES101" i="4"/>
  <c r="ES102" i="4"/>
  <c r="ES103" i="4"/>
  <c r="ES104" i="4"/>
  <c r="ES105" i="4"/>
  <c r="ES106" i="4"/>
  <c r="ES107" i="4"/>
  <c r="ES108" i="4"/>
  <c r="ES109" i="4"/>
  <c r="ES110" i="4"/>
  <c r="ES111" i="4"/>
  <c r="ES112" i="4"/>
  <c r="ES113" i="4"/>
  <c r="ES114" i="4"/>
  <c r="ES115" i="4"/>
  <c r="ES116" i="4"/>
  <c r="ES117" i="4"/>
  <c r="ES118" i="4"/>
  <c r="ES119" i="4"/>
  <c r="ES120" i="4"/>
  <c r="ES121" i="4"/>
  <c r="ES122" i="4"/>
  <c r="ES123" i="4"/>
  <c r="ES124" i="4"/>
  <c r="ES125" i="4"/>
  <c r="ES126" i="4"/>
  <c r="ES127" i="4"/>
  <c r="ES128" i="4"/>
  <c r="ES129" i="4"/>
  <c r="ES130" i="4"/>
  <c r="ES131" i="4"/>
  <c r="ES132" i="4"/>
  <c r="ES133" i="4"/>
  <c r="ES134" i="4"/>
  <c r="ES135" i="4"/>
  <c r="ES136" i="4"/>
  <c r="ES137" i="4"/>
  <c r="ES138" i="4"/>
  <c r="ES139" i="4"/>
  <c r="ES140" i="4"/>
  <c r="ES141" i="4"/>
  <c r="ES142" i="4"/>
  <c r="ES143" i="4"/>
  <c r="ES144" i="4"/>
  <c r="ES145" i="4"/>
  <c r="ES146" i="4"/>
  <c r="ES147" i="4"/>
  <c r="ES148" i="4"/>
  <c r="ES149" i="4"/>
  <c r="ES150" i="4"/>
  <c r="ES151" i="4"/>
  <c r="ES152" i="4"/>
  <c r="ES153" i="4"/>
  <c r="ES154" i="4"/>
  <c r="ES155" i="4"/>
  <c r="ES156" i="4"/>
  <c r="ES157" i="4"/>
  <c r="ES158" i="4"/>
  <c r="ES159" i="4"/>
  <c r="ES160" i="4"/>
  <c r="ES161" i="4"/>
  <c r="ES162" i="4"/>
  <c r="ES163" i="4"/>
  <c r="ES164" i="4"/>
  <c r="ES165" i="4"/>
  <c r="ES166" i="4"/>
  <c r="ES167" i="4"/>
  <c r="ES168" i="4"/>
  <c r="ES169" i="4"/>
  <c r="ES170" i="4"/>
  <c r="ES171" i="4"/>
  <c r="ES172" i="4"/>
  <c r="ES173" i="4"/>
  <c r="ES174" i="4"/>
  <c r="ES175" i="4"/>
  <c r="ER2" i="4"/>
  <c r="ER3" i="4"/>
  <c r="ER4" i="4"/>
  <c r="ER5" i="4"/>
  <c r="ER6" i="4"/>
  <c r="ER7" i="4"/>
  <c r="ER8" i="4"/>
  <c r="ER9" i="4"/>
  <c r="ER10" i="4"/>
  <c r="ER11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41" i="4"/>
  <c r="ER42" i="4"/>
  <c r="ER43" i="4"/>
  <c r="ER44" i="4"/>
  <c r="ER45" i="4"/>
  <c r="ER46" i="4"/>
  <c r="ER47" i="4"/>
  <c r="ER48" i="4"/>
  <c r="ER49" i="4"/>
  <c r="ER50" i="4"/>
  <c r="ER51" i="4"/>
  <c r="ER52" i="4"/>
  <c r="ER53" i="4"/>
  <c r="ER54" i="4"/>
  <c r="ER55" i="4"/>
  <c r="ER56" i="4"/>
  <c r="ER57" i="4"/>
  <c r="ER58" i="4"/>
  <c r="ER59" i="4"/>
  <c r="ER60" i="4"/>
  <c r="ER61" i="4"/>
  <c r="ER62" i="4"/>
  <c r="ER63" i="4"/>
  <c r="ER64" i="4"/>
  <c r="ER65" i="4"/>
  <c r="ER66" i="4"/>
  <c r="ER67" i="4"/>
  <c r="ER68" i="4"/>
  <c r="ER69" i="4"/>
  <c r="ER70" i="4"/>
  <c r="ER71" i="4"/>
  <c r="ER72" i="4"/>
  <c r="ER73" i="4"/>
  <c r="ER74" i="4"/>
  <c r="ER75" i="4"/>
  <c r="ER76" i="4"/>
  <c r="ER77" i="4"/>
  <c r="ER78" i="4"/>
  <c r="ER79" i="4"/>
  <c r="ER80" i="4"/>
  <c r="ER81" i="4"/>
  <c r="ER82" i="4"/>
  <c r="ER83" i="4"/>
  <c r="ER84" i="4"/>
  <c r="ER85" i="4"/>
  <c r="ER86" i="4"/>
  <c r="ER87" i="4"/>
  <c r="ER88" i="4"/>
  <c r="ER89" i="4"/>
  <c r="ER90" i="4"/>
  <c r="ER91" i="4"/>
  <c r="ER92" i="4"/>
  <c r="ER93" i="4"/>
  <c r="ER94" i="4"/>
  <c r="ER95" i="4"/>
  <c r="ER96" i="4"/>
  <c r="ER97" i="4"/>
  <c r="ER98" i="4"/>
  <c r="ER99" i="4"/>
  <c r="ER100" i="4"/>
  <c r="ER101" i="4"/>
  <c r="ER102" i="4"/>
  <c r="ER103" i="4"/>
  <c r="ER104" i="4"/>
  <c r="ER105" i="4"/>
  <c r="ER106" i="4"/>
  <c r="ER107" i="4"/>
  <c r="ER108" i="4"/>
  <c r="ER109" i="4"/>
  <c r="ER110" i="4"/>
  <c r="ER111" i="4"/>
  <c r="ER112" i="4"/>
  <c r="ER113" i="4"/>
  <c r="ER114" i="4"/>
  <c r="ER115" i="4"/>
  <c r="ER116" i="4"/>
  <c r="ER117" i="4"/>
  <c r="ER118" i="4"/>
  <c r="ER119" i="4"/>
  <c r="ER120" i="4"/>
  <c r="ER121" i="4"/>
  <c r="ER122" i="4"/>
  <c r="ER123" i="4"/>
  <c r="ER124" i="4"/>
  <c r="ER125" i="4"/>
  <c r="ER126" i="4"/>
  <c r="ER127" i="4"/>
  <c r="ER128" i="4"/>
  <c r="ER129" i="4"/>
  <c r="ER130" i="4"/>
  <c r="ER131" i="4"/>
  <c r="ER132" i="4"/>
  <c r="ER133" i="4"/>
  <c r="ER134" i="4"/>
  <c r="ER135" i="4"/>
  <c r="ER136" i="4"/>
  <c r="ER137" i="4"/>
  <c r="ER138" i="4"/>
  <c r="ER139" i="4"/>
  <c r="ER140" i="4"/>
  <c r="ER141" i="4"/>
  <c r="ER142" i="4"/>
  <c r="ER143" i="4"/>
  <c r="ER144" i="4"/>
  <c r="ER145" i="4"/>
  <c r="ER146" i="4"/>
  <c r="ER147" i="4"/>
  <c r="ER148" i="4"/>
  <c r="ER149" i="4"/>
  <c r="ER150" i="4"/>
  <c r="ER151" i="4"/>
  <c r="ER152" i="4"/>
  <c r="ER153" i="4"/>
  <c r="ER154" i="4"/>
  <c r="ER155" i="4"/>
  <c r="ER156" i="4"/>
  <c r="ER157" i="4"/>
  <c r="ER158" i="4"/>
  <c r="ER159" i="4"/>
  <c r="ER160" i="4"/>
  <c r="ER161" i="4"/>
  <c r="ER162" i="4"/>
  <c r="ER163" i="4"/>
  <c r="ER164" i="4"/>
  <c r="ER165" i="4"/>
  <c r="ER166" i="4"/>
  <c r="ER167" i="4"/>
  <c r="ER168" i="4"/>
  <c r="ER169" i="4"/>
  <c r="ER170" i="4"/>
  <c r="ER171" i="4"/>
  <c r="ER172" i="4"/>
  <c r="ER173" i="4"/>
  <c r="ER174" i="4"/>
  <c r="ER175" i="4"/>
  <c r="HS2" i="4"/>
  <c r="HS3" i="4"/>
  <c r="HS4" i="4"/>
  <c r="HS5" i="4"/>
  <c r="HS6" i="4"/>
  <c r="HS7" i="4"/>
  <c r="HS8" i="4"/>
  <c r="HS9" i="4"/>
  <c r="HS10" i="4"/>
  <c r="HS11" i="4"/>
  <c r="HS12" i="4"/>
  <c r="HS13" i="4"/>
  <c r="HS14" i="4"/>
  <c r="HS15" i="4"/>
  <c r="HS16" i="4"/>
  <c r="HS17" i="4"/>
  <c r="HS18" i="4"/>
  <c r="HS19" i="4"/>
  <c r="HS20" i="4"/>
  <c r="HS21" i="4"/>
  <c r="HS22" i="4"/>
  <c r="HS23" i="4"/>
  <c r="HS24" i="4"/>
  <c r="HS25" i="4"/>
  <c r="HS26" i="4"/>
  <c r="HS27" i="4"/>
  <c r="HS28" i="4"/>
  <c r="HS29" i="4"/>
  <c r="HS30" i="4"/>
  <c r="HS31" i="4"/>
  <c r="HS32" i="4"/>
  <c r="HS33" i="4"/>
  <c r="HS34" i="4"/>
  <c r="HS35" i="4"/>
  <c r="HS36" i="4"/>
  <c r="HS37" i="4"/>
  <c r="HS38" i="4"/>
  <c r="HS39" i="4"/>
  <c r="HS40" i="4"/>
  <c r="HS41" i="4"/>
  <c r="HS42" i="4"/>
  <c r="HS43" i="4"/>
  <c r="HS44" i="4"/>
  <c r="HS45" i="4"/>
  <c r="HS46" i="4"/>
  <c r="HS47" i="4"/>
  <c r="HS48" i="4"/>
  <c r="HS49" i="4"/>
  <c r="HS50" i="4"/>
  <c r="HS51" i="4"/>
  <c r="HS52" i="4"/>
  <c r="HS53" i="4"/>
  <c r="HS54" i="4"/>
  <c r="HS55" i="4"/>
  <c r="HS56" i="4"/>
  <c r="HS57" i="4"/>
  <c r="HS58" i="4"/>
  <c r="HS59" i="4"/>
  <c r="HS60" i="4"/>
  <c r="HS61" i="4"/>
  <c r="HS62" i="4"/>
  <c r="HS63" i="4"/>
  <c r="HS64" i="4"/>
  <c r="HS65" i="4"/>
  <c r="HS66" i="4"/>
  <c r="HS67" i="4"/>
  <c r="HS68" i="4"/>
  <c r="HS69" i="4"/>
  <c r="HS70" i="4"/>
  <c r="HS71" i="4"/>
  <c r="HS72" i="4"/>
  <c r="HS73" i="4"/>
  <c r="HS74" i="4"/>
  <c r="HS75" i="4"/>
  <c r="HS76" i="4"/>
  <c r="HS77" i="4"/>
  <c r="HS78" i="4"/>
  <c r="HS79" i="4"/>
  <c r="HS80" i="4"/>
  <c r="HS81" i="4"/>
  <c r="HS82" i="4"/>
  <c r="HS83" i="4"/>
  <c r="HS84" i="4"/>
  <c r="HS85" i="4"/>
  <c r="HS86" i="4"/>
  <c r="HS87" i="4"/>
  <c r="HS88" i="4"/>
  <c r="HS89" i="4"/>
  <c r="HS90" i="4"/>
  <c r="HS91" i="4"/>
  <c r="HS92" i="4"/>
  <c r="HS93" i="4"/>
  <c r="HS94" i="4"/>
  <c r="HS95" i="4"/>
  <c r="HS96" i="4"/>
  <c r="HS97" i="4"/>
  <c r="HS98" i="4"/>
  <c r="HS99" i="4"/>
  <c r="HS100" i="4"/>
  <c r="HS101" i="4"/>
  <c r="HS102" i="4"/>
  <c r="HS103" i="4"/>
  <c r="HS104" i="4"/>
  <c r="HS105" i="4"/>
  <c r="HS106" i="4"/>
  <c r="HS107" i="4"/>
  <c r="HS108" i="4"/>
  <c r="HS109" i="4"/>
  <c r="HS110" i="4"/>
  <c r="HS111" i="4"/>
  <c r="HS112" i="4"/>
  <c r="HS113" i="4"/>
  <c r="HS114" i="4"/>
  <c r="HS115" i="4"/>
  <c r="HS116" i="4"/>
  <c r="HS117" i="4"/>
  <c r="HS118" i="4"/>
  <c r="HS119" i="4"/>
  <c r="HS120" i="4"/>
  <c r="HS121" i="4"/>
  <c r="HS122" i="4"/>
  <c r="HS123" i="4"/>
  <c r="HS124" i="4"/>
  <c r="HS125" i="4"/>
  <c r="HS126" i="4"/>
  <c r="HS127" i="4"/>
  <c r="HS128" i="4"/>
  <c r="HS129" i="4"/>
  <c r="HS130" i="4"/>
  <c r="HS131" i="4"/>
  <c r="HS132" i="4"/>
  <c r="HS133" i="4"/>
  <c r="HS134" i="4"/>
  <c r="HS135" i="4"/>
  <c r="HS136" i="4"/>
  <c r="HS137" i="4"/>
  <c r="HS138" i="4"/>
  <c r="HS139" i="4"/>
  <c r="HS140" i="4"/>
  <c r="HS141" i="4"/>
  <c r="HS142" i="4"/>
  <c r="HS143" i="4"/>
  <c r="HS144" i="4"/>
  <c r="HS145" i="4"/>
  <c r="HS146" i="4"/>
  <c r="HS147" i="4"/>
  <c r="HS148" i="4"/>
  <c r="HS149" i="4"/>
  <c r="HS150" i="4"/>
  <c r="HS151" i="4"/>
  <c r="HS152" i="4"/>
  <c r="HS153" i="4"/>
  <c r="HS154" i="4"/>
  <c r="HS155" i="4"/>
  <c r="HS156" i="4"/>
  <c r="HS157" i="4"/>
  <c r="HS158" i="4"/>
  <c r="HS159" i="4"/>
  <c r="HS160" i="4"/>
  <c r="HS161" i="4"/>
  <c r="HS162" i="4"/>
  <c r="HS163" i="4"/>
  <c r="HS164" i="4"/>
  <c r="HS165" i="4"/>
  <c r="HS166" i="4"/>
  <c r="HS167" i="4"/>
  <c r="HS168" i="4"/>
  <c r="HS169" i="4"/>
  <c r="HS170" i="4"/>
  <c r="HS171" i="4"/>
  <c r="HS172" i="4"/>
  <c r="HS173" i="4"/>
  <c r="HS174" i="4"/>
  <c r="HS175" i="4"/>
  <c r="HR2" i="4"/>
  <c r="HR3" i="4"/>
  <c r="HR4" i="4"/>
  <c r="HR5" i="4"/>
  <c r="HR6" i="4"/>
  <c r="HR7" i="4"/>
  <c r="HR8" i="4"/>
  <c r="HR9" i="4"/>
  <c r="HR10" i="4"/>
  <c r="HR11" i="4"/>
  <c r="HR12" i="4"/>
  <c r="HR13" i="4"/>
  <c r="HR14" i="4"/>
  <c r="HR15" i="4"/>
  <c r="HR16" i="4"/>
  <c r="HR17" i="4"/>
  <c r="HR18" i="4"/>
  <c r="HR19" i="4"/>
  <c r="HR20" i="4"/>
  <c r="HR21" i="4"/>
  <c r="HR22" i="4"/>
  <c r="HR23" i="4"/>
  <c r="HR24" i="4"/>
  <c r="HR25" i="4"/>
  <c r="HR26" i="4"/>
  <c r="HR27" i="4"/>
  <c r="HR28" i="4"/>
  <c r="HR29" i="4"/>
  <c r="HR30" i="4"/>
  <c r="HR31" i="4"/>
  <c r="HR32" i="4"/>
  <c r="HR33" i="4"/>
  <c r="HR34" i="4"/>
  <c r="HR35" i="4"/>
  <c r="HR36" i="4"/>
  <c r="HR37" i="4"/>
  <c r="HR38" i="4"/>
  <c r="HR39" i="4"/>
  <c r="HR40" i="4"/>
  <c r="HR41" i="4"/>
  <c r="HR42" i="4"/>
  <c r="HR43" i="4"/>
  <c r="HR44" i="4"/>
  <c r="HR45" i="4"/>
  <c r="HR46" i="4"/>
  <c r="HR47" i="4"/>
  <c r="HR48" i="4"/>
  <c r="HR49" i="4"/>
  <c r="HR50" i="4"/>
  <c r="HR51" i="4"/>
  <c r="HR52" i="4"/>
  <c r="HR53" i="4"/>
  <c r="HR54" i="4"/>
  <c r="HR55" i="4"/>
  <c r="HR56" i="4"/>
  <c r="HR57" i="4"/>
  <c r="HR58" i="4"/>
  <c r="HR59" i="4"/>
  <c r="HR60" i="4"/>
  <c r="HR61" i="4"/>
  <c r="HR62" i="4"/>
  <c r="HR63" i="4"/>
  <c r="HR64" i="4"/>
  <c r="HR65" i="4"/>
  <c r="HR66" i="4"/>
  <c r="HR67" i="4"/>
  <c r="HR68" i="4"/>
  <c r="HR69" i="4"/>
  <c r="HR70" i="4"/>
  <c r="HR71" i="4"/>
  <c r="HR72" i="4"/>
  <c r="HR73" i="4"/>
  <c r="HR74" i="4"/>
  <c r="HR75" i="4"/>
  <c r="HR76" i="4"/>
  <c r="HR77" i="4"/>
  <c r="HR78" i="4"/>
  <c r="HR79" i="4"/>
  <c r="HR80" i="4"/>
  <c r="HR81" i="4"/>
  <c r="HR82" i="4"/>
  <c r="HR83" i="4"/>
  <c r="HR84" i="4"/>
  <c r="HR85" i="4"/>
  <c r="HR86" i="4"/>
  <c r="HR87" i="4"/>
  <c r="HR88" i="4"/>
  <c r="HR89" i="4"/>
  <c r="HR90" i="4"/>
  <c r="HR91" i="4"/>
  <c r="HR92" i="4"/>
  <c r="HR93" i="4"/>
  <c r="HR94" i="4"/>
  <c r="HR95" i="4"/>
  <c r="HR96" i="4"/>
  <c r="HR97" i="4"/>
  <c r="HR98" i="4"/>
  <c r="HR99" i="4"/>
  <c r="HR100" i="4"/>
  <c r="HR101" i="4"/>
  <c r="HR102" i="4"/>
  <c r="HR103" i="4"/>
  <c r="HR104" i="4"/>
  <c r="HR105" i="4"/>
  <c r="HR106" i="4"/>
  <c r="HR107" i="4"/>
  <c r="HR108" i="4"/>
  <c r="HR109" i="4"/>
  <c r="HR110" i="4"/>
  <c r="HR111" i="4"/>
  <c r="HR112" i="4"/>
  <c r="HR113" i="4"/>
  <c r="HR114" i="4"/>
  <c r="HR115" i="4"/>
  <c r="HR116" i="4"/>
  <c r="HR117" i="4"/>
  <c r="HR118" i="4"/>
  <c r="HR119" i="4"/>
  <c r="HR120" i="4"/>
  <c r="HR121" i="4"/>
  <c r="HR122" i="4"/>
  <c r="HR123" i="4"/>
  <c r="HR124" i="4"/>
  <c r="HR125" i="4"/>
  <c r="HR126" i="4"/>
  <c r="HR127" i="4"/>
  <c r="HR128" i="4"/>
  <c r="HR129" i="4"/>
  <c r="HR130" i="4"/>
  <c r="HR131" i="4"/>
  <c r="HR132" i="4"/>
  <c r="HR133" i="4"/>
  <c r="HR134" i="4"/>
  <c r="HR135" i="4"/>
  <c r="HR136" i="4"/>
  <c r="HR137" i="4"/>
  <c r="HR138" i="4"/>
  <c r="HR139" i="4"/>
  <c r="HR140" i="4"/>
  <c r="HR141" i="4"/>
  <c r="HR142" i="4"/>
  <c r="HR143" i="4"/>
  <c r="HR144" i="4"/>
  <c r="HR145" i="4"/>
  <c r="HR146" i="4"/>
  <c r="HR147" i="4"/>
  <c r="HR148" i="4"/>
  <c r="HR149" i="4"/>
  <c r="HR150" i="4"/>
  <c r="HR151" i="4"/>
  <c r="HR152" i="4"/>
  <c r="HR153" i="4"/>
  <c r="HR154" i="4"/>
  <c r="HR155" i="4"/>
  <c r="HR156" i="4"/>
  <c r="HR157" i="4"/>
  <c r="HR158" i="4"/>
  <c r="HR159" i="4"/>
  <c r="HR160" i="4"/>
  <c r="HR161" i="4"/>
  <c r="HR162" i="4"/>
  <c r="HR163" i="4"/>
  <c r="HR164" i="4"/>
  <c r="HR165" i="4"/>
  <c r="HR166" i="4"/>
  <c r="HR167" i="4"/>
  <c r="HR168" i="4"/>
  <c r="HR169" i="4"/>
  <c r="HR170" i="4"/>
  <c r="HR171" i="4"/>
  <c r="HR172" i="4"/>
  <c r="HR173" i="4"/>
  <c r="HR174" i="4"/>
  <c r="HR175" i="4"/>
  <c r="HQ2" i="4"/>
  <c r="HQ3" i="4"/>
  <c r="HQ4" i="4"/>
  <c r="HQ5" i="4"/>
  <c r="HQ6" i="4"/>
  <c r="HQ7" i="4"/>
  <c r="HQ8" i="4"/>
  <c r="HQ9" i="4"/>
  <c r="HQ10" i="4"/>
  <c r="HQ11" i="4"/>
  <c r="HQ12" i="4"/>
  <c r="HQ13" i="4"/>
  <c r="HQ14" i="4"/>
  <c r="HQ15" i="4"/>
  <c r="HQ16" i="4"/>
  <c r="HQ17" i="4"/>
  <c r="HQ18" i="4"/>
  <c r="HQ19" i="4"/>
  <c r="HQ20" i="4"/>
  <c r="HQ21" i="4"/>
  <c r="HQ22" i="4"/>
  <c r="HQ23" i="4"/>
  <c r="HQ24" i="4"/>
  <c r="HQ25" i="4"/>
  <c r="HQ26" i="4"/>
  <c r="HQ27" i="4"/>
  <c r="HQ28" i="4"/>
  <c r="HQ29" i="4"/>
  <c r="HQ30" i="4"/>
  <c r="HQ31" i="4"/>
  <c r="HQ32" i="4"/>
  <c r="HQ33" i="4"/>
  <c r="HQ34" i="4"/>
  <c r="HQ35" i="4"/>
  <c r="HQ36" i="4"/>
  <c r="HQ37" i="4"/>
  <c r="HQ38" i="4"/>
  <c r="HQ39" i="4"/>
  <c r="HQ40" i="4"/>
  <c r="HQ41" i="4"/>
  <c r="HQ42" i="4"/>
  <c r="HQ43" i="4"/>
  <c r="HQ44" i="4"/>
  <c r="HQ45" i="4"/>
  <c r="HQ46" i="4"/>
  <c r="HQ47" i="4"/>
  <c r="HQ48" i="4"/>
  <c r="HQ49" i="4"/>
  <c r="HQ50" i="4"/>
  <c r="HQ51" i="4"/>
  <c r="HQ52" i="4"/>
  <c r="HQ53" i="4"/>
  <c r="HQ54" i="4"/>
  <c r="HQ55" i="4"/>
  <c r="HQ56" i="4"/>
  <c r="HQ57" i="4"/>
  <c r="HQ58" i="4"/>
  <c r="HQ59" i="4"/>
  <c r="HQ60" i="4"/>
  <c r="HQ61" i="4"/>
  <c r="HQ62" i="4"/>
  <c r="HQ63" i="4"/>
  <c r="HQ64" i="4"/>
  <c r="HQ65" i="4"/>
  <c r="HQ66" i="4"/>
  <c r="HQ67" i="4"/>
  <c r="HQ68" i="4"/>
  <c r="HQ69" i="4"/>
  <c r="HQ70" i="4"/>
  <c r="HQ71" i="4"/>
  <c r="HQ72" i="4"/>
  <c r="HQ73" i="4"/>
  <c r="HQ74" i="4"/>
  <c r="HQ75" i="4"/>
  <c r="HQ76" i="4"/>
  <c r="HQ77" i="4"/>
  <c r="HQ78" i="4"/>
  <c r="HQ79" i="4"/>
  <c r="HQ80" i="4"/>
  <c r="HQ81" i="4"/>
  <c r="HQ82" i="4"/>
  <c r="HQ83" i="4"/>
  <c r="HQ84" i="4"/>
  <c r="HQ85" i="4"/>
  <c r="HQ86" i="4"/>
  <c r="HQ87" i="4"/>
  <c r="HQ88" i="4"/>
  <c r="HQ89" i="4"/>
  <c r="HQ90" i="4"/>
  <c r="HQ91" i="4"/>
  <c r="HQ92" i="4"/>
  <c r="HQ93" i="4"/>
  <c r="HQ94" i="4"/>
  <c r="HQ95" i="4"/>
  <c r="HQ96" i="4"/>
  <c r="HQ97" i="4"/>
  <c r="HQ98" i="4"/>
  <c r="HQ99" i="4"/>
  <c r="HQ100" i="4"/>
  <c r="HQ101" i="4"/>
  <c r="HQ102" i="4"/>
  <c r="HQ103" i="4"/>
  <c r="HQ104" i="4"/>
  <c r="HQ105" i="4"/>
  <c r="HQ106" i="4"/>
  <c r="HQ107" i="4"/>
  <c r="HQ108" i="4"/>
  <c r="HQ109" i="4"/>
  <c r="HQ110" i="4"/>
  <c r="HQ111" i="4"/>
  <c r="HQ112" i="4"/>
  <c r="HQ113" i="4"/>
  <c r="HQ114" i="4"/>
  <c r="HQ115" i="4"/>
  <c r="HQ116" i="4"/>
  <c r="HQ117" i="4"/>
  <c r="HQ118" i="4"/>
  <c r="HQ119" i="4"/>
  <c r="HQ120" i="4"/>
  <c r="HQ121" i="4"/>
  <c r="HQ122" i="4"/>
  <c r="HQ123" i="4"/>
  <c r="HQ124" i="4"/>
  <c r="HQ125" i="4"/>
  <c r="HQ126" i="4"/>
  <c r="HQ127" i="4"/>
  <c r="HQ128" i="4"/>
  <c r="HQ129" i="4"/>
  <c r="HQ130" i="4"/>
  <c r="HQ131" i="4"/>
  <c r="HQ132" i="4"/>
  <c r="HQ133" i="4"/>
  <c r="HQ134" i="4"/>
  <c r="HQ135" i="4"/>
  <c r="HQ136" i="4"/>
  <c r="HQ137" i="4"/>
  <c r="HQ138" i="4"/>
  <c r="HQ139" i="4"/>
  <c r="HQ140" i="4"/>
  <c r="HQ141" i="4"/>
  <c r="HQ142" i="4"/>
  <c r="HQ143" i="4"/>
  <c r="HQ144" i="4"/>
  <c r="HQ145" i="4"/>
  <c r="HQ146" i="4"/>
  <c r="HQ147" i="4"/>
  <c r="HQ148" i="4"/>
  <c r="HQ149" i="4"/>
  <c r="HQ150" i="4"/>
  <c r="HQ151" i="4"/>
  <c r="HQ152" i="4"/>
  <c r="HQ153" i="4"/>
  <c r="HQ154" i="4"/>
  <c r="HQ155" i="4"/>
  <c r="HQ156" i="4"/>
  <c r="HQ157" i="4"/>
  <c r="HQ158" i="4"/>
  <c r="HQ159" i="4"/>
  <c r="HQ160" i="4"/>
  <c r="HQ161" i="4"/>
  <c r="HQ162" i="4"/>
  <c r="HQ163" i="4"/>
  <c r="HQ164" i="4"/>
  <c r="HQ165" i="4"/>
  <c r="HQ166" i="4"/>
  <c r="HQ167" i="4"/>
  <c r="HQ168" i="4"/>
  <c r="HQ169" i="4"/>
  <c r="HQ170" i="4"/>
  <c r="HQ171" i="4"/>
  <c r="HQ172" i="4"/>
  <c r="HQ173" i="4"/>
  <c r="HQ174" i="4"/>
  <c r="HQ175" i="4"/>
  <c r="HP2" i="4"/>
  <c r="HP3" i="4"/>
  <c r="HP4" i="4"/>
  <c r="HP5" i="4"/>
  <c r="HP6" i="4"/>
  <c r="HP7" i="4"/>
  <c r="HP8" i="4"/>
  <c r="HP9" i="4"/>
  <c r="HP10" i="4"/>
  <c r="HP11" i="4"/>
  <c r="HP12" i="4"/>
  <c r="HP13" i="4"/>
  <c r="HP14" i="4"/>
  <c r="HP15" i="4"/>
  <c r="HP16" i="4"/>
  <c r="HP17" i="4"/>
  <c r="HP18" i="4"/>
  <c r="HP19" i="4"/>
  <c r="HP20" i="4"/>
  <c r="HP21" i="4"/>
  <c r="HP22" i="4"/>
  <c r="HP23" i="4"/>
  <c r="HP24" i="4"/>
  <c r="HP25" i="4"/>
  <c r="HP26" i="4"/>
  <c r="HP27" i="4"/>
  <c r="HP28" i="4"/>
  <c r="HP29" i="4"/>
  <c r="HP30" i="4"/>
  <c r="HP31" i="4"/>
  <c r="HP32" i="4"/>
  <c r="HP33" i="4"/>
  <c r="HP34" i="4"/>
  <c r="HP35" i="4"/>
  <c r="HP36" i="4"/>
  <c r="HP37" i="4"/>
  <c r="HP38" i="4"/>
  <c r="HP39" i="4"/>
  <c r="HP40" i="4"/>
  <c r="HP41" i="4"/>
  <c r="HP42" i="4"/>
  <c r="HP43" i="4"/>
  <c r="HP44" i="4"/>
  <c r="HP45" i="4"/>
  <c r="HP46" i="4"/>
  <c r="HP47" i="4"/>
  <c r="HP48" i="4"/>
  <c r="HP49" i="4"/>
  <c r="HP50" i="4"/>
  <c r="HP51" i="4"/>
  <c r="HP52" i="4"/>
  <c r="HP53" i="4"/>
  <c r="HP54" i="4"/>
  <c r="HP55" i="4"/>
  <c r="HP56" i="4"/>
  <c r="HP57" i="4"/>
  <c r="HP58" i="4"/>
  <c r="HP59" i="4"/>
  <c r="HP60" i="4"/>
  <c r="HP61" i="4"/>
  <c r="HP62" i="4"/>
  <c r="HP63" i="4"/>
  <c r="HP64" i="4"/>
  <c r="HP65" i="4"/>
  <c r="HP66" i="4"/>
  <c r="HP67" i="4"/>
  <c r="HP68" i="4"/>
  <c r="HP69" i="4"/>
  <c r="HP70" i="4"/>
  <c r="HP71" i="4"/>
  <c r="HP72" i="4"/>
  <c r="HP73" i="4"/>
  <c r="HP74" i="4"/>
  <c r="HP75" i="4"/>
  <c r="HP76" i="4"/>
  <c r="HP77" i="4"/>
  <c r="HP78" i="4"/>
  <c r="HP79" i="4"/>
  <c r="HP80" i="4"/>
  <c r="HP81" i="4"/>
  <c r="HP82" i="4"/>
  <c r="HP83" i="4"/>
  <c r="HP84" i="4"/>
  <c r="HP85" i="4"/>
  <c r="HP86" i="4"/>
  <c r="HP87" i="4"/>
  <c r="HP88" i="4"/>
  <c r="HP89" i="4"/>
  <c r="HP90" i="4"/>
  <c r="HP91" i="4"/>
  <c r="HP92" i="4"/>
  <c r="HP93" i="4"/>
  <c r="HP94" i="4"/>
  <c r="HP95" i="4"/>
  <c r="HP96" i="4"/>
  <c r="HP97" i="4"/>
  <c r="HP98" i="4"/>
  <c r="HP99" i="4"/>
  <c r="HP100" i="4"/>
  <c r="HP101" i="4"/>
  <c r="HP102" i="4"/>
  <c r="HP103" i="4"/>
  <c r="HP104" i="4"/>
  <c r="HP105" i="4"/>
  <c r="HP106" i="4"/>
  <c r="HP107" i="4"/>
  <c r="HP108" i="4"/>
  <c r="HP109" i="4"/>
  <c r="HP110" i="4"/>
  <c r="HP111" i="4"/>
  <c r="HP112" i="4"/>
  <c r="HP113" i="4"/>
  <c r="HP114" i="4"/>
  <c r="HP115" i="4"/>
  <c r="HP116" i="4"/>
  <c r="HP117" i="4"/>
  <c r="HP118" i="4"/>
  <c r="HP119" i="4"/>
  <c r="HP120" i="4"/>
  <c r="HP121" i="4"/>
  <c r="HP122" i="4"/>
  <c r="HP123" i="4"/>
  <c r="HP124" i="4"/>
  <c r="HP125" i="4"/>
  <c r="HP126" i="4"/>
  <c r="HP127" i="4"/>
  <c r="HP128" i="4"/>
  <c r="HP129" i="4"/>
  <c r="HP130" i="4"/>
  <c r="HP131" i="4"/>
  <c r="HP132" i="4"/>
  <c r="HP133" i="4"/>
  <c r="HP134" i="4"/>
  <c r="HP135" i="4"/>
  <c r="HP136" i="4"/>
  <c r="HP137" i="4"/>
  <c r="HP138" i="4"/>
  <c r="HP139" i="4"/>
  <c r="HP140" i="4"/>
  <c r="HP141" i="4"/>
  <c r="HP142" i="4"/>
  <c r="HP143" i="4"/>
  <c r="HP144" i="4"/>
  <c r="HP145" i="4"/>
  <c r="HP146" i="4"/>
  <c r="HP147" i="4"/>
  <c r="HP148" i="4"/>
  <c r="HP149" i="4"/>
  <c r="HP150" i="4"/>
  <c r="HP151" i="4"/>
  <c r="HP152" i="4"/>
  <c r="HP153" i="4"/>
  <c r="HP154" i="4"/>
  <c r="HP155" i="4"/>
  <c r="HP156" i="4"/>
  <c r="HP157" i="4"/>
  <c r="HP158" i="4"/>
  <c r="HP159" i="4"/>
  <c r="HP160" i="4"/>
  <c r="HP161" i="4"/>
  <c r="HP162" i="4"/>
  <c r="HP163" i="4"/>
  <c r="HP164" i="4"/>
  <c r="HP165" i="4"/>
  <c r="HP166" i="4"/>
  <c r="HP167" i="4"/>
  <c r="HP168" i="4"/>
  <c r="HP169" i="4"/>
  <c r="HP170" i="4"/>
  <c r="HP171" i="4"/>
  <c r="HP172" i="4"/>
  <c r="HP173" i="4"/>
  <c r="HP174" i="4"/>
  <c r="HP175" i="4"/>
  <c r="HO2" i="4"/>
  <c r="HO3" i="4"/>
  <c r="HO4" i="4"/>
  <c r="HO5" i="4"/>
  <c r="HO6" i="4"/>
  <c r="HO7" i="4"/>
  <c r="HO8" i="4"/>
  <c r="HO9" i="4"/>
  <c r="HO10" i="4"/>
  <c r="HO11" i="4"/>
  <c r="HO12" i="4"/>
  <c r="HO13" i="4"/>
  <c r="HO14" i="4"/>
  <c r="HO15" i="4"/>
  <c r="HO16" i="4"/>
  <c r="HO17" i="4"/>
  <c r="HO18" i="4"/>
  <c r="HO19" i="4"/>
  <c r="HO20" i="4"/>
  <c r="HO21" i="4"/>
  <c r="HO22" i="4"/>
  <c r="HO23" i="4"/>
  <c r="HO24" i="4"/>
  <c r="HO25" i="4"/>
  <c r="HO26" i="4"/>
  <c r="HO27" i="4"/>
  <c r="HO28" i="4"/>
  <c r="HO29" i="4"/>
  <c r="HO30" i="4"/>
  <c r="HO31" i="4"/>
  <c r="HO32" i="4"/>
  <c r="HO33" i="4"/>
  <c r="HO34" i="4"/>
  <c r="HO35" i="4"/>
  <c r="HO36" i="4"/>
  <c r="HO37" i="4"/>
  <c r="HO38" i="4"/>
  <c r="HO39" i="4"/>
  <c r="HO40" i="4"/>
  <c r="HO41" i="4"/>
  <c r="HO42" i="4"/>
  <c r="HO43" i="4"/>
  <c r="HO44" i="4"/>
  <c r="HO45" i="4"/>
  <c r="HO46" i="4"/>
  <c r="HO47" i="4"/>
  <c r="HO48" i="4"/>
  <c r="HO49" i="4"/>
  <c r="HO50" i="4"/>
  <c r="HO51" i="4"/>
  <c r="HO52" i="4"/>
  <c r="HO53" i="4"/>
  <c r="HO54" i="4"/>
  <c r="HO55" i="4"/>
  <c r="HO56" i="4"/>
  <c r="HO57" i="4"/>
  <c r="HO58" i="4"/>
  <c r="HO59" i="4"/>
  <c r="HO60" i="4"/>
  <c r="HO61" i="4"/>
  <c r="HO62" i="4"/>
  <c r="HO63" i="4"/>
  <c r="HO64" i="4"/>
  <c r="HO65" i="4"/>
  <c r="HO66" i="4"/>
  <c r="HO67" i="4"/>
  <c r="HO68" i="4"/>
  <c r="HO69" i="4"/>
  <c r="HO70" i="4"/>
  <c r="HO71" i="4"/>
  <c r="HO72" i="4"/>
  <c r="HO73" i="4"/>
  <c r="HO74" i="4"/>
  <c r="HO75" i="4"/>
  <c r="HO76" i="4"/>
  <c r="HO77" i="4"/>
  <c r="HO78" i="4"/>
  <c r="HO79" i="4"/>
  <c r="HO80" i="4"/>
  <c r="HO81" i="4"/>
  <c r="HO82" i="4"/>
  <c r="HO83" i="4"/>
  <c r="HO84" i="4"/>
  <c r="HO85" i="4"/>
  <c r="HO86" i="4"/>
  <c r="HO87" i="4"/>
  <c r="HO88" i="4"/>
  <c r="HO89" i="4"/>
  <c r="HO90" i="4"/>
  <c r="HO91" i="4"/>
  <c r="HO92" i="4"/>
  <c r="HO93" i="4"/>
  <c r="HO94" i="4"/>
  <c r="HO95" i="4"/>
  <c r="HO96" i="4"/>
  <c r="HO97" i="4"/>
  <c r="HO98" i="4"/>
  <c r="HO99" i="4"/>
  <c r="HO100" i="4"/>
  <c r="HO101" i="4"/>
  <c r="HO102" i="4"/>
  <c r="HO103" i="4"/>
  <c r="HO104" i="4"/>
  <c r="HO105" i="4"/>
  <c r="HO106" i="4"/>
  <c r="HO107" i="4"/>
  <c r="HO108" i="4"/>
  <c r="HO109" i="4"/>
  <c r="HO110" i="4"/>
  <c r="HO111" i="4"/>
  <c r="HO112" i="4"/>
  <c r="HO113" i="4"/>
  <c r="HO114" i="4"/>
  <c r="HO115" i="4"/>
  <c r="HO116" i="4"/>
  <c r="HO117" i="4"/>
  <c r="HO118" i="4"/>
  <c r="HO119" i="4"/>
  <c r="HO120" i="4"/>
  <c r="HO121" i="4"/>
  <c r="HO122" i="4"/>
  <c r="HO123" i="4"/>
  <c r="HO124" i="4"/>
  <c r="HO125" i="4"/>
  <c r="HO126" i="4"/>
  <c r="HO127" i="4"/>
  <c r="HO128" i="4"/>
  <c r="HO129" i="4"/>
  <c r="HO130" i="4"/>
  <c r="HO131" i="4"/>
  <c r="HO132" i="4"/>
  <c r="HO133" i="4"/>
  <c r="HO134" i="4"/>
  <c r="HO135" i="4"/>
  <c r="HO136" i="4"/>
  <c r="HO137" i="4"/>
  <c r="HO138" i="4"/>
  <c r="HO139" i="4"/>
  <c r="HO140" i="4"/>
  <c r="HO141" i="4"/>
  <c r="HO142" i="4"/>
  <c r="HO143" i="4"/>
  <c r="HO144" i="4"/>
  <c r="HO145" i="4"/>
  <c r="HO146" i="4"/>
  <c r="HO147" i="4"/>
  <c r="HO148" i="4"/>
  <c r="HO149" i="4"/>
  <c r="HO150" i="4"/>
  <c r="HO151" i="4"/>
  <c r="HO152" i="4"/>
  <c r="HO153" i="4"/>
  <c r="HO154" i="4"/>
  <c r="HO155" i="4"/>
  <c r="HO156" i="4"/>
  <c r="HO157" i="4"/>
  <c r="HO158" i="4"/>
  <c r="HO159" i="4"/>
  <c r="HO160" i="4"/>
  <c r="HO161" i="4"/>
  <c r="HO162" i="4"/>
  <c r="HO163" i="4"/>
  <c r="HO164" i="4"/>
  <c r="HO165" i="4"/>
  <c r="HO166" i="4"/>
  <c r="HO167" i="4"/>
  <c r="HO168" i="4"/>
  <c r="HO169" i="4"/>
  <c r="HO170" i="4"/>
  <c r="HO171" i="4"/>
  <c r="HO172" i="4"/>
  <c r="HO173" i="4"/>
  <c r="HO174" i="4"/>
  <c r="HO175" i="4"/>
  <c r="HN2" i="4"/>
  <c r="HN3" i="4"/>
  <c r="HN4" i="4"/>
  <c r="HN5" i="4"/>
  <c r="HN6" i="4"/>
  <c r="HN7" i="4"/>
  <c r="HN8" i="4"/>
  <c r="HN9" i="4"/>
  <c r="HN10" i="4"/>
  <c r="HN11" i="4"/>
  <c r="HN12" i="4"/>
  <c r="HN13" i="4"/>
  <c r="HN14" i="4"/>
  <c r="HN15" i="4"/>
  <c r="HN16" i="4"/>
  <c r="HN17" i="4"/>
  <c r="HN18" i="4"/>
  <c r="HN19" i="4"/>
  <c r="HN20" i="4"/>
  <c r="HN21" i="4"/>
  <c r="HN22" i="4"/>
  <c r="HN23" i="4"/>
  <c r="HN24" i="4"/>
  <c r="HN25" i="4"/>
  <c r="HN26" i="4"/>
  <c r="HN27" i="4"/>
  <c r="HN28" i="4"/>
  <c r="HN29" i="4"/>
  <c r="HN30" i="4"/>
  <c r="HN31" i="4"/>
  <c r="HN32" i="4"/>
  <c r="HN33" i="4"/>
  <c r="HN34" i="4"/>
  <c r="HN35" i="4"/>
  <c r="HN36" i="4"/>
  <c r="HN37" i="4"/>
  <c r="HN38" i="4"/>
  <c r="HN39" i="4"/>
  <c r="HN40" i="4"/>
  <c r="HN41" i="4"/>
  <c r="HN42" i="4"/>
  <c r="HN43" i="4"/>
  <c r="HN44" i="4"/>
  <c r="HN45" i="4"/>
  <c r="HN46" i="4"/>
  <c r="HN47" i="4"/>
  <c r="HN48" i="4"/>
  <c r="HN49" i="4"/>
  <c r="HN50" i="4"/>
  <c r="HN51" i="4"/>
  <c r="HN52" i="4"/>
  <c r="HN53" i="4"/>
  <c r="HN54" i="4"/>
  <c r="HN55" i="4"/>
  <c r="HN56" i="4"/>
  <c r="HN57" i="4"/>
  <c r="HN58" i="4"/>
  <c r="HN59" i="4"/>
  <c r="HN60" i="4"/>
  <c r="HN61" i="4"/>
  <c r="HN62" i="4"/>
  <c r="HN63" i="4"/>
  <c r="HN64" i="4"/>
  <c r="HN65" i="4"/>
  <c r="HN66" i="4"/>
  <c r="HN67" i="4"/>
  <c r="HN68" i="4"/>
  <c r="HN69" i="4"/>
  <c r="HN70" i="4"/>
  <c r="HN71" i="4"/>
  <c r="HN72" i="4"/>
  <c r="HN73" i="4"/>
  <c r="HN74" i="4"/>
  <c r="HN75" i="4"/>
  <c r="HN76" i="4"/>
  <c r="HN77" i="4"/>
  <c r="HN78" i="4"/>
  <c r="HN79" i="4"/>
  <c r="HN80" i="4"/>
  <c r="HN81" i="4"/>
  <c r="HN82" i="4"/>
  <c r="HN83" i="4"/>
  <c r="HN84" i="4"/>
  <c r="HN85" i="4"/>
  <c r="HN86" i="4"/>
  <c r="HN87" i="4"/>
  <c r="HN88" i="4"/>
  <c r="HN89" i="4"/>
  <c r="HN90" i="4"/>
  <c r="HN91" i="4"/>
  <c r="HN92" i="4"/>
  <c r="HN93" i="4"/>
  <c r="HN94" i="4"/>
  <c r="HN95" i="4"/>
  <c r="HN96" i="4"/>
  <c r="HN97" i="4"/>
  <c r="HN98" i="4"/>
  <c r="HN99" i="4"/>
  <c r="HN100" i="4"/>
  <c r="HN101" i="4"/>
  <c r="HN102" i="4"/>
  <c r="HN103" i="4"/>
  <c r="HN104" i="4"/>
  <c r="HN105" i="4"/>
  <c r="HN106" i="4"/>
  <c r="HN107" i="4"/>
  <c r="HN108" i="4"/>
  <c r="HN109" i="4"/>
  <c r="HN110" i="4"/>
  <c r="HN111" i="4"/>
  <c r="HN112" i="4"/>
  <c r="HN113" i="4"/>
  <c r="HN114" i="4"/>
  <c r="HN115" i="4"/>
  <c r="HN116" i="4"/>
  <c r="HN117" i="4"/>
  <c r="HN118" i="4"/>
  <c r="HN119" i="4"/>
  <c r="HN120" i="4"/>
  <c r="HN121" i="4"/>
  <c r="HN122" i="4"/>
  <c r="HN123" i="4"/>
  <c r="HN124" i="4"/>
  <c r="HN125" i="4"/>
  <c r="HN126" i="4"/>
  <c r="HN127" i="4"/>
  <c r="HN128" i="4"/>
  <c r="HN129" i="4"/>
  <c r="HN130" i="4"/>
  <c r="HN131" i="4"/>
  <c r="HN132" i="4"/>
  <c r="HN133" i="4"/>
  <c r="HN134" i="4"/>
  <c r="HN135" i="4"/>
  <c r="HN136" i="4"/>
  <c r="HN137" i="4"/>
  <c r="HN138" i="4"/>
  <c r="HN139" i="4"/>
  <c r="HN140" i="4"/>
  <c r="HN141" i="4"/>
  <c r="HN142" i="4"/>
  <c r="HN143" i="4"/>
  <c r="HN144" i="4"/>
  <c r="HN145" i="4"/>
  <c r="HN146" i="4"/>
  <c r="HN147" i="4"/>
  <c r="HN148" i="4"/>
  <c r="HN149" i="4"/>
  <c r="HN150" i="4"/>
  <c r="HN151" i="4"/>
  <c r="HN152" i="4"/>
  <c r="HN153" i="4"/>
  <c r="HN154" i="4"/>
  <c r="HN155" i="4"/>
  <c r="HN156" i="4"/>
  <c r="HN157" i="4"/>
  <c r="HN158" i="4"/>
  <c r="HN159" i="4"/>
  <c r="HN160" i="4"/>
  <c r="HN161" i="4"/>
  <c r="HN162" i="4"/>
  <c r="HN163" i="4"/>
  <c r="HN164" i="4"/>
  <c r="HN165" i="4"/>
  <c r="HN166" i="4"/>
  <c r="HN167" i="4"/>
  <c r="HN168" i="4"/>
  <c r="HN169" i="4"/>
  <c r="HN170" i="4"/>
  <c r="HN171" i="4"/>
  <c r="HN172" i="4"/>
  <c r="HN173" i="4"/>
  <c r="HN174" i="4"/>
  <c r="HN175" i="4"/>
  <c r="HM2" i="4"/>
  <c r="HM3" i="4"/>
  <c r="HM4" i="4"/>
  <c r="HM5" i="4"/>
  <c r="HM6" i="4"/>
  <c r="HM7" i="4"/>
  <c r="HM8" i="4"/>
  <c r="HM9" i="4"/>
  <c r="HM10" i="4"/>
  <c r="HM11" i="4"/>
  <c r="HM12" i="4"/>
  <c r="HM13" i="4"/>
  <c r="HM14" i="4"/>
  <c r="HM15" i="4"/>
  <c r="HM16" i="4"/>
  <c r="HM17" i="4"/>
  <c r="HM18" i="4"/>
  <c r="HM19" i="4"/>
  <c r="HM20" i="4"/>
  <c r="HM21" i="4"/>
  <c r="HM22" i="4"/>
  <c r="HM23" i="4"/>
  <c r="HM24" i="4"/>
  <c r="HM25" i="4"/>
  <c r="HM26" i="4"/>
  <c r="HM27" i="4"/>
  <c r="HM28" i="4"/>
  <c r="HM29" i="4"/>
  <c r="HM30" i="4"/>
  <c r="HM31" i="4"/>
  <c r="HM32" i="4"/>
  <c r="HM33" i="4"/>
  <c r="HM34" i="4"/>
  <c r="HM35" i="4"/>
  <c r="HM36" i="4"/>
  <c r="HM37" i="4"/>
  <c r="HM38" i="4"/>
  <c r="HM39" i="4"/>
  <c r="HM40" i="4"/>
  <c r="HM41" i="4"/>
  <c r="HM42" i="4"/>
  <c r="HM43" i="4"/>
  <c r="HM44" i="4"/>
  <c r="HM45" i="4"/>
  <c r="HM46" i="4"/>
  <c r="HM47" i="4"/>
  <c r="HM48" i="4"/>
  <c r="HM49" i="4"/>
  <c r="HM50" i="4"/>
  <c r="HM51" i="4"/>
  <c r="HM52" i="4"/>
  <c r="HM53" i="4"/>
  <c r="HM54" i="4"/>
  <c r="HM55" i="4"/>
  <c r="HM56" i="4"/>
  <c r="HM57" i="4"/>
  <c r="HM58" i="4"/>
  <c r="HM59" i="4"/>
  <c r="HM60" i="4"/>
  <c r="HM61" i="4"/>
  <c r="HM62" i="4"/>
  <c r="HM63" i="4"/>
  <c r="HM64" i="4"/>
  <c r="HM65" i="4"/>
  <c r="HM66" i="4"/>
  <c r="HM67" i="4"/>
  <c r="HM68" i="4"/>
  <c r="HM69" i="4"/>
  <c r="HM70" i="4"/>
  <c r="HM71" i="4"/>
  <c r="HM72" i="4"/>
  <c r="HM73" i="4"/>
  <c r="HM74" i="4"/>
  <c r="HM75" i="4"/>
  <c r="HM76" i="4"/>
  <c r="HM77" i="4"/>
  <c r="HM78" i="4"/>
  <c r="HM79" i="4"/>
  <c r="HM80" i="4"/>
  <c r="HM81" i="4"/>
  <c r="HM82" i="4"/>
  <c r="HM83" i="4"/>
  <c r="HM84" i="4"/>
  <c r="HM85" i="4"/>
  <c r="HM86" i="4"/>
  <c r="HM87" i="4"/>
  <c r="HM88" i="4"/>
  <c r="HM89" i="4"/>
  <c r="HM90" i="4"/>
  <c r="HM91" i="4"/>
  <c r="HM92" i="4"/>
  <c r="HM93" i="4"/>
  <c r="HM94" i="4"/>
  <c r="HM95" i="4"/>
  <c r="HM96" i="4"/>
  <c r="HM97" i="4"/>
  <c r="HM98" i="4"/>
  <c r="HM99" i="4"/>
  <c r="HM100" i="4"/>
  <c r="HM101" i="4"/>
  <c r="HM102" i="4"/>
  <c r="HM103" i="4"/>
  <c r="HM104" i="4"/>
  <c r="HM105" i="4"/>
  <c r="HM106" i="4"/>
  <c r="HM107" i="4"/>
  <c r="HM108" i="4"/>
  <c r="HM109" i="4"/>
  <c r="HM110" i="4"/>
  <c r="HM111" i="4"/>
  <c r="HM112" i="4"/>
  <c r="HM113" i="4"/>
  <c r="HM114" i="4"/>
  <c r="HM115" i="4"/>
  <c r="HM116" i="4"/>
  <c r="HM117" i="4"/>
  <c r="HM118" i="4"/>
  <c r="HM119" i="4"/>
  <c r="HM120" i="4"/>
  <c r="HM121" i="4"/>
  <c r="HM122" i="4"/>
  <c r="HM123" i="4"/>
  <c r="HM124" i="4"/>
  <c r="HM125" i="4"/>
  <c r="HM126" i="4"/>
  <c r="HM127" i="4"/>
  <c r="HM128" i="4"/>
  <c r="HM129" i="4"/>
  <c r="HM130" i="4"/>
  <c r="HM131" i="4"/>
  <c r="HM132" i="4"/>
  <c r="HM133" i="4"/>
  <c r="HM134" i="4"/>
  <c r="HM135" i="4"/>
  <c r="HM136" i="4"/>
  <c r="HM137" i="4"/>
  <c r="HM138" i="4"/>
  <c r="HM139" i="4"/>
  <c r="HM140" i="4"/>
  <c r="HM141" i="4"/>
  <c r="HM142" i="4"/>
  <c r="HM143" i="4"/>
  <c r="HM144" i="4"/>
  <c r="HM145" i="4"/>
  <c r="HM146" i="4"/>
  <c r="HM147" i="4"/>
  <c r="HM148" i="4"/>
  <c r="HM149" i="4"/>
  <c r="HM150" i="4"/>
  <c r="HM151" i="4"/>
  <c r="HM152" i="4"/>
  <c r="HM153" i="4"/>
  <c r="HM154" i="4"/>
  <c r="HM155" i="4"/>
  <c r="HM156" i="4"/>
  <c r="HM157" i="4"/>
  <c r="HM158" i="4"/>
  <c r="HM159" i="4"/>
  <c r="HM160" i="4"/>
  <c r="HM161" i="4"/>
  <c r="HM162" i="4"/>
  <c r="HM163" i="4"/>
  <c r="HM164" i="4"/>
  <c r="HM165" i="4"/>
  <c r="HM166" i="4"/>
  <c r="HM167" i="4"/>
  <c r="HM168" i="4"/>
  <c r="HM169" i="4"/>
  <c r="HM170" i="4"/>
  <c r="HM171" i="4"/>
  <c r="HM172" i="4"/>
  <c r="HM173" i="4"/>
  <c r="HM174" i="4"/>
  <c r="HM175" i="4"/>
  <c r="HL2" i="4"/>
  <c r="HL3" i="4"/>
  <c r="HL4" i="4"/>
  <c r="HL5" i="4"/>
  <c r="HL6" i="4"/>
  <c r="HL7" i="4"/>
  <c r="HL8" i="4"/>
  <c r="HL9" i="4"/>
  <c r="HL10" i="4"/>
  <c r="HL11" i="4"/>
  <c r="HL12" i="4"/>
  <c r="HL13" i="4"/>
  <c r="HL14" i="4"/>
  <c r="HL15" i="4"/>
  <c r="HL16" i="4"/>
  <c r="HL17" i="4"/>
  <c r="HL18" i="4"/>
  <c r="HL19" i="4"/>
  <c r="HL20" i="4"/>
  <c r="HL21" i="4"/>
  <c r="HL22" i="4"/>
  <c r="HL23" i="4"/>
  <c r="HL24" i="4"/>
  <c r="HL25" i="4"/>
  <c r="HL26" i="4"/>
  <c r="HL27" i="4"/>
  <c r="HL28" i="4"/>
  <c r="HL29" i="4"/>
  <c r="HL30" i="4"/>
  <c r="HL31" i="4"/>
  <c r="HL32" i="4"/>
  <c r="HL33" i="4"/>
  <c r="HL34" i="4"/>
  <c r="HL35" i="4"/>
  <c r="HL36" i="4"/>
  <c r="HL37" i="4"/>
  <c r="HL38" i="4"/>
  <c r="HL39" i="4"/>
  <c r="HL40" i="4"/>
  <c r="HL41" i="4"/>
  <c r="HL42" i="4"/>
  <c r="HL43" i="4"/>
  <c r="HL44" i="4"/>
  <c r="HL45" i="4"/>
  <c r="HL46" i="4"/>
  <c r="HL47" i="4"/>
  <c r="HL48" i="4"/>
  <c r="HL49" i="4"/>
  <c r="HL50" i="4"/>
  <c r="HL51" i="4"/>
  <c r="HL52" i="4"/>
  <c r="HL53" i="4"/>
  <c r="HL54" i="4"/>
  <c r="HL55" i="4"/>
  <c r="HL56" i="4"/>
  <c r="HL57" i="4"/>
  <c r="HL58" i="4"/>
  <c r="HL59" i="4"/>
  <c r="HL60" i="4"/>
  <c r="HL61" i="4"/>
  <c r="HL62" i="4"/>
  <c r="HL63" i="4"/>
  <c r="HL64" i="4"/>
  <c r="HL65" i="4"/>
  <c r="HL66" i="4"/>
  <c r="HL67" i="4"/>
  <c r="HL68" i="4"/>
  <c r="HL69" i="4"/>
  <c r="HL70" i="4"/>
  <c r="HL71" i="4"/>
  <c r="HL72" i="4"/>
  <c r="HL73" i="4"/>
  <c r="HL74" i="4"/>
  <c r="HL75" i="4"/>
  <c r="HL76" i="4"/>
  <c r="HL77" i="4"/>
  <c r="HL78" i="4"/>
  <c r="HL79" i="4"/>
  <c r="HL80" i="4"/>
  <c r="HL81" i="4"/>
  <c r="HL82" i="4"/>
  <c r="HL83" i="4"/>
  <c r="HL84" i="4"/>
  <c r="HL85" i="4"/>
  <c r="HL86" i="4"/>
  <c r="HL87" i="4"/>
  <c r="HL88" i="4"/>
  <c r="HL89" i="4"/>
  <c r="HL90" i="4"/>
  <c r="HL91" i="4"/>
  <c r="HL92" i="4"/>
  <c r="HL93" i="4"/>
  <c r="HL94" i="4"/>
  <c r="HL95" i="4"/>
  <c r="HL96" i="4"/>
  <c r="HL97" i="4"/>
  <c r="HL98" i="4"/>
  <c r="HL99" i="4"/>
  <c r="HL100" i="4"/>
  <c r="HL101" i="4"/>
  <c r="HL102" i="4"/>
  <c r="HL103" i="4"/>
  <c r="HL104" i="4"/>
  <c r="HL105" i="4"/>
  <c r="HL106" i="4"/>
  <c r="HL107" i="4"/>
  <c r="HL108" i="4"/>
  <c r="HL109" i="4"/>
  <c r="HL110" i="4"/>
  <c r="HL111" i="4"/>
  <c r="HL112" i="4"/>
  <c r="HL113" i="4"/>
  <c r="HL114" i="4"/>
  <c r="HL115" i="4"/>
  <c r="HL116" i="4"/>
  <c r="HL117" i="4"/>
  <c r="HL118" i="4"/>
  <c r="HL119" i="4"/>
  <c r="HL120" i="4"/>
  <c r="HL121" i="4"/>
  <c r="HL122" i="4"/>
  <c r="HL123" i="4"/>
  <c r="HL124" i="4"/>
  <c r="HL125" i="4"/>
  <c r="HL126" i="4"/>
  <c r="HL127" i="4"/>
  <c r="HL128" i="4"/>
  <c r="HL129" i="4"/>
  <c r="HL130" i="4"/>
  <c r="HL131" i="4"/>
  <c r="HL132" i="4"/>
  <c r="HL133" i="4"/>
  <c r="HL134" i="4"/>
  <c r="HL135" i="4"/>
  <c r="HL136" i="4"/>
  <c r="HL137" i="4"/>
  <c r="HL138" i="4"/>
  <c r="HL139" i="4"/>
  <c r="HL140" i="4"/>
  <c r="HL141" i="4"/>
  <c r="HL142" i="4"/>
  <c r="HL143" i="4"/>
  <c r="HL144" i="4"/>
  <c r="HL145" i="4"/>
  <c r="HL146" i="4"/>
  <c r="HL147" i="4"/>
  <c r="HL148" i="4"/>
  <c r="HL149" i="4"/>
  <c r="HL150" i="4"/>
  <c r="HL151" i="4"/>
  <c r="HL152" i="4"/>
  <c r="HL153" i="4"/>
  <c r="HL154" i="4"/>
  <c r="HL155" i="4"/>
  <c r="HL156" i="4"/>
  <c r="HL157" i="4"/>
  <c r="HL158" i="4"/>
  <c r="HL159" i="4"/>
  <c r="HL160" i="4"/>
  <c r="HL161" i="4"/>
  <c r="HL162" i="4"/>
  <c r="HL163" i="4"/>
  <c r="HL164" i="4"/>
  <c r="HL165" i="4"/>
  <c r="HL166" i="4"/>
  <c r="HL167" i="4"/>
  <c r="HL168" i="4"/>
  <c r="HL169" i="4"/>
  <c r="HL170" i="4"/>
  <c r="HL171" i="4"/>
  <c r="HL172" i="4"/>
  <c r="HL173" i="4"/>
  <c r="HL174" i="4"/>
  <c r="HL175" i="4"/>
  <c r="HK2" i="4"/>
  <c r="HK3" i="4"/>
  <c r="HK4" i="4"/>
  <c r="HK5" i="4"/>
  <c r="HK6" i="4"/>
  <c r="HK7" i="4"/>
  <c r="HK8" i="4"/>
  <c r="HK9" i="4"/>
  <c r="HK10" i="4"/>
  <c r="HK11" i="4"/>
  <c r="HK12" i="4"/>
  <c r="HK13" i="4"/>
  <c r="HK14" i="4"/>
  <c r="HK15" i="4"/>
  <c r="HK16" i="4"/>
  <c r="HK17" i="4"/>
  <c r="HK18" i="4"/>
  <c r="HK19" i="4"/>
  <c r="HK20" i="4"/>
  <c r="HK21" i="4"/>
  <c r="HK22" i="4"/>
  <c r="HK23" i="4"/>
  <c r="HK24" i="4"/>
  <c r="HK25" i="4"/>
  <c r="HK26" i="4"/>
  <c r="HK27" i="4"/>
  <c r="HK28" i="4"/>
  <c r="HK29" i="4"/>
  <c r="HK30" i="4"/>
  <c r="HK31" i="4"/>
  <c r="HK32" i="4"/>
  <c r="HK33" i="4"/>
  <c r="HK34" i="4"/>
  <c r="HK35" i="4"/>
  <c r="HK36" i="4"/>
  <c r="HK37" i="4"/>
  <c r="HK38" i="4"/>
  <c r="HK39" i="4"/>
  <c r="HK40" i="4"/>
  <c r="HK41" i="4"/>
  <c r="HK42" i="4"/>
  <c r="HK43" i="4"/>
  <c r="HK44" i="4"/>
  <c r="HK45" i="4"/>
  <c r="HK46" i="4"/>
  <c r="HK47" i="4"/>
  <c r="HK48" i="4"/>
  <c r="HK49" i="4"/>
  <c r="HK50" i="4"/>
  <c r="HK51" i="4"/>
  <c r="HK52" i="4"/>
  <c r="HK53" i="4"/>
  <c r="HK54" i="4"/>
  <c r="HK55" i="4"/>
  <c r="HK56" i="4"/>
  <c r="HK57" i="4"/>
  <c r="HK58" i="4"/>
  <c r="HK59" i="4"/>
  <c r="HK60" i="4"/>
  <c r="HK61" i="4"/>
  <c r="HK62" i="4"/>
  <c r="HK63" i="4"/>
  <c r="HK64" i="4"/>
  <c r="HK65" i="4"/>
  <c r="HK66" i="4"/>
  <c r="HK67" i="4"/>
  <c r="HK68" i="4"/>
  <c r="HK69" i="4"/>
  <c r="HK70" i="4"/>
  <c r="HK71" i="4"/>
  <c r="HK72" i="4"/>
  <c r="HK73" i="4"/>
  <c r="HK74" i="4"/>
  <c r="HK75" i="4"/>
  <c r="HK76" i="4"/>
  <c r="HK77" i="4"/>
  <c r="HK78" i="4"/>
  <c r="HK79" i="4"/>
  <c r="HK80" i="4"/>
  <c r="HK81" i="4"/>
  <c r="HK82" i="4"/>
  <c r="HK83" i="4"/>
  <c r="HK84" i="4"/>
  <c r="HK85" i="4"/>
  <c r="HK86" i="4"/>
  <c r="HK87" i="4"/>
  <c r="HK88" i="4"/>
  <c r="HK89" i="4"/>
  <c r="HK90" i="4"/>
  <c r="HK91" i="4"/>
  <c r="HK92" i="4"/>
  <c r="HK93" i="4"/>
  <c r="HK94" i="4"/>
  <c r="HK95" i="4"/>
  <c r="HK96" i="4"/>
  <c r="HK97" i="4"/>
  <c r="HK98" i="4"/>
  <c r="HK99" i="4"/>
  <c r="HK100" i="4"/>
  <c r="HK101" i="4"/>
  <c r="HK102" i="4"/>
  <c r="HK103" i="4"/>
  <c r="HK104" i="4"/>
  <c r="HK105" i="4"/>
  <c r="HK106" i="4"/>
  <c r="HK107" i="4"/>
  <c r="HK108" i="4"/>
  <c r="HK109" i="4"/>
  <c r="HK110" i="4"/>
  <c r="HK111" i="4"/>
  <c r="HK112" i="4"/>
  <c r="HK113" i="4"/>
  <c r="HK114" i="4"/>
  <c r="HK115" i="4"/>
  <c r="HK116" i="4"/>
  <c r="HK117" i="4"/>
  <c r="HK118" i="4"/>
  <c r="HK119" i="4"/>
  <c r="HK120" i="4"/>
  <c r="HK121" i="4"/>
  <c r="HK122" i="4"/>
  <c r="HK123" i="4"/>
  <c r="HK124" i="4"/>
  <c r="HK125" i="4"/>
  <c r="HK126" i="4"/>
  <c r="HK127" i="4"/>
  <c r="HK128" i="4"/>
  <c r="HK129" i="4"/>
  <c r="HK130" i="4"/>
  <c r="HK131" i="4"/>
  <c r="HK132" i="4"/>
  <c r="HK133" i="4"/>
  <c r="HK134" i="4"/>
  <c r="HK135" i="4"/>
  <c r="HK136" i="4"/>
  <c r="HK137" i="4"/>
  <c r="HK138" i="4"/>
  <c r="HK139" i="4"/>
  <c r="HK140" i="4"/>
  <c r="HK141" i="4"/>
  <c r="HK142" i="4"/>
  <c r="HK143" i="4"/>
  <c r="HK144" i="4"/>
  <c r="HK145" i="4"/>
  <c r="HK146" i="4"/>
  <c r="HK147" i="4"/>
  <c r="HK148" i="4"/>
  <c r="HK149" i="4"/>
  <c r="HK150" i="4"/>
  <c r="HK151" i="4"/>
  <c r="HK152" i="4"/>
  <c r="HK153" i="4"/>
  <c r="HK154" i="4"/>
  <c r="HK155" i="4"/>
  <c r="HK156" i="4"/>
  <c r="HK157" i="4"/>
  <c r="HK158" i="4"/>
  <c r="HK159" i="4"/>
  <c r="HK160" i="4"/>
  <c r="HK161" i="4"/>
  <c r="HK162" i="4"/>
  <c r="HK163" i="4"/>
  <c r="HK164" i="4"/>
  <c r="HK165" i="4"/>
  <c r="HK166" i="4"/>
  <c r="HK167" i="4"/>
  <c r="HK168" i="4"/>
  <c r="HK169" i="4"/>
  <c r="HK170" i="4"/>
  <c r="HK171" i="4"/>
  <c r="HK172" i="4"/>
  <c r="HK173" i="4"/>
  <c r="HK174" i="4"/>
  <c r="HK175" i="4"/>
  <c r="HJ2" i="4"/>
  <c r="HJ3" i="4"/>
  <c r="HJ4" i="4"/>
  <c r="HJ5" i="4"/>
  <c r="HJ6" i="4"/>
  <c r="HJ7" i="4"/>
  <c r="HJ8" i="4"/>
  <c r="HJ9" i="4"/>
  <c r="HJ10" i="4"/>
  <c r="HJ11" i="4"/>
  <c r="HJ12" i="4"/>
  <c r="HJ13" i="4"/>
  <c r="HJ14" i="4"/>
  <c r="HJ15" i="4"/>
  <c r="HJ16" i="4"/>
  <c r="HJ17" i="4"/>
  <c r="HJ18" i="4"/>
  <c r="HJ19" i="4"/>
  <c r="HJ20" i="4"/>
  <c r="HJ21" i="4"/>
  <c r="HJ22" i="4"/>
  <c r="HJ23" i="4"/>
  <c r="HJ24" i="4"/>
  <c r="HJ25" i="4"/>
  <c r="HJ26" i="4"/>
  <c r="HJ27" i="4"/>
  <c r="HJ28" i="4"/>
  <c r="HJ29" i="4"/>
  <c r="HJ30" i="4"/>
  <c r="HJ31" i="4"/>
  <c r="HJ32" i="4"/>
  <c r="HJ33" i="4"/>
  <c r="HJ34" i="4"/>
  <c r="HJ35" i="4"/>
  <c r="HJ36" i="4"/>
  <c r="HJ37" i="4"/>
  <c r="HJ38" i="4"/>
  <c r="HJ39" i="4"/>
  <c r="HJ40" i="4"/>
  <c r="HJ41" i="4"/>
  <c r="HJ42" i="4"/>
  <c r="HJ43" i="4"/>
  <c r="HJ44" i="4"/>
  <c r="HJ45" i="4"/>
  <c r="HJ46" i="4"/>
  <c r="HJ47" i="4"/>
  <c r="HJ48" i="4"/>
  <c r="HJ49" i="4"/>
  <c r="HJ50" i="4"/>
  <c r="HJ51" i="4"/>
  <c r="HJ52" i="4"/>
  <c r="HJ53" i="4"/>
  <c r="HJ54" i="4"/>
  <c r="HJ55" i="4"/>
  <c r="HJ56" i="4"/>
  <c r="HJ57" i="4"/>
  <c r="HJ58" i="4"/>
  <c r="HJ59" i="4"/>
  <c r="HJ60" i="4"/>
  <c r="HJ61" i="4"/>
  <c r="HJ62" i="4"/>
  <c r="HJ63" i="4"/>
  <c r="HJ64" i="4"/>
  <c r="HJ65" i="4"/>
  <c r="HJ66" i="4"/>
  <c r="HJ67" i="4"/>
  <c r="HJ68" i="4"/>
  <c r="HJ69" i="4"/>
  <c r="HJ70" i="4"/>
  <c r="HJ71" i="4"/>
  <c r="HJ72" i="4"/>
  <c r="HJ73" i="4"/>
  <c r="HJ74" i="4"/>
  <c r="HJ75" i="4"/>
  <c r="HJ76" i="4"/>
  <c r="HJ77" i="4"/>
  <c r="HJ78" i="4"/>
  <c r="HJ79" i="4"/>
  <c r="HJ80" i="4"/>
  <c r="HJ81" i="4"/>
  <c r="HJ82" i="4"/>
  <c r="HJ83" i="4"/>
  <c r="HJ84" i="4"/>
  <c r="HJ85" i="4"/>
  <c r="HJ86" i="4"/>
  <c r="HJ87" i="4"/>
  <c r="HJ88" i="4"/>
  <c r="HJ89" i="4"/>
  <c r="HJ90" i="4"/>
  <c r="HJ91" i="4"/>
  <c r="HJ92" i="4"/>
  <c r="HJ93" i="4"/>
  <c r="HJ94" i="4"/>
  <c r="HJ95" i="4"/>
  <c r="HJ96" i="4"/>
  <c r="HJ97" i="4"/>
  <c r="HJ98" i="4"/>
  <c r="HJ99" i="4"/>
  <c r="HJ100" i="4"/>
  <c r="HJ101" i="4"/>
  <c r="HJ102" i="4"/>
  <c r="HJ103" i="4"/>
  <c r="HJ104" i="4"/>
  <c r="HJ105" i="4"/>
  <c r="HJ106" i="4"/>
  <c r="HJ107" i="4"/>
  <c r="HJ108" i="4"/>
  <c r="HJ109" i="4"/>
  <c r="HJ110" i="4"/>
  <c r="HJ111" i="4"/>
  <c r="HJ112" i="4"/>
  <c r="HJ113" i="4"/>
  <c r="HJ114" i="4"/>
  <c r="HJ115" i="4"/>
  <c r="HJ116" i="4"/>
  <c r="HJ117" i="4"/>
  <c r="HJ118" i="4"/>
  <c r="HJ119" i="4"/>
  <c r="HJ120" i="4"/>
  <c r="HJ121" i="4"/>
  <c r="HJ122" i="4"/>
  <c r="HJ123" i="4"/>
  <c r="HJ124" i="4"/>
  <c r="HJ125" i="4"/>
  <c r="HJ126" i="4"/>
  <c r="HJ127" i="4"/>
  <c r="HJ128" i="4"/>
  <c r="HJ129" i="4"/>
  <c r="HJ130" i="4"/>
  <c r="HJ131" i="4"/>
  <c r="HJ132" i="4"/>
  <c r="HJ133" i="4"/>
  <c r="HJ134" i="4"/>
  <c r="HJ135" i="4"/>
  <c r="HJ136" i="4"/>
  <c r="HJ137" i="4"/>
  <c r="HJ138" i="4"/>
  <c r="HJ139" i="4"/>
  <c r="HJ140" i="4"/>
  <c r="HJ141" i="4"/>
  <c r="HJ142" i="4"/>
  <c r="HJ143" i="4"/>
  <c r="HJ144" i="4"/>
  <c r="HJ145" i="4"/>
  <c r="HJ146" i="4"/>
  <c r="HJ147" i="4"/>
  <c r="HJ148" i="4"/>
  <c r="HJ149" i="4"/>
  <c r="HJ150" i="4"/>
  <c r="HJ151" i="4"/>
  <c r="HJ152" i="4"/>
  <c r="HJ153" i="4"/>
  <c r="HJ154" i="4"/>
  <c r="HJ155" i="4"/>
  <c r="HJ156" i="4"/>
  <c r="HJ157" i="4"/>
  <c r="HJ158" i="4"/>
  <c r="HJ159" i="4"/>
  <c r="HJ160" i="4"/>
  <c r="HJ161" i="4"/>
  <c r="HJ162" i="4"/>
  <c r="HJ163" i="4"/>
  <c r="HJ164" i="4"/>
  <c r="HJ165" i="4"/>
  <c r="HJ166" i="4"/>
  <c r="HJ167" i="4"/>
  <c r="HJ168" i="4"/>
  <c r="HJ169" i="4"/>
  <c r="HJ170" i="4"/>
  <c r="HJ171" i="4"/>
  <c r="HJ172" i="4"/>
  <c r="HJ173" i="4"/>
  <c r="HJ174" i="4"/>
  <c r="HJ175" i="4"/>
  <c r="HI2" i="4"/>
  <c r="HI3" i="4"/>
  <c r="HI4" i="4"/>
  <c r="HI5" i="4"/>
  <c r="HI6" i="4"/>
  <c r="HI7" i="4"/>
  <c r="HI8" i="4"/>
  <c r="HI9" i="4"/>
  <c r="HI10" i="4"/>
  <c r="HI11" i="4"/>
  <c r="HI12" i="4"/>
  <c r="HI13" i="4"/>
  <c r="HI14" i="4"/>
  <c r="HI15" i="4"/>
  <c r="HI16" i="4"/>
  <c r="HI17" i="4"/>
  <c r="HI18" i="4"/>
  <c r="HI19" i="4"/>
  <c r="HI20" i="4"/>
  <c r="HI21" i="4"/>
  <c r="HI22" i="4"/>
  <c r="HI23" i="4"/>
  <c r="HI24" i="4"/>
  <c r="HI25" i="4"/>
  <c r="HI26" i="4"/>
  <c r="HI27" i="4"/>
  <c r="HI28" i="4"/>
  <c r="HI29" i="4"/>
  <c r="HI30" i="4"/>
  <c r="HI31" i="4"/>
  <c r="HI32" i="4"/>
  <c r="HI33" i="4"/>
  <c r="HI34" i="4"/>
  <c r="HI35" i="4"/>
  <c r="HI36" i="4"/>
  <c r="HI37" i="4"/>
  <c r="HI38" i="4"/>
  <c r="HI39" i="4"/>
  <c r="HI40" i="4"/>
  <c r="HI41" i="4"/>
  <c r="HI42" i="4"/>
  <c r="HI43" i="4"/>
  <c r="HI44" i="4"/>
  <c r="HI45" i="4"/>
  <c r="HI46" i="4"/>
  <c r="HI47" i="4"/>
  <c r="HI48" i="4"/>
  <c r="HI49" i="4"/>
  <c r="HI50" i="4"/>
  <c r="HI51" i="4"/>
  <c r="HI52" i="4"/>
  <c r="HI53" i="4"/>
  <c r="HI54" i="4"/>
  <c r="HI55" i="4"/>
  <c r="HI56" i="4"/>
  <c r="HI57" i="4"/>
  <c r="HI58" i="4"/>
  <c r="HI59" i="4"/>
  <c r="HI60" i="4"/>
  <c r="HI61" i="4"/>
  <c r="HI62" i="4"/>
  <c r="HI63" i="4"/>
  <c r="HI64" i="4"/>
  <c r="HI65" i="4"/>
  <c r="HI66" i="4"/>
  <c r="HI67" i="4"/>
  <c r="HI68" i="4"/>
  <c r="HI69" i="4"/>
  <c r="HI70" i="4"/>
  <c r="HI71" i="4"/>
  <c r="HI72" i="4"/>
  <c r="HI73" i="4"/>
  <c r="HI74" i="4"/>
  <c r="HI75" i="4"/>
  <c r="HI76" i="4"/>
  <c r="HI77" i="4"/>
  <c r="HI78" i="4"/>
  <c r="HI79" i="4"/>
  <c r="HI80" i="4"/>
  <c r="HI81" i="4"/>
  <c r="HI82" i="4"/>
  <c r="HI83" i="4"/>
  <c r="HI84" i="4"/>
  <c r="HI85" i="4"/>
  <c r="HI86" i="4"/>
  <c r="HI87" i="4"/>
  <c r="HI88" i="4"/>
  <c r="HI89" i="4"/>
  <c r="HI90" i="4"/>
  <c r="HI91" i="4"/>
  <c r="HI92" i="4"/>
  <c r="HI93" i="4"/>
  <c r="HI94" i="4"/>
  <c r="HI95" i="4"/>
  <c r="HI96" i="4"/>
  <c r="HI97" i="4"/>
  <c r="HI98" i="4"/>
  <c r="HI99" i="4"/>
  <c r="HI100" i="4"/>
  <c r="HI101" i="4"/>
  <c r="HI102" i="4"/>
  <c r="HI103" i="4"/>
  <c r="HI104" i="4"/>
  <c r="HI105" i="4"/>
  <c r="HI106" i="4"/>
  <c r="HI107" i="4"/>
  <c r="HI108" i="4"/>
  <c r="HI109" i="4"/>
  <c r="HI110" i="4"/>
  <c r="HI111" i="4"/>
  <c r="HI112" i="4"/>
  <c r="HI113" i="4"/>
  <c r="HI114" i="4"/>
  <c r="HI115" i="4"/>
  <c r="HI116" i="4"/>
  <c r="HI117" i="4"/>
  <c r="HI118" i="4"/>
  <c r="HI119" i="4"/>
  <c r="HI120" i="4"/>
  <c r="HI121" i="4"/>
  <c r="HI122" i="4"/>
  <c r="HI123" i="4"/>
  <c r="HI124" i="4"/>
  <c r="HI125" i="4"/>
  <c r="HI126" i="4"/>
  <c r="HI127" i="4"/>
  <c r="HI128" i="4"/>
  <c r="HI129" i="4"/>
  <c r="HI130" i="4"/>
  <c r="HI131" i="4"/>
  <c r="HI132" i="4"/>
  <c r="HI133" i="4"/>
  <c r="HI134" i="4"/>
  <c r="HI135" i="4"/>
  <c r="HI136" i="4"/>
  <c r="HI137" i="4"/>
  <c r="HI138" i="4"/>
  <c r="HI139" i="4"/>
  <c r="HI140" i="4"/>
  <c r="HI141" i="4"/>
  <c r="HI142" i="4"/>
  <c r="HI143" i="4"/>
  <c r="HI144" i="4"/>
  <c r="HI145" i="4"/>
  <c r="HI146" i="4"/>
  <c r="HI147" i="4"/>
  <c r="HI148" i="4"/>
  <c r="HI149" i="4"/>
  <c r="HI150" i="4"/>
  <c r="HI151" i="4"/>
  <c r="HI152" i="4"/>
  <c r="HI153" i="4"/>
  <c r="HI154" i="4"/>
  <c r="HI155" i="4"/>
  <c r="HI156" i="4"/>
  <c r="HI157" i="4"/>
  <c r="HI158" i="4"/>
  <c r="HI159" i="4"/>
  <c r="HI160" i="4"/>
  <c r="HI161" i="4"/>
  <c r="HI162" i="4"/>
  <c r="HI163" i="4"/>
  <c r="HI164" i="4"/>
  <c r="HI165" i="4"/>
  <c r="HI166" i="4"/>
  <c r="HI167" i="4"/>
  <c r="HI168" i="4"/>
  <c r="HI169" i="4"/>
  <c r="HI170" i="4"/>
  <c r="HI171" i="4"/>
  <c r="HI172" i="4"/>
  <c r="HI173" i="4"/>
  <c r="HI174" i="4"/>
  <c r="HI175" i="4"/>
  <c r="HH2" i="4"/>
  <c r="HH3" i="4"/>
  <c r="HH4" i="4"/>
  <c r="HH5" i="4"/>
  <c r="HH6" i="4"/>
  <c r="HH7" i="4"/>
  <c r="HH8" i="4"/>
  <c r="HH9" i="4"/>
  <c r="HH10" i="4"/>
  <c r="HH11" i="4"/>
  <c r="HH12" i="4"/>
  <c r="HH13" i="4"/>
  <c r="HH14" i="4"/>
  <c r="HH15" i="4"/>
  <c r="HH16" i="4"/>
  <c r="HH17" i="4"/>
  <c r="HH18" i="4"/>
  <c r="HH19" i="4"/>
  <c r="HH20" i="4"/>
  <c r="HH21" i="4"/>
  <c r="HH22" i="4"/>
  <c r="HH23" i="4"/>
  <c r="HH24" i="4"/>
  <c r="HH25" i="4"/>
  <c r="HH26" i="4"/>
  <c r="HH27" i="4"/>
  <c r="HH28" i="4"/>
  <c r="HH29" i="4"/>
  <c r="HH30" i="4"/>
  <c r="HH31" i="4"/>
  <c r="HH32" i="4"/>
  <c r="HH33" i="4"/>
  <c r="HH34" i="4"/>
  <c r="HH35" i="4"/>
  <c r="HH36" i="4"/>
  <c r="HH37" i="4"/>
  <c r="HH38" i="4"/>
  <c r="HH39" i="4"/>
  <c r="HH40" i="4"/>
  <c r="HH41" i="4"/>
  <c r="HH42" i="4"/>
  <c r="HH43" i="4"/>
  <c r="HH44" i="4"/>
  <c r="HH45" i="4"/>
  <c r="HH46" i="4"/>
  <c r="HH47" i="4"/>
  <c r="HH48" i="4"/>
  <c r="HH49" i="4"/>
  <c r="HH50" i="4"/>
  <c r="HH51" i="4"/>
  <c r="HH52" i="4"/>
  <c r="HH53" i="4"/>
  <c r="HH54" i="4"/>
  <c r="HH55" i="4"/>
  <c r="HH56" i="4"/>
  <c r="HH57" i="4"/>
  <c r="HH58" i="4"/>
  <c r="HH59" i="4"/>
  <c r="HH60" i="4"/>
  <c r="HH61" i="4"/>
  <c r="HH62" i="4"/>
  <c r="HH63" i="4"/>
  <c r="HH64" i="4"/>
  <c r="HH65" i="4"/>
  <c r="HH66" i="4"/>
  <c r="HH67" i="4"/>
  <c r="HH68" i="4"/>
  <c r="HH69" i="4"/>
  <c r="HH70" i="4"/>
  <c r="HH71" i="4"/>
  <c r="HH72" i="4"/>
  <c r="HH73" i="4"/>
  <c r="HH74" i="4"/>
  <c r="HH75" i="4"/>
  <c r="HH76" i="4"/>
  <c r="HH77" i="4"/>
  <c r="HH78" i="4"/>
  <c r="HH79" i="4"/>
  <c r="HH80" i="4"/>
  <c r="HH81" i="4"/>
  <c r="HH82" i="4"/>
  <c r="HH83" i="4"/>
  <c r="HH84" i="4"/>
  <c r="HH85" i="4"/>
  <c r="HH86" i="4"/>
  <c r="HH87" i="4"/>
  <c r="HH88" i="4"/>
  <c r="HH89" i="4"/>
  <c r="HH90" i="4"/>
  <c r="HH91" i="4"/>
  <c r="HH92" i="4"/>
  <c r="HH93" i="4"/>
  <c r="HH94" i="4"/>
  <c r="HH95" i="4"/>
  <c r="HH96" i="4"/>
  <c r="HH97" i="4"/>
  <c r="HH98" i="4"/>
  <c r="HH99" i="4"/>
  <c r="HH100" i="4"/>
  <c r="HH101" i="4"/>
  <c r="HH102" i="4"/>
  <c r="HH103" i="4"/>
  <c r="HH104" i="4"/>
  <c r="HH105" i="4"/>
  <c r="HH106" i="4"/>
  <c r="HH107" i="4"/>
  <c r="HH108" i="4"/>
  <c r="HH109" i="4"/>
  <c r="HH110" i="4"/>
  <c r="HH111" i="4"/>
  <c r="HH112" i="4"/>
  <c r="HH113" i="4"/>
  <c r="HH114" i="4"/>
  <c r="HH115" i="4"/>
  <c r="HH116" i="4"/>
  <c r="HH117" i="4"/>
  <c r="HH118" i="4"/>
  <c r="HH119" i="4"/>
  <c r="HH120" i="4"/>
  <c r="HH121" i="4"/>
  <c r="HH122" i="4"/>
  <c r="HH123" i="4"/>
  <c r="HH124" i="4"/>
  <c r="HH125" i="4"/>
  <c r="HH126" i="4"/>
  <c r="HH127" i="4"/>
  <c r="HH128" i="4"/>
  <c r="HH129" i="4"/>
  <c r="HH130" i="4"/>
  <c r="HH131" i="4"/>
  <c r="HH132" i="4"/>
  <c r="HH133" i="4"/>
  <c r="HH134" i="4"/>
  <c r="HH135" i="4"/>
  <c r="HH136" i="4"/>
  <c r="HH137" i="4"/>
  <c r="HH138" i="4"/>
  <c r="HH139" i="4"/>
  <c r="HH140" i="4"/>
  <c r="HH141" i="4"/>
  <c r="HH142" i="4"/>
  <c r="HH143" i="4"/>
  <c r="HH144" i="4"/>
  <c r="HH145" i="4"/>
  <c r="HH146" i="4"/>
  <c r="HH147" i="4"/>
  <c r="HH148" i="4"/>
  <c r="HH149" i="4"/>
  <c r="HH150" i="4"/>
  <c r="HH151" i="4"/>
  <c r="HH152" i="4"/>
  <c r="HH153" i="4"/>
  <c r="HH154" i="4"/>
  <c r="HH155" i="4"/>
  <c r="HH156" i="4"/>
  <c r="HH157" i="4"/>
  <c r="HH158" i="4"/>
  <c r="HH159" i="4"/>
  <c r="HH160" i="4"/>
  <c r="HH161" i="4"/>
  <c r="HH162" i="4"/>
  <c r="HH163" i="4"/>
  <c r="HH164" i="4"/>
  <c r="HH165" i="4"/>
  <c r="HH166" i="4"/>
  <c r="HH167" i="4"/>
  <c r="HH168" i="4"/>
  <c r="HH169" i="4"/>
  <c r="HH170" i="4"/>
  <c r="HH171" i="4"/>
  <c r="HH172" i="4"/>
  <c r="HH173" i="4"/>
  <c r="HH174" i="4"/>
  <c r="HH175" i="4"/>
  <c r="HG2" i="4"/>
  <c r="HG3" i="4"/>
  <c r="HG4" i="4"/>
  <c r="HG5" i="4"/>
  <c r="HG6" i="4"/>
  <c r="HG7" i="4"/>
  <c r="HG8" i="4"/>
  <c r="HG9" i="4"/>
  <c r="HG10" i="4"/>
  <c r="HG11" i="4"/>
  <c r="HG12" i="4"/>
  <c r="HG13" i="4"/>
  <c r="HG14" i="4"/>
  <c r="HG15" i="4"/>
  <c r="HG16" i="4"/>
  <c r="HG17" i="4"/>
  <c r="HG18" i="4"/>
  <c r="HG19" i="4"/>
  <c r="HG20" i="4"/>
  <c r="HG21" i="4"/>
  <c r="HG22" i="4"/>
  <c r="HG23" i="4"/>
  <c r="HG24" i="4"/>
  <c r="HG25" i="4"/>
  <c r="HG26" i="4"/>
  <c r="HG27" i="4"/>
  <c r="HG28" i="4"/>
  <c r="HG29" i="4"/>
  <c r="HG30" i="4"/>
  <c r="HG31" i="4"/>
  <c r="HG32" i="4"/>
  <c r="HG33" i="4"/>
  <c r="HG34" i="4"/>
  <c r="HG35" i="4"/>
  <c r="HG36" i="4"/>
  <c r="HG37" i="4"/>
  <c r="HG38" i="4"/>
  <c r="HG39" i="4"/>
  <c r="HG40" i="4"/>
  <c r="HG41" i="4"/>
  <c r="HG42" i="4"/>
  <c r="HG43" i="4"/>
  <c r="HG44" i="4"/>
  <c r="HG45" i="4"/>
  <c r="HG46" i="4"/>
  <c r="HG47" i="4"/>
  <c r="HG48" i="4"/>
  <c r="HG49" i="4"/>
  <c r="HG50" i="4"/>
  <c r="HG51" i="4"/>
  <c r="HG52" i="4"/>
  <c r="HG53" i="4"/>
  <c r="HG54" i="4"/>
  <c r="HG55" i="4"/>
  <c r="HG56" i="4"/>
  <c r="HG57" i="4"/>
  <c r="HG58" i="4"/>
  <c r="HG59" i="4"/>
  <c r="HG60" i="4"/>
  <c r="HG61" i="4"/>
  <c r="HG62" i="4"/>
  <c r="HG63" i="4"/>
  <c r="HG64" i="4"/>
  <c r="HG65" i="4"/>
  <c r="HG66" i="4"/>
  <c r="HG67" i="4"/>
  <c r="HG68" i="4"/>
  <c r="HG69" i="4"/>
  <c r="HG70" i="4"/>
  <c r="HG71" i="4"/>
  <c r="HG72" i="4"/>
  <c r="HG73" i="4"/>
  <c r="HG74" i="4"/>
  <c r="HG75" i="4"/>
  <c r="HG76" i="4"/>
  <c r="HG77" i="4"/>
  <c r="HG78" i="4"/>
  <c r="HG79" i="4"/>
  <c r="HG80" i="4"/>
  <c r="HG81" i="4"/>
  <c r="HG82" i="4"/>
  <c r="HG83" i="4"/>
  <c r="HG84" i="4"/>
  <c r="HG85" i="4"/>
  <c r="HG86" i="4"/>
  <c r="HG87" i="4"/>
  <c r="HG88" i="4"/>
  <c r="HG89" i="4"/>
  <c r="HG90" i="4"/>
  <c r="HG91" i="4"/>
  <c r="HG92" i="4"/>
  <c r="HG93" i="4"/>
  <c r="HG94" i="4"/>
  <c r="HG95" i="4"/>
  <c r="HG96" i="4"/>
  <c r="HG97" i="4"/>
  <c r="HG98" i="4"/>
  <c r="HG99" i="4"/>
  <c r="HG100" i="4"/>
  <c r="HG101" i="4"/>
  <c r="HG102" i="4"/>
  <c r="HG103" i="4"/>
  <c r="HG104" i="4"/>
  <c r="HG105" i="4"/>
  <c r="HG106" i="4"/>
  <c r="HG107" i="4"/>
  <c r="HG108" i="4"/>
  <c r="HG109" i="4"/>
  <c r="HG110" i="4"/>
  <c r="HG111" i="4"/>
  <c r="HG112" i="4"/>
  <c r="HG113" i="4"/>
  <c r="HG114" i="4"/>
  <c r="HG115" i="4"/>
  <c r="HG116" i="4"/>
  <c r="HG117" i="4"/>
  <c r="HG118" i="4"/>
  <c r="HG119" i="4"/>
  <c r="HG120" i="4"/>
  <c r="HG121" i="4"/>
  <c r="HG122" i="4"/>
  <c r="HG123" i="4"/>
  <c r="HG124" i="4"/>
  <c r="HG125" i="4"/>
  <c r="HG126" i="4"/>
  <c r="HG127" i="4"/>
  <c r="HG128" i="4"/>
  <c r="HG129" i="4"/>
  <c r="HG130" i="4"/>
  <c r="HG131" i="4"/>
  <c r="HG132" i="4"/>
  <c r="HG133" i="4"/>
  <c r="HG134" i="4"/>
  <c r="HG135" i="4"/>
  <c r="HG136" i="4"/>
  <c r="HG137" i="4"/>
  <c r="HG138" i="4"/>
  <c r="HG139" i="4"/>
  <c r="HG140" i="4"/>
  <c r="HG141" i="4"/>
  <c r="HG142" i="4"/>
  <c r="HG143" i="4"/>
  <c r="HG144" i="4"/>
  <c r="HG145" i="4"/>
  <c r="HG146" i="4"/>
  <c r="HG147" i="4"/>
  <c r="HG148" i="4"/>
  <c r="HG149" i="4"/>
  <c r="HG150" i="4"/>
  <c r="HG151" i="4"/>
  <c r="HG152" i="4"/>
  <c r="HG153" i="4"/>
  <c r="HG154" i="4"/>
  <c r="HG155" i="4"/>
  <c r="HG156" i="4"/>
  <c r="HG157" i="4"/>
  <c r="HG158" i="4"/>
  <c r="HG159" i="4"/>
  <c r="HG160" i="4"/>
  <c r="HG161" i="4"/>
  <c r="HG162" i="4"/>
  <c r="HG163" i="4"/>
  <c r="HG164" i="4"/>
  <c r="HG165" i="4"/>
  <c r="HG166" i="4"/>
  <c r="HG167" i="4"/>
  <c r="HG168" i="4"/>
  <c r="HG169" i="4"/>
  <c r="HG170" i="4"/>
  <c r="HG171" i="4"/>
  <c r="HG172" i="4"/>
  <c r="HG173" i="4"/>
  <c r="HG174" i="4"/>
  <c r="HG175" i="4"/>
  <c r="HF2" i="4"/>
  <c r="HF3" i="4"/>
  <c r="HF4" i="4"/>
  <c r="HF5" i="4"/>
  <c r="HF6" i="4"/>
  <c r="HF7" i="4"/>
  <c r="HF8" i="4"/>
  <c r="HF9" i="4"/>
  <c r="HF10" i="4"/>
  <c r="HF11" i="4"/>
  <c r="HF12" i="4"/>
  <c r="HF13" i="4"/>
  <c r="HF14" i="4"/>
  <c r="HF15" i="4"/>
  <c r="HF16" i="4"/>
  <c r="HF17" i="4"/>
  <c r="HF18" i="4"/>
  <c r="HF19" i="4"/>
  <c r="HF20" i="4"/>
  <c r="HF21" i="4"/>
  <c r="HF22" i="4"/>
  <c r="HF23" i="4"/>
  <c r="HF24" i="4"/>
  <c r="HF25" i="4"/>
  <c r="HF26" i="4"/>
  <c r="HF27" i="4"/>
  <c r="HF28" i="4"/>
  <c r="HF29" i="4"/>
  <c r="HF30" i="4"/>
  <c r="HF31" i="4"/>
  <c r="HF32" i="4"/>
  <c r="HF33" i="4"/>
  <c r="HF34" i="4"/>
  <c r="HF35" i="4"/>
  <c r="HF36" i="4"/>
  <c r="HF37" i="4"/>
  <c r="HF38" i="4"/>
  <c r="HF39" i="4"/>
  <c r="HF40" i="4"/>
  <c r="HF41" i="4"/>
  <c r="HF42" i="4"/>
  <c r="HF43" i="4"/>
  <c r="HF44" i="4"/>
  <c r="HF45" i="4"/>
  <c r="HF46" i="4"/>
  <c r="HF47" i="4"/>
  <c r="HF48" i="4"/>
  <c r="HF49" i="4"/>
  <c r="HF50" i="4"/>
  <c r="HF51" i="4"/>
  <c r="HF52" i="4"/>
  <c r="HF53" i="4"/>
  <c r="HF54" i="4"/>
  <c r="HF55" i="4"/>
  <c r="HF56" i="4"/>
  <c r="HF57" i="4"/>
  <c r="HF58" i="4"/>
  <c r="HF59" i="4"/>
  <c r="HF60" i="4"/>
  <c r="HF61" i="4"/>
  <c r="HF62" i="4"/>
  <c r="HF63" i="4"/>
  <c r="HF64" i="4"/>
  <c r="HF65" i="4"/>
  <c r="HF66" i="4"/>
  <c r="HF67" i="4"/>
  <c r="HF68" i="4"/>
  <c r="HF69" i="4"/>
  <c r="HF70" i="4"/>
  <c r="HF71" i="4"/>
  <c r="HF72" i="4"/>
  <c r="HF73" i="4"/>
  <c r="HF74" i="4"/>
  <c r="HF75" i="4"/>
  <c r="HF76" i="4"/>
  <c r="HF77" i="4"/>
  <c r="HF78" i="4"/>
  <c r="HF79" i="4"/>
  <c r="HF80" i="4"/>
  <c r="HF81" i="4"/>
  <c r="HF82" i="4"/>
  <c r="HF83" i="4"/>
  <c r="HF84" i="4"/>
  <c r="HF85" i="4"/>
  <c r="HF86" i="4"/>
  <c r="HF87" i="4"/>
  <c r="HF88" i="4"/>
  <c r="HF89" i="4"/>
  <c r="HF90" i="4"/>
  <c r="HF91" i="4"/>
  <c r="HF92" i="4"/>
  <c r="HF93" i="4"/>
  <c r="HF94" i="4"/>
  <c r="HF95" i="4"/>
  <c r="HF96" i="4"/>
  <c r="HF97" i="4"/>
  <c r="HF98" i="4"/>
  <c r="HF99" i="4"/>
  <c r="HF100" i="4"/>
  <c r="HF101" i="4"/>
  <c r="HF102" i="4"/>
  <c r="HF103" i="4"/>
  <c r="HF104" i="4"/>
  <c r="HF105" i="4"/>
  <c r="HF106" i="4"/>
  <c r="HF107" i="4"/>
  <c r="HF108" i="4"/>
  <c r="HF109" i="4"/>
  <c r="HF110" i="4"/>
  <c r="HF111" i="4"/>
  <c r="HF112" i="4"/>
  <c r="HF113" i="4"/>
  <c r="HF114" i="4"/>
  <c r="HF115" i="4"/>
  <c r="HF116" i="4"/>
  <c r="HF117" i="4"/>
  <c r="HF118" i="4"/>
  <c r="HF119" i="4"/>
  <c r="HF120" i="4"/>
  <c r="HF121" i="4"/>
  <c r="HF122" i="4"/>
  <c r="HF123" i="4"/>
  <c r="HF124" i="4"/>
  <c r="HF125" i="4"/>
  <c r="HF126" i="4"/>
  <c r="HF127" i="4"/>
  <c r="HF128" i="4"/>
  <c r="HF129" i="4"/>
  <c r="HF130" i="4"/>
  <c r="HF131" i="4"/>
  <c r="HF132" i="4"/>
  <c r="HF133" i="4"/>
  <c r="HF134" i="4"/>
  <c r="HF135" i="4"/>
  <c r="HF136" i="4"/>
  <c r="HF137" i="4"/>
  <c r="HF138" i="4"/>
  <c r="HF139" i="4"/>
  <c r="HF140" i="4"/>
  <c r="HF141" i="4"/>
  <c r="HF142" i="4"/>
  <c r="HF143" i="4"/>
  <c r="HF144" i="4"/>
  <c r="HF145" i="4"/>
  <c r="HF146" i="4"/>
  <c r="HF147" i="4"/>
  <c r="HF148" i="4"/>
  <c r="HF149" i="4"/>
  <c r="HF150" i="4"/>
  <c r="HF151" i="4"/>
  <c r="HF152" i="4"/>
  <c r="HF153" i="4"/>
  <c r="HF154" i="4"/>
  <c r="HF155" i="4"/>
  <c r="HF156" i="4"/>
  <c r="HF157" i="4"/>
  <c r="HF158" i="4"/>
  <c r="HF159" i="4"/>
  <c r="HF160" i="4"/>
  <c r="HF161" i="4"/>
  <c r="HF162" i="4"/>
  <c r="HF163" i="4"/>
  <c r="HF164" i="4"/>
  <c r="HF165" i="4"/>
  <c r="HF166" i="4"/>
  <c r="HF167" i="4"/>
  <c r="HF168" i="4"/>
  <c r="HF169" i="4"/>
  <c r="HF170" i="4"/>
  <c r="HF171" i="4"/>
  <c r="HF172" i="4"/>
  <c r="HF173" i="4"/>
  <c r="HF174" i="4"/>
  <c r="HF175" i="4"/>
  <c r="HE2" i="4"/>
  <c r="HE3" i="4"/>
  <c r="HE4" i="4"/>
  <c r="HE5" i="4"/>
  <c r="HE6" i="4"/>
  <c r="HE7" i="4"/>
  <c r="HE8" i="4"/>
  <c r="HE9" i="4"/>
  <c r="HE10" i="4"/>
  <c r="HE11" i="4"/>
  <c r="HE12" i="4"/>
  <c r="HE13" i="4"/>
  <c r="HE14" i="4"/>
  <c r="HE15" i="4"/>
  <c r="HE16" i="4"/>
  <c r="HE17" i="4"/>
  <c r="HE18" i="4"/>
  <c r="HE19" i="4"/>
  <c r="HE20" i="4"/>
  <c r="HE21" i="4"/>
  <c r="HE22" i="4"/>
  <c r="HE23" i="4"/>
  <c r="HE24" i="4"/>
  <c r="HE25" i="4"/>
  <c r="HE26" i="4"/>
  <c r="HE27" i="4"/>
  <c r="HE28" i="4"/>
  <c r="HE29" i="4"/>
  <c r="HE30" i="4"/>
  <c r="HE31" i="4"/>
  <c r="HE32" i="4"/>
  <c r="HE33" i="4"/>
  <c r="HE34" i="4"/>
  <c r="HE35" i="4"/>
  <c r="HE36" i="4"/>
  <c r="HE37" i="4"/>
  <c r="HE38" i="4"/>
  <c r="HE39" i="4"/>
  <c r="HE40" i="4"/>
  <c r="HE41" i="4"/>
  <c r="HE42" i="4"/>
  <c r="HE43" i="4"/>
  <c r="HE44" i="4"/>
  <c r="HE45" i="4"/>
  <c r="HE46" i="4"/>
  <c r="HE47" i="4"/>
  <c r="HE48" i="4"/>
  <c r="HE49" i="4"/>
  <c r="HE50" i="4"/>
  <c r="HE51" i="4"/>
  <c r="HE52" i="4"/>
  <c r="HE53" i="4"/>
  <c r="HE54" i="4"/>
  <c r="HE55" i="4"/>
  <c r="HE56" i="4"/>
  <c r="HE57" i="4"/>
  <c r="HE58" i="4"/>
  <c r="HE59" i="4"/>
  <c r="HE60" i="4"/>
  <c r="HE61" i="4"/>
  <c r="HE62" i="4"/>
  <c r="HE63" i="4"/>
  <c r="HE64" i="4"/>
  <c r="HE65" i="4"/>
  <c r="HE66" i="4"/>
  <c r="HE67" i="4"/>
  <c r="HE68" i="4"/>
  <c r="HE69" i="4"/>
  <c r="HE70" i="4"/>
  <c r="HE71" i="4"/>
  <c r="HE72" i="4"/>
  <c r="HE73" i="4"/>
  <c r="HE74" i="4"/>
  <c r="HE75" i="4"/>
  <c r="HE76" i="4"/>
  <c r="HE77" i="4"/>
  <c r="HE78" i="4"/>
  <c r="HE79" i="4"/>
  <c r="HE80" i="4"/>
  <c r="HE81" i="4"/>
  <c r="HE82" i="4"/>
  <c r="HE83" i="4"/>
  <c r="HE84" i="4"/>
  <c r="HE85" i="4"/>
  <c r="HE86" i="4"/>
  <c r="HE87" i="4"/>
  <c r="HE88" i="4"/>
  <c r="HE89" i="4"/>
  <c r="HE90" i="4"/>
  <c r="HE91" i="4"/>
  <c r="HE92" i="4"/>
  <c r="HE93" i="4"/>
  <c r="HE94" i="4"/>
  <c r="HE95" i="4"/>
  <c r="HE96" i="4"/>
  <c r="HE97" i="4"/>
  <c r="HE98" i="4"/>
  <c r="HE99" i="4"/>
  <c r="HE100" i="4"/>
  <c r="HE101" i="4"/>
  <c r="HE102" i="4"/>
  <c r="HE103" i="4"/>
  <c r="HE104" i="4"/>
  <c r="HE105" i="4"/>
  <c r="HE106" i="4"/>
  <c r="HE107" i="4"/>
  <c r="HE108" i="4"/>
  <c r="HE109" i="4"/>
  <c r="HE110" i="4"/>
  <c r="HE111" i="4"/>
  <c r="HE112" i="4"/>
  <c r="HE113" i="4"/>
  <c r="HE114" i="4"/>
  <c r="HE115" i="4"/>
  <c r="HE116" i="4"/>
  <c r="HE117" i="4"/>
  <c r="HE118" i="4"/>
  <c r="HE119" i="4"/>
  <c r="HE120" i="4"/>
  <c r="HE121" i="4"/>
  <c r="HE122" i="4"/>
  <c r="HE123" i="4"/>
  <c r="HE124" i="4"/>
  <c r="HE125" i="4"/>
  <c r="HE126" i="4"/>
  <c r="HE127" i="4"/>
  <c r="HE128" i="4"/>
  <c r="HE129" i="4"/>
  <c r="HE130" i="4"/>
  <c r="HE131" i="4"/>
  <c r="HE132" i="4"/>
  <c r="HE133" i="4"/>
  <c r="HE134" i="4"/>
  <c r="HE135" i="4"/>
  <c r="HE136" i="4"/>
  <c r="HE137" i="4"/>
  <c r="HE138" i="4"/>
  <c r="HE139" i="4"/>
  <c r="HE140" i="4"/>
  <c r="HE141" i="4"/>
  <c r="HE142" i="4"/>
  <c r="HE143" i="4"/>
  <c r="HE144" i="4"/>
  <c r="HE145" i="4"/>
  <c r="HE146" i="4"/>
  <c r="HE147" i="4"/>
  <c r="HE148" i="4"/>
  <c r="HE149" i="4"/>
  <c r="HE150" i="4"/>
  <c r="HE151" i="4"/>
  <c r="HE152" i="4"/>
  <c r="HE153" i="4"/>
  <c r="HE154" i="4"/>
  <c r="HE155" i="4"/>
  <c r="HE156" i="4"/>
  <c r="HE157" i="4"/>
  <c r="HE158" i="4"/>
  <c r="HE159" i="4"/>
  <c r="HE160" i="4"/>
  <c r="HE161" i="4"/>
  <c r="HE162" i="4"/>
  <c r="HE163" i="4"/>
  <c r="HE164" i="4"/>
  <c r="HE165" i="4"/>
  <c r="HE166" i="4"/>
  <c r="HE167" i="4"/>
  <c r="HE168" i="4"/>
  <c r="HE169" i="4"/>
  <c r="HE170" i="4"/>
  <c r="HE171" i="4"/>
  <c r="HE172" i="4"/>
  <c r="HE173" i="4"/>
  <c r="HE174" i="4"/>
  <c r="HE175" i="4"/>
  <c r="HD2" i="4"/>
  <c r="HD3" i="4"/>
  <c r="HD4" i="4"/>
  <c r="HD5" i="4"/>
  <c r="HD6" i="4"/>
  <c r="HD7" i="4"/>
  <c r="HD8" i="4"/>
  <c r="HD9" i="4"/>
  <c r="HD10" i="4"/>
  <c r="HD11" i="4"/>
  <c r="HD12" i="4"/>
  <c r="HD13" i="4"/>
  <c r="HD14" i="4"/>
  <c r="HD15" i="4"/>
  <c r="HD16" i="4"/>
  <c r="HD17" i="4"/>
  <c r="HD18" i="4"/>
  <c r="HD19" i="4"/>
  <c r="HD20" i="4"/>
  <c r="HD21" i="4"/>
  <c r="HD22" i="4"/>
  <c r="HD23" i="4"/>
  <c r="HD24" i="4"/>
  <c r="HD25" i="4"/>
  <c r="HD26" i="4"/>
  <c r="HD27" i="4"/>
  <c r="HD28" i="4"/>
  <c r="HD29" i="4"/>
  <c r="HD30" i="4"/>
  <c r="HD31" i="4"/>
  <c r="HD32" i="4"/>
  <c r="HD33" i="4"/>
  <c r="HD34" i="4"/>
  <c r="HD35" i="4"/>
  <c r="HD36" i="4"/>
  <c r="HD37" i="4"/>
  <c r="HD38" i="4"/>
  <c r="HD39" i="4"/>
  <c r="HD40" i="4"/>
  <c r="HD41" i="4"/>
  <c r="HD42" i="4"/>
  <c r="HD43" i="4"/>
  <c r="HD44" i="4"/>
  <c r="HD45" i="4"/>
  <c r="HD46" i="4"/>
  <c r="HD47" i="4"/>
  <c r="HD48" i="4"/>
  <c r="HD49" i="4"/>
  <c r="HD50" i="4"/>
  <c r="HD51" i="4"/>
  <c r="HD52" i="4"/>
  <c r="HD53" i="4"/>
  <c r="HD54" i="4"/>
  <c r="HD55" i="4"/>
  <c r="HD56" i="4"/>
  <c r="HD57" i="4"/>
  <c r="HD58" i="4"/>
  <c r="HD59" i="4"/>
  <c r="HD60" i="4"/>
  <c r="HD61" i="4"/>
  <c r="HD62" i="4"/>
  <c r="HD63" i="4"/>
  <c r="HD64" i="4"/>
  <c r="HD65" i="4"/>
  <c r="HD66" i="4"/>
  <c r="HD67" i="4"/>
  <c r="HD68" i="4"/>
  <c r="HD69" i="4"/>
  <c r="HD70" i="4"/>
  <c r="HD71" i="4"/>
  <c r="HD72" i="4"/>
  <c r="HD73" i="4"/>
  <c r="HD74" i="4"/>
  <c r="HD75" i="4"/>
  <c r="HD76" i="4"/>
  <c r="HD77" i="4"/>
  <c r="HD78" i="4"/>
  <c r="HD79" i="4"/>
  <c r="HD80" i="4"/>
  <c r="HD81" i="4"/>
  <c r="HD82" i="4"/>
  <c r="HD83" i="4"/>
  <c r="HD84" i="4"/>
  <c r="HD85" i="4"/>
  <c r="HD86" i="4"/>
  <c r="HD87" i="4"/>
  <c r="HD88" i="4"/>
  <c r="HD89" i="4"/>
  <c r="HD90" i="4"/>
  <c r="HD91" i="4"/>
  <c r="HD92" i="4"/>
  <c r="HD93" i="4"/>
  <c r="HD94" i="4"/>
  <c r="HD95" i="4"/>
  <c r="HD96" i="4"/>
  <c r="HD97" i="4"/>
  <c r="HD98" i="4"/>
  <c r="HD99" i="4"/>
  <c r="HD100" i="4"/>
  <c r="HD101" i="4"/>
  <c r="HD102" i="4"/>
  <c r="HD103" i="4"/>
  <c r="HD104" i="4"/>
  <c r="HD105" i="4"/>
  <c r="HD106" i="4"/>
  <c r="HD107" i="4"/>
  <c r="HD108" i="4"/>
  <c r="HD109" i="4"/>
  <c r="HD110" i="4"/>
  <c r="HD111" i="4"/>
  <c r="HD112" i="4"/>
  <c r="HD113" i="4"/>
  <c r="HD114" i="4"/>
  <c r="HD115" i="4"/>
  <c r="HD116" i="4"/>
  <c r="HD117" i="4"/>
  <c r="HD118" i="4"/>
  <c r="HD119" i="4"/>
  <c r="HD120" i="4"/>
  <c r="HD121" i="4"/>
  <c r="HD122" i="4"/>
  <c r="HD123" i="4"/>
  <c r="HD124" i="4"/>
  <c r="HD125" i="4"/>
  <c r="HD126" i="4"/>
  <c r="HD127" i="4"/>
  <c r="HD128" i="4"/>
  <c r="HD129" i="4"/>
  <c r="HD130" i="4"/>
  <c r="HD131" i="4"/>
  <c r="HD132" i="4"/>
  <c r="HD133" i="4"/>
  <c r="HD134" i="4"/>
  <c r="HD135" i="4"/>
  <c r="HD136" i="4"/>
  <c r="HD137" i="4"/>
  <c r="HD138" i="4"/>
  <c r="HD139" i="4"/>
  <c r="HD140" i="4"/>
  <c r="HD141" i="4"/>
  <c r="HD142" i="4"/>
  <c r="HD143" i="4"/>
  <c r="HD144" i="4"/>
  <c r="HD145" i="4"/>
  <c r="HD146" i="4"/>
  <c r="HD147" i="4"/>
  <c r="HD148" i="4"/>
  <c r="HD149" i="4"/>
  <c r="HD150" i="4"/>
  <c r="HD151" i="4"/>
  <c r="HD152" i="4"/>
  <c r="HD153" i="4"/>
  <c r="HD154" i="4"/>
  <c r="HD155" i="4"/>
  <c r="HD156" i="4"/>
  <c r="HD157" i="4"/>
  <c r="HD158" i="4"/>
  <c r="HD159" i="4"/>
  <c r="HD160" i="4"/>
  <c r="HD161" i="4"/>
  <c r="HD162" i="4"/>
  <c r="HD163" i="4"/>
  <c r="HD164" i="4"/>
  <c r="HD165" i="4"/>
  <c r="HD166" i="4"/>
  <c r="HD167" i="4"/>
  <c r="HD168" i="4"/>
  <c r="HD169" i="4"/>
  <c r="HD170" i="4"/>
  <c r="HD171" i="4"/>
  <c r="HD172" i="4"/>
  <c r="HD173" i="4"/>
  <c r="HD174" i="4"/>
  <c r="HD175" i="4"/>
  <c r="HC2" i="4"/>
  <c r="HC3" i="4"/>
  <c r="HC4" i="4"/>
  <c r="HC5" i="4"/>
  <c r="HC6" i="4"/>
  <c r="HC7" i="4"/>
  <c r="HC8" i="4"/>
  <c r="HC9" i="4"/>
  <c r="HC10" i="4"/>
  <c r="HC11" i="4"/>
  <c r="HC12" i="4"/>
  <c r="HC13" i="4"/>
  <c r="HC14" i="4"/>
  <c r="HC15" i="4"/>
  <c r="HC16" i="4"/>
  <c r="HC17" i="4"/>
  <c r="HC18" i="4"/>
  <c r="HC19" i="4"/>
  <c r="HC20" i="4"/>
  <c r="HC21" i="4"/>
  <c r="HC22" i="4"/>
  <c r="HC23" i="4"/>
  <c r="HC24" i="4"/>
  <c r="HC25" i="4"/>
  <c r="HC26" i="4"/>
  <c r="HC27" i="4"/>
  <c r="HC28" i="4"/>
  <c r="HC29" i="4"/>
  <c r="HC30" i="4"/>
  <c r="HC31" i="4"/>
  <c r="HC32" i="4"/>
  <c r="HC33" i="4"/>
  <c r="HC34" i="4"/>
  <c r="HC35" i="4"/>
  <c r="HC36" i="4"/>
  <c r="HC37" i="4"/>
  <c r="HC38" i="4"/>
  <c r="HC39" i="4"/>
  <c r="HC40" i="4"/>
  <c r="HC41" i="4"/>
  <c r="HC42" i="4"/>
  <c r="HC43" i="4"/>
  <c r="HC44" i="4"/>
  <c r="HC45" i="4"/>
  <c r="HC46" i="4"/>
  <c r="HC47" i="4"/>
  <c r="HC48" i="4"/>
  <c r="HC49" i="4"/>
  <c r="HC50" i="4"/>
  <c r="HC51" i="4"/>
  <c r="HC52" i="4"/>
  <c r="HC53" i="4"/>
  <c r="HC54" i="4"/>
  <c r="HC55" i="4"/>
  <c r="HC56" i="4"/>
  <c r="HC57" i="4"/>
  <c r="HC58" i="4"/>
  <c r="HC59" i="4"/>
  <c r="HC60" i="4"/>
  <c r="HC61" i="4"/>
  <c r="HC62" i="4"/>
  <c r="HC63" i="4"/>
  <c r="HC64" i="4"/>
  <c r="HC65" i="4"/>
  <c r="HC66" i="4"/>
  <c r="HC67" i="4"/>
  <c r="HC68" i="4"/>
  <c r="HC69" i="4"/>
  <c r="HC70" i="4"/>
  <c r="HC71" i="4"/>
  <c r="HC72" i="4"/>
  <c r="HC73" i="4"/>
  <c r="HC74" i="4"/>
  <c r="HC75" i="4"/>
  <c r="HC76" i="4"/>
  <c r="HC77" i="4"/>
  <c r="HC78" i="4"/>
  <c r="HC79" i="4"/>
  <c r="HC80" i="4"/>
  <c r="HC81" i="4"/>
  <c r="HC82" i="4"/>
  <c r="HC83" i="4"/>
  <c r="HC84" i="4"/>
  <c r="HC85" i="4"/>
  <c r="HC86" i="4"/>
  <c r="HC87" i="4"/>
  <c r="HC88" i="4"/>
  <c r="HC89" i="4"/>
  <c r="HC90" i="4"/>
  <c r="HC91" i="4"/>
  <c r="HC92" i="4"/>
  <c r="HC93" i="4"/>
  <c r="HC94" i="4"/>
  <c r="HC95" i="4"/>
  <c r="HC96" i="4"/>
  <c r="HC97" i="4"/>
  <c r="HC98" i="4"/>
  <c r="HC99" i="4"/>
  <c r="HC100" i="4"/>
  <c r="HC101" i="4"/>
  <c r="HC102" i="4"/>
  <c r="HC103" i="4"/>
  <c r="HC104" i="4"/>
  <c r="HC105" i="4"/>
  <c r="HC106" i="4"/>
  <c r="HC107" i="4"/>
  <c r="HC108" i="4"/>
  <c r="HC109" i="4"/>
  <c r="HC110" i="4"/>
  <c r="HC111" i="4"/>
  <c r="HC112" i="4"/>
  <c r="HC113" i="4"/>
  <c r="HC114" i="4"/>
  <c r="HC115" i="4"/>
  <c r="HC116" i="4"/>
  <c r="HC117" i="4"/>
  <c r="HC118" i="4"/>
  <c r="HC119" i="4"/>
  <c r="HC120" i="4"/>
  <c r="HC121" i="4"/>
  <c r="HC122" i="4"/>
  <c r="HC123" i="4"/>
  <c r="HC124" i="4"/>
  <c r="HC125" i="4"/>
  <c r="HC126" i="4"/>
  <c r="HC127" i="4"/>
  <c r="HC128" i="4"/>
  <c r="HC129" i="4"/>
  <c r="HC130" i="4"/>
  <c r="HC131" i="4"/>
  <c r="HC132" i="4"/>
  <c r="HC133" i="4"/>
  <c r="HC134" i="4"/>
  <c r="HC135" i="4"/>
  <c r="HC136" i="4"/>
  <c r="HC137" i="4"/>
  <c r="HC138" i="4"/>
  <c r="HC139" i="4"/>
  <c r="HC140" i="4"/>
  <c r="HC141" i="4"/>
  <c r="HC142" i="4"/>
  <c r="HC143" i="4"/>
  <c r="HC144" i="4"/>
  <c r="HC145" i="4"/>
  <c r="HC146" i="4"/>
  <c r="HC147" i="4"/>
  <c r="HC148" i="4"/>
  <c r="HC149" i="4"/>
  <c r="HC150" i="4"/>
  <c r="HC151" i="4"/>
  <c r="HC152" i="4"/>
  <c r="HC153" i="4"/>
  <c r="HC154" i="4"/>
  <c r="HC155" i="4"/>
  <c r="HC156" i="4"/>
  <c r="HC157" i="4"/>
  <c r="HC158" i="4"/>
  <c r="HC159" i="4"/>
  <c r="HC160" i="4"/>
  <c r="HC161" i="4"/>
  <c r="HC162" i="4"/>
  <c r="HC163" i="4"/>
  <c r="HC164" i="4"/>
  <c r="HC165" i="4"/>
  <c r="HC166" i="4"/>
  <c r="HC167" i="4"/>
  <c r="HC168" i="4"/>
  <c r="HC169" i="4"/>
  <c r="HC170" i="4"/>
  <c r="HC171" i="4"/>
  <c r="HC172" i="4"/>
  <c r="HC173" i="4"/>
  <c r="HC174" i="4"/>
  <c r="HC175" i="4"/>
  <c r="HB2" i="4"/>
  <c r="HB3" i="4"/>
  <c r="HB4" i="4"/>
  <c r="HB5" i="4"/>
  <c r="HB6" i="4"/>
  <c r="HB7" i="4"/>
  <c r="HB8" i="4"/>
  <c r="HB9" i="4"/>
  <c r="HB10" i="4"/>
  <c r="HB11" i="4"/>
  <c r="HB12" i="4"/>
  <c r="HB13" i="4"/>
  <c r="HB14" i="4"/>
  <c r="HB15" i="4"/>
  <c r="HB16" i="4"/>
  <c r="HB17" i="4"/>
  <c r="HB18" i="4"/>
  <c r="HB19" i="4"/>
  <c r="HB20" i="4"/>
  <c r="HB21" i="4"/>
  <c r="HB22" i="4"/>
  <c r="HB23" i="4"/>
  <c r="HB24" i="4"/>
  <c r="HB25" i="4"/>
  <c r="HB26" i="4"/>
  <c r="HB27" i="4"/>
  <c r="HB28" i="4"/>
  <c r="HB29" i="4"/>
  <c r="HB30" i="4"/>
  <c r="HB31" i="4"/>
  <c r="HB32" i="4"/>
  <c r="HB33" i="4"/>
  <c r="HB34" i="4"/>
  <c r="HB35" i="4"/>
  <c r="HB36" i="4"/>
  <c r="HB37" i="4"/>
  <c r="HB38" i="4"/>
  <c r="HB39" i="4"/>
  <c r="HB40" i="4"/>
  <c r="HB41" i="4"/>
  <c r="HB42" i="4"/>
  <c r="HB43" i="4"/>
  <c r="HB44" i="4"/>
  <c r="HB45" i="4"/>
  <c r="HB46" i="4"/>
  <c r="HB47" i="4"/>
  <c r="HB48" i="4"/>
  <c r="HB49" i="4"/>
  <c r="HB50" i="4"/>
  <c r="HB51" i="4"/>
  <c r="HB52" i="4"/>
  <c r="HB53" i="4"/>
  <c r="HB54" i="4"/>
  <c r="HB55" i="4"/>
  <c r="HB56" i="4"/>
  <c r="HB57" i="4"/>
  <c r="HB58" i="4"/>
  <c r="HB59" i="4"/>
  <c r="HB60" i="4"/>
  <c r="HB61" i="4"/>
  <c r="HB62" i="4"/>
  <c r="HB63" i="4"/>
  <c r="HB64" i="4"/>
  <c r="HB65" i="4"/>
  <c r="HB66" i="4"/>
  <c r="HB67" i="4"/>
  <c r="HB68" i="4"/>
  <c r="HB69" i="4"/>
  <c r="HB70" i="4"/>
  <c r="HB71" i="4"/>
  <c r="HB72" i="4"/>
  <c r="HB73" i="4"/>
  <c r="HB74" i="4"/>
  <c r="HB75" i="4"/>
  <c r="HB76" i="4"/>
  <c r="HB77" i="4"/>
  <c r="HB78" i="4"/>
  <c r="HB79" i="4"/>
  <c r="HB80" i="4"/>
  <c r="HB81" i="4"/>
  <c r="HB82" i="4"/>
  <c r="HB83" i="4"/>
  <c r="HB84" i="4"/>
  <c r="HB85" i="4"/>
  <c r="HB86" i="4"/>
  <c r="HB87" i="4"/>
  <c r="HB88" i="4"/>
  <c r="HB89" i="4"/>
  <c r="HB90" i="4"/>
  <c r="HB91" i="4"/>
  <c r="HB92" i="4"/>
  <c r="HB93" i="4"/>
  <c r="HB94" i="4"/>
  <c r="HB95" i="4"/>
  <c r="HB96" i="4"/>
  <c r="HB97" i="4"/>
  <c r="HB98" i="4"/>
  <c r="HB99" i="4"/>
  <c r="HB100" i="4"/>
  <c r="HB101" i="4"/>
  <c r="HB102" i="4"/>
  <c r="HB103" i="4"/>
  <c r="HB104" i="4"/>
  <c r="HB105" i="4"/>
  <c r="HB106" i="4"/>
  <c r="HB107" i="4"/>
  <c r="HB108" i="4"/>
  <c r="HB109" i="4"/>
  <c r="HB110" i="4"/>
  <c r="HB111" i="4"/>
  <c r="HB112" i="4"/>
  <c r="HB113" i="4"/>
  <c r="HB114" i="4"/>
  <c r="HB115" i="4"/>
  <c r="HB116" i="4"/>
  <c r="HB117" i="4"/>
  <c r="HB118" i="4"/>
  <c r="HB119" i="4"/>
  <c r="HB120" i="4"/>
  <c r="HB121" i="4"/>
  <c r="HB122" i="4"/>
  <c r="HB123" i="4"/>
  <c r="HB124" i="4"/>
  <c r="HB125" i="4"/>
  <c r="HB126" i="4"/>
  <c r="HB127" i="4"/>
  <c r="HB128" i="4"/>
  <c r="HB129" i="4"/>
  <c r="HB130" i="4"/>
  <c r="HB131" i="4"/>
  <c r="HB132" i="4"/>
  <c r="HB133" i="4"/>
  <c r="HB134" i="4"/>
  <c r="HB135" i="4"/>
  <c r="HB136" i="4"/>
  <c r="HB137" i="4"/>
  <c r="HB138" i="4"/>
  <c r="HB139" i="4"/>
  <c r="HB140" i="4"/>
  <c r="HB141" i="4"/>
  <c r="HB142" i="4"/>
  <c r="HB143" i="4"/>
  <c r="HB144" i="4"/>
  <c r="HB145" i="4"/>
  <c r="HB146" i="4"/>
  <c r="HB147" i="4"/>
  <c r="HB148" i="4"/>
  <c r="HB149" i="4"/>
  <c r="HB150" i="4"/>
  <c r="HB151" i="4"/>
  <c r="HB152" i="4"/>
  <c r="HB153" i="4"/>
  <c r="HB154" i="4"/>
  <c r="HB155" i="4"/>
  <c r="HB156" i="4"/>
  <c r="HB157" i="4"/>
  <c r="HB158" i="4"/>
  <c r="HB159" i="4"/>
  <c r="HB160" i="4"/>
  <c r="HB161" i="4"/>
  <c r="HB162" i="4"/>
  <c r="HB163" i="4"/>
  <c r="HB164" i="4"/>
  <c r="HB165" i="4"/>
  <c r="HB166" i="4"/>
  <c r="HB167" i="4"/>
  <c r="HB168" i="4"/>
  <c r="HB169" i="4"/>
  <c r="HB170" i="4"/>
  <c r="HB171" i="4"/>
  <c r="HB172" i="4"/>
  <c r="HB173" i="4"/>
  <c r="HB174" i="4"/>
  <c r="HB175" i="4"/>
  <c r="HA2" i="4"/>
  <c r="HA3" i="4"/>
  <c r="HA4" i="4"/>
  <c r="HA5" i="4"/>
  <c r="HA6" i="4"/>
  <c r="HA7" i="4"/>
  <c r="HA8" i="4"/>
  <c r="HA9" i="4"/>
  <c r="HA10" i="4"/>
  <c r="HA11" i="4"/>
  <c r="HA12" i="4"/>
  <c r="HA13" i="4"/>
  <c r="HA14" i="4"/>
  <c r="HA15" i="4"/>
  <c r="HA16" i="4"/>
  <c r="HA17" i="4"/>
  <c r="HA18" i="4"/>
  <c r="HA19" i="4"/>
  <c r="HA20" i="4"/>
  <c r="HA21" i="4"/>
  <c r="HA22" i="4"/>
  <c r="HA23" i="4"/>
  <c r="HA24" i="4"/>
  <c r="HA25" i="4"/>
  <c r="HA26" i="4"/>
  <c r="HA27" i="4"/>
  <c r="HA28" i="4"/>
  <c r="HA29" i="4"/>
  <c r="HA30" i="4"/>
  <c r="HA31" i="4"/>
  <c r="HA32" i="4"/>
  <c r="HA33" i="4"/>
  <c r="HA34" i="4"/>
  <c r="HA35" i="4"/>
  <c r="HA36" i="4"/>
  <c r="HA37" i="4"/>
  <c r="HA38" i="4"/>
  <c r="HA39" i="4"/>
  <c r="HA40" i="4"/>
  <c r="HA41" i="4"/>
  <c r="HA42" i="4"/>
  <c r="HA43" i="4"/>
  <c r="HA44" i="4"/>
  <c r="HA45" i="4"/>
  <c r="HA46" i="4"/>
  <c r="HA47" i="4"/>
  <c r="HA48" i="4"/>
  <c r="HA49" i="4"/>
  <c r="HA50" i="4"/>
  <c r="HA51" i="4"/>
  <c r="HA52" i="4"/>
  <c r="HA53" i="4"/>
  <c r="HA54" i="4"/>
  <c r="HA55" i="4"/>
  <c r="HA56" i="4"/>
  <c r="HA57" i="4"/>
  <c r="HA58" i="4"/>
  <c r="HA59" i="4"/>
  <c r="HA60" i="4"/>
  <c r="HA61" i="4"/>
  <c r="HA62" i="4"/>
  <c r="HA63" i="4"/>
  <c r="HA64" i="4"/>
  <c r="HA65" i="4"/>
  <c r="HA66" i="4"/>
  <c r="HA67" i="4"/>
  <c r="HA68" i="4"/>
  <c r="HA69" i="4"/>
  <c r="HA70" i="4"/>
  <c r="HA71" i="4"/>
  <c r="HA72" i="4"/>
  <c r="HA73" i="4"/>
  <c r="HA74" i="4"/>
  <c r="HA75" i="4"/>
  <c r="HA76" i="4"/>
  <c r="HA77" i="4"/>
  <c r="HA78" i="4"/>
  <c r="HA79" i="4"/>
  <c r="HA80" i="4"/>
  <c r="HA81" i="4"/>
  <c r="HA82" i="4"/>
  <c r="HA83" i="4"/>
  <c r="HA84" i="4"/>
  <c r="HA85" i="4"/>
  <c r="HA86" i="4"/>
  <c r="HA87" i="4"/>
  <c r="HA88" i="4"/>
  <c r="HA89" i="4"/>
  <c r="HA90" i="4"/>
  <c r="HA91" i="4"/>
  <c r="HA92" i="4"/>
  <c r="HA93" i="4"/>
  <c r="HA94" i="4"/>
  <c r="HA95" i="4"/>
  <c r="HA96" i="4"/>
  <c r="HA97" i="4"/>
  <c r="HA98" i="4"/>
  <c r="HA99" i="4"/>
  <c r="HA100" i="4"/>
  <c r="HA101" i="4"/>
  <c r="HA102" i="4"/>
  <c r="HA103" i="4"/>
  <c r="HA104" i="4"/>
  <c r="HA105" i="4"/>
  <c r="HA106" i="4"/>
  <c r="HA107" i="4"/>
  <c r="HA108" i="4"/>
  <c r="HA109" i="4"/>
  <c r="HA110" i="4"/>
  <c r="HA111" i="4"/>
  <c r="HA112" i="4"/>
  <c r="HA113" i="4"/>
  <c r="HA114" i="4"/>
  <c r="HA115" i="4"/>
  <c r="HA116" i="4"/>
  <c r="HA117" i="4"/>
  <c r="HA118" i="4"/>
  <c r="HA119" i="4"/>
  <c r="HA120" i="4"/>
  <c r="HA121" i="4"/>
  <c r="HA122" i="4"/>
  <c r="HA123" i="4"/>
  <c r="HA124" i="4"/>
  <c r="HA125" i="4"/>
  <c r="HA126" i="4"/>
  <c r="HA127" i="4"/>
  <c r="HA128" i="4"/>
  <c r="HA129" i="4"/>
  <c r="HA130" i="4"/>
  <c r="HA131" i="4"/>
  <c r="HA132" i="4"/>
  <c r="HA133" i="4"/>
  <c r="HA134" i="4"/>
  <c r="HA135" i="4"/>
  <c r="HA136" i="4"/>
  <c r="HA137" i="4"/>
  <c r="HA138" i="4"/>
  <c r="HA139" i="4"/>
  <c r="HA140" i="4"/>
  <c r="HA141" i="4"/>
  <c r="HA142" i="4"/>
  <c r="HA143" i="4"/>
  <c r="HA144" i="4"/>
  <c r="HA145" i="4"/>
  <c r="HA146" i="4"/>
  <c r="HA147" i="4"/>
  <c r="HA148" i="4"/>
  <c r="HA149" i="4"/>
  <c r="HA150" i="4"/>
  <c r="HA151" i="4"/>
  <c r="HA152" i="4"/>
  <c r="HA153" i="4"/>
  <c r="HA154" i="4"/>
  <c r="HA155" i="4"/>
  <c r="HA156" i="4"/>
  <c r="HA157" i="4"/>
  <c r="HA158" i="4"/>
  <c r="HA159" i="4"/>
  <c r="HA160" i="4"/>
  <c r="HA161" i="4"/>
  <c r="HA162" i="4"/>
  <c r="HA163" i="4"/>
  <c r="HA164" i="4"/>
  <c r="HA165" i="4"/>
  <c r="HA166" i="4"/>
  <c r="HA167" i="4"/>
  <c r="HA168" i="4"/>
  <c r="HA169" i="4"/>
  <c r="HA170" i="4"/>
  <c r="HA171" i="4"/>
  <c r="HA172" i="4"/>
  <c r="HA173" i="4"/>
  <c r="HA174" i="4"/>
  <c r="HA175" i="4"/>
  <c r="GZ2" i="4"/>
  <c r="GZ3" i="4"/>
  <c r="GZ4" i="4"/>
  <c r="GZ5" i="4"/>
  <c r="GZ6" i="4"/>
  <c r="GZ7" i="4"/>
  <c r="GZ8" i="4"/>
  <c r="GZ9" i="4"/>
  <c r="GZ10" i="4"/>
  <c r="GZ11" i="4"/>
  <c r="GZ12" i="4"/>
  <c r="GZ13" i="4"/>
  <c r="GZ14" i="4"/>
  <c r="GZ15" i="4"/>
  <c r="GZ16" i="4"/>
  <c r="GZ17" i="4"/>
  <c r="GZ18" i="4"/>
  <c r="GZ19" i="4"/>
  <c r="GZ20" i="4"/>
  <c r="GZ21" i="4"/>
  <c r="GZ22" i="4"/>
  <c r="GZ23" i="4"/>
  <c r="GZ24" i="4"/>
  <c r="GZ25" i="4"/>
  <c r="GZ26" i="4"/>
  <c r="GZ27" i="4"/>
  <c r="GZ28" i="4"/>
  <c r="GZ29" i="4"/>
  <c r="GZ30" i="4"/>
  <c r="GZ31" i="4"/>
  <c r="GZ32" i="4"/>
  <c r="GZ33" i="4"/>
  <c r="GZ34" i="4"/>
  <c r="GZ35" i="4"/>
  <c r="GZ36" i="4"/>
  <c r="GZ37" i="4"/>
  <c r="GZ38" i="4"/>
  <c r="GZ39" i="4"/>
  <c r="GZ40" i="4"/>
  <c r="GZ41" i="4"/>
  <c r="GZ42" i="4"/>
  <c r="GZ43" i="4"/>
  <c r="GZ44" i="4"/>
  <c r="GZ45" i="4"/>
  <c r="GZ46" i="4"/>
  <c r="GZ47" i="4"/>
  <c r="GZ48" i="4"/>
  <c r="GZ49" i="4"/>
  <c r="GZ50" i="4"/>
  <c r="GZ51" i="4"/>
  <c r="GZ52" i="4"/>
  <c r="GZ53" i="4"/>
  <c r="GZ54" i="4"/>
  <c r="GZ55" i="4"/>
  <c r="GZ56" i="4"/>
  <c r="GZ57" i="4"/>
  <c r="GZ58" i="4"/>
  <c r="GZ59" i="4"/>
  <c r="GZ60" i="4"/>
  <c r="GZ61" i="4"/>
  <c r="GZ62" i="4"/>
  <c r="GZ63" i="4"/>
  <c r="GZ64" i="4"/>
  <c r="GZ65" i="4"/>
  <c r="GZ66" i="4"/>
  <c r="GZ67" i="4"/>
  <c r="GZ68" i="4"/>
  <c r="GZ69" i="4"/>
  <c r="GZ70" i="4"/>
  <c r="GZ71" i="4"/>
  <c r="GZ72" i="4"/>
  <c r="GZ73" i="4"/>
  <c r="GZ74" i="4"/>
  <c r="GZ75" i="4"/>
  <c r="GZ76" i="4"/>
  <c r="GZ77" i="4"/>
  <c r="GZ78" i="4"/>
  <c r="GZ79" i="4"/>
  <c r="GZ80" i="4"/>
  <c r="GZ81" i="4"/>
  <c r="GZ82" i="4"/>
  <c r="GZ83" i="4"/>
  <c r="GZ84" i="4"/>
  <c r="GZ85" i="4"/>
  <c r="GZ86" i="4"/>
  <c r="GZ87" i="4"/>
  <c r="GZ88" i="4"/>
  <c r="GZ89" i="4"/>
  <c r="GZ90" i="4"/>
  <c r="GZ91" i="4"/>
  <c r="GZ92" i="4"/>
  <c r="GZ93" i="4"/>
  <c r="GZ94" i="4"/>
  <c r="GZ95" i="4"/>
  <c r="GZ96" i="4"/>
  <c r="GZ97" i="4"/>
  <c r="GZ98" i="4"/>
  <c r="GZ99" i="4"/>
  <c r="GZ100" i="4"/>
  <c r="GZ101" i="4"/>
  <c r="GZ102" i="4"/>
  <c r="GZ103" i="4"/>
  <c r="GZ104" i="4"/>
  <c r="GZ105" i="4"/>
  <c r="GZ106" i="4"/>
  <c r="GZ107" i="4"/>
  <c r="GZ108" i="4"/>
  <c r="GZ109" i="4"/>
  <c r="GZ110" i="4"/>
  <c r="GZ111" i="4"/>
  <c r="GZ112" i="4"/>
  <c r="GZ113" i="4"/>
  <c r="GZ114" i="4"/>
  <c r="GZ115" i="4"/>
  <c r="GZ116" i="4"/>
  <c r="GZ117" i="4"/>
  <c r="GZ118" i="4"/>
  <c r="GZ119" i="4"/>
  <c r="GZ120" i="4"/>
  <c r="GZ121" i="4"/>
  <c r="GZ122" i="4"/>
  <c r="GZ123" i="4"/>
  <c r="GZ124" i="4"/>
  <c r="GZ125" i="4"/>
  <c r="GZ126" i="4"/>
  <c r="GZ127" i="4"/>
  <c r="GZ128" i="4"/>
  <c r="GZ129" i="4"/>
  <c r="GZ130" i="4"/>
  <c r="GZ131" i="4"/>
  <c r="GZ132" i="4"/>
  <c r="GZ133" i="4"/>
  <c r="GZ134" i="4"/>
  <c r="GZ135" i="4"/>
  <c r="GZ136" i="4"/>
  <c r="GZ137" i="4"/>
  <c r="GZ138" i="4"/>
  <c r="GZ139" i="4"/>
  <c r="GZ140" i="4"/>
  <c r="GZ141" i="4"/>
  <c r="GZ142" i="4"/>
  <c r="GZ143" i="4"/>
  <c r="GZ144" i="4"/>
  <c r="GZ145" i="4"/>
  <c r="GZ146" i="4"/>
  <c r="GZ147" i="4"/>
  <c r="GZ148" i="4"/>
  <c r="GZ149" i="4"/>
  <c r="GZ150" i="4"/>
  <c r="GZ151" i="4"/>
  <c r="GZ152" i="4"/>
  <c r="GZ153" i="4"/>
  <c r="GZ154" i="4"/>
  <c r="GZ155" i="4"/>
  <c r="GZ156" i="4"/>
  <c r="GZ157" i="4"/>
  <c r="GZ158" i="4"/>
  <c r="GZ159" i="4"/>
  <c r="GZ160" i="4"/>
  <c r="GZ161" i="4"/>
  <c r="GZ162" i="4"/>
  <c r="GZ163" i="4"/>
  <c r="GZ164" i="4"/>
  <c r="GZ165" i="4"/>
  <c r="GZ166" i="4"/>
  <c r="GZ167" i="4"/>
  <c r="GZ168" i="4"/>
  <c r="GZ169" i="4"/>
  <c r="GZ170" i="4"/>
  <c r="GZ171" i="4"/>
  <c r="GZ172" i="4"/>
  <c r="GZ173" i="4"/>
  <c r="GZ174" i="4"/>
  <c r="GZ175" i="4"/>
  <c r="GY2" i="4"/>
  <c r="GY3" i="4"/>
  <c r="GY4" i="4"/>
  <c r="GY5" i="4"/>
  <c r="GY6" i="4"/>
  <c r="GY7" i="4"/>
  <c r="GY8" i="4"/>
  <c r="GY9" i="4"/>
  <c r="GY10" i="4"/>
  <c r="GY11" i="4"/>
  <c r="GY12" i="4"/>
  <c r="GY13" i="4"/>
  <c r="GY14" i="4"/>
  <c r="GY15" i="4"/>
  <c r="GY16" i="4"/>
  <c r="GY17" i="4"/>
  <c r="GY18" i="4"/>
  <c r="GY19" i="4"/>
  <c r="GY20" i="4"/>
  <c r="GY21" i="4"/>
  <c r="GY22" i="4"/>
  <c r="GY23" i="4"/>
  <c r="GY24" i="4"/>
  <c r="GY25" i="4"/>
  <c r="GY26" i="4"/>
  <c r="GY27" i="4"/>
  <c r="GY28" i="4"/>
  <c r="GY29" i="4"/>
  <c r="GY30" i="4"/>
  <c r="GY31" i="4"/>
  <c r="GY32" i="4"/>
  <c r="GY33" i="4"/>
  <c r="GY34" i="4"/>
  <c r="GY35" i="4"/>
  <c r="GY36" i="4"/>
  <c r="GY37" i="4"/>
  <c r="GY38" i="4"/>
  <c r="GY39" i="4"/>
  <c r="GY40" i="4"/>
  <c r="GY41" i="4"/>
  <c r="GY42" i="4"/>
  <c r="GY43" i="4"/>
  <c r="GY44" i="4"/>
  <c r="GY45" i="4"/>
  <c r="GY46" i="4"/>
  <c r="GY47" i="4"/>
  <c r="GY48" i="4"/>
  <c r="GY49" i="4"/>
  <c r="GY50" i="4"/>
  <c r="GY51" i="4"/>
  <c r="GY52" i="4"/>
  <c r="GY53" i="4"/>
  <c r="GY54" i="4"/>
  <c r="GY55" i="4"/>
  <c r="GY56" i="4"/>
  <c r="GY57" i="4"/>
  <c r="GY58" i="4"/>
  <c r="GY59" i="4"/>
  <c r="GY60" i="4"/>
  <c r="GY61" i="4"/>
  <c r="GY62" i="4"/>
  <c r="GY63" i="4"/>
  <c r="GY64" i="4"/>
  <c r="GY65" i="4"/>
  <c r="GY66" i="4"/>
  <c r="GY67" i="4"/>
  <c r="GY68" i="4"/>
  <c r="GY69" i="4"/>
  <c r="GY70" i="4"/>
  <c r="GY71" i="4"/>
  <c r="GY72" i="4"/>
  <c r="GY73" i="4"/>
  <c r="GY74" i="4"/>
  <c r="GY75" i="4"/>
  <c r="GY76" i="4"/>
  <c r="GY77" i="4"/>
  <c r="GY78" i="4"/>
  <c r="GY79" i="4"/>
  <c r="GY80" i="4"/>
  <c r="GY81" i="4"/>
  <c r="GY82" i="4"/>
  <c r="GY83" i="4"/>
  <c r="GY84" i="4"/>
  <c r="GY85" i="4"/>
  <c r="GY86" i="4"/>
  <c r="GY87" i="4"/>
  <c r="GY88" i="4"/>
  <c r="GY89" i="4"/>
  <c r="GY90" i="4"/>
  <c r="GY91" i="4"/>
  <c r="GY92" i="4"/>
  <c r="GY93" i="4"/>
  <c r="GY94" i="4"/>
  <c r="GY95" i="4"/>
  <c r="GY96" i="4"/>
  <c r="GY97" i="4"/>
  <c r="GY98" i="4"/>
  <c r="GY99" i="4"/>
  <c r="GY100" i="4"/>
  <c r="GY101" i="4"/>
  <c r="GY102" i="4"/>
  <c r="GY103" i="4"/>
  <c r="GY104" i="4"/>
  <c r="GY105" i="4"/>
  <c r="GY106" i="4"/>
  <c r="GY107" i="4"/>
  <c r="GY108" i="4"/>
  <c r="GY109" i="4"/>
  <c r="GY110" i="4"/>
  <c r="GY111" i="4"/>
  <c r="GY112" i="4"/>
  <c r="GY113" i="4"/>
  <c r="GY114" i="4"/>
  <c r="GY115" i="4"/>
  <c r="GY116" i="4"/>
  <c r="GY117" i="4"/>
  <c r="GY118" i="4"/>
  <c r="GY119" i="4"/>
  <c r="GY120" i="4"/>
  <c r="GY121" i="4"/>
  <c r="GY122" i="4"/>
  <c r="GY123" i="4"/>
  <c r="GY124" i="4"/>
  <c r="GY125" i="4"/>
  <c r="GY126" i="4"/>
  <c r="GY127" i="4"/>
  <c r="GY128" i="4"/>
  <c r="GY129" i="4"/>
  <c r="GY130" i="4"/>
  <c r="GY131" i="4"/>
  <c r="GY132" i="4"/>
  <c r="GY133" i="4"/>
  <c r="GY134" i="4"/>
  <c r="GY135" i="4"/>
  <c r="GY136" i="4"/>
  <c r="GY137" i="4"/>
  <c r="GY138" i="4"/>
  <c r="GY139" i="4"/>
  <c r="GY140" i="4"/>
  <c r="GY141" i="4"/>
  <c r="GY142" i="4"/>
  <c r="GY143" i="4"/>
  <c r="GY144" i="4"/>
  <c r="GY145" i="4"/>
  <c r="GY146" i="4"/>
  <c r="GY147" i="4"/>
  <c r="GY148" i="4"/>
  <c r="GY149" i="4"/>
  <c r="GY150" i="4"/>
  <c r="GY151" i="4"/>
  <c r="GY152" i="4"/>
  <c r="GY153" i="4"/>
  <c r="GY154" i="4"/>
  <c r="GY155" i="4"/>
  <c r="GY156" i="4"/>
  <c r="GY157" i="4"/>
  <c r="GY158" i="4"/>
  <c r="GY159" i="4"/>
  <c r="GY160" i="4"/>
  <c r="GY161" i="4"/>
  <c r="GY162" i="4"/>
  <c r="GY163" i="4"/>
  <c r="GY164" i="4"/>
  <c r="GY165" i="4"/>
  <c r="GY166" i="4"/>
  <c r="GY167" i="4"/>
  <c r="GY168" i="4"/>
  <c r="GY169" i="4"/>
  <c r="GY170" i="4"/>
  <c r="GY171" i="4"/>
  <c r="GY172" i="4"/>
  <c r="GY173" i="4"/>
  <c r="GY174" i="4"/>
  <c r="GY175" i="4"/>
  <c r="GX2" i="4"/>
  <c r="GX3" i="4"/>
  <c r="GX4" i="4"/>
  <c r="GX5" i="4"/>
  <c r="GX6" i="4"/>
  <c r="GX7" i="4"/>
  <c r="GX8" i="4"/>
  <c r="GX9" i="4"/>
  <c r="GX10" i="4"/>
  <c r="GX11" i="4"/>
  <c r="GX12" i="4"/>
  <c r="GX13" i="4"/>
  <c r="GX14" i="4"/>
  <c r="GX15" i="4"/>
  <c r="GX16" i="4"/>
  <c r="GX17" i="4"/>
  <c r="GX18" i="4"/>
  <c r="GX19" i="4"/>
  <c r="GX20" i="4"/>
  <c r="GX21" i="4"/>
  <c r="GX22" i="4"/>
  <c r="GX23" i="4"/>
  <c r="GX24" i="4"/>
  <c r="GX25" i="4"/>
  <c r="GX26" i="4"/>
  <c r="GX27" i="4"/>
  <c r="GX28" i="4"/>
  <c r="GX29" i="4"/>
  <c r="GX30" i="4"/>
  <c r="GX31" i="4"/>
  <c r="GX32" i="4"/>
  <c r="GX33" i="4"/>
  <c r="GX34" i="4"/>
  <c r="GX35" i="4"/>
  <c r="GX36" i="4"/>
  <c r="GX37" i="4"/>
  <c r="GX38" i="4"/>
  <c r="GX39" i="4"/>
  <c r="GX40" i="4"/>
  <c r="GX41" i="4"/>
  <c r="GX42" i="4"/>
  <c r="GX43" i="4"/>
  <c r="GX44" i="4"/>
  <c r="GX45" i="4"/>
  <c r="GX46" i="4"/>
  <c r="GX47" i="4"/>
  <c r="GX48" i="4"/>
  <c r="GX49" i="4"/>
  <c r="GX50" i="4"/>
  <c r="GX51" i="4"/>
  <c r="GX52" i="4"/>
  <c r="GX53" i="4"/>
  <c r="GX54" i="4"/>
  <c r="GX55" i="4"/>
  <c r="GX56" i="4"/>
  <c r="GX57" i="4"/>
  <c r="GX58" i="4"/>
  <c r="GX59" i="4"/>
  <c r="GX60" i="4"/>
  <c r="GX61" i="4"/>
  <c r="GX62" i="4"/>
  <c r="GX63" i="4"/>
  <c r="GX64" i="4"/>
  <c r="GX65" i="4"/>
  <c r="GX66" i="4"/>
  <c r="GX67" i="4"/>
  <c r="GX68" i="4"/>
  <c r="GX69" i="4"/>
  <c r="GX70" i="4"/>
  <c r="GX71" i="4"/>
  <c r="GX72" i="4"/>
  <c r="GX73" i="4"/>
  <c r="GX74" i="4"/>
  <c r="GX75" i="4"/>
  <c r="GX76" i="4"/>
  <c r="GX77" i="4"/>
  <c r="GX78" i="4"/>
  <c r="GX79" i="4"/>
  <c r="GX80" i="4"/>
  <c r="GX81" i="4"/>
  <c r="GX82" i="4"/>
  <c r="GX83" i="4"/>
  <c r="GX84" i="4"/>
  <c r="GX85" i="4"/>
  <c r="GX86" i="4"/>
  <c r="GX87" i="4"/>
  <c r="GX88" i="4"/>
  <c r="GX89" i="4"/>
  <c r="GX90" i="4"/>
  <c r="GX91" i="4"/>
  <c r="GX92" i="4"/>
  <c r="GX93" i="4"/>
  <c r="GX94" i="4"/>
  <c r="GX95" i="4"/>
  <c r="GX96" i="4"/>
  <c r="GX97" i="4"/>
  <c r="GX98" i="4"/>
  <c r="GX99" i="4"/>
  <c r="GX100" i="4"/>
  <c r="GX101" i="4"/>
  <c r="GX102" i="4"/>
  <c r="GX103" i="4"/>
  <c r="GX104" i="4"/>
  <c r="GX105" i="4"/>
  <c r="GX106" i="4"/>
  <c r="GX107" i="4"/>
  <c r="GX108" i="4"/>
  <c r="GX109" i="4"/>
  <c r="GX110" i="4"/>
  <c r="GX111" i="4"/>
  <c r="GX112" i="4"/>
  <c r="GX113" i="4"/>
  <c r="GX114" i="4"/>
  <c r="GX115" i="4"/>
  <c r="GX116" i="4"/>
  <c r="GX117" i="4"/>
  <c r="GX118" i="4"/>
  <c r="GX119" i="4"/>
  <c r="GX120" i="4"/>
  <c r="GX121" i="4"/>
  <c r="GX122" i="4"/>
  <c r="GX123" i="4"/>
  <c r="GX124" i="4"/>
  <c r="GX125" i="4"/>
  <c r="GX126" i="4"/>
  <c r="GX127" i="4"/>
  <c r="GX128" i="4"/>
  <c r="GX129" i="4"/>
  <c r="GX130" i="4"/>
  <c r="GX131" i="4"/>
  <c r="GX132" i="4"/>
  <c r="GX133" i="4"/>
  <c r="GX134" i="4"/>
  <c r="GX135" i="4"/>
  <c r="GX136" i="4"/>
  <c r="GX137" i="4"/>
  <c r="GX138" i="4"/>
  <c r="GX139" i="4"/>
  <c r="GX140" i="4"/>
  <c r="GX141" i="4"/>
  <c r="GX142" i="4"/>
  <c r="GX143" i="4"/>
  <c r="GX144" i="4"/>
  <c r="GX145" i="4"/>
  <c r="GX146" i="4"/>
  <c r="GX147" i="4"/>
  <c r="GX148" i="4"/>
  <c r="GX149" i="4"/>
  <c r="GX150" i="4"/>
  <c r="GX151" i="4"/>
  <c r="GX152" i="4"/>
  <c r="GX153" i="4"/>
  <c r="GX154" i="4"/>
  <c r="GX155" i="4"/>
  <c r="GX156" i="4"/>
  <c r="GX157" i="4"/>
  <c r="GX158" i="4"/>
  <c r="GX159" i="4"/>
  <c r="GX160" i="4"/>
  <c r="GX161" i="4"/>
  <c r="GX162" i="4"/>
  <c r="GX163" i="4"/>
  <c r="GX164" i="4"/>
  <c r="GX165" i="4"/>
  <c r="GX166" i="4"/>
  <c r="GX167" i="4"/>
  <c r="GX168" i="4"/>
  <c r="GX169" i="4"/>
  <c r="GX170" i="4"/>
  <c r="GX171" i="4"/>
  <c r="GX172" i="4"/>
  <c r="GX173" i="4"/>
  <c r="GX174" i="4"/>
  <c r="GX175" i="4"/>
  <c r="GW2" i="4"/>
  <c r="GW3" i="4"/>
  <c r="GW4" i="4"/>
  <c r="GW5" i="4"/>
  <c r="GW6" i="4"/>
  <c r="GW7" i="4"/>
  <c r="GW8" i="4"/>
  <c r="GW9" i="4"/>
  <c r="GW10" i="4"/>
  <c r="GW11" i="4"/>
  <c r="GW12" i="4"/>
  <c r="GW13" i="4"/>
  <c r="GW14" i="4"/>
  <c r="GW15" i="4"/>
  <c r="GW16" i="4"/>
  <c r="GW17" i="4"/>
  <c r="GW18" i="4"/>
  <c r="GW19" i="4"/>
  <c r="GW20" i="4"/>
  <c r="GW21" i="4"/>
  <c r="GW22" i="4"/>
  <c r="GW23" i="4"/>
  <c r="GW24" i="4"/>
  <c r="GW25" i="4"/>
  <c r="GW26" i="4"/>
  <c r="GW27" i="4"/>
  <c r="GW28" i="4"/>
  <c r="GW29" i="4"/>
  <c r="GW30" i="4"/>
  <c r="GW31" i="4"/>
  <c r="GW32" i="4"/>
  <c r="GW33" i="4"/>
  <c r="GW34" i="4"/>
  <c r="GW35" i="4"/>
  <c r="GW36" i="4"/>
  <c r="GW37" i="4"/>
  <c r="GW38" i="4"/>
  <c r="GW39" i="4"/>
  <c r="GW40" i="4"/>
  <c r="GW41" i="4"/>
  <c r="GW42" i="4"/>
  <c r="GW43" i="4"/>
  <c r="GW44" i="4"/>
  <c r="GW45" i="4"/>
  <c r="GW46" i="4"/>
  <c r="GW47" i="4"/>
  <c r="GW48" i="4"/>
  <c r="GW49" i="4"/>
  <c r="GW50" i="4"/>
  <c r="GW51" i="4"/>
  <c r="GW52" i="4"/>
  <c r="GW53" i="4"/>
  <c r="GW54" i="4"/>
  <c r="GW55" i="4"/>
  <c r="GW56" i="4"/>
  <c r="GW57" i="4"/>
  <c r="GW58" i="4"/>
  <c r="GW59" i="4"/>
  <c r="GW60" i="4"/>
  <c r="GW61" i="4"/>
  <c r="GW62" i="4"/>
  <c r="GW63" i="4"/>
  <c r="GW64" i="4"/>
  <c r="GW65" i="4"/>
  <c r="GW66" i="4"/>
  <c r="GW67" i="4"/>
  <c r="GW68" i="4"/>
  <c r="GW69" i="4"/>
  <c r="GW70" i="4"/>
  <c r="GW71" i="4"/>
  <c r="GW72" i="4"/>
  <c r="GW73" i="4"/>
  <c r="GW74" i="4"/>
  <c r="GW75" i="4"/>
  <c r="GW76" i="4"/>
  <c r="GW77" i="4"/>
  <c r="GW78" i="4"/>
  <c r="GW79" i="4"/>
  <c r="GW80" i="4"/>
  <c r="GW81" i="4"/>
  <c r="GW82" i="4"/>
  <c r="GW83" i="4"/>
  <c r="GW84" i="4"/>
  <c r="GW85" i="4"/>
  <c r="GW86" i="4"/>
  <c r="GW87" i="4"/>
  <c r="GW88" i="4"/>
  <c r="GW89" i="4"/>
  <c r="GW90" i="4"/>
  <c r="GW91" i="4"/>
  <c r="GW92" i="4"/>
  <c r="GW93" i="4"/>
  <c r="GW94" i="4"/>
  <c r="GW95" i="4"/>
  <c r="GW96" i="4"/>
  <c r="GW97" i="4"/>
  <c r="GW98" i="4"/>
  <c r="GW99" i="4"/>
  <c r="GW100" i="4"/>
  <c r="GW101" i="4"/>
  <c r="GW102" i="4"/>
  <c r="GW103" i="4"/>
  <c r="GW104" i="4"/>
  <c r="GW105" i="4"/>
  <c r="GW106" i="4"/>
  <c r="GW107" i="4"/>
  <c r="GW108" i="4"/>
  <c r="GW109" i="4"/>
  <c r="GW110" i="4"/>
  <c r="GW111" i="4"/>
  <c r="GW112" i="4"/>
  <c r="GW113" i="4"/>
  <c r="GW114" i="4"/>
  <c r="GW115" i="4"/>
  <c r="GW116" i="4"/>
  <c r="GW117" i="4"/>
  <c r="GW118" i="4"/>
  <c r="GW119" i="4"/>
  <c r="GW120" i="4"/>
  <c r="GW121" i="4"/>
  <c r="GW122" i="4"/>
  <c r="GW123" i="4"/>
  <c r="GW124" i="4"/>
  <c r="GW125" i="4"/>
  <c r="GW126" i="4"/>
  <c r="GW127" i="4"/>
  <c r="GW128" i="4"/>
  <c r="GW129" i="4"/>
  <c r="GW130" i="4"/>
  <c r="GW131" i="4"/>
  <c r="GW132" i="4"/>
  <c r="GW133" i="4"/>
  <c r="GW134" i="4"/>
  <c r="GW135" i="4"/>
  <c r="GW136" i="4"/>
  <c r="GW137" i="4"/>
  <c r="GW138" i="4"/>
  <c r="GW139" i="4"/>
  <c r="GW140" i="4"/>
  <c r="GW141" i="4"/>
  <c r="GW142" i="4"/>
  <c r="GW143" i="4"/>
  <c r="GW144" i="4"/>
  <c r="GW145" i="4"/>
  <c r="GW146" i="4"/>
  <c r="GW147" i="4"/>
  <c r="GW148" i="4"/>
  <c r="GW149" i="4"/>
  <c r="GW150" i="4"/>
  <c r="GW151" i="4"/>
  <c r="GW152" i="4"/>
  <c r="GW153" i="4"/>
  <c r="GW154" i="4"/>
  <c r="GW155" i="4"/>
  <c r="GW156" i="4"/>
  <c r="GW157" i="4"/>
  <c r="GW158" i="4"/>
  <c r="GW159" i="4"/>
  <c r="GW160" i="4"/>
  <c r="GW161" i="4"/>
  <c r="GW162" i="4"/>
  <c r="GW163" i="4"/>
  <c r="GW164" i="4"/>
  <c r="GW165" i="4"/>
  <c r="GW166" i="4"/>
  <c r="GW167" i="4"/>
  <c r="GW168" i="4"/>
  <c r="GW169" i="4"/>
  <c r="GW170" i="4"/>
  <c r="GW171" i="4"/>
  <c r="GW172" i="4"/>
  <c r="GW173" i="4"/>
  <c r="GW174" i="4"/>
  <c r="GW175" i="4"/>
  <c r="GV2" i="4"/>
  <c r="GV3" i="4"/>
  <c r="GV4" i="4"/>
  <c r="GV5" i="4"/>
  <c r="GV6" i="4"/>
  <c r="GV7" i="4"/>
  <c r="GV8" i="4"/>
  <c r="GV9" i="4"/>
  <c r="GV10" i="4"/>
  <c r="GV11" i="4"/>
  <c r="GV12" i="4"/>
  <c r="GV13" i="4"/>
  <c r="GV14" i="4"/>
  <c r="GV15" i="4"/>
  <c r="GV16" i="4"/>
  <c r="GV17" i="4"/>
  <c r="GV18" i="4"/>
  <c r="GV19" i="4"/>
  <c r="GV20" i="4"/>
  <c r="GV21" i="4"/>
  <c r="GV22" i="4"/>
  <c r="GV23" i="4"/>
  <c r="GV24" i="4"/>
  <c r="GV25" i="4"/>
  <c r="GV26" i="4"/>
  <c r="GV27" i="4"/>
  <c r="GV28" i="4"/>
  <c r="GV29" i="4"/>
  <c r="GV30" i="4"/>
  <c r="GV31" i="4"/>
  <c r="GV32" i="4"/>
  <c r="GV33" i="4"/>
  <c r="GV34" i="4"/>
  <c r="GV35" i="4"/>
  <c r="GV36" i="4"/>
  <c r="GV37" i="4"/>
  <c r="GV38" i="4"/>
  <c r="GV39" i="4"/>
  <c r="GV40" i="4"/>
  <c r="GV41" i="4"/>
  <c r="GV42" i="4"/>
  <c r="GV43" i="4"/>
  <c r="GV44" i="4"/>
  <c r="GV45" i="4"/>
  <c r="GV46" i="4"/>
  <c r="GV47" i="4"/>
  <c r="GV48" i="4"/>
  <c r="GV49" i="4"/>
  <c r="GV50" i="4"/>
  <c r="GV51" i="4"/>
  <c r="GV52" i="4"/>
  <c r="GV53" i="4"/>
  <c r="GV54" i="4"/>
  <c r="GV55" i="4"/>
  <c r="GV56" i="4"/>
  <c r="GV57" i="4"/>
  <c r="GV58" i="4"/>
  <c r="GV59" i="4"/>
  <c r="GV60" i="4"/>
  <c r="GV61" i="4"/>
  <c r="GV62" i="4"/>
  <c r="GV63" i="4"/>
  <c r="GV64" i="4"/>
  <c r="GV65" i="4"/>
  <c r="GV66" i="4"/>
  <c r="GV67" i="4"/>
  <c r="GV68" i="4"/>
  <c r="GV69" i="4"/>
  <c r="GV70" i="4"/>
  <c r="GV71" i="4"/>
  <c r="GV72" i="4"/>
  <c r="GV73" i="4"/>
  <c r="GV74" i="4"/>
  <c r="GV75" i="4"/>
  <c r="GV76" i="4"/>
  <c r="GV77" i="4"/>
  <c r="GV78" i="4"/>
  <c r="GV79" i="4"/>
  <c r="GV80" i="4"/>
  <c r="GV81" i="4"/>
  <c r="GV82" i="4"/>
  <c r="GV83" i="4"/>
  <c r="GV84" i="4"/>
  <c r="GV85" i="4"/>
  <c r="GV86" i="4"/>
  <c r="GV87" i="4"/>
  <c r="GV88" i="4"/>
  <c r="GV89" i="4"/>
  <c r="GV90" i="4"/>
  <c r="GV91" i="4"/>
  <c r="GV92" i="4"/>
  <c r="GV93" i="4"/>
  <c r="GV94" i="4"/>
  <c r="GV95" i="4"/>
  <c r="GV96" i="4"/>
  <c r="GV97" i="4"/>
  <c r="GV98" i="4"/>
  <c r="GV99" i="4"/>
  <c r="GV100" i="4"/>
  <c r="GV101" i="4"/>
  <c r="GV102" i="4"/>
  <c r="GV103" i="4"/>
  <c r="GV104" i="4"/>
  <c r="GV105" i="4"/>
  <c r="GV106" i="4"/>
  <c r="GV107" i="4"/>
  <c r="GV108" i="4"/>
  <c r="GV109" i="4"/>
  <c r="GV110" i="4"/>
  <c r="GV111" i="4"/>
  <c r="GV112" i="4"/>
  <c r="GV113" i="4"/>
  <c r="GV114" i="4"/>
  <c r="GV115" i="4"/>
  <c r="GV116" i="4"/>
  <c r="GV117" i="4"/>
  <c r="GV118" i="4"/>
  <c r="GV119" i="4"/>
  <c r="GV120" i="4"/>
  <c r="GV121" i="4"/>
  <c r="GV122" i="4"/>
  <c r="GV123" i="4"/>
  <c r="GV124" i="4"/>
  <c r="GV125" i="4"/>
  <c r="GV126" i="4"/>
  <c r="GV127" i="4"/>
  <c r="GV128" i="4"/>
  <c r="GV129" i="4"/>
  <c r="GV130" i="4"/>
  <c r="GV131" i="4"/>
  <c r="GV132" i="4"/>
  <c r="GV133" i="4"/>
  <c r="GV134" i="4"/>
  <c r="GV135" i="4"/>
  <c r="GV136" i="4"/>
  <c r="GV137" i="4"/>
  <c r="GV138" i="4"/>
  <c r="GV139" i="4"/>
  <c r="GV140" i="4"/>
  <c r="GV141" i="4"/>
  <c r="GV142" i="4"/>
  <c r="GV143" i="4"/>
  <c r="GV144" i="4"/>
  <c r="GV145" i="4"/>
  <c r="GV146" i="4"/>
  <c r="GV147" i="4"/>
  <c r="GV148" i="4"/>
  <c r="GV149" i="4"/>
  <c r="GV150" i="4"/>
  <c r="GV151" i="4"/>
  <c r="GV152" i="4"/>
  <c r="GV153" i="4"/>
  <c r="GV154" i="4"/>
  <c r="GV155" i="4"/>
  <c r="GV156" i="4"/>
  <c r="GV157" i="4"/>
  <c r="GV158" i="4"/>
  <c r="GV159" i="4"/>
  <c r="GV160" i="4"/>
  <c r="GV161" i="4"/>
  <c r="GV162" i="4"/>
  <c r="GV163" i="4"/>
  <c r="GV164" i="4"/>
  <c r="GV165" i="4"/>
  <c r="GV166" i="4"/>
  <c r="GV167" i="4"/>
  <c r="GV168" i="4"/>
  <c r="GV169" i="4"/>
  <c r="GV170" i="4"/>
  <c r="GV171" i="4"/>
  <c r="GV172" i="4"/>
  <c r="GV173" i="4"/>
  <c r="GV174" i="4"/>
  <c r="GV175" i="4"/>
  <c r="GU2" i="4"/>
  <c r="GU3" i="4"/>
  <c r="GU4" i="4"/>
  <c r="GU5" i="4"/>
  <c r="GU6" i="4"/>
  <c r="GU7" i="4"/>
  <c r="GU8" i="4"/>
  <c r="GU9" i="4"/>
  <c r="GU10" i="4"/>
  <c r="GU11" i="4"/>
  <c r="GU12" i="4"/>
  <c r="GU13" i="4"/>
  <c r="GU14" i="4"/>
  <c r="GU15" i="4"/>
  <c r="GU16" i="4"/>
  <c r="GU17" i="4"/>
  <c r="GU18" i="4"/>
  <c r="GU19" i="4"/>
  <c r="GU20" i="4"/>
  <c r="GU21" i="4"/>
  <c r="GU22" i="4"/>
  <c r="GU23" i="4"/>
  <c r="GU24" i="4"/>
  <c r="GU25" i="4"/>
  <c r="GU26" i="4"/>
  <c r="GU27" i="4"/>
  <c r="GU28" i="4"/>
  <c r="GU29" i="4"/>
  <c r="GU30" i="4"/>
  <c r="GU31" i="4"/>
  <c r="GU32" i="4"/>
  <c r="GU33" i="4"/>
  <c r="GU34" i="4"/>
  <c r="GU35" i="4"/>
  <c r="GU36" i="4"/>
  <c r="GU37" i="4"/>
  <c r="GU38" i="4"/>
  <c r="GU39" i="4"/>
  <c r="GU40" i="4"/>
  <c r="GU41" i="4"/>
  <c r="GU42" i="4"/>
  <c r="GU43" i="4"/>
  <c r="GU44" i="4"/>
  <c r="GU45" i="4"/>
  <c r="GU46" i="4"/>
  <c r="GU47" i="4"/>
  <c r="GU48" i="4"/>
  <c r="GU49" i="4"/>
  <c r="GU50" i="4"/>
  <c r="GU51" i="4"/>
  <c r="GU52" i="4"/>
  <c r="GU53" i="4"/>
  <c r="GU54" i="4"/>
  <c r="GU55" i="4"/>
  <c r="GU56" i="4"/>
  <c r="GU57" i="4"/>
  <c r="GU58" i="4"/>
  <c r="GU59" i="4"/>
  <c r="GU60" i="4"/>
  <c r="GU61" i="4"/>
  <c r="GU62" i="4"/>
  <c r="GU63" i="4"/>
  <c r="GU64" i="4"/>
  <c r="GU65" i="4"/>
  <c r="GU66" i="4"/>
  <c r="GU67" i="4"/>
  <c r="GU68" i="4"/>
  <c r="GU69" i="4"/>
  <c r="GU70" i="4"/>
  <c r="GU71" i="4"/>
  <c r="GU72" i="4"/>
  <c r="GU73" i="4"/>
  <c r="GU74" i="4"/>
  <c r="GU75" i="4"/>
  <c r="GU76" i="4"/>
  <c r="GU77" i="4"/>
  <c r="GU78" i="4"/>
  <c r="GU79" i="4"/>
  <c r="GU80" i="4"/>
  <c r="GU81" i="4"/>
  <c r="GU82" i="4"/>
  <c r="GU83" i="4"/>
  <c r="GU84" i="4"/>
  <c r="GU85" i="4"/>
  <c r="GU86" i="4"/>
  <c r="GU87" i="4"/>
  <c r="GU88" i="4"/>
  <c r="GU89" i="4"/>
  <c r="GU90" i="4"/>
  <c r="GU91" i="4"/>
  <c r="GU92" i="4"/>
  <c r="GU93" i="4"/>
  <c r="GU94" i="4"/>
  <c r="GU95" i="4"/>
  <c r="GU96" i="4"/>
  <c r="GU97" i="4"/>
  <c r="GU98" i="4"/>
  <c r="GU99" i="4"/>
  <c r="GU100" i="4"/>
  <c r="GU101" i="4"/>
  <c r="GU102" i="4"/>
  <c r="GU103" i="4"/>
  <c r="GU104" i="4"/>
  <c r="GU105" i="4"/>
  <c r="GU106" i="4"/>
  <c r="GU107" i="4"/>
  <c r="GU108" i="4"/>
  <c r="GU109" i="4"/>
  <c r="GU110" i="4"/>
  <c r="GU111" i="4"/>
  <c r="GU112" i="4"/>
  <c r="GU113" i="4"/>
  <c r="GU114" i="4"/>
  <c r="GU115" i="4"/>
  <c r="GU116" i="4"/>
  <c r="GU117" i="4"/>
  <c r="GU118" i="4"/>
  <c r="GU119" i="4"/>
  <c r="GU120" i="4"/>
  <c r="GU121" i="4"/>
  <c r="GU122" i="4"/>
  <c r="GU123" i="4"/>
  <c r="GU124" i="4"/>
  <c r="GU125" i="4"/>
  <c r="GU126" i="4"/>
  <c r="GU127" i="4"/>
  <c r="GU128" i="4"/>
  <c r="GU129" i="4"/>
  <c r="GU130" i="4"/>
  <c r="GU131" i="4"/>
  <c r="GU132" i="4"/>
  <c r="GU133" i="4"/>
  <c r="GU134" i="4"/>
  <c r="GU135" i="4"/>
  <c r="GU136" i="4"/>
  <c r="GU137" i="4"/>
  <c r="GU138" i="4"/>
  <c r="GU139" i="4"/>
  <c r="GU140" i="4"/>
  <c r="GU141" i="4"/>
  <c r="GU142" i="4"/>
  <c r="GU143" i="4"/>
  <c r="GU144" i="4"/>
  <c r="GU145" i="4"/>
  <c r="GU146" i="4"/>
  <c r="GU147" i="4"/>
  <c r="GU148" i="4"/>
  <c r="GU149" i="4"/>
  <c r="GU150" i="4"/>
  <c r="GU151" i="4"/>
  <c r="GU152" i="4"/>
  <c r="GU153" i="4"/>
  <c r="GU154" i="4"/>
  <c r="GU155" i="4"/>
  <c r="GU156" i="4"/>
  <c r="GU157" i="4"/>
  <c r="GU158" i="4"/>
  <c r="GU159" i="4"/>
  <c r="GU160" i="4"/>
  <c r="GU161" i="4"/>
  <c r="GU162" i="4"/>
  <c r="GU163" i="4"/>
  <c r="GU164" i="4"/>
  <c r="GU165" i="4"/>
  <c r="GU166" i="4"/>
  <c r="GU167" i="4"/>
  <c r="GU168" i="4"/>
  <c r="GU169" i="4"/>
  <c r="GU170" i="4"/>
  <c r="GU171" i="4"/>
  <c r="GU172" i="4"/>
  <c r="GU173" i="4"/>
  <c r="GU174" i="4"/>
  <c r="GU175" i="4"/>
  <c r="GT2" i="4"/>
  <c r="GT3" i="4"/>
  <c r="GT4" i="4"/>
  <c r="GT5" i="4"/>
  <c r="GT6" i="4"/>
  <c r="GT7" i="4"/>
  <c r="GT8" i="4"/>
  <c r="GT9" i="4"/>
  <c r="GT10" i="4"/>
  <c r="GT11" i="4"/>
  <c r="GT12" i="4"/>
  <c r="GT13" i="4"/>
  <c r="GT14" i="4"/>
  <c r="GT15" i="4"/>
  <c r="GT16" i="4"/>
  <c r="GT17" i="4"/>
  <c r="GT18" i="4"/>
  <c r="GT19" i="4"/>
  <c r="GT20" i="4"/>
  <c r="GT21" i="4"/>
  <c r="GT22" i="4"/>
  <c r="GT23" i="4"/>
  <c r="GT24" i="4"/>
  <c r="GT25" i="4"/>
  <c r="GT26" i="4"/>
  <c r="GT27" i="4"/>
  <c r="GT28" i="4"/>
  <c r="GT29" i="4"/>
  <c r="GT30" i="4"/>
  <c r="GT31" i="4"/>
  <c r="GT32" i="4"/>
  <c r="GT33" i="4"/>
  <c r="GT34" i="4"/>
  <c r="GT35" i="4"/>
  <c r="GT36" i="4"/>
  <c r="GT37" i="4"/>
  <c r="GT38" i="4"/>
  <c r="GT39" i="4"/>
  <c r="GT40" i="4"/>
  <c r="GT41" i="4"/>
  <c r="GT42" i="4"/>
  <c r="GT43" i="4"/>
  <c r="GT44" i="4"/>
  <c r="GT45" i="4"/>
  <c r="GT46" i="4"/>
  <c r="GT47" i="4"/>
  <c r="GT48" i="4"/>
  <c r="GT49" i="4"/>
  <c r="GT50" i="4"/>
  <c r="GT51" i="4"/>
  <c r="GT52" i="4"/>
  <c r="GT53" i="4"/>
  <c r="GT54" i="4"/>
  <c r="GT55" i="4"/>
  <c r="GT56" i="4"/>
  <c r="GT57" i="4"/>
  <c r="GT58" i="4"/>
  <c r="GT59" i="4"/>
  <c r="GT60" i="4"/>
  <c r="GT61" i="4"/>
  <c r="GT62" i="4"/>
  <c r="GT63" i="4"/>
  <c r="GT64" i="4"/>
  <c r="GT65" i="4"/>
  <c r="GT66" i="4"/>
  <c r="GT67" i="4"/>
  <c r="GT68" i="4"/>
  <c r="GT69" i="4"/>
  <c r="GT70" i="4"/>
  <c r="GT71" i="4"/>
  <c r="GT72" i="4"/>
  <c r="GT73" i="4"/>
  <c r="GT74" i="4"/>
  <c r="GT75" i="4"/>
  <c r="GT76" i="4"/>
  <c r="GT77" i="4"/>
  <c r="GT78" i="4"/>
  <c r="GT79" i="4"/>
  <c r="GT80" i="4"/>
  <c r="GT81" i="4"/>
  <c r="GT82" i="4"/>
  <c r="GT83" i="4"/>
  <c r="GT84" i="4"/>
  <c r="GT85" i="4"/>
  <c r="GT86" i="4"/>
  <c r="GT87" i="4"/>
  <c r="GT88" i="4"/>
  <c r="GT89" i="4"/>
  <c r="GT90" i="4"/>
  <c r="GT91" i="4"/>
  <c r="GT92" i="4"/>
  <c r="GT93" i="4"/>
  <c r="GT94" i="4"/>
  <c r="GT95" i="4"/>
  <c r="GT96" i="4"/>
  <c r="GT97" i="4"/>
  <c r="GT98" i="4"/>
  <c r="GT99" i="4"/>
  <c r="GT100" i="4"/>
  <c r="GT101" i="4"/>
  <c r="GT102" i="4"/>
  <c r="GT103" i="4"/>
  <c r="GT104" i="4"/>
  <c r="GT105" i="4"/>
  <c r="GT106" i="4"/>
  <c r="GT107" i="4"/>
  <c r="GT108" i="4"/>
  <c r="GT109" i="4"/>
  <c r="GT110" i="4"/>
  <c r="GT111" i="4"/>
  <c r="GT112" i="4"/>
  <c r="GT113" i="4"/>
  <c r="GT114" i="4"/>
  <c r="GT115" i="4"/>
  <c r="GT116" i="4"/>
  <c r="GT117" i="4"/>
  <c r="GT118" i="4"/>
  <c r="GT119" i="4"/>
  <c r="GT120" i="4"/>
  <c r="GT121" i="4"/>
  <c r="GT122" i="4"/>
  <c r="GT123" i="4"/>
  <c r="GT124" i="4"/>
  <c r="GT125" i="4"/>
  <c r="GT126" i="4"/>
  <c r="GT127" i="4"/>
  <c r="GT128" i="4"/>
  <c r="GT129" i="4"/>
  <c r="GT130" i="4"/>
  <c r="GT131" i="4"/>
  <c r="GT132" i="4"/>
  <c r="GT133" i="4"/>
  <c r="GT134" i="4"/>
  <c r="GT135" i="4"/>
  <c r="GT136" i="4"/>
  <c r="GT137" i="4"/>
  <c r="GT138" i="4"/>
  <c r="GT139" i="4"/>
  <c r="GT140" i="4"/>
  <c r="GT141" i="4"/>
  <c r="GT142" i="4"/>
  <c r="GT143" i="4"/>
  <c r="GT144" i="4"/>
  <c r="GT145" i="4"/>
  <c r="GT146" i="4"/>
  <c r="GT147" i="4"/>
  <c r="GT148" i="4"/>
  <c r="GT149" i="4"/>
  <c r="GT150" i="4"/>
  <c r="GT151" i="4"/>
  <c r="GT152" i="4"/>
  <c r="GT153" i="4"/>
  <c r="GT154" i="4"/>
  <c r="GT155" i="4"/>
  <c r="GT156" i="4"/>
  <c r="GT157" i="4"/>
  <c r="GT158" i="4"/>
  <c r="GT159" i="4"/>
  <c r="GT160" i="4"/>
  <c r="GT161" i="4"/>
  <c r="GT162" i="4"/>
  <c r="GT163" i="4"/>
  <c r="GT164" i="4"/>
  <c r="GT165" i="4"/>
  <c r="GT166" i="4"/>
  <c r="GT167" i="4"/>
  <c r="GT168" i="4"/>
  <c r="GT169" i="4"/>
  <c r="GT170" i="4"/>
  <c r="GT171" i="4"/>
  <c r="GT172" i="4"/>
  <c r="GT173" i="4"/>
  <c r="GT174" i="4"/>
  <c r="GT175" i="4"/>
  <c r="GS2" i="4"/>
  <c r="GS3" i="4"/>
  <c r="GS4" i="4"/>
  <c r="GS5" i="4"/>
  <c r="GS6" i="4"/>
  <c r="GS7" i="4"/>
  <c r="GS8" i="4"/>
  <c r="GS9" i="4"/>
  <c r="GS10" i="4"/>
  <c r="GS11" i="4"/>
  <c r="GS12" i="4"/>
  <c r="GS13" i="4"/>
  <c r="GS14" i="4"/>
  <c r="GS15" i="4"/>
  <c r="GS16" i="4"/>
  <c r="GS17" i="4"/>
  <c r="GS18" i="4"/>
  <c r="GS19" i="4"/>
  <c r="GS20" i="4"/>
  <c r="GS21" i="4"/>
  <c r="GS22" i="4"/>
  <c r="GS23" i="4"/>
  <c r="GS24" i="4"/>
  <c r="GS25" i="4"/>
  <c r="GS26" i="4"/>
  <c r="GS27" i="4"/>
  <c r="GS28" i="4"/>
  <c r="GS29" i="4"/>
  <c r="GS30" i="4"/>
  <c r="GS31" i="4"/>
  <c r="GS32" i="4"/>
  <c r="GS33" i="4"/>
  <c r="GS34" i="4"/>
  <c r="GS35" i="4"/>
  <c r="GS36" i="4"/>
  <c r="GS37" i="4"/>
  <c r="GS38" i="4"/>
  <c r="GS39" i="4"/>
  <c r="GS40" i="4"/>
  <c r="GS41" i="4"/>
  <c r="GS42" i="4"/>
  <c r="GS43" i="4"/>
  <c r="GS44" i="4"/>
  <c r="GS45" i="4"/>
  <c r="GS46" i="4"/>
  <c r="GS47" i="4"/>
  <c r="GS48" i="4"/>
  <c r="GS49" i="4"/>
  <c r="GS50" i="4"/>
  <c r="GS51" i="4"/>
  <c r="GS52" i="4"/>
  <c r="GS53" i="4"/>
  <c r="GS54" i="4"/>
  <c r="GS55" i="4"/>
  <c r="GS56" i="4"/>
  <c r="GS57" i="4"/>
  <c r="GS58" i="4"/>
  <c r="GS59" i="4"/>
  <c r="GS60" i="4"/>
  <c r="GS61" i="4"/>
  <c r="GS62" i="4"/>
  <c r="GS63" i="4"/>
  <c r="GS64" i="4"/>
  <c r="GS65" i="4"/>
  <c r="GS66" i="4"/>
  <c r="GS67" i="4"/>
  <c r="GS68" i="4"/>
  <c r="GS69" i="4"/>
  <c r="GS70" i="4"/>
  <c r="GS71" i="4"/>
  <c r="GS72" i="4"/>
  <c r="GS73" i="4"/>
  <c r="GS74" i="4"/>
  <c r="GS75" i="4"/>
  <c r="GS76" i="4"/>
  <c r="GS77" i="4"/>
  <c r="GS78" i="4"/>
  <c r="GS79" i="4"/>
  <c r="GS80" i="4"/>
  <c r="GS81" i="4"/>
  <c r="GS82" i="4"/>
  <c r="GS83" i="4"/>
  <c r="GS84" i="4"/>
  <c r="GS85" i="4"/>
  <c r="GS86" i="4"/>
  <c r="GS87" i="4"/>
  <c r="GS88" i="4"/>
  <c r="GS89" i="4"/>
  <c r="GS90" i="4"/>
  <c r="GS91" i="4"/>
  <c r="GS92" i="4"/>
  <c r="GS93" i="4"/>
  <c r="GS94" i="4"/>
  <c r="GS95" i="4"/>
  <c r="GS96" i="4"/>
  <c r="GS97" i="4"/>
  <c r="GS98" i="4"/>
  <c r="GS99" i="4"/>
  <c r="GS100" i="4"/>
  <c r="GS101" i="4"/>
  <c r="GS102" i="4"/>
  <c r="GS103" i="4"/>
  <c r="GS104" i="4"/>
  <c r="GS105" i="4"/>
  <c r="GS106" i="4"/>
  <c r="GS107" i="4"/>
  <c r="GS108" i="4"/>
  <c r="GS109" i="4"/>
  <c r="GS110" i="4"/>
  <c r="GS111" i="4"/>
  <c r="GS112" i="4"/>
  <c r="GS113" i="4"/>
  <c r="GS114" i="4"/>
  <c r="GS115" i="4"/>
  <c r="GS116" i="4"/>
  <c r="GS117" i="4"/>
  <c r="GS118" i="4"/>
  <c r="GS119" i="4"/>
  <c r="GS120" i="4"/>
  <c r="GS121" i="4"/>
  <c r="GS122" i="4"/>
  <c r="GS123" i="4"/>
  <c r="GS124" i="4"/>
  <c r="GS125" i="4"/>
  <c r="GS126" i="4"/>
  <c r="GS127" i="4"/>
  <c r="GS128" i="4"/>
  <c r="GS129" i="4"/>
  <c r="GS130" i="4"/>
  <c r="GS131" i="4"/>
  <c r="GS132" i="4"/>
  <c r="GS133" i="4"/>
  <c r="GS134" i="4"/>
  <c r="GS135" i="4"/>
  <c r="GS136" i="4"/>
  <c r="GS137" i="4"/>
  <c r="GS138" i="4"/>
  <c r="GS139" i="4"/>
  <c r="GS140" i="4"/>
  <c r="GS141" i="4"/>
  <c r="GS142" i="4"/>
  <c r="GS143" i="4"/>
  <c r="GS144" i="4"/>
  <c r="GS145" i="4"/>
  <c r="GS146" i="4"/>
  <c r="GS147" i="4"/>
  <c r="GS148" i="4"/>
  <c r="GS149" i="4"/>
  <c r="GS150" i="4"/>
  <c r="GS151" i="4"/>
  <c r="GS152" i="4"/>
  <c r="GS153" i="4"/>
  <c r="GS154" i="4"/>
  <c r="GS155" i="4"/>
  <c r="GS156" i="4"/>
  <c r="GS157" i="4"/>
  <c r="GS158" i="4"/>
  <c r="GS159" i="4"/>
  <c r="GS160" i="4"/>
  <c r="GS161" i="4"/>
  <c r="GS162" i="4"/>
  <c r="GS163" i="4"/>
  <c r="GS164" i="4"/>
  <c r="GS165" i="4"/>
  <c r="GS166" i="4"/>
  <c r="GS167" i="4"/>
  <c r="GS168" i="4"/>
  <c r="GS169" i="4"/>
  <c r="GS170" i="4"/>
  <c r="GS171" i="4"/>
  <c r="GS172" i="4"/>
  <c r="GS173" i="4"/>
  <c r="GS174" i="4"/>
  <c r="GS175" i="4"/>
  <c r="GR2" i="4"/>
  <c r="GR3" i="4"/>
  <c r="GR4" i="4"/>
  <c r="GR5" i="4"/>
  <c r="GR6" i="4"/>
  <c r="GR7" i="4"/>
  <c r="GR8" i="4"/>
  <c r="GR9" i="4"/>
  <c r="GR10" i="4"/>
  <c r="GR11" i="4"/>
  <c r="GR12" i="4"/>
  <c r="GR13" i="4"/>
  <c r="GR14" i="4"/>
  <c r="GR15" i="4"/>
  <c r="GR16" i="4"/>
  <c r="GR17" i="4"/>
  <c r="GR18" i="4"/>
  <c r="GR19" i="4"/>
  <c r="GR20" i="4"/>
  <c r="GR21" i="4"/>
  <c r="GR22" i="4"/>
  <c r="GR23" i="4"/>
  <c r="GR24" i="4"/>
  <c r="GR25" i="4"/>
  <c r="GR26" i="4"/>
  <c r="GR27" i="4"/>
  <c r="GR28" i="4"/>
  <c r="GR29" i="4"/>
  <c r="GR30" i="4"/>
  <c r="GR31" i="4"/>
  <c r="GR32" i="4"/>
  <c r="GR33" i="4"/>
  <c r="GR34" i="4"/>
  <c r="GR35" i="4"/>
  <c r="GR36" i="4"/>
  <c r="GR37" i="4"/>
  <c r="GR38" i="4"/>
  <c r="GR39" i="4"/>
  <c r="GR40" i="4"/>
  <c r="GR41" i="4"/>
  <c r="GR42" i="4"/>
  <c r="GR43" i="4"/>
  <c r="GR44" i="4"/>
  <c r="GR45" i="4"/>
  <c r="GR46" i="4"/>
  <c r="GR47" i="4"/>
  <c r="GR48" i="4"/>
  <c r="GR49" i="4"/>
  <c r="GR50" i="4"/>
  <c r="GR51" i="4"/>
  <c r="GR52" i="4"/>
  <c r="GR53" i="4"/>
  <c r="GR54" i="4"/>
  <c r="GR55" i="4"/>
  <c r="GR56" i="4"/>
  <c r="GR57" i="4"/>
  <c r="GR58" i="4"/>
  <c r="GR59" i="4"/>
  <c r="GR60" i="4"/>
  <c r="GR61" i="4"/>
  <c r="GR62" i="4"/>
  <c r="GR63" i="4"/>
  <c r="GR64" i="4"/>
  <c r="GR65" i="4"/>
  <c r="GR66" i="4"/>
  <c r="GR67" i="4"/>
  <c r="GR68" i="4"/>
  <c r="GR69" i="4"/>
  <c r="GR70" i="4"/>
  <c r="GR71" i="4"/>
  <c r="GR72" i="4"/>
  <c r="GR73" i="4"/>
  <c r="GR74" i="4"/>
  <c r="GR75" i="4"/>
  <c r="GR76" i="4"/>
  <c r="GR77" i="4"/>
  <c r="GR78" i="4"/>
  <c r="GR79" i="4"/>
  <c r="GR80" i="4"/>
  <c r="GR81" i="4"/>
  <c r="GR82" i="4"/>
  <c r="GR83" i="4"/>
  <c r="GR84" i="4"/>
  <c r="GR85" i="4"/>
  <c r="GR86" i="4"/>
  <c r="GR87" i="4"/>
  <c r="GR88" i="4"/>
  <c r="GR89" i="4"/>
  <c r="GR90" i="4"/>
  <c r="GR91" i="4"/>
  <c r="GR92" i="4"/>
  <c r="GR93" i="4"/>
  <c r="GR94" i="4"/>
  <c r="GR95" i="4"/>
  <c r="GR96" i="4"/>
  <c r="GR97" i="4"/>
  <c r="GR98" i="4"/>
  <c r="GR99" i="4"/>
  <c r="GR100" i="4"/>
  <c r="GR101" i="4"/>
  <c r="GR102" i="4"/>
  <c r="GR103" i="4"/>
  <c r="GR104" i="4"/>
  <c r="GR105" i="4"/>
  <c r="GR106" i="4"/>
  <c r="GR107" i="4"/>
  <c r="GR108" i="4"/>
  <c r="GR109" i="4"/>
  <c r="GR110" i="4"/>
  <c r="GR111" i="4"/>
  <c r="GR112" i="4"/>
  <c r="GR113" i="4"/>
  <c r="GR114" i="4"/>
  <c r="GR115" i="4"/>
  <c r="GR116" i="4"/>
  <c r="GR117" i="4"/>
  <c r="GR118" i="4"/>
  <c r="GR119" i="4"/>
  <c r="GR120" i="4"/>
  <c r="GR121" i="4"/>
  <c r="GR122" i="4"/>
  <c r="GR123" i="4"/>
  <c r="GR124" i="4"/>
  <c r="GR125" i="4"/>
  <c r="GR126" i="4"/>
  <c r="GR127" i="4"/>
  <c r="GR128" i="4"/>
  <c r="GR129" i="4"/>
  <c r="GR130" i="4"/>
  <c r="GR131" i="4"/>
  <c r="GR132" i="4"/>
  <c r="GR133" i="4"/>
  <c r="GR134" i="4"/>
  <c r="GR135" i="4"/>
  <c r="GR136" i="4"/>
  <c r="GR137" i="4"/>
  <c r="GR138" i="4"/>
  <c r="GR139" i="4"/>
  <c r="GR140" i="4"/>
  <c r="GR141" i="4"/>
  <c r="GR142" i="4"/>
  <c r="GR143" i="4"/>
  <c r="GR144" i="4"/>
  <c r="GR145" i="4"/>
  <c r="GR146" i="4"/>
  <c r="GR147" i="4"/>
  <c r="GR148" i="4"/>
  <c r="GR149" i="4"/>
  <c r="GR150" i="4"/>
  <c r="GR151" i="4"/>
  <c r="GR152" i="4"/>
  <c r="GR153" i="4"/>
  <c r="GR154" i="4"/>
  <c r="GR155" i="4"/>
  <c r="GR156" i="4"/>
  <c r="GR157" i="4"/>
  <c r="GR158" i="4"/>
  <c r="GR159" i="4"/>
  <c r="GR160" i="4"/>
  <c r="GR161" i="4"/>
  <c r="GR162" i="4"/>
  <c r="GR163" i="4"/>
  <c r="GR164" i="4"/>
  <c r="GR165" i="4"/>
  <c r="GR166" i="4"/>
  <c r="GR167" i="4"/>
  <c r="GR168" i="4"/>
  <c r="GR169" i="4"/>
  <c r="GR170" i="4"/>
  <c r="GR171" i="4"/>
  <c r="GR172" i="4"/>
  <c r="GR173" i="4"/>
  <c r="GR174" i="4"/>
  <c r="GR175" i="4"/>
  <c r="GQ2" i="4"/>
  <c r="GQ3" i="4"/>
  <c r="GQ4" i="4"/>
  <c r="GQ5" i="4"/>
  <c r="GQ6" i="4"/>
  <c r="GQ7" i="4"/>
  <c r="GQ8" i="4"/>
  <c r="GQ9" i="4"/>
  <c r="GQ10" i="4"/>
  <c r="GQ11" i="4"/>
  <c r="GQ12" i="4"/>
  <c r="GQ13" i="4"/>
  <c r="GQ14" i="4"/>
  <c r="GQ15" i="4"/>
  <c r="GQ16" i="4"/>
  <c r="GQ17" i="4"/>
  <c r="GQ18" i="4"/>
  <c r="GQ19" i="4"/>
  <c r="GQ20" i="4"/>
  <c r="GQ21" i="4"/>
  <c r="GQ22" i="4"/>
  <c r="GQ23" i="4"/>
  <c r="GQ24" i="4"/>
  <c r="GQ25" i="4"/>
  <c r="GQ26" i="4"/>
  <c r="GQ27" i="4"/>
  <c r="GQ28" i="4"/>
  <c r="GQ29" i="4"/>
  <c r="GQ30" i="4"/>
  <c r="GQ31" i="4"/>
  <c r="GQ32" i="4"/>
  <c r="GQ33" i="4"/>
  <c r="GQ34" i="4"/>
  <c r="GQ35" i="4"/>
  <c r="GQ36" i="4"/>
  <c r="GQ37" i="4"/>
  <c r="GQ38" i="4"/>
  <c r="GQ39" i="4"/>
  <c r="GQ40" i="4"/>
  <c r="GQ41" i="4"/>
  <c r="GQ42" i="4"/>
  <c r="GQ43" i="4"/>
  <c r="GQ44" i="4"/>
  <c r="GQ45" i="4"/>
  <c r="GQ46" i="4"/>
  <c r="GQ47" i="4"/>
  <c r="GQ48" i="4"/>
  <c r="GQ49" i="4"/>
  <c r="GQ50" i="4"/>
  <c r="GQ51" i="4"/>
  <c r="GQ52" i="4"/>
  <c r="GQ53" i="4"/>
  <c r="GQ54" i="4"/>
  <c r="GQ55" i="4"/>
  <c r="GQ56" i="4"/>
  <c r="GQ57" i="4"/>
  <c r="GQ58" i="4"/>
  <c r="GQ59" i="4"/>
  <c r="GQ60" i="4"/>
  <c r="GQ61" i="4"/>
  <c r="GQ62" i="4"/>
  <c r="GQ63" i="4"/>
  <c r="GQ64" i="4"/>
  <c r="GQ65" i="4"/>
  <c r="GQ66" i="4"/>
  <c r="GQ67" i="4"/>
  <c r="GQ68" i="4"/>
  <c r="GQ69" i="4"/>
  <c r="GQ70" i="4"/>
  <c r="GQ71" i="4"/>
  <c r="GQ72" i="4"/>
  <c r="GQ73" i="4"/>
  <c r="GQ74" i="4"/>
  <c r="GQ75" i="4"/>
  <c r="GQ76" i="4"/>
  <c r="GQ77" i="4"/>
  <c r="GQ78" i="4"/>
  <c r="GQ79" i="4"/>
  <c r="GQ80" i="4"/>
  <c r="GQ81" i="4"/>
  <c r="GQ82" i="4"/>
  <c r="GQ83" i="4"/>
  <c r="GQ84" i="4"/>
  <c r="GQ85" i="4"/>
  <c r="GQ86" i="4"/>
  <c r="GQ87" i="4"/>
  <c r="GQ88" i="4"/>
  <c r="GQ89" i="4"/>
  <c r="GQ90" i="4"/>
  <c r="GQ91" i="4"/>
  <c r="GQ92" i="4"/>
  <c r="GQ93" i="4"/>
  <c r="GQ94" i="4"/>
  <c r="GQ95" i="4"/>
  <c r="GQ96" i="4"/>
  <c r="GQ97" i="4"/>
  <c r="GQ98" i="4"/>
  <c r="GQ99" i="4"/>
  <c r="GQ100" i="4"/>
  <c r="GQ101" i="4"/>
  <c r="GQ102" i="4"/>
  <c r="GQ103" i="4"/>
  <c r="GQ104" i="4"/>
  <c r="GQ105" i="4"/>
  <c r="GQ106" i="4"/>
  <c r="GQ107" i="4"/>
  <c r="GQ108" i="4"/>
  <c r="GQ109" i="4"/>
  <c r="GQ110" i="4"/>
  <c r="GQ111" i="4"/>
  <c r="GQ112" i="4"/>
  <c r="GQ113" i="4"/>
  <c r="GQ114" i="4"/>
  <c r="GQ115" i="4"/>
  <c r="GQ116" i="4"/>
  <c r="GQ117" i="4"/>
  <c r="GQ118" i="4"/>
  <c r="GQ119" i="4"/>
  <c r="GQ120" i="4"/>
  <c r="GQ121" i="4"/>
  <c r="GQ122" i="4"/>
  <c r="GQ123" i="4"/>
  <c r="GQ124" i="4"/>
  <c r="GQ125" i="4"/>
  <c r="GQ126" i="4"/>
  <c r="GQ127" i="4"/>
  <c r="GQ128" i="4"/>
  <c r="GQ129" i="4"/>
  <c r="GQ130" i="4"/>
  <c r="GQ131" i="4"/>
  <c r="GQ132" i="4"/>
  <c r="GQ133" i="4"/>
  <c r="GQ134" i="4"/>
  <c r="GQ135" i="4"/>
  <c r="GQ136" i="4"/>
  <c r="GQ137" i="4"/>
  <c r="GQ138" i="4"/>
  <c r="GQ139" i="4"/>
  <c r="GQ140" i="4"/>
  <c r="GQ141" i="4"/>
  <c r="GQ142" i="4"/>
  <c r="GQ143" i="4"/>
  <c r="GQ144" i="4"/>
  <c r="GQ145" i="4"/>
  <c r="GQ146" i="4"/>
  <c r="GQ147" i="4"/>
  <c r="GQ148" i="4"/>
  <c r="GQ149" i="4"/>
  <c r="GQ150" i="4"/>
  <c r="GQ151" i="4"/>
  <c r="GQ152" i="4"/>
  <c r="GQ153" i="4"/>
  <c r="GQ154" i="4"/>
  <c r="GQ155" i="4"/>
  <c r="GQ156" i="4"/>
  <c r="GQ157" i="4"/>
  <c r="GQ158" i="4"/>
  <c r="GQ159" i="4"/>
  <c r="GQ160" i="4"/>
  <c r="GQ161" i="4"/>
  <c r="GQ162" i="4"/>
  <c r="GQ163" i="4"/>
  <c r="GQ164" i="4"/>
  <c r="GQ165" i="4"/>
  <c r="GQ166" i="4"/>
  <c r="GQ167" i="4"/>
  <c r="GQ168" i="4"/>
  <c r="GQ169" i="4"/>
  <c r="GQ170" i="4"/>
  <c r="GQ171" i="4"/>
  <c r="GQ172" i="4"/>
  <c r="GQ173" i="4"/>
  <c r="GQ174" i="4"/>
  <c r="GQ175" i="4"/>
  <c r="GP2" i="4"/>
  <c r="GP3" i="4"/>
  <c r="GP4" i="4"/>
  <c r="GP5" i="4"/>
  <c r="GP6" i="4"/>
  <c r="GP7" i="4"/>
  <c r="GP8" i="4"/>
  <c r="GP9" i="4"/>
  <c r="GP10" i="4"/>
  <c r="GP11" i="4"/>
  <c r="GP12" i="4"/>
  <c r="GP13" i="4"/>
  <c r="GP14" i="4"/>
  <c r="GP15" i="4"/>
  <c r="GP16" i="4"/>
  <c r="GP17" i="4"/>
  <c r="GP18" i="4"/>
  <c r="GP19" i="4"/>
  <c r="GP20" i="4"/>
  <c r="GP21" i="4"/>
  <c r="GP22" i="4"/>
  <c r="GP23" i="4"/>
  <c r="GP24" i="4"/>
  <c r="GP25" i="4"/>
  <c r="GP26" i="4"/>
  <c r="GP27" i="4"/>
  <c r="GP28" i="4"/>
  <c r="GP29" i="4"/>
  <c r="GP30" i="4"/>
  <c r="GP31" i="4"/>
  <c r="GP32" i="4"/>
  <c r="GP33" i="4"/>
  <c r="GP34" i="4"/>
  <c r="GP35" i="4"/>
  <c r="GP36" i="4"/>
  <c r="GP37" i="4"/>
  <c r="GP38" i="4"/>
  <c r="GP39" i="4"/>
  <c r="GP40" i="4"/>
  <c r="GP41" i="4"/>
  <c r="GP42" i="4"/>
  <c r="GP43" i="4"/>
  <c r="GP44" i="4"/>
  <c r="GP45" i="4"/>
  <c r="GP46" i="4"/>
  <c r="GP47" i="4"/>
  <c r="GP48" i="4"/>
  <c r="GP49" i="4"/>
  <c r="GP50" i="4"/>
  <c r="GP51" i="4"/>
  <c r="GP52" i="4"/>
  <c r="GP53" i="4"/>
  <c r="GP54" i="4"/>
  <c r="GP55" i="4"/>
  <c r="GP56" i="4"/>
  <c r="GP57" i="4"/>
  <c r="GP58" i="4"/>
  <c r="GP59" i="4"/>
  <c r="GP60" i="4"/>
  <c r="GP61" i="4"/>
  <c r="GP62" i="4"/>
  <c r="GP63" i="4"/>
  <c r="GP64" i="4"/>
  <c r="GP65" i="4"/>
  <c r="GP66" i="4"/>
  <c r="GP67" i="4"/>
  <c r="GP68" i="4"/>
  <c r="GP69" i="4"/>
  <c r="GP70" i="4"/>
  <c r="GP71" i="4"/>
  <c r="GP72" i="4"/>
  <c r="GP73" i="4"/>
  <c r="GP74" i="4"/>
  <c r="GP75" i="4"/>
  <c r="GP76" i="4"/>
  <c r="GP77" i="4"/>
  <c r="GP78" i="4"/>
  <c r="GP79" i="4"/>
  <c r="GP80" i="4"/>
  <c r="GP81" i="4"/>
  <c r="GP82" i="4"/>
  <c r="GP83" i="4"/>
  <c r="GP84" i="4"/>
  <c r="GP85" i="4"/>
  <c r="GP86" i="4"/>
  <c r="GP87" i="4"/>
  <c r="GP88" i="4"/>
  <c r="GP89" i="4"/>
  <c r="GP90" i="4"/>
  <c r="GP91" i="4"/>
  <c r="GP92" i="4"/>
  <c r="GP93" i="4"/>
  <c r="GP94" i="4"/>
  <c r="GP95" i="4"/>
  <c r="GP96" i="4"/>
  <c r="GP97" i="4"/>
  <c r="GP98" i="4"/>
  <c r="GP99" i="4"/>
  <c r="GP100" i="4"/>
  <c r="GP101" i="4"/>
  <c r="GP102" i="4"/>
  <c r="GP103" i="4"/>
  <c r="GP104" i="4"/>
  <c r="GP105" i="4"/>
  <c r="GP106" i="4"/>
  <c r="GP107" i="4"/>
  <c r="GP108" i="4"/>
  <c r="GP109" i="4"/>
  <c r="GP110" i="4"/>
  <c r="GP111" i="4"/>
  <c r="GP112" i="4"/>
  <c r="GP113" i="4"/>
  <c r="GP114" i="4"/>
  <c r="GP115" i="4"/>
  <c r="GP116" i="4"/>
  <c r="GP117" i="4"/>
  <c r="GP118" i="4"/>
  <c r="GP119" i="4"/>
  <c r="GP120" i="4"/>
  <c r="GP121" i="4"/>
  <c r="GP122" i="4"/>
  <c r="GP123" i="4"/>
  <c r="GP124" i="4"/>
  <c r="GP125" i="4"/>
  <c r="GP126" i="4"/>
  <c r="GP127" i="4"/>
  <c r="GP128" i="4"/>
  <c r="GP129" i="4"/>
  <c r="GP130" i="4"/>
  <c r="GP131" i="4"/>
  <c r="GP132" i="4"/>
  <c r="GP133" i="4"/>
  <c r="GP134" i="4"/>
  <c r="GP135" i="4"/>
  <c r="GP136" i="4"/>
  <c r="GP137" i="4"/>
  <c r="GP138" i="4"/>
  <c r="GP139" i="4"/>
  <c r="GP140" i="4"/>
  <c r="GP141" i="4"/>
  <c r="GP142" i="4"/>
  <c r="GP143" i="4"/>
  <c r="GP144" i="4"/>
  <c r="GP145" i="4"/>
  <c r="GP146" i="4"/>
  <c r="GP147" i="4"/>
  <c r="GP148" i="4"/>
  <c r="GP149" i="4"/>
  <c r="GP150" i="4"/>
  <c r="GP151" i="4"/>
  <c r="GP152" i="4"/>
  <c r="GP153" i="4"/>
  <c r="GP154" i="4"/>
  <c r="GP155" i="4"/>
  <c r="GP156" i="4"/>
  <c r="GP157" i="4"/>
  <c r="GP158" i="4"/>
  <c r="GP159" i="4"/>
  <c r="GP160" i="4"/>
  <c r="GP161" i="4"/>
  <c r="GP162" i="4"/>
  <c r="GP163" i="4"/>
  <c r="GP164" i="4"/>
  <c r="GP165" i="4"/>
  <c r="GP166" i="4"/>
  <c r="GP167" i="4"/>
  <c r="GP168" i="4"/>
  <c r="GP169" i="4"/>
  <c r="GP170" i="4"/>
  <c r="GP171" i="4"/>
  <c r="GP172" i="4"/>
  <c r="GP173" i="4"/>
  <c r="GP174" i="4"/>
  <c r="GP175" i="4"/>
  <c r="GO2" i="4"/>
  <c r="GO3" i="4"/>
  <c r="GO4" i="4"/>
  <c r="GO5" i="4"/>
  <c r="GO6" i="4"/>
  <c r="GO7" i="4"/>
  <c r="GO8" i="4"/>
  <c r="GO9" i="4"/>
  <c r="GO10" i="4"/>
  <c r="GO11" i="4"/>
  <c r="GO12" i="4"/>
  <c r="GO13" i="4"/>
  <c r="GO14" i="4"/>
  <c r="GO15" i="4"/>
  <c r="GO16" i="4"/>
  <c r="GO17" i="4"/>
  <c r="GO18" i="4"/>
  <c r="GO19" i="4"/>
  <c r="GO20" i="4"/>
  <c r="GO21" i="4"/>
  <c r="GO22" i="4"/>
  <c r="GO23" i="4"/>
  <c r="GO24" i="4"/>
  <c r="GO25" i="4"/>
  <c r="GO26" i="4"/>
  <c r="GO27" i="4"/>
  <c r="GO28" i="4"/>
  <c r="GO29" i="4"/>
  <c r="GO30" i="4"/>
  <c r="GO31" i="4"/>
  <c r="GO32" i="4"/>
  <c r="GO33" i="4"/>
  <c r="GO34" i="4"/>
  <c r="GO35" i="4"/>
  <c r="GO36" i="4"/>
  <c r="GO37" i="4"/>
  <c r="GO38" i="4"/>
  <c r="GO39" i="4"/>
  <c r="GO40" i="4"/>
  <c r="GO41" i="4"/>
  <c r="GO42" i="4"/>
  <c r="GO43" i="4"/>
  <c r="GO44" i="4"/>
  <c r="GO45" i="4"/>
  <c r="GO46" i="4"/>
  <c r="GO47" i="4"/>
  <c r="GO48" i="4"/>
  <c r="GO49" i="4"/>
  <c r="GO50" i="4"/>
  <c r="GO51" i="4"/>
  <c r="GO52" i="4"/>
  <c r="GO53" i="4"/>
  <c r="GO54" i="4"/>
  <c r="GO55" i="4"/>
  <c r="GO56" i="4"/>
  <c r="GO57" i="4"/>
  <c r="GO58" i="4"/>
  <c r="GO59" i="4"/>
  <c r="GO60" i="4"/>
  <c r="GO61" i="4"/>
  <c r="GO62" i="4"/>
  <c r="GO63" i="4"/>
  <c r="GO64" i="4"/>
  <c r="GO65" i="4"/>
  <c r="GO66" i="4"/>
  <c r="GO67" i="4"/>
  <c r="GO68" i="4"/>
  <c r="GO69" i="4"/>
  <c r="GO70" i="4"/>
  <c r="GO71" i="4"/>
  <c r="GO72" i="4"/>
  <c r="GO73" i="4"/>
  <c r="GO74" i="4"/>
  <c r="GO75" i="4"/>
  <c r="GO76" i="4"/>
  <c r="GO77" i="4"/>
  <c r="GO78" i="4"/>
  <c r="GO79" i="4"/>
  <c r="GO80" i="4"/>
  <c r="GO81" i="4"/>
  <c r="GO82" i="4"/>
  <c r="GO83" i="4"/>
  <c r="GO84" i="4"/>
  <c r="GO85" i="4"/>
  <c r="GO86" i="4"/>
  <c r="GO87" i="4"/>
  <c r="GO88" i="4"/>
  <c r="GO89" i="4"/>
  <c r="GO90" i="4"/>
  <c r="GO91" i="4"/>
  <c r="GO92" i="4"/>
  <c r="GO93" i="4"/>
  <c r="GO94" i="4"/>
  <c r="GO95" i="4"/>
  <c r="GO96" i="4"/>
  <c r="GO97" i="4"/>
  <c r="GO98" i="4"/>
  <c r="GO99" i="4"/>
  <c r="GO100" i="4"/>
  <c r="GO101" i="4"/>
  <c r="GO102" i="4"/>
  <c r="GO103" i="4"/>
  <c r="GO104" i="4"/>
  <c r="GO105" i="4"/>
  <c r="GO106" i="4"/>
  <c r="GO107" i="4"/>
  <c r="GO108" i="4"/>
  <c r="GO109" i="4"/>
  <c r="GO110" i="4"/>
  <c r="GO111" i="4"/>
  <c r="GO112" i="4"/>
  <c r="GO113" i="4"/>
  <c r="GO114" i="4"/>
  <c r="GO115" i="4"/>
  <c r="GO116" i="4"/>
  <c r="GO117" i="4"/>
  <c r="GO118" i="4"/>
  <c r="GO119" i="4"/>
  <c r="GO120" i="4"/>
  <c r="GO121" i="4"/>
  <c r="GO122" i="4"/>
  <c r="GO123" i="4"/>
  <c r="GO124" i="4"/>
  <c r="GO125" i="4"/>
  <c r="GO126" i="4"/>
  <c r="GO127" i="4"/>
  <c r="GO128" i="4"/>
  <c r="GO129" i="4"/>
  <c r="GO130" i="4"/>
  <c r="GO131" i="4"/>
  <c r="GO132" i="4"/>
  <c r="GO133" i="4"/>
  <c r="GO134" i="4"/>
  <c r="GO135" i="4"/>
  <c r="GO136" i="4"/>
  <c r="GO137" i="4"/>
  <c r="GO138" i="4"/>
  <c r="GO139" i="4"/>
  <c r="GO140" i="4"/>
  <c r="GO141" i="4"/>
  <c r="GO142" i="4"/>
  <c r="GO143" i="4"/>
  <c r="GO144" i="4"/>
  <c r="GO145" i="4"/>
  <c r="GO146" i="4"/>
  <c r="GO147" i="4"/>
  <c r="GO148" i="4"/>
  <c r="GO149" i="4"/>
  <c r="GO150" i="4"/>
  <c r="GO151" i="4"/>
  <c r="GO152" i="4"/>
  <c r="GO153" i="4"/>
  <c r="GO154" i="4"/>
  <c r="GO155" i="4"/>
  <c r="GO156" i="4"/>
  <c r="GO157" i="4"/>
  <c r="GO158" i="4"/>
  <c r="GO159" i="4"/>
  <c r="GO160" i="4"/>
  <c r="GO161" i="4"/>
  <c r="GO162" i="4"/>
  <c r="GO163" i="4"/>
  <c r="GO164" i="4"/>
  <c r="GO165" i="4"/>
  <c r="GO166" i="4"/>
  <c r="GO167" i="4"/>
  <c r="GO168" i="4"/>
  <c r="GO169" i="4"/>
  <c r="GO170" i="4"/>
  <c r="GO171" i="4"/>
  <c r="GO172" i="4"/>
  <c r="GO173" i="4"/>
  <c r="GO174" i="4"/>
  <c r="GO175" i="4"/>
  <c r="GN2" i="4"/>
  <c r="GN3" i="4"/>
  <c r="GN4" i="4"/>
  <c r="GN5" i="4"/>
  <c r="GN6" i="4"/>
  <c r="GN7" i="4"/>
  <c r="GN8" i="4"/>
  <c r="GN9" i="4"/>
  <c r="GN10" i="4"/>
  <c r="GN11" i="4"/>
  <c r="GN12" i="4"/>
  <c r="GN13" i="4"/>
  <c r="GN14" i="4"/>
  <c r="GN15" i="4"/>
  <c r="GN16" i="4"/>
  <c r="GN17" i="4"/>
  <c r="GN18" i="4"/>
  <c r="GN19" i="4"/>
  <c r="GN20" i="4"/>
  <c r="GN21" i="4"/>
  <c r="GN22" i="4"/>
  <c r="GN23" i="4"/>
  <c r="GN24" i="4"/>
  <c r="GN25" i="4"/>
  <c r="GN26" i="4"/>
  <c r="GN27" i="4"/>
  <c r="GN28" i="4"/>
  <c r="GN29" i="4"/>
  <c r="GN30" i="4"/>
  <c r="GN31" i="4"/>
  <c r="GN32" i="4"/>
  <c r="GN33" i="4"/>
  <c r="GN34" i="4"/>
  <c r="GN35" i="4"/>
  <c r="GN36" i="4"/>
  <c r="GN37" i="4"/>
  <c r="GN38" i="4"/>
  <c r="GN39" i="4"/>
  <c r="GN40" i="4"/>
  <c r="GN41" i="4"/>
  <c r="GN42" i="4"/>
  <c r="GN43" i="4"/>
  <c r="GN44" i="4"/>
  <c r="GN45" i="4"/>
  <c r="GN46" i="4"/>
  <c r="GN47" i="4"/>
  <c r="GN48" i="4"/>
  <c r="GN49" i="4"/>
  <c r="GN50" i="4"/>
  <c r="GN51" i="4"/>
  <c r="GN52" i="4"/>
  <c r="GN53" i="4"/>
  <c r="GN54" i="4"/>
  <c r="GN55" i="4"/>
  <c r="GN56" i="4"/>
  <c r="GN57" i="4"/>
  <c r="GN58" i="4"/>
  <c r="GN59" i="4"/>
  <c r="GN60" i="4"/>
  <c r="GN61" i="4"/>
  <c r="GN62" i="4"/>
  <c r="GN63" i="4"/>
  <c r="GN64" i="4"/>
  <c r="GN65" i="4"/>
  <c r="GN66" i="4"/>
  <c r="GN67" i="4"/>
  <c r="GN68" i="4"/>
  <c r="GN69" i="4"/>
  <c r="GN70" i="4"/>
  <c r="GN71" i="4"/>
  <c r="GN72" i="4"/>
  <c r="GN73" i="4"/>
  <c r="GN74" i="4"/>
  <c r="GN75" i="4"/>
  <c r="GN76" i="4"/>
  <c r="GN77" i="4"/>
  <c r="GN78" i="4"/>
  <c r="GN79" i="4"/>
  <c r="GN80" i="4"/>
  <c r="GN81" i="4"/>
  <c r="GN82" i="4"/>
  <c r="GN83" i="4"/>
  <c r="GN84" i="4"/>
  <c r="GN85" i="4"/>
  <c r="GN86" i="4"/>
  <c r="GN87" i="4"/>
  <c r="GN88" i="4"/>
  <c r="GN89" i="4"/>
  <c r="GN90" i="4"/>
  <c r="GN91" i="4"/>
  <c r="GN92" i="4"/>
  <c r="GN93" i="4"/>
  <c r="GN94" i="4"/>
  <c r="GN95" i="4"/>
  <c r="GN96" i="4"/>
  <c r="GN97" i="4"/>
  <c r="GN98" i="4"/>
  <c r="GN99" i="4"/>
  <c r="GN100" i="4"/>
  <c r="GN101" i="4"/>
  <c r="GN102" i="4"/>
  <c r="GN103" i="4"/>
  <c r="GN104" i="4"/>
  <c r="GN105" i="4"/>
  <c r="GN106" i="4"/>
  <c r="GN107" i="4"/>
  <c r="GN108" i="4"/>
  <c r="GN109" i="4"/>
  <c r="GN110" i="4"/>
  <c r="GN111" i="4"/>
  <c r="GN112" i="4"/>
  <c r="GN113" i="4"/>
  <c r="GN114" i="4"/>
  <c r="GN115" i="4"/>
  <c r="GN116" i="4"/>
  <c r="GN117" i="4"/>
  <c r="GN118" i="4"/>
  <c r="GN119" i="4"/>
  <c r="GN120" i="4"/>
  <c r="GN121" i="4"/>
  <c r="GN122" i="4"/>
  <c r="GN123" i="4"/>
  <c r="GN124" i="4"/>
  <c r="GN125" i="4"/>
  <c r="GN126" i="4"/>
  <c r="GN127" i="4"/>
  <c r="GN128" i="4"/>
  <c r="GN129" i="4"/>
  <c r="GN130" i="4"/>
  <c r="GN131" i="4"/>
  <c r="GN132" i="4"/>
  <c r="GN133" i="4"/>
  <c r="GN134" i="4"/>
  <c r="GN135" i="4"/>
  <c r="GN136" i="4"/>
  <c r="GN137" i="4"/>
  <c r="GN138" i="4"/>
  <c r="GN139" i="4"/>
  <c r="GN140" i="4"/>
  <c r="GN141" i="4"/>
  <c r="GN142" i="4"/>
  <c r="GN143" i="4"/>
  <c r="GN144" i="4"/>
  <c r="GN145" i="4"/>
  <c r="GN146" i="4"/>
  <c r="GN147" i="4"/>
  <c r="GN148" i="4"/>
  <c r="GN149" i="4"/>
  <c r="GN150" i="4"/>
  <c r="GN151" i="4"/>
  <c r="GN152" i="4"/>
  <c r="GN153" i="4"/>
  <c r="GN154" i="4"/>
  <c r="GN155" i="4"/>
  <c r="GN156" i="4"/>
  <c r="GN157" i="4"/>
  <c r="GN158" i="4"/>
  <c r="GN159" i="4"/>
  <c r="GN160" i="4"/>
  <c r="GN161" i="4"/>
  <c r="GN162" i="4"/>
  <c r="GN163" i="4"/>
  <c r="GN164" i="4"/>
  <c r="GN165" i="4"/>
  <c r="GN166" i="4"/>
  <c r="GN167" i="4"/>
  <c r="GN168" i="4"/>
  <c r="GN169" i="4"/>
  <c r="GN170" i="4"/>
  <c r="GN171" i="4"/>
  <c r="GN172" i="4"/>
  <c r="GN173" i="4"/>
  <c r="GN174" i="4"/>
  <c r="GN175" i="4"/>
  <c r="GM2" i="4"/>
  <c r="GM3" i="4"/>
  <c r="GM4" i="4"/>
  <c r="GM5" i="4"/>
  <c r="GM6" i="4"/>
  <c r="GM7" i="4"/>
  <c r="GM8" i="4"/>
  <c r="GM9" i="4"/>
  <c r="GM10" i="4"/>
  <c r="GM11" i="4"/>
  <c r="GM12" i="4"/>
  <c r="GM13" i="4"/>
  <c r="GM14" i="4"/>
  <c r="GM15" i="4"/>
  <c r="GM16" i="4"/>
  <c r="GM17" i="4"/>
  <c r="GM18" i="4"/>
  <c r="GM19" i="4"/>
  <c r="GM20" i="4"/>
  <c r="GM21" i="4"/>
  <c r="GM22" i="4"/>
  <c r="GM23" i="4"/>
  <c r="GM24" i="4"/>
  <c r="GM25" i="4"/>
  <c r="GM26" i="4"/>
  <c r="GM27" i="4"/>
  <c r="GM28" i="4"/>
  <c r="GM29" i="4"/>
  <c r="GM30" i="4"/>
  <c r="GM31" i="4"/>
  <c r="GM32" i="4"/>
  <c r="GM33" i="4"/>
  <c r="GM34" i="4"/>
  <c r="GM35" i="4"/>
  <c r="GM36" i="4"/>
  <c r="GM37" i="4"/>
  <c r="GM38" i="4"/>
  <c r="GM39" i="4"/>
  <c r="GM40" i="4"/>
  <c r="GM41" i="4"/>
  <c r="GM42" i="4"/>
  <c r="GM43" i="4"/>
  <c r="GM44" i="4"/>
  <c r="GM45" i="4"/>
  <c r="GM46" i="4"/>
  <c r="GM47" i="4"/>
  <c r="GM48" i="4"/>
  <c r="GM49" i="4"/>
  <c r="GM50" i="4"/>
  <c r="GM51" i="4"/>
  <c r="GM52" i="4"/>
  <c r="GM53" i="4"/>
  <c r="GM54" i="4"/>
  <c r="GM55" i="4"/>
  <c r="GM56" i="4"/>
  <c r="GM57" i="4"/>
  <c r="GM58" i="4"/>
  <c r="GM59" i="4"/>
  <c r="GM60" i="4"/>
  <c r="GM61" i="4"/>
  <c r="GM62" i="4"/>
  <c r="GM63" i="4"/>
  <c r="GM64" i="4"/>
  <c r="GM65" i="4"/>
  <c r="GM66" i="4"/>
  <c r="GM67" i="4"/>
  <c r="GM68" i="4"/>
  <c r="GM69" i="4"/>
  <c r="GM70" i="4"/>
  <c r="GM71" i="4"/>
  <c r="GM72" i="4"/>
  <c r="GM73" i="4"/>
  <c r="GM74" i="4"/>
  <c r="GM75" i="4"/>
  <c r="GM76" i="4"/>
  <c r="GM77" i="4"/>
  <c r="GM78" i="4"/>
  <c r="GM79" i="4"/>
  <c r="GM80" i="4"/>
  <c r="GM81" i="4"/>
  <c r="GM82" i="4"/>
  <c r="GM83" i="4"/>
  <c r="GM84" i="4"/>
  <c r="GM85" i="4"/>
  <c r="GM86" i="4"/>
  <c r="GM87" i="4"/>
  <c r="GM88" i="4"/>
  <c r="GM89" i="4"/>
  <c r="GM90" i="4"/>
  <c r="GM91" i="4"/>
  <c r="GM92" i="4"/>
  <c r="GM93" i="4"/>
  <c r="GM94" i="4"/>
  <c r="GM95" i="4"/>
  <c r="GM96" i="4"/>
  <c r="GM97" i="4"/>
  <c r="GM98" i="4"/>
  <c r="GM99" i="4"/>
  <c r="GM100" i="4"/>
  <c r="GM101" i="4"/>
  <c r="GM102" i="4"/>
  <c r="GM103" i="4"/>
  <c r="GM104" i="4"/>
  <c r="GM105" i="4"/>
  <c r="GM106" i="4"/>
  <c r="GM107" i="4"/>
  <c r="GM108" i="4"/>
  <c r="GM109" i="4"/>
  <c r="GM110" i="4"/>
  <c r="GM111" i="4"/>
  <c r="GM112" i="4"/>
  <c r="GM113" i="4"/>
  <c r="GM114" i="4"/>
  <c r="GM115" i="4"/>
  <c r="GM116" i="4"/>
  <c r="GM117" i="4"/>
  <c r="GM118" i="4"/>
  <c r="GM119" i="4"/>
  <c r="GM120" i="4"/>
  <c r="GM121" i="4"/>
  <c r="GM122" i="4"/>
  <c r="GM123" i="4"/>
  <c r="GM124" i="4"/>
  <c r="GM125" i="4"/>
  <c r="GM126" i="4"/>
  <c r="GM127" i="4"/>
  <c r="GM128" i="4"/>
  <c r="GM129" i="4"/>
  <c r="GM130" i="4"/>
  <c r="GM131" i="4"/>
  <c r="GM132" i="4"/>
  <c r="GM133" i="4"/>
  <c r="GM134" i="4"/>
  <c r="GM135" i="4"/>
  <c r="GM136" i="4"/>
  <c r="GM137" i="4"/>
  <c r="GM138" i="4"/>
  <c r="GM139" i="4"/>
  <c r="GM140" i="4"/>
  <c r="GM141" i="4"/>
  <c r="GM142" i="4"/>
  <c r="GM143" i="4"/>
  <c r="GM144" i="4"/>
  <c r="GM145" i="4"/>
  <c r="GM146" i="4"/>
  <c r="GM147" i="4"/>
  <c r="GM148" i="4"/>
  <c r="GM149" i="4"/>
  <c r="GM150" i="4"/>
  <c r="GM151" i="4"/>
  <c r="GM152" i="4"/>
  <c r="GM153" i="4"/>
  <c r="GM154" i="4"/>
  <c r="GM155" i="4"/>
  <c r="GM156" i="4"/>
  <c r="GM157" i="4"/>
  <c r="GM158" i="4"/>
  <c r="GM159" i="4"/>
  <c r="GM160" i="4"/>
  <c r="GM161" i="4"/>
  <c r="GM162" i="4"/>
  <c r="GM163" i="4"/>
  <c r="GM164" i="4"/>
  <c r="GM165" i="4"/>
  <c r="GM166" i="4"/>
  <c r="GM167" i="4"/>
  <c r="GM168" i="4"/>
  <c r="GM169" i="4"/>
  <c r="GM170" i="4"/>
  <c r="GM171" i="4"/>
  <c r="GM172" i="4"/>
  <c r="GM173" i="4"/>
  <c r="GM174" i="4"/>
  <c r="GM175" i="4"/>
  <c r="GL2" i="4"/>
  <c r="GL3" i="4"/>
  <c r="GL4" i="4"/>
  <c r="GL5" i="4"/>
  <c r="GL6" i="4"/>
  <c r="GL7" i="4"/>
  <c r="GL8" i="4"/>
  <c r="GL9" i="4"/>
  <c r="GL10" i="4"/>
  <c r="GL11" i="4"/>
  <c r="GL12" i="4"/>
  <c r="GL13" i="4"/>
  <c r="GL14" i="4"/>
  <c r="GL15" i="4"/>
  <c r="GL16" i="4"/>
  <c r="GL17" i="4"/>
  <c r="GL18" i="4"/>
  <c r="GL19" i="4"/>
  <c r="GL20" i="4"/>
  <c r="GL21" i="4"/>
  <c r="GL22" i="4"/>
  <c r="GL23" i="4"/>
  <c r="GL24" i="4"/>
  <c r="GL25" i="4"/>
  <c r="GL26" i="4"/>
  <c r="GL27" i="4"/>
  <c r="GL28" i="4"/>
  <c r="GL29" i="4"/>
  <c r="GL30" i="4"/>
  <c r="GL31" i="4"/>
  <c r="GL32" i="4"/>
  <c r="GL33" i="4"/>
  <c r="GL34" i="4"/>
  <c r="GL35" i="4"/>
  <c r="GL36" i="4"/>
  <c r="GL37" i="4"/>
  <c r="GL38" i="4"/>
  <c r="GL39" i="4"/>
  <c r="GL40" i="4"/>
  <c r="GL41" i="4"/>
  <c r="GL42" i="4"/>
  <c r="GL43" i="4"/>
  <c r="GL44" i="4"/>
  <c r="GL45" i="4"/>
  <c r="GL46" i="4"/>
  <c r="GL47" i="4"/>
  <c r="GL48" i="4"/>
  <c r="GL49" i="4"/>
  <c r="GL50" i="4"/>
  <c r="GL51" i="4"/>
  <c r="GL52" i="4"/>
  <c r="GL53" i="4"/>
  <c r="GL54" i="4"/>
  <c r="GL55" i="4"/>
  <c r="GL56" i="4"/>
  <c r="GL57" i="4"/>
  <c r="GL58" i="4"/>
  <c r="GL59" i="4"/>
  <c r="GL60" i="4"/>
  <c r="GL61" i="4"/>
  <c r="GL62" i="4"/>
  <c r="GL63" i="4"/>
  <c r="GL64" i="4"/>
  <c r="GL65" i="4"/>
  <c r="GL66" i="4"/>
  <c r="GL67" i="4"/>
  <c r="GL68" i="4"/>
  <c r="GL69" i="4"/>
  <c r="GL70" i="4"/>
  <c r="GL71" i="4"/>
  <c r="GL72" i="4"/>
  <c r="GL73" i="4"/>
  <c r="GL74" i="4"/>
  <c r="GL75" i="4"/>
  <c r="GL76" i="4"/>
  <c r="GL77" i="4"/>
  <c r="GL78" i="4"/>
  <c r="GL79" i="4"/>
  <c r="GL80" i="4"/>
  <c r="GL81" i="4"/>
  <c r="GL82" i="4"/>
  <c r="GL83" i="4"/>
  <c r="GL84" i="4"/>
  <c r="GL85" i="4"/>
  <c r="GL86" i="4"/>
  <c r="GL87" i="4"/>
  <c r="GL88" i="4"/>
  <c r="GL89" i="4"/>
  <c r="GL90" i="4"/>
  <c r="GL91" i="4"/>
  <c r="GL92" i="4"/>
  <c r="GL93" i="4"/>
  <c r="GL94" i="4"/>
  <c r="GL95" i="4"/>
  <c r="GL96" i="4"/>
  <c r="GL97" i="4"/>
  <c r="GL98" i="4"/>
  <c r="GL99" i="4"/>
  <c r="GL100" i="4"/>
  <c r="GL101" i="4"/>
  <c r="GL102" i="4"/>
  <c r="GL103" i="4"/>
  <c r="GL104" i="4"/>
  <c r="GL105" i="4"/>
  <c r="GL106" i="4"/>
  <c r="GL107" i="4"/>
  <c r="GL108" i="4"/>
  <c r="GL109" i="4"/>
  <c r="GL110" i="4"/>
  <c r="GL111" i="4"/>
  <c r="GL112" i="4"/>
  <c r="GL113" i="4"/>
  <c r="GL114" i="4"/>
  <c r="GL115" i="4"/>
  <c r="GL116" i="4"/>
  <c r="GL117" i="4"/>
  <c r="GL118" i="4"/>
  <c r="GL119" i="4"/>
  <c r="GL120" i="4"/>
  <c r="GL121" i="4"/>
  <c r="GL122" i="4"/>
  <c r="GL123" i="4"/>
  <c r="GL124" i="4"/>
  <c r="GL125" i="4"/>
  <c r="GL126" i="4"/>
  <c r="GL127" i="4"/>
  <c r="GL128" i="4"/>
  <c r="GL129" i="4"/>
  <c r="GL130" i="4"/>
  <c r="GL131" i="4"/>
  <c r="GL132" i="4"/>
  <c r="GL133" i="4"/>
  <c r="GL134" i="4"/>
  <c r="GL135" i="4"/>
  <c r="GL136" i="4"/>
  <c r="GL137" i="4"/>
  <c r="GL138" i="4"/>
  <c r="GL139" i="4"/>
  <c r="GL140" i="4"/>
  <c r="GL141" i="4"/>
  <c r="GL142" i="4"/>
  <c r="GL143" i="4"/>
  <c r="GL144" i="4"/>
  <c r="GL145" i="4"/>
  <c r="GL146" i="4"/>
  <c r="GL147" i="4"/>
  <c r="GL148" i="4"/>
  <c r="GL149" i="4"/>
  <c r="GL150" i="4"/>
  <c r="GL151" i="4"/>
  <c r="GL152" i="4"/>
  <c r="GL153" i="4"/>
  <c r="GL154" i="4"/>
  <c r="GL155" i="4"/>
  <c r="GL156" i="4"/>
  <c r="GL157" i="4"/>
  <c r="GL158" i="4"/>
  <c r="GL159" i="4"/>
  <c r="GL160" i="4"/>
  <c r="GL161" i="4"/>
  <c r="GL162" i="4"/>
  <c r="GL163" i="4"/>
  <c r="GL164" i="4"/>
  <c r="GL165" i="4"/>
  <c r="GL166" i="4"/>
  <c r="GL167" i="4"/>
  <c r="GL168" i="4"/>
  <c r="GL169" i="4"/>
  <c r="GL170" i="4"/>
  <c r="GL171" i="4"/>
  <c r="GL172" i="4"/>
  <c r="GL173" i="4"/>
  <c r="GL174" i="4"/>
  <c r="GL175" i="4"/>
  <c r="GK2" i="4"/>
  <c r="GK3" i="4"/>
  <c r="GK4" i="4"/>
  <c r="GK5" i="4"/>
  <c r="GK6" i="4"/>
  <c r="GK7" i="4"/>
  <c r="GK8" i="4"/>
  <c r="GK9" i="4"/>
  <c r="GK10" i="4"/>
  <c r="GK11" i="4"/>
  <c r="GK12" i="4"/>
  <c r="GK13" i="4"/>
  <c r="GK14" i="4"/>
  <c r="GK15" i="4"/>
  <c r="GK16" i="4"/>
  <c r="GK17" i="4"/>
  <c r="GK18" i="4"/>
  <c r="GK19" i="4"/>
  <c r="GK20" i="4"/>
  <c r="GK21" i="4"/>
  <c r="GK22" i="4"/>
  <c r="GK23" i="4"/>
  <c r="GK24" i="4"/>
  <c r="GK25" i="4"/>
  <c r="GK26" i="4"/>
  <c r="GK27" i="4"/>
  <c r="GK28" i="4"/>
  <c r="GK29" i="4"/>
  <c r="GK30" i="4"/>
  <c r="GK31" i="4"/>
  <c r="GK32" i="4"/>
  <c r="GK33" i="4"/>
  <c r="GK34" i="4"/>
  <c r="GK35" i="4"/>
  <c r="GK36" i="4"/>
  <c r="GK37" i="4"/>
  <c r="GK38" i="4"/>
  <c r="GK39" i="4"/>
  <c r="GK40" i="4"/>
  <c r="GK41" i="4"/>
  <c r="GK42" i="4"/>
  <c r="GK43" i="4"/>
  <c r="GK44" i="4"/>
  <c r="GK45" i="4"/>
  <c r="GK46" i="4"/>
  <c r="GK47" i="4"/>
  <c r="GK48" i="4"/>
  <c r="GK49" i="4"/>
  <c r="GK50" i="4"/>
  <c r="GK51" i="4"/>
  <c r="GK52" i="4"/>
  <c r="GK53" i="4"/>
  <c r="GK54" i="4"/>
  <c r="GK55" i="4"/>
  <c r="GK56" i="4"/>
  <c r="GK57" i="4"/>
  <c r="GK58" i="4"/>
  <c r="GK59" i="4"/>
  <c r="GK60" i="4"/>
  <c r="GK61" i="4"/>
  <c r="GK62" i="4"/>
  <c r="GK63" i="4"/>
  <c r="GK64" i="4"/>
  <c r="GK65" i="4"/>
  <c r="GK66" i="4"/>
  <c r="GK67" i="4"/>
  <c r="GK68" i="4"/>
  <c r="GK69" i="4"/>
  <c r="GK70" i="4"/>
  <c r="GK71" i="4"/>
  <c r="GK72" i="4"/>
  <c r="GK73" i="4"/>
  <c r="GK74" i="4"/>
  <c r="GK75" i="4"/>
  <c r="GK76" i="4"/>
  <c r="GK77" i="4"/>
  <c r="GK78" i="4"/>
  <c r="GK79" i="4"/>
  <c r="GK80" i="4"/>
  <c r="GK81" i="4"/>
  <c r="GK82" i="4"/>
  <c r="GK83" i="4"/>
  <c r="GK84" i="4"/>
  <c r="GK85" i="4"/>
  <c r="GK86" i="4"/>
  <c r="GK87" i="4"/>
  <c r="GK88" i="4"/>
  <c r="GK89" i="4"/>
  <c r="GK90" i="4"/>
  <c r="GK91" i="4"/>
  <c r="GK92" i="4"/>
  <c r="GK93" i="4"/>
  <c r="GK94" i="4"/>
  <c r="GK95" i="4"/>
  <c r="GK96" i="4"/>
  <c r="GK97" i="4"/>
  <c r="GK98" i="4"/>
  <c r="GK99" i="4"/>
  <c r="GK100" i="4"/>
  <c r="GK101" i="4"/>
  <c r="GK102" i="4"/>
  <c r="GK103" i="4"/>
  <c r="GK104" i="4"/>
  <c r="GK105" i="4"/>
  <c r="GK106" i="4"/>
  <c r="GK107" i="4"/>
  <c r="GK108" i="4"/>
  <c r="GK109" i="4"/>
  <c r="GK110" i="4"/>
  <c r="GK111" i="4"/>
  <c r="GK112" i="4"/>
  <c r="GK113" i="4"/>
  <c r="GK114" i="4"/>
  <c r="GK115" i="4"/>
  <c r="GK116" i="4"/>
  <c r="GK117" i="4"/>
  <c r="GK118" i="4"/>
  <c r="GK119" i="4"/>
  <c r="GK120" i="4"/>
  <c r="GK121" i="4"/>
  <c r="GK122" i="4"/>
  <c r="GK123" i="4"/>
  <c r="GK124" i="4"/>
  <c r="GK125" i="4"/>
  <c r="GK126" i="4"/>
  <c r="GK127" i="4"/>
  <c r="GK128" i="4"/>
  <c r="GK129" i="4"/>
  <c r="GK130" i="4"/>
  <c r="GK131" i="4"/>
  <c r="GK132" i="4"/>
  <c r="GK133" i="4"/>
  <c r="GK134" i="4"/>
  <c r="GK135" i="4"/>
  <c r="GK136" i="4"/>
  <c r="GK137" i="4"/>
  <c r="GK138" i="4"/>
  <c r="GK139" i="4"/>
  <c r="GK140" i="4"/>
  <c r="GK141" i="4"/>
  <c r="GK142" i="4"/>
  <c r="GK143" i="4"/>
  <c r="GK144" i="4"/>
  <c r="GK145" i="4"/>
  <c r="GK146" i="4"/>
  <c r="GK147" i="4"/>
  <c r="GK148" i="4"/>
  <c r="GK149" i="4"/>
  <c r="GK150" i="4"/>
  <c r="GK151" i="4"/>
  <c r="GK152" i="4"/>
  <c r="GK153" i="4"/>
  <c r="GK154" i="4"/>
  <c r="GK155" i="4"/>
  <c r="GK156" i="4"/>
  <c r="GK157" i="4"/>
  <c r="GK158" i="4"/>
  <c r="GK159" i="4"/>
  <c r="GK160" i="4"/>
  <c r="GK161" i="4"/>
  <c r="GK162" i="4"/>
  <c r="GK163" i="4"/>
  <c r="GK164" i="4"/>
  <c r="GK165" i="4"/>
  <c r="GK166" i="4"/>
  <c r="GK167" i="4"/>
  <c r="GK168" i="4"/>
  <c r="GK169" i="4"/>
  <c r="GK170" i="4"/>
  <c r="GK171" i="4"/>
  <c r="GK172" i="4"/>
  <c r="GK173" i="4"/>
  <c r="GK174" i="4"/>
  <c r="GK175" i="4"/>
  <c r="GJ2" i="4"/>
  <c r="GJ3" i="4"/>
  <c r="GJ4" i="4"/>
  <c r="GJ5" i="4"/>
  <c r="GJ6" i="4"/>
  <c r="GJ7" i="4"/>
  <c r="GJ8" i="4"/>
  <c r="GJ9" i="4"/>
  <c r="GJ10" i="4"/>
  <c r="GJ11" i="4"/>
  <c r="GJ12" i="4"/>
  <c r="GJ13" i="4"/>
  <c r="GJ14" i="4"/>
  <c r="GJ15" i="4"/>
  <c r="GJ16" i="4"/>
  <c r="GJ17" i="4"/>
  <c r="GJ18" i="4"/>
  <c r="GJ19" i="4"/>
  <c r="GJ20" i="4"/>
  <c r="GJ21" i="4"/>
  <c r="GJ22" i="4"/>
  <c r="GJ23" i="4"/>
  <c r="GJ24" i="4"/>
  <c r="GJ25" i="4"/>
  <c r="GJ26" i="4"/>
  <c r="GJ27" i="4"/>
  <c r="GJ28" i="4"/>
  <c r="GJ29" i="4"/>
  <c r="GJ30" i="4"/>
  <c r="GJ31" i="4"/>
  <c r="GJ32" i="4"/>
  <c r="GJ33" i="4"/>
  <c r="GJ34" i="4"/>
  <c r="GJ35" i="4"/>
  <c r="GJ36" i="4"/>
  <c r="GJ37" i="4"/>
  <c r="GJ38" i="4"/>
  <c r="GJ39" i="4"/>
  <c r="GJ40" i="4"/>
  <c r="GJ41" i="4"/>
  <c r="GJ42" i="4"/>
  <c r="GJ43" i="4"/>
  <c r="GJ44" i="4"/>
  <c r="GJ45" i="4"/>
  <c r="GJ46" i="4"/>
  <c r="GJ47" i="4"/>
  <c r="GJ48" i="4"/>
  <c r="GJ49" i="4"/>
  <c r="GJ50" i="4"/>
  <c r="GJ51" i="4"/>
  <c r="GJ52" i="4"/>
  <c r="GJ53" i="4"/>
  <c r="GJ54" i="4"/>
  <c r="GJ55" i="4"/>
  <c r="GJ56" i="4"/>
  <c r="GJ57" i="4"/>
  <c r="GJ58" i="4"/>
  <c r="GJ59" i="4"/>
  <c r="GJ60" i="4"/>
  <c r="GJ61" i="4"/>
  <c r="GJ62" i="4"/>
  <c r="GJ63" i="4"/>
  <c r="GJ64" i="4"/>
  <c r="GJ65" i="4"/>
  <c r="GJ66" i="4"/>
  <c r="GJ67" i="4"/>
  <c r="GJ68" i="4"/>
  <c r="GJ69" i="4"/>
  <c r="GJ70" i="4"/>
  <c r="GJ71" i="4"/>
  <c r="GJ72" i="4"/>
  <c r="GJ73" i="4"/>
  <c r="GJ74" i="4"/>
  <c r="GJ75" i="4"/>
  <c r="GJ76" i="4"/>
  <c r="GJ77" i="4"/>
  <c r="GJ78" i="4"/>
  <c r="GJ79" i="4"/>
  <c r="GJ80" i="4"/>
  <c r="GJ81" i="4"/>
  <c r="GJ82" i="4"/>
  <c r="GJ83" i="4"/>
  <c r="GJ84" i="4"/>
  <c r="GJ85" i="4"/>
  <c r="GJ86" i="4"/>
  <c r="GJ87" i="4"/>
  <c r="GJ88" i="4"/>
  <c r="GJ89" i="4"/>
  <c r="GJ90" i="4"/>
  <c r="GJ91" i="4"/>
  <c r="GJ92" i="4"/>
  <c r="GJ93" i="4"/>
  <c r="GJ94" i="4"/>
  <c r="GJ95" i="4"/>
  <c r="GJ96" i="4"/>
  <c r="GJ97" i="4"/>
  <c r="GJ98" i="4"/>
  <c r="GJ99" i="4"/>
  <c r="GJ100" i="4"/>
  <c r="GJ101" i="4"/>
  <c r="GJ102" i="4"/>
  <c r="GJ103" i="4"/>
  <c r="GJ104" i="4"/>
  <c r="GJ105" i="4"/>
  <c r="GJ106" i="4"/>
  <c r="GJ107" i="4"/>
  <c r="GJ108" i="4"/>
  <c r="GJ109" i="4"/>
  <c r="GJ110" i="4"/>
  <c r="GJ111" i="4"/>
  <c r="GJ112" i="4"/>
  <c r="GJ113" i="4"/>
  <c r="GJ114" i="4"/>
  <c r="GJ115" i="4"/>
  <c r="GJ116" i="4"/>
  <c r="GJ117" i="4"/>
  <c r="GJ118" i="4"/>
  <c r="GJ119" i="4"/>
  <c r="GJ120" i="4"/>
  <c r="GJ121" i="4"/>
  <c r="GJ122" i="4"/>
  <c r="GJ123" i="4"/>
  <c r="GJ124" i="4"/>
  <c r="GJ125" i="4"/>
  <c r="GJ126" i="4"/>
  <c r="GJ127" i="4"/>
  <c r="GJ128" i="4"/>
  <c r="GJ129" i="4"/>
  <c r="GJ130" i="4"/>
  <c r="GJ131" i="4"/>
  <c r="GJ132" i="4"/>
  <c r="GJ133" i="4"/>
  <c r="GJ134" i="4"/>
  <c r="GJ135" i="4"/>
  <c r="GJ136" i="4"/>
  <c r="GJ137" i="4"/>
  <c r="GJ138" i="4"/>
  <c r="GJ139" i="4"/>
  <c r="GJ140" i="4"/>
  <c r="GJ141" i="4"/>
  <c r="GJ142" i="4"/>
  <c r="GJ143" i="4"/>
  <c r="GJ144" i="4"/>
  <c r="GJ145" i="4"/>
  <c r="GJ146" i="4"/>
  <c r="GJ147" i="4"/>
  <c r="GJ148" i="4"/>
  <c r="GJ149" i="4"/>
  <c r="GJ150" i="4"/>
  <c r="GJ151" i="4"/>
  <c r="GJ152" i="4"/>
  <c r="GJ153" i="4"/>
  <c r="GJ154" i="4"/>
  <c r="GJ155" i="4"/>
  <c r="GJ156" i="4"/>
  <c r="GJ157" i="4"/>
  <c r="GJ158" i="4"/>
  <c r="GJ159" i="4"/>
  <c r="GJ160" i="4"/>
  <c r="GJ161" i="4"/>
  <c r="GJ162" i="4"/>
  <c r="GJ163" i="4"/>
  <c r="GJ164" i="4"/>
  <c r="GJ165" i="4"/>
  <c r="GJ166" i="4"/>
  <c r="GJ167" i="4"/>
  <c r="GJ168" i="4"/>
  <c r="GJ169" i="4"/>
  <c r="GJ170" i="4"/>
  <c r="GJ171" i="4"/>
  <c r="GJ172" i="4"/>
  <c r="GJ173" i="4"/>
  <c r="GJ174" i="4"/>
  <c r="GJ175" i="4"/>
  <c r="GI2" i="4"/>
  <c r="GI3" i="4"/>
  <c r="GI4" i="4"/>
  <c r="GI5" i="4"/>
  <c r="GI6" i="4"/>
  <c r="GI7" i="4"/>
  <c r="GI8" i="4"/>
  <c r="GI9" i="4"/>
  <c r="GI10" i="4"/>
  <c r="GI11" i="4"/>
  <c r="GI12" i="4"/>
  <c r="GI13" i="4"/>
  <c r="GI14" i="4"/>
  <c r="GI15" i="4"/>
  <c r="GI16" i="4"/>
  <c r="GI17" i="4"/>
  <c r="GI18" i="4"/>
  <c r="GI19" i="4"/>
  <c r="GI20" i="4"/>
  <c r="GI21" i="4"/>
  <c r="GI22" i="4"/>
  <c r="GI23" i="4"/>
  <c r="GI24" i="4"/>
  <c r="GI25" i="4"/>
  <c r="GI26" i="4"/>
  <c r="GI27" i="4"/>
  <c r="GI28" i="4"/>
  <c r="GI29" i="4"/>
  <c r="GI30" i="4"/>
  <c r="GI31" i="4"/>
  <c r="GI32" i="4"/>
  <c r="GI33" i="4"/>
  <c r="GI34" i="4"/>
  <c r="GI35" i="4"/>
  <c r="GI36" i="4"/>
  <c r="GI37" i="4"/>
  <c r="GI38" i="4"/>
  <c r="GI39" i="4"/>
  <c r="GI40" i="4"/>
  <c r="GI41" i="4"/>
  <c r="GI42" i="4"/>
  <c r="GI43" i="4"/>
  <c r="GI44" i="4"/>
  <c r="GI45" i="4"/>
  <c r="GI46" i="4"/>
  <c r="GI47" i="4"/>
  <c r="GI48" i="4"/>
  <c r="GI49" i="4"/>
  <c r="GI50" i="4"/>
  <c r="GI51" i="4"/>
  <c r="GI52" i="4"/>
  <c r="GI53" i="4"/>
  <c r="GI54" i="4"/>
  <c r="GI55" i="4"/>
  <c r="GI56" i="4"/>
  <c r="GI57" i="4"/>
  <c r="GI58" i="4"/>
  <c r="GI59" i="4"/>
  <c r="GI60" i="4"/>
  <c r="GI61" i="4"/>
  <c r="GI62" i="4"/>
  <c r="GI63" i="4"/>
  <c r="GI64" i="4"/>
  <c r="GI65" i="4"/>
  <c r="GI66" i="4"/>
  <c r="GI67" i="4"/>
  <c r="GI68" i="4"/>
  <c r="GI69" i="4"/>
  <c r="GI70" i="4"/>
  <c r="GI71" i="4"/>
  <c r="GI72" i="4"/>
  <c r="GI73" i="4"/>
  <c r="GI74" i="4"/>
  <c r="GI75" i="4"/>
  <c r="GI76" i="4"/>
  <c r="GI77" i="4"/>
  <c r="GI78" i="4"/>
  <c r="GI79" i="4"/>
  <c r="GI80" i="4"/>
  <c r="GI81" i="4"/>
  <c r="GI82" i="4"/>
  <c r="GI83" i="4"/>
  <c r="GI84" i="4"/>
  <c r="GI85" i="4"/>
  <c r="GI86" i="4"/>
  <c r="GI87" i="4"/>
  <c r="GI88" i="4"/>
  <c r="GI89" i="4"/>
  <c r="GI90" i="4"/>
  <c r="GI91" i="4"/>
  <c r="GI92" i="4"/>
  <c r="GI93" i="4"/>
  <c r="GI94" i="4"/>
  <c r="GI95" i="4"/>
  <c r="GI96" i="4"/>
  <c r="GI97" i="4"/>
  <c r="GI98" i="4"/>
  <c r="GI99" i="4"/>
  <c r="GI100" i="4"/>
  <c r="GI101" i="4"/>
  <c r="GI102" i="4"/>
  <c r="GI103" i="4"/>
  <c r="GI104" i="4"/>
  <c r="GI105" i="4"/>
  <c r="GI106" i="4"/>
  <c r="GI107" i="4"/>
  <c r="GI108" i="4"/>
  <c r="GI109" i="4"/>
  <c r="GI110" i="4"/>
  <c r="GI111" i="4"/>
  <c r="GI112" i="4"/>
  <c r="GI113" i="4"/>
  <c r="GI114" i="4"/>
  <c r="GI115" i="4"/>
  <c r="GI116" i="4"/>
  <c r="GI117" i="4"/>
  <c r="GI118" i="4"/>
  <c r="GI119" i="4"/>
  <c r="GI120" i="4"/>
  <c r="GI121" i="4"/>
  <c r="GI122" i="4"/>
  <c r="GI123" i="4"/>
  <c r="GI124" i="4"/>
  <c r="GI125" i="4"/>
  <c r="GI126" i="4"/>
  <c r="GI127" i="4"/>
  <c r="GI128" i="4"/>
  <c r="GI129" i="4"/>
  <c r="GI130" i="4"/>
  <c r="GI131" i="4"/>
  <c r="GI132" i="4"/>
  <c r="GI133" i="4"/>
  <c r="GI134" i="4"/>
  <c r="GI135" i="4"/>
  <c r="GI136" i="4"/>
  <c r="GI137" i="4"/>
  <c r="GI138" i="4"/>
  <c r="GI139" i="4"/>
  <c r="GI140" i="4"/>
  <c r="GI141" i="4"/>
  <c r="GI142" i="4"/>
  <c r="GI143" i="4"/>
  <c r="GI144" i="4"/>
  <c r="GI145" i="4"/>
  <c r="GI146" i="4"/>
  <c r="GI147" i="4"/>
  <c r="GI148" i="4"/>
  <c r="GI149" i="4"/>
  <c r="GI150" i="4"/>
  <c r="GI151" i="4"/>
  <c r="GI152" i="4"/>
  <c r="GI153" i="4"/>
  <c r="GI154" i="4"/>
  <c r="GI155" i="4"/>
  <c r="GI156" i="4"/>
  <c r="GI157" i="4"/>
  <c r="GI158" i="4"/>
  <c r="GI159" i="4"/>
  <c r="GI160" i="4"/>
  <c r="GI161" i="4"/>
  <c r="GI162" i="4"/>
  <c r="GI163" i="4"/>
  <c r="GI164" i="4"/>
  <c r="GI165" i="4"/>
  <c r="GI166" i="4"/>
  <c r="GI167" i="4"/>
  <c r="GI168" i="4"/>
  <c r="GI169" i="4"/>
  <c r="GI170" i="4"/>
  <c r="GI171" i="4"/>
  <c r="GI172" i="4"/>
  <c r="GI173" i="4"/>
  <c r="GI174" i="4"/>
  <c r="GI175" i="4"/>
  <c r="GH2" i="4"/>
  <c r="GH3" i="4"/>
  <c r="GH4" i="4"/>
  <c r="GH5" i="4"/>
  <c r="GH6" i="4"/>
  <c r="GH7" i="4"/>
  <c r="GH8" i="4"/>
  <c r="GH9" i="4"/>
  <c r="GH10" i="4"/>
  <c r="GH11" i="4"/>
  <c r="GH12" i="4"/>
  <c r="GH13" i="4"/>
  <c r="GH14" i="4"/>
  <c r="GH15" i="4"/>
  <c r="GH16" i="4"/>
  <c r="GH17" i="4"/>
  <c r="GH18" i="4"/>
  <c r="GH19" i="4"/>
  <c r="GH20" i="4"/>
  <c r="GH21" i="4"/>
  <c r="GH22" i="4"/>
  <c r="GH23" i="4"/>
  <c r="GH24" i="4"/>
  <c r="GH25" i="4"/>
  <c r="GH26" i="4"/>
  <c r="GH27" i="4"/>
  <c r="GH28" i="4"/>
  <c r="GH29" i="4"/>
  <c r="GH30" i="4"/>
  <c r="GH31" i="4"/>
  <c r="GH32" i="4"/>
  <c r="GH33" i="4"/>
  <c r="GH34" i="4"/>
  <c r="GH35" i="4"/>
  <c r="GH36" i="4"/>
  <c r="GH37" i="4"/>
  <c r="GH38" i="4"/>
  <c r="GH39" i="4"/>
  <c r="GH40" i="4"/>
  <c r="GH41" i="4"/>
  <c r="GH42" i="4"/>
  <c r="GH43" i="4"/>
  <c r="GH44" i="4"/>
  <c r="GH45" i="4"/>
  <c r="GH46" i="4"/>
  <c r="GH47" i="4"/>
  <c r="GH48" i="4"/>
  <c r="GH49" i="4"/>
  <c r="GH50" i="4"/>
  <c r="GH51" i="4"/>
  <c r="GH52" i="4"/>
  <c r="GH53" i="4"/>
  <c r="GH54" i="4"/>
  <c r="GH55" i="4"/>
  <c r="GH56" i="4"/>
  <c r="GH57" i="4"/>
  <c r="GH58" i="4"/>
  <c r="GH59" i="4"/>
  <c r="GH60" i="4"/>
  <c r="GH61" i="4"/>
  <c r="GH62" i="4"/>
  <c r="GH63" i="4"/>
  <c r="GH64" i="4"/>
  <c r="GH65" i="4"/>
  <c r="GH66" i="4"/>
  <c r="GH67" i="4"/>
  <c r="GH68" i="4"/>
  <c r="GH69" i="4"/>
  <c r="GH70" i="4"/>
  <c r="GH71" i="4"/>
  <c r="GH72" i="4"/>
  <c r="GH73" i="4"/>
  <c r="GH74" i="4"/>
  <c r="GH75" i="4"/>
  <c r="GH76" i="4"/>
  <c r="GH77" i="4"/>
  <c r="GH78" i="4"/>
  <c r="GH79" i="4"/>
  <c r="GH80" i="4"/>
  <c r="GH81" i="4"/>
  <c r="GH82" i="4"/>
  <c r="GH83" i="4"/>
  <c r="GH84" i="4"/>
  <c r="GH85" i="4"/>
  <c r="GH86" i="4"/>
  <c r="GH87" i="4"/>
  <c r="GH88" i="4"/>
  <c r="GH89" i="4"/>
  <c r="GH90" i="4"/>
  <c r="GH91" i="4"/>
  <c r="GH92" i="4"/>
  <c r="GH93" i="4"/>
  <c r="GH94" i="4"/>
  <c r="GH95" i="4"/>
  <c r="GH96" i="4"/>
  <c r="GH97" i="4"/>
  <c r="GH98" i="4"/>
  <c r="GH99" i="4"/>
  <c r="GH100" i="4"/>
  <c r="GH101" i="4"/>
  <c r="GH102" i="4"/>
  <c r="GH103" i="4"/>
  <c r="GH104" i="4"/>
  <c r="GH105" i="4"/>
  <c r="GH106" i="4"/>
  <c r="GH107" i="4"/>
  <c r="GH108" i="4"/>
  <c r="GH109" i="4"/>
  <c r="GH110" i="4"/>
  <c r="GH111" i="4"/>
  <c r="GH112" i="4"/>
  <c r="GH113" i="4"/>
  <c r="GH114" i="4"/>
  <c r="GH115" i="4"/>
  <c r="GH116" i="4"/>
  <c r="GH117" i="4"/>
  <c r="GH118" i="4"/>
  <c r="GH119" i="4"/>
  <c r="GH120" i="4"/>
  <c r="GH121" i="4"/>
  <c r="GH122" i="4"/>
  <c r="GH123" i="4"/>
  <c r="GH124" i="4"/>
  <c r="GH125" i="4"/>
  <c r="GH126" i="4"/>
  <c r="GH127" i="4"/>
  <c r="GH128" i="4"/>
  <c r="GH129" i="4"/>
  <c r="GH130" i="4"/>
  <c r="GH131" i="4"/>
  <c r="GH132" i="4"/>
  <c r="GH133" i="4"/>
  <c r="GH134" i="4"/>
  <c r="GH135" i="4"/>
  <c r="GH136" i="4"/>
  <c r="GH137" i="4"/>
  <c r="GH138" i="4"/>
  <c r="GH139" i="4"/>
  <c r="GH140" i="4"/>
  <c r="GH141" i="4"/>
  <c r="GH142" i="4"/>
  <c r="GH143" i="4"/>
  <c r="GH144" i="4"/>
  <c r="GH145" i="4"/>
  <c r="GH146" i="4"/>
  <c r="GH147" i="4"/>
  <c r="GH148" i="4"/>
  <c r="GH149" i="4"/>
  <c r="GH150" i="4"/>
  <c r="GH151" i="4"/>
  <c r="GH152" i="4"/>
  <c r="GH153" i="4"/>
  <c r="GH154" i="4"/>
  <c r="GH155" i="4"/>
  <c r="GH156" i="4"/>
  <c r="GH157" i="4"/>
  <c r="GH158" i="4"/>
  <c r="GH159" i="4"/>
  <c r="GH160" i="4"/>
  <c r="GH161" i="4"/>
  <c r="GH162" i="4"/>
  <c r="GH163" i="4"/>
  <c r="GH164" i="4"/>
  <c r="GH165" i="4"/>
  <c r="GH166" i="4"/>
  <c r="GH167" i="4"/>
  <c r="GH168" i="4"/>
  <c r="GH169" i="4"/>
  <c r="GH170" i="4"/>
  <c r="GH171" i="4"/>
  <c r="GH172" i="4"/>
  <c r="GH173" i="4"/>
  <c r="GH174" i="4"/>
  <c r="GH175" i="4"/>
  <c r="GG2" i="4"/>
  <c r="GG3" i="4"/>
  <c r="GG4" i="4"/>
  <c r="GG5" i="4"/>
  <c r="GG6" i="4"/>
  <c r="GG7" i="4"/>
  <c r="GG8" i="4"/>
  <c r="GG9" i="4"/>
  <c r="GG10" i="4"/>
  <c r="GG11" i="4"/>
  <c r="GG12" i="4"/>
  <c r="GG13" i="4"/>
  <c r="GG14" i="4"/>
  <c r="GG15" i="4"/>
  <c r="GG16" i="4"/>
  <c r="GG17" i="4"/>
  <c r="GG18" i="4"/>
  <c r="GG19" i="4"/>
  <c r="GG20" i="4"/>
  <c r="GG21" i="4"/>
  <c r="GG22" i="4"/>
  <c r="GG23" i="4"/>
  <c r="GG24" i="4"/>
  <c r="GG25" i="4"/>
  <c r="GG26" i="4"/>
  <c r="GG27" i="4"/>
  <c r="GG28" i="4"/>
  <c r="GG29" i="4"/>
  <c r="GG30" i="4"/>
  <c r="GG31" i="4"/>
  <c r="GG32" i="4"/>
  <c r="GG33" i="4"/>
  <c r="GG34" i="4"/>
  <c r="GG35" i="4"/>
  <c r="GG36" i="4"/>
  <c r="GG37" i="4"/>
  <c r="GG38" i="4"/>
  <c r="GG39" i="4"/>
  <c r="GG40" i="4"/>
  <c r="GG41" i="4"/>
  <c r="GG42" i="4"/>
  <c r="GG43" i="4"/>
  <c r="GG44" i="4"/>
  <c r="GG45" i="4"/>
  <c r="GG46" i="4"/>
  <c r="GG47" i="4"/>
  <c r="GG48" i="4"/>
  <c r="GG49" i="4"/>
  <c r="GG50" i="4"/>
  <c r="GG51" i="4"/>
  <c r="GG52" i="4"/>
  <c r="GG53" i="4"/>
  <c r="GG54" i="4"/>
  <c r="GG55" i="4"/>
  <c r="GG56" i="4"/>
  <c r="GG57" i="4"/>
  <c r="GG58" i="4"/>
  <c r="GG59" i="4"/>
  <c r="GG60" i="4"/>
  <c r="GG61" i="4"/>
  <c r="GG62" i="4"/>
  <c r="GG63" i="4"/>
  <c r="GG64" i="4"/>
  <c r="GG65" i="4"/>
  <c r="GG66" i="4"/>
  <c r="GG67" i="4"/>
  <c r="GG68" i="4"/>
  <c r="GG69" i="4"/>
  <c r="GG70" i="4"/>
  <c r="GG71" i="4"/>
  <c r="GG72" i="4"/>
  <c r="GG73" i="4"/>
  <c r="GG74" i="4"/>
  <c r="GG75" i="4"/>
  <c r="GG76" i="4"/>
  <c r="GG77" i="4"/>
  <c r="GG78" i="4"/>
  <c r="GG79" i="4"/>
  <c r="GG80" i="4"/>
  <c r="GG81" i="4"/>
  <c r="GG82" i="4"/>
  <c r="GG83" i="4"/>
  <c r="GG84" i="4"/>
  <c r="GG85" i="4"/>
  <c r="GG86" i="4"/>
  <c r="GG87" i="4"/>
  <c r="GG88" i="4"/>
  <c r="GG89" i="4"/>
  <c r="GG90" i="4"/>
  <c r="GG91" i="4"/>
  <c r="GG92" i="4"/>
  <c r="GG93" i="4"/>
  <c r="GG94" i="4"/>
  <c r="GG95" i="4"/>
  <c r="GG96" i="4"/>
  <c r="GG97" i="4"/>
  <c r="GG98" i="4"/>
  <c r="GG99" i="4"/>
  <c r="GG100" i="4"/>
  <c r="GG101" i="4"/>
  <c r="GG102" i="4"/>
  <c r="GG103" i="4"/>
  <c r="GG104" i="4"/>
  <c r="GG105" i="4"/>
  <c r="GG106" i="4"/>
  <c r="GG107" i="4"/>
  <c r="GG108" i="4"/>
  <c r="GG109" i="4"/>
  <c r="GG110" i="4"/>
  <c r="GG111" i="4"/>
  <c r="GG112" i="4"/>
  <c r="GG113" i="4"/>
  <c r="GG114" i="4"/>
  <c r="GG115" i="4"/>
  <c r="GG116" i="4"/>
  <c r="GG117" i="4"/>
  <c r="GG118" i="4"/>
  <c r="GG119" i="4"/>
  <c r="GG120" i="4"/>
  <c r="GG121" i="4"/>
  <c r="GG122" i="4"/>
  <c r="GG123" i="4"/>
  <c r="GG124" i="4"/>
  <c r="GG125" i="4"/>
  <c r="GG126" i="4"/>
  <c r="GG127" i="4"/>
  <c r="GG128" i="4"/>
  <c r="GG129" i="4"/>
  <c r="GG130" i="4"/>
  <c r="GG131" i="4"/>
  <c r="GG132" i="4"/>
  <c r="GG133" i="4"/>
  <c r="GG134" i="4"/>
  <c r="GG135" i="4"/>
  <c r="GG136" i="4"/>
  <c r="GG137" i="4"/>
  <c r="GG138" i="4"/>
  <c r="GG139" i="4"/>
  <c r="GG140" i="4"/>
  <c r="GG141" i="4"/>
  <c r="GG142" i="4"/>
  <c r="GG143" i="4"/>
  <c r="GG144" i="4"/>
  <c r="GG145" i="4"/>
  <c r="GG146" i="4"/>
  <c r="GG147" i="4"/>
  <c r="GG148" i="4"/>
  <c r="GG149" i="4"/>
  <c r="GG150" i="4"/>
  <c r="GG151" i="4"/>
  <c r="GG152" i="4"/>
  <c r="GG153" i="4"/>
  <c r="GG154" i="4"/>
  <c r="GG155" i="4"/>
  <c r="GG156" i="4"/>
  <c r="GG157" i="4"/>
  <c r="GG158" i="4"/>
  <c r="GG159" i="4"/>
  <c r="GG160" i="4"/>
  <c r="GG161" i="4"/>
  <c r="GG162" i="4"/>
  <c r="GG163" i="4"/>
  <c r="GG164" i="4"/>
  <c r="GG165" i="4"/>
  <c r="GG166" i="4"/>
  <c r="GG167" i="4"/>
  <c r="GG168" i="4"/>
  <c r="GG169" i="4"/>
  <c r="GG170" i="4"/>
  <c r="GG171" i="4"/>
  <c r="GG172" i="4"/>
  <c r="GG173" i="4"/>
  <c r="GG174" i="4"/>
  <c r="GG175" i="4"/>
  <c r="GF2" i="4"/>
  <c r="GF3" i="4"/>
  <c r="GF4" i="4"/>
  <c r="GF5" i="4"/>
  <c r="GF6" i="4"/>
  <c r="GF7" i="4"/>
  <c r="GF8" i="4"/>
  <c r="GF9" i="4"/>
  <c r="GF10" i="4"/>
  <c r="GF11" i="4"/>
  <c r="GF12" i="4"/>
  <c r="GF13" i="4"/>
  <c r="GF14" i="4"/>
  <c r="GF15" i="4"/>
  <c r="GF16" i="4"/>
  <c r="GF17" i="4"/>
  <c r="GF18" i="4"/>
  <c r="GF19" i="4"/>
  <c r="GF20" i="4"/>
  <c r="GF21" i="4"/>
  <c r="GF22" i="4"/>
  <c r="GF23" i="4"/>
  <c r="GF24" i="4"/>
  <c r="GF25" i="4"/>
  <c r="GF26" i="4"/>
  <c r="GF27" i="4"/>
  <c r="GF28" i="4"/>
  <c r="GF29" i="4"/>
  <c r="GF30" i="4"/>
  <c r="GF31" i="4"/>
  <c r="GF32" i="4"/>
  <c r="GF33" i="4"/>
  <c r="GF34" i="4"/>
  <c r="GF35" i="4"/>
  <c r="GF36" i="4"/>
  <c r="GF37" i="4"/>
  <c r="GF38" i="4"/>
  <c r="GF39" i="4"/>
  <c r="GF40" i="4"/>
  <c r="GF41" i="4"/>
  <c r="GF42" i="4"/>
  <c r="GF43" i="4"/>
  <c r="GF44" i="4"/>
  <c r="GF45" i="4"/>
  <c r="GF46" i="4"/>
  <c r="GF47" i="4"/>
  <c r="GF48" i="4"/>
  <c r="GF49" i="4"/>
  <c r="GF50" i="4"/>
  <c r="GF51" i="4"/>
  <c r="GF52" i="4"/>
  <c r="GF53" i="4"/>
  <c r="GF54" i="4"/>
  <c r="GF55" i="4"/>
  <c r="GF56" i="4"/>
  <c r="GF57" i="4"/>
  <c r="GF58" i="4"/>
  <c r="GF59" i="4"/>
  <c r="GF60" i="4"/>
  <c r="GF61" i="4"/>
  <c r="GF62" i="4"/>
  <c r="GF63" i="4"/>
  <c r="GF64" i="4"/>
  <c r="GF65" i="4"/>
  <c r="GF66" i="4"/>
  <c r="GF67" i="4"/>
  <c r="GF68" i="4"/>
  <c r="GF69" i="4"/>
  <c r="GF70" i="4"/>
  <c r="GF71" i="4"/>
  <c r="GF72" i="4"/>
  <c r="GF73" i="4"/>
  <c r="GF74" i="4"/>
  <c r="GF75" i="4"/>
  <c r="GF76" i="4"/>
  <c r="GF77" i="4"/>
  <c r="GF78" i="4"/>
  <c r="GF79" i="4"/>
  <c r="GF80" i="4"/>
  <c r="GF81" i="4"/>
  <c r="GF82" i="4"/>
  <c r="GF83" i="4"/>
  <c r="GF84" i="4"/>
  <c r="GF85" i="4"/>
  <c r="GF86" i="4"/>
  <c r="GF87" i="4"/>
  <c r="GF88" i="4"/>
  <c r="GF89" i="4"/>
  <c r="GF90" i="4"/>
  <c r="GF91" i="4"/>
  <c r="GF92" i="4"/>
  <c r="GF93" i="4"/>
  <c r="GF94" i="4"/>
  <c r="GF95" i="4"/>
  <c r="GF96" i="4"/>
  <c r="GF97" i="4"/>
  <c r="GF98" i="4"/>
  <c r="GF99" i="4"/>
  <c r="GF100" i="4"/>
  <c r="GF101" i="4"/>
  <c r="GF102" i="4"/>
  <c r="GF103" i="4"/>
  <c r="GF104" i="4"/>
  <c r="GF105" i="4"/>
  <c r="GF106" i="4"/>
  <c r="GF107" i="4"/>
  <c r="GF108" i="4"/>
  <c r="GF109" i="4"/>
  <c r="GF110" i="4"/>
  <c r="GF111" i="4"/>
  <c r="GF112" i="4"/>
  <c r="GF113" i="4"/>
  <c r="GF114" i="4"/>
  <c r="GF115" i="4"/>
  <c r="GF116" i="4"/>
  <c r="GF117" i="4"/>
  <c r="GF118" i="4"/>
  <c r="GF119" i="4"/>
  <c r="GF120" i="4"/>
  <c r="GF121" i="4"/>
  <c r="GF122" i="4"/>
  <c r="GF123" i="4"/>
  <c r="GF124" i="4"/>
  <c r="GF125" i="4"/>
  <c r="GF126" i="4"/>
  <c r="GF127" i="4"/>
  <c r="GF128" i="4"/>
  <c r="GF129" i="4"/>
  <c r="GF130" i="4"/>
  <c r="GF131" i="4"/>
  <c r="GF132" i="4"/>
  <c r="GF133" i="4"/>
  <c r="GF134" i="4"/>
  <c r="GF135" i="4"/>
  <c r="GF136" i="4"/>
  <c r="GF137" i="4"/>
  <c r="GF138" i="4"/>
  <c r="GF139" i="4"/>
  <c r="GF140" i="4"/>
  <c r="GF141" i="4"/>
  <c r="GF142" i="4"/>
  <c r="GF143" i="4"/>
  <c r="GF144" i="4"/>
  <c r="GF145" i="4"/>
  <c r="GF146" i="4"/>
  <c r="GF147" i="4"/>
  <c r="GF148" i="4"/>
  <c r="GF149" i="4"/>
  <c r="GF150" i="4"/>
  <c r="GF151" i="4"/>
  <c r="GF152" i="4"/>
  <c r="GF153" i="4"/>
  <c r="GF154" i="4"/>
  <c r="GF155" i="4"/>
  <c r="GF156" i="4"/>
  <c r="GF157" i="4"/>
  <c r="GF158" i="4"/>
  <c r="GF159" i="4"/>
  <c r="GF160" i="4"/>
  <c r="GF161" i="4"/>
  <c r="GF162" i="4"/>
  <c r="GF163" i="4"/>
  <c r="GF164" i="4"/>
  <c r="GF165" i="4"/>
  <c r="GF166" i="4"/>
  <c r="GF167" i="4"/>
  <c r="GF168" i="4"/>
  <c r="GF169" i="4"/>
  <c r="GF170" i="4"/>
  <c r="GF171" i="4"/>
  <c r="GF172" i="4"/>
  <c r="GF173" i="4"/>
  <c r="GF174" i="4"/>
  <c r="GF175" i="4"/>
  <c r="GE2" i="4"/>
  <c r="GE3" i="4"/>
  <c r="GE4" i="4"/>
  <c r="GE5" i="4"/>
  <c r="GE6" i="4"/>
  <c r="GE7" i="4"/>
  <c r="GE8" i="4"/>
  <c r="GE9" i="4"/>
  <c r="GE10" i="4"/>
  <c r="GE11" i="4"/>
  <c r="GE12" i="4"/>
  <c r="GE13" i="4"/>
  <c r="GE14" i="4"/>
  <c r="GE15" i="4"/>
  <c r="GE16" i="4"/>
  <c r="GE17" i="4"/>
  <c r="GE18" i="4"/>
  <c r="GE19" i="4"/>
  <c r="GE20" i="4"/>
  <c r="GE21" i="4"/>
  <c r="GE22" i="4"/>
  <c r="GE23" i="4"/>
  <c r="GE24" i="4"/>
  <c r="GE25" i="4"/>
  <c r="GE26" i="4"/>
  <c r="GE27" i="4"/>
  <c r="GE28" i="4"/>
  <c r="GE29" i="4"/>
  <c r="GE30" i="4"/>
  <c r="GE31" i="4"/>
  <c r="GE32" i="4"/>
  <c r="GE33" i="4"/>
  <c r="GE34" i="4"/>
  <c r="GE35" i="4"/>
  <c r="GE36" i="4"/>
  <c r="GE37" i="4"/>
  <c r="GE38" i="4"/>
  <c r="GE39" i="4"/>
  <c r="GE40" i="4"/>
  <c r="GE41" i="4"/>
  <c r="GE42" i="4"/>
  <c r="GE43" i="4"/>
  <c r="GE44" i="4"/>
  <c r="GE45" i="4"/>
  <c r="GE46" i="4"/>
  <c r="GE47" i="4"/>
  <c r="GE48" i="4"/>
  <c r="GE49" i="4"/>
  <c r="GE50" i="4"/>
  <c r="GE51" i="4"/>
  <c r="GE52" i="4"/>
  <c r="GE53" i="4"/>
  <c r="GE54" i="4"/>
  <c r="GE55" i="4"/>
  <c r="GE56" i="4"/>
  <c r="GE57" i="4"/>
  <c r="GE58" i="4"/>
  <c r="GE59" i="4"/>
  <c r="GE60" i="4"/>
  <c r="GE61" i="4"/>
  <c r="GE62" i="4"/>
  <c r="GE63" i="4"/>
  <c r="GE64" i="4"/>
  <c r="GE65" i="4"/>
  <c r="GE66" i="4"/>
  <c r="GE67" i="4"/>
  <c r="GE68" i="4"/>
  <c r="GE69" i="4"/>
  <c r="GE70" i="4"/>
  <c r="GE71" i="4"/>
  <c r="GE72" i="4"/>
  <c r="GE73" i="4"/>
  <c r="GE74" i="4"/>
  <c r="GE75" i="4"/>
  <c r="GE76" i="4"/>
  <c r="GE77" i="4"/>
  <c r="GE78" i="4"/>
  <c r="GE79" i="4"/>
  <c r="GE80" i="4"/>
  <c r="GE81" i="4"/>
  <c r="GE82" i="4"/>
  <c r="GE83" i="4"/>
  <c r="GE84" i="4"/>
  <c r="GE85" i="4"/>
  <c r="GE86" i="4"/>
  <c r="GE87" i="4"/>
  <c r="GE88" i="4"/>
  <c r="GE89" i="4"/>
  <c r="GE90" i="4"/>
  <c r="GE91" i="4"/>
  <c r="GE92" i="4"/>
  <c r="GE93" i="4"/>
  <c r="GE94" i="4"/>
  <c r="GE95" i="4"/>
  <c r="GE96" i="4"/>
  <c r="GE97" i="4"/>
  <c r="GE98" i="4"/>
  <c r="GE99" i="4"/>
  <c r="GE100" i="4"/>
  <c r="GE101" i="4"/>
  <c r="GE102" i="4"/>
  <c r="GE103" i="4"/>
  <c r="GE104" i="4"/>
  <c r="GE105" i="4"/>
  <c r="GE106" i="4"/>
  <c r="GE107" i="4"/>
  <c r="GE108" i="4"/>
  <c r="GE109" i="4"/>
  <c r="GE110" i="4"/>
  <c r="GE111" i="4"/>
  <c r="GE112" i="4"/>
  <c r="GE113" i="4"/>
  <c r="GE114" i="4"/>
  <c r="GE115" i="4"/>
  <c r="GE116" i="4"/>
  <c r="GE117" i="4"/>
  <c r="GE118" i="4"/>
  <c r="GE119" i="4"/>
  <c r="GE120" i="4"/>
  <c r="GE121" i="4"/>
  <c r="GE122" i="4"/>
  <c r="GE123" i="4"/>
  <c r="GE124" i="4"/>
  <c r="GE125" i="4"/>
  <c r="GE126" i="4"/>
  <c r="GE127" i="4"/>
  <c r="GE128" i="4"/>
  <c r="GE129" i="4"/>
  <c r="GE130" i="4"/>
  <c r="GE131" i="4"/>
  <c r="GE132" i="4"/>
  <c r="GE133" i="4"/>
  <c r="GE134" i="4"/>
  <c r="GE135" i="4"/>
  <c r="GE136" i="4"/>
  <c r="GE137" i="4"/>
  <c r="GE138" i="4"/>
  <c r="GE139" i="4"/>
  <c r="GE140" i="4"/>
  <c r="GE141" i="4"/>
  <c r="GE142" i="4"/>
  <c r="GE143" i="4"/>
  <c r="GE144" i="4"/>
  <c r="GE145" i="4"/>
  <c r="GE146" i="4"/>
  <c r="GE147" i="4"/>
  <c r="GE148" i="4"/>
  <c r="GE149" i="4"/>
  <c r="GE150" i="4"/>
  <c r="GE151" i="4"/>
  <c r="GE152" i="4"/>
  <c r="GE153" i="4"/>
  <c r="GE154" i="4"/>
  <c r="GE155" i="4"/>
  <c r="GE156" i="4"/>
  <c r="GE157" i="4"/>
  <c r="GE158" i="4"/>
  <c r="GE159" i="4"/>
  <c r="GE160" i="4"/>
  <c r="GE161" i="4"/>
  <c r="GE162" i="4"/>
  <c r="GE163" i="4"/>
  <c r="GE164" i="4"/>
  <c r="GE165" i="4"/>
  <c r="GE166" i="4"/>
  <c r="GE167" i="4"/>
  <c r="GE168" i="4"/>
  <c r="GE169" i="4"/>
  <c r="GE170" i="4"/>
  <c r="GE171" i="4"/>
  <c r="GE172" i="4"/>
  <c r="GE173" i="4"/>
  <c r="GE174" i="4"/>
  <c r="GE175" i="4"/>
  <c r="GD2" i="4"/>
  <c r="GD3" i="4"/>
  <c r="GD4" i="4"/>
  <c r="GD5" i="4"/>
  <c r="GD6" i="4"/>
  <c r="GD7" i="4"/>
  <c r="GD8" i="4"/>
  <c r="GD9" i="4"/>
  <c r="GD10" i="4"/>
  <c r="GD11" i="4"/>
  <c r="GD12" i="4"/>
  <c r="GD13" i="4"/>
  <c r="GD14" i="4"/>
  <c r="GD15" i="4"/>
  <c r="GD16" i="4"/>
  <c r="GD17" i="4"/>
  <c r="GD18" i="4"/>
  <c r="GD19" i="4"/>
  <c r="GD20" i="4"/>
  <c r="GD21" i="4"/>
  <c r="GD22" i="4"/>
  <c r="GD23" i="4"/>
  <c r="GD24" i="4"/>
  <c r="GD25" i="4"/>
  <c r="GD26" i="4"/>
  <c r="GD27" i="4"/>
  <c r="GD28" i="4"/>
  <c r="GD29" i="4"/>
  <c r="GD30" i="4"/>
  <c r="GD31" i="4"/>
  <c r="GD32" i="4"/>
  <c r="GD33" i="4"/>
  <c r="GD34" i="4"/>
  <c r="GD35" i="4"/>
  <c r="GD36" i="4"/>
  <c r="GD37" i="4"/>
  <c r="GD38" i="4"/>
  <c r="GD39" i="4"/>
  <c r="GD40" i="4"/>
  <c r="GD41" i="4"/>
  <c r="GD42" i="4"/>
  <c r="GD43" i="4"/>
  <c r="GD44" i="4"/>
  <c r="GD45" i="4"/>
  <c r="GD46" i="4"/>
  <c r="GD47" i="4"/>
  <c r="GD48" i="4"/>
  <c r="GD49" i="4"/>
  <c r="GD50" i="4"/>
  <c r="GD51" i="4"/>
  <c r="GD52" i="4"/>
  <c r="GD53" i="4"/>
  <c r="GD54" i="4"/>
  <c r="GD55" i="4"/>
  <c r="GD56" i="4"/>
  <c r="GD57" i="4"/>
  <c r="GD58" i="4"/>
  <c r="GD59" i="4"/>
  <c r="GD60" i="4"/>
  <c r="GD61" i="4"/>
  <c r="GD62" i="4"/>
  <c r="GD63" i="4"/>
  <c r="GD64" i="4"/>
  <c r="GD65" i="4"/>
  <c r="GD66" i="4"/>
  <c r="GD67" i="4"/>
  <c r="GD68" i="4"/>
  <c r="GD69" i="4"/>
  <c r="GD70" i="4"/>
  <c r="GD71" i="4"/>
  <c r="GD72" i="4"/>
  <c r="GD73" i="4"/>
  <c r="GD74" i="4"/>
  <c r="GD75" i="4"/>
  <c r="GD76" i="4"/>
  <c r="GD77" i="4"/>
  <c r="GD78" i="4"/>
  <c r="GD79" i="4"/>
  <c r="GD80" i="4"/>
  <c r="GD81" i="4"/>
  <c r="GD82" i="4"/>
  <c r="GD83" i="4"/>
  <c r="GD84" i="4"/>
  <c r="GD85" i="4"/>
  <c r="GD86" i="4"/>
  <c r="GD87" i="4"/>
  <c r="GD88" i="4"/>
  <c r="GD89" i="4"/>
  <c r="GD90" i="4"/>
  <c r="GD91" i="4"/>
  <c r="GD92" i="4"/>
  <c r="GD93" i="4"/>
  <c r="GD94" i="4"/>
  <c r="GD95" i="4"/>
  <c r="GD96" i="4"/>
  <c r="GD97" i="4"/>
  <c r="GD98" i="4"/>
  <c r="GD99" i="4"/>
  <c r="GD100" i="4"/>
  <c r="GD101" i="4"/>
  <c r="GD102" i="4"/>
  <c r="GD103" i="4"/>
  <c r="GD104" i="4"/>
  <c r="GD105" i="4"/>
  <c r="GD106" i="4"/>
  <c r="GD107" i="4"/>
  <c r="GD108" i="4"/>
  <c r="GD109" i="4"/>
  <c r="GD110" i="4"/>
  <c r="GD111" i="4"/>
  <c r="GD112" i="4"/>
  <c r="GD113" i="4"/>
  <c r="GD114" i="4"/>
  <c r="GD115" i="4"/>
  <c r="GD116" i="4"/>
  <c r="GD117" i="4"/>
  <c r="GD118" i="4"/>
  <c r="GD119" i="4"/>
  <c r="GD120" i="4"/>
  <c r="GD121" i="4"/>
  <c r="GD122" i="4"/>
  <c r="GD123" i="4"/>
  <c r="GD124" i="4"/>
  <c r="GD125" i="4"/>
  <c r="GD126" i="4"/>
  <c r="GD127" i="4"/>
  <c r="GD128" i="4"/>
  <c r="GD129" i="4"/>
  <c r="GD130" i="4"/>
  <c r="GD131" i="4"/>
  <c r="GD132" i="4"/>
  <c r="GD133" i="4"/>
  <c r="GD134" i="4"/>
  <c r="GD135" i="4"/>
  <c r="GD136" i="4"/>
  <c r="GD137" i="4"/>
  <c r="GD138" i="4"/>
  <c r="GD139" i="4"/>
  <c r="GD140" i="4"/>
  <c r="GD141" i="4"/>
  <c r="GD142" i="4"/>
  <c r="GD143" i="4"/>
  <c r="GD144" i="4"/>
  <c r="GD145" i="4"/>
  <c r="GD146" i="4"/>
  <c r="GD147" i="4"/>
  <c r="GD148" i="4"/>
  <c r="GD149" i="4"/>
  <c r="GD150" i="4"/>
  <c r="GD151" i="4"/>
  <c r="GD152" i="4"/>
  <c r="GD153" i="4"/>
  <c r="GD154" i="4"/>
  <c r="GD155" i="4"/>
  <c r="GD156" i="4"/>
  <c r="GD157" i="4"/>
  <c r="GD158" i="4"/>
  <c r="GD159" i="4"/>
  <c r="GD160" i="4"/>
  <c r="GD161" i="4"/>
  <c r="GD162" i="4"/>
  <c r="GD163" i="4"/>
  <c r="GD164" i="4"/>
  <c r="GD165" i="4"/>
  <c r="GD166" i="4"/>
  <c r="GD167" i="4"/>
  <c r="GD168" i="4"/>
  <c r="GD169" i="4"/>
  <c r="GD170" i="4"/>
  <c r="GD171" i="4"/>
  <c r="GD172" i="4"/>
  <c r="GD173" i="4"/>
  <c r="GD174" i="4"/>
  <c r="GD175" i="4"/>
  <c r="GC2" i="4"/>
  <c r="GC3" i="4"/>
  <c r="GC4" i="4"/>
  <c r="GC5" i="4"/>
  <c r="GC6" i="4"/>
  <c r="GC7" i="4"/>
  <c r="GC8" i="4"/>
  <c r="GC9" i="4"/>
  <c r="GC10" i="4"/>
  <c r="GC11" i="4"/>
  <c r="GC12" i="4"/>
  <c r="GC13" i="4"/>
  <c r="GC14" i="4"/>
  <c r="GC15" i="4"/>
  <c r="GC16" i="4"/>
  <c r="GC17" i="4"/>
  <c r="GC18" i="4"/>
  <c r="GC19" i="4"/>
  <c r="GC20" i="4"/>
  <c r="GC21" i="4"/>
  <c r="GC22" i="4"/>
  <c r="GC23" i="4"/>
  <c r="GC24" i="4"/>
  <c r="GC25" i="4"/>
  <c r="GC26" i="4"/>
  <c r="GC27" i="4"/>
  <c r="GC28" i="4"/>
  <c r="GC29" i="4"/>
  <c r="GC30" i="4"/>
  <c r="GC31" i="4"/>
  <c r="GC32" i="4"/>
  <c r="GC33" i="4"/>
  <c r="GC34" i="4"/>
  <c r="GC35" i="4"/>
  <c r="GC36" i="4"/>
  <c r="GC37" i="4"/>
  <c r="GC38" i="4"/>
  <c r="GC39" i="4"/>
  <c r="GC40" i="4"/>
  <c r="GC41" i="4"/>
  <c r="GC42" i="4"/>
  <c r="GC43" i="4"/>
  <c r="GC44" i="4"/>
  <c r="GC45" i="4"/>
  <c r="GC46" i="4"/>
  <c r="GC47" i="4"/>
  <c r="GC48" i="4"/>
  <c r="GC49" i="4"/>
  <c r="GC50" i="4"/>
  <c r="GC51" i="4"/>
  <c r="GC52" i="4"/>
  <c r="GC53" i="4"/>
  <c r="GC54" i="4"/>
  <c r="GC55" i="4"/>
  <c r="GC56" i="4"/>
  <c r="GC57" i="4"/>
  <c r="GC58" i="4"/>
  <c r="GC59" i="4"/>
  <c r="GC60" i="4"/>
  <c r="GC61" i="4"/>
  <c r="GC62" i="4"/>
  <c r="GC63" i="4"/>
  <c r="GC64" i="4"/>
  <c r="GC65" i="4"/>
  <c r="GC66" i="4"/>
  <c r="GC67" i="4"/>
  <c r="GC68" i="4"/>
  <c r="GC69" i="4"/>
  <c r="GC70" i="4"/>
  <c r="GC71" i="4"/>
  <c r="GC72" i="4"/>
  <c r="GC73" i="4"/>
  <c r="GC74" i="4"/>
  <c r="GC75" i="4"/>
  <c r="GC76" i="4"/>
  <c r="GC77" i="4"/>
  <c r="GC78" i="4"/>
  <c r="GC79" i="4"/>
  <c r="GC80" i="4"/>
  <c r="GC81" i="4"/>
  <c r="GC82" i="4"/>
  <c r="GC83" i="4"/>
  <c r="GC84" i="4"/>
  <c r="GC85" i="4"/>
  <c r="GC86" i="4"/>
  <c r="GC87" i="4"/>
  <c r="GC88" i="4"/>
  <c r="GC89" i="4"/>
  <c r="GC90" i="4"/>
  <c r="GC91" i="4"/>
  <c r="GC92" i="4"/>
  <c r="GC93" i="4"/>
  <c r="GC94" i="4"/>
  <c r="GC95" i="4"/>
  <c r="GC96" i="4"/>
  <c r="GC97" i="4"/>
  <c r="GC98" i="4"/>
  <c r="GC99" i="4"/>
  <c r="GC100" i="4"/>
  <c r="GC101" i="4"/>
  <c r="GC102" i="4"/>
  <c r="GC103" i="4"/>
  <c r="GC104" i="4"/>
  <c r="GC105" i="4"/>
  <c r="GC106" i="4"/>
  <c r="GC107" i="4"/>
  <c r="GC108" i="4"/>
  <c r="GC109" i="4"/>
  <c r="GC110" i="4"/>
  <c r="GC111" i="4"/>
  <c r="GC112" i="4"/>
  <c r="GC113" i="4"/>
  <c r="GC114" i="4"/>
  <c r="GC115" i="4"/>
  <c r="GC116" i="4"/>
  <c r="GC117" i="4"/>
  <c r="GC118" i="4"/>
  <c r="GC119" i="4"/>
  <c r="GC120" i="4"/>
  <c r="GC121" i="4"/>
  <c r="GC122" i="4"/>
  <c r="GC123" i="4"/>
  <c r="GC124" i="4"/>
  <c r="GC125" i="4"/>
  <c r="GC126" i="4"/>
  <c r="GC127" i="4"/>
  <c r="GC128" i="4"/>
  <c r="GC129" i="4"/>
  <c r="GC130" i="4"/>
  <c r="GC131" i="4"/>
  <c r="GC132" i="4"/>
  <c r="GC133" i="4"/>
  <c r="GC134" i="4"/>
  <c r="GC135" i="4"/>
  <c r="GC136" i="4"/>
  <c r="GC137" i="4"/>
  <c r="GC138" i="4"/>
  <c r="GC139" i="4"/>
  <c r="GC140" i="4"/>
  <c r="GC141" i="4"/>
  <c r="GC142" i="4"/>
  <c r="GC143" i="4"/>
  <c r="GC144" i="4"/>
  <c r="GC145" i="4"/>
  <c r="GC146" i="4"/>
  <c r="GC147" i="4"/>
  <c r="GC148" i="4"/>
  <c r="GC149" i="4"/>
  <c r="GC150" i="4"/>
  <c r="GC151" i="4"/>
  <c r="GC152" i="4"/>
  <c r="GC153" i="4"/>
  <c r="GC154" i="4"/>
  <c r="GC155" i="4"/>
  <c r="GC156" i="4"/>
  <c r="GC157" i="4"/>
  <c r="GC158" i="4"/>
  <c r="GC159" i="4"/>
  <c r="GC160" i="4"/>
  <c r="GC161" i="4"/>
  <c r="GC162" i="4"/>
  <c r="GC163" i="4"/>
  <c r="GC164" i="4"/>
  <c r="GC165" i="4"/>
  <c r="GC166" i="4"/>
  <c r="GC167" i="4"/>
  <c r="GC168" i="4"/>
  <c r="GC169" i="4"/>
  <c r="GC170" i="4"/>
  <c r="GC171" i="4"/>
  <c r="GC172" i="4"/>
  <c r="GC173" i="4"/>
  <c r="GC174" i="4"/>
  <c r="GC175" i="4"/>
  <c r="GB2" i="4"/>
  <c r="GB3" i="4"/>
  <c r="GB4" i="4"/>
  <c r="GB5" i="4"/>
  <c r="GB6" i="4"/>
  <c r="GB7" i="4"/>
  <c r="GB8" i="4"/>
  <c r="GB9" i="4"/>
  <c r="GB10" i="4"/>
  <c r="GB11" i="4"/>
  <c r="GB12" i="4"/>
  <c r="GB13" i="4"/>
  <c r="GB14" i="4"/>
  <c r="GB15" i="4"/>
  <c r="GB16" i="4"/>
  <c r="GB17" i="4"/>
  <c r="GB18" i="4"/>
  <c r="GB19" i="4"/>
  <c r="GB20" i="4"/>
  <c r="GB21" i="4"/>
  <c r="GB22" i="4"/>
  <c r="GB23" i="4"/>
  <c r="GB24" i="4"/>
  <c r="GB25" i="4"/>
  <c r="GB26" i="4"/>
  <c r="GB27" i="4"/>
  <c r="GB28" i="4"/>
  <c r="GB29" i="4"/>
  <c r="GB30" i="4"/>
  <c r="GB31" i="4"/>
  <c r="GB32" i="4"/>
  <c r="GB33" i="4"/>
  <c r="GB34" i="4"/>
  <c r="GB35" i="4"/>
  <c r="GB36" i="4"/>
  <c r="GB37" i="4"/>
  <c r="GB38" i="4"/>
  <c r="GB39" i="4"/>
  <c r="GB40" i="4"/>
  <c r="GB41" i="4"/>
  <c r="GB42" i="4"/>
  <c r="GB43" i="4"/>
  <c r="GB44" i="4"/>
  <c r="GB45" i="4"/>
  <c r="GB46" i="4"/>
  <c r="GB47" i="4"/>
  <c r="GB48" i="4"/>
  <c r="GB49" i="4"/>
  <c r="GB50" i="4"/>
  <c r="GB51" i="4"/>
  <c r="GB52" i="4"/>
  <c r="GB53" i="4"/>
  <c r="GB54" i="4"/>
  <c r="GB55" i="4"/>
  <c r="GB56" i="4"/>
  <c r="GB57" i="4"/>
  <c r="GB58" i="4"/>
  <c r="GB59" i="4"/>
  <c r="GB60" i="4"/>
  <c r="GB61" i="4"/>
  <c r="GB62" i="4"/>
  <c r="GB63" i="4"/>
  <c r="GB64" i="4"/>
  <c r="GB65" i="4"/>
  <c r="GB66" i="4"/>
  <c r="GB67" i="4"/>
  <c r="GB68" i="4"/>
  <c r="GB69" i="4"/>
  <c r="GB70" i="4"/>
  <c r="GB71" i="4"/>
  <c r="GB72" i="4"/>
  <c r="GB73" i="4"/>
  <c r="GB74" i="4"/>
  <c r="GB75" i="4"/>
  <c r="GB76" i="4"/>
  <c r="GB77" i="4"/>
  <c r="GB78" i="4"/>
  <c r="GB79" i="4"/>
  <c r="GB80" i="4"/>
  <c r="GB81" i="4"/>
  <c r="GB82" i="4"/>
  <c r="GB83" i="4"/>
  <c r="GB84" i="4"/>
  <c r="GB85" i="4"/>
  <c r="GB86" i="4"/>
  <c r="GB87" i="4"/>
  <c r="GB88" i="4"/>
  <c r="GB89" i="4"/>
  <c r="GB90" i="4"/>
  <c r="GB91" i="4"/>
  <c r="GB92" i="4"/>
  <c r="GB93" i="4"/>
  <c r="GB94" i="4"/>
  <c r="GB95" i="4"/>
  <c r="GB96" i="4"/>
  <c r="GB97" i="4"/>
  <c r="GB98" i="4"/>
  <c r="GB99" i="4"/>
  <c r="GB100" i="4"/>
  <c r="GB101" i="4"/>
  <c r="GB102" i="4"/>
  <c r="GB103" i="4"/>
  <c r="GB104" i="4"/>
  <c r="GB105" i="4"/>
  <c r="GB106" i="4"/>
  <c r="GB107" i="4"/>
  <c r="GB108" i="4"/>
  <c r="GB109" i="4"/>
  <c r="GB110" i="4"/>
  <c r="GB111" i="4"/>
  <c r="GB112" i="4"/>
  <c r="GB113" i="4"/>
  <c r="GB114" i="4"/>
  <c r="GB115" i="4"/>
  <c r="GB116" i="4"/>
  <c r="GB117" i="4"/>
  <c r="GB118" i="4"/>
  <c r="GB119" i="4"/>
  <c r="GB120" i="4"/>
  <c r="GB121" i="4"/>
  <c r="GB122" i="4"/>
  <c r="GB123" i="4"/>
  <c r="GB124" i="4"/>
  <c r="GB125" i="4"/>
  <c r="GB126" i="4"/>
  <c r="GB127" i="4"/>
  <c r="GB128" i="4"/>
  <c r="GB129" i="4"/>
  <c r="GB130" i="4"/>
  <c r="GB131" i="4"/>
  <c r="GB132" i="4"/>
  <c r="GB133" i="4"/>
  <c r="GB134" i="4"/>
  <c r="GB135" i="4"/>
  <c r="GB136" i="4"/>
  <c r="GB137" i="4"/>
  <c r="GB138" i="4"/>
  <c r="GB139" i="4"/>
  <c r="GB140" i="4"/>
  <c r="GB141" i="4"/>
  <c r="GB142" i="4"/>
  <c r="GB143" i="4"/>
  <c r="GB144" i="4"/>
  <c r="GB145" i="4"/>
  <c r="GB146" i="4"/>
  <c r="GB147" i="4"/>
  <c r="GB148" i="4"/>
  <c r="GB149" i="4"/>
  <c r="GB150" i="4"/>
  <c r="GB151" i="4"/>
  <c r="GB152" i="4"/>
  <c r="GB153" i="4"/>
  <c r="GB154" i="4"/>
  <c r="GB155" i="4"/>
  <c r="GB156" i="4"/>
  <c r="GB157" i="4"/>
  <c r="GB158" i="4"/>
  <c r="GB159" i="4"/>
  <c r="GB160" i="4"/>
  <c r="GB161" i="4"/>
  <c r="GB162" i="4"/>
  <c r="GB163" i="4"/>
  <c r="GB164" i="4"/>
  <c r="GB165" i="4"/>
  <c r="GB166" i="4"/>
  <c r="GB167" i="4"/>
  <c r="GB168" i="4"/>
  <c r="GB169" i="4"/>
  <c r="GB170" i="4"/>
  <c r="GB171" i="4"/>
  <c r="GB172" i="4"/>
  <c r="GB173" i="4"/>
  <c r="GB174" i="4"/>
  <c r="GB175" i="4"/>
  <c r="GA2" i="4"/>
  <c r="GA3" i="4"/>
  <c r="GA4" i="4"/>
  <c r="GA5" i="4"/>
  <c r="GA6" i="4"/>
  <c r="GA7" i="4"/>
  <c r="GA8" i="4"/>
  <c r="GA9" i="4"/>
  <c r="GA10" i="4"/>
  <c r="GA11" i="4"/>
  <c r="GA12" i="4"/>
  <c r="GA13" i="4"/>
  <c r="GA14" i="4"/>
  <c r="GA15" i="4"/>
  <c r="GA16" i="4"/>
  <c r="GA17" i="4"/>
  <c r="GA18" i="4"/>
  <c r="GA19" i="4"/>
  <c r="GA20" i="4"/>
  <c r="GA21" i="4"/>
  <c r="GA22" i="4"/>
  <c r="GA23" i="4"/>
  <c r="GA24" i="4"/>
  <c r="GA25" i="4"/>
  <c r="GA26" i="4"/>
  <c r="GA27" i="4"/>
  <c r="GA28" i="4"/>
  <c r="GA29" i="4"/>
  <c r="GA30" i="4"/>
  <c r="GA31" i="4"/>
  <c r="GA32" i="4"/>
  <c r="GA33" i="4"/>
  <c r="GA34" i="4"/>
  <c r="GA35" i="4"/>
  <c r="GA36" i="4"/>
  <c r="GA37" i="4"/>
  <c r="GA38" i="4"/>
  <c r="GA39" i="4"/>
  <c r="GA40" i="4"/>
  <c r="GA41" i="4"/>
  <c r="GA42" i="4"/>
  <c r="GA43" i="4"/>
  <c r="GA44" i="4"/>
  <c r="GA45" i="4"/>
  <c r="GA46" i="4"/>
  <c r="GA47" i="4"/>
  <c r="GA48" i="4"/>
  <c r="GA49" i="4"/>
  <c r="GA50" i="4"/>
  <c r="GA51" i="4"/>
  <c r="GA52" i="4"/>
  <c r="GA53" i="4"/>
  <c r="GA54" i="4"/>
  <c r="GA55" i="4"/>
  <c r="GA56" i="4"/>
  <c r="GA57" i="4"/>
  <c r="GA58" i="4"/>
  <c r="GA59" i="4"/>
  <c r="GA60" i="4"/>
  <c r="GA61" i="4"/>
  <c r="GA62" i="4"/>
  <c r="GA63" i="4"/>
  <c r="GA64" i="4"/>
  <c r="GA65" i="4"/>
  <c r="GA66" i="4"/>
  <c r="GA67" i="4"/>
  <c r="GA68" i="4"/>
  <c r="GA69" i="4"/>
  <c r="GA70" i="4"/>
  <c r="GA71" i="4"/>
  <c r="GA72" i="4"/>
  <c r="GA73" i="4"/>
  <c r="GA74" i="4"/>
  <c r="GA75" i="4"/>
  <c r="GA76" i="4"/>
  <c r="GA77" i="4"/>
  <c r="GA78" i="4"/>
  <c r="GA79" i="4"/>
  <c r="GA80" i="4"/>
  <c r="GA81" i="4"/>
  <c r="GA82" i="4"/>
  <c r="GA83" i="4"/>
  <c r="GA84" i="4"/>
  <c r="GA85" i="4"/>
  <c r="GA86" i="4"/>
  <c r="GA87" i="4"/>
  <c r="GA88" i="4"/>
  <c r="GA89" i="4"/>
  <c r="GA90" i="4"/>
  <c r="GA91" i="4"/>
  <c r="GA92" i="4"/>
  <c r="GA93" i="4"/>
  <c r="GA94" i="4"/>
  <c r="GA95" i="4"/>
  <c r="GA96" i="4"/>
  <c r="GA97" i="4"/>
  <c r="GA98" i="4"/>
  <c r="GA99" i="4"/>
  <c r="GA100" i="4"/>
  <c r="GA101" i="4"/>
  <c r="GA102" i="4"/>
  <c r="GA103" i="4"/>
  <c r="GA104" i="4"/>
  <c r="GA105" i="4"/>
  <c r="GA106" i="4"/>
  <c r="GA107" i="4"/>
  <c r="GA108" i="4"/>
  <c r="GA109" i="4"/>
  <c r="GA110" i="4"/>
  <c r="GA111" i="4"/>
  <c r="GA112" i="4"/>
  <c r="GA113" i="4"/>
  <c r="GA114" i="4"/>
  <c r="GA115" i="4"/>
  <c r="GA116" i="4"/>
  <c r="GA117" i="4"/>
  <c r="GA118" i="4"/>
  <c r="GA119" i="4"/>
  <c r="GA120" i="4"/>
  <c r="GA121" i="4"/>
  <c r="GA122" i="4"/>
  <c r="GA123" i="4"/>
  <c r="GA124" i="4"/>
  <c r="GA125" i="4"/>
  <c r="GA126" i="4"/>
  <c r="GA127" i="4"/>
  <c r="GA128" i="4"/>
  <c r="GA129" i="4"/>
  <c r="GA130" i="4"/>
  <c r="GA131" i="4"/>
  <c r="GA132" i="4"/>
  <c r="GA133" i="4"/>
  <c r="GA134" i="4"/>
  <c r="GA135" i="4"/>
  <c r="GA136" i="4"/>
  <c r="GA137" i="4"/>
  <c r="GA138" i="4"/>
  <c r="GA139" i="4"/>
  <c r="GA140" i="4"/>
  <c r="GA141" i="4"/>
  <c r="GA142" i="4"/>
  <c r="GA143" i="4"/>
  <c r="GA144" i="4"/>
  <c r="GA145" i="4"/>
  <c r="GA146" i="4"/>
  <c r="GA147" i="4"/>
  <c r="GA148" i="4"/>
  <c r="GA149" i="4"/>
  <c r="GA150" i="4"/>
  <c r="GA151" i="4"/>
  <c r="GA152" i="4"/>
  <c r="GA153" i="4"/>
  <c r="GA154" i="4"/>
  <c r="GA155" i="4"/>
  <c r="GA156" i="4"/>
  <c r="GA157" i="4"/>
  <c r="GA158" i="4"/>
  <c r="GA159" i="4"/>
  <c r="GA160" i="4"/>
  <c r="GA161" i="4"/>
  <c r="GA162" i="4"/>
  <c r="GA163" i="4"/>
  <c r="GA164" i="4"/>
  <c r="GA165" i="4"/>
  <c r="GA166" i="4"/>
  <c r="GA167" i="4"/>
  <c r="GA168" i="4"/>
  <c r="GA169" i="4"/>
  <c r="GA170" i="4"/>
  <c r="GA171" i="4"/>
  <c r="GA172" i="4"/>
  <c r="GA173" i="4"/>
  <c r="GA174" i="4"/>
  <c r="GA175" i="4"/>
  <c r="FZ2" i="4"/>
  <c r="FZ3" i="4"/>
  <c r="FZ4" i="4"/>
  <c r="FZ5" i="4"/>
  <c r="FZ6" i="4"/>
  <c r="FZ7" i="4"/>
  <c r="FZ8" i="4"/>
  <c r="FZ9" i="4"/>
  <c r="FZ10" i="4"/>
  <c r="FZ11" i="4"/>
  <c r="FZ12" i="4"/>
  <c r="FZ13" i="4"/>
  <c r="FZ14" i="4"/>
  <c r="FZ15" i="4"/>
  <c r="FZ16" i="4"/>
  <c r="FZ17" i="4"/>
  <c r="FZ18" i="4"/>
  <c r="FZ19" i="4"/>
  <c r="FZ20" i="4"/>
  <c r="FZ21" i="4"/>
  <c r="FZ22" i="4"/>
  <c r="FZ23" i="4"/>
  <c r="FZ24" i="4"/>
  <c r="FZ25" i="4"/>
  <c r="FZ26" i="4"/>
  <c r="FZ27" i="4"/>
  <c r="FZ28" i="4"/>
  <c r="FZ29" i="4"/>
  <c r="FZ30" i="4"/>
  <c r="FZ31" i="4"/>
  <c r="FZ32" i="4"/>
  <c r="FZ33" i="4"/>
  <c r="FZ34" i="4"/>
  <c r="FZ35" i="4"/>
  <c r="FZ36" i="4"/>
  <c r="FZ37" i="4"/>
  <c r="FZ38" i="4"/>
  <c r="FZ39" i="4"/>
  <c r="FZ40" i="4"/>
  <c r="FZ41" i="4"/>
  <c r="FZ42" i="4"/>
  <c r="FZ43" i="4"/>
  <c r="FZ44" i="4"/>
  <c r="FZ45" i="4"/>
  <c r="FZ46" i="4"/>
  <c r="FZ47" i="4"/>
  <c r="FZ48" i="4"/>
  <c r="FZ49" i="4"/>
  <c r="FZ50" i="4"/>
  <c r="FZ51" i="4"/>
  <c r="FZ52" i="4"/>
  <c r="FZ53" i="4"/>
  <c r="FZ54" i="4"/>
  <c r="FZ55" i="4"/>
  <c r="FZ56" i="4"/>
  <c r="FZ57" i="4"/>
  <c r="FZ58" i="4"/>
  <c r="FZ59" i="4"/>
  <c r="FZ60" i="4"/>
  <c r="FZ61" i="4"/>
  <c r="FZ62" i="4"/>
  <c r="FZ63" i="4"/>
  <c r="FZ64" i="4"/>
  <c r="FZ65" i="4"/>
  <c r="FZ66" i="4"/>
  <c r="FZ67" i="4"/>
  <c r="FZ68" i="4"/>
  <c r="FZ69" i="4"/>
  <c r="FZ70" i="4"/>
  <c r="FZ71" i="4"/>
  <c r="FZ72" i="4"/>
  <c r="FZ73" i="4"/>
  <c r="FZ74" i="4"/>
  <c r="FZ75" i="4"/>
  <c r="FZ76" i="4"/>
  <c r="FZ77" i="4"/>
  <c r="FZ78" i="4"/>
  <c r="FZ79" i="4"/>
  <c r="FZ80" i="4"/>
  <c r="FZ81" i="4"/>
  <c r="FZ82" i="4"/>
  <c r="FZ83" i="4"/>
  <c r="FZ84" i="4"/>
  <c r="FZ85" i="4"/>
  <c r="FZ86" i="4"/>
  <c r="FZ87" i="4"/>
  <c r="FZ88" i="4"/>
  <c r="FZ89" i="4"/>
  <c r="FZ90" i="4"/>
  <c r="FZ91" i="4"/>
  <c r="FZ92" i="4"/>
  <c r="FZ93" i="4"/>
  <c r="FZ94" i="4"/>
  <c r="FZ95" i="4"/>
  <c r="FZ96" i="4"/>
  <c r="FZ97" i="4"/>
  <c r="FZ98" i="4"/>
  <c r="FZ99" i="4"/>
  <c r="FZ100" i="4"/>
  <c r="FZ101" i="4"/>
  <c r="FZ102" i="4"/>
  <c r="FZ103" i="4"/>
  <c r="FZ104" i="4"/>
  <c r="FZ105" i="4"/>
  <c r="FZ106" i="4"/>
  <c r="FZ107" i="4"/>
  <c r="FZ108" i="4"/>
  <c r="FZ109" i="4"/>
  <c r="FZ110" i="4"/>
  <c r="FZ111" i="4"/>
  <c r="FZ112" i="4"/>
  <c r="FZ113" i="4"/>
  <c r="FZ114" i="4"/>
  <c r="FZ115" i="4"/>
  <c r="FZ116" i="4"/>
  <c r="FZ117" i="4"/>
  <c r="FZ118" i="4"/>
  <c r="FZ119" i="4"/>
  <c r="FZ120" i="4"/>
  <c r="FZ121" i="4"/>
  <c r="FZ122" i="4"/>
  <c r="FZ123" i="4"/>
  <c r="FZ124" i="4"/>
  <c r="FZ125" i="4"/>
  <c r="FZ126" i="4"/>
  <c r="FZ127" i="4"/>
  <c r="FZ128" i="4"/>
  <c r="FZ129" i="4"/>
  <c r="FZ130" i="4"/>
  <c r="FZ131" i="4"/>
  <c r="FZ132" i="4"/>
  <c r="FZ133" i="4"/>
  <c r="FZ134" i="4"/>
  <c r="FZ135" i="4"/>
  <c r="FZ136" i="4"/>
  <c r="FZ137" i="4"/>
  <c r="FZ138" i="4"/>
  <c r="FZ139" i="4"/>
  <c r="FZ140" i="4"/>
  <c r="FZ141" i="4"/>
  <c r="FZ142" i="4"/>
  <c r="FZ143" i="4"/>
  <c r="FZ144" i="4"/>
  <c r="FZ145" i="4"/>
  <c r="FZ146" i="4"/>
  <c r="FZ147" i="4"/>
  <c r="FZ148" i="4"/>
  <c r="FZ149" i="4"/>
  <c r="FZ150" i="4"/>
  <c r="FZ151" i="4"/>
  <c r="FZ152" i="4"/>
  <c r="FZ153" i="4"/>
  <c r="FZ154" i="4"/>
  <c r="FZ155" i="4"/>
  <c r="FZ156" i="4"/>
  <c r="FZ157" i="4"/>
  <c r="FZ158" i="4"/>
  <c r="FZ159" i="4"/>
  <c r="FZ160" i="4"/>
  <c r="FZ161" i="4"/>
  <c r="FZ162" i="4"/>
  <c r="FZ163" i="4"/>
  <c r="FZ164" i="4"/>
  <c r="FZ165" i="4"/>
  <c r="FZ166" i="4"/>
  <c r="FZ167" i="4"/>
  <c r="FZ168" i="4"/>
  <c r="FZ169" i="4"/>
  <c r="FZ170" i="4"/>
  <c r="FZ171" i="4"/>
  <c r="FZ172" i="4"/>
  <c r="FZ173" i="4"/>
  <c r="FZ174" i="4"/>
  <c r="FZ175" i="4"/>
  <c r="FY2" i="4"/>
  <c r="FY3" i="4"/>
  <c r="FY4" i="4"/>
  <c r="FY5" i="4"/>
  <c r="FY6" i="4"/>
  <c r="FY7" i="4"/>
  <c r="FY8" i="4"/>
  <c r="FY9" i="4"/>
  <c r="FY10" i="4"/>
  <c r="FY11" i="4"/>
  <c r="FY12" i="4"/>
  <c r="FY13" i="4"/>
  <c r="FY14" i="4"/>
  <c r="FY15" i="4"/>
  <c r="FY16" i="4"/>
  <c r="FY17" i="4"/>
  <c r="FY18" i="4"/>
  <c r="FY19" i="4"/>
  <c r="FY20" i="4"/>
  <c r="FY21" i="4"/>
  <c r="FY22" i="4"/>
  <c r="FY23" i="4"/>
  <c r="FY24" i="4"/>
  <c r="FY25" i="4"/>
  <c r="FY26" i="4"/>
  <c r="FY27" i="4"/>
  <c r="FY28" i="4"/>
  <c r="FY29" i="4"/>
  <c r="FY30" i="4"/>
  <c r="FY31" i="4"/>
  <c r="FY32" i="4"/>
  <c r="FY33" i="4"/>
  <c r="FY34" i="4"/>
  <c r="FY35" i="4"/>
  <c r="FY36" i="4"/>
  <c r="FY37" i="4"/>
  <c r="FY38" i="4"/>
  <c r="FY39" i="4"/>
  <c r="FY40" i="4"/>
  <c r="FY41" i="4"/>
  <c r="FY42" i="4"/>
  <c r="FY43" i="4"/>
  <c r="FY44" i="4"/>
  <c r="FY45" i="4"/>
  <c r="FY46" i="4"/>
  <c r="FY47" i="4"/>
  <c r="FY48" i="4"/>
  <c r="FY49" i="4"/>
  <c r="FY50" i="4"/>
  <c r="FY51" i="4"/>
  <c r="FY52" i="4"/>
  <c r="FY53" i="4"/>
  <c r="FY54" i="4"/>
  <c r="FY55" i="4"/>
  <c r="FY56" i="4"/>
  <c r="FY57" i="4"/>
  <c r="FY58" i="4"/>
  <c r="FY59" i="4"/>
  <c r="FY60" i="4"/>
  <c r="FY61" i="4"/>
  <c r="FY62" i="4"/>
  <c r="FY63" i="4"/>
  <c r="FY64" i="4"/>
  <c r="FY65" i="4"/>
  <c r="FY66" i="4"/>
  <c r="FY67" i="4"/>
  <c r="FY68" i="4"/>
  <c r="FY69" i="4"/>
  <c r="FY70" i="4"/>
  <c r="FY71" i="4"/>
  <c r="FY72" i="4"/>
  <c r="FY73" i="4"/>
  <c r="FY74" i="4"/>
  <c r="FY75" i="4"/>
  <c r="FY76" i="4"/>
  <c r="FY77" i="4"/>
  <c r="FY78" i="4"/>
  <c r="FY79" i="4"/>
  <c r="FY80" i="4"/>
  <c r="FY81" i="4"/>
  <c r="FY82" i="4"/>
  <c r="FY83" i="4"/>
  <c r="FY84" i="4"/>
  <c r="FY85" i="4"/>
  <c r="FY86" i="4"/>
  <c r="FY87" i="4"/>
  <c r="FY88" i="4"/>
  <c r="FY89" i="4"/>
  <c r="FY90" i="4"/>
  <c r="FY91" i="4"/>
  <c r="FY92" i="4"/>
  <c r="FY93" i="4"/>
  <c r="FY94" i="4"/>
  <c r="FY95" i="4"/>
  <c r="FY96" i="4"/>
  <c r="FY97" i="4"/>
  <c r="FY98" i="4"/>
  <c r="FY99" i="4"/>
  <c r="FY100" i="4"/>
  <c r="FY101" i="4"/>
  <c r="FY102" i="4"/>
  <c r="FY103" i="4"/>
  <c r="FY104" i="4"/>
  <c r="FY105" i="4"/>
  <c r="FY106" i="4"/>
  <c r="FY107" i="4"/>
  <c r="FY108" i="4"/>
  <c r="FY109" i="4"/>
  <c r="FY110" i="4"/>
  <c r="FY111" i="4"/>
  <c r="FY112" i="4"/>
  <c r="FY113" i="4"/>
  <c r="FY114" i="4"/>
  <c r="FY115" i="4"/>
  <c r="FY116" i="4"/>
  <c r="FY117" i="4"/>
  <c r="FY118" i="4"/>
  <c r="FY119" i="4"/>
  <c r="FY120" i="4"/>
  <c r="FY121" i="4"/>
  <c r="FY122" i="4"/>
  <c r="FY123" i="4"/>
  <c r="FY124" i="4"/>
  <c r="FY125" i="4"/>
  <c r="FY126" i="4"/>
  <c r="FY127" i="4"/>
  <c r="FY128" i="4"/>
  <c r="FY129" i="4"/>
  <c r="FY130" i="4"/>
  <c r="FY131" i="4"/>
  <c r="FY132" i="4"/>
  <c r="FY133" i="4"/>
  <c r="FY134" i="4"/>
  <c r="FY135" i="4"/>
  <c r="FY136" i="4"/>
  <c r="FY137" i="4"/>
  <c r="FY138" i="4"/>
  <c r="FY139" i="4"/>
  <c r="FY140" i="4"/>
  <c r="FY141" i="4"/>
  <c r="FY142" i="4"/>
  <c r="FY143" i="4"/>
  <c r="FY144" i="4"/>
  <c r="FY145" i="4"/>
  <c r="FY146" i="4"/>
  <c r="FY147" i="4"/>
  <c r="FY148" i="4"/>
  <c r="FY149" i="4"/>
  <c r="FY150" i="4"/>
  <c r="FY151" i="4"/>
  <c r="FY152" i="4"/>
  <c r="FY153" i="4"/>
  <c r="FY154" i="4"/>
  <c r="FY155" i="4"/>
  <c r="FY156" i="4"/>
  <c r="FY157" i="4"/>
  <c r="FY158" i="4"/>
  <c r="FY159" i="4"/>
  <c r="FY160" i="4"/>
  <c r="FY161" i="4"/>
  <c r="FY162" i="4"/>
  <c r="FY163" i="4"/>
  <c r="FY164" i="4"/>
  <c r="FY165" i="4"/>
  <c r="FY166" i="4"/>
  <c r="FY167" i="4"/>
  <c r="FY168" i="4"/>
  <c r="FY169" i="4"/>
  <c r="FY170" i="4"/>
  <c r="FY171" i="4"/>
  <c r="FY172" i="4"/>
  <c r="FY173" i="4"/>
  <c r="FY174" i="4"/>
  <c r="FY175" i="4"/>
  <c r="FX2" i="4"/>
  <c r="FX3" i="4"/>
  <c r="FX4" i="4"/>
  <c r="FX5" i="4"/>
  <c r="FX6" i="4"/>
  <c r="FX7" i="4"/>
  <c r="FX8" i="4"/>
  <c r="FX9" i="4"/>
  <c r="FX10" i="4"/>
  <c r="FX11" i="4"/>
  <c r="FX12" i="4"/>
  <c r="FX13" i="4"/>
  <c r="FX14" i="4"/>
  <c r="FX15" i="4"/>
  <c r="FX16" i="4"/>
  <c r="FX17" i="4"/>
  <c r="FX18" i="4"/>
  <c r="FX19" i="4"/>
  <c r="FX20" i="4"/>
  <c r="FX21" i="4"/>
  <c r="FX22" i="4"/>
  <c r="FX23" i="4"/>
  <c r="FX24" i="4"/>
  <c r="FX25" i="4"/>
  <c r="FX26" i="4"/>
  <c r="FX27" i="4"/>
  <c r="FX28" i="4"/>
  <c r="FX29" i="4"/>
  <c r="FX30" i="4"/>
  <c r="FX31" i="4"/>
  <c r="FX32" i="4"/>
  <c r="FX33" i="4"/>
  <c r="FX34" i="4"/>
  <c r="FX35" i="4"/>
  <c r="FX36" i="4"/>
  <c r="FX37" i="4"/>
  <c r="FX38" i="4"/>
  <c r="FX39" i="4"/>
  <c r="FX40" i="4"/>
  <c r="FX41" i="4"/>
  <c r="FX42" i="4"/>
  <c r="FX43" i="4"/>
  <c r="FX44" i="4"/>
  <c r="FX45" i="4"/>
  <c r="FX46" i="4"/>
  <c r="FX47" i="4"/>
  <c r="FX48" i="4"/>
  <c r="FX49" i="4"/>
  <c r="FX50" i="4"/>
  <c r="FX51" i="4"/>
  <c r="FX52" i="4"/>
  <c r="FX53" i="4"/>
  <c r="FX54" i="4"/>
  <c r="FX55" i="4"/>
  <c r="FX56" i="4"/>
  <c r="FX57" i="4"/>
  <c r="FX58" i="4"/>
  <c r="FX59" i="4"/>
  <c r="FX60" i="4"/>
  <c r="FX61" i="4"/>
  <c r="FX62" i="4"/>
  <c r="FX63" i="4"/>
  <c r="FX64" i="4"/>
  <c r="FX65" i="4"/>
  <c r="FX66" i="4"/>
  <c r="FX67" i="4"/>
  <c r="FX68" i="4"/>
  <c r="FX69" i="4"/>
  <c r="FX70" i="4"/>
  <c r="FX71" i="4"/>
  <c r="FX72" i="4"/>
  <c r="FX73" i="4"/>
  <c r="FX74" i="4"/>
  <c r="FX75" i="4"/>
  <c r="FX76" i="4"/>
  <c r="FX77" i="4"/>
  <c r="FX78" i="4"/>
  <c r="FX79" i="4"/>
  <c r="FX80" i="4"/>
  <c r="FX81" i="4"/>
  <c r="FX82" i="4"/>
  <c r="FX83" i="4"/>
  <c r="FX84" i="4"/>
  <c r="FX85" i="4"/>
  <c r="FX86" i="4"/>
  <c r="FX87" i="4"/>
  <c r="FX88" i="4"/>
  <c r="FX89" i="4"/>
  <c r="FX90" i="4"/>
  <c r="FX91" i="4"/>
  <c r="FX92" i="4"/>
  <c r="FX93" i="4"/>
  <c r="FX94" i="4"/>
  <c r="FX95" i="4"/>
  <c r="FX96" i="4"/>
  <c r="FX97" i="4"/>
  <c r="FX98" i="4"/>
  <c r="FX99" i="4"/>
  <c r="FX100" i="4"/>
  <c r="FX101" i="4"/>
  <c r="FX102" i="4"/>
  <c r="FX103" i="4"/>
  <c r="FX104" i="4"/>
  <c r="FX105" i="4"/>
  <c r="FX106" i="4"/>
  <c r="FX107" i="4"/>
  <c r="FX108" i="4"/>
  <c r="FX109" i="4"/>
  <c r="FX110" i="4"/>
  <c r="FX111" i="4"/>
  <c r="FX112" i="4"/>
  <c r="FX113" i="4"/>
  <c r="FX114" i="4"/>
  <c r="FX115" i="4"/>
  <c r="FX116" i="4"/>
  <c r="FX117" i="4"/>
  <c r="FX118" i="4"/>
  <c r="FX119" i="4"/>
  <c r="FX120" i="4"/>
  <c r="FX121" i="4"/>
  <c r="FX122" i="4"/>
  <c r="FX123" i="4"/>
  <c r="FX124" i="4"/>
  <c r="FX125" i="4"/>
  <c r="FX126" i="4"/>
  <c r="FX127" i="4"/>
  <c r="FX128" i="4"/>
  <c r="FX129" i="4"/>
  <c r="FX130" i="4"/>
  <c r="FX131" i="4"/>
  <c r="FX132" i="4"/>
  <c r="FX133" i="4"/>
  <c r="FX134" i="4"/>
  <c r="FX135" i="4"/>
  <c r="FX136" i="4"/>
  <c r="FX137" i="4"/>
  <c r="FX138" i="4"/>
  <c r="FX139" i="4"/>
  <c r="FX140" i="4"/>
  <c r="FX141" i="4"/>
  <c r="FX142" i="4"/>
  <c r="FX143" i="4"/>
  <c r="FX144" i="4"/>
  <c r="FX145" i="4"/>
  <c r="FX146" i="4"/>
  <c r="FX147" i="4"/>
  <c r="FX148" i="4"/>
  <c r="FX149" i="4"/>
  <c r="FX150" i="4"/>
  <c r="FX151" i="4"/>
  <c r="FX152" i="4"/>
  <c r="FX153" i="4"/>
  <c r="FX154" i="4"/>
  <c r="FX155" i="4"/>
  <c r="FX156" i="4"/>
  <c r="FX157" i="4"/>
  <c r="FX158" i="4"/>
  <c r="FX159" i="4"/>
  <c r="FX160" i="4"/>
  <c r="FX161" i="4"/>
  <c r="FX162" i="4"/>
  <c r="FX163" i="4"/>
  <c r="FX164" i="4"/>
  <c r="FX165" i="4"/>
  <c r="FX166" i="4"/>
  <c r="FX167" i="4"/>
  <c r="FX168" i="4"/>
  <c r="FX169" i="4"/>
  <c r="FX170" i="4"/>
  <c r="FX171" i="4"/>
  <c r="FX172" i="4"/>
  <c r="FX173" i="4"/>
  <c r="FX174" i="4"/>
  <c r="FX175" i="4"/>
  <c r="FW2" i="4"/>
  <c r="FW3" i="4"/>
  <c r="FW4" i="4"/>
  <c r="FW5" i="4"/>
  <c r="FW6" i="4"/>
  <c r="FW7" i="4"/>
  <c r="FW8" i="4"/>
  <c r="FW9" i="4"/>
  <c r="FW10" i="4"/>
  <c r="FW11" i="4"/>
  <c r="FW12" i="4"/>
  <c r="FW13" i="4"/>
  <c r="FW14" i="4"/>
  <c r="FW15" i="4"/>
  <c r="FW16" i="4"/>
  <c r="FW17" i="4"/>
  <c r="FW18" i="4"/>
  <c r="FW19" i="4"/>
  <c r="FW20" i="4"/>
  <c r="FW21" i="4"/>
  <c r="FW22" i="4"/>
  <c r="FW23" i="4"/>
  <c r="FW24" i="4"/>
  <c r="FW25" i="4"/>
  <c r="FW26" i="4"/>
  <c r="FW27" i="4"/>
  <c r="FW28" i="4"/>
  <c r="FW29" i="4"/>
  <c r="FW30" i="4"/>
  <c r="FW31" i="4"/>
  <c r="FW32" i="4"/>
  <c r="FW33" i="4"/>
  <c r="FW34" i="4"/>
  <c r="FW35" i="4"/>
  <c r="FW36" i="4"/>
  <c r="FW37" i="4"/>
  <c r="FW38" i="4"/>
  <c r="FW39" i="4"/>
  <c r="FW40" i="4"/>
  <c r="FW41" i="4"/>
  <c r="FW42" i="4"/>
  <c r="FW43" i="4"/>
  <c r="FW44" i="4"/>
  <c r="FW45" i="4"/>
  <c r="FW46" i="4"/>
  <c r="FW47" i="4"/>
  <c r="FW48" i="4"/>
  <c r="FW49" i="4"/>
  <c r="FW50" i="4"/>
  <c r="FW51" i="4"/>
  <c r="FW52" i="4"/>
  <c r="FW53" i="4"/>
  <c r="FW54" i="4"/>
  <c r="FW55" i="4"/>
  <c r="FW56" i="4"/>
  <c r="FW57" i="4"/>
  <c r="FW58" i="4"/>
  <c r="FW59" i="4"/>
  <c r="FW60" i="4"/>
  <c r="FW61" i="4"/>
  <c r="FW62" i="4"/>
  <c r="FW63" i="4"/>
  <c r="FW64" i="4"/>
  <c r="FW65" i="4"/>
  <c r="FW66" i="4"/>
  <c r="FW67" i="4"/>
  <c r="FW68" i="4"/>
  <c r="FW69" i="4"/>
  <c r="FW70" i="4"/>
  <c r="FW71" i="4"/>
  <c r="FW72" i="4"/>
  <c r="FW73" i="4"/>
  <c r="FW74" i="4"/>
  <c r="FW75" i="4"/>
  <c r="FW76" i="4"/>
  <c r="FW77" i="4"/>
  <c r="FW78" i="4"/>
  <c r="FW79" i="4"/>
  <c r="FW80" i="4"/>
  <c r="FW81" i="4"/>
  <c r="FW82" i="4"/>
  <c r="FW83" i="4"/>
  <c r="FW84" i="4"/>
  <c r="FW85" i="4"/>
  <c r="FW86" i="4"/>
  <c r="FW87" i="4"/>
  <c r="FW88" i="4"/>
  <c r="FW89" i="4"/>
  <c r="FW90" i="4"/>
  <c r="FW91" i="4"/>
  <c r="FW92" i="4"/>
  <c r="FW93" i="4"/>
  <c r="FW94" i="4"/>
  <c r="FW95" i="4"/>
  <c r="FW96" i="4"/>
  <c r="FW97" i="4"/>
  <c r="FW98" i="4"/>
  <c r="FW99" i="4"/>
  <c r="FW100" i="4"/>
  <c r="FW101" i="4"/>
  <c r="FW102" i="4"/>
  <c r="FW103" i="4"/>
  <c r="FW104" i="4"/>
  <c r="FW105" i="4"/>
  <c r="FW106" i="4"/>
  <c r="FW107" i="4"/>
  <c r="FW108" i="4"/>
  <c r="FW109" i="4"/>
  <c r="FW110" i="4"/>
  <c r="FW111" i="4"/>
  <c r="FW112" i="4"/>
  <c r="FW113" i="4"/>
  <c r="FW114" i="4"/>
  <c r="FW115" i="4"/>
  <c r="FW116" i="4"/>
  <c r="FW117" i="4"/>
  <c r="FW118" i="4"/>
  <c r="FW119" i="4"/>
  <c r="FW120" i="4"/>
  <c r="FW121" i="4"/>
  <c r="FW122" i="4"/>
  <c r="FW123" i="4"/>
  <c r="FW124" i="4"/>
  <c r="FW125" i="4"/>
  <c r="FW126" i="4"/>
  <c r="FW127" i="4"/>
  <c r="FW128" i="4"/>
  <c r="FW129" i="4"/>
  <c r="FW130" i="4"/>
  <c r="FW131" i="4"/>
  <c r="FW132" i="4"/>
  <c r="FW133" i="4"/>
  <c r="FW134" i="4"/>
  <c r="FW135" i="4"/>
  <c r="FW136" i="4"/>
  <c r="FW137" i="4"/>
  <c r="FW138" i="4"/>
  <c r="FW139" i="4"/>
  <c r="FW140" i="4"/>
  <c r="FW141" i="4"/>
  <c r="FW142" i="4"/>
  <c r="FW143" i="4"/>
  <c r="FW144" i="4"/>
  <c r="FW145" i="4"/>
  <c r="FW146" i="4"/>
  <c r="FW147" i="4"/>
  <c r="FW148" i="4"/>
  <c r="FW149" i="4"/>
  <c r="FW150" i="4"/>
  <c r="FW151" i="4"/>
  <c r="FW152" i="4"/>
  <c r="FW153" i="4"/>
  <c r="FW154" i="4"/>
  <c r="FW155" i="4"/>
  <c r="FW156" i="4"/>
  <c r="FW157" i="4"/>
  <c r="FW158" i="4"/>
  <c r="FW159" i="4"/>
  <c r="FW160" i="4"/>
  <c r="FW161" i="4"/>
  <c r="FW162" i="4"/>
  <c r="FW163" i="4"/>
  <c r="FW164" i="4"/>
  <c r="FW165" i="4"/>
  <c r="FW166" i="4"/>
  <c r="FW167" i="4"/>
  <c r="FW168" i="4"/>
  <c r="FW169" i="4"/>
  <c r="FW170" i="4"/>
  <c r="FW171" i="4"/>
  <c r="FW172" i="4"/>
  <c r="FW173" i="4"/>
  <c r="FW174" i="4"/>
  <c r="FW175" i="4"/>
  <c r="FV2" i="4"/>
  <c r="FV3" i="4"/>
  <c r="FV4" i="4"/>
  <c r="FV5" i="4"/>
  <c r="FV6" i="4"/>
  <c r="FV7" i="4"/>
  <c r="FV8" i="4"/>
  <c r="FV9" i="4"/>
  <c r="FV10" i="4"/>
  <c r="FV11" i="4"/>
  <c r="FV12" i="4"/>
  <c r="FV13" i="4"/>
  <c r="FV14" i="4"/>
  <c r="FV15" i="4"/>
  <c r="FV16" i="4"/>
  <c r="FV17" i="4"/>
  <c r="FV18" i="4"/>
  <c r="FV19" i="4"/>
  <c r="FV20" i="4"/>
  <c r="FV21" i="4"/>
  <c r="FV22" i="4"/>
  <c r="FV23" i="4"/>
  <c r="FV24" i="4"/>
  <c r="FV25" i="4"/>
  <c r="FV26" i="4"/>
  <c r="FV27" i="4"/>
  <c r="FV28" i="4"/>
  <c r="FV29" i="4"/>
  <c r="FV30" i="4"/>
  <c r="FV31" i="4"/>
  <c r="FV32" i="4"/>
  <c r="FV33" i="4"/>
  <c r="FV34" i="4"/>
  <c r="FV35" i="4"/>
  <c r="FV36" i="4"/>
  <c r="FV37" i="4"/>
  <c r="FV38" i="4"/>
  <c r="FV39" i="4"/>
  <c r="FV40" i="4"/>
  <c r="FV41" i="4"/>
  <c r="FV42" i="4"/>
  <c r="FV43" i="4"/>
  <c r="FV44" i="4"/>
  <c r="FV45" i="4"/>
  <c r="FV46" i="4"/>
  <c r="FV47" i="4"/>
  <c r="FV48" i="4"/>
  <c r="FV49" i="4"/>
  <c r="FV50" i="4"/>
  <c r="FV51" i="4"/>
  <c r="FV52" i="4"/>
  <c r="FV53" i="4"/>
  <c r="FV54" i="4"/>
  <c r="FV55" i="4"/>
  <c r="FV56" i="4"/>
  <c r="FV57" i="4"/>
  <c r="FV58" i="4"/>
  <c r="FV59" i="4"/>
  <c r="FV60" i="4"/>
  <c r="FV61" i="4"/>
  <c r="FV62" i="4"/>
  <c r="FV63" i="4"/>
  <c r="FV64" i="4"/>
  <c r="FV65" i="4"/>
  <c r="FV66" i="4"/>
  <c r="FV67" i="4"/>
  <c r="FV68" i="4"/>
  <c r="FV69" i="4"/>
  <c r="FV70" i="4"/>
  <c r="FV71" i="4"/>
  <c r="FV72" i="4"/>
  <c r="FV73" i="4"/>
  <c r="FV74" i="4"/>
  <c r="FV75" i="4"/>
  <c r="FV76" i="4"/>
  <c r="FV77" i="4"/>
  <c r="FV78" i="4"/>
  <c r="FV79" i="4"/>
  <c r="FV80" i="4"/>
  <c r="FV81" i="4"/>
  <c r="FV82" i="4"/>
  <c r="FV83" i="4"/>
  <c r="FV84" i="4"/>
  <c r="FV85" i="4"/>
  <c r="FV86" i="4"/>
  <c r="FV87" i="4"/>
  <c r="FV88" i="4"/>
  <c r="FV89" i="4"/>
  <c r="FV90" i="4"/>
  <c r="FV91" i="4"/>
  <c r="FV92" i="4"/>
  <c r="FV93" i="4"/>
  <c r="FV94" i="4"/>
  <c r="FV95" i="4"/>
  <c r="FV96" i="4"/>
  <c r="FV97" i="4"/>
  <c r="FV98" i="4"/>
  <c r="FV99" i="4"/>
  <c r="FV100" i="4"/>
  <c r="FV101" i="4"/>
  <c r="FV102" i="4"/>
  <c r="FV103" i="4"/>
  <c r="FV104" i="4"/>
  <c r="FV105" i="4"/>
  <c r="FV106" i="4"/>
  <c r="FV107" i="4"/>
  <c r="FV108" i="4"/>
  <c r="FV109" i="4"/>
  <c r="FV110" i="4"/>
  <c r="FV111" i="4"/>
  <c r="FV112" i="4"/>
  <c r="FV113" i="4"/>
  <c r="FV114" i="4"/>
  <c r="FV115" i="4"/>
  <c r="FV116" i="4"/>
  <c r="FV117" i="4"/>
  <c r="FV118" i="4"/>
  <c r="FV119" i="4"/>
  <c r="FV120" i="4"/>
  <c r="FV121" i="4"/>
  <c r="FV122" i="4"/>
  <c r="FV123" i="4"/>
  <c r="FV124" i="4"/>
  <c r="FV125" i="4"/>
  <c r="FV126" i="4"/>
  <c r="FV127" i="4"/>
  <c r="FV128" i="4"/>
  <c r="FV129" i="4"/>
  <c r="FV130" i="4"/>
  <c r="FV131" i="4"/>
  <c r="FV132" i="4"/>
  <c r="FV133" i="4"/>
  <c r="FV134" i="4"/>
  <c r="FV135" i="4"/>
  <c r="FV136" i="4"/>
  <c r="FV137" i="4"/>
  <c r="FV138" i="4"/>
  <c r="FV139" i="4"/>
  <c r="FV140" i="4"/>
  <c r="FV141" i="4"/>
  <c r="FV142" i="4"/>
  <c r="FV143" i="4"/>
  <c r="FV144" i="4"/>
  <c r="FV145" i="4"/>
  <c r="FV146" i="4"/>
  <c r="FV147" i="4"/>
  <c r="FV148" i="4"/>
  <c r="FV149" i="4"/>
  <c r="FV150" i="4"/>
  <c r="FV151" i="4"/>
  <c r="FV152" i="4"/>
  <c r="FV153" i="4"/>
  <c r="FV154" i="4"/>
  <c r="FV155" i="4"/>
  <c r="FV156" i="4"/>
  <c r="FV157" i="4"/>
  <c r="FV158" i="4"/>
  <c r="FV159" i="4"/>
  <c r="FV160" i="4"/>
  <c r="FV161" i="4"/>
  <c r="FV162" i="4"/>
  <c r="FV163" i="4"/>
  <c r="FV164" i="4"/>
  <c r="FV165" i="4"/>
  <c r="FV166" i="4"/>
  <c r="FV167" i="4"/>
  <c r="FV168" i="4"/>
  <c r="FV169" i="4"/>
  <c r="FV170" i="4"/>
  <c r="FV171" i="4"/>
  <c r="FV172" i="4"/>
  <c r="FV173" i="4"/>
  <c r="FV174" i="4"/>
  <c r="FV175" i="4"/>
  <c r="FU2" i="4"/>
  <c r="FU3" i="4"/>
  <c r="FU4" i="4"/>
  <c r="FU5" i="4"/>
  <c r="FU6" i="4"/>
  <c r="FU7" i="4"/>
  <c r="FU8" i="4"/>
  <c r="FU9" i="4"/>
  <c r="FU10" i="4"/>
  <c r="FU11" i="4"/>
  <c r="FU12" i="4"/>
  <c r="FU13" i="4"/>
  <c r="FU14" i="4"/>
  <c r="FU15" i="4"/>
  <c r="FU16" i="4"/>
  <c r="FU17" i="4"/>
  <c r="FU18" i="4"/>
  <c r="FU19" i="4"/>
  <c r="FU20" i="4"/>
  <c r="FU21" i="4"/>
  <c r="FU22" i="4"/>
  <c r="FU23" i="4"/>
  <c r="FU24" i="4"/>
  <c r="FU25" i="4"/>
  <c r="FU26" i="4"/>
  <c r="FU27" i="4"/>
  <c r="FU28" i="4"/>
  <c r="FU29" i="4"/>
  <c r="FU30" i="4"/>
  <c r="FU31" i="4"/>
  <c r="FU32" i="4"/>
  <c r="FU33" i="4"/>
  <c r="FU34" i="4"/>
  <c r="FU35" i="4"/>
  <c r="FU36" i="4"/>
  <c r="FU37" i="4"/>
  <c r="FU38" i="4"/>
  <c r="FU39" i="4"/>
  <c r="FU40" i="4"/>
  <c r="FU41" i="4"/>
  <c r="FU42" i="4"/>
  <c r="FU43" i="4"/>
  <c r="FU44" i="4"/>
  <c r="FU45" i="4"/>
  <c r="FU46" i="4"/>
  <c r="FU47" i="4"/>
  <c r="FU48" i="4"/>
  <c r="FU49" i="4"/>
  <c r="FU50" i="4"/>
  <c r="FU51" i="4"/>
  <c r="FU52" i="4"/>
  <c r="FU53" i="4"/>
  <c r="FU54" i="4"/>
  <c r="FU55" i="4"/>
  <c r="FU56" i="4"/>
  <c r="FU57" i="4"/>
  <c r="FU58" i="4"/>
  <c r="FU59" i="4"/>
  <c r="FU60" i="4"/>
  <c r="FU61" i="4"/>
  <c r="FU62" i="4"/>
  <c r="FU63" i="4"/>
  <c r="FU64" i="4"/>
  <c r="FU65" i="4"/>
  <c r="FU66" i="4"/>
  <c r="FU67" i="4"/>
  <c r="FU68" i="4"/>
  <c r="FU69" i="4"/>
  <c r="FU70" i="4"/>
  <c r="FU71" i="4"/>
  <c r="FU72" i="4"/>
  <c r="FU73" i="4"/>
  <c r="FU74" i="4"/>
  <c r="FU75" i="4"/>
  <c r="FU76" i="4"/>
  <c r="FU77" i="4"/>
  <c r="FU78" i="4"/>
  <c r="FU79" i="4"/>
  <c r="FU80" i="4"/>
  <c r="FU81" i="4"/>
  <c r="FU82" i="4"/>
  <c r="FU83" i="4"/>
  <c r="FU84" i="4"/>
  <c r="FU85" i="4"/>
  <c r="FU86" i="4"/>
  <c r="FU87" i="4"/>
  <c r="FU88" i="4"/>
  <c r="FU89" i="4"/>
  <c r="FU90" i="4"/>
  <c r="FU91" i="4"/>
  <c r="FU92" i="4"/>
  <c r="FU93" i="4"/>
  <c r="FU94" i="4"/>
  <c r="FU95" i="4"/>
  <c r="FU96" i="4"/>
  <c r="FU97" i="4"/>
  <c r="FU98" i="4"/>
  <c r="FU99" i="4"/>
  <c r="FU100" i="4"/>
  <c r="FU101" i="4"/>
  <c r="FU102" i="4"/>
  <c r="FU103" i="4"/>
  <c r="FU104" i="4"/>
  <c r="FU105" i="4"/>
  <c r="FU106" i="4"/>
  <c r="FU107" i="4"/>
  <c r="FU108" i="4"/>
  <c r="FU109" i="4"/>
  <c r="FU110" i="4"/>
  <c r="FU111" i="4"/>
  <c r="FU112" i="4"/>
  <c r="FU113" i="4"/>
  <c r="FU114" i="4"/>
  <c r="FU115" i="4"/>
  <c r="FU116" i="4"/>
  <c r="FU117" i="4"/>
  <c r="FU118" i="4"/>
  <c r="FU119" i="4"/>
  <c r="FU120" i="4"/>
  <c r="FU121" i="4"/>
  <c r="FU122" i="4"/>
  <c r="FU123" i="4"/>
  <c r="FU124" i="4"/>
  <c r="FU125" i="4"/>
  <c r="FU126" i="4"/>
  <c r="FU127" i="4"/>
  <c r="FU128" i="4"/>
  <c r="FU129" i="4"/>
  <c r="FU130" i="4"/>
  <c r="FU131" i="4"/>
  <c r="FU132" i="4"/>
  <c r="FU133" i="4"/>
  <c r="FU134" i="4"/>
  <c r="FU135" i="4"/>
  <c r="FU136" i="4"/>
  <c r="FU137" i="4"/>
  <c r="FU138" i="4"/>
  <c r="FU139" i="4"/>
  <c r="FU140" i="4"/>
  <c r="FU141" i="4"/>
  <c r="FU142" i="4"/>
  <c r="FU143" i="4"/>
  <c r="FU144" i="4"/>
  <c r="FU145" i="4"/>
  <c r="FU146" i="4"/>
  <c r="FU147" i="4"/>
  <c r="FU148" i="4"/>
  <c r="FU149" i="4"/>
  <c r="FU150" i="4"/>
  <c r="FU151" i="4"/>
  <c r="FU152" i="4"/>
  <c r="FU153" i="4"/>
  <c r="FU154" i="4"/>
  <c r="FU155" i="4"/>
  <c r="FU156" i="4"/>
  <c r="FU157" i="4"/>
  <c r="FU158" i="4"/>
  <c r="FU159" i="4"/>
  <c r="FU160" i="4"/>
  <c r="FU161" i="4"/>
  <c r="FU162" i="4"/>
  <c r="FU163" i="4"/>
  <c r="FU164" i="4"/>
  <c r="FU165" i="4"/>
  <c r="FU166" i="4"/>
  <c r="FU167" i="4"/>
  <c r="FU168" i="4"/>
  <c r="FU169" i="4"/>
  <c r="FU170" i="4"/>
  <c r="FU171" i="4"/>
  <c r="FU172" i="4"/>
  <c r="FU173" i="4"/>
  <c r="FU174" i="4"/>
  <c r="FU175" i="4"/>
  <c r="FT2" i="4"/>
  <c r="FT3" i="4"/>
  <c r="FT4" i="4"/>
  <c r="FT5" i="4"/>
  <c r="FT6" i="4"/>
  <c r="FT7" i="4"/>
  <c r="FT8" i="4"/>
  <c r="FT9" i="4"/>
  <c r="FT10" i="4"/>
  <c r="FT11" i="4"/>
  <c r="FT12" i="4"/>
  <c r="FT13" i="4"/>
  <c r="FT14" i="4"/>
  <c r="FT15" i="4"/>
  <c r="FT16" i="4"/>
  <c r="FT17" i="4"/>
  <c r="FT18" i="4"/>
  <c r="FT19" i="4"/>
  <c r="FT20" i="4"/>
  <c r="FT21" i="4"/>
  <c r="FT22" i="4"/>
  <c r="FT23" i="4"/>
  <c r="FT24" i="4"/>
  <c r="FT25" i="4"/>
  <c r="FT26" i="4"/>
  <c r="FT27" i="4"/>
  <c r="FT28" i="4"/>
  <c r="FT29" i="4"/>
  <c r="FT30" i="4"/>
  <c r="FT31" i="4"/>
  <c r="FT32" i="4"/>
  <c r="FT33" i="4"/>
  <c r="FT34" i="4"/>
  <c r="FT35" i="4"/>
  <c r="FT36" i="4"/>
  <c r="FT37" i="4"/>
  <c r="FT38" i="4"/>
  <c r="FT39" i="4"/>
  <c r="FT40" i="4"/>
  <c r="FT41" i="4"/>
  <c r="FT42" i="4"/>
  <c r="FT43" i="4"/>
  <c r="FT44" i="4"/>
  <c r="FT45" i="4"/>
  <c r="FT46" i="4"/>
  <c r="FT47" i="4"/>
  <c r="FT48" i="4"/>
  <c r="FT49" i="4"/>
  <c r="FT50" i="4"/>
  <c r="FT51" i="4"/>
  <c r="FT52" i="4"/>
  <c r="FT53" i="4"/>
  <c r="FT54" i="4"/>
  <c r="FT55" i="4"/>
  <c r="FT56" i="4"/>
  <c r="FT57" i="4"/>
  <c r="FT58" i="4"/>
  <c r="FT59" i="4"/>
  <c r="FT60" i="4"/>
  <c r="FT61" i="4"/>
  <c r="FT62" i="4"/>
  <c r="FT63" i="4"/>
  <c r="FT64" i="4"/>
  <c r="FT65" i="4"/>
  <c r="FT66" i="4"/>
  <c r="FT67" i="4"/>
  <c r="FT68" i="4"/>
  <c r="FT69" i="4"/>
  <c r="FT70" i="4"/>
  <c r="FT71" i="4"/>
  <c r="FT72" i="4"/>
  <c r="FT73" i="4"/>
  <c r="FT74" i="4"/>
  <c r="FT75" i="4"/>
  <c r="FT76" i="4"/>
  <c r="FT77" i="4"/>
  <c r="FT78" i="4"/>
  <c r="FT79" i="4"/>
  <c r="FT80" i="4"/>
  <c r="FT81" i="4"/>
  <c r="FT82" i="4"/>
  <c r="FT83" i="4"/>
  <c r="FT84" i="4"/>
  <c r="FT85" i="4"/>
  <c r="FT86" i="4"/>
  <c r="FT87" i="4"/>
  <c r="FT88" i="4"/>
  <c r="FT89" i="4"/>
  <c r="FT90" i="4"/>
  <c r="FT91" i="4"/>
  <c r="FT92" i="4"/>
  <c r="FT93" i="4"/>
  <c r="FT94" i="4"/>
  <c r="FT95" i="4"/>
  <c r="FT96" i="4"/>
  <c r="FT97" i="4"/>
  <c r="FT98" i="4"/>
  <c r="FT99" i="4"/>
  <c r="FT100" i="4"/>
  <c r="FT101" i="4"/>
  <c r="FT102" i="4"/>
  <c r="FT103" i="4"/>
  <c r="FT104" i="4"/>
  <c r="FT105" i="4"/>
  <c r="FT106" i="4"/>
  <c r="FT107" i="4"/>
  <c r="FT108" i="4"/>
  <c r="FT109" i="4"/>
  <c r="FT110" i="4"/>
  <c r="FT111" i="4"/>
  <c r="FT112" i="4"/>
  <c r="FT113" i="4"/>
  <c r="FT114" i="4"/>
  <c r="FT115" i="4"/>
  <c r="FT116" i="4"/>
  <c r="FT117" i="4"/>
  <c r="FT118" i="4"/>
  <c r="FT119" i="4"/>
  <c r="FT120" i="4"/>
  <c r="FT121" i="4"/>
  <c r="FT122" i="4"/>
  <c r="FT123" i="4"/>
  <c r="FT124" i="4"/>
  <c r="FT125" i="4"/>
  <c r="FT126" i="4"/>
  <c r="FT127" i="4"/>
  <c r="FT128" i="4"/>
  <c r="FT129" i="4"/>
  <c r="FT130" i="4"/>
  <c r="FT131" i="4"/>
  <c r="FT132" i="4"/>
  <c r="FT133" i="4"/>
  <c r="FT134" i="4"/>
  <c r="FT135" i="4"/>
  <c r="FT136" i="4"/>
  <c r="FT137" i="4"/>
  <c r="FT138" i="4"/>
  <c r="FT139" i="4"/>
  <c r="FT140" i="4"/>
  <c r="FT141" i="4"/>
  <c r="FT142" i="4"/>
  <c r="FT143" i="4"/>
  <c r="FT144" i="4"/>
  <c r="FT145" i="4"/>
  <c r="FT146" i="4"/>
  <c r="FT147" i="4"/>
  <c r="FT148" i="4"/>
  <c r="FT149" i="4"/>
  <c r="FT150" i="4"/>
  <c r="FT151" i="4"/>
  <c r="FT152" i="4"/>
  <c r="FT153" i="4"/>
  <c r="FT154" i="4"/>
  <c r="FT155" i="4"/>
  <c r="FT156" i="4"/>
  <c r="FT157" i="4"/>
  <c r="FT158" i="4"/>
  <c r="FT159" i="4"/>
  <c r="FT160" i="4"/>
  <c r="FT161" i="4"/>
  <c r="FT162" i="4"/>
  <c r="FT163" i="4"/>
  <c r="FT164" i="4"/>
  <c r="FT165" i="4"/>
  <c r="FT166" i="4"/>
  <c r="FT167" i="4"/>
  <c r="FT168" i="4"/>
  <c r="FT169" i="4"/>
  <c r="FT170" i="4"/>
  <c r="FT171" i="4"/>
  <c r="FT172" i="4"/>
  <c r="FT173" i="4"/>
  <c r="FT174" i="4"/>
  <c r="FT175" i="4"/>
  <c r="FS2" i="4"/>
  <c r="FS3" i="4"/>
  <c r="FS4" i="4"/>
  <c r="FS5" i="4"/>
  <c r="FS6" i="4"/>
  <c r="FS7" i="4"/>
  <c r="FS8" i="4"/>
  <c r="FS9" i="4"/>
  <c r="FS10" i="4"/>
  <c r="FS11" i="4"/>
  <c r="FS12" i="4"/>
  <c r="FS13" i="4"/>
  <c r="FS14" i="4"/>
  <c r="FS15" i="4"/>
  <c r="FS16" i="4"/>
  <c r="FS17" i="4"/>
  <c r="FS18" i="4"/>
  <c r="FS19" i="4"/>
  <c r="FS20" i="4"/>
  <c r="FS21" i="4"/>
  <c r="FS22" i="4"/>
  <c r="FS23" i="4"/>
  <c r="FS24" i="4"/>
  <c r="FS25" i="4"/>
  <c r="FS26" i="4"/>
  <c r="FS27" i="4"/>
  <c r="FS28" i="4"/>
  <c r="FS29" i="4"/>
  <c r="FS30" i="4"/>
  <c r="FS31" i="4"/>
  <c r="FS32" i="4"/>
  <c r="FS33" i="4"/>
  <c r="FS34" i="4"/>
  <c r="FS35" i="4"/>
  <c r="FS36" i="4"/>
  <c r="FS37" i="4"/>
  <c r="FS38" i="4"/>
  <c r="FS39" i="4"/>
  <c r="FS40" i="4"/>
  <c r="FS41" i="4"/>
  <c r="FS42" i="4"/>
  <c r="FS43" i="4"/>
  <c r="FS44" i="4"/>
  <c r="FS45" i="4"/>
  <c r="FS46" i="4"/>
  <c r="FS47" i="4"/>
  <c r="FS48" i="4"/>
  <c r="FS49" i="4"/>
  <c r="FS50" i="4"/>
  <c r="FS51" i="4"/>
  <c r="FS52" i="4"/>
  <c r="FS53" i="4"/>
  <c r="FS54" i="4"/>
  <c r="FS55" i="4"/>
  <c r="FS56" i="4"/>
  <c r="FS57" i="4"/>
  <c r="FS58" i="4"/>
  <c r="FS59" i="4"/>
  <c r="FS60" i="4"/>
  <c r="FS61" i="4"/>
  <c r="FS62" i="4"/>
  <c r="FS63" i="4"/>
  <c r="FS64" i="4"/>
  <c r="FS65" i="4"/>
  <c r="FS66" i="4"/>
  <c r="FS67" i="4"/>
  <c r="FS68" i="4"/>
  <c r="FS69" i="4"/>
  <c r="FS70" i="4"/>
  <c r="FS71" i="4"/>
  <c r="FS72" i="4"/>
  <c r="FS73" i="4"/>
  <c r="FS74" i="4"/>
  <c r="FS75" i="4"/>
  <c r="FS76" i="4"/>
  <c r="FS77" i="4"/>
  <c r="FS78" i="4"/>
  <c r="FS79" i="4"/>
  <c r="FS80" i="4"/>
  <c r="FS81" i="4"/>
  <c r="FS82" i="4"/>
  <c r="FS83" i="4"/>
  <c r="FS84" i="4"/>
  <c r="FS85" i="4"/>
  <c r="FS86" i="4"/>
  <c r="FS87" i="4"/>
  <c r="FS88" i="4"/>
  <c r="FS89" i="4"/>
  <c r="FS90" i="4"/>
  <c r="FS91" i="4"/>
  <c r="FS92" i="4"/>
  <c r="FS93" i="4"/>
  <c r="FS94" i="4"/>
  <c r="FS95" i="4"/>
  <c r="FS96" i="4"/>
  <c r="FS97" i="4"/>
  <c r="FS98" i="4"/>
  <c r="FS99" i="4"/>
  <c r="FS100" i="4"/>
  <c r="FS101" i="4"/>
  <c r="FS102" i="4"/>
  <c r="FS103" i="4"/>
  <c r="FS104" i="4"/>
  <c r="FS105" i="4"/>
  <c r="FS106" i="4"/>
  <c r="FS107" i="4"/>
  <c r="FS108" i="4"/>
  <c r="FS109" i="4"/>
  <c r="FS110" i="4"/>
  <c r="FS111" i="4"/>
  <c r="FS112" i="4"/>
  <c r="FS113" i="4"/>
  <c r="FS114" i="4"/>
  <c r="FS115" i="4"/>
  <c r="FS116" i="4"/>
  <c r="FS117" i="4"/>
  <c r="FS118" i="4"/>
  <c r="FS119" i="4"/>
  <c r="FS120" i="4"/>
  <c r="FS121" i="4"/>
  <c r="FS122" i="4"/>
  <c r="FS123" i="4"/>
  <c r="FS124" i="4"/>
  <c r="FS125" i="4"/>
  <c r="FS126" i="4"/>
  <c r="FS127" i="4"/>
  <c r="FS128" i="4"/>
  <c r="FS129" i="4"/>
  <c r="FS130" i="4"/>
  <c r="FS131" i="4"/>
  <c r="FS132" i="4"/>
  <c r="FS133" i="4"/>
  <c r="FS134" i="4"/>
  <c r="FS135" i="4"/>
  <c r="FS136" i="4"/>
  <c r="FS137" i="4"/>
  <c r="FS138" i="4"/>
  <c r="FS139" i="4"/>
  <c r="FS140" i="4"/>
  <c r="FS141" i="4"/>
  <c r="FS142" i="4"/>
  <c r="FS143" i="4"/>
  <c r="FS144" i="4"/>
  <c r="FS145" i="4"/>
  <c r="FS146" i="4"/>
  <c r="FS147" i="4"/>
  <c r="FS148" i="4"/>
  <c r="FS149" i="4"/>
  <c r="FS150" i="4"/>
  <c r="FS151" i="4"/>
  <c r="FS152" i="4"/>
  <c r="FS153" i="4"/>
  <c r="FS154" i="4"/>
  <c r="FS155" i="4"/>
  <c r="FS156" i="4"/>
  <c r="FS157" i="4"/>
  <c r="FS158" i="4"/>
  <c r="FS159" i="4"/>
  <c r="FS160" i="4"/>
  <c r="FS161" i="4"/>
  <c r="FS162" i="4"/>
  <c r="FS163" i="4"/>
  <c r="FS164" i="4"/>
  <c r="FS165" i="4"/>
  <c r="FS166" i="4"/>
  <c r="FS167" i="4"/>
  <c r="FS168" i="4"/>
  <c r="FS169" i="4"/>
  <c r="FS170" i="4"/>
  <c r="FS171" i="4"/>
  <c r="FS172" i="4"/>
  <c r="FS173" i="4"/>
  <c r="FS174" i="4"/>
  <c r="FS175" i="4"/>
  <c r="FR2" i="4"/>
  <c r="FR3" i="4"/>
  <c r="FR4" i="4"/>
  <c r="FR5" i="4"/>
  <c r="FR6" i="4"/>
  <c r="FR7" i="4"/>
  <c r="FR8" i="4"/>
  <c r="FR9" i="4"/>
  <c r="FR10" i="4"/>
  <c r="FR11" i="4"/>
  <c r="FR12" i="4"/>
  <c r="FR13" i="4"/>
  <c r="FR14" i="4"/>
  <c r="FR15" i="4"/>
  <c r="FR16" i="4"/>
  <c r="FR17" i="4"/>
  <c r="FR18" i="4"/>
  <c r="FR19" i="4"/>
  <c r="FR20" i="4"/>
  <c r="FR21" i="4"/>
  <c r="FR22" i="4"/>
  <c r="FR23" i="4"/>
  <c r="FR24" i="4"/>
  <c r="FR25" i="4"/>
  <c r="FR26" i="4"/>
  <c r="FR27" i="4"/>
  <c r="FR28" i="4"/>
  <c r="FR29" i="4"/>
  <c r="FR30" i="4"/>
  <c r="FR31" i="4"/>
  <c r="FR32" i="4"/>
  <c r="FR33" i="4"/>
  <c r="FR34" i="4"/>
  <c r="FR35" i="4"/>
  <c r="FR36" i="4"/>
  <c r="FR37" i="4"/>
  <c r="FR38" i="4"/>
  <c r="FR39" i="4"/>
  <c r="FR40" i="4"/>
  <c r="FR41" i="4"/>
  <c r="FR42" i="4"/>
  <c r="FR43" i="4"/>
  <c r="FR44" i="4"/>
  <c r="FR45" i="4"/>
  <c r="FR46" i="4"/>
  <c r="FR47" i="4"/>
  <c r="FR48" i="4"/>
  <c r="FR49" i="4"/>
  <c r="FR50" i="4"/>
  <c r="FR51" i="4"/>
  <c r="FR52" i="4"/>
  <c r="FR53" i="4"/>
  <c r="FR54" i="4"/>
  <c r="FR55" i="4"/>
  <c r="FR56" i="4"/>
  <c r="FR57" i="4"/>
  <c r="FR58" i="4"/>
  <c r="FR59" i="4"/>
  <c r="FR60" i="4"/>
  <c r="FR61" i="4"/>
  <c r="FR62" i="4"/>
  <c r="FR63" i="4"/>
  <c r="FR64" i="4"/>
  <c r="FR65" i="4"/>
  <c r="FR66" i="4"/>
  <c r="FR67" i="4"/>
  <c r="FR68" i="4"/>
  <c r="FR69" i="4"/>
  <c r="FR70" i="4"/>
  <c r="FR71" i="4"/>
  <c r="FR72" i="4"/>
  <c r="FR73" i="4"/>
  <c r="FR74" i="4"/>
  <c r="FR75" i="4"/>
  <c r="FR76" i="4"/>
  <c r="FR77" i="4"/>
  <c r="FR78" i="4"/>
  <c r="FR79" i="4"/>
  <c r="FR80" i="4"/>
  <c r="FR81" i="4"/>
  <c r="FR82" i="4"/>
  <c r="FR83" i="4"/>
  <c r="FR84" i="4"/>
  <c r="FR85" i="4"/>
  <c r="FR86" i="4"/>
  <c r="FR87" i="4"/>
  <c r="FR88" i="4"/>
  <c r="FR89" i="4"/>
  <c r="FR90" i="4"/>
  <c r="FR91" i="4"/>
  <c r="FR92" i="4"/>
  <c r="FR93" i="4"/>
  <c r="FR94" i="4"/>
  <c r="FR95" i="4"/>
  <c r="FR96" i="4"/>
  <c r="FR97" i="4"/>
  <c r="FR98" i="4"/>
  <c r="FR99" i="4"/>
  <c r="FR100" i="4"/>
  <c r="FR101" i="4"/>
  <c r="FR102" i="4"/>
  <c r="FR103" i="4"/>
  <c r="FR104" i="4"/>
  <c r="FR105" i="4"/>
  <c r="FR106" i="4"/>
  <c r="FR107" i="4"/>
  <c r="FR108" i="4"/>
  <c r="FR109" i="4"/>
  <c r="FR110" i="4"/>
  <c r="FR111" i="4"/>
  <c r="FR112" i="4"/>
  <c r="FR113" i="4"/>
  <c r="FR114" i="4"/>
  <c r="FR115" i="4"/>
  <c r="FR116" i="4"/>
  <c r="FR117" i="4"/>
  <c r="FR118" i="4"/>
  <c r="FR119" i="4"/>
  <c r="FR120" i="4"/>
  <c r="FR121" i="4"/>
  <c r="FR122" i="4"/>
  <c r="FR123" i="4"/>
  <c r="FR124" i="4"/>
  <c r="FR125" i="4"/>
  <c r="FR126" i="4"/>
  <c r="FR127" i="4"/>
  <c r="FR128" i="4"/>
  <c r="FR129" i="4"/>
  <c r="FR130" i="4"/>
  <c r="FR131" i="4"/>
  <c r="FR132" i="4"/>
  <c r="FR133" i="4"/>
  <c r="FR134" i="4"/>
  <c r="FR135" i="4"/>
  <c r="FR136" i="4"/>
  <c r="FR137" i="4"/>
  <c r="FR138" i="4"/>
  <c r="FR139" i="4"/>
  <c r="FR140" i="4"/>
  <c r="FR141" i="4"/>
  <c r="FR142" i="4"/>
  <c r="FR143" i="4"/>
  <c r="FR144" i="4"/>
  <c r="FR145" i="4"/>
  <c r="FR146" i="4"/>
  <c r="FR147" i="4"/>
  <c r="FR148" i="4"/>
  <c r="FR149" i="4"/>
  <c r="FR150" i="4"/>
  <c r="FR151" i="4"/>
  <c r="FR152" i="4"/>
  <c r="FR153" i="4"/>
  <c r="FR154" i="4"/>
  <c r="FR155" i="4"/>
  <c r="FR156" i="4"/>
  <c r="FR157" i="4"/>
  <c r="FR158" i="4"/>
  <c r="FR159" i="4"/>
  <c r="FR160" i="4"/>
  <c r="FR161" i="4"/>
  <c r="FR162" i="4"/>
  <c r="FR163" i="4"/>
  <c r="FR164" i="4"/>
  <c r="FR165" i="4"/>
  <c r="FR166" i="4"/>
  <c r="FR167" i="4"/>
  <c r="FR168" i="4"/>
  <c r="FR169" i="4"/>
  <c r="FR170" i="4"/>
  <c r="FR171" i="4"/>
  <c r="FR172" i="4"/>
  <c r="FR173" i="4"/>
  <c r="FR174" i="4"/>
  <c r="FR175" i="4"/>
  <c r="FQ2" i="4"/>
  <c r="FQ3" i="4"/>
  <c r="FQ4" i="4"/>
  <c r="FQ5" i="4"/>
  <c r="FQ6" i="4"/>
  <c r="FQ7" i="4"/>
  <c r="FQ8" i="4"/>
  <c r="FQ9" i="4"/>
  <c r="FQ10" i="4"/>
  <c r="FQ11" i="4"/>
  <c r="FQ12" i="4"/>
  <c r="FQ13" i="4"/>
  <c r="FQ14" i="4"/>
  <c r="FQ15" i="4"/>
  <c r="FQ16" i="4"/>
  <c r="FQ17" i="4"/>
  <c r="FQ18" i="4"/>
  <c r="FQ19" i="4"/>
  <c r="FQ20" i="4"/>
  <c r="FQ21" i="4"/>
  <c r="FQ22" i="4"/>
  <c r="FQ23" i="4"/>
  <c r="FQ24" i="4"/>
  <c r="FQ25" i="4"/>
  <c r="FQ26" i="4"/>
  <c r="FQ27" i="4"/>
  <c r="FQ28" i="4"/>
  <c r="FQ29" i="4"/>
  <c r="FQ30" i="4"/>
  <c r="FQ31" i="4"/>
  <c r="FQ32" i="4"/>
  <c r="FQ33" i="4"/>
  <c r="FQ34" i="4"/>
  <c r="FQ35" i="4"/>
  <c r="FQ36" i="4"/>
  <c r="FQ37" i="4"/>
  <c r="FQ38" i="4"/>
  <c r="FQ39" i="4"/>
  <c r="FQ40" i="4"/>
  <c r="FQ41" i="4"/>
  <c r="FQ42" i="4"/>
  <c r="FQ43" i="4"/>
  <c r="FQ44" i="4"/>
  <c r="FQ45" i="4"/>
  <c r="FQ46" i="4"/>
  <c r="FQ47" i="4"/>
  <c r="FQ48" i="4"/>
  <c r="FQ49" i="4"/>
  <c r="FQ50" i="4"/>
  <c r="FQ51" i="4"/>
  <c r="FQ52" i="4"/>
  <c r="FQ53" i="4"/>
  <c r="FQ54" i="4"/>
  <c r="FQ55" i="4"/>
  <c r="FQ56" i="4"/>
  <c r="FQ57" i="4"/>
  <c r="FQ58" i="4"/>
  <c r="FQ59" i="4"/>
  <c r="FQ60" i="4"/>
  <c r="FQ61" i="4"/>
  <c r="FQ62" i="4"/>
  <c r="FQ63" i="4"/>
  <c r="FQ64" i="4"/>
  <c r="FQ65" i="4"/>
  <c r="FQ66" i="4"/>
  <c r="FQ67" i="4"/>
  <c r="FQ68" i="4"/>
  <c r="FQ69" i="4"/>
  <c r="FQ70" i="4"/>
  <c r="FQ71" i="4"/>
  <c r="FQ72" i="4"/>
  <c r="FQ73" i="4"/>
  <c r="FQ74" i="4"/>
  <c r="FQ75" i="4"/>
  <c r="FQ76" i="4"/>
  <c r="FQ77" i="4"/>
  <c r="FQ78" i="4"/>
  <c r="FQ79" i="4"/>
  <c r="FQ80" i="4"/>
  <c r="FQ81" i="4"/>
  <c r="FQ82" i="4"/>
  <c r="FQ83" i="4"/>
  <c r="FQ84" i="4"/>
  <c r="FQ85" i="4"/>
  <c r="FQ86" i="4"/>
  <c r="FQ87" i="4"/>
  <c r="FQ88" i="4"/>
  <c r="FQ89" i="4"/>
  <c r="FQ90" i="4"/>
  <c r="FQ91" i="4"/>
  <c r="FQ92" i="4"/>
  <c r="FQ93" i="4"/>
  <c r="FQ94" i="4"/>
  <c r="FQ95" i="4"/>
  <c r="FQ96" i="4"/>
  <c r="FQ97" i="4"/>
  <c r="FQ98" i="4"/>
  <c r="FQ99" i="4"/>
  <c r="FQ100" i="4"/>
  <c r="FQ101" i="4"/>
  <c r="FQ102" i="4"/>
  <c r="FQ103" i="4"/>
  <c r="FQ104" i="4"/>
  <c r="FQ105" i="4"/>
  <c r="FQ106" i="4"/>
  <c r="FQ107" i="4"/>
  <c r="FQ108" i="4"/>
  <c r="FQ109" i="4"/>
  <c r="FQ110" i="4"/>
  <c r="FQ111" i="4"/>
  <c r="FQ112" i="4"/>
  <c r="FQ113" i="4"/>
  <c r="FQ114" i="4"/>
  <c r="FQ115" i="4"/>
  <c r="FQ116" i="4"/>
  <c r="FQ117" i="4"/>
  <c r="FQ118" i="4"/>
  <c r="FQ119" i="4"/>
  <c r="FQ120" i="4"/>
  <c r="FQ121" i="4"/>
  <c r="FQ122" i="4"/>
  <c r="FQ123" i="4"/>
  <c r="FQ124" i="4"/>
  <c r="FQ125" i="4"/>
  <c r="FQ126" i="4"/>
  <c r="FQ127" i="4"/>
  <c r="FQ128" i="4"/>
  <c r="FQ129" i="4"/>
  <c r="FQ130" i="4"/>
  <c r="FQ131" i="4"/>
  <c r="FQ132" i="4"/>
  <c r="FQ133" i="4"/>
  <c r="FQ134" i="4"/>
  <c r="FQ135" i="4"/>
  <c r="FQ136" i="4"/>
  <c r="FQ137" i="4"/>
  <c r="FQ138" i="4"/>
  <c r="FQ139" i="4"/>
  <c r="FQ140" i="4"/>
  <c r="FQ141" i="4"/>
  <c r="FQ142" i="4"/>
  <c r="FQ143" i="4"/>
  <c r="FQ144" i="4"/>
  <c r="FQ145" i="4"/>
  <c r="FQ146" i="4"/>
  <c r="FQ147" i="4"/>
  <c r="FQ148" i="4"/>
  <c r="FQ149" i="4"/>
  <c r="FQ150" i="4"/>
  <c r="FQ151" i="4"/>
  <c r="FQ152" i="4"/>
  <c r="FQ153" i="4"/>
  <c r="FQ154" i="4"/>
  <c r="FQ155" i="4"/>
  <c r="FQ156" i="4"/>
  <c r="FQ157" i="4"/>
  <c r="FQ158" i="4"/>
  <c r="FQ159" i="4"/>
  <c r="FQ160" i="4"/>
  <c r="FQ161" i="4"/>
  <c r="FQ162" i="4"/>
  <c r="FQ163" i="4"/>
  <c r="FQ164" i="4"/>
  <c r="FQ165" i="4"/>
  <c r="FQ166" i="4"/>
  <c r="FQ167" i="4"/>
  <c r="FQ168" i="4"/>
  <c r="FQ169" i="4"/>
  <c r="FQ170" i="4"/>
  <c r="FQ171" i="4"/>
  <c r="FQ172" i="4"/>
  <c r="FQ173" i="4"/>
  <c r="FQ174" i="4"/>
  <c r="FQ175" i="4"/>
  <c r="FP2" i="4"/>
  <c r="FP3" i="4"/>
  <c r="FP4" i="4"/>
  <c r="FP5" i="4"/>
  <c r="FP6" i="4"/>
  <c r="FP7" i="4"/>
  <c r="FP8" i="4"/>
  <c r="FP9" i="4"/>
  <c r="FP10" i="4"/>
  <c r="FP11" i="4"/>
  <c r="FP12" i="4"/>
  <c r="FP13" i="4"/>
  <c r="FP14" i="4"/>
  <c r="FP15" i="4"/>
  <c r="FP16" i="4"/>
  <c r="FP17" i="4"/>
  <c r="FP18" i="4"/>
  <c r="FP19" i="4"/>
  <c r="FP20" i="4"/>
  <c r="FP21" i="4"/>
  <c r="FP22" i="4"/>
  <c r="FP23" i="4"/>
  <c r="FP24" i="4"/>
  <c r="FP25" i="4"/>
  <c r="FP26" i="4"/>
  <c r="FP27" i="4"/>
  <c r="FP28" i="4"/>
  <c r="FP29" i="4"/>
  <c r="FP30" i="4"/>
  <c r="FP31" i="4"/>
  <c r="FP32" i="4"/>
  <c r="FP33" i="4"/>
  <c r="FP34" i="4"/>
  <c r="FP35" i="4"/>
  <c r="FP36" i="4"/>
  <c r="FP37" i="4"/>
  <c r="FP38" i="4"/>
  <c r="FP39" i="4"/>
  <c r="FP40" i="4"/>
  <c r="FP41" i="4"/>
  <c r="FP42" i="4"/>
  <c r="FP43" i="4"/>
  <c r="FP44" i="4"/>
  <c r="FP45" i="4"/>
  <c r="FP46" i="4"/>
  <c r="FP47" i="4"/>
  <c r="FP48" i="4"/>
  <c r="FP49" i="4"/>
  <c r="FP50" i="4"/>
  <c r="FP51" i="4"/>
  <c r="FP52" i="4"/>
  <c r="FP53" i="4"/>
  <c r="FP54" i="4"/>
  <c r="FP55" i="4"/>
  <c r="FP56" i="4"/>
  <c r="FP57" i="4"/>
  <c r="FP58" i="4"/>
  <c r="FP59" i="4"/>
  <c r="FP60" i="4"/>
  <c r="FP61" i="4"/>
  <c r="FP62" i="4"/>
  <c r="FP63" i="4"/>
  <c r="FP64" i="4"/>
  <c r="FP65" i="4"/>
  <c r="FP66" i="4"/>
  <c r="FP67" i="4"/>
  <c r="FP68" i="4"/>
  <c r="FP69" i="4"/>
  <c r="FP70" i="4"/>
  <c r="FP71" i="4"/>
  <c r="FP72" i="4"/>
  <c r="FP73" i="4"/>
  <c r="FP74" i="4"/>
  <c r="FP75" i="4"/>
  <c r="FP76" i="4"/>
  <c r="FP77" i="4"/>
  <c r="FP78" i="4"/>
  <c r="FP79" i="4"/>
  <c r="FP80" i="4"/>
  <c r="FP81" i="4"/>
  <c r="FP82" i="4"/>
  <c r="FP83" i="4"/>
  <c r="FP84" i="4"/>
  <c r="FP85" i="4"/>
  <c r="FP86" i="4"/>
  <c r="FP87" i="4"/>
  <c r="FP88" i="4"/>
  <c r="FP89" i="4"/>
  <c r="FP90" i="4"/>
  <c r="FP91" i="4"/>
  <c r="FP92" i="4"/>
  <c r="FP93" i="4"/>
  <c r="FP94" i="4"/>
  <c r="FP95" i="4"/>
  <c r="FP96" i="4"/>
  <c r="FP97" i="4"/>
  <c r="FP98" i="4"/>
  <c r="FP99" i="4"/>
  <c r="FP100" i="4"/>
  <c r="FP101" i="4"/>
  <c r="FP102" i="4"/>
  <c r="FP103" i="4"/>
  <c r="FP104" i="4"/>
  <c r="FP105" i="4"/>
  <c r="FP106" i="4"/>
  <c r="FP107" i="4"/>
  <c r="FP108" i="4"/>
  <c r="FP109" i="4"/>
  <c r="FP110" i="4"/>
  <c r="FP111" i="4"/>
  <c r="FP112" i="4"/>
  <c r="FP113" i="4"/>
  <c r="FP114" i="4"/>
  <c r="FP115" i="4"/>
  <c r="FP116" i="4"/>
  <c r="FP117" i="4"/>
  <c r="FP118" i="4"/>
  <c r="FP119" i="4"/>
  <c r="FP120" i="4"/>
  <c r="FP121" i="4"/>
  <c r="FP122" i="4"/>
  <c r="FP123" i="4"/>
  <c r="FP124" i="4"/>
  <c r="FP125" i="4"/>
  <c r="FP126" i="4"/>
  <c r="FP127" i="4"/>
  <c r="FP128" i="4"/>
  <c r="FP129" i="4"/>
  <c r="FP130" i="4"/>
  <c r="FP131" i="4"/>
  <c r="FP132" i="4"/>
  <c r="FP133" i="4"/>
  <c r="FP134" i="4"/>
  <c r="FP135" i="4"/>
  <c r="FP136" i="4"/>
  <c r="FP137" i="4"/>
  <c r="FP138" i="4"/>
  <c r="FP139" i="4"/>
  <c r="FP140" i="4"/>
  <c r="FP141" i="4"/>
  <c r="FP142" i="4"/>
  <c r="FP143" i="4"/>
  <c r="FP144" i="4"/>
  <c r="FP145" i="4"/>
  <c r="FP146" i="4"/>
  <c r="FP147" i="4"/>
  <c r="FP148" i="4"/>
  <c r="FP149" i="4"/>
  <c r="FP150" i="4"/>
  <c r="FP151" i="4"/>
  <c r="FP152" i="4"/>
  <c r="FP153" i="4"/>
  <c r="FP154" i="4"/>
  <c r="FP155" i="4"/>
  <c r="FP156" i="4"/>
  <c r="FP157" i="4"/>
  <c r="FP158" i="4"/>
  <c r="FP159" i="4"/>
  <c r="FP160" i="4"/>
  <c r="FP161" i="4"/>
  <c r="FP162" i="4"/>
  <c r="FP163" i="4"/>
  <c r="FP164" i="4"/>
  <c r="FP165" i="4"/>
  <c r="FP166" i="4"/>
  <c r="FP167" i="4"/>
  <c r="FP168" i="4"/>
  <c r="FP169" i="4"/>
  <c r="FP170" i="4"/>
  <c r="FP171" i="4"/>
  <c r="FP172" i="4"/>
  <c r="FP173" i="4"/>
  <c r="FP174" i="4"/>
  <c r="FP175" i="4"/>
  <c r="FO2" i="4"/>
  <c r="FO3" i="4"/>
  <c r="FO4" i="4"/>
  <c r="FO5" i="4"/>
  <c r="FO6" i="4"/>
  <c r="FO7" i="4"/>
  <c r="FO8" i="4"/>
  <c r="FO9" i="4"/>
  <c r="FO10" i="4"/>
  <c r="FO11" i="4"/>
  <c r="FO12" i="4"/>
  <c r="FO13" i="4"/>
  <c r="FO14" i="4"/>
  <c r="FO15" i="4"/>
  <c r="FO16" i="4"/>
  <c r="FO17" i="4"/>
  <c r="FO18" i="4"/>
  <c r="FO19" i="4"/>
  <c r="FO20" i="4"/>
  <c r="FO21" i="4"/>
  <c r="FO22" i="4"/>
  <c r="FO23" i="4"/>
  <c r="FO24" i="4"/>
  <c r="FO25" i="4"/>
  <c r="FO26" i="4"/>
  <c r="FO27" i="4"/>
  <c r="FO28" i="4"/>
  <c r="FO29" i="4"/>
  <c r="FO30" i="4"/>
  <c r="FO31" i="4"/>
  <c r="FO32" i="4"/>
  <c r="FO33" i="4"/>
  <c r="FO34" i="4"/>
  <c r="FO35" i="4"/>
  <c r="FO36" i="4"/>
  <c r="FO37" i="4"/>
  <c r="FO38" i="4"/>
  <c r="FO39" i="4"/>
  <c r="FO40" i="4"/>
  <c r="FO41" i="4"/>
  <c r="FO42" i="4"/>
  <c r="FO43" i="4"/>
  <c r="FO44" i="4"/>
  <c r="FO45" i="4"/>
  <c r="FO46" i="4"/>
  <c r="FO47" i="4"/>
  <c r="FO48" i="4"/>
  <c r="FO49" i="4"/>
  <c r="FO50" i="4"/>
  <c r="FO51" i="4"/>
  <c r="FO52" i="4"/>
  <c r="FO53" i="4"/>
  <c r="FO54" i="4"/>
  <c r="FO55" i="4"/>
  <c r="FO56" i="4"/>
  <c r="FO57" i="4"/>
  <c r="FO58" i="4"/>
  <c r="FO59" i="4"/>
  <c r="FO60" i="4"/>
  <c r="FO61" i="4"/>
  <c r="FO62" i="4"/>
  <c r="FO63" i="4"/>
  <c r="FO64" i="4"/>
  <c r="FO65" i="4"/>
  <c r="FO66" i="4"/>
  <c r="FO67" i="4"/>
  <c r="FO68" i="4"/>
  <c r="FO69" i="4"/>
  <c r="FO70" i="4"/>
  <c r="FO71" i="4"/>
  <c r="FO72" i="4"/>
  <c r="FO73" i="4"/>
  <c r="FO74" i="4"/>
  <c r="FO75" i="4"/>
  <c r="FO76" i="4"/>
  <c r="FO77" i="4"/>
  <c r="FO78" i="4"/>
  <c r="FO79" i="4"/>
  <c r="FO80" i="4"/>
  <c r="FO81" i="4"/>
  <c r="FO82" i="4"/>
  <c r="FO83" i="4"/>
  <c r="FO84" i="4"/>
  <c r="FO85" i="4"/>
  <c r="FO86" i="4"/>
  <c r="FO87" i="4"/>
  <c r="FO88" i="4"/>
  <c r="FO89" i="4"/>
  <c r="FO90" i="4"/>
  <c r="FO91" i="4"/>
  <c r="FO92" i="4"/>
  <c r="FO93" i="4"/>
  <c r="FO94" i="4"/>
  <c r="FO95" i="4"/>
  <c r="FO96" i="4"/>
  <c r="FO97" i="4"/>
  <c r="FO98" i="4"/>
  <c r="FO99" i="4"/>
  <c r="FO100" i="4"/>
  <c r="FO101" i="4"/>
  <c r="FO102" i="4"/>
  <c r="FO103" i="4"/>
  <c r="FO104" i="4"/>
  <c r="FO105" i="4"/>
  <c r="FO106" i="4"/>
  <c r="FO107" i="4"/>
  <c r="FO108" i="4"/>
  <c r="FO109" i="4"/>
  <c r="FO110" i="4"/>
  <c r="FO111" i="4"/>
  <c r="FO112" i="4"/>
  <c r="FO113" i="4"/>
  <c r="FO114" i="4"/>
  <c r="FO115" i="4"/>
  <c r="FO116" i="4"/>
  <c r="FO117" i="4"/>
  <c r="FO118" i="4"/>
  <c r="FO119" i="4"/>
  <c r="FO120" i="4"/>
  <c r="FO121" i="4"/>
  <c r="FO122" i="4"/>
  <c r="FO123" i="4"/>
  <c r="FO124" i="4"/>
  <c r="FO125" i="4"/>
  <c r="FO126" i="4"/>
  <c r="FO127" i="4"/>
  <c r="FO128" i="4"/>
  <c r="FO129" i="4"/>
  <c r="FO130" i="4"/>
  <c r="FO131" i="4"/>
  <c r="FO132" i="4"/>
  <c r="FO133" i="4"/>
  <c r="FO134" i="4"/>
  <c r="FO135" i="4"/>
  <c r="FO136" i="4"/>
  <c r="FO137" i="4"/>
  <c r="FO138" i="4"/>
  <c r="FO139" i="4"/>
  <c r="FO140" i="4"/>
  <c r="FO141" i="4"/>
  <c r="FO142" i="4"/>
  <c r="FO143" i="4"/>
  <c r="FO144" i="4"/>
  <c r="FO145" i="4"/>
  <c r="FO146" i="4"/>
  <c r="FO147" i="4"/>
  <c r="FO148" i="4"/>
  <c r="FO149" i="4"/>
  <c r="FO150" i="4"/>
  <c r="FO151" i="4"/>
  <c r="FO152" i="4"/>
  <c r="FO153" i="4"/>
  <c r="FO154" i="4"/>
  <c r="FO155" i="4"/>
  <c r="FO156" i="4"/>
  <c r="FO157" i="4"/>
  <c r="FO158" i="4"/>
  <c r="FO159" i="4"/>
  <c r="FO160" i="4"/>
  <c r="FO161" i="4"/>
  <c r="FO162" i="4"/>
  <c r="FO163" i="4"/>
  <c r="FO164" i="4"/>
  <c r="FO165" i="4"/>
  <c r="FO166" i="4"/>
  <c r="FO167" i="4"/>
  <c r="FO168" i="4"/>
  <c r="FO169" i="4"/>
  <c r="FO170" i="4"/>
  <c r="FO171" i="4"/>
  <c r="FO172" i="4"/>
  <c r="FO173" i="4"/>
  <c r="FO174" i="4"/>
  <c r="FO175" i="4"/>
  <c r="FN2" i="4"/>
  <c r="FN3" i="4"/>
  <c r="FN4" i="4"/>
  <c r="FN5" i="4"/>
  <c r="FN6" i="4"/>
  <c r="FN7" i="4"/>
  <c r="FN8" i="4"/>
  <c r="FN9" i="4"/>
  <c r="FN10" i="4"/>
  <c r="FN11" i="4"/>
  <c r="FN12" i="4"/>
  <c r="FN13" i="4"/>
  <c r="FN14" i="4"/>
  <c r="FN15" i="4"/>
  <c r="FN16" i="4"/>
  <c r="FN17" i="4"/>
  <c r="FN18" i="4"/>
  <c r="FN19" i="4"/>
  <c r="FN20" i="4"/>
  <c r="FN21" i="4"/>
  <c r="FN22" i="4"/>
  <c r="FN23" i="4"/>
  <c r="FN24" i="4"/>
  <c r="FN25" i="4"/>
  <c r="FN26" i="4"/>
  <c r="FN27" i="4"/>
  <c r="FN28" i="4"/>
  <c r="FN29" i="4"/>
  <c r="FN30" i="4"/>
  <c r="FN31" i="4"/>
  <c r="FN32" i="4"/>
  <c r="FN33" i="4"/>
  <c r="FN34" i="4"/>
  <c r="FN35" i="4"/>
  <c r="FN36" i="4"/>
  <c r="FN37" i="4"/>
  <c r="FN38" i="4"/>
  <c r="FN39" i="4"/>
  <c r="FN40" i="4"/>
  <c r="FN41" i="4"/>
  <c r="FN42" i="4"/>
  <c r="FN43" i="4"/>
  <c r="FN44" i="4"/>
  <c r="FN45" i="4"/>
  <c r="FN46" i="4"/>
  <c r="FN47" i="4"/>
  <c r="FN48" i="4"/>
  <c r="FN49" i="4"/>
  <c r="FN50" i="4"/>
  <c r="FN51" i="4"/>
  <c r="FN52" i="4"/>
  <c r="FN53" i="4"/>
  <c r="FN54" i="4"/>
  <c r="FN55" i="4"/>
  <c r="FN56" i="4"/>
  <c r="FN57" i="4"/>
  <c r="FN58" i="4"/>
  <c r="FN59" i="4"/>
  <c r="FN60" i="4"/>
  <c r="FN61" i="4"/>
  <c r="FN62" i="4"/>
  <c r="FN63" i="4"/>
  <c r="FN64" i="4"/>
  <c r="FN65" i="4"/>
  <c r="FN66" i="4"/>
  <c r="FN67" i="4"/>
  <c r="FN68" i="4"/>
  <c r="FN69" i="4"/>
  <c r="FN70" i="4"/>
  <c r="FN71" i="4"/>
  <c r="FN72" i="4"/>
  <c r="FN73" i="4"/>
  <c r="FN74" i="4"/>
  <c r="FN75" i="4"/>
  <c r="FN76" i="4"/>
  <c r="FN77" i="4"/>
  <c r="FN78" i="4"/>
  <c r="FN79" i="4"/>
  <c r="FN80" i="4"/>
  <c r="FN81" i="4"/>
  <c r="FN82" i="4"/>
  <c r="FN83" i="4"/>
  <c r="FN84" i="4"/>
  <c r="FN85" i="4"/>
  <c r="FN86" i="4"/>
  <c r="FN87" i="4"/>
  <c r="FN88" i="4"/>
  <c r="FN89" i="4"/>
  <c r="FN90" i="4"/>
  <c r="FN91" i="4"/>
  <c r="FN92" i="4"/>
  <c r="FN93" i="4"/>
  <c r="FN94" i="4"/>
  <c r="FN95" i="4"/>
  <c r="FN96" i="4"/>
  <c r="FN97" i="4"/>
  <c r="FN98" i="4"/>
  <c r="FN99" i="4"/>
  <c r="FN100" i="4"/>
  <c r="FN101" i="4"/>
  <c r="FN102" i="4"/>
  <c r="FN103" i="4"/>
  <c r="FN104" i="4"/>
  <c r="FN105" i="4"/>
  <c r="FN106" i="4"/>
  <c r="FN107" i="4"/>
  <c r="FN108" i="4"/>
  <c r="FN109" i="4"/>
  <c r="FN110" i="4"/>
  <c r="FN111" i="4"/>
  <c r="FN112" i="4"/>
  <c r="FN113" i="4"/>
  <c r="FN114" i="4"/>
  <c r="FN115" i="4"/>
  <c r="FN116" i="4"/>
  <c r="FN117" i="4"/>
  <c r="FN118" i="4"/>
  <c r="FN119" i="4"/>
  <c r="FN120" i="4"/>
  <c r="FN121" i="4"/>
  <c r="FN122" i="4"/>
  <c r="FN123" i="4"/>
  <c r="FN124" i="4"/>
  <c r="FN125" i="4"/>
  <c r="FN126" i="4"/>
  <c r="FN127" i="4"/>
  <c r="FN128" i="4"/>
  <c r="FN129" i="4"/>
  <c r="FN130" i="4"/>
  <c r="FN131" i="4"/>
  <c r="FN132" i="4"/>
  <c r="FN133" i="4"/>
  <c r="FN134" i="4"/>
  <c r="FN135" i="4"/>
  <c r="FN136" i="4"/>
  <c r="FN137" i="4"/>
  <c r="FN138" i="4"/>
  <c r="FN139" i="4"/>
  <c r="FN140" i="4"/>
  <c r="FN141" i="4"/>
  <c r="FN142" i="4"/>
  <c r="FN143" i="4"/>
  <c r="FN144" i="4"/>
  <c r="FN145" i="4"/>
  <c r="FN146" i="4"/>
  <c r="FN147" i="4"/>
  <c r="FN148" i="4"/>
  <c r="FN149" i="4"/>
  <c r="FN150" i="4"/>
  <c r="FN151" i="4"/>
  <c r="FN152" i="4"/>
  <c r="FN153" i="4"/>
  <c r="FN154" i="4"/>
  <c r="FN155" i="4"/>
  <c r="FN156" i="4"/>
  <c r="FN157" i="4"/>
  <c r="FN158" i="4"/>
  <c r="FN159" i="4"/>
  <c r="FN160" i="4"/>
  <c r="FN161" i="4"/>
  <c r="FN162" i="4"/>
  <c r="FN163" i="4"/>
  <c r="FN164" i="4"/>
  <c r="FN165" i="4"/>
  <c r="FN166" i="4"/>
  <c r="FN167" i="4"/>
  <c r="FN168" i="4"/>
  <c r="FN169" i="4"/>
  <c r="FN170" i="4"/>
  <c r="FN171" i="4"/>
  <c r="FN172" i="4"/>
  <c r="FN173" i="4"/>
  <c r="FN174" i="4"/>
  <c r="FN175" i="4"/>
  <c r="FM2" i="4"/>
  <c r="FM3" i="4"/>
  <c r="FM4" i="4"/>
  <c r="FM5" i="4"/>
  <c r="FM6" i="4"/>
  <c r="FM7" i="4"/>
  <c r="FM8" i="4"/>
  <c r="FM9" i="4"/>
  <c r="FM10" i="4"/>
  <c r="FM11" i="4"/>
  <c r="FM12" i="4"/>
  <c r="FM13" i="4"/>
  <c r="FM14" i="4"/>
  <c r="FM15" i="4"/>
  <c r="FM16" i="4"/>
  <c r="FM17" i="4"/>
  <c r="FM18" i="4"/>
  <c r="FM19" i="4"/>
  <c r="FM20" i="4"/>
  <c r="FM21" i="4"/>
  <c r="FM22" i="4"/>
  <c r="FM23" i="4"/>
  <c r="FM24" i="4"/>
  <c r="FM25" i="4"/>
  <c r="FM26" i="4"/>
  <c r="FM27" i="4"/>
  <c r="FM28" i="4"/>
  <c r="FM29" i="4"/>
  <c r="FM30" i="4"/>
  <c r="FM31" i="4"/>
  <c r="FM32" i="4"/>
  <c r="FM33" i="4"/>
  <c r="FM34" i="4"/>
  <c r="FM35" i="4"/>
  <c r="FM36" i="4"/>
  <c r="FM37" i="4"/>
  <c r="FM38" i="4"/>
  <c r="FM39" i="4"/>
  <c r="FM40" i="4"/>
  <c r="FM41" i="4"/>
  <c r="FM42" i="4"/>
  <c r="FM43" i="4"/>
  <c r="FM44" i="4"/>
  <c r="FM45" i="4"/>
  <c r="FM46" i="4"/>
  <c r="FM47" i="4"/>
  <c r="FM48" i="4"/>
  <c r="FM49" i="4"/>
  <c r="FM50" i="4"/>
  <c r="FM51" i="4"/>
  <c r="FM52" i="4"/>
  <c r="FM53" i="4"/>
  <c r="FM54" i="4"/>
  <c r="FM55" i="4"/>
  <c r="FM56" i="4"/>
  <c r="FM57" i="4"/>
  <c r="FM58" i="4"/>
  <c r="FM59" i="4"/>
  <c r="FM60" i="4"/>
  <c r="FM61" i="4"/>
  <c r="FM62" i="4"/>
  <c r="FM63" i="4"/>
  <c r="FM64" i="4"/>
  <c r="FM65" i="4"/>
  <c r="FM66" i="4"/>
  <c r="FM67" i="4"/>
  <c r="FM68" i="4"/>
  <c r="FM69" i="4"/>
  <c r="FM70" i="4"/>
  <c r="FM71" i="4"/>
  <c r="FM72" i="4"/>
  <c r="FM73" i="4"/>
  <c r="FM74" i="4"/>
  <c r="FM75" i="4"/>
  <c r="FM76" i="4"/>
  <c r="FM77" i="4"/>
  <c r="FM78" i="4"/>
  <c r="FM79" i="4"/>
  <c r="FM80" i="4"/>
  <c r="FM81" i="4"/>
  <c r="FM82" i="4"/>
  <c r="FM83" i="4"/>
  <c r="FM84" i="4"/>
  <c r="FM85" i="4"/>
  <c r="FM86" i="4"/>
  <c r="FM87" i="4"/>
  <c r="FM88" i="4"/>
  <c r="FM89" i="4"/>
  <c r="FM90" i="4"/>
  <c r="FM91" i="4"/>
  <c r="FM92" i="4"/>
  <c r="FM93" i="4"/>
  <c r="FM94" i="4"/>
  <c r="FM95" i="4"/>
  <c r="FM96" i="4"/>
  <c r="FM97" i="4"/>
  <c r="FM98" i="4"/>
  <c r="FM99" i="4"/>
  <c r="FM100" i="4"/>
  <c r="FM101" i="4"/>
  <c r="FM102" i="4"/>
  <c r="FM103" i="4"/>
  <c r="FM104" i="4"/>
  <c r="FM105" i="4"/>
  <c r="FM106" i="4"/>
  <c r="FM107" i="4"/>
  <c r="FM108" i="4"/>
  <c r="FM109" i="4"/>
  <c r="FM110" i="4"/>
  <c r="FM111" i="4"/>
  <c r="FM112" i="4"/>
  <c r="FM113" i="4"/>
  <c r="FM114" i="4"/>
  <c r="FM115" i="4"/>
  <c r="FM116" i="4"/>
  <c r="FM117" i="4"/>
  <c r="FM118" i="4"/>
  <c r="FM119" i="4"/>
  <c r="FM120" i="4"/>
  <c r="FM121" i="4"/>
  <c r="FM122" i="4"/>
  <c r="FM123" i="4"/>
  <c r="FM124" i="4"/>
  <c r="FM125" i="4"/>
  <c r="FM126" i="4"/>
  <c r="FM127" i="4"/>
  <c r="FM128" i="4"/>
  <c r="FM129" i="4"/>
  <c r="FM130" i="4"/>
  <c r="FM131" i="4"/>
  <c r="FM132" i="4"/>
  <c r="FM133" i="4"/>
  <c r="FM134" i="4"/>
  <c r="FM135" i="4"/>
  <c r="FM136" i="4"/>
  <c r="FM137" i="4"/>
  <c r="FM138" i="4"/>
  <c r="FM139" i="4"/>
  <c r="FM140" i="4"/>
  <c r="FM141" i="4"/>
  <c r="FM142" i="4"/>
  <c r="FM143" i="4"/>
  <c r="FM144" i="4"/>
  <c r="FM145" i="4"/>
  <c r="FM146" i="4"/>
  <c r="FM147" i="4"/>
  <c r="FM148" i="4"/>
  <c r="FM149" i="4"/>
  <c r="FM150" i="4"/>
  <c r="FM151" i="4"/>
  <c r="FM152" i="4"/>
  <c r="FM153" i="4"/>
  <c r="FM154" i="4"/>
  <c r="FM155" i="4"/>
  <c r="FM156" i="4"/>
  <c r="FM157" i="4"/>
  <c r="FM158" i="4"/>
  <c r="FM159" i="4"/>
  <c r="FM160" i="4"/>
  <c r="FM161" i="4"/>
  <c r="FM162" i="4"/>
  <c r="FM163" i="4"/>
  <c r="FM164" i="4"/>
  <c r="FM165" i="4"/>
  <c r="FM166" i="4"/>
  <c r="FM167" i="4"/>
  <c r="FM168" i="4"/>
  <c r="FM169" i="4"/>
  <c r="FM170" i="4"/>
  <c r="FM171" i="4"/>
  <c r="FM172" i="4"/>
  <c r="FM173" i="4"/>
  <c r="FM174" i="4"/>
  <c r="FM175" i="4"/>
  <c r="FL2" i="4"/>
  <c r="FL3" i="4"/>
  <c r="FL4" i="4"/>
  <c r="FL5" i="4"/>
  <c r="FL6" i="4"/>
  <c r="FL7" i="4"/>
  <c r="FL8" i="4"/>
  <c r="FL9" i="4"/>
  <c r="FL10" i="4"/>
  <c r="FL11" i="4"/>
  <c r="FL12" i="4"/>
  <c r="FL13" i="4"/>
  <c r="FL14" i="4"/>
  <c r="FL15" i="4"/>
  <c r="FL16" i="4"/>
  <c r="FL17" i="4"/>
  <c r="FL18" i="4"/>
  <c r="FL19" i="4"/>
  <c r="FL20" i="4"/>
  <c r="FL21" i="4"/>
  <c r="FL22" i="4"/>
  <c r="FL23" i="4"/>
  <c r="FL24" i="4"/>
  <c r="FL25" i="4"/>
  <c r="FL26" i="4"/>
  <c r="FL27" i="4"/>
  <c r="FL28" i="4"/>
  <c r="FL29" i="4"/>
  <c r="FL30" i="4"/>
  <c r="FL31" i="4"/>
  <c r="FL32" i="4"/>
  <c r="FL33" i="4"/>
  <c r="FL34" i="4"/>
  <c r="FL35" i="4"/>
  <c r="FL36" i="4"/>
  <c r="FL37" i="4"/>
  <c r="FL38" i="4"/>
  <c r="FL39" i="4"/>
  <c r="FL40" i="4"/>
  <c r="FL41" i="4"/>
  <c r="FL42" i="4"/>
  <c r="FL43" i="4"/>
  <c r="FL44" i="4"/>
  <c r="FL45" i="4"/>
  <c r="FL46" i="4"/>
  <c r="FL47" i="4"/>
  <c r="FL48" i="4"/>
  <c r="FL49" i="4"/>
  <c r="FL50" i="4"/>
  <c r="FL51" i="4"/>
  <c r="FL52" i="4"/>
  <c r="FL53" i="4"/>
  <c r="FL54" i="4"/>
  <c r="FL55" i="4"/>
  <c r="FL56" i="4"/>
  <c r="FL57" i="4"/>
  <c r="FL58" i="4"/>
  <c r="FL59" i="4"/>
  <c r="FL60" i="4"/>
  <c r="FL61" i="4"/>
  <c r="FL62" i="4"/>
  <c r="FL63" i="4"/>
  <c r="FL64" i="4"/>
  <c r="FL65" i="4"/>
  <c r="FL66" i="4"/>
  <c r="FL67" i="4"/>
  <c r="FL68" i="4"/>
  <c r="FL69" i="4"/>
  <c r="FL70" i="4"/>
  <c r="FL71" i="4"/>
  <c r="FL72" i="4"/>
  <c r="FL73" i="4"/>
  <c r="FL74" i="4"/>
  <c r="FL75" i="4"/>
  <c r="FL76" i="4"/>
  <c r="FL77" i="4"/>
  <c r="FL78" i="4"/>
  <c r="FL79" i="4"/>
  <c r="FL80" i="4"/>
  <c r="FL81" i="4"/>
  <c r="FL82" i="4"/>
  <c r="FL83" i="4"/>
  <c r="FL84" i="4"/>
  <c r="FL85" i="4"/>
  <c r="FL86" i="4"/>
  <c r="FL87" i="4"/>
  <c r="FL88" i="4"/>
  <c r="FL89" i="4"/>
  <c r="FL90" i="4"/>
  <c r="FL91" i="4"/>
  <c r="FL92" i="4"/>
  <c r="FL93" i="4"/>
  <c r="FL94" i="4"/>
  <c r="FL95" i="4"/>
  <c r="FL96" i="4"/>
  <c r="FL97" i="4"/>
  <c r="FL98" i="4"/>
  <c r="FL99" i="4"/>
  <c r="FL100" i="4"/>
  <c r="FL101" i="4"/>
  <c r="FL102" i="4"/>
  <c r="FL103" i="4"/>
  <c r="FL104" i="4"/>
  <c r="FL105" i="4"/>
  <c r="FL106" i="4"/>
  <c r="FL107" i="4"/>
  <c r="FL108" i="4"/>
  <c r="FL109" i="4"/>
  <c r="FL110" i="4"/>
  <c r="FL111" i="4"/>
  <c r="FL112" i="4"/>
  <c r="FL113" i="4"/>
  <c r="FL114" i="4"/>
  <c r="FL115" i="4"/>
  <c r="FL116" i="4"/>
  <c r="FL117" i="4"/>
  <c r="FL118" i="4"/>
  <c r="FL119" i="4"/>
  <c r="FL120" i="4"/>
  <c r="FL121" i="4"/>
  <c r="FL122" i="4"/>
  <c r="FL123" i="4"/>
  <c r="FL124" i="4"/>
  <c r="FL125" i="4"/>
  <c r="FL126" i="4"/>
  <c r="FL127" i="4"/>
  <c r="FL128" i="4"/>
  <c r="FL129" i="4"/>
  <c r="FL130" i="4"/>
  <c r="FL131" i="4"/>
  <c r="FL132" i="4"/>
  <c r="FL133" i="4"/>
  <c r="FL134" i="4"/>
  <c r="FL135" i="4"/>
  <c r="FL136" i="4"/>
  <c r="FL137" i="4"/>
  <c r="FL138" i="4"/>
  <c r="FL139" i="4"/>
  <c r="FL140" i="4"/>
  <c r="FL141" i="4"/>
  <c r="FL142" i="4"/>
  <c r="FL143" i="4"/>
  <c r="FL144" i="4"/>
  <c r="FL145" i="4"/>
  <c r="FL146" i="4"/>
  <c r="FL147" i="4"/>
  <c r="FL148" i="4"/>
  <c r="FL149" i="4"/>
  <c r="FL150" i="4"/>
  <c r="FL151" i="4"/>
  <c r="FL152" i="4"/>
  <c r="FL153" i="4"/>
  <c r="FL154" i="4"/>
  <c r="FL155" i="4"/>
  <c r="FL156" i="4"/>
  <c r="FL157" i="4"/>
  <c r="FL158" i="4"/>
  <c r="FL159" i="4"/>
  <c r="FL160" i="4"/>
  <c r="FL161" i="4"/>
  <c r="FL162" i="4"/>
  <c r="FL163" i="4"/>
  <c r="FL164" i="4"/>
  <c r="FL165" i="4"/>
  <c r="FL166" i="4"/>
  <c r="FL167" i="4"/>
  <c r="FL168" i="4"/>
  <c r="FL169" i="4"/>
  <c r="FL170" i="4"/>
  <c r="FL171" i="4"/>
  <c r="FL172" i="4"/>
  <c r="FL173" i="4"/>
  <c r="FL174" i="4"/>
  <c r="FL175" i="4"/>
  <c r="FK2" i="4"/>
  <c r="FK3" i="4"/>
  <c r="FK4" i="4"/>
  <c r="FK5" i="4"/>
  <c r="FK6" i="4"/>
  <c r="FK7" i="4"/>
  <c r="FK8" i="4"/>
  <c r="FK9" i="4"/>
  <c r="FK10" i="4"/>
  <c r="FK11" i="4"/>
  <c r="FK12" i="4"/>
  <c r="FK13" i="4"/>
  <c r="FK14" i="4"/>
  <c r="FK15" i="4"/>
  <c r="FK16" i="4"/>
  <c r="FK17" i="4"/>
  <c r="FK18" i="4"/>
  <c r="FK19" i="4"/>
  <c r="FK20" i="4"/>
  <c r="FK21" i="4"/>
  <c r="FK22" i="4"/>
  <c r="FK23" i="4"/>
  <c r="FK24" i="4"/>
  <c r="FK25" i="4"/>
  <c r="FK26" i="4"/>
  <c r="FK27" i="4"/>
  <c r="FK28" i="4"/>
  <c r="FK29" i="4"/>
  <c r="FK30" i="4"/>
  <c r="FK31" i="4"/>
  <c r="FK32" i="4"/>
  <c r="FK33" i="4"/>
  <c r="FK34" i="4"/>
  <c r="FK35" i="4"/>
  <c r="FK36" i="4"/>
  <c r="FK37" i="4"/>
  <c r="FK38" i="4"/>
  <c r="FK39" i="4"/>
  <c r="FK40" i="4"/>
  <c r="FK41" i="4"/>
  <c r="FK42" i="4"/>
  <c r="FK43" i="4"/>
  <c r="FK44" i="4"/>
  <c r="FK45" i="4"/>
  <c r="FK46" i="4"/>
  <c r="FK47" i="4"/>
  <c r="FK48" i="4"/>
  <c r="FK49" i="4"/>
  <c r="FK50" i="4"/>
  <c r="FK51" i="4"/>
  <c r="FK52" i="4"/>
  <c r="FK53" i="4"/>
  <c r="FK54" i="4"/>
  <c r="FK55" i="4"/>
  <c r="FK56" i="4"/>
  <c r="FK57" i="4"/>
  <c r="FK58" i="4"/>
  <c r="FK59" i="4"/>
  <c r="FK60" i="4"/>
  <c r="FK61" i="4"/>
  <c r="FK62" i="4"/>
  <c r="FK63" i="4"/>
  <c r="FK64" i="4"/>
  <c r="FK65" i="4"/>
  <c r="FK66" i="4"/>
  <c r="FK67" i="4"/>
  <c r="FK68" i="4"/>
  <c r="FK69" i="4"/>
  <c r="FK70" i="4"/>
  <c r="FK71" i="4"/>
  <c r="FK72" i="4"/>
  <c r="FK73" i="4"/>
  <c r="FK74" i="4"/>
  <c r="FK75" i="4"/>
  <c r="FK76" i="4"/>
  <c r="FK77" i="4"/>
  <c r="FK78" i="4"/>
  <c r="FK79" i="4"/>
  <c r="FK80" i="4"/>
  <c r="FK81" i="4"/>
  <c r="FK82" i="4"/>
  <c r="FK83" i="4"/>
  <c r="FK84" i="4"/>
  <c r="FK85" i="4"/>
  <c r="FK86" i="4"/>
  <c r="FK87" i="4"/>
  <c r="FK88" i="4"/>
  <c r="FK89" i="4"/>
  <c r="FK90" i="4"/>
  <c r="FK91" i="4"/>
  <c r="FK92" i="4"/>
  <c r="FK93" i="4"/>
  <c r="FK94" i="4"/>
  <c r="FK95" i="4"/>
  <c r="FK96" i="4"/>
  <c r="FK97" i="4"/>
  <c r="FK98" i="4"/>
  <c r="FK99" i="4"/>
  <c r="FK100" i="4"/>
  <c r="FK101" i="4"/>
  <c r="FK102" i="4"/>
  <c r="FK103" i="4"/>
  <c r="FK104" i="4"/>
  <c r="FK105" i="4"/>
  <c r="FK106" i="4"/>
  <c r="FK107" i="4"/>
  <c r="FK108" i="4"/>
  <c r="FK109" i="4"/>
  <c r="FK110" i="4"/>
  <c r="FK111" i="4"/>
  <c r="FK112" i="4"/>
  <c r="FK113" i="4"/>
  <c r="FK114" i="4"/>
  <c r="FK115" i="4"/>
  <c r="FK116" i="4"/>
  <c r="FK117" i="4"/>
  <c r="FK118" i="4"/>
  <c r="FK119" i="4"/>
  <c r="FK120" i="4"/>
  <c r="FK121" i="4"/>
  <c r="FK122" i="4"/>
  <c r="FK123" i="4"/>
  <c r="FK124" i="4"/>
  <c r="FK125" i="4"/>
  <c r="FK126" i="4"/>
  <c r="FK127" i="4"/>
  <c r="FK128" i="4"/>
  <c r="FK129" i="4"/>
  <c r="FK130" i="4"/>
  <c r="FK131" i="4"/>
  <c r="FK132" i="4"/>
  <c r="FK133" i="4"/>
  <c r="FK134" i="4"/>
  <c r="FK135" i="4"/>
  <c r="FK136" i="4"/>
  <c r="FK137" i="4"/>
  <c r="FK138" i="4"/>
  <c r="FK139" i="4"/>
  <c r="FK140" i="4"/>
  <c r="FK141" i="4"/>
  <c r="FK142" i="4"/>
  <c r="FK143" i="4"/>
  <c r="FK144" i="4"/>
  <c r="FK145" i="4"/>
  <c r="FK146" i="4"/>
  <c r="FK147" i="4"/>
  <c r="FK148" i="4"/>
  <c r="FK149" i="4"/>
  <c r="FK150" i="4"/>
  <c r="FK151" i="4"/>
  <c r="FK152" i="4"/>
  <c r="FK153" i="4"/>
  <c r="FK154" i="4"/>
  <c r="FK155" i="4"/>
  <c r="FK156" i="4"/>
  <c r="FK157" i="4"/>
  <c r="FK158" i="4"/>
  <c r="FK159" i="4"/>
  <c r="FK160" i="4"/>
  <c r="FK161" i="4"/>
  <c r="FK162" i="4"/>
  <c r="FK163" i="4"/>
  <c r="FK164" i="4"/>
  <c r="FK165" i="4"/>
  <c r="FK166" i="4"/>
  <c r="FK167" i="4"/>
  <c r="FK168" i="4"/>
  <c r="FK169" i="4"/>
  <c r="FK170" i="4"/>
  <c r="FK171" i="4"/>
  <c r="FK172" i="4"/>
  <c r="FK173" i="4"/>
  <c r="FK174" i="4"/>
  <c r="FK175" i="4"/>
  <c r="FJ2" i="4"/>
  <c r="FJ3" i="4"/>
  <c r="FJ4" i="4"/>
  <c r="FJ5" i="4"/>
  <c r="FJ6" i="4"/>
  <c r="FJ7" i="4"/>
  <c r="FJ8" i="4"/>
  <c r="FJ9" i="4"/>
  <c r="FJ10" i="4"/>
  <c r="FJ11" i="4"/>
  <c r="FJ12" i="4"/>
  <c r="FJ13" i="4"/>
  <c r="FJ14" i="4"/>
  <c r="FJ15" i="4"/>
  <c r="FJ16" i="4"/>
  <c r="FJ17" i="4"/>
  <c r="FJ18" i="4"/>
  <c r="FJ19" i="4"/>
  <c r="FJ20" i="4"/>
  <c r="FJ21" i="4"/>
  <c r="FJ22" i="4"/>
  <c r="FJ23" i="4"/>
  <c r="FJ24" i="4"/>
  <c r="FJ25" i="4"/>
  <c r="FJ26" i="4"/>
  <c r="FJ27" i="4"/>
  <c r="FJ28" i="4"/>
  <c r="FJ29" i="4"/>
  <c r="FJ30" i="4"/>
  <c r="FJ31" i="4"/>
  <c r="FJ32" i="4"/>
  <c r="FJ33" i="4"/>
  <c r="FJ34" i="4"/>
  <c r="FJ35" i="4"/>
  <c r="FJ36" i="4"/>
  <c r="FJ37" i="4"/>
  <c r="FJ38" i="4"/>
  <c r="FJ39" i="4"/>
  <c r="FJ40" i="4"/>
  <c r="FJ41" i="4"/>
  <c r="FJ42" i="4"/>
  <c r="FJ43" i="4"/>
  <c r="FJ44" i="4"/>
  <c r="FJ45" i="4"/>
  <c r="FJ46" i="4"/>
  <c r="FJ47" i="4"/>
  <c r="FJ48" i="4"/>
  <c r="FJ49" i="4"/>
  <c r="FJ50" i="4"/>
  <c r="FJ51" i="4"/>
  <c r="FJ52" i="4"/>
  <c r="FJ53" i="4"/>
  <c r="FJ54" i="4"/>
  <c r="FJ55" i="4"/>
  <c r="FJ56" i="4"/>
  <c r="FJ57" i="4"/>
  <c r="FJ58" i="4"/>
  <c r="FJ59" i="4"/>
  <c r="FJ60" i="4"/>
  <c r="FJ61" i="4"/>
  <c r="FJ62" i="4"/>
  <c r="FJ63" i="4"/>
  <c r="FJ64" i="4"/>
  <c r="FJ65" i="4"/>
  <c r="FJ66" i="4"/>
  <c r="FJ67" i="4"/>
  <c r="FJ68" i="4"/>
  <c r="FJ69" i="4"/>
  <c r="FJ70" i="4"/>
  <c r="FJ71" i="4"/>
  <c r="FJ72" i="4"/>
  <c r="FJ73" i="4"/>
  <c r="FJ74" i="4"/>
  <c r="FJ75" i="4"/>
  <c r="FJ76" i="4"/>
  <c r="FJ77" i="4"/>
  <c r="FJ78" i="4"/>
  <c r="FJ79" i="4"/>
  <c r="FJ80" i="4"/>
  <c r="FJ81" i="4"/>
  <c r="FJ82" i="4"/>
  <c r="FJ83" i="4"/>
  <c r="FJ84" i="4"/>
  <c r="FJ85" i="4"/>
  <c r="FJ86" i="4"/>
  <c r="FJ87" i="4"/>
  <c r="FJ88" i="4"/>
  <c r="FJ89" i="4"/>
  <c r="FJ90" i="4"/>
  <c r="FJ91" i="4"/>
  <c r="FJ92" i="4"/>
  <c r="FJ93" i="4"/>
  <c r="FJ94" i="4"/>
  <c r="FJ95" i="4"/>
  <c r="FJ96" i="4"/>
  <c r="FJ97" i="4"/>
  <c r="FJ98" i="4"/>
  <c r="FJ99" i="4"/>
  <c r="FJ100" i="4"/>
  <c r="FJ101" i="4"/>
  <c r="FJ102" i="4"/>
  <c r="FJ103" i="4"/>
  <c r="FJ104" i="4"/>
  <c r="FJ105" i="4"/>
  <c r="FJ106" i="4"/>
  <c r="FJ107" i="4"/>
  <c r="FJ108" i="4"/>
  <c r="FJ109" i="4"/>
  <c r="FJ110" i="4"/>
  <c r="FJ111" i="4"/>
  <c r="FJ112" i="4"/>
  <c r="FJ113" i="4"/>
  <c r="FJ114" i="4"/>
  <c r="FJ115" i="4"/>
  <c r="FJ116" i="4"/>
  <c r="FJ117" i="4"/>
  <c r="FJ118" i="4"/>
  <c r="FJ119" i="4"/>
  <c r="FJ120" i="4"/>
  <c r="FJ121" i="4"/>
  <c r="FJ122" i="4"/>
  <c r="FJ123" i="4"/>
  <c r="FJ124" i="4"/>
  <c r="FJ125" i="4"/>
  <c r="FJ126" i="4"/>
  <c r="FJ127" i="4"/>
  <c r="FJ128" i="4"/>
  <c r="FJ129" i="4"/>
  <c r="FJ130" i="4"/>
  <c r="FJ131" i="4"/>
  <c r="FJ132" i="4"/>
  <c r="FJ133" i="4"/>
  <c r="FJ134" i="4"/>
  <c r="FJ135" i="4"/>
  <c r="FJ136" i="4"/>
  <c r="FJ137" i="4"/>
  <c r="FJ138" i="4"/>
  <c r="FJ139" i="4"/>
  <c r="FJ140" i="4"/>
  <c r="FJ141" i="4"/>
  <c r="FJ142" i="4"/>
  <c r="FJ143" i="4"/>
  <c r="FJ144" i="4"/>
  <c r="FJ145" i="4"/>
  <c r="FJ146" i="4"/>
  <c r="FJ147" i="4"/>
  <c r="FJ148" i="4"/>
  <c r="FJ149" i="4"/>
  <c r="FJ150" i="4"/>
  <c r="FJ151" i="4"/>
  <c r="FJ152" i="4"/>
  <c r="FJ153" i="4"/>
  <c r="FJ154" i="4"/>
  <c r="FJ155" i="4"/>
  <c r="FJ156" i="4"/>
  <c r="FJ157" i="4"/>
  <c r="FJ158" i="4"/>
  <c r="FJ159" i="4"/>
  <c r="FJ160" i="4"/>
  <c r="FJ161" i="4"/>
  <c r="FJ162" i="4"/>
  <c r="FJ163" i="4"/>
  <c r="FJ164" i="4"/>
  <c r="FJ165" i="4"/>
  <c r="FJ166" i="4"/>
  <c r="FJ167" i="4"/>
  <c r="FJ168" i="4"/>
  <c r="FJ169" i="4"/>
  <c r="FJ170" i="4"/>
  <c r="FJ171" i="4"/>
  <c r="FJ172" i="4"/>
  <c r="FJ173" i="4"/>
  <c r="FJ174" i="4"/>
  <c r="FJ175" i="4"/>
  <c r="FI2" i="4"/>
  <c r="FI3" i="4"/>
  <c r="FI4" i="4"/>
  <c r="FI5" i="4"/>
  <c r="FI6" i="4"/>
  <c r="FI7" i="4"/>
  <c r="FI8" i="4"/>
  <c r="FI9" i="4"/>
  <c r="FI10" i="4"/>
  <c r="FI11" i="4"/>
  <c r="FI12" i="4"/>
  <c r="FI13" i="4"/>
  <c r="FI14" i="4"/>
  <c r="FI15" i="4"/>
  <c r="FI16" i="4"/>
  <c r="FI17" i="4"/>
  <c r="FI18" i="4"/>
  <c r="FI19" i="4"/>
  <c r="FI20" i="4"/>
  <c r="FI21" i="4"/>
  <c r="FI22" i="4"/>
  <c r="FI23" i="4"/>
  <c r="FI24" i="4"/>
  <c r="FI25" i="4"/>
  <c r="FI26" i="4"/>
  <c r="FI27" i="4"/>
  <c r="FI28" i="4"/>
  <c r="FI29" i="4"/>
  <c r="FI30" i="4"/>
  <c r="FI31" i="4"/>
  <c r="FI32" i="4"/>
  <c r="FI33" i="4"/>
  <c r="FI34" i="4"/>
  <c r="FI35" i="4"/>
  <c r="FI36" i="4"/>
  <c r="FI37" i="4"/>
  <c r="FI38" i="4"/>
  <c r="FI39" i="4"/>
  <c r="FI40" i="4"/>
  <c r="FI41" i="4"/>
  <c r="FI42" i="4"/>
  <c r="FI43" i="4"/>
  <c r="FI44" i="4"/>
  <c r="FI45" i="4"/>
  <c r="FI46" i="4"/>
  <c r="FI47" i="4"/>
  <c r="FI48" i="4"/>
  <c r="FI49" i="4"/>
  <c r="FI50" i="4"/>
  <c r="FI51" i="4"/>
  <c r="FI52" i="4"/>
  <c r="FI53" i="4"/>
  <c r="FI54" i="4"/>
  <c r="FI55" i="4"/>
  <c r="FI56" i="4"/>
  <c r="FI57" i="4"/>
  <c r="FI58" i="4"/>
  <c r="FI59" i="4"/>
  <c r="FI60" i="4"/>
  <c r="FI61" i="4"/>
  <c r="FI62" i="4"/>
  <c r="FI63" i="4"/>
  <c r="FI64" i="4"/>
  <c r="FI65" i="4"/>
  <c r="FI66" i="4"/>
  <c r="FI67" i="4"/>
  <c r="FI68" i="4"/>
  <c r="FI69" i="4"/>
  <c r="FI70" i="4"/>
  <c r="FI71" i="4"/>
  <c r="FI72" i="4"/>
  <c r="FI73" i="4"/>
  <c r="FI74" i="4"/>
  <c r="FI75" i="4"/>
  <c r="FI76" i="4"/>
  <c r="FI77" i="4"/>
  <c r="FI78" i="4"/>
  <c r="FI79" i="4"/>
  <c r="FI80" i="4"/>
  <c r="FI81" i="4"/>
  <c r="FI82" i="4"/>
  <c r="FI83" i="4"/>
  <c r="FI84" i="4"/>
  <c r="FI85" i="4"/>
  <c r="FI86" i="4"/>
  <c r="FI87" i="4"/>
  <c r="FI88" i="4"/>
  <c r="FI89" i="4"/>
  <c r="FI90" i="4"/>
  <c r="FI91" i="4"/>
  <c r="FI92" i="4"/>
  <c r="FI93" i="4"/>
  <c r="FI94" i="4"/>
  <c r="FI95" i="4"/>
  <c r="FI96" i="4"/>
  <c r="FI97" i="4"/>
  <c r="FI98" i="4"/>
  <c r="FI99" i="4"/>
  <c r="FI100" i="4"/>
  <c r="FI101" i="4"/>
  <c r="FI102" i="4"/>
  <c r="FI103" i="4"/>
  <c r="FI104" i="4"/>
  <c r="FI105" i="4"/>
  <c r="FI106" i="4"/>
  <c r="FI107" i="4"/>
  <c r="FI108" i="4"/>
  <c r="FI109" i="4"/>
  <c r="FI110" i="4"/>
  <c r="FI111" i="4"/>
  <c r="FI112" i="4"/>
  <c r="FI113" i="4"/>
  <c r="FI114" i="4"/>
  <c r="FI115" i="4"/>
  <c r="FI116" i="4"/>
  <c r="FI117" i="4"/>
  <c r="FI118" i="4"/>
  <c r="FI119" i="4"/>
  <c r="FI120" i="4"/>
  <c r="FI121" i="4"/>
  <c r="FI122" i="4"/>
  <c r="FI123" i="4"/>
  <c r="FI124" i="4"/>
  <c r="FI125" i="4"/>
  <c r="FI126" i="4"/>
  <c r="FI127" i="4"/>
  <c r="FI128" i="4"/>
  <c r="FI129" i="4"/>
  <c r="FI130" i="4"/>
  <c r="FI131" i="4"/>
  <c r="FI132" i="4"/>
  <c r="FI133" i="4"/>
  <c r="FI134" i="4"/>
  <c r="FI135" i="4"/>
  <c r="FI136" i="4"/>
  <c r="FI137" i="4"/>
  <c r="FI138" i="4"/>
  <c r="FI139" i="4"/>
  <c r="FI140" i="4"/>
  <c r="FI141" i="4"/>
  <c r="FI142" i="4"/>
  <c r="FI143" i="4"/>
  <c r="FI144" i="4"/>
  <c r="FI145" i="4"/>
  <c r="FI146" i="4"/>
  <c r="FI147" i="4"/>
  <c r="FI148" i="4"/>
  <c r="FI149" i="4"/>
  <c r="FI150" i="4"/>
  <c r="FI151" i="4"/>
  <c r="FI152" i="4"/>
  <c r="FI153" i="4"/>
  <c r="FI154" i="4"/>
  <c r="FI155" i="4"/>
  <c r="FI156" i="4"/>
  <c r="FI157" i="4"/>
  <c r="FI158" i="4"/>
  <c r="FI159" i="4"/>
  <c r="FI160" i="4"/>
  <c r="FI161" i="4"/>
  <c r="FI162" i="4"/>
  <c r="FI163" i="4"/>
  <c r="FI164" i="4"/>
  <c r="FI165" i="4"/>
  <c r="FI166" i="4"/>
  <c r="FI167" i="4"/>
  <c r="FI168" i="4"/>
  <c r="FI169" i="4"/>
  <c r="FI170" i="4"/>
  <c r="FI171" i="4"/>
  <c r="FI172" i="4"/>
  <c r="FI173" i="4"/>
  <c r="FI174" i="4"/>
  <c r="FI175" i="4"/>
  <c r="FH2" i="4"/>
  <c r="FH3" i="4"/>
  <c r="FH4" i="4"/>
  <c r="FH5" i="4"/>
  <c r="FH6" i="4"/>
  <c r="FH7" i="4"/>
  <c r="FH8" i="4"/>
  <c r="FH9" i="4"/>
  <c r="FH10" i="4"/>
  <c r="FH11" i="4"/>
  <c r="FH12" i="4"/>
  <c r="FH13" i="4"/>
  <c r="FH14" i="4"/>
  <c r="FH15" i="4"/>
  <c r="FH16" i="4"/>
  <c r="FH17" i="4"/>
  <c r="FH18" i="4"/>
  <c r="FH19" i="4"/>
  <c r="FH20" i="4"/>
  <c r="FH21" i="4"/>
  <c r="FH22" i="4"/>
  <c r="FH23" i="4"/>
  <c r="FH24" i="4"/>
  <c r="FH25" i="4"/>
  <c r="FH26" i="4"/>
  <c r="FH27" i="4"/>
  <c r="FH28" i="4"/>
  <c r="FH29" i="4"/>
  <c r="FH30" i="4"/>
  <c r="FH31" i="4"/>
  <c r="FH32" i="4"/>
  <c r="FH33" i="4"/>
  <c r="FH34" i="4"/>
  <c r="FH35" i="4"/>
  <c r="FH36" i="4"/>
  <c r="FH37" i="4"/>
  <c r="FH38" i="4"/>
  <c r="FH39" i="4"/>
  <c r="FH40" i="4"/>
  <c r="FH41" i="4"/>
  <c r="FH42" i="4"/>
  <c r="FH43" i="4"/>
  <c r="FH44" i="4"/>
  <c r="FH45" i="4"/>
  <c r="FH46" i="4"/>
  <c r="FH47" i="4"/>
  <c r="FH48" i="4"/>
  <c r="FH49" i="4"/>
  <c r="FH50" i="4"/>
  <c r="FH51" i="4"/>
  <c r="FH52" i="4"/>
  <c r="FH53" i="4"/>
  <c r="FH54" i="4"/>
  <c r="FH55" i="4"/>
  <c r="FH56" i="4"/>
  <c r="FH57" i="4"/>
  <c r="FH58" i="4"/>
  <c r="FH59" i="4"/>
  <c r="FH60" i="4"/>
  <c r="FH61" i="4"/>
  <c r="FH62" i="4"/>
  <c r="FH63" i="4"/>
  <c r="FH64" i="4"/>
  <c r="FH65" i="4"/>
  <c r="FH66" i="4"/>
  <c r="FH67" i="4"/>
  <c r="FH68" i="4"/>
  <c r="FH69" i="4"/>
  <c r="FH70" i="4"/>
  <c r="FH71" i="4"/>
  <c r="FH72" i="4"/>
  <c r="FH73" i="4"/>
  <c r="FH74" i="4"/>
  <c r="FH75" i="4"/>
  <c r="FH76" i="4"/>
  <c r="FH77" i="4"/>
  <c r="FH78" i="4"/>
  <c r="FH79" i="4"/>
  <c r="FH80" i="4"/>
  <c r="FH81" i="4"/>
  <c r="FH82" i="4"/>
  <c r="FH83" i="4"/>
  <c r="FH84" i="4"/>
  <c r="FH85" i="4"/>
  <c r="FH86" i="4"/>
  <c r="FH87" i="4"/>
  <c r="FH88" i="4"/>
  <c r="FH89" i="4"/>
  <c r="FH90" i="4"/>
  <c r="FH91" i="4"/>
  <c r="FH92" i="4"/>
  <c r="FH93" i="4"/>
  <c r="FH94" i="4"/>
  <c r="FH95" i="4"/>
  <c r="FH96" i="4"/>
  <c r="FH97" i="4"/>
  <c r="FH98" i="4"/>
  <c r="FH99" i="4"/>
  <c r="FH100" i="4"/>
  <c r="FH101" i="4"/>
  <c r="FH102" i="4"/>
  <c r="FH103" i="4"/>
  <c r="FH104" i="4"/>
  <c r="FH105" i="4"/>
  <c r="FH106" i="4"/>
  <c r="FH107" i="4"/>
  <c r="FH108" i="4"/>
  <c r="FH109" i="4"/>
  <c r="FH110" i="4"/>
  <c r="FH111" i="4"/>
  <c r="FH112" i="4"/>
  <c r="FH113" i="4"/>
  <c r="FH114" i="4"/>
  <c r="FH115" i="4"/>
  <c r="FH116" i="4"/>
  <c r="FH117" i="4"/>
  <c r="FH118" i="4"/>
  <c r="FH119" i="4"/>
  <c r="FH120" i="4"/>
  <c r="FH121" i="4"/>
  <c r="FH122" i="4"/>
  <c r="FH123" i="4"/>
  <c r="FH124" i="4"/>
  <c r="FH125" i="4"/>
  <c r="FH126" i="4"/>
  <c r="FH127" i="4"/>
  <c r="FH128" i="4"/>
  <c r="FH129" i="4"/>
  <c r="FH130" i="4"/>
  <c r="FH131" i="4"/>
  <c r="FH132" i="4"/>
  <c r="FH133" i="4"/>
  <c r="FH134" i="4"/>
  <c r="FH135" i="4"/>
  <c r="FH136" i="4"/>
  <c r="FH137" i="4"/>
  <c r="FH138" i="4"/>
  <c r="FH139" i="4"/>
  <c r="FH140" i="4"/>
  <c r="FH141" i="4"/>
  <c r="FH142" i="4"/>
  <c r="FH143" i="4"/>
  <c r="FH144" i="4"/>
  <c r="FH145" i="4"/>
  <c r="FH146" i="4"/>
  <c r="FH147" i="4"/>
  <c r="FH148" i="4"/>
  <c r="FH149" i="4"/>
  <c r="FH150" i="4"/>
  <c r="FH151" i="4"/>
  <c r="FH152" i="4"/>
  <c r="FH153" i="4"/>
  <c r="FH154" i="4"/>
  <c r="FH155" i="4"/>
  <c r="FH156" i="4"/>
  <c r="FH157" i="4"/>
  <c r="FH158" i="4"/>
  <c r="FH159" i="4"/>
  <c r="FH160" i="4"/>
  <c r="FH161" i="4"/>
  <c r="FH162" i="4"/>
  <c r="FH163" i="4"/>
  <c r="FH164" i="4"/>
  <c r="FH165" i="4"/>
  <c r="FH166" i="4"/>
  <c r="FH167" i="4"/>
  <c r="FH168" i="4"/>
  <c r="FH169" i="4"/>
  <c r="FH170" i="4"/>
  <c r="FH171" i="4"/>
  <c r="FH172" i="4"/>
  <c r="FH173" i="4"/>
  <c r="FH174" i="4"/>
  <c r="FH175" i="4"/>
  <c r="FG2" i="4"/>
  <c r="FG3" i="4"/>
  <c r="FG4" i="4"/>
  <c r="FG5" i="4"/>
  <c r="FG6" i="4"/>
  <c r="FG7" i="4"/>
  <c r="FG8" i="4"/>
  <c r="FG9" i="4"/>
  <c r="FG10" i="4"/>
  <c r="FG11" i="4"/>
  <c r="FG12" i="4"/>
  <c r="FG13" i="4"/>
  <c r="FG14" i="4"/>
  <c r="FG15" i="4"/>
  <c r="FG16" i="4"/>
  <c r="FG17" i="4"/>
  <c r="FG18" i="4"/>
  <c r="FG19" i="4"/>
  <c r="FG20" i="4"/>
  <c r="FG21" i="4"/>
  <c r="FG22" i="4"/>
  <c r="FG23" i="4"/>
  <c r="FG24" i="4"/>
  <c r="FG25" i="4"/>
  <c r="FG26" i="4"/>
  <c r="FG27" i="4"/>
  <c r="FG28" i="4"/>
  <c r="FG29" i="4"/>
  <c r="FG30" i="4"/>
  <c r="FG31" i="4"/>
  <c r="FG32" i="4"/>
  <c r="FG33" i="4"/>
  <c r="FG34" i="4"/>
  <c r="FG35" i="4"/>
  <c r="FG36" i="4"/>
  <c r="FG37" i="4"/>
  <c r="FG38" i="4"/>
  <c r="FG39" i="4"/>
  <c r="FG40" i="4"/>
  <c r="FG41" i="4"/>
  <c r="FG42" i="4"/>
  <c r="FG43" i="4"/>
  <c r="FG44" i="4"/>
  <c r="FG45" i="4"/>
  <c r="FG46" i="4"/>
  <c r="FG47" i="4"/>
  <c r="FG48" i="4"/>
  <c r="FG49" i="4"/>
  <c r="FG50" i="4"/>
  <c r="FG51" i="4"/>
  <c r="FG52" i="4"/>
  <c r="FG53" i="4"/>
  <c r="FG54" i="4"/>
  <c r="FG55" i="4"/>
  <c r="FG56" i="4"/>
  <c r="FG57" i="4"/>
  <c r="FG58" i="4"/>
  <c r="FG59" i="4"/>
  <c r="FG60" i="4"/>
  <c r="FG61" i="4"/>
  <c r="FG62" i="4"/>
  <c r="FG63" i="4"/>
  <c r="FG64" i="4"/>
  <c r="FG65" i="4"/>
  <c r="FG66" i="4"/>
  <c r="FG67" i="4"/>
  <c r="FG68" i="4"/>
  <c r="FG69" i="4"/>
  <c r="FG70" i="4"/>
  <c r="FG71" i="4"/>
  <c r="FG72" i="4"/>
  <c r="FG73" i="4"/>
  <c r="FG74" i="4"/>
  <c r="FG75" i="4"/>
  <c r="FG76" i="4"/>
  <c r="FG77" i="4"/>
  <c r="FG78" i="4"/>
  <c r="FG79" i="4"/>
  <c r="FG80" i="4"/>
  <c r="FG81" i="4"/>
  <c r="FG82" i="4"/>
  <c r="FG83" i="4"/>
  <c r="FG84" i="4"/>
  <c r="FG85" i="4"/>
  <c r="FG86" i="4"/>
  <c r="FG87" i="4"/>
  <c r="FG88" i="4"/>
  <c r="FG89" i="4"/>
  <c r="FG90" i="4"/>
  <c r="FG91" i="4"/>
  <c r="FG92" i="4"/>
  <c r="FG93" i="4"/>
  <c r="FG94" i="4"/>
  <c r="FG95" i="4"/>
  <c r="FG96" i="4"/>
  <c r="FG97" i="4"/>
  <c r="FG98" i="4"/>
  <c r="FG99" i="4"/>
  <c r="FG100" i="4"/>
  <c r="FG101" i="4"/>
  <c r="FG102" i="4"/>
  <c r="FG103" i="4"/>
  <c r="FG104" i="4"/>
  <c r="FG105" i="4"/>
  <c r="FG106" i="4"/>
  <c r="FG107" i="4"/>
  <c r="FG108" i="4"/>
  <c r="FG109" i="4"/>
  <c r="FG110" i="4"/>
  <c r="FG111" i="4"/>
  <c r="FG112" i="4"/>
  <c r="FG113" i="4"/>
  <c r="FG114" i="4"/>
  <c r="FG115" i="4"/>
  <c r="FG116" i="4"/>
  <c r="FG117" i="4"/>
  <c r="FG118" i="4"/>
  <c r="FG119" i="4"/>
  <c r="FG120" i="4"/>
  <c r="FG121" i="4"/>
  <c r="FG122" i="4"/>
  <c r="FG123" i="4"/>
  <c r="FG124" i="4"/>
  <c r="FG125" i="4"/>
  <c r="FG126" i="4"/>
  <c r="FG127" i="4"/>
  <c r="FG128" i="4"/>
  <c r="FG129" i="4"/>
  <c r="FG130" i="4"/>
  <c r="FG131" i="4"/>
  <c r="FG132" i="4"/>
  <c r="FG133" i="4"/>
  <c r="FG134" i="4"/>
  <c r="FG135" i="4"/>
  <c r="FG136" i="4"/>
  <c r="FG137" i="4"/>
  <c r="FG138" i="4"/>
  <c r="FG139" i="4"/>
  <c r="FG140" i="4"/>
  <c r="FG141" i="4"/>
  <c r="FG142" i="4"/>
  <c r="FG143" i="4"/>
  <c r="FG144" i="4"/>
  <c r="FG145" i="4"/>
  <c r="FG146" i="4"/>
  <c r="FG147" i="4"/>
  <c r="FG148" i="4"/>
  <c r="FG149" i="4"/>
  <c r="FG150" i="4"/>
  <c r="FG151" i="4"/>
  <c r="FG152" i="4"/>
  <c r="FG153" i="4"/>
  <c r="FG154" i="4"/>
  <c r="FG155" i="4"/>
  <c r="FG156" i="4"/>
  <c r="FG157" i="4"/>
  <c r="FG158" i="4"/>
  <c r="FG159" i="4"/>
  <c r="FG160" i="4"/>
  <c r="FG161" i="4"/>
  <c r="FG162" i="4"/>
  <c r="FG163" i="4"/>
  <c r="FG164" i="4"/>
  <c r="FG165" i="4"/>
  <c r="FG166" i="4"/>
  <c r="FG167" i="4"/>
  <c r="FG168" i="4"/>
  <c r="FG169" i="4"/>
  <c r="FG170" i="4"/>
  <c r="FG171" i="4"/>
  <c r="FG172" i="4"/>
  <c r="FG173" i="4"/>
  <c r="FG174" i="4"/>
  <c r="FG175" i="4"/>
  <c r="FF2" i="4"/>
  <c r="FF3" i="4"/>
  <c r="FF4" i="4"/>
  <c r="FF5" i="4"/>
  <c r="FF6" i="4"/>
  <c r="FF7" i="4"/>
  <c r="FF8" i="4"/>
  <c r="FF9" i="4"/>
  <c r="FF10" i="4"/>
  <c r="FF11" i="4"/>
  <c r="FF12" i="4"/>
  <c r="FF13" i="4"/>
  <c r="FF14" i="4"/>
  <c r="FF15" i="4"/>
  <c r="FF16" i="4"/>
  <c r="FF17" i="4"/>
  <c r="FF18" i="4"/>
  <c r="FF19" i="4"/>
  <c r="FF20" i="4"/>
  <c r="FF21" i="4"/>
  <c r="FF22" i="4"/>
  <c r="FF23" i="4"/>
  <c r="FF24" i="4"/>
  <c r="FF25" i="4"/>
  <c r="FF26" i="4"/>
  <c r="FF27" i="4"/>
  <c r="FF28" i="4"/>
  <c r="FF29" i="4"/>
  <c r="FF30" i="4"/>
  <c r="FF31" i="4"/>
  <c r="FF32" i="4"/>
  <c r="FF33" i="4"/>
  <c r="FF34" i="4"/>
  <c r="FF35" i="4"/>
  <c r="FF36" i="4"/>
  <c r="FF37" i="4"/>
  <c r="FF38" i="4"/>
  <c r="FF39" i="4"/>
  <c r="FF40" i="4"/>
  <c r="FF41" i="4"/>
  <c r="FF42" i="4"/>
  <c r="FF43" i="4"/>
  <c r="FF44" i="4"/>
  <c r="FF45" i="4"/>
  <c r="FF46" i="4"/>
  <c r="FF47" i="4"/>
  <c r="FF48" i="4"/>
  <c r="FF49" i="4"/>
  <c r="FF50" i="4"/>
  <c r="FF51" i="4"/>
  <c r="FF52" i="4"/>
  <c r="FF53" i="4"/>
  <c r="FF54" i="4"/>
  <c r="FF55" i="4"/>
  <c r="FF56" i="4"/>
  <c r="FF57" i="4"/>
  <c r="FF58" i="4"/>
  <c r="FF59" i="4"/>
  <c r="FF60" i="4"/>
  <c r="FF61" i="4"/>
  <c r="FF62" i="4"/>
  <c r="FF63" i="4"/>
  <c r="FF64" i="4"/>
  <c r="FF65" i="4"/>
  <c r="FF66" i="4"/>
  <c r="FF67" i="4"/>
  <c r="FF68" i="4"/>
  <c r="FF69" i="4"/>
  <c r="FF70" i="4"/>
  <c r="FF71" i="4"/>
  <c r="FF72" i="4"/>
  <c r="FF73" i="4"/>
  <c r="FF74" i="4"/>
  <c r="FF75" i="4"/>
  <c r="FF76" i="4"/>
  <c r="FF77" i="4"/>
  <c r="FF78" i="4"/>
  <c r="FF79" i="4"/>
  <c r="FF80" i="4"/>
  <c r="FF81" i="4"/>
  <c r="FF82" i="4"/>
  <c r="FF83" i="4"/>
  <c r="FF84" i="4"/>
  <c r="FF85" i="4"/>
  <c r="FF86" i="4"/>
  <c r="FF87" i="4"/>
  <c r="FF88" i="4"/>
  <c r="FF89" i="4"/>
  <c r="FF90" i="4"/>
  <c r="FF91" i="4"/>
  <c r="FF92" i="4"/>
  <c r="FF93" i="4"/>
  <c r="FF94" i="4"/>
  <c r="FF95" i="4"/>
  <c r="FF96" i="4"/>
  <c r="FF97" i="4"/>
  <c r="FF98" i="4"/>
  <c r="FF99" i="4"/>
  <c r="FF100" i="4"/>
  <c r="FF101" i="4"/>
  <c r="FF102" i="4"/>
  <c r="FF103" i="4"/>
  <c r="FF104" i="4"/>
  <c r="FF105" i="4"/>
  <c r="FF106" i="4"/>
  <c r="FF107" i="4"/>
  <c r="FF108" i="4"/>
  <c r="FF109" i="4"/>
  <c r="FF110" i="4"/>
  <c r="FF111" i="4"/>
  <c r="FF112" i="4"/>
  <c r="FF113" i="4"/>
  <c r="FF114" i="4"/>
  <c r="FF115" i="4"/>
  <c r="FF116" i="4"/>
  <c r="FF117" i="4"/>
  <c r="FF118" i="4"/>
  <c r="FF119" i="4"/>
  <c r="FF120" i="4"/>
  <c r="FF121" i="4"/>
  <c r="FF122" i="4"/>
  <c r="FF123" i="4"/>
  <c r="FF124" i="4"/>
  <c r="FF125" i="4"/>
  <c r="FF126" i="4"/>
  <c r="FF127" i="4"/>
  <c r="FF128" i="4"/>
  <c r="FF129" i="4"/>
  <c r="FF130" i="4"/>
  <c r="FF131" i="4"/>
  <c r="FF132" i="4"/>
  <c r="FF133" i="4"/>
  <c r="FF134" i="4"/>
  <c r="FF135" i="4"/>
  <c r="FF136" i="4"/>
  <c r="FF137" i="4"/>
  <c r="FF138" i="4"/>
  <c r="FF139" i="4"/>
  <c r="FF140" i="4"/>
  <c r="FF141" i="4"/>
  <c r="FF142" i="4"/>
  <c r="FF143" i="4"/>
  <c r="FF144" i="4"/>
  <c r="FF145" i="4"/>
  <c r="FF146" i="4"/>
  <c r="FF147" i="4"/>
  <c r="FF148" i="4"/>
  <c r="FF149" i="4"/>
  <c r="FF150" i="4"/>
  <c r="FF151" i="4"/>
  <c r="FF152" i="4"/>
  <c r="FF153" i="4"/>
  <c r="FF154" i="4"/>
  <c r="FF155" i="4"/>
  <c r="FF156" i="4"/>
  <c r="FF157" i="4"/>
  <c r="FF158" i="4"/>
  <c r="FF159" i="4"/>
  <c r="FF160" i="4"/>
  <c r="FF161" i="4"/>
  <c r="FF162" i="4"/>
  <c r="FF163" i="4"/>
  <c r="FF164" i="4"/>
  <c r="FF165" i="4"/>
  <c r="FF166" i="4"/>
  <c r="FF167" i="4"/>
  <c r="FF168" i="4"/>
  <c r="FF169" i="4"/>
  <c r="FF170" i="4"/>
  <c r="FF171" i="4"/>
  <c r="FF172" i="4"/>
  <c r="FF173" i="4"/>
  <c r="FF174" i="4"/>
  <c r="FF175" i="4"/>
  <c r="FE2" i="4"/>
  <c r="FE3" i="4"/>
  <c r="FE4" i="4"/>
  <c r="FE5" i="4"/>
  <c r="FE6" i="4"/>
  <c r="FE7" i="4"/>
  <c r="FE8" i="4"/>
  <c r="FE9" i="4"/>
  <c r="FE10" i="4"/>
  <c r="FE11" i="4"/>
  <c r="FE12" i="4"/>
  <c r="FE13" i="4"/>
  <c r="FE14" i="4"/>
  <c r="FE15" i="4"/>
  <c r="FE16" i="4"/>
  <c r="FE17" i="4"/>
  <c r="FE18" i="4"/>
  <c r="FE19" i="4"/>
  <c r="FE20" i="4"/>
  <c r="FE21" i="4"/>
  <c r="FE22" i="4"/>
  <c r="FE23" i="4"/>
  <c r="FE24" i="4"/>
  <c r="FE25" i="4"/>
  <c r="FE26" i="4"/>
  <c r="FE27" i="4"/>
  <c r="FE28" i="4"/>
  <c r="FE29" i="4"/>
  <c r="FE30" i="4"/>
  <c r="FE31" i="4"/>
  <c r="FE32" i="4"/>
  <c r="FE33" i="4"/>
  <c r="FE34" i="4"/>
  <c r="FE35" i="4"/>
  <c r="FE36" i="4"/>
  <c r="FE37" i="4"/>
  <c r="FE38" i="4"/>
  <c r="FE39" i="4"/>
  <c r="FE40" i="4"/>
  <c r="FE41" i="4"/>
  <c r="FE42" i="4"/>
  <c r="FE43" i="4"/>
  <c r="FE44" i="4"/>
  <c r="FE45" i="4"/>
  <c r="FE46" i="4"/>
  <c r="FE47" i="4"/>
  <c r="FE48" i="4"/>
  <c r="FE49" i="4"/>
  <c r="FE50" i="4"/>
  <c r="FE51" i="4"/>
  <c r="FE52" i="4"/>
  <c r="FE53" i="4"/>
  <c r="FE54" i="4"/>
  <c r="FE55" i="4"/>
  <c r="FE56" i="4"/>
  <c r="FE57" i="4"/>
  <c r="FE58" i="4"/>
  <c r="FE59" i="4"/>
  <c r="FE60" i="4"/>
  <c r="FE61" i="4"/>
  <c r="FE62" i="4"/>
  <c r="FE63" i="4"/>
  <c r="FE64" i="4"/>
  <c r="FE65" i="4"/>
  <c r="FE66" i="4"/>
  <c r="FE67" i="4"/>
  <c r="FE68" i="4"/>
  <c r="FE69" i="4"/>
  <c r="FE70" i="4"/>
  <c r="FE71" i="4"/>
  <c r="FE72" i="4"/>
  <c r="FE73" i="4"/>
  <c r="FE74" i="4"/>
  <c r="FE75" i="4"/>
  <c r="FE76" i="4"/>
  <c r="FE77" i="4"/>
  <c r="FE78" i="4"/>
  <c r="FE79" i="4"/>
  <c r="FE80" i="4"/>
  <c r="FE81" i="4"/>
  <c r="FE82" i="4"/>
  <c r="FE83" i="4"/>
  <c r="FE84" i="4"/>
  <c r="FE85" i="4"/>
  <c r="FE86" i="4"/>
  <c r="FE87" i="4"/>
  <c r="FE88" i="4"/>
  <c r="FE89" i="4"/>
  <c r="FE90" i="4"/>
  <c r="FE91" i="4"/>
  <c r="FE92" i="4"/>
  <c r="FE93" i="4"/>
  <c r="FE94" i="4"/>
  <c r="FE95" i="4"/>
  <c r="FE96" i="4"/>
  <c r="FE97" i="4"/>
  <c r="FE98" i="4"/>
  <c r="FE99" i="4"/>
  <c r="FE100" i="4"/>
  <c r="FE101" i="4"/>
  <c r="FE102" i="4"/>
  <c r="FE103" i="4"/>
  <c r="FE104" i="4"/>
  <c r="FE105" i="4"/>
  <c r="FE106" i="4"/>
  <c r="FE107" i="4"/>
  <c r="FE108" i="4"/>
  <c r="FE109" i="4"/>
  <c r="FE110" i="4"/>
  <c r="FE111" i="4"/>
  <c r="FE112" i="4"/>
  <c r="FE113" i="4"/>
  <c r="FE114" i="4"/>
  <c r="FE115" i="4"/>
  <c r="FE116" i="4"/>
  <c r="FE117" i="4"/>
  <c r="FE118" i="4"/>
  <c r="FE119" i="4"/>
  <c r="FE120" i="4"/>
  <c r="FE121" i="4"/>
  <c r="FE122" i="4"/>
  <c r="FE123" i="4"/>
  <c r="FE124" i="4"/>
  <c r="FE125" i="4"/>
  <c r="FE126" i="4"/>
  <c r="FE127" i="4"/>
  <c r="FE128" i="4"/>
  <c r="FE129" i="4"/>
  <c r="FE130" i="4"/>
  <c r="FE131" i="4"/>
  <c r="FE132" i="4"/>
  <c r="FE133" i="4"/>
  <c r="FE134" i="4"/>
  <c r="FE135" i="4"/>
  <c r="FE136" i="4"/>
  <c r="FE137" i="4"/>
  <c r="FE138" i="4"/>
  <c r="FE139" i="4"/>
  <c r="FE140" i="4"/>
  <c r="FE141" i="4"/>
  <c r="FE142" i="4"/>
  <c r="FE143" i="4"/>
  <c r="FE144" i="4"/>
  <c r="FE145" i="4"/>
  <c r="FE146" i="4"/>
  <c r="FE147" i="4"/>
  <c r="FE148" i="4"/>
  <c r="FE149" i="4"/>
  <c r="FE150" i="4"/>
  <c r="FE151" i="4"/>
  <c r="FE152" i="4"/>
  <c r="FE153" i="4"/>
  <c r="FE154" i="4"/>
  <c r="FE155" i="4"/>
  <c r="FE156" i="4"/>
  <c r="FE157" i="4"/>
  <c r="FE158" i="4"/>
  <c r="FE159" i="4"/>
  <c r="FE160" i="4"/>
  <c r="FE161" i="4"/>
  <c r="FE162" i="4"/>
  <c r="FE163" i="4"/>
  <c r="FE164" i="4"/>
  <c r="FE165" i="4"/>
  <c r="FE166" i="4"/>
  <c r="FE167" i="4"/>
  <c r="FE168" i="4"/>
  <c r="FE169" i="4"/>
  <c r="FE170" i="4"/>
  <c r="FE171" i="4"/>
  <c r="FE172" i="4"/>
  <c r="FE173" i="4"/>
  <c r="FE174" i="4"/>
  <c r="FE175" i="4"/>
  <c r="FD2" i="4"/>
  <c r="FD3" i="4"/>
  <c r="FD4" i="4"/>
  <c r="FD5" i="4"/>
  <c r="FD6" i="4"/>
  <c r="FD7" i="4"/>
  <c r="FD8" i="4"/>
  <c r="FD9" i="4"/>
  <c r="FD10" i="4"/>
  <c r="FD11" i="4"/>
  <c r="FD12" i="4"/>
  <c r="FD13" i="4"/>
  <c r="FD14" i="4"/>
  <c r="FD15" i="4"/>
  <c r="FD16" i="4"/>
  <c r="FD17" i="4"/>
  <c r="FD18" i="4"/>
  <c r="FD19" i="4"/>
  <c r="FD20" i="4"/>
  <c r="FD21" i="4"/>
  <c r="FD22" i="4"/>
  <c r="FD23" i="4"/>
  <c r="FD24" i="4"/>
  <c r="FD25" i="4"/>
  <c r="FD26" i="4"/>
  <c r="FD27" i="4"/>
  <c r="FD28" i="4"/>
  <c r="FD29" i="4"/>
  <c r="FD30" i="4"/>
  <c r="FD31" i="4"/>
  <c r="FD32" i="4"/>
  <c r="FD33" i="4"/>
  <c r="FD34" i="4"/>
  <c r="FD35" i="4"/>
  <c r="FD36" i="4"/>
  <c r="FD37" i="4"/>
  <c r="FD38" i="4"/>
  <c r="FD39" i="4"/>
  <c r="FD40" i="4"/>
  <c r="FD41" i="4"/>
  <c r="FD42" i="4"/>
  <c r="FD43" i="4"/>
  <c r="FD44" i="4"/>
  <c r="FD45" i="4"/>
  <c r="FD46" i="4"/>
  <c r="FD47" i="4"/>
  <c r="FD48" i="4"/>
  <c r="FD49" i="4"/>
  <c r="FD50" i="4"/>
  <c r="FD51" i="4"/>
  <c r="FD52" i="4"/>
  <c r="FD53" i="4"/>
  <c r="FD54" i="4"/>
  <c r="FD55" i="4"/>
  <c r="FD56" i="4"/>
  <c r="FD57" i="4"/>
  <c r="FD58" i="4"/>
  <c r="FD59" i="4"/>
  <c r="FD60" i="4"/>
  <c r="FD61" i="4"/>
  <c r="FD62" i="4"/>
  <c r="FD63" i="4"/>
  <c r="FD64" i="4"/>
  <c r="FD65" i="4"/>
  <c r="FD66" i="4"/>
  <c r="FD67" i="4"/>
  <c r="FD68" i="4"/>
  <c r="FD69" i="4"/>
  <c r="FD70" i="4"/>
  <c r="FD71" i="4"/>
  <c r="FD72" i="4"/>
  <c r="FD73" i="4"/>
  <c r="FD74" i="4"/>
  <c r="FD75" i="4"/>
  <c r="FD76" i="4"/>
  <c r="FD77" i="4"/>
  <c r="FD78" i="4"/>
  <c r="FD79" i="4"/>
  <c r="FD80" i="4"/>
  <c r="FD81" i="4"/>
  <c r="FD82" i="4"/>
  <c r="FD83" i="4"/>
  <c r="FD84" i="4"/>
  <c r="FD85" i="4"/>
  <c r="FD86" i="4"/>
  <c r="FD87" i="4"/>
  <c r="FD88" i="4"/>
  <c r="FD89" i="4"/>
  <c r="FD90" i="4"/>
  <c r="FD91" i="4"/>
  <c r="FD92" i="4"/>
  <c r="FD93" i="4"/>
  <c r="FD94" i="4"/>
  <c r="FD95" i="4"/>
  <c r="FD96" i="4"/>
  <c r="FD97" i="4"/>
  <c r="FD98" i="4"/>
  <c r="FD99" i="4"/>
  <c r="FD100" i="4"/>
  <c r="FD101" i="4"/>
  <c r="FD102" i="4"/>
  <c r="FD103" i="4"/>
  <c r="FD104" i="4"/>
  <c r="FD105" i="4"/>
  <c r="FD106" i="4"/>
  <c r="FD107" i="4"/>
  <c r="FD108" i="4"/>
  <c r="FD109" i="4"/>
  <c r="FD110" i="4"/>
  <c r="FD111" i="4"/>
  <c r="FD112" i="4"/>
  <c r="FD113" i="4"/>
  <c r="FD114" i="4"/>
  <c r="FD115" i="4"/>
  <c r="FD116" i="4"/>
  <c r="FD117" i="4"/>
  <c r="FD118" i="4"/>
  <c r="FD119" i="4"/>
  <c r="FD120" i="4"/>
  <c r="FD121" i="4"/>
  <c r="FD122" i="4"/>
  <c r="FD123" i="4"/>
  <c r="FD124" i="4"/>
  <c r="FD125" i="4"/>
  <c r="FD126" i="4"/>
  <c r="FD127" i="4"/>
  <c r="FD128" i="4"/>
  <c r="FD129" i="4"/>
  <c r="FD130" i="4"/>
  <c r="FD131" i="4"/>
  <c r="FD132" i="4"/>
  <c r="FD133" i="4"/>
  <c r="FD134" i="4"/>
  <c r="FD135" i="4"/>
  <c r="FD136" i="4"/>
  <c r="FD137" i="4"/>
  <c r="FD138" i="4"/>
  <c r="FD139" i="4"/>
  <c r="FD140" i="4"/>
  <c r="FD141" i="4"/>
  <c r="FD142" i="4"/>
  <c r="FD143" i="4"/>
  <c r="FD144" i="4"/>
  <c r="FD145" i="4"/>
  <c r="FD146" i="4"/>
  <c r="FD147" i="4"/>
  <c r="FD148" i="4"/>
  <c r="FD149" i="4"/>
  <c r="FD150" i="4"/>
  <c r="FD151" i="4"/>
  <c r="FD152" i="4"/>
  <c r="FD153" i="4"/>
  <c r="FD154" i="4"/>
  <c r="FD155" i="4"/>
  <c r="FD156" i="4"/>
  <c r="FD157" i="4"/>
  <c r="FD158" i="4"/>
  <c r="FD159" i="4"/>
  <c r="FD160" i="4"/>
  <c r="FD161" i="4"/>
  <c r="FD162" i="4"/>
  <c r="FD163" i="4"/>
  <c r="FD164" i="4"/>
  <c r="FD165" i="4"/>
  <c r="FD166" i="4"/>
  <c r="FD167" i="4"/>
  <c r="FD168" i="4"/>
  <c r="FD169" i="4"/>
  <c r="FD170" i="4"/>
  <c r="FD171" i="4"/>
  <c r="FD172" i="4"/>
  <c r="FD173" i="4"/>
  <c r="FD174" i="4"/>
  <c r="FD175" i="4"/>
  <c r="FC2" i="4"/>
  <c r="FC3" i="4"/>
  <c r="FC4" i="4"/>
  <c r="FC5" i="4"/>
  <c r="FC6" i="4"/>
  <c r="FC7" i="4"/>
  <c r="FC8" i="4"/>
  <c r="FC9" i="4"/>
  <c r="FC10" i="4"/>
  <c r="FC11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41" i="4"/>
  <c r="FC42" i="4"/>
  <c r="FC43" i="4"/>
  <c r="FC44" i="4"/>
  <c r="FC45" i="4"/>
  <c r="FC46" i="4"/>
  <c r="FC47" i="4"/>
  <c r="FC48" i="4"/>
  <c r="FC49" i="4"/>
  <c r="FC50" i="4"/>
  <c r="FC51" i="4"/>
  <c r="FC52" i="4"/>
  <c r="FC53" i="4"/>
  <c r="FC54" i="4"/>
  <c r="FC55" i="4"/>
  <c r="FC56" i="4"/>
  <c r="FC57" i="4"/>
  <c r="FC58" i="4"/>
  <c r="FC59" i="4"/>
  <c r="FC60" i="4"/>
  <c r="FC61" i="4"/>
  <c r="FC62" i="4"/>
  <c r="FC63" i="4"/>
  <c r="FC64" i="4"/>
  <c r="FC65" i="4"/>
  <c r="FC66" i="4"/>
  <c r="FC67" i="4"/>
  <c r="FC68" i="4"/>
  <c r="FC69" i="4"/>
  <c r="FC70" i="4"/>
  <c r="FC71" i="4"/>
  <c r="FC72" i="4"/>
  <c r="FC73" i="4"/>
  <c r="FC74" i="4"/>
  <c r="FC75" i="4"/>
  <c r="FC76" i="4"/>
  <c r="FC77" i="4"/>
  <c r="FC78" i="4"/>
  <c r="FC79" i="4"/>
  <c r="FC80" i="4"/>
  <c r="FC81" i="4"/>
  <c r="FC82" i="4"/>
  <c r="FC83" i="4"/>
  <c r="FC84" i="4"/>
  <c r="FC85" i="4"/>
  <c r="FC86" i="4"/>
  <c r="FC87" i="4"/>
  <c r="FC88" i="4"/>
  <c r="FC89" i="4"/>
  <c r="FC90" i="4"/>
  <c r="FC91" i="4"/>
  <c r="FC92" i="4"/>
  <c r="FC93" i="4"/>
  <c r="FC94" i="4"/>
  <c r="FC95" i="4"/>
  <c r="FC96" i="4"/>
  <c r="FC97" i="4"/>
  <c r="FC98" i="4"/>
  <c r="FC99" i="4"/>
  <c r="FC100" i="4"/>
  <c r="FC101" i="4"/>
  <c r="FC102" i="4"/>
  <c r="FC103" i="4"/>
  <c r="FC104" i="4"/>
  <c r="FC105" i="4"/>
  <c r="FC106" i="4"/>
  <c r="FC107" i="4"/>
  <c r="FC108" i="4"/>
  <c r="FC109" i="4"/>
  <c r="FC110" i="4"/>
  <c r="FC111" i="4"/>
  <c r="FC112" i="4"/>
  <c r="FC113" i="4"/>
  <c r="FC114" i="4"/>
  <c r="FC115" i="4"/>
  <c r="FC116" i="4"/>
  <c r="FC117" i="4"/>
  <c r="FC118" i="4"/>
  <c r="FC119" i="4"/>
  <c r="FC120" i="4"/>
  <c r="FC121" i="4"/>
  <c r="FC122" i="4"/>
  <c r="FC123" i="4"/>
  <c r="FC124" i="4"/>
  <c r="FC125" i="4"/>
  <c r="FC126" i="4"/>
  <c r="FC127" i="4"/>
  <c r="FC128" i="4"/>
  <c r="FC129" i="4"/>
  <c r="FC130" i="4"/>
  <c r="FC131" i="4"/>
  <c r="FC132" i="4"/>
  <c r="FC133" i="4"/>
  <c r="FC134" i="4"/>
  <c r="FC135" i="4"/>
  <c r="FC136" i="4"/>
  <c r="FC137" i="4"/>
  <c r="FC138" i="4"/>
  <c r="FC139" i="4"/>
  <c r="FC140" i="4"/>
  <c r="FC141" i="4"/>
  <c r="FC142" i="4"/>
  <c r="FC143" i="4"/>
  <c r="FC144" i="4"/>
  <c r="FC145" i="4"/>
  <c r="FC146" i="4"/>
  <c r="FC147" i="4"/>
  <c r="FC148" i="4"/>
  <c r="FC149" i="4"/>
  <c r="FC150" i="4"/>
  <c r="FC151" i="4"/>
  <c r="FC152" i="4"/>
  <c r="FC153" i="4"/>
  <c r="FC154" i="4"/>
  <c r="FC155" i="4"/>
  <c r="FC156" i="4"/>
  <c r="FC157" i="4"/>
  <c r="FC158" i="4"/>
  <c r="FC159" i="4"/>
  <c r="FC160" i="4"/>
  <c r="FC161" i="4"/>
  <c r="FC162" i="4"/>
  <c r="FC163" i="4"/>
  <c r="FC164" i="4"/>
  <c r="FC165" i="4"/>
  <c r="FC166" i="4"/>
  <c r="FC167" i="4"/>
  <c r="FC168" i="4"/>
  <c r="FC169" i="4"/>
  <c r="FC170" i="4"/>
  <c r="FC171" i="4"/>
  <c r="FC172" i="4"/>
  <c r="FC173" i="4"/>
  <c r="FC174" i="4"/>
  <c r="FC175" i="4"/>
  <c r="FB2" i="4"/>
  <c r="FB3" i="4"/>
  <c r="FB4" i="4"/>
  <c r="FB5" i="4"/>
  <c r="FB6" i="4"/>
  <c r="FB7" i="4"/>
  <c r="FB8" i="4"/>
  <c r="FB9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41" i="4"/>
  <c r="FB42" i="4"/>
  <c r="FB43" i="4"/>
  <c r="FB44" i="4"/>
  <c r="FB45" i="4"/>
  <c r="FB46" i="4"/>
  <c r="FB47" i="4"/>
  <c r="FB48" i="4"/>
  <c r="FB49" i="4"/>
  <c r="FB50" i="4"/>
  <c r="FB51" i="4"/>
  <c r="FB52" i="4"/>
  <c r="FB53" i="4"/>
  <c r="FB54" i="4"/>
  <c r="FB55" i="4"/>
  <c r="FB56" i="4"/>
  <c r="FB57" i="4"/>
  <c r="FB58" i="4"/>
  <c r="FB59" i="4"/>
  <c r="FB60" i="4"/>
  <c r="FB61" i="4"/>
  <c r="FB62" i="4"/>
  <c r="FB63" i="4"/>
  <c r="FB64" i="4"/>
  <c r="FB65" i="4"/>
  <c r="FB66" i="4"/>
  <c r="FB67" i="4"/>
  <c r="FB68" i="4"/>
  <c r="FB69" i="4"/>
  <c r="FB70" i="4"/>
  <c r="FB71" i="4"/>
  <c r="FB72" i="4"/>
  <c r="FB73" i="4"/>
  <c r="FB74" i="4"/>
  <c r="FB75" i="4"/>
  <c r="FB76" i="4"/>
  <c r="FB77" i="4"/>
  <c r="FB78" i="4"/>
  <c r="FB79" i="4"/>
  <c r="FB80" i="4"/>
  <c r="FB81" i="4"/>
  <c r="FB82" i="4"/>
  <c r="FB83" i="4"/>
  <c r="FB84" i="4"/>
  <c r="FB85" i="4"/>
  <c r="FB86" i="4"/>
  <c r="FB87" i="4"/>
  <c r="FB88" i="4"/>
  <c r="FB89" i="4"/>
  <c r="FB90" i="4"/>
  <c r="FB91" i="4"/>
  <c r="FB92" i="4"/>
  <c r="FB93" i="4"/>
  <c r="FB94" i="4"/>
  <c r="FB95" i="4"/>
  <c r="FB96" i="4"/>
  <c r="FB97" i="4"/>
  <c r="FB98" i="4"/>
  <c r="FB99" i="4"/>
  <c r="FB100" i="4"/>
  <c r="FB101" i="4"/>
  <c r="FB102" i="4"/>
  <c r="FB103" i="4"/>
  <c r="FB104" i="4"/>
  <c r="FB105" i="4"/>
  <c r="FB106" i="4"/>
  <c r="FB107" i="4"/>
  <c r="FB108" i="4"/>
  <c r="FB109" i="4"/>
  <c r="FB110" i="4"/>
  <c r="FB111" i="4"/>
  <c r="FB112" i="4"/>
  <c r="FB113" i="4"/>
  <c r="FB114" i="4"/>
  <c r="FB115" i="4"/>
  <c r="FB116" i="4"/>
  <c r="FB117" i="4"/>
  <c r="FB118" i="4"/>
  <c r="FB119" i="4"/>
  <c r="FB120" i="4"/>
  <c r="FB121" i="4"/>
  <c r="FB122" i="4"/>
  <c r="FB123" i="4"/>
  <c r="FB124" i="4"/>
  <c r="FB125" i="4"/>
  <c r="FB126" i="4"/>
  <c r="FB127" i="4"/>
  <c r="FB128" i="4"/>
  <c r="FB129" i="4"/>
  <c r="FB130" i="4"/>
  <c r="FB131" i="4"/>
  <c r="FB132" i="4"/>
  <c r="FB133" i="4"/>
  <c r="FB134" i="4"/>
  <c r="FB135" i="4"/>
  <c r="FB136" i="4"/>
  <c r="FB137" i="4"/>
  <c r="FB138" i="4"/>
  <c r="FB139" i="4"/>
  <c r="FB140" i="4"/>
  <c r="FB141" i="4"/>
  <c r="FB142" i="4"/>
  <c r="FB143" i="4"/>
  <c r="FB144" i="4"/>
  <c r="FB145" i="4"/>
  <c r="FB146" i="4"/>
  <c r="FB147" i="4"/>
  <c r="FB148" i="4"/>
  <c r="FB149" i="4"/>
  <c r="FB150" i="4"/>
  <c r="FB151" i="4"/>
  <c r="FB152" i="4"/>
  <c r="FB153" i="4"/>
  <c r="FB154" i="4"/>
  <c r="FB155" i="4"/>
  <c r="FB156" i="4"/>
  <c r="FB157" i="4"/>
  <c r="FB158" i="4"/>
  <c r="FB159" i="4"/>
  <c r="FB160" i="4"/>
  <c r="FB161" i="4"/>
  <c r="FB162" i="4"/>
  <c r="FB163" i="4"/>
  <c r="FB164" i="4"/>
  <c r="FB165" i="4"/>
  <c r="FB166" i="4"/>
  <c r="FB167" i="4"/>
  <c r="FB168" i="4"/>
  <c r="FB169" i="4"/>
  <c r="FB170" i="4"/>
  <c r="FB171" i="4"/>
  <c r="FB172" i="4"/>
  <c r="FB173" i="4"/>
  <c r="FB174" i="4"/>
  <c r="FB175" i="4"/>
  <c r="FA2" i="4"/>
  <c r="FA3" i="4"/>
  <c r="FA4" i="4"/>
  <c r="FA5" i="4"/>
  <c r="FA6" i="4"/>
  <c r="FA7" i="4"/>
  <c r="FA8" i="4"/>
  <c r="FA9" i="4"/>
  <c r="FA10" i="4"/>
  <c r="FA11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41" i="4"/>
  <c r="FA42" i="4"/>
  <c r="FA43" i="4"/>
  <c r="FA44" i="4"/>
  <c r="FA45" i="4"/>
  <c r="FA46" i="4"/>
  <c r="FA47" i="4"/>
  <c r="FA48" i="4"/>
  <c r="FA49" i="4"/>
  <c r="FA50" i="4"/>
  <c r="FA51" i="4"/>
  <c r="FA52" i="4"/>
  <c r="FA53" i="4"/>
  <c r="FA54" i="4"/>
  <c r="FA55" i="4"/>
  <c r="FA56" i="4"/>
  <c r="FA57" i="4"/>
  <c r="FA58" i="4"/>
  <c r="FA59" i="4"/>
  <c r="FA60" i="4"/>
  <c r="FA61" i="4"/>
  <c r="FA62" i="4"/>
  <c r="FA63" i="4"/>
  <c r="FA64" i="4"/>
  <c r="FA65" i="4"/>
  <c r="FA66" i="4"/>
  <c r="FA67" i="4"/>
  <c r="FA68" i="4"/>
  <c r="FA69" i="4"/>
  <c r="FA70" i="4"/>
  <c r="FA71" i="4"/>
  <c r="FA72" i="4"/>
  <c r="FA73" i="4"/>
  <c r="FA74" i="4"/>
  <c r="FA75" i="4"/>
  <c r="FA76" i="4"/>
  <c r="FA77" i="4"/>
  <c r="FA78" i="4"/>
  <c r="FA79" i="4"/>
  <c r="FA80" i="4"/>
  <c r="FA81" i="4"/>
  <c r="FA82" i="4"/>
  <c r="FA83" i="4"/>
  <c r="FA84" i="4"/>
  <c r="FA85" i="4"/>
  <c r="FA86" i="4"/>
  <c r="FA87" i="4"/>
  <c r="FA88" i="4"/>
  <c r="FA89" i="4"/>
  <c r="FA90" i="4"/>
  <c r="FA91" i="4"/>
  <c r="FA92" i="4"/>
  <c r="FA93" i="4"/>
  <c r="FA94" i="4"/>
  <c r="FA95" i="4"/>
  <c r="FA96" i="4"/>
  <c r="FA97" i="4"/>
  <c r="FA98" i="4"/>
  <c r="FA99" i="4"/>
  <c r="FA100" i="4"/>
  <c r="FA101" i="4"/>
  <c r="FA102" i="4"/>
  <c r="FA103" i="4"/>
  <c r="FA104" i="4"/>
  <c r="FA105" i="4"/>
  <c r="FA106" i="4"/>
  <c r="FA107" i="4"/>
  <c r="FA108" i="4"/>
  <c r="FA109" i="4"/>
  <c r="FA110" i="4"/>
  <c r="FA111" i="4"/>
  <c r="FA112" i="4"/>
  <c r="FA113" i="4"/>
  <c r="FA114" i="4"/>
  <c r="FA115" i="4"/>
  <c r="FA116" i="4"/>
  <c r="FA117" i="4"/>
  <c r="FA118" i="4"/>
  <c r="FA119" i="4"/>
  <c r="FA120" i="4"/>
  <c r="FA121" i="4"/>
  <c r="FA122" i="4"/>
  <c r="FA123" i="4"/>
  <c r="FA124" i="4"/>
  <c r="FA125" i="4"/>
  <c r="FA126" i="4"/>
  <c r="FA127" i="4"/>
  <c r="FA128" i="4"/>
  <c r="FA129" i="4"/>
  <c r="FA130" i="4"/>
  <c r="FA131" i="4"/>
  <c r="FA132" i="4"/>
  <c r="FA133" i="4"/>
  <c r="FA134" i="4"/>
  <c r="FA135" i="4"/>
  <c r="FA136" i="4"/>
  <c r="FA137" i="4"/>
  <c r="FA138" i="4"/>
  <c r="FA139" i="4"/>
  <c r="FA140" i="4"/>
  <c r="FA141" i="4"/>
  <c r="FA142" i="4"/>
  <c r="FA143" i="4"/>
  <c r="FA144" i="4"/>
  <c r="FA145" i="4"/>
  <c r="FA146" i="4"/>
  <c r="FA147" i="4"/>
  <c r="FA148" i="4"/>
  <c r="FA149" i="4"/>
  <c r="FA150" i="4"/>
  <c r="FA151" i="4"/>
  <c r="FA152" i="4"/>
  <c r="FA153" i="4"/>
  <c r="FA154" i="4"/>
  <c r="FA155" i="4"/>
  <c r="FA156" i="4"/>
  <c r="FA157" i="4"/>
  <c r="FA158" i="4"/>
  <c r="FA159" i="4"/>
  <c r="FA160" i="4"/>
  <c r="FA161" i="4"/>
  <c r="FA162" i="4"/>
  <c r="FA163" i="4"/>
  <c r="FA164" i="4"/>
  <c r="FA165" i="4"/>
  <c r="FA166" i="4"/>
  <c r="FA167" i="4"/>
  <c r="FA168" i="4"/>
  <c r="FA169" i="4"/>
  <c r="FA170" i="4"/>
  <c r="FA171" i="4"/>
  <c r="FA172" i="4"/>
  <c r="FA173" i="4"/>
  <c r="FA174" i="4"/>
  <c r="FA175" i="4"/>
  <c r="EZ2" i="4"/>
  <c r="EZ3" i="4"/>
  <c r="EZ4" i="4"/>
  <c r="EZ5" i="4"/>
  <c r="EZ6" i="4"/>
  <c r="EZ7" i="4"/>
  <c r="EZ8" i="4"/>
  <c r="EZ9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41" i="4"/>
  <c r="EZ42" i="4"/>
  <c r="EZ43" i="4"/>
  <c r="EZ44" i="4"/>
  <c r="EZ45" i="4"/>
  <c r="EZ46" i="4"/>
  <c r="EZ47" i="4"/>
  <c r="EZ48" i="4"/>
  <c r="EZ49" i="4"/>
  <c r="EZ50" i="4"/>
  <c r="EZ51" i="4"/>
  <c r="EZ52" i="4"/>
  <c r="EZ53" i="4"/>
  <c r="EZ54" i="4"/>
  <c r="EZ55" i="4"/>
  <c r="EZ56" i="4"/>
  <c r="EZ57" i="4"/>
  <c r="EZ58" i="4"/>
  <c r="EZ59" i="4"/>
  <c r="EZ60" i="4"/>
  <c r="EZ61" i="4"/>
  <c r="EZ62" i="4"/>
  <c r="EZ63" i="4"/>
  <c r="EZ64" i="4"/>
  <c r="EZ65" i="4"/>
  <c r="EZ66" i="4"/>
  <c r="EZ67" i="4"/>
  <c r="EZ68" i="4"/>
  <c r="EZ69" i="4"/>
  <c r="EZ70" i="4"/>
  <c r="EZ71" i="4"/>
  <c r="EZ72" i="4"/>
  <c r="EZ73" i="4"/>
  <c r="EZ74" i="4"/>
  <c r="EZ75" i="4"/>
  <c r="EZ76" i="4"/>
  <c r="EZ77" i="4"/>
  <c r="EZ78" i="4"/>
  <c r="EZ79" i="4"/>
  <c r="EZ80" i="4"/>
  <c r="EZ81" i="4"/>
  <c r="EZ82" i="4"/>
  <c r="EZ83" i="4"/>
  <c r="EZ84" i="4"/>
  <c r="EZ85" i="4"/>
  <c r="EZ86" i="4"/>
  <c r="EZ87" i="4"/>
  <c r="EZ88" i="4"/>
  <c r="EZ89" i="4"/>
  <c r="EZ90" i="4"/>
  <c r="EZ91" i="4"/>
  <c r="EZ92" i="4"/>
  <c r="EZ93" i="4"/>
  <c r="EZ94" i="4"/>
  <c r="EZ95" i="4"/>
  <c r="EZ96" i="4"/>
  <c r="EZ97" i="4"/>
  <c r="EZ98" i="4"/>
  <c r="EZ99" i="4"/>
  <c r="EZ100" i="4"/>
  <c r="EZ101" i="4"/>
  <c r="EZ102" i="4"/>
  <c r="EZ103" i="4"/>
  <c r="EZ104" i="4"/>
  <c r="EZ105" i="4"/>
  <c r="EZ106" i="4"/>
  <c r="EZ107" i="4"/>
  <c r="EZ108" i="4"/>
  <c r="EZ109" i="4"/>
  <c r="EZ110" i="4"/>
  <c r="EZ111" i="4"/>
  <c r="EZ112" i="4"/>
  <c r="EZ113" i="4"/>
  <c r="EZ114" i="4"/>
  <c r="EZ115" i="4"/>
  <c r="EZ116" i="4"/>
  <c r="EZ117" i="4"/>
  <c r="EZ118" i="4"/>
  <c r="EZ119" i="4"/>
  <c r="EZ120" i="4"/>
  <c r="EZ121" i="4"/>
  <c r="EZ122" i="4"/>
  <c r="EZ123" i="4"/>
  <c r="EZ124" i="4"/>
  <c r="EZ125" i="4"/>
  <c r="EZ126" i="4"/>
  <c r="EZ127" i="4"/>
  <c r="EZ128" i="4"/>
  <c r="EZ129" i="4"/>
  <c r="EZ130" i="4"/>
  <c r="EZ131" i="4"/>
  <c r="EZ132" i="4"/>
  <c r="EZ133" i="4"/>
  <c r="EZ134" i="4"/>
  <c r="EZ135" i="4"/>
  <c r="EZ136" i="4"/>
  <c r="EZ137" i="4"/>
  <c r="EZ138" i="4"/>
  <c r="EZ139" i="4"/>
  <c r="EZ140" i="4"/>
  <c r="EZ141" i="4"/>
  <c r="EZ142" i="4"/>
  <c r="EZ143" i="4"/>
  <c r="EZ144" i="4"/>
  <c r="EZ145" i="4"/>
  <c r="EZ146" i="4"/>
  <c r="EZ147" i="4"/>
  <c r="EZ148" i="4"/>
  <c r="EZ149" i="4"/>
  <c r="EZ150" i="4"/>
  <c r="EZ151" i="4"/>
  <c r="EZ152" i="4"/>
  <c r="EZ153" i="4"/>
  <c r="EZ154" i="4"/>
  <c r="EZ155" i="4"/>
  <c r="EZ156" i="4"/>
  <c r="EZ157" i="4"/>
  <c r="EZ158" i="4"/>
  <c r="EZ159" i="4"/>
  <c r="EZ160" i="4"/>
  <c r="EZ161" i="4"/>
  <c r="EZ162" i="4"/>
  <c r="EZ163" i="4"/>
  <c r="EZ164" i="4"/>
  <c r="EZ165" i="4"/>
  <c r="EZ166" i="4"/>
  <c r="EZ167" i="4"/>
  <c r="EZ168" i="4"/>
  <c r="EZ169" i="4"/>
  <c r="EZ170" i="4"/>
  <c r="EZ171" i="4"/>
  <c r="EZ172" i="4"/>
  <c r="EZ173" i="4"/>
  <c r="EZ174" i="4"/>
  <c r="EZ175" i="4"/>
  <c r="EY2" i="4"/>
  <c r="EY3" i="4"/>
  <c r="EY4" i="4"/>
  <c r="EY5" i="4"/>
  <c r="EY6" i="4"/>
  <c r="EY7" i="4"/>
  <c r="EY8" i="4"/>
  <c r="EY9" i="4"/>
  <c r="EY10" i="4"/>
  <c r="EY11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41" i="4"/>
  <c r="EY42" i="4"/>
  <c r="EY43" i="4"/>
  <c r="EY44" i="4"/>
  <c r="EY45" i="4"/>
  <c r="EY46" i="4"/>
  <c r="EY47" i="4"/>
  <c r="EY48" i="4"/>
  <c r="EY49" i="4"/>
  <c r="EY50" i="4"/>
  <c r="EY51" i="4"/>
  <c r="EY52" i="4"/>
  <c r="EY53" i="4"/>
  <c r="EY54" i="4"/>
  <c r="EY55" i="4"/>
  <c r="EY56" i="4"/>
  <c r="EY57" i="4"/>
  <c r="EY58" i="4"/>
  <c r="EY59" i="4"/>
  <c r="EY60" i="4"/>
  <c r="EY61" i="4"/>
  <c r="EY62" i="4"/>
  <c r="EY63" i="4"/>
  <c r="EY64" i="4"/>
  <c r="EY65" i="4"/>
  <c r="EY66" i="4"/>
  <c r="EY67" i="4"/>
  <c r="EY68" i="4"/>
  <c r="EY69" i="4"/>
  <c r="EY70" i="4"/>
  <c r="EY71" i="4"/>
  <c r="EY72" i="4"/>
  <c r="EY73" i="4"/>
  <c r="EY74" i="4"/>
  <c r="EY75" i="4"/>
  <c r="EY76" i="4"/>
  <c r="EY77" i="4"/>
  <c r="EY78" i="4"/>
  <c r="EY79" i="4"/>
  <c r="EY80" i="4"/>
  <c r="EY81" i="4"/>
  <c r="EY82" i="4"/>
  <c r="EY83" i="4"/>
  <c r="EY84" i="4"/>
  <c r="EY85" i="4"/>
  <c r="EY86" i="4"/>
  <c r="EY87" i="4"/>
  <c r="EY88" i="4"/>
  <c r="EY89" i="4"/>
  <c r="EY90" i="4"/>
  <c r="EY91" i="4"/>
  <c r="EY92" i="4"/>
  <c r="EY93" i="4"/>
  <c r="EY94" i="4"/>
  <c r="EY95" i="4"/>
  <c r="EY96" i="4"/>
  <c r="EY97" i="4"/>
  <c r="EY98" i="4"/>
  <c r="EY99" i="4"/>
  <c r="EY100" i="4"/>
  <c r="EY101" i="4"/>
  <c r="EY102" i="4"/>
  <c r="EY103" i="4"/>
  <c r="EY104" i="4"/>
  <c r="EY105" i="4"/>
  <c r="EY106" i="4"/>
  <c r="EY107" i="4"/>
  <c r="EY108" i="4"/>
  <c r="EY109" i="4"/>
  <c r="EY110" i="4"/>
  <c r="EY111" i="4"/>
  <c r="EY112" i="4"/>
  <c r="EY113" i="4"/>
  <c r="EY114" i="4"/>
  <c r="EY115" i="4"/>
  <c r="EY116" i="4"/>
  <c r="EY117" i="4"/>
  <c r="EY118" i="4"/>
  <c r="EY119" i="4"/>
  <c r="EY120" i="4"/>
  <c r="EY121" i="4"/>
  <c r="EY122" i="4"/>
  <c r="EY123" i="4"/>
  <c r="EY124" i="4"/>
  <c r="EY125" i="4"/>
  <c r="EY126" i="4"/>
  <c r="EY127" i="4"/>
  <c r="EY128" i="4"/>
  <c r="EY129" i="4"/>
  <c r="EY130" i="4"/>
  <c r="EY131" i="4"/>
  <c r="EY132" i="4"/>
  <c r="EY133" i="4"/>
  <c r="EY134" i="4"/>
  <c r="EY135" i="4"/>
  <c r="EY136" i="4"/>
  <c r="EY137" i="4"/>
  <c r="EY138" i="4"/>
  <c r="EY139" i="4"/>
  <c r="EY140" i="4"/>
  <c r="EY141" i="4"/>
  <c r="EY142" i="4"/>
  <c r="EY143" i="4"/>
  <c r="EY144" i="4"/>
  <c r="EY145" i="4"/>
  <c r="EY146" i="4"/>
  <c r="EY147" i="4"/>
  <c r="EY148" i="4"/>
  <c r="EY149" i="4"/>
  <c r="EY150" i="4"/>
  <c r="EY151" i="4"/>
  <c r="EY152" i="4"/>
  <c r="EY153" i="4"/>
  <c r="EY154" i="4"/>
  <c r="EY155" i="4"/>
  <c r="EY156" i="4"/>
  <c r="EY157" i="4"/>
  <c r="EY158" i="4"/>
  <c r="EY159" i="4"/>
  <c r="EY160" i="4"/>
  <c r="EY161" i="4"/>
  <c r="EY162" i="4"/>
  <c r="EY163" i="4"/>
  <c r="EY164" i="4"/>
  <c r="EY165" i="4"/>
  <c r="EY166" i="4"/>
  <c r="EY167" i="4"/>
  <c r="EY168" i="4"/>
  <c r="EY169" i="4"/>
  <c r="EY170" i="4"/>
  <c r="EY171" i="4"/>
  <c r="EY172" i="4"/>
  <c r="EY173" i="4"/>
  <c r="EY174" i="4"/>
  <c r="EY175" i="4"/>
  <c r="EX2" i="4"/>
  <c r="EX3" i="4"/>
  <c r="EX4" i="4"/>
  <c r="EX5" i="4"/>
  <c r="EX6" i="4"/>
  <c r="EX7" i="4"/>
  <c r="EX8" i="4"/>
  <c r="EX9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41" i="4"/>
  <c r="EX42" i="4"/>
  <c r="EX43" i="4"/>
  <c r="EX44" i="4"/>
  <c r="EX45" i="4"/>
  <c r="EX46" i="4"/>
  <c r="EX47" i="4"/>
  <c r="EX48" i="4"/>
  <c r="EX49" i="4"/>
  <c r="EX50" i="4"/>
  <c r="EX51" i="4"/>
  <c r="EX52" i="4"/>
  <c r="EX53" i="4"/>
  <c r="EX54" i="4"/>
  <c r="EX55" i="4"/>
  <c r="EX56" i="4"/>
  <c r="EX57" i="4"/>
  <c r="EX58" i="4"/>
  <c r="EX59" i="4"/>
  <c r="EX60" i="4"/>
  <c r="EX61" i="4"/>
  <c r="EX62" i="4"/>
  <c r="EX63" i="4"/>
  <c r="EX64" i="4"/>
  <c r="EX65" i="4"/>
  <c r="EX66" i="4"/>
  <c r="EX67" i="4"/>
  <c r="EX68" i="4"/>
  <c r="EX69" i="4"/>
  <c r="EX70" i="4"/>
  <c r="EX71" i="4"/>
  <c r="EX72" i="4"/>
  <c r="EX73" i="4"/>
  <c r="EX74" i="4"/>
  <c r="EX75" i="4"/>
  <c r="EX76" i="4"/>
  <c r="EX77" i="4"/>
  <c r="EX78" i="4"/>
  <c r="EX79" i="4"/>
  <c r="EX80" i="4"/>
  <c r="EX81" i="4"/>
  <c r="EX82" i="4"/>
  <c r="EX83" i="4"/>
  <c r="EX84" i="4"/>
  <c r="EX85" i="4"/>
  <c r="EX86" i="4"/>
  <c r="EX87" i="4"/>
  <c r="EX88" i="4"/>
  <c r="EX89" i="4"/>
  <c r="EX90" i="4"/>
  <c r="EX91" i="4"/>
  <c r="EX92" i="4"/>
  <c r="EX93" i="4"/>
  <c r="EX94" i="4"/>
  <c r="EX95" i="4"/>
  <c r="EX96" i="4"/>
  <c r="EX97" i="4"/>
  <c r="EX98" i="4"/>
  <c r="EX99" i="4"/>
  <c r="EX100" i="4"/>
  <c r="EX101" i="4"/>
  <c r="EX102" i="4"/>
  <c r="EX103" i="4"/>
  <c r="EX104" i="4"/>
  <c r="EX105" i="4"/>
  <c r="EX106" i="4"/>
  <c r="EX107" i="4"/>
  <c r="EX108" i="4"/>
  <c r="EX109" i="4"/>
  <c r="EX110" i="4"/>
  <c r="EX111" i="4"/>
  <c r="EX112" i="4"/>
  <c r="EX113" i="4"/>
  <c r="EX114" i="4"/>
  <c r="EX115" i="4"/>
  <c r="EX116" i="4"/>
  <c r="EX117" i="4"/>
  <c r="EX118" i="4"/>
  <c r="EX119" i="4"/>
  <c r="EX120" i="4"/>
  <c r="EX121" i="4"/>
  <c r="EX122" i="4"/>
  <c r="EX123" i="4"/>
  <c r="EX124" i="4"/>
  <c r="EX125" i="4"/>
  <c r="EX126" i="4"/>
  <c r="EX127" i="4"/>
  <c r="EX128" i="4"/>
  <c r="EX129" i="4"/>
  <c r="EX130" i="4"/>
  <c r="EX131" i="4"/>
  <c r="EX132" i="4"/>
  <c r="EX133" i="4"/>
  <c r="EX134" i="4"/>
  <c r="EX135" i="4"/>
  <c r="EX136" i="4"/>
  <c r="EX137" i="4"/>
  <c r="EX138" i="4"/>
  <c r="EX139" i="4"/>
  <c r="EX140" i="4"/>
  <c r="EX141" i="4"/>
  <c r="EX142" i="4"/>
  <c r="EX143" i="4"/>
  <c r="EX144" i="4"/>
  <c r="EX145" i="4"/>
  <c r="EX146" i="4"/>
  <c r="EX147" i="4"/>
  <c r="EX148" i="4"/>
  <c r="EX149" i="4"/>
  <c r="EX150" i="4"/>
  <c r="EX151" i="4"/>
  <c r="EX152" i="4"/>
  <c r="EX153" i="4"/>
  <c r="EX154" i="4"/>
  <c r="EX155" i="4"/>
  <c r="EX156" i="4"/>
  <c r="EX157" i="4"/>
  <c r="EX158" i="4"/>
  <c r="EX159" i="4"/>
  <c r="EX160" i="4"/>
  <c r="EX161" i="4"/>
  <c r="EX162" i="4"/>
  <c r="EX163" i="4"/>
  <c r="EX164" i="4"/>
  <c r="EX165" i="4"/>
  <c r="EX166" i="4"/>
  <c r="EX167" i="4"/>
  <c r="EX168" i="4"/>
  <c r="EX169" i="4"/>
  <c r="EX170" i="4"/>
  <c r="EX171" i="4"/>
  <c r="EX172" i="4"/>
  <c r="EX173" i="4"/>
  <c r="EX174" i="4"/>
  <c r="EX175" i="4"/>
  <c r="EW2" i="4"/>
  <c r="EW3" i="4"/>
  <c r="EW4" i="4"/>
  <c r="EW5" i="4"/>
  <c r="EW6" i="4"/>
  <c r="EW7" i="4"/>
  <c r="EW8" i="4"/>
  <c r="EW9" i="4"/>
  <c r="EW10" i="4"/>
  <c r="EW11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41" i="4"/>
  <c r="EW42" i="4"/>
  <c r="EW43" i="4"/>
  <c r="EW44" i="4"/>
  <c r="EW45" i="4"/>
  <c r="EW46" i="4"/>
  <c r="EW47" i="4"/>
  <c r="EW48" i="4"/>
  <c r="EW49" i="4"/>
  <c r="EW50" i="4"/>
  <c r="EW51" i="4"/>
  <c r="EW52" i="4"/>
  <c r="EW53" i="4"/>
  <c r="EW54" i="4"/>
  <c r="EW55" i="4"/>
  <c r="EW56" i="4"/>
  <c r="EW57" i="4"/>
  <c r="EW58" i="4"/>
  <c r="EW59" i="4"/>
  <c r="EW60" i="4"/>
  <c r="EW61" i="4"/>
  <c r="EW62" i="4"/>
  <c r="EW63" i="4"/>
  <c r="EW64" i="4"/>
  <c r="EW65" i="4"/>
  <c r="EW66" i="4"/>
  <c r="EW67" i="4"/>
  <c r="EW68" i="4"/>
  <c r="EW69" i="4"/>
  <c r="EW70" i="4"/>
  <c r="EW71" i="4"/>
  <c r="EW72" i="4"/>
  <c r="EW73" i="4"/>
  <c r="EW74" i="4"/>
  <c r="EW75" i="4"/>
  <c r="EW76" i="4"/>
  <c r="EW77" i="4"/>
  <c r="EW78" i="4"/>
  <c r="EW79" i="4"/>
  <c r="EW80" i="4"/>
  <c r="EW81" i="4"/>
  <c r="EW82" i="4"/>
  <c r="EW83" i="4"/>
  <c r="EW84" i="4"/>
  <c r="EW85" i="4"/>
  <c r="EW86" i="4"/>
  <c r="EW87" i="4"/>
  <c r="EW88" i="4"/>
  <c r="EW89" i="4"/>
  <c r="EW90" i="4"/>
  <c r="EW91" i="4"/>
  <c r="EW92" i="4"/>
  <c r="EW93" i="4"/>
  <c r="EW94" i="4"/>
  <c r="EW95" i="4"/>
  <c r="EW96" i="4"/>
  <c r="EW97" i="4"/>
  <c r="EW98" i="4"/>
  <c r="EW99" i="4"/>
  <c r="EW100" i="4"/>
  <c r="EW101" i="4"/>
  <c r="EW102" i="4"/>
  <c r="EW103" i="4"/>
  <c r="EW104" i="4"/>
  <c r="EW105" i="4"/>
  <c r="EW106" i="4"/>
  <c r="EW107" i="4"/>
  <c r="EW108" i="4"/>
  <c r="EW109" i="4"/>
  <c r="EW110" i="4"/>
  <c r="EW111" i="4"/>
  <c r="EW112" i="4"/>
  <c r="EW113" i="4"/>
  <c r="EW114" i="4"/>
  <c r="EW115" i="4"/>
  <c r="EW116" i="4"/>
  <c r="EW117" i="4"/>
  <c r="EW118" i="4"/>
  <c r="EW119" i="4"/>
  <c r="EW120" i="4"/>
  <c r="EW121" i="4"/>
  <c r="EW122" i="4"/>
  <c r="EW123" i="4"/>
  <c r="EW124" i="4"/>
  <c r="EW125" i="4"/>
  <c r="EW126" i="4"/>
  <c r="EW127" i="4"/>
  <c r="EW128" i="4"/>
  <c r="EW129" i="4"/>
  <c r="EW130" i="4"/>
  <c r="EW131" i="4"/>
  <c r="EW132" i="4"/>
  <c r="EW133" i="4"/>
  <c r="EW134" i="4"/>
  <c r="EW135" i="4"/>
  <c r="EW136" i="4"/>
  <c r="EW137" i="4"/>
  <c r="EW138" i="4"/>
  <c r="EW139" i="4"/>
  <c r="EW140" i="4"/>
  <c r="EW141" i="4"/>
  <c r="EW142" i="4"/>
  <c r="EW143" i="4"/>
  <c r="EW144" i="4"/>
  <c r="EW145" i="4"/>
  <c r="EW146" i="4"/>
  <c r="EW147" i="4"/>
  <c r="EW148" i="4"/>
  <c r="EW149" i="4"/>
  <c r="EW150" i="4"/>
  <c r="EW151" i="4"/>
  <c r="EW152" i="4"/>
  <c r="EW153" i="4"/>
  <c r="EW154" i="4"/>
  <c r="EW155" i="4"/>
  <c r="EW156" i="4"/>
  <c r="EW157" i="4"/>
  <c r="EW158" i="4"/>
  <c r="EW159" i="4"/>
  <c r="EW160" i="4"/>
  <c r="EW161" i="4"/>
  <c r="EW162" i="4"/>
  <c r="EW163" i="4"/>
  <c r="EW164" i="4"/>
  <c r="EW165" i="4"/>
  <c r="EW166" i="4"/>
  <c r="EW167" i="4"/>
  <c r="EW168" i="4"/>
  <c r="EW169" i="4"/>
  <c r="EW170" i="4"/>
  <c r="EW171" i="4"/>
  <c r="EW172" i="4"/>
  <c r="EW173" i="4"/>
  <c r="EW174" i="4"/>
  <c r="EW175" i="4"/>
  <c r="EV2" i="4"/>
  <c r="EV3" i="4"/>
  <c r="EV4" i="4"/>
  <c r="EV5" i="4"/>
  <c r="EV6" i="4"/>
  <c r="EV7" i="4"/>
  <c r="EV8" i="4"/>
  <c r="EV9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41" i="4"/>
  <c r="EV42" i="4"/>
  <c r="EV43" i="4"/>
  <c r="EV44" i="4"/>
  <c r="EV45" i="4"/>
  <c r="EV46" i="4"/>
  <c r="EV47" i="4"/>
  <c r="EV48" i="4"/>
  <c r="EV49" i="4"/>
  <c r="EV50" i="4"/>
  <c r="EV51" i="4"/>
  <c r="EV52" i="4"/>
  <c r="EV53" i="4"/>
  <c r="EV54" i="4"/>
  <c r="EV55" i="4"/>
  <c r="EV56" i="4"/>
  <c r="EV57" i="4"/>
  <c r="EV58" i="4"/>
  <c r="EV59" i="4"/>
  <c r="EV60" i="4"/>
  <c r="EV61" i="4"/>
  <c r="EV62" i="4"/>
  <c r="EV63" i="4"/>
  <c r="EV64" i="4"/>
  <c r="EV65" i="4"/>
  <c r="EV66" i="4"/>
  <c r="EV67" i="4"/>
  <c r="EV68" i="4"/>
  <c r="EV69" i="4"/>
  <c r="EV70" i="4"/>
  <c r="EV71" i="4"/>
  <c r="EV72" i="4"/>
  <c r="EV73" i="4"/>
  <c r="EV74" i="4"/>
  <c r="EV75" i="4"/>
  <c r="EV76" i="4"/>
  <c r="EV77" i="4"/>
  <c r="EV78" i="4"/>
  <c r="EV79" i="4"/>
  <c r="EV80" i="4"/>
  <c r="EV81" i="4"/>
  <c r="EV82" i="4"/>
  <c r="EV83" i="4"/>
  <c r="EV84" i="4"/>
  <c r="EV85" i="4"/>
  <c r="EV86" i="4"/>
  <c r="EV87" i="4"/>
  <c r="EV88" i="4"/>
  <c r="EV89" i="4"/>
  <c r="EV90" i="4"/>
  <c r="EV91" i="4"/>
  <c r="EV92" i="4"/>
  <c r="EV93" i="4"/>
  <c r="EV94" i="4"/>
  <c r="EV95" i="4"/>
  <c r="EV96" i="4"/>
  <c r="EV97" i="4"/>
  <c r="EV98" i="4"/>
  <c r="EV99" i="4"/>
  <c r="EV100" i="4"/>
  <c r="EV101" i="4"/>
  <c r="EV102" i="4"/>
  <c r="EV103" i="4"/>
  <c r="EV104" i="4"/>
  <c r="EV105" i="4"/>
  <c r="EV106" i="4"/>
  <c r="EV107" i="4"/>
  <c r="EV108" i="4"/>
  <c r="EV109" i="4"/>
  <c r="EV110" i="4"/>
  <c r="EV111" i="4"/>
  <c r="EV112" i="4"/>
  <c r="EV113" i="4"/>
  <c r="EV114" i="4"/>
  <c r="EV115" i="4"/>
  <c r="EV116" i="4"/>
  <c r="EV117" i="4"/>
  <c r="EV118" i="4"/>
  <c r="EV119" i="4"/>
  <c r="EV120" i="4"/>
  <c r="EV121" i="4"/>
  <c r="EV122" i="4"/>
  <c r="EV123" i="4"/>
  <c r="EV124" i="4"/>
  <c r="EV125" i="4"/>
  <c r="EV126" i="4"/>
  <c r="EV127" i="4"/>
  <c r="EV128" i="4"/>
  <c r="EV129" i="4"/>
  <c r="EV130" i="4"/>
  <c r="EV131" i="4"/>
  <c r="EV132" i="4"/>
  <c r="EV133" i="4"/>
  <c r="EV134" i="4"/>
  <c r="EV135" i="4"/>
  <c r="EV136" i="4"/>
  <c r="EV137" i="4"/>
  <c r="EV138" i="4"/>
  <c r="EV139" i="4"/>
  <c r="EV140" i="4"/>
  <c r="EV141" i="4"/>
  <c r="EV142" i="4"/>
  <c r="EV143" i="4"/>
  <c r="EV144" i="4"/>
  <c r="EV145" i="4"/>
  <c r="EV146" i="4"/>
  <c r="EV147" i="4"/>
  <c r="EV148" i="4"/>
  <c r="EV149" i="4"/>
  <c r="EV150" i="4"/>
  <c r="EV151" i="4"/>
  <c r="EV152" i="4"/>
  <c r="EV153" i="4"/>
  <c r="EV154" i="4"/>
  <c r="EV155" i="4"/>
  <c r="EV156" i="4"/>
  <c r="EV157" i="4"/>
  <c r="EV158" i="4"/>
  <c r="EV159" i="4"/>
  <c r="EV160" i="4"/>
  <c r="EV161" i="4"/>
  <c r="EV162" i="4"/>
  <c r="EV163" i="4"/>
  <c r="EV164" i="4"/>
  <c r="EV165" i="4"/>
  <c r="EV166" i="4"/>
  <c r="EV167" i="4"/>
  <c r="EV168" i="4"/>
  <c r="EV169" i="4"/>
  <c r="EV170" i="4"/>
  <c r="EV171" i="4"/>
  <c r="EV172" i="4"/>
  <c r="EV173" i="4"/>
  <c r="EV174" i="4"/>
  <c r="EV175" i="4"/>
  <c r="EU2" i="4"/>
  <c r="EU3" i="4"/>
  <c r="EU4" i="4"/>
  <c r="EU5" i="4"/>
  <c r="EU6" i="4"/>
  <c r="EU7" i="4"/>
  <c r="EU8" i="4"/>
  <c r="EU9" i="4"/>
  <c r="EU10" i="4"/>
  <c r="EU11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41" i="4"/>
  <c r="EU42" i="4"/>
  <c r="EU43" i="4"/>
  <c r="EU44" i="4"/>
  <c r="EU45" i="4"/>
  <c r="EU46" i="4"/>
  <c r="EU47" i="4"/>
  <c r="EU48" i="4"/>
  <c r="EU49" i="4"/>
  <c r="EU50" i="4"/>
  <c r="EU51" i="4"/>
  <c r="EU52" i="4"/>
  <c r="EU53" i="4"/>
  <c r="EU54" i="4"/>
  <c r="EU55" i="4"/>
  <c r="EU56" i="4"/>
  <c r="EU57" i="4"/>
  <c r="EU58" i="4"/>
  <c r="EU59" i="4"/>
  <c r="EU60" i="4"/>
  <c r="EU61" i="4"/>
  <c r="EU62" i="4"/>
  <c r="EU63" i="4"/>
  <c r="EU64" i="4"/>
  <c r="EU65" i="4"/>
  <c r="EU66" i="4"/>
  <c r="EU67" i="4"/>
  <c r="EU68" i="4"/>
  <c r="EU69" i="4"/>
  <c r="EU70" i="4"/>
  <c r="EU71" i="4"/>
  <c r="EU72" i="4"/>
  <c r="EU73" i="4"/>
  <c r="EU74" i="4"/>
  <c r="EU75" i="4"/>
  <c r="EU76" i="4"/>
  <c r="EU77" i="4"/>
  <c r="EU78" i="4"/>
  <c r="EU79" i="4"/>
  <c r="EU80" i="4"/>
  <c r="EU81" i="4"/>
  <c r="EU82" i="4"/>
  <c r="EU83" i="4"/>
  <c r="EU84" i="4"/>
  <c r="EU85" i="4"/>
  <c r="EU86" i="4"/>
  <c r="EU87" i="4"/>
  <c r="EU88" i="4"/>
  <c r="EU89" i="4"/>
  <c r="EU90" i="4"/>
  <c r="EU91" i="4"/>
  <c r="EU92" i="4"/>
  <c r="EU93" i="4"/>
  <c r="EU94" i="4"/>
  <c r="EU95" i="4"/>
  <c r="EU96" i="4"/>
  <c r="EU97" i="4"/>
  <c r="EU98" i="4"/>
  <c r="EU99" i="4"/>
  <c r="EU100" i="4"/>
  <c r="EU101" i="4"/>
  <c r="EU102" i="4"/>
  <c r="EU103" i="4"/>
  <c r="EU104" i="4"/>
  <c r="EU105" i="4"/>
  <c r="EU106" i="4"/>
  <c r="EU107" i="4"/>
  <c r="EU108" i="4"/>
  <c r="EU109" i="4"/>
  <c r="EU110" i="4"/>
  <c r="EU111" i="4"/>
  <c r="EU112" i="4"/>
  <c r="EU113" i="4"/>
  <c r="EU114" i="4"/>
  <c r="EU115" i="4"/>
  <c r="EU116" i="4"/>
  <c r="EU117" i="4"/>
  <c r="EU118" i="4"/>
  <c r="EU119" i="4"/>
  <c r="EU120" i="4"/>
  <c r="EU121" i="4"/>
  <c r="EU122" i="4"/>
  <c r="EU123" i="4"/>
  <c r="EU124" i="4"/>
  <c r="EU125" i="4"/>
  <c r="EU126" i="4"/>
  <c r="EU127" i="4"/>
  <c r="EU128" i="4"/>
  <c r="EU129" i="4"/>
  <c r="EU130" i="4"/>
  <c r="EU131" i="4"/>
  <c r="EU132" i="4"/>
  <c r="EU133" i="4"/>
  <c r="EU134" i="4"/>
  <c r="EU135" i="4"/>
  <c r="EU136" i="4"/>
  <c r="EU137" i="4"/>
  <c r="EU138" i="4"/>
  <c r="EU139" i="4"/>
  <c r="EU140" i="4"/>
  <c r="EU141" i="4"/>
  <c r="EU142" i="4"/>
  <c r="EU143" i="4"/>
  <c r="EU144" i="4"/>
  <c r="EU145" i="4"/>
  <c r="EU146" i="4"/>
  <c r="EU147" i="4"/>
  <c r="EU148" i="4"/>
  <c r="EU149" i="4"/>
  <c r="EU150" i="4"/>
  <c r="EU151" i="4"/>
  <c r="EU152" i="4"/>
  <c r="EU153" i="4"/>
  <c r="EU154" i="4"/>
  <c r="EU155" i="4"/>
  <c r="EU156" i="4"/>
  <c r="EU157" i="4"/>
  <c r="EU158" i="4"/>
  <c r="EU159" i="4"/>
  <c r="EU160" i="4"/>
  <c r="EU161" i="4"/>
  <c r="EU162" i="4"/>
  <c r="EU163" i="4"/>
  <c r="EU164" i="4"/>
  <c r="EU165" i="4"/>
  <c r="EU166" i="4"/>
  <c r="EU167" i="4"/>
  <c r="EU168" i="4"/>
  <c r="EU169" i="4"/>
  <c r="EU170" i="4"/>
  <c r="EU171" i="4"/>
  <c r="EU172" i="4"/>
  <c r="EU173" i="4"/>
  <c r="EU174" i="4"/>
  <c r="EU175" i="4"/>
  <c r="EQ2" i="4"/>
  <c r="EQ3" i="4"/>
  <c r="EQ4" i="4"/>
  <c r="EQ5" i="4"/>
  <c r="EQ6" i="4"/>
  <c r="EQ7" i="4"/>
  <c r="EQ8" i="4"/>
  <c r="EQ9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41" i="4"/>
  <c r="EQ42" i="4"/>
  <c r="EQ43" i="4"/>
  <c r="EQ44" i="4"/>
  <c r="EQ45" i="4"/>
  <c r="EQ46" i="4"/>
  <c r="EQ47" i="4"/>
  <c r="EQ48" i="4"/>
  <c r="EQ49" i="4"/>
  <c r="EQ50" i="4"/>
  <c r="EQ51" i="4"/>
  <c r="EQ52" i="4"/>
  <c r="EQ53" i="4"/>
  <c r="EQ54" i="4"/>
  <c r="EQ55" i="4"/>
  <c r="EQ56" i="4"/>
  <c r="EQ57" i="4"/>
  <c r="EQ58" i="4"/>
  <c r="EQ59" i="4"/>
  <c r="EQ60" i="4"/>
  <c r="EQ61" i="4"/>
  <c r="EQ62" i="4"/>
  <c r="EQ63" i="4"/>
  <c r="EQ64" i="4"/>
  <c r="EQ65" i="4"/>
  <c r="EQ66" i="4"/>
  <c r="EQ67" i="4"/>
  <c r="EQ68" i="4"/>
  <c r="EQ69" i="4"/>
  <c r="EQ70" i="4"/>
  <c r="EQ71" i="4"/>
  <c r="EQ72" i="4"/>
  <c r="EQ73" i="4"/>
  <c r="EQ74" i="4"/>
  <c r="EQ75" i="4"/>
  <c r="EQ76" i="4"/>
  <c r="EQ77" i="4"/>
  <c r="EQ78" i="4"/>
  <c r="EQ79" i="4"/>
  <c r="EQ80" i="4"/>
  <c r="EQ81" i="4"/>
  <c r="EQ82" i="4"/>
  <c r="EQ83" i="4"/>
  <c r="EQ84" i="4"/>
  <c r="EQ85" i="4"/>
  <c r="EQ86" i="4"/>
  <c r="EQ87" i="4"/>
  <c r="EQ88" i="4"/>
  <c r="EQ89" i="4"/>
  <c r="EQ90" i="4"/>
  <c r="EQ91" i="4"/>
  <c r="EQ92" i="4"/>
  <c r="EQ93" i="4"/>
  <c r="EQ94" i="4"/>
  <c r="EQ95" i="4"/>
  <c r="EQ96" i="4"/>
  <c r="EQ97" i="4"/>
  <c r="EQ98" i="4"/>
  <c r="EQ99" i="4"/>
  <c r="EQ100" i="4"/>
  <c r="EQ101" i="4"/>
  <c r="EQ102" i="4"/>
  <c r="EQ103" i="4"/>
  <c r="EQ104" i="4"/>
  <c r="EQ105" i="4"/>
  <c r="EQ106" i="4"/>
  <c r="EQ107" i="4"/>
  <c r="EQ108" i="4"/>
  <c r="EQ109" i="4"/>
  <c r="EQ110" i="4"/>
  <c r="EQ111" i="4"/>
  <c r="EQ112" i="4"/>
  <c r="EQ113" i="4"/>
  <c r="EQ114" i="4"/>
  <c r="EQ115" i="4"/>
  <c r="EQ116" i="4"/>
  <c r="EQ117" i="4"/>
  <c r="EQ118" i="4"/>
  <c r="EQ119" i="4"/>
  <c r="EQ120" i="4"/>
  <c r="EQ121" i="4"/>
  <c r="EQ122" i="4"/>
  <c r="EQ123" i="4"/>
  <c r="EQ124" i="4"/>
  <c r="EQ125" i="4"/>
  <c r="EQ126" i="4"/>
  <c r="EQ127" i="4"/>
  <c r="EQ128" i="4"/>
  <c r="EQ129" i="4"/>
  <c r="EQ130" i="4"/>
  <c r="EQ131" i="4"/>
  <c r="EQ132" i="4"/>
  <c r="EQ133" i="4"/>
  <c r="EQ134" i="4"/>
  <c r="EQ135" i="4"/>
  <c r="EQ136" i="4"/>
  <c r="EQ137" i="4"/>
  <c r="EQ138" i="4"/>
  <c r="EQ139" i="4"/>
  <c r="EQ140" i="4"/>
  <c r="EQ141" i="4"/>
  <c r="EQ142" i="4"/>
  <c r="EQ143" i="4"/>
  <c r="EQ144" i="4"/>
  <c r="EQ145" i="4"/>
  <c r="EQ146" i="4"/>
  <c r="EQ147" i="4"/>
  <c r="EQ148" i="4"/>
  <c r="EQ149" i="4"/>
  <c r="EQ150" i="4"/>
  <c r="EQ151" i="4"/>
  <c r="EQ152" i="4"/>
  <c r="EQ153" i="4"/>
  <c r="EQ154" i="4"/>
  <c r="EQ155" i="4"/>
  <c r="EQ156" i="4"/>
  <c r="EQ157" i="4"/>
  <c r="EQ158" i="4"/>
  <c r="EQ159" i="4"/>
  <c r="EQ160" i="4"/>
  <c r="EQ161" i="4"/>
  <c r="EQ162" i="4"/>
  <c r="EQ163" i="4"/>
  <c r="EQ164" i="4"/>
  <c r="EQ165" i="4"/>
  <c r="EQ166" i="4"/>
  <c r="EQ167" i="4"/>
  <c r="EQ168" i="4"/>
  <c r="EQ169" i="4"/>
  <c r="EQ170" i="4"/>
  <c r="EQ171" i="4"/>
  <c r="EQ172" i="4"/>
  <c r="EQ173" i="4"/>
  <c r="EQ174" i="4"/>
  <c r="EQ175" i="4"/>
  <c r="EP2" i="4"/>
  <c r="EP3" i="4"/>
  <c r="EP4" i="4"/>
  <c r="EP5" i="4"/>
  <c r="EP6" i="4"/>
  <c r="EP7" i="4"/>
  <c r="EP8" i="4"/>
  <c r="EP9" i="4"/>
  <c r="EP10" i="4"/>
  <c r="EP11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41" i="4"/>
  <c r="EP42" i="4"/>
  <c r="EP43" i="4"/>
  <c r="EP44" i="4"/>
  <c r="EP45" i="4"/>
  <c r="EP46" i="4"/>
  <c r="EP47" i="4"/>
  <c r="EP48" i="4"/>
  <c r="EP49" i="4"/>
  <c r="EP50" i="4"/>
  <c r="EP51" i="4"/>
  <c r="EP52" i="4"/>
  <c r="EP53" i="4"/>
  <c r="EP54" i="4"/>
  <c r="EP55" i="4"/>
  <c r="EP56" i="4"/>
  <c r="EP57" i="4"/>
  <c r="EP58" i="4"/>
  <c r="EP59" i="4"/>
  <c r="EP60" i="4"/>
  <c r="EP61" i="4"/>
  <c r="EP62" i="4"/>
  <c r="EP63" i="4"/>
  <c r="EP64" i="4"/>
  <c r="EP65" i="4"/>
  <c r="EP66" i="4"/>
  <c r="EP67" i="4"/>
  <c r="EP68" i="4"/>
  <c r="EP69" i="4"/>
  <c r="EP70" i="4"/>
  <c r="EP71" i="4"/>
  <c r="EP72" i="4"/>
  <c r="EP73" i="4"/>
  <c r="EP74" i="4"/>
  <c r="EP75" i="4"/>
  <c r="EP76" i="4"/>
  <c r="EP77" i="4"/>
  <c r="EP78" i="4"/>
  <c r="EP79" i="4"/>
  <c r="EP80" i="4"/>
  <c r="EP81" i="4"/>
  <c r="EP82" i="4"/>
  <c r="EP83" i="4"/>
  <c r="EP84" i="4"/>
  <c r="EP85" i="4"/>
  <c r="EP86" i="4"/>
  <c r="EP87" i="4"/>
  <c r="EP88" i="4"/>
  <c r="EP89" i="4"/>
  <c r="EP90" i="4"/>
  <c r="EP91" i="4"/>
  <c r="EP92" i="4"/>
  <c r="EP93" i="4"/>
  <c r="EP94" i="4"/>
  <c r="EP95" i="4"/>
  <c r="EP96" i="4"/>
  <c r="EP97" i="4"/>
  <c r="EP98" i="4"/>
  <c r="EP99" i="4"/>
  <c r="EP100" i="4"/>
  <c r="EP101" i="4"/>
  <c r="EP102" i="4"/>
  <c r="EP103" i="4"/>
  <c r="EP104" i="4"/>
  <c r="EP105" i="4"/>
  <c r="EP106" i="4"/>
  <c r="EP107" i="4"/>
  <c r="EP108" i="4"/>
  <c r="EP109" i="4"/>
  <c r="EP110" i="4"/>
  <c r="EP111" i="4"/>
  <c r="EP112" i="4"/>
  <c r="EP113" i="4"/>
  <c r="EP114" i="4"/>
  <c r="EP115" i="4"/>
  <c r="EP116" i="4"/>
  <c r="EP117" i="4"/>
  <c r="EP118" i="4"/>
  <c r="EP119" i="4"/>
  <c r="EP120" i="4"/>
  <c r="EP121" i="4"/>
  <c r="EP122" i="4"/>
  <c r="EP123" i="4"/>
  <c r="EP124" i="4"/>
  <c r="EP125" i="4"/>
  <c r="EP126" i="4"/>
  <c r="EP127" i="4"/>
  <c r="EP128" i="4"/>
  <c r="EP129" i="4"/>
  <c r="EP130" i="4"/>
  <c r="EP131" i="4"/>
  <c r="EP132" i="4"/>
  <c r="EP133" i="4"/>
  <c r="EP134" i="4"/>
  <c r="EP135" i="4"/>
  <c r="EP136" i="4"/>
  <c r="EP137" i="4"/>
  <c r="EP138" i="4"/>
  <c r="EP139" i="4"/>
  <c r="EP140" i="4"/>
  <c r="EP141" i="4"/>
  <c r="EP142" i="4"/>
  <c r="EP143" i="4"/>
  <c r="EP144" i="4"/>
  <c r="EP145" i="4"/>
  <c r="EP146" i="4"/>
  <c r="EP147" i="4"/>
  <c r="EP148" i="4"/>
  <c r="EP149" i="4"/>
  <c r="EP150" i="4"/>
  <c r="EP151" i="4"/>
  <c r="EP152" i="4"/>
  <c r="EP153" i="4"/>
  <c r="EP154" i="4"/>
  <c r="EP155" i="4"/>
  <c r="EP156" i="4"/>
  <c r="EP157" i="4"/>
  <c r="EP158" i="4"/>
  <c r="EP159" i="4"/>
  <c r="EP160" i="4"/>
  <c r="EP161" i="4"/>
  <c r="EP162" i="4"/>
  <c r="EP163" i="4"/>
  <c r="EP164" i="4"/>
  <c r="EP165" i="4"/>
  <c r="EP166" i="4"/>
  <c r="EP167" i="4"/>
  <c r="EP168" i="4"/>
  <c r="EP169" i="4"/>
  <c r="EP170" i="4"/>
  <c r="EP171" i="4"/>
  <c r="EP172" i="4"/>
  <c r="EP173" i="4"/>
  <c r="EP174" i="4"/>
  <c r="EP175" i="4"/>
  <c r="EO2" i="4"/>
  <c r="EO3" i="4"/>
  <c r="EO4" i="4"/>
  <c r="EO5" i="4"/>
  <c r="EO6" i="4"/>
  <c r="EO7" i="4"/>
  <c r="EO8" i="4"/>
  <c r="EO9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41" i="4"/>
  <c r="EO42" i="4"/>
  <c r="EO43" i="4"/>
  <c r="EO44" i="4"/>
  <c r="EO45" i="4"/>
  <c r="EO46" i="4"/>
  <c r="EO47" i="4"/>
  <c r="EO48" i="4"/>
  <c r="EO49" i="4"/>
  <c r="EO50" i="4"/>
  <c r="EO51" i="4"/>
  <c r="EO52" i="4"/>
  <c r="EO53" i="4"/>
  <c r="EO54" i="4"/>
  <c r="EO55" i="4"/>
  <c r="EO56" i="4"/>
  <c r="EO57" i="4"/>
  <c r="EO58" i="4"/>
  <c r="EO59" i="4"/>
  <c r="EO60" i="4"/>
  <c r="EO61" i="4"/>
  <c r="EO62" i="4"/>
  <c r="EO63" i="4"/>
  <c r="EO64" i="4"/>
  <c r="EO65" i="4"/>
  <c r="EO66" i="4"/>
  <c r="EO67" i="4"/>
  <c r="EO68" i="4"/>
  <c r="EO69" i="4"/>
  <c r="EO70" i="4"/>
  <c r="EO71" i="4"/>
  <c r="EO72" i="4"/>
  <c r="EO73" i="4"/>
  <c r="EO74" i="4"/>
  <c r="EO75" i="4"/>
  <c r="EO76" i="4"/>
  <c r="EO77" i="4"/>
  <c r="EO78" i="4"/>
  <c r="EO79" i="4"/>
  <c r="EO80" i="4"/>
  <c r="EO81" i="4"/>
  <c r="EO82" i="4"/>
  <c r="EO83" i="4"/>
  <c r="EO84" i="4"/>
  <c r="EO85" i="4"/>
  <c r="EO86" i="4"/>
  <c r="EO87" i="4"/>
  <c r="EO88" i="4"/>
  <c r="EO89" i="4"/>
  <c r="EO90" i="4"/>
  <c r="EO91" i="4"/>
  <c r="EO92" i="4"/>
  <c r="EO93" i="4"/>
  <c r="EO94" i="4"/>
  <c r="EO95" i="4"/>
  <c r="EO96" i="4"/>
  <c r="EO97" i="4"/>
  <c r="EO98" i="4"/>
  <c r="EO99" i="4"/>
  <c r="EO100" i="4"/>
  <c r="EO101" i="4"/>
  <c r="EO102" i="4"/>
  <c r="EO103" i="4"/>
  <c r="EO104" i="4"/>
  <c r="EO105" i="4"/>
  <c r="EO106" i="4"/>
  <c r="EO107" i="4"/>
  <c r="EO108" i="4"/>
  <c r="EO109" i="4"/>
  <c r="EO110" i="4"/>
  <c r="EO111" i="4"/>
  <c r="EO112" i="4"/>
  <c r="EO113" i="4"/>
  <c r="EO114" i="4"/>
  <c r="EO115" i="4"/>
  <c r="EO116" i="4"/>
  <c r="EO117" i="4"/>
  <c r="EO118" i="4"/>
  <c r="EO119" i="4"/>
  <c r="EO120" i="4"/>
  <c r="EO121" i="4"/>
  <c r="EO122" i="4"/>
  <c r="EO123" i="4"/>
  <c r="EO124" i="4"/>
  <c r="EO125" i="4"/>
  <c r="EO126" i="4"/>
  <c r="EO127" i="4"/>
  <c r="EO128" i="4"/>
  <c r="EO129" i="4"/>
  <c r="EO130" i="4"/>
  <c r="EO131" i="4"/>
  <c r="EO132" i="4"/>
  <c r="EO133" i="4"/>
  <c r="EO134" i="4"/>
  <c r="EO135" i="4"/>
  <c r="EO136" i="4"/>
  <c r="EO137" i="4"/>
  <c r="EO138" i="4"/>
  <c r="EO139" i="4"/>
  <c r="EO140" i="4"/>
  <c r="EO141" i="4"/>
  <c r="EO142" i="4"/>
  <c r="EO143" i="4"/>
  <c r="EO144" i="4"/>
  <c r="EO145" i="4"/>
  <c r="EO146" i="4"/>
  <c r="EO147" i="4"/>
  <c r="EO148" i="4"/>
  <c r="EO149" i="4"/>
  <c r="EO150" i="4"/>
  <c r="EO151" i="4"/>
  <c r="EO152" i="4"/>
  <c r="EO153" i="4"/>
  <c r="EO154" i="4"/>
  <c r="EO155" i="4"/>
  <c r="EO156" i="4"/>
  <c r="EO157" i="4"/>
  <c r="EO158" i="4"/>
  <c r="EO159" i="4"/>
  <c r="EO160" i="4"/>
  <c r="EO161" i="4"/>
  <c r="EO162" i="4"/>
  <c r="EO163" i="4"/>
  <c r="EO164" i="4"/>
  <c r="EO165" i="4"/>
  <c r="EO166" i="4"/>
  <c r="EO167" i="4"/>
  <c r="EO168" i="4"/>
  <c r="EO169" i="4"/>
  <c r="EO170" i="4"/>
  <c r="EO171" i="4"/>
  <c r="EO172" i="4"/>
  <c r="EO173" i="4"/>
  <c r="EO174" i="4"/>
  <c r="EO175" i="4"/>
  <c r="EN2" i="4"/>
  <c r="EN3" i="4"/>
  <c r="EN4" i="4"/>
  <c r="EN5" i="4"/>
  <c r="EN6" i="4"/>
  <c r="EN7" i="4"/>
  <c r="EN8" i="4"/>
  <c r="EN9" i="4"/>
  <c r="EN10" i="4"/>
  <c r="EN11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41" i="4"/>
  <c r="EN42" i="4"/>
  <c r="EN43" i="4"/>
  <c r="EN44" i="4"/>
  <c r="EN45" i="4"/>
  <c r="EN46" i="4"/>
  <c r="EN47" i="4"/>
  <c r="EN48" i="4"/>
  <c r="EN49" i="4"/>
  <c r="EN50" i="4"/>
  <c r="EN51" i="4"/>
  <c r="EN52" i="4"/>
  <c r="EN53" i="4"/>
  <c r="EN54" i="4"/>
  <c r="EN55" i="4"/>
  <c r="EN56" i="4"/>
  <c r="EN57" i="4"/>
  <c r="EN58" i="4"/>
  <c r="EN59" i="4"/>
  <c r="EN60" i="4"/>
  <c r="EN61" i="4"/>
  <c r="EN62" i="4"/>
  <c r="EN63" i="4"/>
  <c r="EN64" i="4"/>
  <c r="EN65" i="4"/>
  <c r="EN66" i="4"/>
  <c r="EN67" i="4"/>
  <c r="EN68" i="4"/>
  <c r="EN69" i="4"/>
  <c r="EN70" i="4"/>
  <c r="EN71" i="4"/>
  <c r="EN72" i="4"/>
  <c r="EN73" i="4"/>
  <c r="EN74" i="4"/>
  <c r="EN75" i="4"/>
  <c r="EN76" i="4"/>
  <c r="EN77" i="4"/>
  <c r="EN78" i="4"/>
  <c r="EN79" i="4"/>
  <c r="EN80" i="4"/>
  <c r="EN81" i="4"/>
  <c r="EN82" i="4"/>
  <c r="EN83" i="4"/>
  <c r="EN84" i="4"/>
  <c r="EN85" i="4"/>
  <c r="EN86" i="4"/>
  <c r="EN87" i="4"/>
  <c r="EN88" i="4"/>
  <c r="EN89" i="4"/>
  <c r="EN90" i="4"/>
  <c r="EN91" i="4"/>
  <c r="EN92" i="4"/>
  <c r="EN93" i="4"/>
  <c r="EN94" i="4"/>
  <c r="EN95" i="4"/>
  <c r="EN96" i="4"/>
  <c r="EN97" i="4"/>
  <c r="EN98" i="4"/>
  <c r="EN99" i="4"/>
  <c r="EN100" i="4"/>
  <c r="EN101" i="4"/>
  <c r="EN102" i="4"/>
  <c r="EN103" i="4"/>
  <c r="EN104" i="4"/>
  <c r="EN105" i="4"/>
  <c r="EN106" i="4"/>
  <c r="EN107" i="4"/>
  <c r="EN108" i="4"/>
  <c r="EN109" i="4"/>
  <c r="EN110" i="4"/>
  <c r="EN111" i="4"/>
  <c r="EN112" i="4"/>
  <c r="EN113" i="4"/>
  <c r="EN114" i="4"/>
  <c r="EN115" i="4"/>
  <c r="EN116" i="4"/>
  <c r="EN117" i="4"/>
  <c r="EN118" i="4"/>
  <c r="EN119" i="4"/>
  <c r="EN120" i="4"/>
  <c r="EN121" i="4"/>
  <c r="EN122" i="4"/>
  <c r="EN123" i="4"/>
  <c r="EN124" i="4"/>
  <c r="EN125" i="4"/>
  <c r="EN126" i="4"/>
  <c r="EN127" i="4"/>
  <c r="EN128" i="4"/>
  <c r="EN129" i="4"/>
  <c r="EN130" i="4"/>
  <c r="EN131" i="4"/>
  <c r="EN132" i="4"/>
  <c r="EN133" i="4"/>
  <c r="EN134" i="4"/>
  <c r="EN135" i="4"/>
  <c r="EN136" i="4"/>
  <c r="EN137" i="4"/>
  <c r="EN138" i="4"/>
  <c r="EN139" i="4"/>
  <c r="EN140" i="4"/>
  <c r="EN141" i="4"/>
  <c r="EN142" i="4"/>
  <c r="EN143" i="4"/>
  <c r="EN144" i="4"/>
  <c r="EN145" i="4"/>
  <c r="EN146" i="4"/>
  <c r="EN147" i="4"/>
  <c r="EN148" i="4"/>
  <c r="EN149" i="4"/>
  <c r="EN150" i="4"/>
  <c r="EN151" i="4"/>
  <c r="EN152" i="4"/>
  <c r="EN153" i="4"/>
  <c r="EN154" i="4"/>
  <c r="EN155" i="4"/>
  <c r="EN156" i="4"/>
  <c r="EN157" i="4"/>
  <c r="EN158" i="4"/>
  <c r="EN159" i="4"/>
  <c r="EN160" i="4"/>
  <c r="EN161" i="4"/>
  <c r="EN162" i="4"/>
  <c r="EN163" i="4"/>
  <c r="EN164" i="4"/>
  <c r="EN165" i="4"/>
  <c r="EN166" i="4"/>
  <c r="EN167" i="4"/>
  <c r="EN168" i="4"/>
  <c r="EN169" i="4"/>
  <c r="EN170" i="4"/>
  <c r="EN171" i="4"/>
  <c r="EN172" i="4"/>
  <c r="EN173" i="4"/>
  <c r="EN174" i="4"/>
  <c r="EN175" i="4"/>
  <c r="EM2" i="4"/>
  <c r="EM3" i="4"/>
  <c r="EM4" i="4"/>
  <c r="EM5" i="4"/>
  <c r="EM6" i="4"/>
  <c r="EM7" i="4"/>
  <c r="EM8" i="4"/>
  <c r="EM9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41" i="4"/>
  <c r="EM42" i="4"/>
  <c r="EM43" i="4"/>
  <c r="EM44" i="4"/>
  <c r="EM45" i="4"/>
  <c r="EM46" i="4"/>
  <c r="EM47" i="4"/>
  <c r="EM48" i="4"/>
  <c r="EM49" i="4"/>
  <c r="EM50" i="4"/>
  <c r="EM51" i="4"/>
  <c r="EM52" i="4"/>
  <c r="EM53" i="4"/>
  <c r="EM54" i="4"/>
  <c r="EM55" i="4"/>
  <c r="EM56" i="4"/>
  <c r="EM57" i="4"/>
  <c r="EM58" i="4"/>
  <c r="EM59" i="4"/>
  <c r="EM60" i="4"/>
  <c r="EM61" i="4"/>
  <c r="EM62" i="4"/>
  <c r="EM63" i="4"/>
  <c r="EM64" i="4"/>
  <c r="EM65" i="4"/>
  <c r="EM66" i="4"/>
  <c r="EM67" i="4"/>
  <c r="EM68" i="4"/>
  <c r="EM69" i="4"/>
  <c r="EM70" i="4"/>
  <c r="EM71" i="4"/>
  <c r="EM72" i="4"/>
  <c r="EM73" i="4"/>
  <c r="EM74" i="4"/>
  <c r="EM75" i="4"/>
  <c r="EM76" i="4"/>
  <c r="EM77" i="4"/>
  <c r="EM78" i="4"/>
  <c r="EM79" i="4"/>
  <c r="EM80" i="4"/>
  <c r="EM81" i="4"/>
  <c r="EM82" i="4"/>
  <c r="EM83" i="4"/>
  <c r="EM84" i="4"/>
  <c r="EM85" i="4"/>
  <c r="EM86" i="4"/>
  <c r="EM87" i="4"/>
  <c r="EM88" i="4"/>
  <c r="EM89" i="4"/>
  <c r="EM90" i="4"/>
  <c r="EM91" i="4"/>
  <c r="EM92" i="4"/>
  <c r="EM93" i="4"/>
  <c r="EM94" i="4"/>
  <c r="EM95" i="4"/>
  <c r="EM96" i="4"/>
  <c r="EM97" i="4"/>
  <c r="EM98" i="4"/>
  <c r="EM99" i="4"/>
  <c r="EM100" i="4"/>
  <c r="EM101" i="4"/>
  <c r="EM102" i="4"/>
  <c r="EM103" i="4"/>
  <c r="EM104" i="4"/>
  <c r="EM105" i="4"/>
  <c r="EM106" i="4"/>
  <c r="EM107" i="4"/>
  <c r="EM108" i="4"/>
  <c r="EM109" i="4"/>
  <c r="EM110" i="4"/>
  <c r="EM111" i="4"/>
  <c r="EM112" i="4"/>
  <c r="EM113" i="4"/>
  <c r="EM114" i="4"/>
  <c r="EM115" i="4"/>
  <c r="EM116" i="4"/>
  <c r="EM117" i="4"/>
  <c r="EM118" i="4"/>
  <c r="EM119" i="4"/>
  <c r="EM120" i="4"/>
  <c r="EM121" i="4"/>
  <c r="EM122" i="4"/>
  <c r="EM123" i="4"/>
  <c r="EM124" i="4"/>
  <c r="EM125" i="4"/>
  <c r="EM126" i="4"/>
  <c r="EM127" i="4"/>
  <c r="EM128" i="4"/>
  <c r="EM129" i="4"/>
  <c r="EM130" i="4"/>
  <c r="EM131" i="4"/>
  <c r="EM132" i="4"/>
  <c r="EM133" i="4"/>
  <c r="EM134" i="4"/>
  <c r="EM135" i="4"/>
  <c r="EM136" i="4"/>
  <c r="EM137" i="4"/>
  <c r="EM138" i="4"/>
  <c r="EM139" i="4"/>
  <c r="EM140" i="4"/>
  <c r="EM141" i="4"/>
  <c r="EM142" i="4"/>
  <c r="EM143" i="4"/>
  <c r="EM144" i="4"/>
  <c r="EM145" i="4"/>
  <c r="EM146" i="4"/>
  <c r="EM147" i="4"/>
  <c r="EM148" i="4"/>
  <c r="EM149" i="4"/>
  <c r="EM150" i="4"/>
  <c r="EM151" i="4"/>
  <c r="EM152" i="4"/>
  <c r="EM153" i="4"/>
  <c r="EM154" i="4"/>
  <c r="EM155" i="4"/>
  <c r="EM156" i="4"/>
  <c r="EM157" i="4"/>
  <c r="EM158" i="4"/>
  <c r="EM159" i="4"/>
  <c r="EM160" i="4"/>
  <c r="EM161" i="4"/>
  <c r="EM162" i="4"/>
  <c r="EM163" i="4"/>
  <c r="EM164" i="4"/>
  <c r="EM165" i="4"/>
  <c r="EM166" i="4"/>
  <c r="EM167" i="4"/>
  <c r="EM168" i="4"/>
  <c r="EM169" i="4"/>
  <c r="EM170" i="4"/>
  <c r="EM171" i="4"/>
  <c r="EM172" i="4"/>
  <c r="EM173" i="4"/>
  <c r="EM174" i="4"/>
  <c r="EM175" i="4"/>
  <c r="EL2" i="4"/>
  <c r="EL3" i="4"/>
  <c r="EL4" i="4"/>
  <c r="EL5" i="4"/>
  <c r="EL6" i="4"/>
  <c r="EL7" i="4"/>
  <c r="EL8" i="4"/>
  <c r="EL9" i="4"/>
  <c r="EL10" i="4"/>
  <c r="EL11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41" i="4"/>
  <c r="EL42" i="4"/>
  <c r="EL43" i="4"/>
  <c r="EL44" i="4"/>
  <c r="EL45" i="4"/>
  <c r="EL46" i="4"/>
  <c r="EL47" i="4"/>
  <c r="EL48" i="4"/>
  <c r="EL49" i="4"/>
  <c r="EL50" i="4"/>
  <c r="EL51" i="4"/>
  <c r="EL52" i="4"/>
  <c r="EL53" i="4"/>
  <c r="EL54" i="4"/>
  <c r="EL55" i="4"/>
  <c r="EL56" i="4"/>
  <c r="EL57" i="4"/>
  <c r="EL58" i="4"/>
  <c r="EL59" i="4"/>
  <c r="EL60" i="4"/>
  <c r="EL61" i="4"/>
  <c r="EL62" i="4"/>
  <c r="EL63" i="4"/>
  <c r="EL64" i="4"/>
  <c r="EL65" i="4"/>
  <c r="EL66" i="4"/>
  <c r="EL67" i="4"/>
  <c r="EL68" i="4"/>
  <c r="EL69" i="4"/>
  <c r="EL70" i="4"/>
  <c r="EL71" i="4"/>
  <c r="EL72" i="4"/>
  <c r="EL73" i="4"/>
  <c r="EL74" i="4"/>
  <c r="EL75" i="4"/>
  <c r="EL76" i="4"/>
  <c r="EL77" i="4"/>
  <c r="EL78" i="4"/>
  <c r="EL79" i="4"/>
  <c r="EL80" i="4"/>
  <c r="EL81" i="4"/>
  <c r="EL82" i="4"/>
  <c r="EL83" i="4"/>
  <c r="EL84" i="4"/>
  <c r="EL85" i="4"/>
  <c r="EL86" i="4"/>
  <c r="EL87" i="4"/>
  <c r="EL88" i="4"/>
  <c r="EL89" i="4"/>
  <c r="EL90" i="4"/>
  <c r="EL91" i="4"/>
  <c r="EL92" i="4"/>
  <c r="EL93" i="4"/>
  <c r="EL94" i="4"/>
  <c r="EL95" i="4"/>
  <c r="EL96" i="4"/>
  <c r="EL97" i="4"/>
  <c r="EL98" i="4"/>
  <c r="EL99" i="4"/>
  <c r="EL100" i="4"/>
  <c r="EL101" i="4"/>
  <c r="EL102" i="4"/>
  <c r="EL103" i="4"/>
  <c r="EL104" i="4"/>
  <c r="EL105" i="4"/>
  <c r="EL106" i="4"/>
  <c r="EL107" i="4"/>
  <c r="EL108" i="4"/>
  <c r="EL109" i="4"/>
  <c r="EL110" i="4"/>
  <c r="EL111" i="4"/>
  <c r="EL112" i="4"/>
  <c r="EL113" i="4"/>
  <c r="EL114" i="4"/>
  <c r="EL115" i="4"/>
  <c r="EL116" i="4"/>
  <c r="EL117" i="4"/>
  <c r="EL118" i="4"/>
  <c r="EL119" i="4"/>
  <c r="EL120" i="4"/>
  <c r="EL121" i="4"/>
  <c r="EL122" i="4"/>
  <c r="EL123" i="4"/>
  <c r="EL124" i="4"/>
  <c r="EL125" i="4"/>
  <c r="EL126" i="4"/>
  <c r="EL127" i="4"/>
  <c r="EL128" i="4"/>
  <c r="EL129" i="4"/>
  <c r="EL130" i="4"/>
  <c r="EL131" i="4"/>
  <c r="EL132" i="4"/>
  <c r="EL133" i="4"/>
  <c r="EL134" i="4"/>
  <c r="EL135" i="4"/>
  <c r="EL136" i="4"/>
  <c r="EL137" i="4"/>
  <c r="EL138" i="4"/>
  <c r="EL139" i="4"/>
  <c r="EL140" i="4"/>
  <c r="EL141" i="4"/>
  <c r="EL142" i="4"/>
  <c r="EL143" i="4"/>
  <c r="EL144" i="4"/>
  <c r="EL145" i="4"/>
  <c r="EL146" i="4"/>
  <c r="EL147" i="4"/>
  <c r="EL148" i="4"/>
  <c r="EL149" i="4"/>
  <c r="EL150" i="4"/>
  <c r="EL151" i="4"/>
  <c r="EL152" i="4"/>
  <c r="EL153" i="4"/>
  <c r="EL154" i="4"/>
  <c r="EL155" i="4"/>
  <c r="EL156" i="4"/>
  <c r="EL157" i="4"/>
  <c r="EL158" i="4"/>
  <c r="EL159" i="4"/>
  <c r="EL160" i="4"/>
  <c r="EL161" i="4"/>
  <c r="EL162" i="4"/>
  <c r="EL163" i="4"/>
  <c r="EL164" i="4"/>
  <c r="EL165" i="4"/>
  <c r="EL166" i="4"/>
  <c r="EL167" i="4"/>
  <c r="EL168" i="4"/>
  <c r="EL169" i="4"/>
  <c r="EL170" i="4"/>
  <c r="EL171" i="4"/>
  <c r="EL172" i="4"/>
  <c r="EL173" i="4"/>
  <c r="EL174" i="4"/>
  <c r="EL175" i="4"/>
  <c r="EK2" i="4"/>
  <c r="EK3" i="4"/>
  <c r="EK4" i="4"/>
  <c r="EK5" i="4"/>
  <c r="EK6" i="4"/>
  <c r="EK7" i="4"/>
  <c r="EK8" i="4"/>
  <c r="EK9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41" i="4"/>
  <c r="EK42" i="4"/>
  <c r="EK43" i="4"/>
  <c r="EK44" i="4"/>
  <c r="EK45" i="4"/>
  <c r="EK46" i="4"/>
  <c r="EK47" i="4"/>
  <c r="EK48" i="4"/>
  <c r="EK49" i="4"/>
  <c r="EK50" i="4"/>
  <c r="EK51" i="4"/>
  <c r="EK52" i="4"/>
  <c r="EK53" i="4"/>
  <c r="EK54" i="4"/>
  <c r="EK55" i="4"/>
  <c r="EK56" i="4"/>
  <c r="EK57" i="4"/>
  <c r="EK58" i="4"/>
  <c r="EK59" i="4"/>
  <c r="EK60" i="4"/>
  <c r="EK61" i="4"/>
  <c r="EK62" i="4"/>
  <c r="EK63" i="4"/>
  <c r="EK64" i="4"/>
  <c r="EK65" i="4"/>
  <c r="EK66" i="4"/>
  <c r="EK67" i="4"/>
  <c r="EK68" i="4"/>
  <c r="EK69" i="4"/>
  <c r="EK70" i="4"/>
  <c r="EK71" i="4"/>
  <c r="EK72" i="4"/>
  <c r="EK73" i="4"/>
  <c r="EK74" i="4"/>
  <c r="EK75" i="4"/>
  <c r="EK76" i="4"/>
  <c r="EK77" i="4"/>
  <c r="EK78" i="4"/>
  <c r="EK79" i="4"/>
  <c r="EK80" i="4"/>
  <c r="EK81" i="4"/>
  <c r="EK82" i="4"/>
  <c r="EK83" i="4"/>
  <c r="EK84" i="4"/>
  <c r="EK85" i="4"/>
  <c r="EK86" i="4"/>
  <c r="EK87" i="4"/>
  <c r="EK88" i="4"/>
  <c r="EK89" i="4"/>
  <c r="EK90" i="4"/>
  <c r="EK91" i="4"/>
  <c r="EK92" i="4"/>
  <c r="EK93" i="4"/>
  <c r="EK94" i="4"/>
  <c r="EK95" i="4"/>
  <c r="EK96" i="4"/>
  <c r="EK97" i="4"/>
  <c r="EK98" i="4"/>
  <c r="EK99" i="4"/>
  <c r="EK100" i="4"/>
  <c r="EK101" i="4"/>
  <c r="EK102" i="4"/>
  <c r="EK103" i="4"/>
  <c r="EK104" i="4"/>
  <c r="EK105" i="4"/>
  <c r="EK106" i="4"/>
  <c r="EK107" i="4"/>
  <c r="EK108" i="4"/>
  <c r="EK109" i="4"/>
  <c r="EK110" i="4"/>
  <c r="EK111" i="4"/>
  <c r="EK112" i="4"/>
  <c r="EK113" i="4"/>
  <c r="EK114" i="4"/>
  <c r="EK115" i="4"/>
  <c r="EK116" i="4"/>
  <c r="EK117" i="4"/>
  <c r="EK118" i="4"/>
  <c r="EK119" i="4"/>
  <c r="EK120" i="4"/>
  <c r="EK121" i="4"/>
  <c r="EK122" i="4"/>
  <c r="EK123" i="4"/>
  <c r="EK124" i="4"/>
  <c r="EK125" i="4"/>
  <c r="EK126" i="4"/>
  <c r="EK127" i="4"/>
  <c r="EK128" i="4"/>
  <c r="EK129" i="4"/>
  <c r="EK130" i="4"/>
  <c r="EK131" i="4"/>
  <c r="EK132" i="4"/>
  <c r="EK133" i="4"/>
  <c r="EK134" i="4"/>
  <c r="EK135" i="4"/>
  <c r="EK136" i="4"/>
  <c r="EK137" i="4"/>
  <c r="EK138" i="4"/>
  <c r="EK139" i="4"/>
  <c r="EK140" i="4"/>
  <c r="EK141" i="4"/>
  <c r="EK142" i="4"/>
  <c r="EK143" i="4"/>
  <c r="EK144" i="4"/>
  <c r="EK145" i="4"/>
  <c r="EK146" i="4"/>
  <c r="EK147" i="4"/>
  <c r="EK148" i="4"/>
  <c r="EK149" i="4"/>
  <c r="EK150" i="4"/>
  <c r="EK151" i="4"/>
  <c r="EK152" i="4"/>
  <c r="EK153" i="4"/>
  <c r="EK154" i="4"/>
  <c r="EK155" i="4"/>
  <c r="EK156" i="4"/>
  <c r="EK157" i="4"/>
  <c r="EK158" i="4"/>
  <c r="EK159" i="4"/>
  <c r="EK160" i="4"/>
  <c r="EK161" i="4"/>
  <c r="EK162" i="4"/>
  <c r="EK163" i="4"/>
  <c r="EK164" i="4"/>
  <c r="EK165" i="4"/>
  <c r="EK166" i="4"/>
  <c r="EK167" i="4"/>
  <c r="EK168" i="4"/>
  <c r="EK169" i="4"/>
  <c r="EK170" i="4"/>
  <c r="EK171" i="4"/>
  <c r="EK172" i="4"/>
  <c r="EK173" i="4"/>
  <c r="EK174" i="4"/>
  <c r="EK175" i="4"/>
  <c r="EJ2" i="4"/>
  <c r="EJ3" i="4"/>
  <c r="EJ4" i="4"/>
  <c r="EJ5" i="4"/>
  <c r="EJ6" i="4"/>
  <c r="EJ7" i="4"/>
  <c r="EJ8" i="4"/>
  <c r="EJ9" i="4"/>
  <c r="EJ10" i="4"/>
  <c r="EJ11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41" i="4"/>
  <c r="EJ42" i="4"/>
  <c r="EJ43" i="4"/>
  <c r="EJ44" i="4"/>
  <c r="EJ45" i="4"/>
  <c r="EJ46" i="4"/>
  <c r="EJ47" i="4"/>
  <c r="EJ48" i="4"/>
  <c r="EJ49" i="4"/>
  <c r="EJ50" i="4"/>
  <c r="EJ51" i="4"/>
  <c r="EJ52" i="4"/>
  <c r="EJ53" i="4"/>
  <c r="EJ54" i="4"/>
  <c r="EJ55" i="4"/>
  <c r="EJ56" i="4"/>
  <c r="EJ57" i="4"/>
  <c r="EJ58" i="4"/>
  <c r="EJ59" i="4"/>
  <c r="EJ60" i="4"/>
  <c r="EJ61" i="4"/>
  <c r="EJ62" i="4"/>
  <c r="EJ63" i="4"/>
  <c r="EJ64" i="4"/>
  <c r="EJ65" i="4"/>
  <c r="EJ66" i="4"/>
  <c r="EJ67" i="4"/>
  <c r="EJ68" i="4"/>
  <c r="EJ69" i="4"/>
  <c r="EJ70" i="4"/>
  <c r="EJ71" i="4"/>
  <c r="EJ72" i="4"/>
  <c r="EJ73" i="4"/>
  <c r="EJ74" i="4"/>
  <c r="EJ75" i="4"/>
  <c r="EJ76" i="4"/>
  <c r="EJ77" i="4"/>
  <c r="EJ78" i="4"/>
  <c r="EJ79" i="4"/>
  <c r="EJ80" i="4"/>
  <c r="EJ81" i="4"/>
  <c r="EJ82" i="4"/>
  <c r="EJ83" i="4"/>
  <c r="EJ84" i="4"/>
  <c r="EJ85" i="4"/>
  <c r="EJ86" i="4"/>
  <c r="EJ87" i="4"/>
  <c r="EJ88" i="4"/>
  <c r="EJ89" i="4"/>
  <c r="EJ90" i="4"/>
  <c r="EJ91" i="4"/>
  <c r="EJ92" i="4"/>
  <c r="EJ93" i="4"/>
  <c r="EJ94" i="4"/>
  <c r="EJ95" i="4"/>
  <c r="EJ96" i="4"/>
  <c r="EJ97" i="4"/>
  <c r="EJ98" i="4"/>
  <c r="EJ99" i="4"/>
  <c r="EJ100" i="4"/>
  <c r="EJ101" i="4"/>
  <c r="EJ102" i="4"/>
  <c r="EJ103" i="4"/>
  <c r="EJ104" i="4"/>
  <c r="EJ105" i="4"/>
  <c r="EJ106" i="4"/>
  <c r="EJ107" i="4"/>
  <c r="EJ108" i="4"/>
  <c r="EJ109" i="4"/>
  <c r="EJ110" i="4"/>
  <c r="EJ111" i="4"/>
  <c r="EJ112" i="4"/>
  <c r="EJ113" i="4"/>
  <c r="EJ114" i="4"/>
  <c r="EJ115" i="4"/>
  <c r="EJ116" i="4"/>
  <c r="EJ117" i="4"/>
  <c r="EJ118" i="4"/>
  <c r="EJ119" i="4"/>
  <c r="EJ120" i="4"/>
  <c r="EJ121" i="4"/>
  <c r="EJ122" i="4"/>
  <c r="EJ123" i="4"/>
  <c r="EJ124" i="4"/>
  <c r="EJ125" i="4"/>
  <c r="EJ126" i="4"/>
  <c r="EJ127" i="4"/>
  <c r="EJ128" i="4"/>
  <c r="EJ129" i="4"/>
  <c r="EJ130" i="4"/>
  <c r="EJ131" i="4"/>
  <c r="EJ132" i="4"/>
  <c r="EJ133" i="4"/>
  <c r="EJ134" i="4"/>
  <c r="EJ135" i="4"/>
  <c r="EJ136" i="4"/>
  <c r="EJ137" i="4"/>
  <c r="EJ138" i="4"/>
  <c r="EJ139" i="4"/>
  <c r="EJ140" i="4"/>
  <c r="EJ141" i="4"/>
  <c r="EJ142" i="4"/>
  <c r="EJ143" i="4"/>
  <c r="EJ144" i="4"/>
  <c r="EJ145" i="4"/>
  <c r="EJ146" i="4"/>
  <c r="EJ147" i="4"/>
  <c r="EJ148" i="4"/>
  <c r="EJ149" i="4"/>
  <c r="EJ150" i="4"/>
  <c r="EJ151" i="4"/>
  <c r="EJ152" i="4"/>
  <c r="EJ153" i="4"/>
  <c r="EJ154" i="4"/>
  <c r="EJ155" i="4"/>
  <c r="EJ156" i="4"/>
  <c r="EJ157" i="4"/>
  <c r="EJ158" i="4"/>
  <c r="EJ159" i="4"/>
  <c r="EJ160" i="4"/>
  <c r="EJ161" i="4"/>
  <c r="EJ162" i="4"/>
  <c r="EJ163" i="4"/>
  <c r="EJ164" i="4"/>
  <c r="EJ165" i="4"/>
  <c r="EJ166" i="4"/>
  <c r="EJ167" i="4"/>
  <c r="EJ168" i="4"/>
  <c r="EJ169" i="4"/>
  <c r="EJ170" i="4"/>
  <c r="EJ171" i="4"/>
  <c r="EJ172" i="4"/>
  <c r="EJ173" i="4"/>
  <c r="EJ174" i="4"/>
  <c r="EJ175" i="4"/>
  <c r="EI2" i="4"/>
  <c r="EI3" i="4"/>
  <c r="EI4" i="4"/>
  <c r="EI5" i="4"/>
  <c r="EI6" i="4"/>
  <c r="EI7" i="4"/>
  <c r="EI8" i="4"/>
  <c r="EI9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41" i="4"/>
  <c r="EI42" i="4"/>
  <c r="EI43" i="4"/>
  <c r="EI44" i="4"/>
  <c r="EI45" i="4"/>
  <c r="EI46" i="4"/>
  <c r="EI47" i="4"/>
  <c r="EI48" i="4"/>
  <c r="EI49" i="4"/>
  <c r="EI50" i="4"/>
  <c r="EI51" i="4"/>
  <c r="EI52" i="4"/>
  <c r="EI53" i="4"/>
  <c r="EI54" i="4"/>
  <c r="EI55" i="4"/>
  <c r="EI56" i="4"/>
  <c r="EI57" i="4"/>
  <c r="EI58" i="4"/>
  <c r="EI59" i="4"/>
  <c r="EI60" i="4"/>
  <c r="EI61" i="4"/>
  <c r="EI62" i="4"/>
  <c r="EI63" i="4"/>
  <c r="EI64" i="4"/>
  <c r="EI65" i="4"/>
  <c r="EI66" i="4"/>
  <c r="EI67" i="4"/>
  <c r="EI68" i="4"/>
  <c r="EI69" i="4"/>
  <c r="EI70" i="4"/>
  <c r="EI71" i="4"/>
  <c r="EI72" i="4"/>
  <c r="EI73" i="4"/>
  <c r="EI74" i="4"/>
  <c r="EI75" i="4"/>
  <c r="EI76" i="4"/>
  <c r="EI77" i="4"/>
  <c r="EI78" i="4"/>
  <c r="EI79" i="4"/>
  <c r="EI80" i="4"/>
  <c r="EI81" i="4"/>
  <c r="EI82" i="4"/>
  <c r="EI83" i="4"/>
  <c r="EI84" i="4"/>
  <c r="EI85" i="4"/>
  <c r="EI86" i="4"/>
  <c r="EI87" i="4"/>
  <c r="EI88" i="4"/>
  <c r="EI89" i="4"/>
  <c r="EI90" i="4"/>
  <c r="EI91" i="4"/>
  <c r="EI92" i="4"/>
  <c r="EI93" i="4"/>
  <c r="EI94" i="4"/>
  <c r="EI95" i="4"/>
  <c r="EI96" i="4"/>
  <c r="EI97" i="4"/>
  <c r="EI98" i="4"/>
  <c r="EI99" i="4"/>
  <c r="EI100" i="4"/>
  <c r="EI101" i="4"/>
  <c r="EI102" i="4"/>
  <c r="EI103" i="4"/>
  <c r="EI104" i="4"/>
  <c r="EI105" i="4"/>
  <c r="EI106" i="4"/>
  <c r="EI107" i="4"/>
  <c r="EI108" i="4"/>
  <c r="EI109" i="4"/>
  <c r="EI110" i="4"/>
  <c r="EI111" i="4"/>
  <c r="EI112" i="4"/>
  <c r="EI113" i="4"/>
  <c r="EI114" i="4"/>
  <c r="EI115" i="4"/>
  <c r="EI116" i="4"/>
  <c r="EI117" i="4"/>
  <c r="EI118" i="4"/>
  <c r="EI119" i="4"/>
  <c r="EI120" i="4"/>
  <c r="EI121" i="4"/>
  <c r="EI122" i="4"/>
  <c r="EI123" i="4"/>
  <c r="EI124" i="4"/>
  <c r="EI125" i="4"/>
  <c r="EI126" i="4"/>
  <c r="EI127" i="4"/>
  <c r="EI128" i="4"/>
  <c r="EI129" i="4"/>
  <c r="EI130" i="4"/>
  <c r="EI131" i="4"/>
  <c r="EI132" i="4"/>
  <c r="EI133" i="4"/>
  <c r="EI134" i="4"/>
  <c r="EI135" i="4"/>
  <c r="EI136" i="4"/>
  <c r="EI137" i="4"/>
  <c r="EI138" i="4"/>
  <c r="EI139" i="4"/>
  <c r="EI140" i="4"/>
  <c r="EI141" i="4"/>
  <c r="EI142" i="4"/>
  <c r="EI143" i="4"/>
  <c r="EI144" i="4"/>
  <c r="EI145" i="4"/>
  <c r="EI146" i="4"/>
  <c r="EI147" i="4"/>
  <c r="EI148" i="4"/>
  <c r="EI149" i="4"/>
  <c r="EI150" i="4"/>
  <c r="EI151" i="4"/>
  <c r="EI152" i="4"/>
  <c r="EI153" i="4"/>
  <c r="EI154" i="4"/>
  <c r="EI155" i="4"/>
  <c r="EI156" i="4"/>
  <c r="EI157" i="4"/>
  <c r="EI158" i="4"/>
  <c r="EI159" i="4"/>
  <c r="EI160" i="4"/>
  <c r="EI161" i="4"/>
  <c r="EI162" i="4"/>
  <c r="EI163" i="4"/>
  <c r="EI164" i="4"/>
  <c r="EI165" i="4"/>
  <c r="EI166" i="4"/>
  <c r="EI167" i="4"/>
  <c r="EI168" i="4"/>
  <c r="EI169" i="4"/>
  <c r="EI170" i="4"/>
  <c r="EI171" i="4"/>
  <c r="EI172" i="4"/>
  <c r="EI173" i="4"/>
  <c r="EI174" i="4"/>
  <c r="EI175" i="4"/>
  <c r="EH2" i="4"/>
  <c r="EH3" i="4"/>
  <c r="EH4" i="4"/>
  <c r="EH5" i="4"/>
  <c r="EH6" i="4"/>
  <c r="EH7" i="4"/>
  <c r="EH8" i="4"/>
  <c r="EH9" i="4"/>
  <c r="EH10" i="4"/>
  <c r="EH11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41" i="4"/>
  <c r="EH42" i="4"/>
  <c r="EH43" i="4"/>
  <c r="EH44" i="4"/>
  <c r="EH45" i="4"/>
  <c r="EH46" i="4"/>
  <c r="EH47" i="4"/>
  <c r="EH48" i="4"/>
  <c r="EH49" i="4"/>
  <c r="EH50" i="4"/>
  <c r="EH51" i="4"/>
  <c r="EH52" i="4"/>
  <c r="EH53" i="4"/>
  <c r="EH54" i="4"/>
  <c r="EH55" i="4"/>
  <c r="EH56" i="4"/>
  <c r="EH57" i="4"/>
  <c r="EH58" i="4"/>
  <c r="EH59" i="4"/>
  <c r="EH60" i="4"/>
  <c r="EH61" i="4"/>
  <c r="EH62" i="4"/>
  <c r="EH63" i="4"/>
  <c r="EH64" i="4"/>
  <c r="EH65" i="4"/>
  <c r="EH66" i="4"/>
  <c r="EH67" i="4"/>
  <c r="EH68" i="4"/>
  <c r="EH69" i="4"/>
  <c r="EH70" i="4"/>
  <c r="EH71" i="4"/>
  <c r="EH72" i="4"/>
  <c r="EH73" i="4"/>
  <c r="EH74" i="4"/>
  <c r="EH75" i="4"/>
  <c r="EH76" i="4"/>
  <c r="EH77" i="4"/>
  <c r="EH78" i="4"/>
  <c r="EH79" i="4"/>
  <c r="EH80" i="4"/>
  <c r="EH81" i="4"/>
  <c r="EH82" i="4"/>
  <c r="EH83" i="4"/>
  <c r="EH84" i="4"/>
  <c r="EH85" i="4"/>
  <c r="EH86" i="4"/>
  <c r="EH87" i="4"/>
  <c r="EH88" i="4"/>
  <c r="EH89" i="4"/>
  <c r="EH90" i="4"/>
  <c r="EH91" i="4"/>
  <c r="EH92" i="4"/>
  <c r="EH93" i="4"/>
  <c r="EH94" i="4"/>
  <c r="EH95" i="4"/>
  <c r="EH96" i="4"/>
  <c r="EH97" i="4"/>
  <c r="EH98" i="4"/>
  <c r="EH99" i="4"/>
  <c r="EH100" i="4"/>
  <c r="EH101" i="4"/>
  <c r="EH102" i="4"/>
  <c r="EH103" i="4"/>
  <c r="EH104" i="4"/>
  <c r="EH105" i="4"/>
  <c r="EH106" i="4"/>
  <c r="EH107" i="4"/>
  <c r="EH108" i="4"/>
  <c r="EH109" i="4"/>
  <c r="EH110" i="4"/>
  <c r="EH111" i="4"/>
  <c r="EH112" i="4"/>
  <c r="EH113" i="4"/>
  <c r="EH114" i="4"/>
  <c r="EH115" i="4"/>
  <c r="EH116" i="4"/>
  <c r="EH117" i="4"/>
  <c r="EH118" i="4"/>
  <c r="EH119" i="4"/>
  <c r="EH120" i="4"/>
  <c r="EH121" i="4"/>
  <c r="EH122" i="4"/>
  <c r="EH123" i="4"/>
  <c r="EH124" i="4"/>
  <c r="EH125" i="4"/>
  <c r="EH126" i="4"/>
  <c r="EH127" i="4"/>
  <c r="EH128" i="4"/>
  <c r="EH129" i="4"/>
  <c r="EH130" i="4"/>
  <c r="EH131" i="4"/>
  <c r="EH132" i="4"/>
  <c r="EH133" i="4"/>
  <c r="EH134" i="4"/>
  <c r="EH135" i="4"/>
  <c r="EH136" i="4"/>
  <c r="EH137" i="4"/>
  <c r="EH138" i="4"/>
  <c r="EH139" i="4"/>
  <c r="EH140" i="4"/>
  <c r="EH141" i="4"/>
  <c r="EH142" i="4"/>
  <c r="EH143" i="4"/>
  <c r="EH144" i="4"/>
  <c r="EH145" i="4"/>
  <c r="EH146" i="4"/>
  <c r="EH147" i="4"/>
  <c r="EH148" i="4"/>
  <c r="EH149" i="4"/>
  <c r="EH150" i="4"/>
  <c r="EH151" i="4"/>
  <c r="EH152" i="4"/>
  <c r="EH153" i="4"/>
  <c r="EH154" i="4"/>
  <c r="EH155" i="4"/>
  <c r="EH156" i="4"/>
  <c r="EH157" i="4"/>
  <c r="EH158" i="4"/>
  <c r="EH159" i="4"/>
  <c r="EH160" i="4"/>
  <c r="EH161" i="4"/>
  <c r="EH162" i="4"/>
  <c r="EH163" i="4"/>
  <c r="EH164" i="4"/>
  <c r="EH165" i="4"/>
  <c r="EH166" i="4"/>
  <c r="EH167" i="4"/>
  <c r="EH168" i="4"/>
  <c r="EH169" i="4"/>
  <c r="EH170" i="4"/>
  <c r="EH171" i="4"/>
  <c r="EH172" i="4"/>
  <c r="EH173" i="4"/>
  <c r="EH174" i="4"/>
  <c r="EH175" i="4"/>
  <c r="EG2" i="4"/>
  <c r="EG3" i="4"/>
  <c r="EG4" i="4"/>
  <c r="EG5" i="4"/>
  <c r="EG6" i="4"/>
  <c r="EG7" i="4"/>
  <c r="EG8" i="4"/>
  <c r="EG9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41" i="4"/>
  <c r="EG42" i="4"/>
  <c r="EG43" i="4"/>
  <c r="EG44" i="4"/>
  <c r="EG45" i="4"/>
  <c r="EG46" i="4"/>
  <c r="EG47" i="4"/>
  <c r="EG48" i="4"/>
  <c r="EG49" i="4"/>
  <c r="EG50" i="4"/>
  <c r="EG51" i="4"/>
  <c r="EG52" i="4"/>
  <c r="EG53" i="4"/>
  <c r="EG54" i="4"/>
  <c r="EG55" i="4"/>
  <c r="EG56" i="4"/>
  <c r="EG57" i="4"/>
  <c r="EG58" i="4"/>
  <c r="EG59" i="4"/>
  <c r="EG60" i="4"/>
  <c r="EG61" i="4"/>
  <c r="EG62" i="4"/>
  <c r="EG63" i="4"/>
  <c r="EG64" i="4"/>
  <c r="EG65" i="4"/>
  <c r="EG66" i="4"/>
  <c r="EG67" i="4"/>
  <c r="EG68" i="4"/>
  <c r="EG69" i="4"/>
  <c r="EG70" i="4"/>
  <c r="EG71" i="4"/>
  <c r="EG72" i="4"/>
  <c r="EG73" i="4"/>
  <c r="EG74" i="4"/>
  <c r="EG75" i="4"/>
  <c r="EG76" i="4"/>
  <c r="EG77" i="4"/>
  <c r="EG78" i="4"/>
  <c r="EG79" i="4"/>
  <c r="EG80" i="4"/>
  <c r="EG81" i="4"/>
  <c r="EG82" i="4"/>
  <c r="EG83" i="4"/>
  <c r="EG84" i="4"/>
  <c r="EG85" i="4"/>
  <c r="EG86" i="4"/>
  <c r="EG87" i="4"/>
  <c r="EG88" i="4"/>
  <c r="EG89" i="4"/>
  <c r="EG90" i="4"/>
  <c r="EG91" i="4"/>
  <c r="EG92" i="4"/>
  <c r="EG93" i="4"/>
  <c r="EG94" i="4"/>
  <c r="EG95" i="4"/>
  <c r="EG96" i="4"/>
  <c r="EG97" i="4"/>
  <c r="EG98" i="4"/>
  <c r="EG99" i="4"/>
  <c r="EG100" i="4"/>
  <c r="EG101" i="4"/>
  <c r="EG102" i="4"/>
  <c r="EG103" i="4"/>
  <c r="EG104" i="4"/>
  <c r="EG105" i="4"/>
  <c r="EG106" i="4"/>
  <c r="EG107" i="4"/>
  <c r="EG108" i="4"/>
  <c r="EG109" i="4"/>
  <c r="EG110" i="4"/>
  <c r="EG111" i="4"/>
  <c r="EG112" i="4"/>
  <c r="EG113" i="4"/>
  <c r="EG114" i="4"/>
  <c r="EG115" i="4"/>
  <c r="EG116" i="4"/>
  <c r="EG117" i="4"/>
  <c r="EG118" i="4"/>
  <c r="EG119" i="4"/>
  <c r="EG120" i="4"/>
  <c r="EG121" i="4"/>
  <c r="EG122" i="4"/>
  <c r="EG123" i="4"/>
  <c r="EG124" i="4"/>
  <c r="EG125" i="4"/>
  <c r="EG126" i="4"/>
  <c r="EG127" i="4"/>
  <c r="EG128" i="4"/>
  <c r="EG129" i="4"/>
  <c r="EG130" i="4"/>
  <c r="EG131" i="4"/>
  <c r="EG132" i="4"/>
  <c r="EG133" i="4"/>
  <c r="EG134" i="4"/>
  <c r="EG135" i="4"/>
  <c r="EG136" i="4"/>
  <c r="EG137" i="4"/>
  <c r="EG138" i="4"/>
  <c r="EG139" i="4"/>
  <c r="EG140" i="4"/>
  <c r="EG141" i="4"/>
  <c r="EG142" i="4"/>
  <c r="EG143" i="4"/>
  <c r="EG144" i="4"/>
  <c r="EG145" i="4"/>
  <c r="EG146" i="4"/>
  <c r="EG147" i="4"/>
  <c r="EG148" i="4"/>
  <c r="EG149" i="4"/>
  <c r="EG150" i="4"/>
  <c r="EG151" i="4"/>
  <c r="EG152" i="4"/>
  <c r="EG153" i="4"/>
  <c r="EG154" i="4"/>
  <c r="EG155" i="4"/>
  <c r="EG156" i="4"/>
  <c r="EG157" i="4"/>
  <c r="EG158" i="4"/>
  <c r="EG159" i="4"/>
  <c r="EG160" i="4"/>
  <c r="EG161" i="4"/>
  <c r="EG162" i="4"/>
  <c r="EG163" i="4"/>
  <c r="EG164" i="4"/>
  <c r="EG165" i="4"/>
  <c r="EG166" i="4"/>
  <c r="EG167" i="4"/>
  <c r="EG168" i="4"/>
  <c r="EG169" i="4"/>
  <c r="EG170" i="4"/>
  <c r="EG171" i="4"/>
  <c r="EG172" i="4"/>
  <c r="EG173" i="4"/>
  <c r="EG174" i="4"/>
  <c r="EG175" i="4"/>
  <c r="EF2" i="4"/>
  <c r="EF3" i="4"/>
  <c r="EF4" i="4"/>
  <c r="EF5" i="4"/>
  <c r="EF6" i="4"/>
  <c r="EF7" i="4"/>
  <c r="EF8" i="4"/>
  <c r="EF9" i="4"/>
  <c r="EF10" i="4"/>
  <c r="EF11" i="4"/>
  <c r="EF12" i="4"/>
  <c r="EF13" i="4"/>
  <c r="EF14" i="4"/>
  <c r="EF15" i="4"/>
  <c r="EF16" i="4"/>
  <c r="EF17" i="4"/>
  <c r="EF18" i="4"/>
  <c r="EF19" i="4"/>
  <c r="EF20" i="4"/>
  <c r="EF21" i="4"/>
  <c r="EF22" i="4"/>
  <c r="EF23" i="4"/>
  <c r="EF24" i="4"/>
  <c r="EF25" i="4"/>
  <c r="EF26" i="4"/>
  <c r="EF27" i="4"/>
  <c r="EF28" i="4"/>
  <c r="EF29" i="4"/>
  <c r="EF30" i="4"/>
  <c r="EF31" i="4"/>
  <c r="EF32" i="4"/>
  <c r="EF33" i="4"/>
  <c r="EF34" i="4"/>
  <c r="EF35" i="4"/>
  <c r="EF36" i="4"/>
  <c r="EF37" i="4"/>
  <c r="EF38" i="4"/>
  <c r="EF39" i="4"/>
  <c r="EF40" i="4"/>
  <c r="EF41" i="4"/>
  <c r="EF42" i="4"/>
  <c r="EF43" i="4"/>
  <c r="EF44" i="4"/>
  <c r="EF45" i="4"/>
  <c r="EF46" i="4"/>
  <c r="EF47" i="4"/>
  <c r="EF48" i="4"/>
  <c r="EF49" i="4"/>
  <c r="EF50" i="4"/>
  <c r="EF51" i="4"/>
  <c r="EF52" i="4"/>
  <c r="EF53" i="4"/>
  <c r="EF54" i="4"/>
  <c r="EF55" i="4"/>
  <c r="EF56" i="4"/>
  <c r="EF57" i="4"/>
  <c r="EF58" i="4"/>
  <c r="EF59" i="4"/>
  <c r="EF60" i="4"/>
  <c r="EF61" i="4"/>
  <c r="EF62" i="4"/>
  <c r="EF63" i="4"/>
  <c r="EF64" i="4"/>
  <c r="EF65" i="4"/>
  <c r="EF66" i="4"/>
  <c r="EF67" i="4"/>
  <c r="EF68" i="4"/>
  <c r="EF69" i="4"/>
  <c r="EF70" i="4"/>
  <c r="EF71" i="4"/>
  <c r="EF72" i="4"/>
  <c r="EF73" i="4"/>
  <c r="EF74" i="4"/>
  <c r="EF75" i="4"/>
  <c r="EF76" i="4"/>
  <c r="EF77" i="4"/>
  <c r="EF78" i="4"/>
  <c r="EF79" i="4"/>
  <c r="EF80" i="4"/>
  <c r="EF81" i="4"/>
  <c r="EF82" i="4"/>
  <c r="EF83" i="4"/>
  <c r="EF84" i="4"/>
  <c r="EF85" i="4"/>
  <c r="EF86" i="4"/>
  <c r="EF87" i="4"/>
  <c r="EF88" i="4"/>
  <c r="EF89" i="4"/>
  <c r="EF90" i="4"/>
  <c r="EF91" i="4"/>
  <c r="EF92" i="4"/>
  <c r="EF93" i="4"/>
  <c r="EF94" i="4"/>
  <c r="EF95" i="4"/>
  <c r="EF96" i="4"/>
  <c r="EF97" i="4"/>
  <c r="EF98" i="4"/>
  <c r="EF99" i="4"/>
  <c r="EF100" i="4"/>
  <c r="EF101" i="4"/>
  <c r="EF102" i="4"/>
  <c r="EF103" i="4"/>
  <c r="EF104" i="4"/>
  <c r="EF105" i="4"/>
  <c r="EF106" i="4"/>
  <c r="EF107" i="4"/>
  <c r="EF108" i="4"/>
  <c r="EF109" i="4"/>
  <c r="EF110" i="4"/>
  <c r="EF111" i="4"/>
  <c r="EF112" i="4"/>
  <c r="EF113" i="4"/>
  <c r="EF114" i="4"/>
  <c r="EF115" i="4"/>
  <c r="EF116" i="4"/>
  <c r="EF117" i="4"/>
  <c r="EF118" i="4"/>
  <c r="EF119" i="4"/>
  <c r="EF120" i="4"/>
  <c r="EF121" i="4"/>
  <c r="EF122" i="4"/>
  <c r="EF123" i="4"/>
  <c r="EF124" i="4"/>
  <c r="EF125" i="4"/>
  <c r="EF126" i="4"/>
  <c r="EF127" i="4"/>
  <c r="EF128" i="4"/>
  <c r="EF129" i="4"/>
  <c r="EF130" i="4"/>
  <c r="EF131" i="4"/>
  <c r="EF132" i="4"/>
  <c r="EF133" i="4"/>
  <c r="EF134" i="4"/>
  <c r="EF135" i="4"/>
  <c r="EF136" i="4"/>
  <c r="EF137" i="4"/>
  <c r="EF138" i="4"/>
  <c r="EF139" i="4"/>
  <c r="EF140" i="4"/>
  <c r="EF141" i="4"/>
  <c r="EF142" i="4"/>
  <c r="EF143" i="4"/>
  <c r="EF144" i="4"/>
  <c r="EF145" i="4"/>
  <c r="EF146" i="4"/>
  <c r="EF147" i="4"/>
  <c r="EF148" i="4"/>
  <c r="EF149" i="4"/>
  <c r="EF150" i="4"/>
  <c r="EF151" i="4"/>
  <c r="EF152" i="4"/>
  <c r="EF153" i="4"/>
  <c r="EF154" i="4"/>
  <c r="EF155" i="4"/>
  <c r="EF156" i="4"/>
  <c r="EF157" i="4"/>
  <c r="EF158" i="4"/>
  <c r="EF159" i="4"/>
  <c r="EF160" i="4"/>
  <c r="EF161" i="4"/>
  <c r="EF162" i="4"/>
  <c r="EF163" i="4"/>
  <c r="EF164" i="4"/>
  <c r="EF165" i="4"/>
  <c r="EF166" i="4"/>
  <c r="EF167" i="4"/>
  <c r="EF168" i="4"/>
  <c r="EF169" i="4"/>
  <c r="EF170" i="4"/>
  <c r="EF171" i="4"/>
  <c r="EF172" i="4"/>
  <c r="EF173" i="4"/>
  <c r="EF174" i="4"/>
  <c r="EF175" i="4"/>
  <c r="EE2" i="4"/>
  <c r="EE3" i="4"/>
  <c r="EE4" i="4"/>
  <c r="EE5" i="4"/>
  <c r="EE6" i="4"/>
  <c r="EE7" i="4"/>
  <c r="EE8" i="4"/>
  <c r="EE9" i="4"/>
  <c r="EE10" i="4"/>
  <c r="EE11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41" i="4"/>
  <c r="EE42" i="4"/>
  <c r="EE43" i="4"/>
  <c r="EE44" i="4"/>
  <c r="EE45" i="4"/>
  <c r="EE46" i="4"/>
  <c r="EE47" i="4"/>
  <c r="EE48" i="4"/>
  <c r="EE49" i="4"/>
  <c r="EE50" i="4"/>
  <c r="EE51" i="4"/>
  <c r="EE52" i="4"/>
  <c r="EE53" i="4"/>
  <c r="EE54" i="4"/>
  <c r="EE55" i="4"/>
  <c r="EE56" i="4"/>
  <c r="EE57" i="4"/>
  <c r="EE58" i="4"/>
  <c r="EE59" i="4"/>
  <c r="EE60" i="4"/>
  <c r="EE61" i="4"/>
  <c r="EE62" i="4"/>
  <c r="EE63" i="4"/>
  <c r="EE64" i="4"/>
  <c r="EE65" i="4"/>
  <c r="EE66" i="4"/>
  <c r="EE67" i="4"/>
  <c r="EE68" i="4"/>
  <c r="EE69" i="4"/>
  <c r="EE70" i="4"/>
  <c r="EE71" i="4"/>
  <c r="EE72" i="4"/>
  <c r="EE73" i="4"/>
  <c r="EE74" i="4"/>
  <c r="EE75" i="4"/>
  <c r="EE76" i="4"/>
  <c r="EE77" i="4"/>
  <c r="EE78" i="4"/>
  <c r="EE79" i="4"/>
  <c r="EE80" i="4"/>
  <c r="EE81" i="4"/>
  <c r="EE82" i="4"/>
  <c r="EE83" i="4"/>
  <c r="EE84" i="4"/>
  <c r="EE85" i="4"/>
  <c r="EE86" i="4"/>
  <c r="EE87" i="4"/>
  <c r="EE88" i="4"/>
  <c r="EE89" i="4"/>
  <c r="EE90" i="4"/>
  <c r="EE91" i="4"/>
  <c r="EE92" i="4"/>
  <c r="EE93" i="4"/>
  <c r="EE94" i="4"/>
  <c r="EE95" i="4"/>
  <c r="EE96" i="4"/>
  <c r="EE97" i="4"/>
  <c r="EE98" i="4"/>
  <c r="EE99" i="4"/>
  <c r="EE100" i="4"/>
  <c r="EE101" i="4"/>
  <c r="EE102" i="4"/>
  <c r="EE103" i="4"/>
  <c r="EE104" i="4"/>
  <c r="EE105" i="4"/>
  <c r="EE106" i="4"/>
  <c r="EE107" i="4"/>
  <c r="EE108" i="4"/>
  <c r="EE109" i="4"/>
  <c r="EE110" i="4"/>
  <c r="EE111" i="4"/>
  <c r="EE112" i="4"/>
  <c r="EE113" i="4"/>
  <c r="EE114" i="4"/>
  <c r="EE115" i="4"/>
  <c r="EE116" i="4"/>
  <c r="EE117" i="4"/>
  <c r="EE118" i="4"/>
  <c r="EE119" i="4"/>
  <c r="EE120" i="4"/>
  <c r="EE121" i="4"/>
  <c r="EE122" i="4"/>
  <c r="EE123" i="4"/>
  <c r="EE124" i="4"/>
  <c r="EE125" i="4"/>
  <c r="EE126" i="4"/>
  <c r="EE127" i="4"/>
  <c r="EE128" i="4"/>
  <c r="EE129" i="4"/>
  <c r="EE130" i="4"/>
  <c r="EE131" i="4"/>
  <c r="EE132" i="4"/>
  <c r="EE133" i="4"/>
  <c r="EE134" i="4"/>
  <c r="EE135" i="4"/>
  <c r="EE136" i="4"/>
  <c r="EE137" i="4"/>
  <c r="EE138" i="4"/>
  <c r="EE139" i="4"/>
  <c r="EE140" i="4"/>
  <c r="EE141" i="4"/>
  <c r="EE142" i="4"/>
  <c r="EE143" i="4"/>
  <c r="EE144" i="4"/>
  <c r="EE145" i="4"/>
  <c r="EE146" i="4"/>
  <c r="EE147" i="4"/>
  <c r="EE148" i="4"/>
  <c r="EE149" i="4"/>
  <c r="EE150" i="4"/>
  <c r="EE151" i="4"/>
  <c r="EE152" i="4"/>
  <c r="EE153" i="4"/>
  <c r="EE154" i="4"/>
  <c r="EE155" i="4"/>
  <c r="EE156" i="4"/>
  <c r="EE157" i="4"/>
  <c r="EE158" i="4"/>
  <c r="EE159" i="4"/>
  <c r="EE160" i="4"/>
  <c r="EE161" i="4"/>
  <c r="EE162" i="4"/>
  <c r="EE163" i="4"/>
  <c r="EE164" i="4"/>
  <c r="EE165" i="4"/>
  <c r="EE166" i="4"/>
  <c r="EE167" i="4"/>
  <c r="EE168" i="4"/>
  <c r="EE169" i="4"/>
  <c r="EE170" i="4"/>
  <c r="EE171" i="4"/>
  <c r="EE172" i="4"/>
  <c r="EE173" i="4"/>
  <c r="EE174" i="4"/>
  <c r="EE175" i="4"/>
  <c r="ED2" i="4"/>
  <c r="ED3" i="4"/>
  <c r="ED4" i="4"/>
  <c r="ED5" i="4"/>
  <c r="ED6" i="4"/>
  <c r="ED7" i="4"/>
  <c r="ED8" i="4"/>
  <c r="ED9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41" i="4"/>
  <c r="ED42" i="4"/>
  <c r="ED43" i="4"/>
  <c r="ED44" i="4"/>
  <c r="ED45" i="4"/>
  <c r="ED46" i="4"/>
  <c r="ED47" i="4"/>
  <c r="ED48" i="4"/>
  <c r="ED49" i="4"/>
  <c r="ED50" i="4"/>
  <c r="ED51" i="4"/>
  <c r="ED52" i="4"/>
  <c r="ED53" i="4"/>
  <c r="ED54" i="4"/>
  <c r="ED55" i="4"/>
  <c r="ED56" i="4"/>
  <c r="ED57" i="4"/>
  <c r="ED58" i="4"/>
  <c r="ED59" i="4"/>
  <c r="ED60" i="4"/>
  <c r="ED61" i="4"/>
  <c r="ED62" i="4"/>
  <c r="ED63" i="4"/>
  <c r="ED64" i="4"/>
  <c r="ED65" i="4"/>
  <c r="ED66" i="4"/>
  <c r="ED67" i="4"/>
  <c r="ED68" i="4"/>
  <c r="ED69" i="4"/>
  <c r="ED70" i="4"/>
  <c r="ED71" i="4"/>
  <c r="ED72" i="4"/>
  <c r="ED73" i="4"/>
  <c r="ED74" i="4"/>
  <c r="ED75" i="4"/>
  <c r="ED76" i="4"/>
  <c r="ED77" i="4"/>
  <c r="ED78" i="4"/>
  <c r="ED79" i="4"/>
  <c r="ED80" i="4"/>
  <c r="ED81" i="4"/>
  <c r="ED82" i="4"/>
  <c r="ED83" i="4"/>
  <c r="ED84" i="4"/>
  <c r="ED85" i="4"/>
  <c r="ED86" i="4"/>
  <c r="ED87" i="4"/>
  <c r="ED88" i="4"/>
  <c r="ED89" i="4"/>
  <c r="ED90" i="4"/>
  <c r="ED91" i="4"/>
  <c r="ED92" i="4"/>
  <c r="ED93" i="4"/>
  <c r="ED94" i="4"/>
  <c r="ED95" i="4"/>
  <c r="ED96" i="4"/>
  <c r="ED97" i="4"/>
  <c r="ED98" i="4"/>
  <c r="ED99" i="4"/>
  <c r="ED100" i="4"/>
  <c r="ED101" i="4"/>
  <c r="ED102" i="4"/>
  <c r="ED103" i="4"/>
  <c r="ED104" i="4"/>
  <c r="ED105" i="4"/>
  <c r="ED106" i="4"/>
  <c r="ED107" i="4"/>
  <c r="ED108" i="4"/>
  <c r="ED109" i="4"/>
  <c r="ED110" i="4"/>
  <c r="ED111" i="4"/>
  <c r="ED112" i="4"/>
  <c r="ED113" i="4"/>
  <c r="ED114" i="4"/>
  <c r="ED115" i="4"/>
  <c r="ED116" i="4"/>
  <c r="ED117" i="4"/>
  <c r="ED118" i="4"/>
  <c r="ED119" i="4"/>
  <c r="ED120" i="4"/>
  <c r="ED121" i="4"/>
  <c r="ED122" i="4"/>
  <c r="ED123" i="4"/>
  <c r="ED124" i="4"/>
  <c r="ED125" i="4"/>
  <c r="ED126" i="4"/>
  <c r="ED127" i="4"/>
  <c r="ED128" i="4"/>
  <c r="ED129" i="4"/>
  <c r="ED130" i="4"/>
  <c r="ED131" i="4"/>
  <c r="ED132" i="4"/>
  <c r="ED133" i="4"/>
  <c r="ED134" i="4"/>
  <c r="ED135" i="4"/>
  <c r="ED136" i="4"/>
  <c r="ED137" i="4"/>
  <c r="ED138" i="4"/>
  <c r="ED139" i="4"/>
  <c r="ED140" i="4"/>
  <c r="ED141" i="4"/>
  <c r="ED142" i="4"/>
  <c r="ED143" i="4"/>
  <c r="ED144" i="4"/>
  <c r="ED145" i="4"/>
  <c r="ED146" i="4"/>
  <c r="ED147" i="4"/>
  <c r="ED148" i="4"/>
  <c r="ED149" i="4"/>
  <c r="ED150" i="4"/>
  <c r="ED151" i="4"/>
  <c r="ED152" i="4"/>
  <c r="ED153" i="4"/>
  <c r="ED154" i="4"/>
  <c r="ED155" i="4"/>
  <c r="ED156" i="4"/>
  <c r="ED157" i="4"/>
  <c r="ED158" i="4"/>
  <c r="ED159" i="4"/>
  <c r="ED160" i="4"/>
  <c r="ED161" i="4"/>
  <c r="ED162" i="4"/>
  <c r="ED163" i="4"/>
  <c r="ED164" i="4"/>
  <c r="ED165" i="4"/>
  <c r="ED166" i="4"/>
  <c r="ED167" i="4"/>
  <c r="ED168" i="4"/>
  <c r="ED169" i="4"/>
  <c r="ED170" i="4"/>
  <c r="ED171" i="4"/>
  <c r="ED172" i="4"/>
  <c r="ED173" i="4"/>
  <c r="ED174" i="4"/>
  <c r="ED175" i="4"/>
  <c r="EC2" i="4"/>
  <c r="EC3" i="4"/>
  <c r="EC4" i="4"/>
  <c r="EC5" i="4"/>
  <c r="EC6" i="4"/>
  <c r="EC7" i="4"/>
  <c r="EC8" i="4"/>
  <c r="EC9" i="4"/>
  <c r="EC10" i="4"/>
  <c r="EC11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41" i="4"/>
  <c r="EC42" i="4"/>
  <c r="EC43" i="4"/>
  <c r="EC44" i="4"/>
  <c r="EC45" i="4"/>
  <c r="EC46" i="4"/>
  <c r="EC47" i="4"/>
  <c r="EC48" i="4"/>
  <c r="EC49" i="4"/>
  <c r="EC50" i="4"/>
  <c r="EC51" i="4"/>
  <c r="EC52" i="4"/>
  <c r="EC53" i="4"/>
  <c r="EC54" i="4"/>
  <c r="EC55" i="4"/>
  <c r="EC56" i="4"/>
  <c r="EC57" i="4"/>
  <c r="EC58" i="4"/>
  <c r="EC59" i="4"/>
  <c r="EC60" i="4"/>
  <c r="EC61" i="4"/>
  <c r="EC62" i="4"/>
  <c r="EC63" i="4"/>
  <c r="EC64" i="4"/>
  <c r="EC65" i="4"/>
  <c r="EC66" i="4"/>
  <c r="EC67" i="4"/>
  <c r="EC68" i="4"/>
  <c r="EC69" i="4"/>
  <c r="EC70" i="4"/>
  <c r="EC71" i="4"/>
  <c r="EC72" i="4"/>
  <c r="EC73" i="4"/>
  <c r="EC74" i="4"/>
  <c r="EC75" i="4"/>
  <c r="EC76" i="4"/>
  <c r="EC77" i="4"/>
  <c r="EC78" i="4"/>
  <c r="EC79" i="4"/>
  <c r="EC80" i="4"/>
  <c r="EC81" i="4"/>
  <c r="EC82" i="4"/>
  <c r="EC83" i="4"/>
  <c r="EC84" i="4"/>
  <c r="EC85" i="4"/>
  <c r="EC86" i="4"/>
  <c r="EC87" i="4"/>
  <c r="EC88" i="4"/>
  <c r="EC89" i="4"/>
  <c r="EC90" i="4"/>
  <c r="EC91" i="4"/>
  <c r="EC92" i="4"/>
  <c r="EC93" i="4"/>
  <c r="EC94" i="4"/>
  <c r="EC95" i="4"/>
  <c r="EC96" i="4"/>
  <c r="EC97" i="4"/>
  <c r="EC98" i="4"/>
  <c r="EC99" i="4"/>
  <c r="EC100" i="4"/>
  <c r="EC101" i="4"/>
  <c r="EC102" i="4"/>
  <c r="EC103" i="4"/>
  <c r="EC104" i="4"/>
  <c r="EC105" i="4"/>
  <c r="EC106" i="4"/>
  <c r="EC107" i="4"/>
  <c r="EC108" i="4"/>
  <c r="EC109" i="4"/>
  <c r="EC110" i="4"/>
  <c r="EC111" i="4"/>
  <c r="EC112" i="4"/>
  <c r="EC113" i="4"/>
  <c r="EC114" i="4"/>
  <c r="EC115" i="4"/>
  <c r="EC116" i="4"/>
  <c r="EC117" i="4"/>
  <c r="EC118" i="4"/>
  <c r="EC119" i="4"/>
  <c r="EC120" i="4"/>
  <c r="EC121" i="4"/>
  <c r="EC122" i="4"/>
  <c r="EC123" i="4"/>
  <c r="EC124" i="4"/>
  <c r="EC125" i="4"/>
  <c r="EC126" i="4"/>
  <c r="EC127" i="4"/>
  <c r="EC128" i="4"/>
  <c r="EC129" i="4"/>
  <c r="EC130" i="4"/>
  <c r="EC131" i="4"/>
  <c r="EC132" i="4"/>
  <c r="EC133" i="4"/>
  <c r="EC134" i="4"/>
  <c r="EC135" i="4"/>
  <c r="EC136" i="4"/>
  <c r="EC137" i="4"/>
  <c r="EC138" i="4"/>
  <c r="EC139" i="4"/>
  <c r="EC140" i="4"/>
  <c r="EC141" i="4"/>
  <c r="EC142" i="4"/>
  <c r="EC143" i="4"/>
  <c r="EC144" i="4"/>
  <c r="EC145" i="4"/>
  <c r="EC146" i="4"/>
  <c r="EC147" i="4"/>
  <c r="EC148" i="4"/>
  <c r="EC149" i="4"/>
  <c r="EC150" i="4"/>
  <c r="EC151" i="4"/>
  <c r="EC152" i="4"/>
  <c r="EC153" i="4"/>
  <c r="EC154" i="4"/>
  <c r="EC155" i="4"/>
  <c r="EC156" i="4"/>
  <c r="EC157" i="4"/>
  <c r="EC158" i="4"/>
  <c r="EC159" i="4"/>
  <c r="EC160" i="4"/>
  <c r="EC161" i="4"/>
  <c r="EC162" i="4"/>
  <c r="EC163" i="4"/>
  <c r="EC164" i="4"/>
  <c r="EC165" i="4"/>
  <c r="EC166" i="4"/>
  <c r="EC167" i="4"/>
  <c r="EC168" i="4"/>
  <c r="EC169" i="4"/>
  <c r="EC170" i="4"/>
  <c r="EC171" i="4"/>
  <c r="EC172" i="4"/>
  <c r="EC173" i="4"/>
  <c r="EC174" i="4"/>
  <c r="EC175" i="4"/>
  <c r="EB2" i="4"/>
  <c r="EB3" i="4"/>
  <c r="EB4" i="4"/>
  <c r="EB5" i="4"/>
  <c r="EB6" i="4"/>
  <c r="EB7" i="4"/>
  <c r="EB8" i="4"/>
  <c r="EB9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41" i="4"/>
  <c r="EB42" i="4"/>
  <c r="EB43" i="4"/>
  <c r="EB44" i="4"/>
  <c r="EB45" i="4"/>
  <c r="EB46" i="4"/>
  <c r="EB47" i="4"/>
  <c r="EB48" i="4"/>
  <c r="EB49" i="4"/>
  <c r="EB50" i="4"/>
  <c r="EB51" i="4"/>
  <c r="EB52" i="4"/>
  <c r="EB53" i="4"/>
  <c r="EB54" i="4"/>
  <c r="EB55" i="4"/>
  <c r="EB56" i="4"/>
  <c r="EB57" i="4"/>
  <c r="EB58" i="4"/>
  <c r="EB59" i="4"/>
  <c r="EB60" i="4"/>
  <c r="EB61" i="4"/>
  <c r="EB62" i="4"/>
  <c r="EB63" i="4"/>
  <c r="EB64" i="4"/>
  <c r="EB65" i="4"/>
  <c r="EB66" i="4"/>
  <c r="EB67" i="4"/>
  <c r="EB68" i="4"/>
  <c r="EB69" i="4"/>
  <c r="EB70" i="4"/>
  <c r="EB71" i="4"/>
  <c r="EB72" i="4"/>
  <c r="EB73" i="4"/>
  <c r="EB74" i="4"/>
  <c r="EB75" i="4"/>
  <c r="EB76" i="4"/>
  <c r="EB77" i="4"/>
  <c r="EB78" i="4"/>
  <c r="EB79" i="4"/>
  <c r="EB80" i="4"/>
  <c r="EB81" i="4"/>
  <c r="EB82" i="4"/>
  <c r="EB83" i="4"/>
  <c r="EB84" i="4"/>
  <c r="EB85" i="4"/>
  <c r="EB86" i="4"/>
  <c r="EB87" i="4"/>
  <c r="EB88" i="4"/>
  <c r="EB89" i="4"/>
  <c r="EB90" i="4"/>
  <c r="EB91" i="4"/>
  <c r="EB92" i="4"/>
  <c r="EB93" i="4"/>
  <c r="EB94" i="4"/>
  <c r="EB95" i="4"/>
  <c r="EB96" i="4"/>
  <c r="EB97" i="4"/>
  <c r="EB98" i="4"/>
  <c r="EB99" i="4"/>
  <c r="EB100" i="4"/>
  <c r="EB101" i="4"/>
  <c r="EB102" i="4"/>
  <c r="EB103" i="4"/>
  <c r="EB104" i="4"/>
  <c r="EB105" i="4"/>
  <c r="EB106" i="4"/>
  <c r="EB107" i="4"/>
  <c r="EB108" i="4"/>
  <c r="EB109" i="4"/>
  <c r="EB110" i="4"/>
  <c r="EB111" i="4"/>
  <c r="EB112" i="4"/>
  <c r="EB113" i="4"/>
  <c r="EB114" i="4"/>
  <c r="EB115" i="4"/>
  <c r="EB116" i="4"/>
  <c r="EB117" i="4"/>
  <c r="EB118" i="4"/>
  <c r="EB119" i="4"/>
  <c r="EB120" i="4"/>
  <c r="EB121" i="4"/>
  <c r="EB122" i="4"/>
  <c r="EB123" i="4"/>
  <c r="EB124" i="4"/>
  <c r="EB125" i="4"/>
  <c r="EB126" i="4"/>
  <c r="EB127" i="4"/>
  <c r="EB128" i="4"/>
  <c r="EB129" i="4"/>
  <c r="EB130" i="4"/>
  <c r="EB131" i="4"/>
  <c r="EB132" i="4"/>
  <c r="EB133" i="4"/>
  <c r="EB134" i="4"/>
  <c r="EB135" i="4"/>
  <c r="EB136" i="4"/>
  <c r="EB137" i="4"/>
  <c r="EB138" i="4"/>
  <c r="EB139" i="4"/>
  <c r="EB140" i="4"/>
  <c r="EB141" i="4"/>
  <c r="EB142" i="4"/>
  <c r="EB143" i="4"/>
  <c r="EB144" i="4"/>
  <c r="EB145" i="4"/>
  <c r="EB146" i="4"/>
  <c r="EB147" i="4"/>
  <c r="EB148" i="4"/>
  <c r="EB149" i="4"/>
  <c r="EB150" i="4"/>
  <c r="EB151" i="4"/>
  <c r="EB152" i="4"/>
  <c r="EB153" i="4"/>
  <c r="EB154" i="4"/>
  <c r="EB155" i="4"/>
  <c r="EB156" i="4"/>
  <c r="EB157" i="4"/>
  <c r="EB158" i="4"/>
  <c r="EB159" i="4"/>
  <c r="EB160" i="4"/>
  <c r="EB161" i="4"/>
  <c r="EB162" i="4"/>
  <c r="EB163" i="4"/>
  <c r="EB164" i="4"/>
  <c r="EB165" i="4"/>
  <c r="EB166" i="4"/>
  <c r="EB167" i="4"/>
  <c r="EB168" i="4"/>
  <c r="EB169" i="4"/>
  <c r="EB170" i="4"/>
  <c r="EB171" i="4"/>
  <c r="EB172" i="4"/>
  <c r="EB173" i="4"/>
  <c r="EB174" i="4"/>
  <c r="EB175" i="4"/>
  <c r="EA2" i="4"/>
  <c r="EA3" i="4"/>
  <c r="EA4" i="4"/>
  <c r="EA5" i="4"/>
  <c r="EA6" i="4"/>
  <c r="EA7" i="4"/>
  <c r="EA8" i="4"/>
  <c r="EA9" i="4"/>
  <c r="EA10" i="4"/>
  <c r="EA11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41" i="4"/>
  <c r="EA42" i="4"/>
  <c r="EA43" i="4"/>
  <c r="EA44" i="4"/>
  <c r="EA45" i="4"/>
  <c r="EA46" i="4"/>
  <c r="EA47" i="4"/>
  <c r="EA48" i="4"/>
  <c r="EA49" i="4"/>
  <c r="EA50" i="4"/>
  <c r="EA51" i="4"/>
  <c r="EA52" i="4"/>
  <c r="EA53" i="4"/>
  <c r="EA54" i="4"/>
  <c r="EA55" i="4"/>
  <c r="EA56" i="4"/>
  <c r="EA57" i="4"/>
  <c r="EA58" i="4"/>
  <c r="EA59" i="4"/>
  <c r="EA60" i="4"/>
  <c r="EA61" i="4"/>
  <c r="EA62" i="4"/>
  <c r="EA63" i="4"/>
  <c r="EA64" i="4"/>
  <c r="EA65" i="4"/>
  <c r="EA66" i="4"/>
  <c r="EA67" i="4"/>
  <c r="EA68" i="4"/>
  <c r="EA69" i="4"/>
  <c r="EA70" i="4"/>
  <c r="EA71" i="4"/>
  <c r="EA72" i="4"/>
  <c r="EA73" i="4"/>
  <c r="EA74" i="4"/>
  <c r="EA75" i="4"/>
  <c r="EA76" i="4"/>
  <c r="EA77" i="4"/>
  <c r="EA78" i="4"/>
  <c r="EA79" i="4"/>
  <c r="EA80" i="4"/>
  <c r="EA81" i="4"/>
  <c r="EA82" i="4"/>
  <c r="EA83" i="4"/>
  <c r="EA84" i="4"/>
  <c r="EA85" i="4"/>
  <c r="EA86" i="4"/>
  <c r="EA87" i="4"/>
  <c r="EA88" i="4"/>
  <c r="EA89" i="4"/>
  <c r="EA90" i="4"/>
  <c r="EA91" i="4"/>
  <c r="EA92" i="4"/>
  <c r="EA93" i="4"/>
  <c r="EA94" i="4"/>
  <c r="EA95" i="4"/>
  <c r="EA96" i="4"/>
  <c r="EA97" i="4"/>
  <c r="EA98" i="4"/>
  <c r="EA99" i="4"/>
  <c r="EA100" i="4"/>
  <c r="EA101" i="4"/>
  <c r="EA102" i="4"/>
  <c r="EA103" i="4"/>
  <c r="EA104" i="4"/>
  <c r="EA105" i="4"/>
  <c r="EA106" i="4"/>
  <c r="EA107" i="4"/>
  <c r="EA108" i="4"/>
  <c r="EA109" i="4"/>
  <c r="EA110" i="4"/>
  <c r="EA111" i="4"/>
  <c r="EA112" i="4"/>
  <c r="EA113" i="4"/>
  <c r="EA114" i="4"/>
  <c r="EA115" i="4"/>
  <c r="EA116" i="4"/>
  <c r="EA117" i="4"/>
  <c r="EA118" i="4"/>
  <c r="EA119" i="4"/>
  <c r="EA120" i="4"/>
  <c r="EA121" i="4"/>
  <c r="EA122" i="4"/>
  <c r="EA123" i="4"/>
  <c r="EA124" i="4"/>
  <c r="EA125" i="4"/>
  <c r="EA126" i="4"/>
  <c r="EA127" i="4"/>
  <c r="EA128" i="4"/>
  <c r="EA129" i="4"/>
  <c r="EA130" i="4"/>
  <c r="EA131" i="4"/>
  <c r="EA132" i="4"/>
  <c r="EA133" i="4"/>
  <c r="EA134" i="4"/>
  <c r="EA135" i="4"/>
  <c r="EA136" i="4"/>
  <c r="EA137" i="4"/>
  <c r="EA138" i="4"/>
  <c r="EA139" i="4"/>
  <c r="EA140" i="4"/>
  <c r="EA141" i="4"/>
  <c r="EA142" i="4"/>
  <c r="EA143" i="4"/>
  <c r="EA144" i="4"/>
  <c r="EA145" i="4"/>
  <c r="EA146" i="4"/>
  <c r="EA147" i="4"/>
  <c r="EA148" i="4"/>
  <c r="EA149" i="4"/>
  <c r="EA150" i="4"/>
  <c r="EA151" i="4"/>
  <c r="EA152" i="4"/>
  <c r="EA153" i="4"/>
  <c r="EA154" i="4"/>
  <c r="EA155" i="4"/>
  <c r="EA156" i="4"/>
  <c r="EA157" i="4"/>
  <c r="EA158" i="4"/>
  <c r="EA159" i="4"/>
  <c r="EA160" i="4"/>
  <c r="EA161" i="4"/>
  <c r="EA162" i="4"/>
  <c r="EA163" i="4"/>
  <c r="EA164" i="4"/>
  <c r="EA165" i="4"/>
  <c r="EA166" i="4"/>
  <c r="EA167" i="4"/>
  <c r="EA168" i="4"/>
  <c r="EA169" i="4"/>
  <c r="EA170" i="4"/>
  <c r="EA171" i="4"/>
  <c r="EA172" i="4"/>
  <c r="EA173" i="4"/>
  <c r="EA174" i="4"/>
  <c r="EA175" i="4"/>
  <c r="DZ2" i="4"/>
  <c r="DZ3" i="4"/>
  <c r="DZ4" i="4"/>
  <c r="DZ5" i="4"/>
  <c r="DZ6" i="4"/>
  <c r="DZ7" i="4"/>
  <c r="DZ8" i="4"/>
  <c r="DZ9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41" i="4"/>
  <c r="DZ42" i="4"/>
  <c r="DZ43" i="4"/>
  <c r="DZ44" i="4"/>
  <c r="DZ45" i="4"/>
  <c r="DZ46" i="4"/>
  <c r="DZ47" i="4"/>
  <c r="DZ48" i="4"/>
  <c r="DZ49" i="4"/>
  <c r="DZ50" i="4"/>
  <c r="DZ51" i="4"/>
  <c r="DZ52" i="4"/>
  <c r="DZ53" i="4"/>
  <c r="DZ54" i="4"/>
  <c r="DZ55" i="4"/>
  <c r="DZ56" i="4"/>
  <c r="DZ57" i="4"/>
  <c r="DZ58" i="4"/>
  <c r="DZ59" i="4"/>
  <c r="DZ60" i="4"/>
  <c r="DZ61" i="4"/>
  <c r="DZ62" i="4"/>
  <c r="DZ63" i="4"/>
  <c r="DZ64" i="4"/>
  <c r="DZ65" i="4"/>
  <c r="DZ66" i="4"/>
  <c r="DZ67" i="4"/>
  <c r="DZ68" i="4"/>
  <c r="DZ69" i="4"/>
  <c r="DZ70" i="4"/>
  <c r="DZ71" i="4"/>
  <c r="DZ72" i="4"/>
  <c r="DZ73" i="4"/>
  <c r="DZ74" i="4"/>
  <c r="DZ75" i="4"/>
  <c r="DZ76" i="4"/>
  <c r="DZ77" i="4"/>
  <c r="DZ78" i="4"/>
  <c r="DZ79" i="4"/>
  <c r="DZ80" i="4"/>
  <c r="DZ81" i="4"/>
  <c r="DZ82" i="4"/>
  <c r="DZ83" i="4"/>
  <c r="DZ84" i="4"/>
  <c r="DZ85" i="4"/>
  <c r="DZ86" i="4"/>
  <c r="DZ87" i="4"/>
  <c r="DZ88" i="4"/>
  <c r="DZ89" i="4"/>
  <c r="DZ90" i="4"/>
  <c r="DZ91" i="4"/>
  <c r="DZ92" i="4"/>
  <c r="DZ93" i="4"/>
  <c r="DZ94" i="4"/>
  <c r="DZ95" i="4"/>
  <c r="DZ96" i="4"/>
  <c r="DZ97" i="4"/>
  <c r="DZ98" i="4"/>
  <c r="DZ99" i="4"/>
  <c r="DZ100" i="4"/>
  <c r="DZ101" i="4"/>
  <c r="DZ102" i="4"/>
  <c r="DZ103" i="4"/>
  <c r="DZ104" i="4"/>
  <c r="DZ105" i="4"/>
  <c r="DZ106" i="4"/>
  <c r="DZ107" i="4"/>
  <c r="DZ108" i="4"/>
  <c r="DZ109" i="4"/>
  <c r="DZ110" i="4"/>
  <c r="DZ111" i="4"/>
  <c r="DZ112" i="4"/>
  <c r="DZ113" i="4"/>
  <c r="DZ114" i="4"/>
  <c r="DZ115" i="4"/>
  <c r="DZ116" i="4"/>
  <c r="DZ117" i="4"/>
  <c r="DZ118" i="4"/>
  <c r="DZ119" i="4"/>
  <c r="DZ120" i="4"/>
  <c r="DZ121" i="4"/>
  <c r="DZ122" i="4"/>
  <c r="DZ123" i="4"/>
  <c r="DZ124" i="4"/>
  <c r="DZ125" i="4"/>
  <c r="DZ126" i="4"/>
  <c r="DZ127" i="4"/>
  <c r="DZ128" i="4"/>
  <c r="DZ129" i="4"/>
  <c r="DZ130" i="4"/>
  <c r="DZ131" i="4"/>
  <c r="DZ132" i="4"/>
  <c r="DZ133" i="4"/>
  <c r="DZ134" i="4"/>
  <c r="DZ135" i="4"/>
  <c r="DZ136" i="4"/>
  <c r="DZ137" i="4"/>
  <c r="DZ138" i="4"/>
  <c r="DZ139" i="4"/>
  <c r="DZ140" i="4"/>
  <c r="DZ141" i="4"/>
  <c r="DZ142" i="4"/>
  <c r="DZ143" i="4"/>
  <c r="DZ144" i="4"/>
  <c r="DZ145" i="4"/>
  <c r="DZ146" i="4"/>
  <c r="DZ147" i="4"/>
  <c r="DZ148" i="4"/>
  <c r="DZ149" i="4"/>
  <c r="DZ150" i="4"/>
  <c r="DZ151" i="4"/>
  <c r="DZ152" i="4"/>
  <c r="DZ153" i="4"/>
  <c r="DZ154" i="4"/>
  <c r="DZ155" i="4"/>
  <c r="DZ156" i="4"/>
  <c r="DZ157" i="4"/>
  <c r="DZ158" i="4"/>
  <c r="DZ159" i="4"/>
  <c r="DZ160" i="4"/>
  <c r="DZ161" i="4"/>
  <c r="DZ162" i="4"/>
  <c r="DZ163" i="4"/>
  <c r="DZ164" i="4"/>
  <c r="DZ165" i="4"/>
  <c r="DZ166" i="4"/>
  <c r="DZ167" i="4"/>
  <c r="DZ168" i="4"/>
  <c r="DZ169" i="4"/>
  <c r="DZ170" i="4"/>
  <c r="DZ171" i="4"/>
  <c r="DZ172" i="4"/>
  <c r="DZ173" i="4"/>
  <c r="DZ174" i="4"/>
  <c r="DZ175" i="4"/>
  <c r="DY2" i="4"/>
  <c r="DY3" i="4"/>
  <c r="DY4" i="4"/>
  <c r="DY5" i="4"/>
  <c r="DY6" i="4"/>
  <c r="DY7" i="4"/>
  <c r="DY8" i="4"/>
  <c r="DY9" i="4"/>
  <c r="DY10" i="4"/>
  <c r="DY11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41" i="4"/>
  <c r="DY42" i="4"/>
  <c r="DY43" i="4"/>
  <c r="DY44" i="4"/>
  <c r="DY45" i="4"/>
  <c r="DY46" i="4"/>
  <c r="DY47" i="4"/>
  <c r="DY48" i="4"/>
  <c r="DY49" i="4"/>
  <c r="DY50" i="4"/>
  <c r="DY51" i="4"/>
  <c r="DY52" i="4"/>
  <c r="DY53" i="4"/>
  <c r="DY54" i="4"/>
  <c r="DY55" i="4"/>
  <c r="DY56" i="4"/>
  <c r="DY57" i="4"/>
  <c r="DY58" i="4"/>
  <c r="DY59" i="4"/>
  <c r="DY60" i="4"/>
  <c r="DY61" i="4"/>
  <c r="DY62" i="4"/>
  <c r="DY63" i="4"/>
  <c r="DY64" i="4"/>
  <c r="DY65" i="4"/>
  <c r="DY66" i="4"/>
  <c r="DY67" i="4"/>
  <c r="DY68" i="4"/>
  <c r="DY69" i="4"/>
  <c r="DY70" i="4"/>
  <c r="DY71" i="4"/>
  <c r="DY72" i="4"/>
  <c r="DY73" i="4"/>
  <c r="DY74" i="4"/>
  <c r="DY75" i="4"/>
  <c r="DY76" i="4"/>
  <c r="DY77" i="4"/>
  <c r="DY78" i="4"/>
  <c r="DY79" i="4"/>
  <c r="DY80" i="4"/>
  <c r="DY81" i="4"/>
  <c r="DY82" i="4"/>
  <c r="DY83" i="4"/>
  <c r="DY84" i="4"/>
  <c r="DY85" i="4"/>
  <c r="DY86" i="4"/>
  <c r="DY87" i="4"/>
  <c r="DY88" i="4"/>
  <c r="DY89" i="4"/>
  <c r="DY90" i="4"/>
  <c r="DY91" i="4"/>
  <c r="DY92" i="4"/>
  <c r="DY93" i="4"/>
  <c r="DY94" i="4"/>
  <c r="DY95" i="4"/>
  <c r="DY96" i="4"/>
  <c r="DY97" i="4"/>
  <c r="DY98" i="4"/>
  <c r="DY99" i="4"/>
  <c r="DY100" i="4"/>
  <c r="DY101" i="4"/>
  <c r="DY102" i="4"/>
  <c r="DY103" i="4"/>
  <c r="DY104" i="4"/>
  <c r="DY105" i="4"/>
  <c r="DY106" i="4"/>
  <c r="DY107" i="4"/>
  <c r="DY108" i="4"/>
  <c r="DY109" i="4"/>
  <c r="DY110" i="4"/>
  <c r="DY111" i="4"/>
  <c r="DY112" i="4"/>
  <c r="DY113" i="4"/>
  <c r="DY114" i="4"/>
  <c r="DY115" i="4"/>
  <c r="DY116" i="4"/>
  <c r="DY117" i="4"/>
  <c r="DY118" i="4"/>
  <c r="DY119" i="4"/>
  <c r="DY120" i="4"/>
  <c r="DY121" i="4"/>
  <c r="DY122" i="4"/>
  <c r="DY123" i="4"/>
  <c r="DY124" i="4"/>
  <c r="DY125" i="4"/>
  <c r="DY126" i="4"/>
  <c r="DY127" i="4"/>
  <c r="DY128" i="4"/>
  <c r="DY129" i="4"/>
  <c r="DY130" i="4"/>
  <c r="DY131" i="4"/>
  <c r="DY132" i="4"/>
  <c r="DY133" i="4"/>
  <c r="DY134" i="4"/>
  <c r="DY135" i="4"/>
  <c r="DY136" i="4"/>
  <c r="DY137" i="4"/>
  <c r="DY138" i="4"/>
  <c r="DY139" i="4"/>
  <c r="DY140" i="4"/>
  <c r="DY141" i="4"/>
  <c r="DY142" i="4"/>
  <c r="DY143" i="4"/>
  <c r="DY144" i="4"/>
  <c r="DY145" i="4"/>
  <c r="DY146" i="4"/>
  <c r="DY147" i="4"/>
  <c r="DY148" i="4"/>
  <c r="DY149" i="4"/>
  <c r="DY150" i="4"/>
  <c r="DY151" i="4"/>
  <c r="DY152" i="4"/>
  <c r="DY153" i="4"/>
  <c r="DY154" i="4"/>
  <c r="DY155" i="4"/>
  <c r="DY156" i="4"/>
  <c r="DY157" i="4"/>
  <c r="DY158" i="4"/>
  <c r="DY159" i="4"/>
  <c r="DY160" i="4"/>
  <c r="DY161" i="4"/>
  <c r="DY162" i="4"/>
  <c r="DY163" i="4"/>
  <c r="DY164" i="4"/>
  <c r="DY165" i="4"/>
  <c r="DY166" i="4"/>
  <c r="DY167" i="4"/>
  <c r="DY168" i="4"/>
  <c r="DY169" i="4"/>
  <c r="DY170" i="4"/>
  <c r="DY171" i="4"/>
  <c r="DY172" i="4"/>
  <c r="DY173" i="4"/>
  <c r="DY174" i="4"/>
  <c r="DY175" i="4"/>
  <c r="DX2" i="4"/>
  <c r="DX3" i="4"/>
  <c r="DX4" i="4"/>
  <c r="DX5" i="4"/>
  <c r="DX6" i="4"/>
  <c r="DX7" i="4"/>
  <c r="DX8" i="4"/>
  <c r="DX9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41" i="4"/>
  <c r="DX42" i="4"/>
  <c r="DX43" i="4"/>
  <c r="DX44" i="4"/>
  <c r="DX45" i="4"/>
  <c r="DX46" i="4"/>
  <c r="DX47" i="4"/>
  <c r="DX48" i="4"/>
  <c r="DX49" i="4"/>
  <c r="DX50" i="4"/>
  <c r="DX51" i="4"/>
  <c r="DX52" i="4"/>
  <c r="DX53" i="4"/>
  <c r="DX54" i="4"/>
  <c r="DX55" i="4"/>
  <c r="DX56" i="4"/>
  <c r="DX57" i="4"/>
  <c r="DX58" i="4"/>
  <c r="DX59" i="4"/>
  <c r="DX60" i="4"/>
  <c r="DX61" i="4"/>
  <c r="DX62" i="4"/>
  <c r="DX63" i="4"/>
  <c r="DX64" i="4"/>
  <c r="DX65" i="4"/>
  <c r="DX66" i="4"/>
  <c r="DX67" i="4"/>
  <c r="DX68" i="4"/>
  <c r="DX69" i="4"/>
  <c r="DX70" i="4"/>
  <c r="DX71" i="4"/>
  <c r="DX72" i="4"/>
  <c r="DX73" i="4"/>
  <c r="DX74" i="4"/>
  <c r="DX75" i="4"/>
  <c r="DX76" i="4"/>
  <c r="DX77" i="4"/>
  <c r="DX78" i="4"/>
  <c r="DX79" i="4"/>
  <c r="DX80" i="4"/>
  <c r="DX81" i="4"/>
  <c r="DX82" i="4"/>
  <c r="DX83" i="4"/>
  <c r="DX84" i="4"/>
  <c r="DX85" i="4"/>
  <c r="DX86" i="4"/>
  <c r="DX87" i="4"/>
  <c r="DX88" i="4"/>
  <c r="DX89" i="4"/>
  <c r="DX90" i="4"/>
  <c r="DX91" i="4"/>
  <c r="DX92" i="4"/>
  <c r="DX93" i="4"/>
  <c r="DX94" i="4"/>
  <c r="DX95" i="4"/>
  <c r="DX96" i="4"/>
  <c r="DX97" i="4"/>
  <c r="DX98" i="4"/>
  <c r="DX99" i="4"/>
  <c r="DX100" i="4"/>
  <c r="DX101" i="4"/>
  <c r="DX102" i="4"/>
  <c r="DX103" i="4"/>
  <c r="DX104" i="4"/>
  <c r="DX105" i="4"/>
  <c r="DX106" i="4"/>
  <c r="DX107" i="4"/>
  <c r="DX108" i="4"/>
  <c r="DX109" i="4"/>
  <c r="DX110" i="4"/>
  <c r="DX111" i="4"/>
  <c r="DX112" i="4"/>
  <c r="DX113" i="4"/>
  <c r="DX114" i="4"/>
  <c r="DX115" i="4"/>
  <c r="DX116" i="4"/>
  <c r="DX117" i="4"/>
  <c r="DX118" i="4"/>
  <c r="DX119" i="4"/>
  <c r="DX120" i="4"/>
  <c r="DX121" i="4"/>
  <c r="DX122" i="4"/>
  <c r="DX123" i="4"/>
  <c r="DX124" i="4"/>
  <c r="DX125" i="4"/>
  <c r="DX126" i="4"/>
  <c r="DX127" i="4"/>
  <c r="DX128" i="4"/>
  <c r="DX129" i="4"/>
  <c r="DX130" i="4"/>
  <c r="DX131" i="4"/>
  <c r="DX132" i="4"/>
  <c r="DX133" i="4"/>
  <c r="DX134" i="4"/>
  <c r="DX135" i="4"/>
  <c r="DX136" i="4"/>
  <c r="DX137" i="4"/>
  <c r="DX138" i="4"/>
  <c r="DX139" i="4"/>
  <c r="DX140" i="4"/>
  <c r="DX141" i="4"/>
  <c r="DX142" i="4"/>
  <c r="DX143" i="4"/>
  <c r="DX144" i="4"/>
  <c r="DX145" i="4"/>
  <c r="DX146" i="4"/>
  <c r="DX147" i="4"/>
  <c r="DX148" i="4"/>
  <c r="DX149" i="4"/>
  <c r="DX150" i="4"/>
  <c r="DX151" i="4"/>
  <c r="DX152" i="4"/>
  <c r="DX153" i="4"/>
  <c r="DX154" i="4"/>
  <c r="DX155" i="4"/>
  <c r="DX156" i="4"/>
  <c r="DX157" i="4"/>
  <c r="DX158" i="4"/>
  <c r="DX159" i="4"/>
  <c r="DX160" i="4"/>
  <c r="DX161" i="4"/>
  <c r="DX162" i="4"/>
  <c r="DX163" i="4"/>
  <c r="DX164" i="4"/>
  <c r="DX165" i="4"/>
  <c r="DX166" i="4"/>
  <c r="DX167" i="4"/>
  <c r="DX168" i="4"/>
  <c r="DX169" i="4"/>
  <c r="DX170" i="4"/>
  <c r="DX171" i="4"/>
  <c r="DX172" i="4"/>
  <c r="DX173" i="4"/>
  <c r="DX174" i="4"/>
  <c r="DX175" i="4"/>
  <c r="DW2" i="4"/>
  <c r="DW3" i="4"/>
  <c r="DW4" i="4"/>
  <c r="DW5" i="4"/>
  <c r="DW6" i="4"/>
  <c r="DW7" i="4"/>
  <c r="DW8" i="4"/>
  <c r="DW9" i="4"/>
  <c r="DW10" i="4"/>
  <c r="DW11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41" i="4"/>
  <c r="DW42" i="4"/>
  <c r="DW43" i="4"/>
  <c r="DW44" i="4"/>
  <c r="DW45" i="4"/>
  <c r="DW46" i="4"/>
  <c r="DW47" i="4"/>
  <c r="DW48" i="4"/>
  <c r="DW49" i="4"/>
  <c r="DW50" i="4"/>
  <c r="DW51" i="4"/>
  <c r="DW52" i="4"/>
  <c r="DW53" i="4"/>
  <c r="DW54" i="4"/>
  <c r="DW55" i="4"/>
  <c r="DW56" i="4"/>
  <c r="DW57" i="4"/>
  <c r="DW58" i="4"/>
  <c r="DW59" i="4"/>
  <c r="DW60" i="4"/>
  <c r="DW61" i="4"/>
  <c r="DW62" i="4"/>
  <c r="DW63" i="4"/>
  <c r="DW64" i="4"/>
  <c r="DW65" i="4"/>
  <c r="DW66" i="4"/>
  <c r="DW67" i="4"/>
  <c r="DW68" i="4"/>
  <c r="DW69" i="4"/>
  <c r="DW70" i="4"/>
  <c r="DW71" i="4"/>
  <c r="DW72" i="4"/>
  <c r="DW73" i="4"/>
  <c r="DW74" i="4"/>
  <c r="DW75" i="4"/>
  <c r="DW76" i="4"/>
  <c r="DW77" i="4"/>
  <c r="DW78" i="4"/>
  <c r="DW79" i="4"/>
  <c r="DW80" i="4"/>
  <c r="DW81" i="4"/>
  <c r="DW82" i="4"/>
  <c r="DW83" i="4"/>
  <c r="DW84" i="4"/>
  <c r="DW85" i="4"/>
  <c r="DW86" i="4"/>
  <c r="DW87" i="4"/>
  <c r="DW88" i="4"/>
  <c r="DW89" i="4"/>
  <c r="DW90" i="4"/>
  <c r="DW91" i="4"/>
  <c r="DW92" i="4"/>
  <c r="DW93" i="4"/>
  <c r="DW94" i="4"/>
  <c r="DW95" i="4"/>
  <c r="DW96" i="4"/>
  <c r="DW97" i="4"/>
  <c r="DW98" i="4"/>
  <c r="DW99" i="4"/>
  <c r="DW100" i="4"/>
  <c r="DW101" i="4"/>
  <c r="DW102" i="4"/>
  <c r="DW103" i="4"/>
  <c r="DW104" i="4"/>
  <c r="DW105" i="4"/>
  <c r="DW106" i="4"/>
  <c r="DW107" i="4"/>
  <c r="DW108" i="4"/>
  <c r="DW109" i="4"/>
  <c r="DW110" i="4"/>
  <c r="DW111" i="4"/>
  <c r="DW112" i="4"/>
  <c r="DW113" i="4"/>
  <c r="DW114" i="4"/>
  <c r="DW115" i="4"/>
  <c r="DW116" i="4"/>
  <c r="DW117" i="4"/>
  <c r="DW118" i="4"/>
  <c r="DW119" i="4"/>
  <c r="DW120" i="4"/>
  <c r="DW121" i="4"/>
  <c r="DW122" i="4"/>
  <c r="DW123" i="4"/>
  <c r="DW124" i="4"/>
  <c r="DW125" i="4"/>
  <c r="DW126" i="4"/>
  <c r="DW127" i="4"/>
  <c r="DW128" i="4"/>
  <c r="DW129" i="4"/>
  <c r="DW130" i="4"/>
  <c r="DW131" i="4"/>
  <c r="DW132" i="4"/>
  <c r="DW133" i="4"/>
  <c r="DW134" i="4"/>
  <c r="DW135" i="4"/>
  <c r="DW136" i="4"/>
  <c r="DW137" i="4"/>
  <c r="DW138" i="4"/>
  <c r="DW139" i="4"/>
  <c r="DW140" i="4"/>
  <c r="DW141" i="4"/>
  <c r="DW142" i="4"/>
  <c r="DW143" i="4"/>
  <c r="DW144" i="4"/>
  <c r="DW145" i="4"/>
  <c r="DW146" i="4"/>
  <c r="DW147" i="4"/>
  <c r="DW148" i="4"/>
  <c r="DW149" i="4"/>
  <c r="DW150" i="4"/>
  <c r="DW151" i="4"/>
  <c r="DW152" i="4"/>
  <c r="DW153" i="4"/>
  <c r="DW154" i="4"/>
  <c r="DW155" i="4"/>
  <c r="DW156" i="4"/>
  <c r="DW157" i="4"/>
  <c r="DW158" i="4"/>
  <c r="DW159" i="4"/>
  <c r="DW160" i="4"/>
  <c r="DW161" i="4"/>
  <c r="DW162" i="4"/>
  <c r="DW163" i="4"/>
  <c r="DW164" i="4"/>
  <c r="DW165" i="4"/>
  <c r="DW166" i="4"/>
  <c r="DW167" i="4"/>
  <c r="DW168" i="4"/>
  <c r="DW169" i="4"/>
  <c r="DW170" i="4"/>
  <c r="DW171" i="4"/>
  <c r="DW172" i="4"/>
  <c r="DW173" i="4"/>
  <c r="DW174" i="4"/>
  <c r="DW175" i="4"/>
  <c r="DV2" i="4"/>
  <c r="DV3" i="4"/>
  <c r="DV4" i="4"/>
  <c r="DV5" i="4"/>
  <c r="DV6" i="4"/>
  <c r="DV7" i="4"/>
  <c r="DV8" i="4"/>
  <c r="DV9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41" i="4"/>
  <c r="DV42" i="4"/>
  <c r="DV43" i="4"/>
  <c r="DV44" i="4"/>
  <c r="DV45" i="4"/>
  <c r="DV46" i="4"/>
  <c r="DV47" i="4"/>
  <c r="DV48" i="4"/>
  <c r="DV49" i="4"/>
  <c r="DV50" i="4"/>
  <c r="DV51" i="4"/>
  <c r="DV52" i="4"/>
  <c r="DV53" i="4"/>
  <c r="DV54" i="4"/>
  <c r="DV55" i="4"/>
  <c r="DV56" i="4"/>
  <c r="DV57" i="4"/>
  <c r="DV58" i="4"/>
  <c r="DV59" i="4"/>
  <c r="DV60" i="4"/>
  <c r="DV61" i="4"/>
  <c r="DV62" i="4"/>
  <c r="DV63" i="4"/>
  <c r="DV64" i="4"/>
  <c r="DV65" i="4"/>
  <c r="DV66" i="4"/>
  <c r="DV67" i="4"/>
  <c r="DV68" i="4"/>
  <c r="DV69" i="4"/>
  <c r="DV70" i="4"/>
  <c r="DV71" i="4"/>
  <c r="DV72" i="4"/>
  <c r="DV73" i="4"/>
  <c r="DV74" i="4"/>
  <c r="DV75" i="4"/>
  <c r="DV76" i="4"/>
  <c r="DV77" i="4"/>
  <c r="DV78" i="4"/>
  <c r="DV79" i="4"/>
  <c r="DV80" i="4"/>
  <c r="DV81" i="4"/>
  <c r="DV82" i="4"/>
  <c r="DV83" i="4"/>
  <c r="DV84" i="4"/>
  <c r="DV85" i="4"/>
  <c r="DV86" i="4"/>
  <c r="DV87" i="4"/>
  <c r="DV88" i="4"/>
  <c r="DV89" i="4"/>
  <c r="DV90" i="4"/>
  <c r="DV91" i="4"/>
  <c r="DV92" i="4"/>
  <c r="DV93" i="4"/>
  <c r="DV94" i="4"/>
  <c r="DV95" i="4"/>
  <c r="DV96" i="4"/>
  <c r="DV97" i="4"/>
  <c r="DV98" i="4"/>
  <c r="DV99" i="4"/>
  <c r="DV100" i="4"/>
  <c r="DV101" i="4"/>
  <c r="DV102" i="4"/>
  <c r="DV103" i="4"/>
  <c r="DV104" i="4"/>
  <c r="DV105" i="4"/>
  <c r="DV106" i="4"/>
  <c r="DV107" i="4"/>
  <c r="DV108" i="4"/>
  <c r="DV109" i="4"/>
  <c r="DV110" i="4"/>
  <c r="DV111" i="4"/>
  <c r="DV112" i="4"/>
  <c r="DV113" i="4"/>
  <c r="DV114" i="4"/>
  <c r="DV115" i="4"/>
  <c r="DV116" i="4"/>
  <c r="DV117" i="4"/>
  <c r="DV118" i="4"/>
  <c r="DV119" i="4"/>
  <c r="DV120" i="4"/>
  <c r="DV121" i="4"/>
  <c r="DV122" i="4"/>
  <c r="DV123" i="4"/>
  <c r="DV124" i="4"/>
  <c r="DV125" i="4"/>
  <c r="DV126" i="4"/>
  <c r="DV127" i="4"/>
  <c r="DV128" i="4"/>
  <c r="DV129" i="4"/>
  <c r="DV130" i="4"/>
  <c r="DV131" i="4"/>
  <c r="DV132" i="4"/>
  <c r="DV133" i="4"/>
  <c r="DV134" i="4"/>
  <c r="DV135" i="4"/>
  <c r="DV136" i="4"/>
  <c r="DV137" i="4"/>
  <c r="DV138" i="4"/>
  <c r="DV139" i="4"/>
  <c r="DV140" i="4"/>
  <c r="DV141" i="4"/>
  <c r="DV142" i="4"/>
  <c r="DV143" i="4"/>
  <c r="DV144" i="4"/>
  <c r="DV145" i="4"/>
  <c r="DV146" i="4"/>
  <c r="DV147" i="4"/>
  <c r="DV148" i="4"/>
  <c r="DV149" i="4"/>
  <c r="DV150" i="4"/>
  <c r="DV151" i="4"/>
  <c r="DV152" i="4"/>
  <c r="DV153" i="4"/>
  <c r="DV154" i="4"/>
  <c r="DV155" i="4"/>
  <c r="DV156" i="4"/>
  <c r="DV157" i="4"/>
  <c r="DV158" i="4"/>
  <c r="DV159" i="4"/>
  <c r="DV160" i="4"/>
  <c r="DV161" i="4"/>
  <c r="DV162" i="4"/>
  <c r="DV163" i="4"/>
  <c r="DV164" i="4"/>
  <c r="DV165" i="4"/>
  <c r="DV166" i="4"/>
  <c r="DV167" i="4"/>
  <c r="DV168" i="4"/>
  <c r="DV169" i="4"/>
  <c r="DV170" i="4"/>
  <c r="DV171" i="4"/>
  <c r="DV172" i="4"/>
  <c r="DV173" i="4"/>
  <c r="DV174" i="4"/>
  <c r="DV175" i="4"/>
  <c r="DU2" i="4"/>
  <c r="DU3" i="4"/>
  <c r="DU4" i="4"/>
  <c r="DU5" i="4"/>
  <c r="DU6" i="4"/>
  <c r="DU7" i="4"/>
  <c r="DU8" i="4"/>
  <c r="DU9" i="4"/>
  <c r="DU10" i="4"/>
  <c r="DU11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41" i="4"/>
  <c r="DU42" i="4"/>
  <c r="DU43" i="4"/>
  <c r="DU44" i="4"/>
  <c r="DU45" i="4"/>
  <c r="DU46" i="4"/>
  <c r="DU47" i="4"/>
  <c r="DU48" i="4"/>
  <c r="DU49" i="4"/>
  <c r="DU50" i="4"/>
  <c r="DU51" i="4"/>
  <c r="DU52" i="4"/>
  <c r="DU53" i="4"/>
  <c r="DU54" i="4"/>
  <c r="DU55" i="4"/>
  <c r="DU56" i="4"/>
  <c r="DU57" i="4"/>
  <c r="DU58" i="4"/>
  <c r="DU59" i="4"/>
  <c r="DU60" i="4"/>
  <c r="DU61" i="4"/>
  <c r="DU62" i="4"/>
  <c r="DU63" i="4"/>
  <c r="DU64" i="4"/>
  <c r="DU65" i="4"/>
  <c r="DU66" i="4"/>
  <c r="DU67" i="4"/>
  <c r="DU68" i="4"/>
  <c r="DU69" i="4"/>
  <c r="DU70" i="4"/>
  <c r="DU71" i="4"/>
  <c r="DU72" i="4"/>
  <c r="DU73" i="4"/>
  <c r="DU74" i="4"/>
  <c r="DU75" i="4"/>
  <c r="DU76" i="4"/>
  <c r="DU77" i="4"/>
  <c r="DU78" i="4"/>
  <c r="DU79" i="4"/>
  <c r="DU80" i="4"/>
  <c r="DU81" i="4"/>
  <c r="DU82" i="4"/>
  <c r="DU83" i="4"/>
  <c r="DU84" i="4"/>
  <c r="DU85" i="4"/>
  <c r="DU86" i="4"/>
  <c r="DU87" i="4"/>
  <c r="DU88" i="4"/>
  <c r="DU89" i="4"/>
  <c r="DU90" i="4"/>
  <c r="DU91" i="4"/>
  <c r="DU92" i="4"/>
  <c r="DU93" i="4"/>
  <c r="DU94" i="4"/>
  <c r="DU95" i="4"/>
  <c r="DU96" i="4"/>
  <c r="DU97" i="4"/>
  <c r="DU98" i="4"/>
  <c r="DU99" i="4"/>
  <c r="DU100" i="4"/>
  <c r="DU101" i="4"/>
  <c r="DU102" i="4"/>
  <c r="DU103" i="4"/>
  <c r="DU104" i="4"/>
  <c r="DU105" i="4"/>
  <c r="DU106" i="4"/>
  <c r="DU107" i="4"/>
  <c r="DU108" i="4"/>
  <c r="DU109" i="4"/>
  <c r="DU110" i="4"/>
  <c r="DU111" i="4"/>
  <c r="DU112" i="4"/>
  <c r="DU113" i="4"/>
  <c r="DU114" i="4"/>
  <c r="DU115" i="4"/>
  <c r="DU116" i="4"/>
  <c r="DU117" i="4"/>
  <c r="DU118" i="4"/>
  <c r="DU119" i="4"/>
  <c r="DU120" i="4"/>
  <c r="DU121" i="4"/>
  <c r="DU122" i="4"/>
  <c r="DU123" i="4"/>
  <c r="DU124" i="4"/>
  <c r="DU125" i="4"/>
  <c r="DU126" i="4"/>
  <c r="DU127" i="4"/>
  <c r="DU128" i="4"/>
  <c r="DU129" i="4"/>
  <c r="DU130" i="4"/>
  <c r="DU131" i="4"/>
  <c r="DU132" i="4"/>
  <c r="DU133" i="4"/>
  <c r="DU134" i="4"/>
  <c r="DU135" i="4"/>
  <c r="DU136" i="4"/>
  <c r="DU137" i="4"/>
  <c r="DU138" i="4"/>
  <c r="DU139" i="4"/>
  <c r="DU140" i="4"/>
  <c r="DU141" i="4"/>
  <c r="DU142" i="4"/>
  <c r="DU143" i="4"/>
  <c r="DU144" i="4"/>
  <c r="DU145" i="4"/>
  <c r="DU146" i="4"/>
  <c r="DU147" i="4"/>
  <c r="DU148" i="4"/>
  <c r="DU149" i="4"/>
  <c r="DU150" i="4"/>
  <c r="DU151" i="4"/>
  <c r="DU152" i="4"/>
  <c r="DU153" i="4"/>
  <c r="DU154" i="4"/>
  <c r="DU155" i="4"/>
  <c r="DU156" i="4"/>
  <c r="DU157" i="4"/>
  <c r="DU158" i="4"/>
  <c r="DU159" i="4"/>
  <c r="DU160" i="4"/>
  <c r="DU161" i="4"/>
  <c r="DU162" i="4"/>
  <c r="DU163" i="4"/>
  <c r="DU164" i="4"/>
  <c r="DU165" i="4"/>
  <c r="DU166" i="4"/>
  <c r="DU167" i="4"/>
  <c r="DU168" i="4"/>
  <c r="DU169" i="4"/>
  <c r="DU170" i="4"/>
  <c r="DU171" i="4"/>
  <c r="DU172" i="4"/>
  <c r="DU173" i="4"/>
  <c r="DU174" i="4"/>
  <c r="DU175" i="4"/>
  <c r="DQ2" i="4"/>
  <c r="DQ3" i="4"/>
  <c r="DQ4" i="4"/>
  <c r="DQ5" i="4"/>
  <c r="DQ6" i="4"/>
  <c r="DQ7" i="4"/>
  <c r="DQ8" i="4"/>
  <c r="DQ9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41" i="4"/>
  <c r="DQ42" i="4"/>
  <c r="DQ43" i="4"/>
  <c r="DQ44" i="4"/>
  <c r="DQ45" i="4"/>
  <c r="DQ46" i="4"/>
  <c r="DQ47" i="4"/>
  <c r="DQ48" i="4"/>
  <c r="DQ49" i="4"/>
  <c r="DQ50" i="4"/>
  <c r="DQ51" i="4"/>
  <c r="DQ52" i="4"/>
  <c r="DQ53" i="4"/>
  <c r="DQ54" i="4"/>
  <c r="DQ55" i="4"/>
  <c r="DQ56" i="4"/>
  <c r="DQ57" i="4"/>
  <c r="DQ58" i="4"/>
  <c r="DQ59" i="4"/>
  <c r="DQ60" i="4"/>
  <c r="DQ61" i="4"/>
  <c r="DQ62" i="4"/>
  <c r="DQ63" i="4"/>
  <c r="DQ64" i="4"/>
  <c r="DQ65" i="4"/>
  <c r="DQ66" i="4"/>
  <c r="DQ67" i="4"/>
  <c r="DQ68" i="4"/>
  <c r="DQ69" i="4"/>
  <c r="DQ70" i="4"/>
  <c r="DQ71" i="4"/>
  <c r="DQ72" i="4"/>
  <c r="DQ73" i="4"/>
  <c r="DQ74" i="4"/>
  <c r="DQ75" i="4"/>
  <c r="DQ76" i="4"/>
  <c r="DQ77" i="4"/>
  <c r="DQ78" i="4"/>
  <c r="DQ79" i="4"/>
  <c r="DQ80" i="4"/>
  <c r="DQ81" i="4"/>
  <c r="DQ82" i="4"/>
  <c r="DQ83" i="4"/>
  <c r="DQ84" i="4"/>
  <c r="DQ85" i="4"/>
  <c r="DQ86" i="4"/>
  <c r="DQ87" i="4"/>
  <c r="DQ88" i="4"/>
  <c r="DQ89" i="4"/>
  <c r="DQ90" i="4"/>
  <c r="DQ91" i="4"/>
  <c r="DQ92" i="4"/>
  <c r="DQ93" i="4"/>
  <c r="DQ94" i="4"/>
  <c r="DQ95" i="4"/>
  <c r="DQ96" i="4"/>
  <c r="DQ97" i="4"/>
  <c r="DQ98" i="4"/>
  <c r="DQ99" i="4"/>
  <c r="DQ100" i="4"/>
  <c r="DQ101" i="4"/>
  <c r="DQ102" i="4"/>
  <c r="DQ103" i="4"/>
  <c r="DQ104" i="4"/>
  <c r="DQ105" i="4"/>
  <c r="DQ106" i="4"/>
  <c r="DQ107" i="4"/>
  <c r="DQ108" i="4"/>
  <c r="DQ109" i="4"/>
  <c r="DQ110" i="4"/>
  <c r="DQ111" i="4"/>
  <c r="DQ112" i="4"/>
  <c r="DQ113" i="4"/>
  <c r="DQ114" i="4"/>
  <c r="DQ115" i="4"/>
  <c r="DQ116" i="4"/>
  <c r="DQ117" i="4"/>
  <c r="DQ118" i="4"/>
  <c r="DQ119" i="4"/>
  <c r="DQ120" i="4"/>
  <c r="DQ121" i="4"/>
  <c r="DQ122" i="4"/>
  <c r="DQ123" i="4"/>
  <c r="DQ124" i="4"/>
  <c r="DQ125" i="4"/>
  <c r="DQ126" i="4"/>
  <c r="DQ127" i="4"/>
  <c r="DQ128" i="4"/>
  <c r="DQ129" i="4"/>
  <c r="DQ130" i="4"/>
  <c r="DQ131" i="4"/>
  <c r="DQ132" i="4"/>
  <c r="DQ133" i="4"/>
  <c r="DQ134" i="4"/>
  <c r="DQ135" i="4"/>
  <c r="DQ136" i="4"/>
  <c r="DQ137" i="4"/>
  <c r="DQ138" i="4"/>
  <c r="DQ139" i="4"/>
  <c r="DQ140" i="4"/>
  <c r="DQ141" i="4"/>
  <c r="DQ142" i="4"/>
  <c r="DQ143" i="4"/>
  <c r="DQ144" i="4"/>
  <c r="DQ145" i="4"/>
  <c r="DQ146" i="4"/>
  <c r="DQ147" i="4"/>
  <c r="DQ148" i="4"/>
  <c r="DQ149" i="4"/>
  <c r="DQ150" i="4"/>
  <c r="DQ151" i="4"/>
  <c r="DQ152" i="4"/>
  <c r="DQ153" i="4"/>
  <c r="DQ154" i="4"/>
  <c r="DQ155" i="4"/>
  <c r="DQ156" i="4"/>
  <c r="DQ157" i="4"/>
  <c r="DQ158" i="4"/>
  <c r="DQ159" i="4"/>
  <c r="DQ160" i="4"/>
  <c r="DQ161" i="4"/>
  <c r="DQ162" i="4"/>
  <c r="DQ163" i="4"/>
  <c r="DQ164" i="4"/>
  <c r="DQ165" i="4"/>
  <c r="DQ166" i="4"/>
  <c r="DQ167" i="4"/>
  <c r="DQ168" i="4"/>
  <c r="DQ169" i="4"/>
  <c r="DQ170" i="4"/>
  <c r="DQ171" i="4"/>
  <c r="DQ172" i="4"/>
  <c r="DQ173" i="4"/>
  <c r="DQ174" i="4"/>
  <c r="DQ175" i="4"/>
  <c r="DP2" i="4"/>
  <c r="DP3" i="4"/>
  <c r="DP4" i="4"/>
  <c r="DP5" i="4"/>
  <c r="DP6" i="4"/>
  <c r="DP7" i="4"/>
  <c r="DP8" i="4"/>
  <c r="DP9" i="4"/>
  <c r="DP10" i="4"/>
  <c r="DP11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41" i="4"/>
  <c r="DP42" i="4"/>
  <c r="DP43" i="4"/>
  <c r="DP44" i="4"/>
  <c r="DP45" i="4"/>
  <c r="DP46" i="4"/>
  <c r="DP47" i="4"/>
  <c r="DP48" i="4"/>
  <c r="DP49" i="4"/>
  <c r="DP50" i="4"/>
  <c r="DP51" i="4"/>
  <c r="DP52" i="4"/>
  <c r="DP53" i="4"/>
  <c r="DP54" i="4"/>
  <c r="DP55" i="4"/>
  <c r="DP56" i="4"/>
  <c r="DP57" i="4"/>
  <c r="DP58" i="4"/>
  <c r="DP59" i="4"/>
  <c r="DP60" i="4"/>
  <c r="DP61" i="4"/>
  <c r="DP62" i="4"/>
  <c r="DP63" i="4"/>
  <c r="DP64" i="4"/>
  <c r="DP65" i="4"/>
  <c r="DP66" i="4"/>
  <c r="DP67" i="4"/>
  <c r="DP68" i="4"/>
  <c r="DP69" i="4"/>
  <c r="DP70" i="4"/>
  <c r="DP71" i="4"/>
  <c r="DP72" i="4"/>
  <c r="DP73" i="4"/>
  <c r="DP74" i="4"/>
  <c r="DP75" i="4"/>
  <c r="DP76" i="4"/>
  <c r="DP77" i="4"/>
  <c r="DP78" i="4"/>
  <c r="DP79" i="4"/>
  <c r="DP80" i="4"/>
  <c r="DP81" i="4"/>
  <c r="DP82" i="4"/>
  <c r="DP83" i="4"/>
  <c r="DP84" i="4"/>
  <c r="DP85" i="4"/>
  <c r="DP86" i="4"/>
  <c r="DP87" i="4"/>
  <c r="DP88" i="4"/>
  <c r="DP89" i="4"/>
  <c r="DP90" i="4"/>
  <c r="DP91" i="4"/>
  <c r="DP92" i="4"/>
  <c r="DP93" i="4"/>
  <c r="DP94" i="4"/>
  <c r="DP95" i="4"/>
  <c r="DP96" i="4"/>
  <c r="DP97" i="4"/>
  <c r="DP98" i="4"/>
  <c r="DP99" i="4"/>
  <c r="DP100" i="4"/>
  <c r="DP101" i="4"/>
  <c r="DP102" i="4"/>
  <c r="DP103" i="4"/>
  <c r="DP104" i="4"/>
  <c r="DP105" i="4"/>
  <c r="DP106" i="4"/>
  <c r="DP107" i="4"/>
  <c r="DP108" i="4"/>
  <c r="DP109" i="4"/>
  <c r="DP110" i="4"/>
  <c r="DP111" i="4"/>
  <c r="DP112" i="4"/>
  <c r="DP113" i="4"/>
  <c r="DP114" i="4"/>
  <c r="DP115" i="4"/>
  <c r="DP116" i="4"/>
  <c r="DP117" i="4"/>
  <c r="DP118" i="4"/>
  <c r="DP119" i="4"/>
  <c r="DP120" i="4"/>
  <c r="DP121" i="4"/>
  <c r="DP122" i="4"/>
  <c r="DP123" i="4"/>
  <c r="DP124" i="4"/>
  <c r="DP125" i="4"/>
  <c r="DP126" i="4"/>
  <c r="DP127" i="4"/>
  <c r="DP128" i="4"/>
  <c r="DP129" i="4"/>
  <c r="DP130" i="4"/>
  <c r="DP131" i="4"/>
  <c r="DP132" i="4"/>
  <c r="DP133" i="4"/>
  <c r="DP134" i="4"/>
  <c r="DP135" i="4"/>
  <c r="DP136" i="4"/>
  <c r="DP137" i="4"/>
  <c r="DP138" i="4"/>
  <c r="DP139" i="4"/>
  <c r="DP140" i="4"/>
  <c r="DP141" i="4"/>
  <c r="DP142" i="4"/>
  <c r="DP143" i="4"/>
  <c r="DP144" i="4"/>
  <c r="DP145" i="4"/>
  <c r="DP146" i="4"/>
  <c r="DP147" i="4"/>
  <c r="DP148" i="4"/>
  <c r="DP149" i="4"/>
  <c r="DP150" i="4"/>
  <c r="DP151" i="4"/>
  <c r="DP152" i="4"/>
  <c r="DP153" i="4"/>
  <c r="DP154" i="4"/>
  <c r="DP155" i="4"/>
  <c r="DP156" i="4"/>
  <c r="DP157" i="4"/>
  <c r="DP158" i="4"/>
  <c r="DP159" i="4"/>
  <c r="DP160" i="4"/>
  <c r="DP161" i="4"/>
  <c r="DP162" i="4"/>
  <c r="DP163" i="4"/>
  <c r="DP164" i="4"/>
  <c r="DP165" i="4"/>
  <c r="DP166" i="4"/>
  <c r="DP167" i="4"/>
  <c r="DP168" i="4"/>
  <c r="DP169" i="4"/>
  <c r="DP170" i="4"/>
  <c r="DP171" i="4"/>
  <c r="DP172" i="4"/>
  <c r="DP173" i="4"/>
  <c r="DP174" i="4"/>
  <c r="DP175" i="4"/>
  <c r="DO2" i="4"/>
  <c r="DO3" i="4"/>
  <c r="DO4" i="4"/>
  <c r="DO5" i="4"/>
  <c r="DO6" i="4"/>
  <c r="DO7" i="4"/>
  <c r="DO8" i="4"/>
  <c r="DO9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41" i="4"/>
  <c r="DO42" i="4"/>
  <c r="DO43" i="4"/>
  <c r="DO44" i="4"/>
  <c r="DO45" i="4"/>
  <c r="DO46" i="4"/>
  <c r="DO47" i="4"/>
  <c r="DO48" i="4"/>
  <c r="DO49" i="4"/>
  <c r="DO50" i="4"/>
  <c r="DO51" i="4"/>
  <c r="DO52" i="4"/>
  <c r="DO53" i="4"/>
  <c r="DO54" i="4"/>
  <c r="DO55" i="4"/>
  <c r="DO56" i="4"/>
  <c r="DO57" i="4"/>
  <c r="DO58" i="4"/>
  <c r="DO59" i="4"/>
  <c r="DO60" i="4"/>
  <c r="DO61" i="4"/>
  <c r="DO62" i="4"/>
  <c r="DO63" i="4"/>
  <c r="DO64" i="4"/>
  <c r="DO65" i="4"/>
  <c r="DO66" i="4"/>
  <c r="DO67" i="4"/>
  <c r="DO68" i="4"/>
  <c r="DO69" i="4"/>
  <c r="DO70" i="4"/>
  <c r="DO71" i="4"/>
  <c r="DO72" i="4"/>
  <c r="DO73" i="4"/>
  <c r="DO74" i="4"/>
  <c r="DO75" i="4"/>
  <c r="DO76" i="4"/>
  <c r="DO77" i="4"/>
  <c r="DO78" i="4"/>
  <c r="DO79" i="4"/>
  <c r="DO80" i="4"/>
  <c r="DO81" i="4"/>
  <c r="DO82" i="4"/>
  <c r="DO83" i="4"/>
  <c r="DO84" i="4"/>
  <c r="DO85" i="4"/>
  <c r="DO86" i="4"/>
  <c r="DO87" i="4"/>
  <c r="DO88" i="4"/>
  <c r="DO89" i="4"/>
  <c r="DO90" i="4"/>
  <c r="DO91" i="4"/>
  <c r="DO92" i="4"/>
  <c r="DO93" i="4"/>
  <c r="DO94" i="4"/>
  <c r="DO95" i="4"/>
  <c r="DO96" i="4"/>
  <c r="DO97" i="4"/>
  <c r="DO98" i="4"/>
  <c r="DO99" i="4"/>
  <c r="DO100" i="4"/>
  <c r="DO101" i="4"/>
  <c r="DO102" i="4"/>
  <c r="DO103" i="4"/>
  <c r="DO104" i="4"/>
  <c r="DO105" i="4"/>
  <c r="DO106" i="4"/>
  <c r="DO107" i="4"/>
  <c r="DO108" i="4"/>
  <c r="DO109" i="4"/>
  <c r="DO110" i="4"/>
  <c r="DO111" i="4"/>
  <c r="DO112" i="4"/>
  <c r="DO113" i="4"/>
  <c r="DO114" i="4"/>
  <c r="DO115" i="4"/>
  <c r="DO116" i="4"/>
  <c r="DO117" i="4"/>
  <c r="DO118" i="4"/>
  <c r="DO119" i="4"/>
  <c r="DO120" i="4"/>
  <c r="DO121" i="4"/>
  <c r="DO122" i="4"/>
  <c r="DO123" i="4"/>
  <c r="DO124" i="4"/>
  <c r="DO125" i="4"/>
  <c r="DO126" i="4"/>
  <c r="DO127" i="4"/>
  <c r="DO128" i="4"/>
  <c r="DO129" i="4"/>
  <c r="DO130" i="4"/>
  <c r="DO131" i="4"/>
  <c r="DO132" i="4"/>
  <c r="DO133" i="4"/>
  <c r="DO134" i="4"/>
  <c r="DO135" i="4"/>
  <c r="DO136" i="4"/>
  <c r="DO137" i="4"/>
  <c r="DO138" i="4"/>
  <c r="DO139" i="4"/>
  <c r="DO140" i="4"/>
  <c r="DO141" i="4"/>
  <c r="DO142" i="4"/>
  <c r="DO143" i="4"/>
  <c r="DO144" i="4"/>
  <c r="DO145" i="4"/>
  <c r="DO146" i="4"/>
  <c r="DO147" i="4"/>
  <c r="DO148" i="4"/>
  <c r="DO149" i="4"/>
  <c r="DO150" i="4"/>
  <c r="DO151" i="4"/>
  <c r="DO152" i="4"/>
  <c r="DO153" i="4"/>
  <c r="DO154" i="4"/>
  <c r="DO155" i="4"/>
  <c r="DO156" i="4"/>
  <c r="DO157" i="4"/>
  <c r="DO158" i="4"/>
  <c r="DO159" i="4"/>
  <c r="DO160" i="4"/>
  <c r="DO161" i="4"/>
  <c r="DO162" i="4"/>
  <c r="DO163" i="4"/>
  <c r="DO164" i="4"/>
  <c r="DO165" i="4"/>
  <c r="DO166" i="4"/>
  <c r="DO167" i="4"/>
  <c r="DO168" i="4"/>
  <c r="DO169" i="4"/>
  <c r="DO170" i="4"/>
  <c r="DO171" i="4"/>
  <c r="DO172" i="4"/>
  <c r="DO173" i="4"/>
  <c r="DO174" i="4"/>
  <c r="DO175" i="4"/>
  <c r="DN2" i="4"/>
  <c r="DN3" i="4"/>
  <c r="DN4" i="4"/>
  <c r="DN5" i="4"/>
  <c r="DN6" i="4"/>
  <c r="DN7" i="4"/>
  <c r="DN8" i="4"/>
  <c r="DN9" i="4"/>
  <c r="DN10" i="4"/>
  <c r="DN11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41" i="4"/>
  <c r="DN42" i="4"/>
  <c r="DN43" i="4"/>
  <c r="DN44" i="4"/>
  <c r="DN45" i="4"/>
  <c r="DN46" i="4"/>
  <c r="DN47" i="4"/>
  <c r="DN48" i="4"/>
  <c r="DN49" i="4"/>
  <c r="DN50" i="4"/>
  <c r="DN51" i="4"/>
  <c r="DN52" i="4"/>
  <c r="DN53" i="4"/>
  <c r="DN54" i="4"/>
  <c r="DN55" i="4"/>
  <c r="DN56" i="4"/>
  <c r="DN57" i="4"/>
  <c r="DN58" i="4"/>
  <c r="DN59" i="4"/>
  <c r="DN60" i="4"/>
  <c r="DN61" i="4"/>
  <c r="DN62" i="4"/>
  <c r="DN63" i="4"/>
  <c r="DN64" i="4"/>
  <c r="DN65" i="4"/>
  <c r="DN66" i="4"/>
  <c r="DN67" i="4"/>
  <c r="DN68" i="4"/>
  <c r="DN69" i="4"/>
  <c r="DN70" i="4"/>
  <c r="DN71" i="4"/>
  <c r="DN72" i="4"/>
  <c r="DN73" i="4"/>
  <c r="DN74" i="4"/>
  <c r="DN75" i="4"/>
  <c r="DN76" i="4"/>
  <c r="DN77" i="4"/>
  <c r="DN78" i="4"/>
  <c r="DN79" i="4"/>
  <c r="DN80" i="4"/>
  <c r="DN81" i="4"/>
  <c r="DN82" i="4"/>
  <c r="DN83" i="4"/>
  <c r="DN84" i="4"/>
  <c r="DN85" i="4"/>
  <c r="DN86" i="4"/>
  <c r="DN87" i="4"/>
  <c r="DN88" i="4"/>
  <c r="DN89" i="4"/>
  <c r="DN90" i="4"/>
  <c r="DN91" i="4"/>
  <c r="DN92" i="4"/>
  <c r="DN93" i="4"/>
  <c r="DN94" i="4"/>
  <c r="DN95" i="4"/>
  <c r="DN96" i="4"/>
  <c r="DN97" i="4"/>
  <c r="DN98" i="4"/>
  <c r="DN99" i="4"/>
  <c r="DN100" i="4"/>
  <c r="DN101" i="4"/>
  <c r="DN102" i="4"/>
  <c r="DN103" i="4"/>
  <c r="DN104" i="4"/>
  <c r="DN105" i="4"/>
  <c r="DN106" i="4"/>
  <c r="DN107" i="4"/>
  <c r="DN108" i="4"/>
  <c r="DN109" i="4"/>
  <c r="DN110" i="4"/>
  <c r="DN111" i="4"/>
  <c r="DN112" i="4"/>
  <c r="DN113" i="4"/>
  <c r="DN114" i="4"/>
  <c r="DN115" i="4"/>
  <c r="DN116" i="4"/>
  <c r="DN117" i="4"/>
  <c r="DN118" i="4"/>
  <c r="DN119" i="4"/>
  <c r="DN120" i="4"/>
  <c r="DN121" i="4"/>
  <c r="DN122" i="4"/>
  <c r="DN123" i="4"/>
  <c r="DN124" i="4"/>
  <c r="DN125" i="4"/>
  <c r="DN126" i="4"/>
  <c r="DN127" i="4"/>
  <c r="DN128" i="4"/>
  <c r="DN129" i="4"/>
  <c r="DN130" i="4"/>
  <c r="DN131" i="4"/>
  <c r="DN132" i="4"/>
  <c r="DN133" i="4"/>
  <c r="DN134" i="4"/>
  <c r="DN135" i="4"/>
  <c r="DN136" i="4"/>
  <c r="DN137" i="4"/>
  <c r="DN138" i="4"/>
  <c r="DN139" i="4"/>
  <c r="DN140" i="4"/>
  <c r="DN141" i="4"/>
  <c r="DN142" i="4"/>
  <c r="DN143" i="4"/>
  <c r="DN144" i="4"/>
  <c r="DN145" i="4"/>
  <c r="DN146" i="4"/>
  <c r="DN147" i="4"/>
  <c r="DN148" i="4"/>
  <c r="DN149" i="4"/>
  <c r="DN150" i="4"/>
  <c r="DN151" i="4"/>
  <c r="DN152" i="4"/>
  <c r="DN153" i="4"/>
  <c r="DN154" i="4"/>
  <c r="DN155" i="4"/>
  <c r="DN156" i="4"/>
  <c r="DN157" i="4"/>
  <c r="DN158" i="4"/>
  <c r="DN159" i="4"/>
  <c r="DN160" i="4"/>
  <c r="DN161" i="4"/>
  <c r="DN162" i="4"/>
  <c r="DN163" i="4"/>
  <c r="DN164" i="4"/>
  <c r="DN165" i="4"/>
  <c r="DN166" i="4"/>
  <c r="DN167" i="4"/>
  <c r="DN168" i="4"/>
  <c r="DN169" i="4"/>
  <c r="DN170" i="4"/>
  <c r="DN171" i="4"/>
  <c r="DN172" i="4"/>
  <c r="DN173" i="4"/>
  <c r="DN174" i="4"/>
  <c r="DN175" i="4"/>
  <c r="DM2" i="4"/>
  <c r="DM3" i="4"/>
  <c r="DM4" i="4"/>
  <c r="DM5" i="4"/>
  <c r="DM6" i="4"/>
  <c r="DM7" i="4"/>
  <c r="DM8" i="4"/>
  <c r="DM9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41" i="4"/>
  <c r="DM42" i="4"/>
  <c r="DM43" i="4"/>
  <c r="DM44" i="4"/>
  <c r="DM45" i="4"/>
  <c r="DM46" i="4"/>
  <c r="DM47" i="4"/>
  <c r="DM48" i="4"/>
  <c r="DM49" i="4"/>
  <c r="DM50" i="4"/>
  <c r="DM51" i="4"/>
  <c r="DM52" i="4"/>
  <c r="DM53" i="4"/>
  <c r="DM54" i="4"/>
  <c r="DM55" i="4"/>
  <c r="DM56" i="4"/>
  <c r="DM57" i="4"/>
  <c r="DM58" i="4"/>
  <c r="DM59" i="4"/>
  <c r="DM60" i="4"/>
  <c r="DM61" i="4"/>
  <c r="DM62" i="4"/>
  <c r="DM63" i="4"/>
  <c r="DM64" i="4"/>
  <c r="DM65" i="4"/>
  <c r="DM66" i="4"/>
  <c r="DM67" i="4"/>
  <c r="DM68" i="4"/>
  <c r="DM69" i="4"/>
  <c r="DM70" i="4"/>
  <c r="DM71" i="4"/>
  <c r="DM72" i="4"/>
  <c r="DM73" i="4"/>
  <c r="DM74" i="4"/>
  <c r="DM75" i="4"/>
  <c r="DM76" i="4"/>
  <c r="DM77" i="4"/>
  <c r="DM78" i="4"/>
  <c r="DM79" i="4"/>
  <c r="DM80" i="4"/>
  <c r="DM81" i="4"/>
  <c r="DM82" i="4"/>
  <c r="DM83" i="4"/>
  <c r="DM84" i="4"/>
  <c r="DM85" i="4"/>
  <c r="DM86" i="4"/>
  <c r="DM87" i="4"/>
  <c r="DM88" i="4"/>
  <c r="DM89" i="4"/>
  <c r="DM90" i="4"/>
  <c r="DM91" i="4"/>
  <c r="DM92" i="4"/>
  <c r="DM93" i="4"/>
  <c r="DM94" i="4"/>
  <c r="DM95" i="4"/>
  <c r="DM96" i="4"/>
  <c r="DM97" i="4"/>
  <c r="DM98" i="4"/>
  <c r="DM99" i="4"/>
  <c r="DM100" i="4"/>
  <c r="DM101" i="4"/>
  <c r="DM102" i="4"/>
  <c r="DM103" i="4"/>
  <c r="DM104" i="4"/>
  <c r="DM105" i="4"/>
  <c r="DM106" i="4"/>
  <c r="DM107" i="4"/>
  <c r="DM108" i="4"/>
  <c r="DM109" i="4"/>
  <c r="DM110" i="4"/>
  <c r="DM111" i="4"/>
  <c r="DM112" i="4"/>
  <c r="DM113" i="4"/>
  <c r="DM114" i="4"/>
  <c r="DM115" i="4"/>
  <c r="DM116" i="4"/>
  <c r="DM117" i="4"/>
  <c r="DM118" i="4"/>
  <c r="DM119" i="4"/>
  <c r="DM120" i="4"/>
  <c r="DM121" i="4"/>
  <c r="DM122" i="4"/>
  <c r="DM123" i="4"/>
  <c r="DM124" i="4"/>
  <c r="DM125" i="4"/>
  <c r="DM126" i="4"/>
  <c r="DM127" i="4"/>
  <c r="DM128" i="4"/>
  <c r="DM129" i="4"/>
  <c r="DM130" i="4"/>
  <c r="DM131" i="4"/>
  <c r="DM132" i="4"/>
  <c r="DM133" i="4"/>
  <c r="DM134" i="4"/>
  <c r="DM135" i="4"/>
  <c r="DM136" i="4"/>
  <c r="DM137" i="4"/>
  <c r="DM138" i="4"/>
  <c r="DM139" i="4"/>
  <c r="DM140" i="4"/>
  <c r="DM141" i="4"/>
  <c r="DM142" i="4"/>
  <c r="DM143" i="4"/>
  <c r="DM144" i="4"/>
  <c r="DM145" i="4"/>
  <c r="DM146" i="4"/>
  <c r="DM147" i="4"/>
  <c r="DM148" i="4"/>
  <c r="DM149" i="4"/>
  <c r="DM150" i="4"/>
  <c r="DM151" i="4"/>
  <c r="DM152" i="4"/>
  <c r="DM153" i="4"/>
  <c r="DM154" i="4"/>
  <c r="DM155" i="4"/>
  <c r="DM156" i="4"/>
  <c r="DM157" i="4"/>
  <c r="DM158" i="4"/>
  <c r="DM159" i="4"/>
  <c r="DM160" i="4"/>
  <c r="DM161" i="4"/>
  <c r="DM162" i="4"/>
  <c r="DM163" i="4"/>
  <c r="DM164" i="4"/>
  <c r="DM165" i="4"/>
  <c r="DM166" i="4"/>
  <c r="DM167" i="4"/>
  <c r="DM168" i="4"/>
  <c r="DM169" i="4"/>
  <c r="DM170" i="4"/>
  <c r="DM171" i="4"/>
  <c r="DM172" i="4"/>
  <c r="DM173" i="4"/>
  <c r="DM174" i="4"/>
  <c r="DM175" i="4"/>
  <c r="DL2" i="4"/>
  <c r="DL3" i="4"/>
  <c r="DL4" i="4"/>
  <c r="DL5" i="4"/>
  <c r="DL6" i="4"/>
  <c r="DL7" i="4"/>
  <c r="DL8" i="4"/>
  <c r="DL9" i="4"/>
  <c r="DL10" i="4"/>
  <c r="DL11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41" i="4"/>
  <c r="DL42" i="4"/>
  <c r="DL43" i="4"/>
  <c r="DL44" i="4"/>
  <c r="DL45" i="4"/>
  <c r="DL46" i="4"/>
  <c r="DL47" i="4"/>
  <c r="DL48" i="4"/>
  <c r="DL49" i="4"/>
  <c r="DL50" i="4"/>
  <c r="DL51" i="4"/>
  <c r="DL52" i="4"/>
  <c r="DL53" i="4"/>
  <c r="DL54" i="4"/>
  <c r="DL55" i="4"/>
  <c r="DL56" i="4"/>
  <c r="DL57" i="4"/>
  <c r="DL58" i="4"/>
  <c r="DL59" i="4"/>
  <c r="DL60" i="4"/>
  <c r="DL61" i="4"/>
  <c r="DL62" i="4"/>
  <c r="DL63" i="4"/>
  <c r="DL64" i="4"/>
  <c r="DL65" i="4"/>
  <c r="DL66" i="4"/>
  <c r="DL67" i="4"/>
  <c r="DL68" i="4"/>
  <c r="DL69" i="4"/>
  <c r="DL70" i="4"/>
  <c r="DL71" i="4"/>
  <c r="DL72" i="4"/>
  <c r="DL73" i="4"/>
  <c r="DL74" i="4"/>
  <c r="DL75" i="4"/>
  <c r="DL76" i="4"/>
  <c r="DL77" i="4"/>
  <c r="DL78" i="4"/>
  <c r="DL79" i="4"/>
  <c r="DL80" i="4"/>
  <c r="DL81" i="4"/>
  <c r="DL82" i="4"/>
  <c r="DL83" i="4"/>
  <c r="DL84" i="4"/>
  <c r="DL85" i="4"/>
  <c r="DL86" i="4"/>
  <c r="DL87" i="4"/>
  <c r="DL88" i="4"/>
  <c r="DL89" i="4"/>
  <c r="DL90" i="4"/>
  <c r="DL91" i="4"/>
  <c r="DL92" i="4"/>
  <c r="DL93" i="4"/>
  <c r="DL94" i="4"/>
  <c r="DL95" i="4"/>
  <c r="DL96" i="4"/>
  <c r="DL97" i="4"/>
  <c r="DL98" i="4"/>
  <c r="DL99" i="4"/>
  <c r="DL100" i="4"/>
  <c r="DL101" i="4"/>
  <c r="DL102" i="4"/>
  <c r="DL103" i="4"/>
  <c r="DL104" i="4"/>
  <c r="DL105" i="4"/>
  <c r="DL106" i="4"/>
  <c r="DL107" i="4"/>
  <c r="DL108" i="4"/>
  <c r="DL109" i="4"/>
  <c r="DL110" i="4"/>
  <c r="DL111" i="4"/>
  <c r="DL112" i="4"/>
  <c r="DL113" i="4"/>
  <c r="DL114" i="4"/>
  <c r="DL115" i="4"/>
  <c r="DL116" i="4"/>
  <c r="DL117" i="4"/>
  <c r="DL118" i="4"/>
  <c r="DL119" i="4"/>
  <c r="DL120" i="4"/>
  <c r="DL121" i="4"/>
  <c r="DL122" i="4"/>
  <c r="DL123" i="4"/>
  <c r="DL124" i="4"/>
  <c r="DL125" i="4"/>
  <c r="DL126" i="4"/>
  <c r="DL127" i="4"/>
  <c r="DL128" i="4"/>
  <c r="DL129" i="4"/>
  <c r="DL130" i="4"/>
  <c r="DL131" i="4"/>
  <c r="DL132" i="4"/>
  <c r="DL133" i="4"/>
  <c r="DL134" i="4"/>
  <c r="DL135" i="4"/>
  <c r="DL136" i="4"/>
  <c r="DL137" i="4"/>
  <c r="DL138" i="4"/>
  <c r="DL139" i="4"/>
  <c r="DL140" i="4"/>
  <c r="DL141" i="4"/>
  <c r="DL142" i="4"/>
  <c r="DL143" i="4"/>
  <c r="DL144" i="4"/>
  <c r="DL145" i="4"/>
  <c r="DL146" i="4"/>
  <c r="DL147" i="4"/>
  <c r="DL148" i="4"/>
  <c r="DL149" i="4"/>
  <c r="DL150" i="4"/>
  <c r="DL151" i="4"/>
  <c r="DL152" i="4"/>
  <c r="DL153" i="4"/>
  <c r="DL154" i="4"/>
  <c r="DL155" i="4"/>
  <c r="DL156" i="4"/>
  <c r="DL157" i="4"/>
  <c r="DL158" i="4"/>
  <c r="DL159" i="4"/>
  <c r="DL160" i="4"/>
  <c r="DL161" i="4"/>
  <c r="DL162" i="4"/>
  <c r="DL163" i="4"/>
  <c r="DL164" i="4"/>
  <c r="DL165" i="4"/>
  <c r="DL166" i="4"/>
  <c r="DL167" i="4"/>
  <c r="DL168" i="4"/>
  <c r="DL169" i="4"/>
  <c r="DL170" i="4"/>
  <c r="DL171" i="4"/>
  <c r="DL172" i="4"/>
  <c r="DL173" i="4"/>
  <c r="DL174" i="4"/>
  <c r="DL175" i="4"/>
  <c r="DK2" i="4"/>
  <c r="DK3" i="4"/>
  <c r="DK4" i="4"/>
  <c r="DK5" i="4"/>
  <c r="DK6" i="4"/>
  <c r="DK7" i="4"/>
  <c r="DK8" i="4"/>
  <c r="DK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41" i="4"/>
  <c r="DK42" i="4"/>
  <c r="DK43" i="4"/>
  <c r="DK44" i="4"/>
  <c r="DK45" i="4"/>
  <c r="DK46" i="4"/>
  <c r="DK47" i="4"/>
  <c r="DK48" i="4"/>
  <c r="DK49" i="4"/>
  <c r="DK50" i="4"/>
  <c r="DK51" i="4"/>
  <c r="DK52" i="4"/>
  <c r="DK53" i="4"/>
  <c r="DK54" i="4"/>
  <c r="DK55" i="4"/>
  <c r="DK56" i="4"/>
  <c r="DK57" i="4"/>
  <c r="DK58" i="4"/>
  <c r="DK59" i="4"/>
  <c r="DK60" i="4"/>
  <c r="DK61" i="4"/>
  <c r="DK62" i="4"/>
  <c r="DK63" i="4"/>
  <c r="DK64" i="4"/>
  <c r="DK65" i="4"/>
  <c r="DK66" i="4"/>
  <c r="DK67" i="4"/>
  <c r="DK68" i="4"/>
  <c r="DK69" i="4"/>
  <c r="DK70" i="4"/>
  <c r="DK71" i="4"/>
  <c r="DK72" i="4"/>
  <c r="DK73" i="4"/>
  <c r="DK74" i="4"/>
  <c r="DK75" i="4"/>
  <c r="DK76" i="4"/>
  <c r="DK77" i="4"/>
  <c r="DK78" i="4"/>
  <c r="DK79" i="4"/>
  <c r="DK80" i="4"/>
  <c r="DK81" i="4"/>
  <c r="DK82" i="4"/>
  <c r="DK83" i="4"/>
  <c r="DK84" i="4"/>
  <c r="DK85" i="4"/>
  <c r="DK86" i="4"/>
  <c r="DK87" i="4"/>
  <c r="DK88" i="4"/>
  <c r="DK89" i="4"/>
  <c r="DK90" i="4"/>
  <c r="DK91" i="4"/>
  <c r="DK92" i="4"/>
  <c r="DK93" i="4"/>
  <c r="DK94" i="4"/>
  <c r="DK95" i="4"/>
  <c r="DK96" i="4"/>
  <c r="DK97" i="4"/>
  <c r="DK98" i="4"/>
  <c r="DK99" i="4"/>
  <c r="DK100" i="4"/>
  <c r="DK101" i="4"/>
  <c r="DK102" i="4"/>
  <c r="DK103" i="4"/>
  <c r="DK104" i="4"/>
  <c r="DK105" i="4"/>
  <c r="DK106" i="4"/>
  <c r="DK107" i="4"/>
  <c r="DK108" i="4"/>
  <c r="DK109" i="4"/>
  <c r="DK110" i="4"/>
  <c r="DK111" i="4"/>
  <c r="DK112" i="4"/>
  <c r="DK113" i="4"/>
  <c r="DK114" i="4"/>
  <c r="DK115" i="4"/>
  <c r="DK116" i="4"/>
  <c r="DK117" i="4"/>
  <c r="DK118" i="4"/>
  <c r="DK119" i="4"/>
  <c r="DK120" i="4"/>
  <c r="DK121" i="4"/>
  <c r="DK122" i="4"/>
  <c r="DK123" i="4"/>
  <c r="DK124" i="4"/>
  <c r="DK125" i="4"/>
  <c r="DK126" i="4"/>
  <c r="DK127" i="4"/>
  <c r="DK128" i="4"/>
  <c r="DK129" i="4"/>
  <c r="DK130" i="4"/>
  <c r="DK131" i="4"/>
  <c r="DK132" i="4"/>
  <c r="DK133" i="4"/>
  <c r="DK134" i="4"/>
  <c r="DK135" i="4"/>
  <c r="DK136" i="4"/>
  <c r="DK137" i="4"/>
  <c r="DK138" i="4"/>
  <c r="DK139" i="4"/>
  <c r="DK140" i="4"/>
  <c r="DK141" i="4"/>
  <c r="DK142" i="4"/>
  <c r="DK143" i="4"/>
  <c r="DK144" i="4"/>
  <c r="DK145" i="4"/>
  <c r="DK146" i="4"/>
  <c r="DK147" i="4"/>
  <c r="DK148" i="4"/>
  <c r="DK149" i="4"/>
  <c r="DK150" i="4"/>
  <c r="DK151" i="4"/>
  <c r="DK152" i="4"/>
  <c r="DK153" i="4"/>
  <c r="DK154" i="4"/>
  <c r="DK155" i="4"/>
  <c r="DK156" i="4"/>
  <c r="DK157" i="4"/>
  <c r="DK158" i="4"/>
  <c r="DK159" i="4"/>
  <c r="DK160" i="4"/>
  <c r="DK161" i="4"/>
  <c r="DK162" i="4"/>
  <c r="DK163" i="4"/>
  <c r="DK164" i="4"/>
  <c r="DK165" i="4"/>
  <c r="DK166" i="4"/>
  <c r="DK167" i="4"/>
  <c r="DK168" i="4"/>
  <c r="DK169" i="4"/>
  <c r="DK170" i="4"/>
  <c r="DK171" i="4"/>
  <c r="DK172" i="4"/>
  <c r="DK173" i="4"/>
  <c r="DK174" i="4"/>
  <c r="DK175" i="4"/>
  <c r="DJ2" i="4"/>
  <c r="DJ3" i="4"/>
  <c r="DJ4" i="4"/>
  <c r="DJ5" i="4"/>
  <c r="DJ6" i="4"/>
  <c r="DJ7" i="4"/>
  <c r="DJ8" i="4"/>
  <c r="DJ9" i="4"/>
  <c r="DJ10" i="4"/>
  <c r="DJ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41" i="4"/>
  <c r="DJ42" i="4"/>
  <c r="DJ43" i="4"/>
  <c r="DJ44" i="4"/>
  <c r="DJ45" i="4"/>
  <c r="DJ46" i="4"/>
  <c r="DJ47" i="4"/>
  <c r="DJ48" i="4"/>
  <c r="DJ49" i="4"/>
  <c r="DJ50" i="4"/>
  <c r="DJ51" i="4"/>
  <c r="DJ52" i="4"/>
  <c r="DJ53" i="4"/>
  <c r="DJ54" i="4"/>
  <c r="DJ55" i="4"/>
  <c r="DJ56" i="4"/>
  <c r="DJ57" i="4"/>
  <c r="DJ58" i="4"/>
  <c r="DJ59" i="4"/>
  <c r="DJ60" i="4"/>
  <c r="DJ61" i="4"/>
  <c r="DJ62" i="4"/>
  <c r="DJ63" i="4"/>
  <c r="DJ64" i="4"/>
  <c r="DJ65" i="4"/>
  <c r="DJ66" i="4"/>
  <c r="DJ67" i="4"/>
  <c r="DJ68" i="4"/>
  <c r="DJ69" i="4"/>
  <c r="DJ70" i="4"/>
  <c r="DJ71" i="4"/>
  <c r="DJ72" i="4"/>
  <c r="DJ73" i="4"/>
  <c r="DJ74" i="4"/>
  <c r="DJ75" i="4"/>
  <c r="DJ76" i="4"/>
  <c r="DJ77" i="4"/>
  <c r="DJ78" i="4"/>
  <c r="DJ79" i="4"/>
  <c r="DJ80" i="4"/>
  <c r="DJ81" i="4"/>
  <c r="DJ82" i="4"/>
  <c r="DJ83" i="4"/>
  <c r="DJ84" i="4"/>
  <c r="DJ85" i="4"/>
  <c r="DJ86" i="4"/>
  <c r="DJ87" i="4"/>
  <c r="DJ88" i="4"/>
  <c r="DJ89" i="4"/>
  <c r="DJ90" i="4"/>
  <c r="DJ91" i="4"/>
  <c r="DJ92" i="4"/>
  <c r="DJ93" i="4"/>
  <c r="DJ94" i="4"/>
  <c r="DJ95" i="4"/>
  <c r="DJ96" i="4"/>
  <c r="DJ97" i="4"/>
  <c r="DJ98" i="4"/>
  <c r="DJ99" i="4"/>
  <c r="DJ100" i="4"/>
  <c r="DJ101" i="4"/>
  <c r="DJ102" i="4"/>
  <c r="DJ103" i="4"/>
  <c r="DJ104" i="4"/>
  <c r="DJ105" i="4"/>
  <c r="DJ106" i="4"/>
  <c r="DJ107" i="4"/>
  <c r="DJ108" i="4"/>
  <c r="DJ109" i="4"/>
  <c r="DJ110" i="4"/>
  <c r="DJ111" i="4"/>
  <c r="DJ112" i="4"/>
  <c r="DJ113" i="4"/>
  <c r="DJ114" i="4"/>
  <c r="DJ115" i="4"/>
  <c r="DJ116" i="4"/>
  <c r="DJ117" i="4"/>
  <c r="DJ118" i="4"/>
  <c r="DJ119" i="4"/>
  <c r="DJ120" i="4"/>
  <c r="DJ121" i="4"/>
  <c r="DJ122" i="4"/>
  <c r="DJ123" i="4"/>
  <c r="DJ124" i="4"/>
  <c r="DJ125" i="4"/>
  <c r="DJ126" i="4"/>
  <c r="DJ127" i="4"/>
  <c r="DJ128" i="4"/>
  <c r="DJ129" i="4"/>
  <c r="DJ130" i="4"/>
  <c r="DJ131" i="4"/>
  <c r="DJ132" i="4"/>
  <c r="DJ133" i="4"/>
  <c r="DJ134" i="4"/>
  <c r="DJ135" i="4"/>
  <c r="DJ136" i="4"/>
  <c r="DJ137" i="4"/>
  <c r="DJ138" i="4"/>
  <c r="DJ139" i="4"/>
  <c r="DJ140" i="4"/>
  <c r="DJ141" i="4"/>
  <c r="DJ142" i="4"/>
  <c r="DJ143" i="4"/>
  <c r="DJ144" i="4"/>
  <c r="DJ145" i="4"/>
  <c r="DJ146" i="4"/>
  <c r="DJ147" i="4"/>
  <c r="DJ148" i="4"/>
  <c r="DJ149" i="4"/>
  <c r="DJ150" i="4"/>
  <c r="DJ151" i="4"/>
  <c r="DJ152" i="4"/>
  <c r="DJ153" i="4"/>
  <c r="DJ154" i="4"/>
  <c r="DJ155" i="4"/>
  <c r="DJ156" i="4"/>
  <c r="DJ157" i="4"/>
  <c r="DJ158" i="4"/>
  <c r="DJ159" i="4"/>
  <c r="DJ160" i="4"/>
  <c r="DJ161" i="4"/>
  <c r="DJ162" i="4"/>
  <c r="DJ163" i="4"/>
  <c r="DJ164" i="4"/>
  <c r="DJ165" i="4"/>
  <c r="DJ166" i="4"/>
  <c r="DJ167" i="4"/>
  <c r="DJ168" i="4"/>
  <c r="DJ169" i="4"/>
  <c r="DJ170" i="4"/>
  <c r="DJ171" i="4"/>
  <c r="DJ172" i="4"/>
  <c r="DJ173" i="4"/>
  <c r="DJ174" i="4"/>
  <c r="DJ175" i="4"/>
  <c r="DI2" i="4"/>
  <c r="DI3" i="4"/>
  <c r="DI4" i="4"/>
  <c r="DI5" i="4"/>
  <c r="DI6" i="4"/>
  <c r="DI7" i="4"/>
  <c r="DI8" i="4"/>
  <c r="DI9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41" i="4"/>
  <c r="DI42" i="4"/>
  <c r="DI43" i="4"/>
  <c r="DI44" i="4"/>
  <c r="DI45" i="4"/>
  <c r="DI46" i="4"/>
  <c r="DI47" i="4"/>
  <c r="DI48" i="4"/>
  <c r="DI49" i="4"/>
  <c r="DI50" i="4"/>
  <c r="DI51" i="4"/>
  <c r="DI52" i="4"/>
  <c r="DI53" i="4"/>
  <c r="DI54" i="4"/>
  <c r="DI55" i="4"/>
  <c r="DI56" i="4"/>
  <c r="DI57" i="4"/>
  <c r="DI58" i="4"/>
  <c r="DI59" i="4"/>
  <c r="DI60" i="4"/>
  <c r="DI61" i="4"/>
  <c r="DI62" i="4"/>
  <c r="DI63" i="4"/>
  <c r="DI64" i="4"/>
  <c r="DI65" i="4"/>
  <c r="DI66" i="4"/>
  <c r="DI67" i="4"/>
  <c r="DI68" i="4"/>
  <c r="DI69" i="4"/>
  <c r="DI70" i="4"/>
  <c r="DI71" i="4"/>
  <c r="DI72" i="4"/>
  <c r="DI73" i="4"/>
  <c r="DI74" i="4"/>
  <c r="DI75" i="4"/>
  <c r="DI76" i="4"/>
  <c r="DI77" i="4"/>
  <c r="DI78" i="4"/>
  <c r="DI79" i="4"/>
  <c r="DI80" i="4"/>
  <c r="DI81" i="4"/>
  <c r="DI82" i="4"/>
  <c r="DI83" i="4"/>
  <c r="DI84" i="4"/>
  <c r="DI85" i="4"/>
  <c r="DI86" i="4"/>
  <c r="DI87" i="4"/>
  <c r="DI88" i="4"/>
  <c r="DI89" i="4"/>
  <c r="DI90" i="4"/>
  <c r="DI91" i="4"/>
  <c r="DI92" i="4"/>
  <c r="DI93" i="4"/>
  <c r="DI94" i="4"/>
  <c r="DI95" i="4"/>
  <c r="DI96" i="4"/>
  <c r="DI97" i="4"/>
  <c r="DI98" i="4"/>
  <c r="DI99" i="4"/>
  <c r="DI100" i="4"/>
  <c r="DI101" i="4"/>
  <c r="DI102" i="4"/>
  <c r="DI103" i="4"/>
  <c r="DI104" i="4"/>
  <c r="DI105" i="4"/>
  <c r="DI106" i="4"/>
  <c r="DI107" i="4"/>
  <c r="DI108" i="4"/>
  <c r="DI109" i="4"/>
  <c r="DI110" i="4"/>
  <c r="DI111" i="4"/>
  <c r="DI112" i="4"/>
  <c r="DI113" i="4"/>
  <c r="DI114" i="4"/>
  <c r="DI115" i="4"/>
  <c r="DI116" i="4"/>
  <c r="DI117" i="4"/>
  <c r="DI118" i="4"/>
  <c r="DI119" i="4"/>
  <c r="DI120" i="4"/>
  <c r="DI121" i="4"/>
  <c r="DI122" i="4"/>
  <c r="DI123" i="4"/>
  <c r="DI124" i="4"/>
  <c r="DI125" i="4"/>
  <c r="DI126" i="4"/>
  <c r="DI127" i="4"/>
  <c r="DI128" i="4"/>
  <c r="DI129" i="4"/>
  <c r="DI130" i="4"/>
  <c r="DI131" i="4"/>
  <c r="DI132" i="4"/>
  <c r="DI133" i="4"/>
  <c r="DI134" i="4"/>
  <c r="DI135" i="4"/>
  <c r="DI136" i="4"/>
  <c r="DI137" i="4"/>
  <c r="DI138" i="4"/>
  <c r="DI139" i="4"/>
  <c r="DI140" i="4"/>
  <c r="DI141" i="4"/>
  <c r="DI142" i="4"/>
  <c r="DI143" i="4"/>
  <c r="DI144" i="4"/>
  <c r="DI145" i="4"/>
  <c r="DI146" i="4"/>
  <c r="DI147" i="4"/>
  <c r="DI148" i="4"/>
  <c r="DI149" i="4"/>
  <c r="DI150" i="4"/>
  <c r="DI151" i="4"/>
  <c r="DI152" i="4"/>
  <c r="DI153" i="4"/>
  <c r="DI154" i="4"/>
  <c r="DI155" i="4"/>
  <c r="DI156" i="4"/>
  <c r="DI157" i="4"/>
  <c r="DI158" i="4"/>
  <c r="DI159" i="4"/>
  <c r="DI160" i="4"/>
  <c r="DI161" i="4"/>
  <c r="DI162" i="4"/>
  <c r="DI163" i="4"/>
  <c r="DI164" i="4"/>
  <c r="DI165" i="4"/>
  <c r="DI166" i="4"/>
  <c r="DI167" i="4"/>
  <c r="DI168" i="4"/>
  <c r="DI169" i="4"/>
  <c r="DI170" i="4"/>
  <c r="DI171" i="4"/>
  <c r="DI172" i="4"/>
  <c r="DI173" i="4"/>
  <c r="DI174" i="4"/>
  <c r="DI175" i="4"/>
  <c r="DH2" i="4"/>
  <c r="DH3" i="4"/>
  <c r="DH4" i="4"/>
  <c r="DH5" i="4"/>
  <c r="DH6" i="4"/>
  <c r="DH7" i="4"/>
  <c r="DH8" i="4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41" i="4"/>
  <c r="DH42" i="4"/>
  <c r="DH43" i="4"/>
  <c r="DH44" i="4"/>
  <c r="DH45" i="4"/>
  <c r="DH46" i="4"/>
  <c r="DH47" i="4"/>
  <c r="DH48" i="4"/>
  <c r="DH49" i="4"/>
  <c r="DH50" i="4"/>
  <c r="DH51" i="4"/>
  <c r="DH52" i="4"/>
  <c r="DH53" i="4"/>
  <c r="DH54" i="4"/>
  <c r="DH55" i="4"/>
  <c r="DH56" i="4"/>
  <c r="DH57" i="4"/>
  <c r="DH58" i="4"/>
  <c r="DH59" i="4"/>
  <c r="DH60" i="4"/>
  <c r="DH61" i="4"/>
  <c r="DH62" i="4"/>
  <c r="DH63" i="4"/>
  <c r="DH64" i="4"/>
  <c r="DH65" i="4"/>
  <c r="DH66" i="4"/>
  <c r="DH67" i="4"/>
  <c r="DH68" i="4"/>
  <c r="DH69" i="4"/>
  <c r="DH70" i="4"/>
  <c r="DH71" i="4"/>
  <c r="DH72" i="4"/>
  <c r="DH73" i="4"/>
  <c r="DH74" i="4"/>
  <c r="DH75" i="4"/>
  <c r="DH76" i="4"/>
  <c r="DH77" i="4"/>
  <c r="DH78" i="4"/>
  <c r="DH79" i="4"/>
  <c r="DH80" i="4"/>
  <c r="DH81" i="4"/>
  <c r="DH82" i="4"/>
  <c r="DH83" i="4"/>
  <c r="DH84" i="4"/>
  <c r="DH85" i="4"/>
  <c r="DH86" i="4"/>
  <c r="DH87" i="4"/>
  <c r="DH88" i="4"/>
  <c r="DH89" i="4"/>
  <c r="DH90" i="4"/>
  <c r="DH91" i="4"/>
  <c r="DH92" i="4"/>
  <c r="DH93" i="4"/>
  <c r="DH94" i="4"/>
  <c r="DH95" i="4"/>
  <c r="DH96" i="4"/>
  <c r="DH97" i="4"/>
  <c r="DH98" i="4"/>
  <c r="DH99" i="4"/>
  <c r="DH100" i="4"/>
  <c r="DH101" i="4"/>
  <c r="DH102" i="4"/>
  <c r="DH103" i="4"/>
  <c r="DH104" i="4"/>
  <c r="DH105" i="4"/>
  <c r="DH106" i="4"/>
  <c r="DH107" i="4"/>
  <c r="DH108" i="4"/>
  <c r="DH109" i="4"/>
  <c r="DH110" i="4"/>
  <c r="DH111" i="4"/>
  <c r="DH112" i="4"/>
  <c r="DH113" i="4"/>
  <c r="DH114" i="4"/>
  <c r="DH115" i="4"/>
  <c r="DH116" i="4"/>
  <c r="DH117" i="4"/>
  <c r="DH118" i="4"/>
  <c r="DH119" i="4"/>
  <c r="DH120" i="4"/>
  <c r="DH121" i="4"/>
  <c r="DH122" i="4"/>
  <c r="DH123" i="4"/>
  <c r="DH124" i="4"/>
  <c r="DH125" i="4"/>
  <c r="DH126" i="4"/>
  <c r="DH127" i="4"/>
  <c r="DH128" i="4"/>
  <c r="DH129" i="4"/>
  <c r="DH130" i="4"/>
  <c r="DH131" i="4"/>
  <c r="DH132" i="4"/>
  <c r="DH133" i="4"/>
  <c r="DH134" i="4"/>
  <c r="DH135" i="4"/>
  <c r="DH136" i="4"/>
  <c r="DH137" i="4"/>
  <c r="DH138" i="4"/>
  <c r="DH139" i="4"/>
  <c r="DH140" i="4"/>
  <c r="DH141" i="4"/>
  <c r="DH142" i="4"/>
  <c r="DH143" i="4"/>
  <c r="DH144" i="4"/>
  <c r="DH145" i="4"/>
  <c r="DH146" i="4"/>
  <c r="DH147" i="4"/>
  <c r="DH148" i="4"/>
  <c r="DH149" i="4"/>
  <c r="DH150" i="4"/>
  <c r="DH151" i="4"/>
  <c r="DH152" i="4"/>
  <c r="DH153" i="4"/>
  <c r="DH154" i="4"/>
  <c r="DH155" i="4"/>
  <c r="DH156" i="4"/>
  <c r="DH157" i="4"/>
  <c r="DH158" i="4"/>
  <c r="DH159" i="4"/>
  <c r="DH160" i="4"/>
  <c r="DH161" i="4"/>
  <c r="DH162" i="4"/>
  <c r="DH163" i="4"/>
  <c r="DH164" i="4"/>
  <c r="DH165" i="4"/>
  <c r="DH166" i="4"/>
  <c r="DH167" i="4"/>
  <c r="DH168" i="4"/>
  <c r="DH169" i="4"/>
  <c r="DH170" i="4"/>
  <c r="DH171" i="4"/>
  <c r="DH172" i="4"/>
  <c r="DH173" i="4"/>
  <c r="DH174" i="4"/>
  <c r="DH175" i="4"/>
  <c r="DG2" i="4"/>
  <c r="DG3" i="4"/>
  <c r="DG4" i="4"/>
  <c r="DG5" i="4"/>
  <c r="DG6" i="4"/>
  <c r="DG7" i="4"/>
  <c r="DG8" i="4"/>
  <c r="DG9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41" i="4"/>
  <c r="DG42" i="4"/>
  <c r="DG43" i="4"/>
  <c r="DG44" i="4"/>
  <c r="DG45" i="4"/>
  <c r="DG46" i="4"/>
  <c r="DG47" i="4"/>
  <c r="DG48" i="4"/>
  <c r="DG49" i="4"/>
  <c r="DG50" i="4"/>
  <c r="DG51" i="4"/>
  <c r="DG52" i="4"/>
  <c r="DG53" i="4"/>
  <c r="DG54" i="4"/>
  <c r="DG55" i="4"/>
  <c r="DG56" i="4"/>
  <c r="DG57" i="4"/>
  <c r="DG58" i="4"/>
  <c r="DG59" i="4"/>
  <c r="DG60" i="4"/>
  <c r="DG61" i="4"/>
  <c r="DG62" i="4"/>
  <c r="DG63" i="4"/>
  <c r="DG64" i="4"/>
  <c r="DG65" i="4"/>
  <c r="DG66" i="4"/>
  <c r="DG67" i="4"/>
  <c r="DG68" i="4"/>
  <c r="DG69" i="4"/>
  <c r="DG70" i="4"/>
  <c r="DG71" i="4"/>
  <c r="DG72" i="4"/>
  <c r="DG73" i="4"/>
  <c r="DG74" i="4"/>
  <c r="DG75" i="4"/>
  <c r="DG76" i="4"/>
  <c r="DG77" i="4"/>
  <c r="DG78" i="4"/>
  <c r="DG79" i="4"/>
  <c r="DG80" i="4"/>
  <c r="DG81" i="4"/>
  <c r="DG82" i="4"/>
  <c r="DG83" i="4"/>
  <c r="DG84" i="4"/>
  <c r="DG85" i="4"/>
  <c r="DG86" i="4"/>
  <c r="DG87" i="4"/>
  <c r="DG88" i="4"/>
  <c r="DG89" i="4"/>
  <c r="DG90" i="4"/>
  <c r="DG91" i="4"/>
  <c r="DG92" i="4"/>
  <c r="DG93" i="4"/>
  <c r="DG94" i="4"/>
  <c r="DG95" i="4"/>
  <c r="DG96" i="4"/>
  <c r="DG97" i="4"/>
  <c r="DG98" i="4"/>
  <c r="DG99" i="4"/>
  <c r="DG100" i="4"/>
  <c r="DG101" i="4"/>
  <c r="DG102" i="4"/>
  <c r="DG103" i="4"/>
  <c r="DG104" i="4"/>
  <c r="DG105" i="4"/>
  <c r="DG106" i="4"/>
  <c r="DG107" i="4"/>
  <c r="DG108" i="4"/>
  <c r="DG109" i="4"/>
  <c r="DG110" i="4"/>
  <c r="DG111" i="4"/>
  <c r="DG112" i="4"/>
  <c r="DG113" i="4"/>
  <c r="DG114" i="4"/>
  <c r="DG115" i="4"/>
  <c r="DG116" i="4"/>
  <c r="DG117" i="4"/>
  <c r="DG118" i="4"/>
  <c r="DG119" i="4"/>
  <c r="DG120" i="4"/>
  <c r="DG121" i="4"/>
  <c r="DG122" i="4"/>
  <c r="DG123" i="4"/>
  <c r="DG124" i="4"/>
  <c r="DG125" i="4"/>
  <c r="DG126" i="4"/>
  <c r="DG127" i="4"/>
  <c r="DG128" i="4"/>
  <c r="DG129" i="4"/>
  <c r="DG130" i="4"/>
  <c r="DG131" i="4"/>
  <c r="DG132" i="4"/>
  <c r="DG133" i="4"/>
  <c r="DG134" i="4"/>
  <c r="DG135" i="4"/>
  <c r="DG136" i="4"/>
  <c r="DG137" i="4"/>
  <c r="DG138" i="4"/>
  <c r="DG139" i="4"/>
  <c r="DG140" i="4"/>
  <c r="DG141" i="4"/>
  <c r="DG142" i="4"/>
  <c r="DG143" i="4"/>
  <c r="DG144" i="4"/>
  <c r="DG145" i="4"/>
  <c r="DG146" i="4"/>
  <c r="DG147" i="4"/>
  <c r="DG148" i="4"/>
  <c r="DG149" i="4"/>
  <c r="DG150" i="4"/>
  <c r="DG151" i="4"/>
  <c r="DG152" i="4"/>
  <c r="DG153" i="4"/>
  <c r="DG154" i="4"/>
  <c r="DG155" i="4"/>
  <c r="DG156" i="4"/>
  <c r="DG157" i="4"/>
  <c r="DG158" i="4"/>
  <c r="DG159" i="4"/>
  <c r="DG160" i="4"/>
  <c r="DG161" i="4"/>
  <c r="DG162" i="4"/>
  <c r="DG163" i="4"/>
  <c r="DG164" i="4"/>
  <c r="DG165" i="4"/>
  <c r="DG166" i="4"/>
  <c r="DG167" i="4"/>
  <c r="DG168" i="4"/>
  <c r="DG169" i="4"/>
  <c r="DG170" i="4"/>
  <c r="DG171" i="4"/>
  <c r="DG172" i="4"/>
  <c r="DG173" i="4"/>
  <c r="DG174" i="4"/>
  <c r="DG175" i="4"/>
  <c r="DF2" i="4"/>
  <c r="DF3" i="4"/>
  <c r="DF4" i="4"/>
  <c r="DF5" i="4"/>
  <c r="DF6" i="4"/>
  <c r="DF7" i="4"/>
  <c r="DF8" i="4"/>
  <c r="DF9" i="4"/>
  <c r="DF10" i="4"/>
  <c r="DF11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41" i="4"/>
  <c r="DF42" i="4"/>
  <c r="DF43" i="4"/>
  <c r="DF44" i="4"/>
  <c r="DF45" i="4"/>
  <c r="DF46" i="4"/>
  <c r="DF47" i="4"/>
  <c r="DF48" i="4"/>
  <c r="DF49" i="4"/>
  <c r="DF50" i="4"/>
  <c r="DF51" i="4"/>
  <c r="DF52" i="4"/>
  <c r="DF53" i="4"/>
  <c r="DF54" i="4"/>
  <c r="DF55" i="4"/>
  <c r="DF56" i="4"/>
  <c r="DF57" i="4"/>
  <c r="DF58" i="4"/>
  <c r="DF59" i="4"/>
  <c r="DF60" i="4"/>
  <c r="DF61" i="4"/>
  <c r="DF62" i="4"/>
  <c r="DF63" i="4"/>
  <c r="DF64" i="4"/>
  <c r="DF65" i="4"/>
  <c r="DF66" i="4"/>
  <c r="DF67" i="4"/>
  <c r="DF68" i="4"/>
  <c r="DF69" i="4"/>
  <c r="DF70" i="4"/>
  <c r="DF71" i="4"/>
  <c r="DF72" i="4"/>
  <c r="DF73" i="4"/>
  <c r="DF74" i="4"/>
  <c r="DF75" i="4"/>
  <c r="DF76" i="4"/>
  <c r="DF77" i="4"/>
  <c r="DF78" i="4"/>
  <c r="DF79" i="4"/>
  <c r="DF80" i="4"/>
  <c r="DF81" i="4"/>
  <c r="DF82" i="4"/>
  <c r="DF83" i="4"/>
  <c r="DF84" i="4"/>
  <c r="DF85" i="4"/>
  <c r="DF86" i="4"/>
  <c r="DF87" i="4"/>
  <c r="DF88" i="4"/>
  <c r="DF89" i="4"/>
  <c r="DF90" i="4"/>
  <c r="DF91" i="4"/>
  <c r="DF92" i="4"/>
  <c r="DF93" i="4"/>
  <c r="DF94" i="4"/>
  <c r="DF95" i="4"/>
  <c r="DF96" i="4"/>
  <c r="DF97" i="4"/>
  <c r="DF98" i="4"/>
  <c r="DF99" i="4"/>
  <c r="DF100" i="4"/>
  <c r="DF101" i="4"/>
  <c r="DF102" i="4"/>
  <c r="DF103" i="4"/>
  <c r="DF104" i="4"/>
  <c r="DF105" i="4"/>
  <c r="DF106" i="4"/>
  <c r="DF107" i="4"/>
  <c r="DF108" i="4"/>
  <c r="DF109" i="4"/>
  <c r="DF110" i="4"/>
  <c r="DF111" i="4"/>
  <c r="DF112" i="4"/>
  <c r="DF113" i="4"/>
  <c r="DF114" i="4"/>
  <c r="DF115" i="4"/>
  <c r="DF116" i="4"/>
  <c r="DF117" i="4"/>
  <c r="DF118" i="4"/>
  <c r="DF119" i="4"/>
  <c r="DF120" i="4"/>
  <c r="DF121" i="4"/>
  <c r="DF122" i="4"/>
  <c r="DF123" i="4"/>
  <c r="DF124" i="4"/>
  <c r="DF125" i="4"/>
  <c r="DF126" i="4"/>
  <c r="DF127" i="4"/>
  <c r="DF128" i="4"/>
  <c r="DF129" i="4"/>
  <c r="DF130" i="4"/>
  <c r="DF131" i="4"/>
  <c r="DF132" i="4"/>
  <c r="DF133" i="4"/>
  <c r="DF134" i="4"/>
  <c r="DF135" i="4"/>
  <c r="DF136" i="4"/>
  <c r="DF137" i="4"/>
  <c r="DF138" i="4"/>
  <c r="DF139" i="4"/>
  <c r="DF140" i="4"/>
  <c r="DF141" i="4"/>
  <c r="DF142" i="4"/>
  <c r="DF143" i="4"/>
  <c r="DF144" i="4"/>
  <c r="DF145" i="4"/>
  <c r="DF146" i="4"/>
  <c r="DF147" i="4"/>
  <c r="DF148" i="4"/>
  <c r="DF149" i="4"/>
  <c r="DF150" i="4"/>
  <c r="DF151" i="4"/>
  <c r="DF152" i="4"/>
  <c r="DF153" i="4"/>
  <c r="DF154" i="4"/>
  <c r="DF155" i="4"/>
  <c r="DF156" i="4"/>
  <c r="DF157" i="4"/>
  <c r="DF158" i="4"/>
  <c r="DF159" i="4"/>
  <c r="DF160" i="4"/>
  <c r="DF161" i="4"/>
  <c r="DF162" i="4"/>
  <c r="DF163" i="4"/>
  <c r="DF164" i="4"/>
  <c r="DF165" i="4"/>
  <c r="DF166" i="4"/>
  <c r="DF167" i="4"/>
  <c r="DF168" i="4"/>
  <c r="DF169" i="4"/>
  <c r="DF170" i="4"/>
  <c r="DF171" i="4"/>
  <c r="DF172" i="4"/>
  <c r="DF173" i="4"/>
  <c r="DF174" i="4"/>
  <c r="DF175" i="4"/>
  <c r="DE2" i="4"/>
  <c r="DE3" i="4"/>
  <c r="DE4" i="4"/>
  <c r="DE5" i="4"/>
  <c r="DE6" i="4"/>
  <c r="DE7" i="4"/>
  <c r="DE8" i="4"/>
  <c r="DE9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41" i="4"/>
  <c r="DE42" i="4"/>
  <c r="DE43" i="4"/>
  <c r="DE44" i="4"/>
  <c r="DE45" i="4"/>
  <c r="DE46" i="4"/>
  <c r="DE47" i="4"/>
  <c r="DE48" i="4"/>
  <c r="DE49" i="4"/>
  <c r="DE50" i="4"/>
  <c r="DE51" i="4"/>
  <c r="DE52" i="4"/>
  <c r="DE53" i="4"/>
  <c r="DE54" i="4"/>
  <c r="DE55" i="4"/>
  <c r="DE56" i="4"/>
  <c r="DE57" i="4"/>
  <c r="DE58" i="4"/>
  <c r="DE59" i="4"/>
  <c r="DE60" i="4"/>
  <c r="DE61" i="4"/>
  <c r="DE62" i="4"/>
  <c r="DE63" i="4"/>
  <c r="DE64" i="4"/>
  <c r="DE65" i="4"/>
  <c r="DE66" i="4"/>
  <c r="DE67" i="4"/>
  <c r="DE68" i="4"/>
  <c r="DE69" i="4"/>
  <c r="DE70" i="4"/>
  <c r="DE71" i="4"/>
  <c r="DE72" i="4"/>
  <c r="DE73" i="4"/>
  <c r="DE74" i="4"/>
  <c r="DE75" i="4"/>
  <c r="DE76" i="4"/>
  <c r="DE77" i="4"/>
  <c r="DE78" i="4"/>
  <c r="DE79" i="4"/>
  <c r="DE80" i="4"/>
  <c r="DE81" i="4"/>
  <c r="DE82" i="4"/>
  <c r="DE83" i="4"/>
  <c r="DE84" i="4"/>
  <c r="DE85" i="4"/>
  <c r="DE86" i="4"/>
  <c r="DE87" i="4"/>
  <c r="DE88" i="4"/>
  <c r="DE89" i="4"/>
  <c r="DE90" i="4"/>
  <c r="DE91" i="4"/>
  <c r="DE92" i="4"/>
  <c r="DE93" i="4"/>
  <c r="DE94" i="4"/>
  <c r="DE95" i="4"/>
  <c r="DE96" i="4"/>
  <c r="DE97" i="4"/>
  <c r="DE98" i="4"/>
  <c r="DE99" i="4"/>
  <c r="DE100" i="4"/>
  <c r="DE101" i="4"/>
  <c r="DE102" i="4"/>
  <c r="DE103" i="4"/>
  <c r="DE104" i="4"/>
  <c r="DE105" i="4"/>
  <c r="DE106" i="4"/>
  <c r="DE107" i="4"/>
  <c r="DE108" i="4"/>
  <c r="DE109" i="4"/>
  <c r="DE110" i="4"/>
  <c r="DE111" i="4"/>
  <c r="DE112" i="4"/>
  <c r="DE113" i="4"/>
  <c r="DE114" i="4"/>
  <c r="DE115" i="4"/>
  <c r="DE116" i="4"/>
  <c r="DE117" i="4"/>
  <c r="DE118" i="4"/>
  <c r="DE119" i="4"/>
  <c r="DE120" i="4"/>
  <c r="DE121" i="4"/>
  <c r="DE122" i="4"/>
  <c r="DE123" i="4"/>
  <c r="DE124" i="4"/>
  <c r="DE125" i="4"/>
  <c r="DE126" i="4"/>
  <c r="DE127" i="4"/>
  <c r="DE128" i="4"/>
  <c r="DE129" i="4"/>
  <c r="DE130" i="4"/>
  <c r="DE131" i="4"/>
  <c r="DE132" i="4"/>
  <c r="DE133" i="4"/>
  <c r="DE134" i="4"/>
  <c r="DE135" i="4"/>
  <c r="DE136" i="4"/>
  <c r="DE137" i="4"/>
  <c r="DE138" i="4"/>
  <c r="DE139" i="4"/>
  <c r="DE140" i="4"/>
  <c r="DE141" i="4"/>
  <c r="DE142" i="4"/>
  <c r="DE143" i="4"/>
  <c r="DE144" i="4"/>
  <c r="DE145" i="4"/>
  <c r="DE146" i="4"/>
  <c r="DE147" i="4"/>
  <c r="DE148" i="4"/>
  <c r="DE149" i="4"/>
  <c r="DE150" i="4"/>
  <c r="DE151" i="4"/>
  <c r="DE152" i="4"/>
  <c r="DE153" i="4"/>
  <c r="DE154" i="4"/>
  <c r="DE155" i="4"/>
  <c r="DE156" i="4"/>
  <c r="DE157" i="4"/>
  <c r="DE158" i="4"/>
  <c r="DE159" i="4"/>
  <c r="DE160" i="4"/>
  <c r="DE161" i="4"/>
  <c r="DE162" i="4"/>
  <c r="DE163" i="4"/>
  <c r="DE164" i="4"/>
  <c r="DE165" i="4"/>
  <c r="DE166" i="4"/>
  <c r="DE167" i="4"/>
  <c r="DE168" i="4"/>
  <c r="DE169" i="4"/>
  <c r="DE170" i="4"/>
  <c r="DE171" i="4"/>
  <c r="DE172" i="4"/>
  <c r="DE173" i="4"/>
  <c r="DE174" i="4"/>
  <c r="DE175" i="4"/>
  <c r="DD2" i="4"/>
  <c r="DD3" i="4"/>
  <c r="DD4" i="4"/>
  <c r="DD5" i="4"/>
  <c r="DD6" i="4"/>
  <c r="DD7" i="4"/>
  <c r="DD8" i="4"/>
  <c r="DD9" i="4"/>
  <c r="DD10" i="4"/>
  <c r="DD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41" i="4"/>
  <c r="DD42" i="4"/>
  <c r="DD43" i="4"/>
  <c r="DD44" i="4"/>
  <c r="DD45" i="4"/>
  <c r="DD46" i="4"/>
  <c r="DD47" i="4"/>
  <c r="DD48" i="4"/>
  <c r="DD49" i="4"/>
  <c r="DD50" i="4"/>
  <c r="DD51" i="4"/>
  <c r="DD52" i="4"/>
  <c r="DD53" i="4"/>
  <c r="DD54" i="4"/>
  <c r="DD55" i="4"/>
  <c r="DD56" i="4"/>
  <c r="DD57" i="4"/>
  <c r="DD58" i="4"/>
  <c r="DD59" i="4"/>
  <c r="DD60" i="4"/>
  <c r="DD61" i="4"/>
  <c r="DD62" i="4"/>
  <c r="DD63" i="4"/>
  <c r="DD64" i="4"/>
  <c r="DD65" i="4"/>
  <c r="DD66" i="4"/>
  <c r="DD67" i="4"/>
  <c r="DD68" i="4"/>
  <c r="DD69" i="4"/>
  <c r="DD70" i="4"/>
  <c r="DD71" i="4"/>
  <c r="DD72" i="4"/>
  <c r="DD73" i="4"/>
  <c r="DD74" i="4"/>
  <c r="DD75" i="4"/>
  <c r="DD76" i="4"/>
  <c r="DD77" i="4"/>
  <c r="DD78" i="4"/>
  <c r="DD79" i="4"/>
  <c r="DD80" i="4"/>
  <c r="DD81" i="4"/>
  <c r="DD82" i="4"/>
  <c r="DD83" i="4"/>
  <c r="DD84" i="4"/>
  <c r="DD85" i="4"/>
  <c r="DD86" i="4"/>
  <c r="DD87" i="4"/>
  <c r="DD88" i="4"/>
  <c r="DD89" i="4"/>
  <c r="DD90" i="4"/>
  <c r="DD91" i="4"/>
  <c r="DD92" i="4"/>
  <c r="DD93" i="4"/>
  <c r="DD94" i="4"/>
  <c r="DD95" i="4"/>
  <c r="DD96" i="4"/>
  <c r="DD97" i="4"/>
  <c r="DD98" i="4"/>
  <c r="DD99" i="4"/>
  <c r="DD100" i="4"/>
  <c r="DD101" i="4"/>
  <c r="DD102" i="4"/>
  <c r="DD103" i="4"/>
  <c r="DD104" i="4"/>
  <c r="DD105" i="4"/>
  <c r="DD106" i="4"/>
  <c r="DD107" i="4"/>
  <c r="DD108" i="4"/>
  <c r="DD109" i="4"/>
  <c r="DD110" i="4"/>
  <c r="DD111" i="4"/>
  <c r="DD112" i="4"/>
  <c r="DD113" i="4"/>
  <c r="DD114" i="4"/>
  <c r="DD115" i="4"/>
  <c r="DD116" i="4"/>
  <c r="DD117" i="4"/>
  <c r="DD118" i="4"/>
  <c r="DD119" i="4"/>
  <c r="DD120" i="4"/>
  <c r="DD121" i="4"/>
  <c r="DD122" i="4"/>
  <c r="DD123" i="4"/>
  <c r="DD124" i="4"/>
  <c r="DD125" i="4"/>
  <c r="DD126" i="4"/>
  <c r="DD127" i="4"/>
  <c r="DD128" i="4"/>
  <c r="DD129" i="4"/>
  <c r="DD130" i="4"/>
  <c r="DD131" i="4"/>
  <c r="DD132" i="4"/>
  <c r="DD133" i="4"/>
  <c r="DD134" i="4"/>
  <c r="DD135" i="4"/>
  <c r="DD136" i="4"/>
  <c r="DD137" i="4"/>
  <c r="DD138" i="4"/>
  <c r="DD139" i="4"/>
  <c r="DD140" i="4"/>
  <c r="DD141" i="4"/>
  <c r="DD142" i="4"/>
  <c r="DD143" i="4"/>
  <c r="DD144" i="4"/>
  <c r="DD145" i="4"/>
  <c r="DD146" i="4"/>
  <c r="DD147" i="4"/>
  <c r="DD148" i="4"/>
  <c r="DD149" i="4"/>
  <c r="DD150" i="4"/>
  <c r="DD151" i="4"/>
  <c r="DD152" i="4"/>
  <c r="DD153" i="4"/>
  <c r="DD154" i="4"/>
  <c r="DD155" i="4"/>
  <c r="DD156" i="4"/>
  <c r="DD157" i="4"/>
  <c r="DD158" i="4"/>
  <c r="DD159" i="4"/>
  <c r="DD160" i="4"/>
  <c r="DD161" i="4"/>
  <c r="DD162" i="4"/>
  <c r="DD163" i="4"/>
  <c r="DD164" i="4"/>
  <c r="DD165" i="4"/>
  <c r="DD166" i="4"/>
  <c r="DD167" i="4"/>
  <c r="DD168" i="4"/>
  <c r="DD169" i="4"/>
  <c r="DD170" i="4"/>
  <c r="DD171" i="4"/>
  <c r="DD172" i="4"/>
  <c r="DD173" i="4"/>
  <c r="DD174" i="4"/>
  <c r="DD175" i="4"/>
  <c r="DC2" i="4"/>
  <c r="CW2" i="4"/>
  <c r="CW3" i="4"/>
  <c r="CW4" i="4"/>
  <c r="CW5" i="4"/>
  <c r="CW6" i="4"/>
  <c r="CW7" i="4"/>
  <c r="CW8" i="4"/>
  <c r="CW9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W82" i="4"/>
  <c r="CW83" i="4"/>
  <c r="CW84" i="4"/>
  <c r="CW85" i="4"/>
  <c r="CW86" i="4"/>
  <c r="CW87" i="4"/>
  <c r="CW88" i="4"/>
  <c r="CW89" i="4"/>
  <c r="CW90" i="4"/>
  <c r="CW91" i="4"/>
  <c r="CW92" i="4"/>
  <c r="CW93" i="4"/>
  <c r="CW94" i="4"/>
  <c r="CW95" i="4"/>
  <c r="CW96" i="4"/>
  <c r="CW97" i="4"/>
  <c r="CW98" i="4"/>
  <c r="CW99" i="4"/>
  <c r="CW100" i="4"/>
  <c r="CW101" i="4"/>
  <c r="CW102" i="4"/>
  <c r="CW103" i="4"/>
  <c r="CW104" i="4"/>
  <c r="CW105" i="4"/>
  <c r="CW106" i="4"/>
  <c r="CW107" i="4"/>
  <c r="CW108" i="4"/>
  <c r="CW109" i="4"/>
  <c r="CW110" i="4"/>
  <c r="CW111" i="4"/>
  <c r="CW112" i="4"/>
  <c r="CW113" i="4"/>
  <c r="CW114" i="4"/>
  <c r="CW115" i="4"/>
  <c r="CW116" i="4"/>
  <c r="CW117" i="4"/>
  <c r="CW118" i="4"/>
  <c r="CW119" i="4"/>
  <c r="CW120" i="4"/>
  <c r="CW121" i="4"/>
  <c r="CW122" i="4"/>
  <c r="CW123" i="4"/>
  <c r="CW124" i="4"/>
  <c r="CW125" i="4"/>
  <c r="CW126" i="4"/>
  <c r="CW127" i="4"/>
  <c r="CW128" i="4"/>
  <c r="CW129" i="4"/>
  <c r="CW130" i="4"/>
  <c r="CW131" i="4"/>
  <c r="CW132" i="4"/>
  <c r="CW133" i="4"/>
  <c r="CW134" i="4"/>
  <c r="CW135" i="4"/>
  <c r="CW136" i="4"/>
  <c r="CW137" i="4"/>
  <c r="CW138" i="4"/>
  <c r="CW139" i="4"/>
  <c r="CW140" i="4"/>
  <c r="CW141" i="4"/>
  <c r="CW142" i="4"/>
  <c r="CW143" i="4"/>
  <c r="CW144" i="4"/>
  <c r="CW145" i="4"/>
  <c r="CW146" i="4"/>
  <c r="CW147" i="4"/>
  <c r="CW148" i="4"/>
  <c r="CW149" i="4"/>
  <c r="CW150" i="4"/>
  <c r="CW151" i="4"/>
  <c r="CW152" i="4"/>
  <c r="CW153" i="4"/>
  <c r="CW154" i="4"/>
  <c r="CW155" i="4"/>
  <c r="CW156" i="4"/>
  <c r="CW157" i="4"/>
  <c r="CW158" i="4"/>
  <c r="CW159" i="4"/>
  <c r="CW160" i="4"/>
  <c r="CW161" i="4"/>
  <c r="CW162" i="4"/>
  <c r="CW163" i="4"/>
  <c r="CW164" i="4"/>
  <c r="CW165" i="4"/>
  <c r="CW166" i="4"/>
  <c r="CW167" i="4"/>
  <c r="CW168" i="4"/>
  <c r="CW169" i="4"/>
  <c r="CW170" i="4"/>
  <c r="CW171" i="4"/>
  <c r="CW172" i="4"/>
  <c r="CW173" i="4"/>
  <c r="CW174" i="4"/>
  <c r="CW175" i="4"/>
  <c r="CV2" i="4"/>
  <c r="CV3" i="4"/>
  <c r="CV4" i="4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V26" i="4"/>
  <c r="CV27" i="4"/>
  <c r="CV28" i="4"/>
  <c r="CV29" i="4"/>
  <c r="CV30" i="4"/>
  <c r="CV31" i="4"/>
  <c r="CV32" i="4"/>
  <c r="CV33" i="4"/>
  <c r="CV34" i="4"/>
  <c r="CV35" i="4"/>
  <c r="CV36" i="4"/>
  <c r="CV37" i="4"/>
  <c r="CV38" i="4"/>
  <c r="CV39" i="4"/>
  <c r="CV40" i="4"/>
  <c r="CV41" i="4"/>
  <c r="CV42" i="4"/>
  <c r="CV43" i="4"/>
  <c r="CV44" i="4"/>
  <c r="CV45" i="4"/>
  <c r="CV46" i="4"/>
  <c r="CV47" i="4"/>
  <c r="CV48" i="4"/>
  <c r="CV49" i="4"/>
  <c r="CV50" i="4"/>
  <c r="CV51" i="4"/>
  <c r="CV52" i="4"/>
  <c r="CV53" i="4"/>
  <c r="CV54" i="4"/>
  <c r="CV55" i="4"/>
  <c r="CV56" i="4"/>
  <c r="CV57" i="4"/>
  <c r="CV58" i="4"/>
  <c r="CV59" i="4"/>
  <c r="CV60" i="4"/>
  <c r="CV61" i="4"/>
  <c r="CV62" i="4"/>
  <c r="CV63" i="4"/>
  <c r="CV64" i="4"/>
  <c r="CV65" i="4"/>
  <c r="CV66" i="4"/>
  <c r="CV67" i="4"/>
  <c r="CV68" i="4"/>
  <c r="CV69" i="4"/>
  <c r="CV70" i="4"/>
  <c r="CV71" i="4"/>
  <c r="CV72" i="4"/>
  <c r="CV73" i="4"/>
  <c r="CV74" i="4"/>
  <c r="CV75" i="4"/>
  <c r="CV76" i="4"/>
  <c r="CV77" i="4"/>
  <c r="CV78" i="4"/>
  <c r="CV79" i="4"/>
  <c r="CV80" i="4"/>
  <c r="CV81" i="4"/>
  <c r="CV82" i="4"/>
  <c r="CV83" i="4"/>
  <c r="CV84" i="4"/>
  <c r="CV85" i="4"/>
  <c r="CV86" i="4"/>
  <c r="CV87" i="4"/>
  <c r="CV88" i="4"/>
  <c r="CV89" i="4"/>
  <c r="CV90" i="4"/>
  <c r="CV91" i="4"/>
  <c r="CV92" i="4"/>
  <c r="CV93" i="4"/>
  <c r="CV94" i="4"/>
  <c r="CV95" i="4"/>
  <c r="CV96" i="4"/>
  <c r="CV97" i="4"/>
  <c r="CV98" i="4"/>
  <c r="CV99" i="4"/>
  <c r="CV100" i="4"/>
  <c r="CV101" i="4"/>
  <c r="CV102" i="4"/>
  <c r="CV103" i="4"/>
  <c r="CV104" i="4"/>
  <c r="CV105" i="4"/>
  <c r="CV106" i="4"/>
  <c r="CV107" i="4"/>
  <c r="CV108" i="4"/>
  <c r="CV109" i="4"/>
  <c r="CV110" i="4"/>
  <c r="CV111" i="4"/>
  <c r="CV112" i="4"/>
  <c r="CV113" i="4"/>
  <c r="CV114" i="4"/>
  <c r="CV115" i="4"/>
  <c r="CV116" i="4"/>
  <c r="CV117" i="4"/>
  <c r="CV118" i="4"/>
  <c r="CV119" i="4"/>
  <c r="CV120" i="4"/>
  <c r="CV121" i="4"/>
  <c r="CV122" i="4"/>
  <c r="CV123" i="4"/>
  <c r="CV124" i="4"/>
  <c r="CV125" i="4"/>
  <c r="CV126" i="4"/>
  <c r="CV127" i="4"/>
  <c r="CV128" i="4"/>
  <c r="CV129" i="4"/>
  <c r="CV130" i="4"/>
  <c r="CV131" i="4"/>
  <c r="CV132" i="4"/>
  <c r="CV133" i="4"/>
  <c r="CV134" i="4"/>
  <c r="CV135" i="4"/>
  <c r="CV136" i="4"/>
  <c r="CV137" i="4"/>
  <c r="CV138" i="4"/>
  <c r="CV139" i="4"/>
  <c r="CV140" i="4"/>
  <c r="CV141" i="4"/>
  <c r="CV142" i="4"/>
  <c r="CV143" i="4"/>
  <c r="CV144" i="4"/>
  <c r="CV145" i="4"/>
  <c r="CV146" i="4"/>
  <c r="CV147" i="4"/>
  <c r="CV148" i="4"/>
  <c r="CV149" i="4"/>
  <c r="CV150" i="4"/>
  <c r="CV151" i="4"/>
  <c r="CV152" i="4"/>
  <c r="CV153" i="4"/>
  <c r="CV154" i="4"/>
  <c r="CV155" i="4"/>
  <c r="CV156" i="4"/>
  <c r="CV157" i="4"/>
  <c r="CV158" i="4"/>
  <c r="CV159" i="4"/>
  <c r="CV160" i="4"/>
  <c r="CV161" i="4"/>
  <c r="CV162" i="4"/>
  <c r="CV163" i="4"/>
  <c r="CV164" i="4"/>
  <c r="CV165" i="4"/>
  <c r="CV166" i="4"/>
  <c r="CV167" i="4"/>
  <c r="CV168" i="4"/>
  <c r="CV169" i="4"/>
  <c r="CV170" i="4"/>
  <c r="CV171" i="4"/>
  <c r="CV172" i="4"/>
  <c r="CV173" i="4"/>
  <c r="CV174" i="4"/>
  <c r="CV175" i="4"/>
  <c r="DA2" i="4"/>
  <c r="DA3" i="4"/>
  <c r="DA4" i="4"/>
  <c r="DA5" i="4"/>
  <c r="DA6" i="4"/>
  <c r="DA7" i="4"/>
  <c r="DA8" i="4"/>
  <c r="DA9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41" i="4"/>
  <c r="DA42" i="4"/>
  <c r="DA43" i="4"/>
  <c r="DA44" i="4"/>
  <c r="DA45" i="4"/>
  <c r="DA46" i="4"/>
  <c r="DA47" i="4"/>
  <c r="DA48" i="4"/>
  <c r="DA49" i="4"/>
  <c r="DA50" i="4"/>
  <c r="DA51" i="4"/>
  <c r="DA52" i="4"/>
  <c r="DA53" i="4"/>
  <c r="DA54" i="4"/>
  <c r="DA55" i="4"/>
  <c r="DA56" i="4"/>
  <c r="DA57" i="4"/>
  <c r="DA58" i="4"/>
  <c r="DA59" i="4"/>
  <c r="DA60" i="4"/>
  <c r="DA61" i="4"/>
  <c r="DA62" i="4"/>
  <c r="DA63" i="4"/>
  <c r="DA64" i="4"/>
  <c r="DA65" i="4"/>
  <c r="DA66" i="4"/>
  <c r="DA67" i="4"/>
  <c r="DA68" i="4"/>
  <c r="DA69" i="4"/>
  <c r="DA70" i="4"/>
  <c r="DA71" i="4"/>
  <c r="DA72" i="4"/>
  <c r="DA73" i="4"/>
  <c r="DA74" i="4"/>
  <c r="DA75" i="4"/>
  <c r="DA76" i="4"/>
  <c r="DA77" i="4"/>
  <c r="DA78" i="4"/>
  <c r="DA79" i="4"/>
  <c r="DA80" i="4"/>
  <c r="DA81" i="4"/>
  <c r="DA82" i="4"/>
  <c r="DA83" i="4"/>
  <c r="DA84" i="4"/>
  <c r="DA85" i="4"/>
  <c r="DA86" i="4"/>
  <c r="DA87" i="4"/>
  <c r="DA88" i="4"/>
  <c r="DA89" i="4"/>
  <c r="DA90" i="4"/>
  <c r="DA91" i="4"/>
  <c r="DA92" i="4"/>
  <c r="DA93" i="4"/>
  <c r="DA94" i="4"/>
  <c r="DA95" i="4"/>
  <c r="DA96" i="4"/>
  <c r="DA97" i="4"/>
  <c r="DA98" i="4"/>
  <c r="DA99" i="4"/>
  <c r="DA100" i="4"/>
  <c r="DA101" i="4"/>
  <c r="DA102" i="4"/>
  <c r="DA103" i="4"/>
  <c r="DA104" i="4"/>
  <c r="DA105" i="4"/>
  <c r="DA106" i="4"/>
  <c r="DA107" i="4"/>
  <c r="DA108" i="4"/>
  <c r="DA109" i="4"/>
  <c r="DA110" i="4"/>
  <c r="DA111" i="4"/>
  <c r="DA112" i="4"/>
  <c r="DA113" i="4"/>
  <c r="DA114" i="4"/>
  <c r="DA115" i="4"/>
  <c r="DA116" i="4"/>
  <c r="DA117" i="4"/>
  <c r="DA118" i="4"/>
  <c r="DA119" i="4"/>
  <c r="DA120" i="4"/>
  <c r="DA121" i="4"/>
  <c r="DA122" i="4"/>
  <c r="DA123" i="4"/>
  <c r="DA124" i="4"/>
  <c r="DA125" i="4"/>
  <c r="DA126" i="4"/>
  <c r="DA127" i="4"/>
  <c r="DA128" i="4"/>
  <c r="DA129" i="4"/>
  <c r="DA130" i="4"/>
  <c r="DA131" i="4"/>
  <c r="DA132" i="4"/>
  <c r="DA133" i="4"/>
  <c r="DA134" i="4"/>
  <c r="DA135" i="4"/>
  <c r="DA136" i="4"/>
  <c r="DA137" i="4"/>
  <c r="DA138" i="4"/>
  <c r="DA139" i="4"/>
  <c r="DA140" i="4"/>
  <c r="DA141" i="4"/>
  <c r="DA142" i="4"/>
  <c r="DA143" i="4"/>
  <c r="DA144" i="4"/>
  <c r="DA145" i="4"/>
  <c r="DA146" i="4"/>
  <c r="DA147" i="4"/>
  <c r="DA148" i="4"/>
  <c r="DA149" i="4"/>
  <c r="DA150" i="4"/>
  <c r="DA151" i="4"/>
  <c r="DA152" i="4"/>
  <c r="DA153" i="4"/>
  <c r="DA154" i="4"/>
  <c r="DA155" i="4"/>
  <c r="DA156" i="4"/>
  <c r="DA157" i="4"/>
  <c r="DA158" i="4"/>
  <c r="DA159" i="4"/>
  <c r="DA160" i="4"/>
  <c r="DA161" i="4"/>
  <c r="DA162" i="4"/>
  <c r="DA163" i="4"/>
  <c r="DA164" i="4"/>
  <c r="DA165" i="4"/>
  <c r="DA166" i="4"/>
  <c r="DA167" i="4"/>
  <c r="DA168" i="4"/>
  <c r="DA169" i="4"/>
  <c r="DA170" i="4"/>
  <c r="DA171" i="4"/>
  <c r="DA172" i="4"/>
  <c r="DA173" i="4"/>
  <c r="DA174" i="4"/>
  <c r="DA175" i="4"/>
  <c r="DC3" i="4"/>
  <c r="DC4" i="4"/>
  <c r="DC5" i="4"/>
  <c r="DC6" i="4"/>
  <c r="DC7" i="4"/>
  <c r="DC8" i="4"/>
  <c r="DC9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41" i="4"/>
  <c r="DC42" i="4"/>
  <c r="DC43" i="4"/>
  <c r="DC44" i="4"/>
  <c r="DC45" i="4"/>
  <c r="DC46" i="4"/>
  <c r="DC47" i="4"/>
  <c r="DC48" i="4"/>
  <c r="DC49" i="4"/>
  <c r="DC50" i="4"/>
  <c r="DC51" i="4"/>
  <c r="DC52" i="4"/>
  <c r="DC53" i="4"/>
  <c r="DC54" i="4"/>
  <c r="DC55" i="4"/>
  <c r="DC56" i="4"/>
  <c r="DC57" i="4"/>
  <c r="DC58" i="4"/>
  <c r="DC59" i="4"/>
  <c r="DC60" i="4"/>
  <c r="DC61" i="4"/>
  <c r="DC62" i="4"/>
  <c r="DC63" i="4"/>
  <c r="DC64" i="4"/>
  <c r="DC65" i="4"/>
  <c r="DC66" i="4"/>
  <c r="DC67" i="4"/>
  <c r="DC68" i="4"/>
  <c r="DC69" i="4"/>
  <c r="DC70" i="4"/>
  <c r="DC71" i="4"/>
  <c r="DC72" i="4"/>
  <c r="DC73" i="4"/>
  <c r="DC74" i="4"/>
  <c r="DC75" i="4"/>
  <c r="DC76" i="4"/>
  <c r="DC77" i="4"/>
  <c r="DC78" i="4"/>
  <c r="DC79" i="4"/>
  <c r="DC80" i="4"/>
  <c r="DC81" i="4"/>
  <c r="DC82" i="4"/>
  <c r="DC83" i="4"/>
  <c r="DC84" i="4"/>
  <c r="DC85" i="4"/>
  <c r="DC86" i="4"/>
  <c r="DC87" i="4"/>
  <c r="DC88" i="4"/>
  <c r="DC89" i="4"/>
  <c r="DC90" i="4"/>
  <c r="DC91" i="4"/>
  <c r="DC92" i="4"/>
  <c r="DC93" i="4"/>
  <c r="DC94" i="4"/>
  <c r="DC95" i="4"/>
  <c r="DC96" i="4"/>
  <c r="DC97" i="4"/>
  <c r="DC98" i="4"/>
  <c r="DC99" i="4"/>
  <c r="DC100" i="4"/>
  <c r="DC101" i="4"/>
  <c r="DC102" i="4"/>
  <c r="DC103" i="4"/>
  <c r="DC104" i="4"/>
  <c r="DC105" i="4"/>
  <c r="DC106" i="4"/>
  <c r="DC107" i="4"/>
  <c r="DC108" i="4"/>
  <c r="DC109" i="4"/>
  <c r="DC110" i="4"/>
  <c r="DC111" i="4"/>
  <c r="DC112" i="4"/>
  <c r="DC113" i="4"/>
  <c r="DC114" i="4"/>
  <c r="DC115" i="4"/>
  <c r="DC116" i="4"/>
  <c r="DC117" i="4"/>
  <c r="DC118" i="4"/>
  <c r="DC119" i="4"/>
  <c r="DC120" i="4"/>
  <c r="DC121" i="4"/>
  <c r="DC122" i="4"/>
  <c r="DC123" i="4"/>
  <c r="DC124" i="4"/>
  <c r="DC125" i="4"/>
  <c r="DC126" i="4"/>
  <c r="DC127" i="4"/>
  <c r="DC128" i="4"/>
  <c r="DC129" i="4"/>
  <c r="DC130" i="4"/>
  <c r="DC131" i="4"/>
  <c r="DC132" i="4"/>
  <c r="DC133" i="4"/>
  <c r="DC134" i="4"/>
  <c r="DC135" i="4"/>
  <c r="DC136" i="4"/>
  <c r="DC137" i="4"/>
  <c r="DC138" i="4"/>
  <c r="DC139" i="4"/>
  <c r="DC140" i="4"/>
  <c r="DC141" i="4"/>
  <c r="DC142" i="4"/>
  <c r="DC143" i="4"/>
  <c r="DC144" i="4"/>
  <c r="DC145" i="4"/>
  <c r="DC146" i="4"/>
  <c r="DC147" i="4"/>
  <c r="DC148" i="4"/>
  <c r="DC149" i="4"/>
  <c r="DC150" i="4"/>
  <c r="DC151" i="4"/>
  <c r="DC152" i="4"/>
  <c r="DC153" i="4"/>
  <c r="DC154" i="4"/>
  <c r="DC155" i="4"/>
  <c r="DC156" i="4"/>
  <c r="DC157" i="4"/>
  <c r="DC158" i="4"/>
  <c r="DC159" i="4"/>
  <c r="DC160" i="4"/>
  <c r="DC161" i="4"/>
  <c r="DC162" i="4"/>
  <c r="DC163" i="4"/>
  <c r="DC164" i="4"/>
  <c r="DC165" i="4"/>
  <c r="DC166" i="4"/>
  <c r="DC167" i="4"/>
  <c r="DC168" i="4"/>
  <c r="DC169" i="4"/>
  <c r="DC170" i="4"/>
  <c r="DC171" i="4"/>
  <c r="DC172" i="4"/>
  <c r="DC173" i="4"/>
  <c r="DC174" i="4"/>
  <c r="DC175" i="4"/>
  <c r="DB2" i="4"/>
  <c r="DB3" i="4"/>
  <c r="DB4" i="4"/>
  <c r="DB5" i="4"/>
  <c r="DB6" i="4"/>
  <c r="DB7" i="4"/>
  <c r="DB8" i="4"/>
  <c r="DB9" i="4"/>
  <c r="DB10" i="4"/>
  <c r="DB11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41" i="4"/>
  <c r="DB42" i="4"/>
  <c r="DB43" i="4"/>
  <c r="DB44" i="4"/>
  <c r="DB45" i="4"/>
  <c r="DB46" i="4"/>
  <c r="DB47" i="4"/>
  <c r="DB48" i="4"/>
  <c r="DB49" i="4"/>
  <c r="DB50" i="4"/>
  <c r="DB51" i="4"/>
  <c r="DB52" i="4"/>
  <c r="DB53" i="4"/>
  <c r="DB54" i="4"/>
  <c r="DB55" i="4"/>
  <c r="DB56" i="4"/>
  <c r="DB57" i="4"/>
  <c r="DB58" i="4"/>
  <c r="DB59" i="4"/>
  <c r="DB60" i="4"/>
  <c r="DB61" i="4"/>
  <c r="DB62" i="4"/>
  <c r="DB63" i="4"/>
  <c r="DB64" i="4"/>
  <c r="DB65" i="4"/>
  <c r="DB66" i="4"/>
  <c r="DB67" i="4"/>
  <c r="DB68" i="4"/>
  <c r="DB69" i="4"/>
  <c r="DB70" i="4"/>
  <c r="DB71" i="4"/>
  <c r="DB72" i="4"/>
  <c r="DB73" i="4"/>
  <c r="DB74" i="4"/>
  <c r="DB75" i="4"/>
  <c r="DB76" i="4"/>
  <c r="DB77" i="4"/>
  <c r="DB78" i="4"/>
  <c r="DB79" i="4"/>
  <c r="DB80" i="4"/>
  <c r="DB81" i="4"/>
  <c r="DB82" i="4"/>
  <c r="DB83" i="4"/>
  <c r="DB84" i="4"/>
  <c r="DB85" i="4"/>
  <c r="DB86" i="4"/>
  <c r="DB87" i="4"/>
  <c r="DB88" i="4"/>
  <c r="DB89" i="4"/>
  <c r="DB90" i="4"/>
  <c r="DB91" i="4"/>
  <c r="DB92" i="4"/>
  <c r="DB93" i="4"/>
  <c r="DB94" i="4"/>
  <c r="DB95" i="4"/>
  <c r="DB96" i="4"/>
  <c r="DB97" i="4"/>
  <c r="DB98" i="4"/>
  <c r="DB99" i="4"/>
  <c r="DB100" i="4"/>
  <c r="DB101" i="4"/>
  <c r="DB102" i="4"/>
  <c r="DB103" i="4"/>
  <c r="DB104" i="4"/>
  <c r="DB105" i="4"/>
  <c r="DB106" i="4"/>
  <c r="DB107" i="4"/>
  <c r="DB108" i="4"/>
  <c r="DB109" i="4"/>
  <c r="DB110" i="4"/>
  <c r="DB111" i="4"/>
  <c r="DB112" i="4"/>
  <c r="DB113" i="4"/>
  <c r="DB114" i="4"/>
  <c r="DB115" i="4"/>
  <c r="DB116" i="4"/>
  <c r="DB117" i="4"/>
  <c r="DB118" i="4"/>
  <c r="DB119" i="4"/>
  <c r="DB120" i="4"/>
  <c r="DB121" i="4"/>
  <c r="DB122" i="4"/>
  <c r="DB123" i="4"/>
  <c r="DB124" i="4"/>
  <c r="DB125" i="4"/>
  <c r="DB126" i="4"/>
  <c r="DB127" i="4"/>
  <c r="DB128" i="4"/>
  <c r="DB129" i="4"/>
  <c r="DB130" i="4"/>
  <c r="DB131" i="4"/>
  <c r="DB132" i="4"/>
  <c r="DB133" i="4"/>
  <c r="DB134" i="4"/>
  <c r="DB135" i="4"/>
  <c r="DB136" i="4"/>
  <c r="DB137" i="4"/>
  <c r="DB138" i="4"/>
  <c r="DB139" i="4"/>
  <c r="DB140" i="4"/>
  <c r="DB141" i="4"/>
  <c r="DB142" i="4"/>
  <c r="DB143" i="4"/>
  <c r="DB144" i="4"/>
  <c r="DB145" i="4"/>
  <c r="DB146" i="4"/>
  <c r="DB147" i="4"/>
  <c r="DB148" i="4"/>
  <c r="DB149" i="4"/>
  <c r="DB150" i="4"/>
  <c r="DB151" i="4"/>
  <c r="DB152" i="4"/>
  <c r="DB153" i="4"/>
  <c r="DB154" i="4"/>
  <c r="DB155" i="4"/>
  <c r="DB156" i="4"/>
  <c r="DB157" i="4"/>
  <c r="DB158" i="4"/>
  <c r="DB159" i="4"/>
  <c r="DB160" i="4"/>
  <c r="DB161" i="4"/>
  <c r="DB162" i="4"/>
  <c r="DB163" i="4"/>
  <c r="DB164" i="4"/>
  <c r="DB165" i="4"/>
  <c r="DB166" i="4"/>
  <c r="DB167" i="4"/>
  <c r="DB168" i="4"/>
  <c r="DB169" i="4"/>
  <c r="DB170" i="4"/>
  <c r="DB171" i="4"/>
  <c r="DB172" i="4"/>
  <c r="DB173" i="4"/>
  <c r="DB174" i="4"/>
  <c r="DB175" i="4"/>
  <c r="CR3" i="4"/>
  <c r="CR4" i="4"/>
  <c r="CR5" i="4"/>
  <c r="CR6" i="4"/>
  <c r="CR7" i="4"/>
  <c r="CR8" i="4"/>
  <c r="CR9" i="4"/>
  <c r="CR10" i="4"/>
  <c r="CR11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41" i="4"/>
  <c r="CR42" i="4"/>
  <c r="CR43" i="4"/>
  <c r="CR44" i="4"/>
  <c r="CR45" i="4"/>
  <c r="CR46" i="4"/>
  <c r="CR47" i="4"/>
  <c r="CR48" i="4"/>
  <c r="CR49" i="4"/>
  <c r="CR50" i="4"/>
  <c r="CR51" i="4"/>
  <c r="CR52" i="4"/>
  <c r="CR53" i="4"/>
  <c r="CR54" i="4"/>
  <c r="CR55" i="4"/>
  <c r="CR56" i="4"/>
  <c r="CR57" i="4"/>
  <c r="CR58" i="4"/>
  <c r="CR59" i="4"/>
  <c r="CR60" i="4"/>
  <c r="CR61" i="4"/>
  <c r="CR62" i="4"/>
  <c r="CR63" i="4"/>
  <c r="CR64" i="4"/>
  <c r="CR65" i="4"/>
  <c r="CR66" i="4"/>
  <c r="CR67" i="4"/>
  <c r="CR68" i="4"/>
  <c r="CR69" i="4"/>
  <c r="CR70" i="4"/>
  <c r="CR71" i="4"/>
  <c r="CR72" i="4"/>
  <c r="CR73" i="4"/>
  <c r="CR74" i="4"/>
  <c r="CR75" i="4"/>
  <c r="CR76" i="4"/>
  <c r="CR77" i="4"/>
  <c r="CR78" i="4"/>
  <c r="CR79" i="4"/>
  <c r="CR80" i="4"/>
  <c r="CR81" i="4"/>
  <c r="CR82" i="4"/>
  <c r="CR83" i="4"/>
  <c r="CR84" i="4"/>
  <c r="CR85" i="4"/>
  <c r="CR86" i="4"/>
  <c r="CR87" i="4"/>
  <c r="CR88" i="4"/>
  <c r="CR89" i="4"/>
  <c r="CR90" i="4"/>
  <c r="CR91" i="4"/>
  <c r="CR92" i="4"/>
  <c r="CR93" i="4"/>
  <c r="CR94" i="4"/>
  <c r="CR95" i="4"/>
  <c r="CR96" i="4"/>
  <c r="CR97" i="4"/>
  <c r="CR98" i="4"/>
  <c r="CR99" i="4"/>
  <c r="CR100" i="4"/>
  <c r="CR101" i="4"/>
  <c r="CR102" i="4"/>
  <c r="CR103" i="4"/>
  <c r="CR104" i="4"/>
  <c r="CR105" i="4"/>
  <c r="CR106" i="4"/>
  <c r="CR107" i="4"/>
  <c r="CR108" i="4"/>
  <c r="CR109" i="4"/>
  <c r="CR110" i="4"/>
  <c r="CR111" i="4"/>
  <c r="CR112" i="4"/>
  <c r="CR113" i="4"/>
  <c r="CR114" i="4"/>
  <c r="CR115" i="4"/>
  <c r="CR116" i="4"/>
  <c r="CR117" i="4"/>
  <c r="CR118" i="4"/>
  <c r="CR119" i="4"/>
  <c r="CR120" i="4"/>
  <c r="CR121" i="4"/>
  <c r="CR122" i="4"/>
  <c r="CR123" i="4"/>
  <c r="CR124" i="4"/>
  <c r="CR125" i="4"/>
  <c r="CR126" i="4"/>
  <c r="CR127" i="4"/>
  <c r="CR128" i="4"/>
  <c r="CR129" i="4"/>
  <c r="CR130" i="4"/>
  <c r="CR131" i="4"/>
  <c r="CR132" i="4"/>
  <c r="CR133" i="4"/>
  <c r="CR134" i="4"/>
  <c r="CR135" i="4"/>
  <c r="CR136" i="4"/>
  <c r="CR137" i="4"/>
  <c r="CR138" i="4"/>
  <c r="CR139" i="4"/>
  <c r="CR140" i="4"/>
  <c r="CR141" i="4"/>
  <c r="CR142" i="4"/>
  <c r="CR143" i="4"/>
  <c r="CR144" i="4"/>
  <c r="CR145" i="4"/>
  <c r="CR146" i="4"/>
  <c r="CR147" i="4"/>
  <c r="CR148" i="4"/>
  <c r="CR149" i="4"/>
  <c r="CR150" i="4"/>
  <c r="CR151" i="4"/>
  <c r="CR152" i="4"/>
  <c r="CR153" i="4"/>
  <c r="CR154" i="4"/>
  <c r="CR155" i="4"/>
  <c r="CR156" i="4"/>
  <c r="CR157" i="4"/>
  <c r="CR158" i="4"/>
  <c r="CR159" i="4"/>
  <c r="CR160" i="4"/>
  <c r="CR161" i="4"/>
  <c r="CR162" i="4"/>
  <c r="CR163" i="4"/>
  <c r="CR164" i="4"/>
  <c r="CR165" i="4"/>
  <c r="CR166" i="4"/>
  <c r="CR167" i="4"/>
  <c r="CR168" i="4"/>
  <c r="CR169" i="4"/>
  <c r="CR170" i="4"/>
  <c r="CR171" i="4"/>
  <c r="CR172" i="4"/>
  <c r="CR173" i="4"/>
  <c r="CR174" i="4"/>
  <c r="CR175" i="4"/>
  <c r="CR2" i="4"/>
  <c r="CQ3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41" i="4"/>
  <c r="CQ42" i="4"/>
  <c r="CQ43" i="4"/>
  <c r="CQ44" i="4"/>
  <c r="CQ45" i="4"/>
  <c r="CQ46" i="4"/>
  <c r="CQ47" i="4"/>
  <c r="CQ48" i="4"/>
  <c r="CQ49" i="4"/>
  <c r="CQ50" i="4"/>
  <c r="CQ51" i="4"/>
  <c r="CQ52" i="4"/>
  <c r="CQ53" i="4"/>
  <c r="CQ54" i="4"/>
  <c r="CQ55" i="4"/>
  <c r="CQ56" i="4"/>
  <c r="CQ57" i="4"/>
  <c r="CQ58" i="4"/>
  <c r="CQ59" i="4"/>
  <c r="CQ60" i="4"/>
  <c r="CQ61" i="4"/>
  <c r="CQ62" i="4"/>
  <c r="CQ63" i="4"/>
  <c r="CQ64" i="4"/>
  <c r="CQ65" i="4"/>
  <c r="CQ66" i="4"/>
  <c r="CQ67" i="4"/>
  <c r="CQ68" i="4"/>
  <c r="CQ69" i="4"/>
  <c r="CQ70" i="4"/>
  <c r="CQ71" i="4"/>
  <c r="CQ72" i="4"/>
  <c r="CQ73" i="4"/>
  <c r="CQ74" i="4"/>
  <c r="CQ75" i="4"/>
  <c r="CQ76" i="4"/>
  <c r="CQ77" i="4"/>
  <c r="CQ78" i="4"/>
  <c r="CQ79" i="4"/>
  <c r="CQ80" i="4"/>
  <c r="CQ81" i="4"/>
  <c r="CQ82" i="4"/>
  <c r="CQ83" i="4"/>
  <c r="CQ84" i="4"/>
  <c r="CQ85" i="4"/>
  <c r="CQ86" i="4"/>
  <c r="CQ87" i="4"/>
  <c r="CQ88" i="4"/>
  <c r="CQ89" i="4"/>
  <c r="CQ90" i="4"/>
  <c r="CQ91" i="4"/>
  <c r="CQ92" i="4"/>
  <c r="CQ93" i="4"/>
  <c r="CQ94" i="4"/>
  <c r="CQ95" i="4"/>
  <c r="CQ96" i="4"/>
  <c r="CQ97" i="4"/>
  <c r="CQ98" i="4"/>
  <c r="CQ99" i="4"/>
  <c r="CQ100" i="4"/>
  <c r="CQ101" i="4"/>
  <c r="CQ102" i="4"/>
  <c r="CQ103" i="4"/>
  <c r="CQ104" i="4"/>
  <c r="CQ105" i="4"/>
  <c r="CQ106" i="4"/>
  <c r="CQ107" i="4"/>
  <c r="CQ108" i="4"/>
  <c r="CQ109" i="4"/>
  <c r="CQ110" i="4"/>
  <c r="CQ111" i="4"/>
  <c r="CQ112" i="4"/>
  <c r="CQ113" i="4"/>
  <c r="CQ114" i="4"/>
  <c r="CQ115" i="4"/>
  <c r="CQ116" i="4"/>
  <c r="CQ117" i="4"/>
  <c r="CQ118" i="4"/>
  <c r="CQ119" i="4"/>
  <c r="CQ120" i="4"/>
  <c r="CQ121" i="4"/>
  <c r="CQ122" i="4"/>
  <c r="CQ123" i="4"/>
  <c r="CQ124" i="4"/>
  <c r="CQ125" i="4"/>
  <c r="CQ126" i="4"/>
  <c r="CQ127" i="4"/>
  <c r="CQ128" i="4"/>
  <c r="CQ129" i="4"/>
  <c r="CQ130" i="4"/>
  <c r="CQ131" i="4"/>
  <c r="CQ132" i="4"/>
  <c r="CQ133" i="4"/>
  <c r="CQ134" i="4"/>
  <c r="CQ135" i="4"/>
  <c r="CQ136" i="4"/>
  <c r="CQ137" i="4"/>
  <c r="CQ138" i="4"/>
  <c r="CQ139" i="4"/>
  <c r="CQ140" i="4"/>
  <c r="CQ141" i="4"/>
  <c r="CQ142" i="4"/>
  <c r="CQ143" i="4"/>
  <c r="CQ144" i="4"/>
  <c r="CQ145" i="4"/>
  <c r="CQ146" i="4"/>
  <c r="CQ147" i="4"/>
  <c r="CQ148" i="4"/>
  <c r="CQ149" i="4"/>
  <c r="CQ150" i="4"/>
  <c r="CQ151" i="4"/>
  <c r="CQ152" i="4"/>
  <c r="CQ153" i="4"/>
  <c r="CQ154" i="4"/>
  <c r="CQ155" i="4"/>
  <c r="CQ156" i="4"/>
  <c r="CQ157" i="4"/>
  <c r="CQ158" i="4"/>
  <c r="CQ159" i="4"/>
  <c r="CQ160" i="4"/>
  <c r="CQ161" i="4"/>
  <c r="CQ162" i="4"/>
  <c r="CQ163" i="4"/>
  <c r="CQ164" i="4"/>
  <c r="CQ165" i="4"/>
  <c r="CQ166" i="4"/>
  <c r="CQ167" i="4"/>
  <c r="CQ168" i="4"/>
  <c r="CQ169" i="4"/>
  <c r="CQ170" i="4"/>
  <c r="CQ171" i="4"/>
  <c r="CQ172" i="4"/>
  <c r="CQ173" i="4"/>
  <c r="CQ174" i="4"/>
  <c r="CQ175" i="4"/>
  <c r="CQ2" i="4"/>
  <c r="CP3" i="4"/>
  <c r="CP4" i="4"/>
  <c r="CP5" i="4"/>
  <c r="CP6" i="4"/>
  <c r="CP7" i="4"/>
  <c r="CP8" i="4"/>
  <c r="CP9" i="4"/>
  <c r="CP10" i="4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41" i="4"/>
  <c r="CP42" i="4"/>
  <c r="CP43" i="4"/>
  <c r="CP44" i="4"/>
  <c r="CP45" i="4"/>
  <c r="CP46" i="4"/>
  <c r="CP47" i="4"/>
  <c r="CP48" i="4"/>
  <c r="CP49" i="4"/>
  <c r="CP50" i="4"/>
  <c r="CP51" i="4"/>
  <c r="CP52" i="4"/>
  <c r="CP53" i="4"/>
  <c r="CP54" i="4"/>
  <c r="CP55" i="4"/>
  <c r="CP56" i="4"/>
  <c r="CP57" i="4"/>
  <c r="CP58" i="4"/>
  <c r="CP59" i="4"/>
  <c r="CP60" i="4"/>
  <c r="CP61" i="4"/>
  <c r="CP62" i="4"/>
  <c r="CP63" i="4"/>
  <c r="CP64" i="4"/>
  <c r="CP65" i="4"/>
  <c r="CP66" i="4"/>
  <c r="CP67" i="4"/>
  <c r="CP68" i="4"/>
  <c r="CP69" i="4"/>
  <c r="CP70" i="4"/>
  <c r="CP71" i="4"/>
  <c r="CP72" i="4"/>
  <c r="CP73" i="4"/>
  <c r="CP74" i="4"/>
  <c r="CP75" i="4"/>
  <c r="CP76" i="4"/>
  <c r="CP77" i="4"/>
  <c r="CP78" i="4"/>
  <c r="CP79" i="4"/>
  <c r="CP80" i="4"/>
  <c r="CP81" i="4"/>
  <c r="CP82" i="4"/>
  <c r="CP83" i="4"/>
  <c r="CP84" i="4"/>
  <c r="CP85" i="4"/>
  <c r="CP86" i="4"/>
  <c r="CP87" i="4"/>
  <c r="CP88" i="4"/>
  <c r="CP89" i="4"/>
  <c r="CP90" i="4"/>
  <c r="CP91" i="4"/>
  <c r="CP92" i="4"/>
  <c r="CP93" i="4"/>
  <c r="CP94" i="4"/>
  <c r="CP95" i="4"/>
  <c r="CP96" i="4"/>
  <c r="CP97" i="4"/>
  <c r="CP98" i="4"/>
  <c r="CP99" i="4"/>
  <c r="CP100" i="4"/>
  <c r="CP101" i="4"/>
  <c r="CP102" i="4"/>
  <c r="CP103" i="4"/>
  <c r="CP104" i="4"/>
  <c r="CP105" i="4"/>
  <c r="CP106" i="4"/>
  <c r="CP107" i="4"/>
  <c r="CP108" i="4"/>
  <c r="CP109" i="4"/>
  <c r="CP110" i="4"/>
  <c r="CP111" i="4"/>
  <c r="CP112" i="4"/>
  <c r="CP113" i="4"/>
  <c r="CP114" i="4"/>
  <c r="CP115" i="4"/>
  <c r="CP116" i="4"/>
  <c r="CP117" i="4"/>
  <c r="CP118" i="4"/>
  <c r="CP119" i="4"/>
  <c r="CP120" i="4"/>
  <c r="CP121" i="4"/>
  <c r="CP122" i="4"/>
  <c r="CP123" i="4"/>
  <c r="CP124" i="4"/>
  <c r="CP125" i="4"/>
  <c r="CP126" i="4"/>
  <c r="CP127" i="4"/>
  <c r="CP128" i="4"/>
  <c r="CP129" i="4"/>
  <c r="CP130" i="4"/>
  <c r="CP131" i="4"/>
  <c r="CP132" i="4"/>
  <c r="CP133" i="4"/>
  <c r="CP134" i="4"/>
  <c r="CP135" i="4"/>
  <c r="CP136" i="4"/>
  <c r="CP137" i="4"/>
  <c r="CP138" i="4"/>
  <c r="CP139" i="4"/>
  <c r="CP140" i="4"/>
  <c r="CP141" i="4"/>
  <c r="CP142" i="4"/>
  <c r="CP143" i="4"/>
  <c r="CP144" i="4"/>
  <c r="CP145" i="4"/>
  <c r="CP146" i="4"/>
  <c r="CP147" i="4"/>
  <c r="CP148" i="4"/>
  <c r="CP149" i="4"/>
  <c r="CP150" i="4"/>
  <c r="CP151" i="4"/>
  <c r="CP152" i="4"/>
  <c r="CP153" i="4"/>
  <c r="CP154" i="4"/>
  <c r="CP155" i="4"/>
  <c r="CP156" i="4"/>
  <c r="CP157" i="4"/>
  <c r="CP158" i="4"/>
  <c r="CP159" i="4"/>
  <c r="CP160" i="4"/>
  <c r="CP161" i="4"/>
  <c r="CP162" i="4"/>
  <c r="CP163" i="4"/>
  <c r="CP164" i="4"/>
  <c r="CP165" i="4"/>
  <c r="CP166" i="4"/>
  <c r="CP167" i="4"/>
  <c r="CP168" i="4"/>
  <c r="CP169" i="4"/>
  <c r="CP170" i="4"/>
  <c r="CP171" i="4"/>
  <c r="CP172" i="4"/>
  <c r="CP173" i="4"/>
  <c r="CP174" i="4"/>
  <c r="CP175" i="4"/>
  <c r="CP2" i="4"/>
  <c r="CO3" i="4"/>
  <c r="CO4" i="4"/>
  <c r="CO5" i="4"/>
  <c r="CO6" i="4"/>
  <c r="CO7" i="4"/>
  <c r="CO8" i="4"/>
  <c r="CO9" i="4"/>
  <c r="CO10" i="4"/>
  <c r="CO11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41" i="4"/>
  <c r="CO42" i="4"/>
  <c r="CO43" i="4"/>
  <c r="CO44" i="4"/>
  <c r="CO45" i="4"/>
  <c r="CO46" i="4"/>
  <c r="CO47" i="4"/>
  <c r="CO48" i="4"/>
  <c r="CO49" i="4"/>
  <c r="CO50" i="4"/>
  <c r="CO51" i="4"/>
  <c r="CO52" i="4"/>
  <c r="CO53" i="4"/>
  <c r="CO54" i="4"/>
  <c r="CO55" i="4"/>
  <c r="CO56" i="4"/>
  <c r="CO57" i="4"/>
  <c r="CO58" i="4"/>
  <c r="CO59" i="4"/>
  <c r="CO60" i="4"/>
  <c r="CO61" i="4"/>
  <c r="CO62" i="4"/>
  <c r="CO63" i="4"/>
  <c r="CO64" i="4"/>
  <c r="CO65" i="4"/>
  <c r="CO66" i="4"/>
  <c r="CO67" i="4"/>
  <c r="CO68" i="4"/>
  <c r="CO69" i="4"/>
  <c r="CO70" i="4"/>
  <c r="CO71" i="4"/>
  <c r="CO72" i="4"/>
  <c r="CO73" i="4"/>
  <c r="CO74" i="4"/>
  <c r="CO75" i="4"/>
  <c r="CO76" i="4"/>
  <c r="CO77" i="4"/>
  <c r="CO78" i="4"/>
  <c r="CO79" i="4"/>
  <c r="CO80" i="4"/>
  <c r="CO81" i="4"/>
  <c r="CO82" i="4"/>
  <c r="CO83" i="4"/>
  <c r="CO84" i="4"/>
  <c r="CO85" i="4"/>
  <c r="CO86" i="4"/>
  <c r="CO87" i="4"/>
  <c r="CO88" i="4"/>
  <c r="CO89" i="4"/>
  <c r="CO90" i="4"/>
  <c r="CO91" i="4"/>
  <c r="CO92" i="4"/>
  <c r="CO93" i="4"/>
  <c r="CO94" i="4"/>
  <c r="CO95" i="4"/>
  <c r="CO96" i="4"/>
  <c r="CO97" i="4"/>
  <c r="CO98" i="4"/>
  <c r="CO99" i="4"/>
  <c r="CO100" i="4"/>
  <c r="CO101" i="4"/>
  <c r="CO102" i="4"/>
  <c r="CO103" i="4"/>
  <c r="CO104" i="4"/>
  <c r="CO105" i="4"/>
  <c r="CO106" i="4"/>
  <c r="CO107" i="4"/>
  <c r="CO108" i="4"/>
  <c r="CO109" i="4"/>
  <c r="CO110" i="4"/>
  <c r="CO111" i="4"/>
  <c r="CO112" i="4"/>
  <c r="CO113" i="4"/>
  <c r="CO114" i="4"/>
  <c r="CO115" i="4"/>
  <c r="CO116" i="4"/>
  <c r="CO117" i="4"/>
  <c r="CO118" i="4"/>
  <c r="CO119" i="4"/>
  <c r="CO120" i="4"/>
  <c r="CO121" i="4"/>
  <c r="CO122" i="4"/>
  <c r="CO123" i="4"/>
  <c r="CO124" i="4"/>
  <c r="CO125" i="4"/>
  <c r="CO126" i="4"/>
  <c r="CO127" i="4"/>
  <c r="CO128" i="4"/>
  <c r="CO129" i="4"/>
  <c r="CO130" i="4"/>
  <c r="CO131" i="4"/>
  <c r="CO132" i="4"/>
  <c r="CO133" i="4"/>
  <c r="CO134" i="4"/>
  <c r="CO135" i="4"/>
  <c r="CO136" i="4"/>
  <c r="CO137" i="4"/>
  <c r="CO138" i="4"/>
  <c r="CO139" i="4"/>
  <c r="CO140" i="4"/>
  <c r="CO141" i="4"/>
  <c r="CO142" i="4"/>
  <c r="CO143" i="4"/>
  <c r="CO144" i="4"/>
  <c r="CO145" i="4"/>
  <c r="CO146" i="4"/>
  <c r="CO147" i="4"/>
  <c r="CO148" i="4"/>
  <c r="CO149" i="4"/>
  <c r="CO150" i="4"/>
  <c r="CO151" i="4"/>
  <c r="CO152" i="4"/>
  <c r="CO153" i="4"/>
  <c r="CO154" i="4"/>
  <c r="CO155" i="4"/>
  <c r="CO156" i="4"/>
  <c r="CO157" i="4"/>
  <c r="CO158" i="4"/>
  <c r="CO159" i="4"/>
  <c r="CO160" i="4"/>
  <c r="CO161" i="4"/>
  <c r="CO162" i="4"/>
  <c r="CO163" i="4"/>
  <c r="CO164" i="4"/>
  <c r="CO165" i="4"/>
  <c r="CO166" i="4"/>
  <c r="CO167" i="4"/>
  <c r="CO168" i="4"/>
  <c r="CO169" i="4"/>
  <c r="CO170" i="4"/>
  <c r="CO171" i="4"/>
  <c r="CO172" i="4"/>
  <c r="CO173" i="4"/>
  <c r="CO174" i="4"/>
  <c r="CO175" i="4"/>
  <c r="CO2" i="4"/>
  <c r="CN3" i="4"/>
  <c r="CN4" i="4"/>
  <c r="CN5" i="4"/>
  <c r="CN6" i="4"/>
  <c r="CN7" i="4"/>
  <c r="CN8" i="4"/>
  <c r="CN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41" i="4"/>
  <c r="CN42" i="4"/>
  <c r="CN43" i="4"/>
  <c r="CN44" i="4"/>
  <c r="CN45" i="4"/>
  <c r="CN46" i="4"/>
  <c r="CN47" i="4"/>
  <c r="CN48" i="4"/>
  <c r="CN49" i="4"/>
  <c r="CN50" i="4"/>
  <c r="CN51" i="4"/>
  <c r="CN52" i="4"/>
  <c r="CN53" i="4"/>
  <c r="CN54" i="4"/>
  <c r="CN55" i="4"/>
  <c r="CN56" i="4"/>
  <c r="CN57" i="4"/>
  <c r="CN58" i="4"/>
  <c r="CN59" i="4"/>
  <c r="CN60" i="4"/>
  <c r="CN61" i="4"/>
  <c r="CN62" i="4"/>
  <c r="CN63" i="4"/>
  <c r="CN64" i="4"/>
  <c r="CN65" i="4"/>
  <c r="CN66" i="4"/>
  <c r="CN67" i="4"/>
  <c r="CN68" i="4"/>
  <c r="CN69" i="4"/>
  <c r="CN70" i="4"/>
  <c r="CN71" i="4"/>
  <c r="CN72" i="4"/>
  <c r="CN73" i="4"/>
  <c r="CN74" i="4"/>
  <c r="CN75" i="4"/>
  <c r="CN76" i="4"/>
  <c r="CN77" i="4"/>
  <c r="CN78" i="4"/>
  <c r="CN79" i="4"/>
  <c r="CN80" i="4"/>
  <c r="CN81" i="4"/>
  <c r="CN82" i="4"/>
  <c r="CN83" i="4"/>
  <c r="CN84" i="4"/>
  <c r="CN85" i="4"/>
  <c r="CN86" i="4"/>
  <c r="CN87" i="4"/>
  <c r="CN88" i="4"/>
  <c r="CN89" i="4"/>
  <c r="CN90" i="4"/>
  <c r="CN91" i="4"/>
  <c r="CN92" i="4"/>
  <c r="CN93" i="4"/>
  <c r="CN94" i="4"/>
  <c r="CN95" i="4"/>
  <c r="CN96" i="4"/>
  <c r="CN97" i="4"/>
  <c r="CN98" i="4"/>
  <c r="CN99" i="4"/>
  <c r="CN100" i="4"/>
  <c r="CN101" i="4"/>
  <c r="CN102" i="4"/>
  <c r="CN103" i="4"/>
  <c r="CN104" i="4"/>
  <c r="CN105" i="4"/>
  <c r="CN106" i="4"/>
  <c r="CN107" i="4"/>
  <c r="CN108" i="4"/>
  <c r="CN109" i="4"/>
  <c r="CN110" i="4"/>
  <c r="CN111" i="4"/>
  <c r="CN112" i="4"/>
  <c r="CN113" i="4"/>
  <c r="CN114" i="4"/>
  <c r="CN115" i="4"/>
  <c r="CN116" i="4"/>
  <c r="CN117" i="4"/>
  <c r="CN118" i="4"/>
  <c r="CN119" i="4"/>
  <c r="CN120" i="4"/>
  <c r="CN121" i="4"/>
  <c r="CN122" i="4"/>
  <c r="CN123" i="4"/>
  <c r="CN124" i="4"/>
  <c r="CN125" i="4"/>
  <c r="CN126" i="4"/>
  <c r="CN127" i="4"/>
  <c r="CN128" i="4"/>
  <c r="CN129" i="4"/>
  <c r="CN130" i="4"/>
  <c r="CN131" i="4"/>
  <c r="CN132" i="4"/>
  <c r="CN133" i="4"/>
  <c r="CN134" i="4"/>
  <c r="CN135" i="4"/>
  <c r="CN136" i="4"/>
  <c r="CN137" i="4"/>
  <c r="CN138" i="4"/>
  <c r="CN139" i="4"/>
  <c r="CN140" i="4"/>
  <c r="CN141" i="4"/>
  <c r="CN142" i="4"/>
  <c r="CN143" i="4"/>
  <c r="CN144" i="4"/>
  <c r="CN145" i="4"/>
  <c r="CN146" i="4"/>
  <c r="CN147" i="4"/>
  <c r="CN148" i="4"/>
  <c r="CN149" i="4"/>
  <c r="CN150" i="4"/>
  <c r="CN151" i="4"/>
  <c r="CN152" i="4"/>
  <c r="CN153" i="4"/>
  <c r="CN154" i="4"/>
  <c r="CN155" i="4"/>
  <c r="CN156" i="4"/>
  <c r="CN157" i="4"/>
  <c r="CN158" i="4"/>
  <c r="CN159" i="4"/>
  <c r="CN160" i="4"/>
  <c r="CN161" i="4"/>
  <c r="CN162" i="4"/>
  <c r="CN163" i="4"/>
  <c r="CN164" i="4"/>
  <c r="CN165" i="4"/>
  <c r="CN166" i="4"/>
  <c r="CN167" i="4"/>
  <c r="CN168" i="4"/>
  <c r="CN169" i="4"/>
  <c r="CN170" i="4"/>
  <c r="CN171" i="4"/>
  <c r="CN172" i="4"/>
  <c r="CN173" i="4"/>
  <c r="CN174" i="4"/>
  <c r="CN175" i="4"/>
  <c r="CN2" i="4"/>
  <c r="CM3" i="4"/>
  <c r="CM4" i="4"/>
  <c r="CM5" i="4"/>
  <c r="CM6" i="4"/>
  <c r="CM7" i="4"/>
  <c r="CM8" i="4"/>
  <c r="CM9" i="4"/>
  <c r="CM10" i="4"/>
  <c r="CM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41" i="4"/>
  <c r="CM42" i="4"/>
  <c r="CM43" i="4"/>
  <c r="CM44" i="4"/>
  <c r="CM45" i="4"/>
  <c r="CM46" i="4"/>
  <c r="CM47" i="4"/>
  <c r="CM48" i="4"/>
  <c r="CM49" i="4"/>
  <c r="CM50" i="4"/>
  <c r="CM51" i="4"/>
  <c r="CM52" i="4"/>
  <c r="CM53" i="4"/>
  <c r="CM54" i="4"/>
  <c r="CM55" i="4"/>
  <c r="CM56" i="4"/>
  <c r="CM57" i="4"/>
  <c r="CM58" i="4"/>
  <c r="CM59" i="4"/>
  <c r="CM60" i="4"/>
  <c r="CM61" i="4"/>
  <c r="CM62" i="4"/>
  <c r="CM63" i="4"/>
  <c r="CM64" i="4"/>
  <c r="CM65" i="4"/>
  <c r="CM66" i="4"/>
  <c r="CM67" i="4"/>
  <c r="CM68" i="4"/>
  <c r="CM69" i="4"/>
  <c r="CM70" i="4"/>
  <c r="CM71" i="4"/>
  <c r="CM72" i="4"/>
  <c r="CM73" i="4"/>
  <c r="CM74" i="4"/>
  <c r="CM75" i="4"/>
  <c r="CM76" i="4"/>
  <c r="CM77" i="4"/>
  <c r="CM78" i="4"/>
  <c r="CM79" i="4"/>
  <c r="CM80" i="4"/>
  <c r="CM81" i="4"/>
  <c r="CM82" i="4"/>
  <c r="CM83" i="4"/>
  <c r="CM84" i="4"/>
  <c r="CM85" i="4"/>
  <c r="CM86" i="4"/>
  <c r="CM87" i="4"/>
  <c r="CM88" i="4"/>
  <c r="CM89" i="4"/>
  <c r="CM90" i="4"/>
  <c r="CM91" i="4"/>
  <c r="CM92" i="4"/>
  <c r="CM93" i="4"/>
  <c r="CM94" i="4"/>
  <c r="CM95" i="4"/>
  <c r="CM96" i="4"/>
  <c r="CM97" i="4"/>
  <c r="CM98" i="4"/>
  <c r="CM99" i="4"/>
  <c r="CM100" i="4"/>
  <c r="CM101" i="4"/>
  <c r="CM102" i="4"/>
  <c r="CM103" i="4"/>
  <c r="CM104" i="4"/>
  <c r="CM105" i="4"/>
  <c r="CM106" i="4"/>
  <c r="CM107" i="4"/>
  <c r="CM108" i="4"/>
  <c r="CM109" i="4"/>
  <c r="CM110" i="4"/>
  <c r="CM111" i="4"/>
  <c r="CM112" i="4"/>
  <c r="CM113" i="4"/>
  <c r="CM114" i="4"/>
  <c r="CM115" i="4"/>
  <c r="CM116" i="4"/>
  <c r="CM117" i="4"/>
  <c r="CM118" i="4"/>
  <c r="CM119" i="4"/>
  <c r="CM120" i="4"/>
  <c r="CM121" i="4"/>
  <c r="CM122" i="4"/>
  <c r="CM123" i="4"/>
  <c r="CM124" i="4"/>
  <c r="CM125" i="4"/>
  <c r="CM126" i="4"/>
  <c r="CM127" i="4"/>
  <c r="CM128" i="4"/>
  <c r="CM129" i="4"/>
  <c r="CM130" i="4"/>
  <c r="CM131" i="4"/>
  <c r="CM132" i="4"/>
  <c r="CM133" i="4"/>
  <c r="CM134" i="4"/>
  <c r="CM135" i="4"/>
  <c r="CM136" i="4"/>
  <c r="CM137" i="4"/>
  <c r="CM138" i="4"/>
  <c r="CM139" i="4"/>
  <c r="CM140" i="4"/>
  <c r="CM141" i="4"/>
  <c r="CM142" i="4"/>
  <c r="CM143" i="4"/>
  <c r="CM144" i="4"/>
  <c r="CM145" i="4"/>
  <c r="CM146" i="4"/>
  <c r="CM147" i="4"/>
  <c r="CM148" i="4"/>
  <c r="CM149" i="4"/>
  <c r="CM150" i="4"/>
  <c r="CM151" i="4"/>
  <c r="CM152" i="4"/>
  <c r="CM153" i="4"/>
  <c r="CM154" i="4"/>
  <c r="CM155" i="4"/>
  <c r="CM156" i="4"/>
  <c r="CM157" i="4"/>
  <c r="CM158" i="4"/>
  <c r="CM159" i="4"/>
  <c r="CM160" i="4"/>
  <c r="CM161" i="4"/>
  <c r="CM162" i="4"/>
  <c r="CM163" i="4"/>
  <c r="CM164" i="4"/>
  <c r="CM165" i="4"/>
  <c r="CM166" i="4"/>
  <c r="CM167" i="4"/>
  <c r="CM168" i="4"/>
  <c r="CM169" i="4"/>
  <c r="CM170" i="4"/>
  <c r="CM171" i="4"/>
  <c r="CM172" i="4"/>
  <c r="CM173" i="4"/>
  <c r="CM174" i="4"/>
  <c r="CM175" i="4"/>
  <c r="CM2" i="4"/>
  <c r="CL3" i="4"/>
  <c r="CL4" i="4"/>
  <c r="CL5" i="4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41" i="4"/>
  <c r="CL42" i="4"/>
  <c r="CL43" i="4"/>
  <c r="CL44" i="4"/>
  <c r="CL45" i="4"/>
  <c r="CL46" i="4"/>
  <c r="CL47" i="4"/>
  <c r="CL48" i="4"/>
  <c r="CL49" i="4"/>
  <c r="CL50" i="4"/>
  <c r="CL51" i="4"/>
  <c r="CL52" i="4"/>
  <c r="CL53" i="4"/>
  <c r="CL54" i="4"/>
  <c r="CL55" i="4"/>
  <c r="CL56" i="4"/>
  <c r="CL57" i="4"/>
  <c r="CL58" i="4"/>
  <c r="CL59" i="4"/>
  <c r="CL60" i="4"/>
  <c r="CL61" i="4"/>
  <c r="CL62" i="4"/>
  <c r="CL63" i="4"/>
  <c r="CL64" i="4"/>
  <c r="CL65" i="4"/>
  <c r="CL66" i="4"/>
  <c r="CL67" i="4"/>
  <c r="CL68" i="4"/>
  <c r="CL69" i="4"/>
  <c r="CL70" i="4"/>
  <c r="CL71" i="4"/>
  <c r="CL72" i="4"/>
  <c r="CL73" i="4"/>
  <c r="CL74" i="4"/>
  <c r="CL75" i="4"/>
  <c r="CL76" i="4"/>
  <c r="CL77" i="4"/>
  <c r="CL78" i="4"/>
  <c r="CL79" i="4"/>
  <c r="CL80" i="4"/>
  <c r="CL81" i="4"/>
  <c r="CL82" i="4"/>
  <c r="CL83" i="4"/>
  <c r="CL84" i="4"/>
  <c r="CL85" i="4"/>
  <c r="CL86" i="4"/>
  <c r="CL87" i="4"/>
  <c r="CL88" i="4"/>
  <c r="CL89" i="4"/>
  <c r="CL90" i="4"/>
  <c r="CL91" i="4"/>
  <c r="CL92" i="4"/>
  <c r="CL93" i="4"/>
  <c r="CL94" i="4"/>
  <c r="CL95" i="4"/>
  <c r="CL96" i="4"/>
  <c r="CL97" i="4"/>
  <c r="CL98" i="4"/>
  <c r="CL99" i="4"/>
  <c r="CL100" i="4"/>
  <c r="CL101" i="4"/>
  <c r="CL102" i="4"/>
  <c r="CL103" i="4"/>
  <c r="CL104" i="4"/>
  <c r="CL105" i="4"/>
  <c r="CL106" i="4"/>
  <c r="CL107" i="4"/>
  <c r="CL108" i="4"/>
  <c r="CL109" i="4"/>
  <c r="CL110" i="4"/>
  <c r="CL111" i="4"/>
  <c r="CL112" i="4"/>
  <c r="CL113" i="4"/>
  <c r="CL114" i="4"/>
  <c r="CL115" i="4"/>
  <c r="CL116" i="4"/>
  <c r="CL117" i="4"/>
  <c r="CL118" i="4"/>
  <c r="CL119" i="4"/>
  <c r="CL120" i="4"/>
  <c r="CL121" i="4"/>
  <c r="CL122" i="4"/>
  <c r="CL123" i="4"/>
  <c r="CL124" i="4"/>
  <c r="CL125" i="4"/>
  <c r="CL126" i="4"/>
  <c r="CL127" i="4"/>
  <c r="CL128" i="4"/>
  <c r="CL129" i="4"/>
  <c r="CL130" i="4"/>
  <c r="CL131" i="4"/>
  <c r="CL132" i="4"/>
  <c r="CL133" i="4"/>
  <c r="CL134" i="4"/>
  <c r="CL135" i="4"/>
  <c r="CL136" i="4"/>
  <c r="CL137" i="4"/>
  <c r="CL138" i="4"/>
  <c r="CL139" i="4"/>
  <c r="CL140" i="4"/>
  <c r="CL141" i="4"/>
  <c r="CL142" i="4"/>
  <c r="CL143" i="4"/>
  <c r="CL144" i="4"/>
  <c r="CL145" i="4"/>
  <c r="CL146" i="4"/>
  <c r="CL147" i="4"/>
  <c r="CL148" i="4"/>
  <c r="CL149" i="4"/>
  <c r="CL150" i="4"/>
  <c r="CL151" i="4"/>
  <c r="CL152" i="4"/>
  <c r="CL153" i="4"/>
  <c r="CL154" i="4"/>
  <c r="CL155" i="4"/>
  <c r="CL156" i="4"/>
  <c r="CL157" i="4"/>
  <c r="CL158" i="4"/>
  <c r="CL159" i="4"/>
  <c r="CL160" i="4"/>
  <c r="CL161" i="4"/>
  <c r="CL162" i="4"/>
  <c r="CL163" i="4"/>
  <c r="CL164" i="4"/>
  <c r="CL165" i="4"/>
  <c r="CL166" i="4"/>
  <c r="CL167" i="4"/>
  <c r="CL168" i="4"/>
  <c r="CL169" i="4"/>
  <c r="CL170" i="4"/>
  <c r="CL171" i="4"/>
  <c r="CL172" i="4"/>
  <c r="CL173" i="4"/>
  <c r="CL174" i="4"/>
  <c r="CL175" i="4"/>
  <c r="CL2" i="4"/>
  <c r="CK2" i="4"/>
  <c r="CK3" i="4"/>
  <c r="CK4" i="4"/>
  <c r="CK5" i="4"/>
  <c r="CK6" i="4"/>
  <c r="CK7" i="4"/>
  <c r="CK8" i="4"/>
  <c r="CK9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41" i="4"/>
  <c r="CK42" i="4"/>
  <c r="CK43" i="4"/>
  <c r="CK44" i="4"/>
  <c r="CK45" i="4"/>
  <c r="CK46" i="4"/>
  <c r="CK47" i="4"/>
  <c r="CK48" i="4"/>
  <c r="CK49" i="4"/>
  <c r="CK50" i="4"/>
  <c r="CK51" i="4"/>
  <c r="CK52" i="4"/>
  <c r="CK53" i="4"/>
  <c r="CK54" i="4"/>
  <c r="CK55" i="4"/>
  <c r="CK56" i="4"/>
  <c r="CK57" i="4"/>
  <c r="CK58" i="4"/>
  <c r="CK59" i="4"/>
  <c r="CK60" i="4"/>
  <c r="CK61" i="4"/>
  <c r="CK62" i="4"/>
  <c r="CK63" i="4"/>
  <c r="CK64" i="4"/>
  <c r="CK65" i="4"/>
  <c r="CK66" i="4"/>
  <c r="CK67" i="4"/>
  <c r="CK68" i="4"/>
  <c r="CK69" i="4"/>
  <c r="CK70" i="4"/>
  <c r="CK71" i="4"/>
  <c r="CK72" i="4"/>
  <c r="CK73" i="4"/>
  <c r="CK74" i="4"/>
  <c r="CK75" i="4"/>
  <c r="CK76" i="4"/>
  <c r="CK77" i="4"/>
  <c r="CK78" i="4"/>
  <c r="CK79" i="4"/>
  <c r="CK80" i="4"/>
  <c r="CK81" i="4"/>
  <c r="CK82" i="4"/>
  <c r="CK83" i="4"/>
  <c r="CK84" i="4"/>
  <c r="CK85" i="4"/>
  <c r="CK86" i="4"/>
  <c r="CK87" i="4"/>
  <c r="CK88" i="4"/>
  <c r="CK89" i="4"/>
  <c r="CK90" i="4"/>
  <c r="CK91" i="4"/>
  <c r="CK92" i="4"/>
  <c r="CK93" i="4"/>
  <c r="CK94" i="4"/>
  <c r="CK95" i="4"/>
  <c r="CK96" i="4"/>
  <c r="CK97" i="4"/>
  <c r="CK98" i="4"/>
  <c r="CK99" i="4"/>
  <c r="CK100" i="4"/>
  <c r="CK101" i="4"/>
  <c r="CK102" i="4"/>
  <c r="CK103" i="4"/>
  <c r="CK104" i="4"/>
  <c r="CK105" i="4"/>
  <c r="CK106" i="4"/>
  <c r="CK107" i="4"/>
  <c r="CK108" i="4"/>
  <c r="CK109" i="4"/>
  <c r="CK110" i="4"/>
  <c r="CK111" i="4"/>
  <c r="CK112" i="4"/>
  <c r="CK113" i="4"/>
  <c r="CK114" i="4"/>
  <c r="CK115" i="4"/>
  <c r="CK116" i="4"/>
  <c r="CK117" i="4"/>
  <c r="CK118" i="4"/>
  <c r="CK119" i="4"/>
  <c r="CK120" i="4"/>
  <c r="CK121" i="4"/>
  <c r="CK122" i="4"/>
  <c r="CK123" i="4"/>
  <c r="CK124" i="4"/>
  <c r="CK125" i="4"/>
  <c r="CK126" i="4"/>
  <c r="CK127" i="4"/>
  <c r="CK128" i="4"/>
  <c r="CK129" i="4"/>
  <c r="CK130" i="4"/>
  <c r="CK131" i="4"/>
  <c r="CK132" i="4"/>
  <c r="CK133" i="4"/>
  <c r="CK134" i="4"/>
  <c r="CK135" i="4"/>
  <c r="CK136" i="4"/>
  <c r="CK137" i="4"/>
  <c r="CK138" i="4"/>
  <c r="CK139" i="4"/>
  <c r="CK140" i="4"/>
  <c r="CK141" i="4"/>
  <c r="CK142" i="4"/>
  <c r="CK143" i="4"/>
  <c r="CK144" i="4"/>
  <c r="CK145" i="4"/>
  <c r="CK146" i="4"/>
  <c r="CK147" i="4"/>
  <c r="CK148" i="4"/>
  <c r="CK149" i="4"/>
  <c r="CK150" i="4"/>
  <c r="CK151" i="4"/>
  <c r="CK152" i="4"/>
  <c r="CK153" i="4"/>
  <c r="CK154" i="4"/>
  <c r="CK155" i="4"/>
  <c r="CK156" i="4"/>
  <c r="CK157" i="4"/>
  <c r="CK158" i="4"/>
  <c r="CK159" i="4"/>
  <c r="CK160" i="4"/>
  <c r="CK161" i="4"/>
  <c r="CK162" i="4"/>
  <c r="CK163" i="4"/>
  <c r="CK164" i="4"/>
  <c r="CK165" i="4"/>
  <c r="CK166" i="4"/>
  <c r="CK167" i="4"/>
  <c r="CK168" i="4"/>
  <c r="CK169" i="4"/>
  <c r="CK170" i="4"/>
  <c r="CK171" i="4"/>
  <c r="CK172" i="4"/>
  <c r="CK173" i="4"/>
  <c r="CK174" i="4"/>
  <c r="CK175" i="4"/>
  <c r="AM56" i="2"/>
  <c r="AL56" i="2"/>
  <c r="S56" i="2"/>
  <c r="R56" i="2"/>
  <c r="N56" i="2"/>
  <c r="M56" i="2"/>
  <c r="AM55" i="2"/>
  <c r="S55" i="2"/>
  <c r="R55" i="2"/>
  <c r="N55" i="2"/>
  <c r="M55" i="2"/>
  <c r="AM54" i="2"/>
  <c r="AL54" i="2"/>
  <c r="S54" i="2"/>
  <c r="R54" i="2"/>
  <c r="CX166" i="4" s="1"/>
  <c r="N54" i="2"/>
  <c r="M54" i="2"/>
  <c r="AM53" i="2"/>
  <c r="DS165" i="4" s="1"/>
  <c r="AL53" i="2"/>
  <c r="DR165" i="4" s="1"/>
  <c r="S53" i="2"/>
  <c r="CY165" i="4" s="1"/>
  <c r="R53" i="2"/>
  <c r="CX165" i="4" s="1"/>
  <c r="N53" i="2"/>
  <c r="M53" i="2"/>
  <c r="AM52" i="2"/>
  <c r="AL52" i="2"/>
  <c r="S52" i="2"/>
  <c r="R52" i="2"/>
  <c r="N52" i="2"/>
  <c r="M52" i="2"/>
  <c r="AM51" i="2"/>
  <c r="AL51" i="2"/>
  <c r="S51" i="2"/>
  <c r="R51" i="2"/>
  <c r="N51" i="2"/>
  <c r="M51" i="2"/>
  <c r="AM50" i="2"/>
  <c r="AL50" i="2"/>
  <c r="S50" i="2"/>
  <c r="R50" i="2"/>
  <c r="N50" i="2"/>
  <c r="M50" i="2"/>
  <c r="AM49" i="2"/>
  <c r="DS154" i="4" s="1"/>
  <c r="AL49" i="2"/>
  <c r="DR154" i="4" s="1"/>
  <c r="S49" i="2"/>
  <c r="CY154" i="4" s="1"/>
  <c r="R49" i="2"/>
  <c r="CX154" i="4" s="1"/>
  <c r="N49" i="2"/>
  <c r="M49" i="2"/>
  <c r="AM48" i="2"/>
  <c r="DS153" i="4" s="1"/>
  <c r="AL48" i="2"/>
  <c r="DR153" i="4" s="1"/>
  <c r="S48" i="2"/>
  <c r="CY153" i="4" s="1"/>
  <c r="R48" i="2"/>
  <c r="CX153" i="4" s="1"/>
  <c r="N48" i="2"/>
  <c r="M48" i="2"/>
  <c r="AM47" i="2"/>
  <c r="DS152" i="4" s="1"/>
  <c r="AL47" i="2"/>
  <c r="DR152" i="4" s="1"/>
  <c r="S47" i="2"/>
  <c r="CY152" i="4" s="1"/>
  <c r="R47" i="2"/>
  <c r="CX152" i="4" s="1"/>
  <c r="N47" i="2"/>
  <c r="M47" i="2"/>
  <c r="AM46" i="2"/>
  <c r="DS151" i="4" s="1"/>
  <c r="AL46" i="2"/>
  <c r="DR151" i="4" s="1"/>
  <c r="S46" i="2"/>
  <c r="CY151" i="4" s="1"/>
  <c r="R46" i="2"/>
  <c r="CX151" i="4" s="1"/>
  <c r="N46" i="2"/>
  <c r="M46" i="2"/>
  <c r="AM45" i="2"/>
  <c r="DS150" i="4" s="1"/>
  <c r="AL45" i="2"/>
  <c r="DR150" i="4" s="1"/>
  <c r="S45" i="2"/>
  <c r="CY150" i="4" s="1"/>
  <c r="R45" i="2"/>
  <c r="CX150" i="4" s="1"/>
  <c r="N45" i="2"/>
  <c r="M45" i="2"/>
  <c r="AM44" i="2"/>
  <c r="AL44" i="2"/>
  <c r="DR149" i="4" s="1"/>
  <c r="S44" i="2"/>
  <c r="CY142" i="4" s="1"/>
  <c r="R44" i="2"/>
  <c r="CX147" i="4" s="1"/>
  <c r="N44" i="2"/>
  <c r="M44" i="2"/>
  <c r="AM43" i="2"/>
  <c r="AL43" i="2"/>
  <c r="S43" i="2"/>
  <c r="CY134" i="4" s="1"/>
  <c r="R43" i="2"/>
  <c r="CX133" i="4" s="1"/>
  <c r="N43" i="2"/>
  <c r="M43" i="2"/>
  <c r="AM38" i="2"/>
  <c r="DS131" i="4" s="1"/>
  <c r="AL38" i="2"/>
  <c r="S38" i="2"/>
  <c r="R38" i="2"/>
  <c r="CX131" i="4" s="1"/>
  <c r="N38" i="2"/>
  <c r="M38" i="2"/>
  <c r="AM37" i="2"/>
  <c r="AL37" i="2"/>
  <c r="S37" i="2"/>
  <c r="R37" i="2"/>
  <c r="N37" i="2"/>
  <c r="M37" i="2"/>
  <c r="AM42" i="2"/>
  <c r="AL42" i="2"/>
  <c r="S42" i="2"/>
  <c r="CY126" i="4" s="1"/>
  <c r="R42" i="2"/>
  <c r="CX124" i="4" s="1"/>
  <c r="N42" i="2"/>
  <c r="M42" i="2"/>
  <c r="AM36" i="2"/>
  <c r="DS119" i="4" s="1"/>
  <c r="AL36" i="2"/>
  <c r="DR119" i="4" s="1"/>
  <c r="S36" i="2"/>
  <c r="CY119" i="4" s="1"/>
  <c r="R36" i="2"/>
  <c r="CX119" i="4" s="1"/>
  <c r="N36" i="2"/>
  <c r="M36" i="2"/>
  <c r="AM35" i="2"/>
  <c r="AL35" i="2"/>
  <c r="DR117" i="4" s="1"/>
  <c r="S35" i="2"/>
  <c r="R35" i="2"/>
  <c r="CX116" i="4" s="1"/>
  <c r="N35" i="2"/>
  <c r="M35" i="2"/>
  <c r="AM34" i="2"/>
  <c r="DS115" i="4" s="1"/>
  <c r="AL34" i="2"/>
  <c r="S34" i="2"/>
  <c r="R34" i="2"/>
  <c r="CX108" i="4" s="1"/>
  <c r="N34" i="2"/>
  <c r="M34" i="2"/>
  <c r="AM33" i="2"/>
  <c r="AL33" i="2"/>
  <c r="S33" i="2"/>
  <c r="R33" i="2"/>
  <c r="N33" i="2"/>
  <c r="M33" i="2"/>
  <c r="AM32" i="2"/>
  <c r="AL32" i="2"/>
  <c r="S32" i="2"/>
  <c r="CY103" i="4" s="1"/>
  <c r="R32" i="2"/>
  <c r="N32" i="2"/>
  <c r="M32" i="2"/>
  <c r="AM31" i="2"/>
  <c r="AL31" i="2"/>
  <c r="DR102" i="4" s="1"/>
  <c r="S31" i="2"/>
  <c r="CY102" i="4" s="1"/>
  <c r="R31" i="2"/>
  <c r="CX101" i="4" s="1"/>
  <c r="N31" i="2"/>
  <c r="M31" i="2"/>
  <c r="AM30" i="2"/>
  <c r="DS99" i="4" s="1"/>
  <c r="AL30" i="2"/>
  <c r="S30" i="2"/>
  <c r="R30" i="2"/>
  <c r="N30" i="2"/>
  <c r="M30" i="2"/>
  <c r="AM29" i="2"/>
  <c r="AL29" i="2"/>
  <c r="S29" i="2"/>
  <c r="CY85" i="4" s="1"/>
  <c r="R29" i="2"/>
  <c r="CX85" i="4" s="1"/>
  <c r="N29" i="2"/>
  <c r="M29" i="2"/>
  <c r="AM28" i="2"/>
  <c r="AL28" i="2"/>
  <c r="S28" i="2"/>
  <c r="R28" i="2"/>
  <c r="N28" i="2"/>
  <c r="M28" i="2"/>
  <c r="AM27" i="2"/>
  <c r="AL27" i="2"/>
  <c r="S27" i="2"/>
  <c r="CY71" i="4" s="1"/>
  <c r="R27" i="2"/>
  <c r="N27" i="2"/>
  <c r="M27" i="2"/>
  <c r="AM18" i="2"/>
  <c r="AL18" i="2"/>
  <c r="DR70" i="4" s="1"/>
  <c r="S18" i="2"/>
  <c r="CY70" i="4" s="1"/>
  <c r="R18" i="2"/>
  <c r="CX70" i="4" s="1"/>
  <c r="N18" i="2"/>
  <c r="M18" i="2"/>
  <c r="AM26" i="2"/>
  <c r="DS67" i="4" s="1"/>
  <c r="AL26" i="2"/>
  <c r="S26" i="2"/>
  <c r="R26" i="2"/>
  <c r="CX67" i="4" s="1"/>
  <c r="N26" i="2"/>
  <c r="M26" i="2"/>
  <c r="AM25" i="2"/>
  <c r="AL25" i="2"/>
  <c r="S25" i="2"/>
  <c r="R25" i="2"/>
  <c r="N25" i="2"/>
  <c r="M25" i="2"/>
  <c r="AM24" i="2"/>
  <c r="AL24" i="2"/>
  <c r="S24" i="2"/>
  <c r="CY61" i="4" s="1"/>
  <c r="R24" i="2"/>
  <c r="N24" i="2"/>
  <c r="M24" i="2"/>
  <c r="AM23" i="2"/>
  <c r="AL23" i="2"/>
  <c r="S23" i="2"/>
  <c r="R23" i="2"/>
  <c r="CX59" i="4" s="1"/>
  <c r="N23" i="2"/>
  <c r="M23" i="2"/>
  <c r="AM22" i="2"/>
  <c r="AL22" i="2"/>
  <c r="S22" i="2"/>
  <c r="R22" i="2"/>
  <c r="N22" i="2"/>
  <c r="M22" i="2"/>
  <c r="AM41" i="2"/>
  <c r="DS56" i="4" s="1"/>
  <c r="AL41" i="2"/>
  <c r="DR56" i="4" s="1"/>
  <c r="S41" i="2"/>
  <c r="CY56" i="4" s="1"/>
  <c r="R41" i="2"/>
  <c r="CX56" i="4" s="1"/>
  <c r="N41" i="2"/>
  <c r="M41" i="2"/>
  <c r="AM17" i="2"/>
  <c r="DS51" i="4" s="1"/>
  <c r="AL17" i="2"/>
  <c r="S17" i="2"/>
  <c r="R17" i="2"/>
  <c r="CX53" i="4" s="1"/>
  <c r="N17" i="2"/>
  <c r="M17" i="2"/>
  <c r="AM16" i="2"/>
  <c r="AL16" i="2"/>
  <c r="S16" i="2"/>
  <c r="R16" i="2"/>
  <c r="N16" i="2"/>
  <c r="M16" i="2"/>
  <c r="AM15" i="2"/>
  <c r="DS46" i="4" s="1"/>
  <c r="AL15" i="2"/>
  <c r="DR46" i="4" s="1"/>
  <c r="S15" i="2"/>
  <c r="CY46" i="4" s="1"/>
  <c r="R15" i="2"/>
  <c r="CX46" i="4" s="1"/>
  <c r="N15" i="2"/>
  <c r="M15" i="2"/>
  <c r="AM14" i="2"/>
  <c r="AL14" i="2"/>
  <c r="S14" i="2"/>
  <c r="R14" i="2"/>
  <c r="CX45" i="4" s="1"/>
  <c r="N14" i="2"/>
  <c r="M14" i="2"/>
  <c r="AM13" i="2"/>
  <c r="DS43" i="4" s="1"/>
  <c r="AL13" i="2"/>
  <c r="DR43" i="4" s="1"/>
  <c r="S13" i="2"/>
  <c r="CY43" i="4" s="1"/>
  <c r="R13" i="2"/>
  <c r="CX43" i="4" s="1"/>
  <c r="N13" i="2"/>
  <c r="M13" i="2"/>
  <c r="AM21" i="2"/>
  <c r="AL21" i="2"/>
  <c r="S21" i="2"/>
  <c r="R21" i="2"/>
  <c r="N21" i="2"/>
  <c r="M21" i="2"/>
  <c r="AM12" i="2"/>
  <c r="AL12" i="2"/>
  <c r="S12" i="2"/>
  <c r="CY38" i="4" s="1"/>
  <c r="R12" i="2"/>
  <c r="CX39" i="4" s="1"/>
  <c r="N12" i="2"/>
  <c r="M12" i="2"/>
  <c r="AM9" i="2"/>
  <c r="AL9" i="2"/>
  <c r="DR36" i="4" s="1"/>
  <c r="S9" i="2"/>
  <c r="CY36" i="4" s="1"/>
  <c r="R9" i="2"/>
  <c r="CX36" i="4" s="1"/>
  <c r="N9" i="2"/>
  <c r="M9" i="2"/>
  <c r="AM8" i="2"/>
  <c r="AL8" i="2"/>
  <c r="S8" i="2"/>
  <c r="CY23" i="4" s="1"/>
  <c r="R8" i="2"/>
  <c r="N8" i="2"/>
  <c r="M8" i="2"/>
  <c r="AM7" i="2"/>
  <c r="DS19" i="4" s="1"/>
  <c r="AL7" i="2"/>
  <c r="S7" i="2"/>
  <c r="CY21" i="4" s="1"/>
  <c r="R7" i="2"/>
  <c r="CX19" i="4" s="1"/>
  <c r="N7" i="2"/>
  <c r="M7" i="2"/>
  <c r="AM6" i="2"/>
  <c r="DS15" i="4" s="1"/>
  <c r="AL6" i="2"/>
  <c r="DR15" i="4" s="1"/>
  <c r="S6" i="2"/>
  <c r="CY15" i="4" s="1"/>
  <c r="R6" i="2"/>
  <c r="CX15" i="4" s="1"/>
  <c r="N6" i="2"/>
  <c r="M6" i="2"/>
  <c r="AM11" i="2"/>
  <c r="DS14" i="4" s="1"/>
  <c r="AL11" i="2"/>
  <c r="DR14" i="4" s="1"/>
  <c r="S11" i="2"/>
  <c r="CY14" i="4" s="1"/>
  <c r="R11" i="2"/>
  <c r="CX14" i="4" s="1"/>
  <c r="N11" i="2"/>
  <c r="M11" i="2"/>
  <c r="AM5" i="2"/>
  <c r="DS13" i="4" s="1"/>
  <c r="AL5" i="2"/>
  <c r="DR13" i="4" s="1"/>
  <c r="S5" i="2"/>
  <c r="CY13" i="4" s="1"/>
  <c r="R5" i="2"/>
  <c r="CX13" i="4" s="1"/>
  <c r="N5" i="2"/>
  <c r="M5" i="2"/>
  <c r="AM4" i="2"/>
  <c r="AL4" i="2"/>
  <c r="S4" i="2"/>
  <c r="CY7" i="4" s="1"/>
  <c r="R4" i="2"/>
  <c r="CX5" i="4" s="1"/>
  <c r="N4" i="2"/>
  <c r="M4" i="2"/>
  <c r="AM40" i="2"/>
  <c r="AL40" i="2"/>
  <c r="S40" i="2"/>
  <c r="R40" i="2"/>
  <c r="N40" i="2"/>
  <c r="M40" i="2"/>
  <c r="AM20" i="2"/>
  <c r="AL20" i="2"/>
  <c r="S20" i="2"/>
  <c r="R20" i="2"/>
  <c r="N20" i="2"/>
  <c r="M20" i="2"/>
  <c r="AM10" i="2"/>
  <c r="AL10" i="2"/>
  <c r="S10" i="2"/>
  <c r="R10" i="2"/>
  <c r="N10" i="2"/>
  <c r="AM3" i="2"/>
  <c r="AL3" i="2"/>
  <c r="S3" i="2"/>
  <c r="R3" i="2"/>
  <c r="N3" i="2"/>
  <c r="M3" i="2"/>
  <c r="AM2" i="2"/>
  <c r="AL2" i="2"/>
  <c r="S2" i="2"/>
  <c r="R2" i="2"/>
  <c r="N2" i="2"/>
  <c r="M2" i="2"/>
  <c r="AM39" i="2"/>
  <c r="DS4" i="4" s="1"/>
  <c r="AL39" i="2"/>
  <c r="DR4" i="4" s="1"/>
  <c r="S39" i="2"/>
  <c r="CY4" i="4" s="1"/>
  <c r="R39" i="2"/>
  <c r="CX4" i="4" s="1"/>
  <c r="N39" i="2"/>
  <c r="M39" i="2"/>
  <c r="AM19" i="2"/>
  <c r="DS2" i="4" s="1"/>
  <c r="S19" i="2"/>
  <c r="R19" i="2"/>
  <c r="CX2" i="4" s="1"/>
  <c r="N19" i="2"/>
  <c r="CT21" i="4" s="1"/>
  <c r="M19" i="2"/>
  <c r="CS14" i="4" s="1"/>
  <c r="B176" i="1"/>
  <c r="C176" i="1" s="1"/>
  <c r="CT159" i="4" l="1"/>
  <c r="CS112" i="4"/>
  <c r="CU154" i="4"/>
  <c r="CZ103" i="4"/>
  <c r="CS96" i="4"/>
  <c r="CU123" i="4"/>
  <c r="CS80" i="4"/>
  <c r="CU91" i="4"/>
  <c r="CZ41" i="4"/>
  <c r="CS64" i="4"/>
  <c r="CU58" i="4"/>
  <c r="CY149" i="4"/>
  <c r="CS48" i="4"/>
  <c r="CU20" i="4"/>
  <c r="CY120" i="4"/>
  <c r="CS32" i="4"/>
  <c r="CY101" i="4"/>
  <c r="CS16" i="4"/>
  <c r="CY37" i="4"/>
  <c r="CT175" i="4"/>
  <c r="CT141" i="4"/>
  <c r="CT123" i="4"/>
  <c r="CT105" i="4"/>
  <c r="CS2" i="4"/>
  <c r="CT85" i="4"/>
  <c r="CX83" i="4"/>
  <c r="CS160" i="4"/>
  <c r="CT64" i="4"/>
  <c r="CX69" i="4"/>
  <c r="CS144" i="4"/>
  <c r="CT37" i="4"/>
  <c r="CS128" i="4"/>
  <c r="CT7" i="4"/>
  <c r="CZ105" i="4"/>
  <c r="DT40" i="4"/>
  <c r="DT41" i="4"/>
  <c r="DT42" i="4"/>
  <c r="CZ65" i="4"/>
  <c r="CZ66" i="4"/>
  <c r="CZ67" i="4"/>
  <c r="CZ68" i="4"/>
  <c r="DR104" i="4"/>
  <c r="DR103" i="4"/>
  <c r="DR158" i="4"/>
  <c r="DR159" i="4"/>
  <c r="DR160" i="4"/>
  <c r="DT61" i="4"/>
  <c r="DT62" i="4"/>
  <c r="CS173" i="4"/>
  <c r="CS157" i="4"/>
  <c r="CS141" i="4"/>
  <c r="CS125" i="4"/>
  <c r="CS109" i="4"/>
  <c r="CS93" i="4"/>
  <c r="CS77" i="4"/>
  <c r="CS61" i="4"/>
  <c r="CS45" i="4"/>
  <c r="CS29" i="4"/>
  <c r="CS13" i="4"/>
  <c r="CT172" i="4"/>
  <c r="CT156" i="4"/>
  <c r="CT138" i="4"/>
  <c r="CT120" i="4"/>
  <c r="CT102" i="4"/>
  <c r="CT82" i="4"/>
  <c r="CT57" i="4"/>
  <c r="CT32" i="4"/>
  <c r="CT4" i="4"/>
  <c r="CU147" i="4"/>
  <c r="CU116" i="4"/>
  <c r="CU84" i="4"/>
  <c r="CU51" i="4"/>
  <c r="CU13" i="4"/>
  <c r="CZ169" i="4"/>
  <c r="CY87" i="4"/>
  <c r="CX73" i="4"/>
  <c r="CX74" i="4"/>
  <c r="CX75" i="4"/>
  <c r="CX77" i="4"/>
  <c r="CX78" i="4"/>
  <c r="CX79" i="4"/>
  <c r="CX71" i="4"/>
  <c r="CX72" i="4"/>
  <c r="CZ141" i="4"/>
  <c r="CZ142" i="4"/>
  <c r="CZ143" i="4"/>
  <c r="CZ145" i="4"/>
  <c r="CZ146" i="4"/>
  <c r="CZ147" i="4"/>
  <c r="CZ148" i="4"/>
  <c r="CZ149" i="4"/>
  <c r="CZ139" i="4"/>
  <c r="CZ140" i="4"/>
  <c r="DT47" i="4"/>
  <c r="DT48" i="4"/>
  <c r="DT107" i="4"/>
  <c r="DT108" i="4"/>
  <c r="DT109" i="4"/>
  <c r="DT110" i="4"/>
  <c r="DT111" i="4"/>
  <c r="DT112" i="4"/>
  <c r="DT114" i="4"/>
  <c r="DT115" i="4"/>
  <c r="CS44" i="4"/>
  <c r="CT171" i="4"/>
  <c r="CT119" i="4"/>
  <c r="CT101" i="4"/>
  <c r="CT80" i="4"/>
  <c r="CU175" i="4"/>
  <c r="CU146" i="4"/>
  <c r="CU115" i="4"/>
  <c r="CU83" i="4"/>
  <c r="CU49" i="4"/>
  <c r="CU11" i="4"/>
  <c r="CZ39" i="4"/>
  <c r="CX3" i="4"/>
  <c r="CY47" i="4"/>
  <c r="CY48" i="4"/>
  <c r="DT100" i="4"/>
  <c r="DT92" i="4"/>
  <c r="DT93" i="4"/>
  <c r="DT94" i="4"/>
  <c r="DT95" i="4"/>
  <c r="DT96" i="4"/>
  <c r="DT98" i="4"/>
  <c r="DT99" i="4"/>
  <c r="CS171" i="4"/>
  <c r="CS155" i="4"/>
  <c r="CS139" i="4"/>
  <c r="CS123" i="4"/>
  <c r="CS107" i="4"/>
  <c r="CS91" i="4"/>
  <c r="CS75" i="4"/>
  <c r="CS59" i="4"/>
  <c r="CS43" i="4"/>
  <c r="CS27" i="4"/>
  <c r="CS11" i="4"/>
  <c r="CT170" i="4"/>
  <c r="CT154" i="4"/>
  <c r="CT136" i="4"/>
  <c r="CT118" i="4"/>
  <c r="CT100" i="4"/>
  <c r="CT78" i="4"/>
  <c r="CT54" i="4"/>
  <c r="CT29" i="4"/>
  <c r="CU173" i="4"/>
  <c r="CU145" i="4"/>
  <c r="CU114" i="4"/>
  <c r="CU82" i="4"/>
  <c r="CU45" i="4"/>
  <c r="CU10" i="4"/>
  <c r="CZ32" i="4"/>
  <c r="CY78" i="4"/>
  <c r="CX60" i="4"/>
  <c r="DS44" i="4"/>
  <c r="DS45" i="4"/>
  <c r="DT132" i="4"/>
  <c r="DT130" i="4"/>
  <c r="DT131" i="4"/>
  <c r="DT68" i="4"/>
  <c r="DT66" i="4"/>
  <c r="DT67" i="4"/>
  <c r="CS172" i="4"/>
  <c r="CZ59" i="4"/>
  <c r="CZ60" i="4"/>
  <c r="CX135" i="4"/>
  <c r="CX136" i="4"/>
  <c r="CY155" i="4"/>
  <c r="CY156" i="4"/>
  <c r="CY157" i="4"/>
  <c r="CZ2" i="4"/>
  <c r="CZ3" i="4"/>
  <c r="DR8" i="4"/>
  <c r="DR9" i="4"/>
  <c r="DR10" i="4"/>
  <c r="DR11" i="4"/>
  <c r="DR12" i="4"/>
  <c r="DR6" i="4"/>
  <c r="DR7" i="4"/>
  <c r="DS38" i="4"/>
  <c r="DS39" i="4"/>
  <c r="DR59" i="4"/>
  <c r="DR60" i="4"/>
  <c r="CY63" i="4"/>
  <c r="CY64" i="4"/>
  <c r="DS86" i="4"/>
  <c r="DS87" i="4"/>
  <c r="DS88" i="4"/>
  <c r="DS89" i="4"/>
  <c r="DS90" i="4"/>
  <c r="DS91" i="4"/>
  <c r="DS84" i="4"/>
  <c r="DS85" i="4"/>
  <c r="CZ101" i="4"/>
  <c r="CZ102" i="4"/>
  <c r="CX105" i="4"/>
  <c r="CX106" i="4"/>
  <c r="DR127" i="4"/>
  <c r="DR128" i="4"/>
  <c r="CZ157" i="4"/>
  <c r="CZ155" i="4"/>
  <c r="CZ156" i="4"/>
  <c r="CX161" i="4"/>
  <c r="CX162" i="4"/>
  <c r="CX164" i="4"/>
  <c r="CS170" i="4"/>
  <c r="CS154" i="4"/>
  <c r="CS138" i="4"/>
  <c r="CS122" i="4"/>
  <c r="CS106" i="4"/>
  <c r="CS90" i="4"/>
  <c r="CS74" i="4"/>
  <c r="CS58" i="4"/>
  <c r="CS42" i="4"/>
  <c r="CS26" i="4"/>
  <c r="CS10" i="4"/>
  <c r="CT169" i="4"/>
  <c r="CT153" i="4"/>
  <c r="CT135" i="4"/>
  <c r="CT117" i="4"/>
  <c r="CT99" i="4"/>
  <c r="CT77" i="4"/>
  <c r="CT53" i="4"/>
  <c r="CT25" i="4"/>
  <c r="CU171" i="4"/>
  <c r="CU143" i="4"/>
  <c r="CU113" i="4"/>
  <c r="CU81" i="4"/>
  <c r="CU43" i="4"/>
  <c r="CU6" i="4"/>
  <c r="CZ90" i="4"/>
  <c r="CZ26" i="4"/>
  <c r="CY136" i="4"/>
  <c r="CY72" i="4"/>
  <c r="CY8" i="4"/>
  <c r="CX118" i="4"/>
  <c r="CX54" i="4"/>
  <c r="DS83" i="4"/>
  <c r="CX63" i="4"/>
  <c r="CX64" i="4"/>
  <c r="DT71" i="4"/>
  <c r="DT72" i="4"/>
  <c r="DT73" i="4"/>
  <c r="DT74" i="4"/>
  <c r="DT75" i="4"/>
  <c r="DT76" i="4"/>
  <c r="DT77" i="4"/>
  <c r="DT78" i="4"/>
  <c r="DT79" i="4"/>
  <c r="DS6" i="4"/>
  <c r="DS7" i="4"/>
  <c r="DS8" i="4"/>
  <c r="DS9" i="4"/>
  <c r="DS10" i="4"/>
  <c r="DS11" i="4"/>
  <c r="DS12" i="4"/>
  <c r="DS5" i="4"/>
  <c r="CX16" i="4"/>
  <c r="CX17" i="4"/>
  <c r="CX18" i="4"/>
  <c r="CX20" i="4"/>
  <c r="DT38" i="4"/>
  <c r="DT39" i="4"/>
  <c r="DS59" i="4"/>
  <c r="DS60" i="4"/>
  <c r="DT84" i="4"/>
  <c r="DT85" i="4"/>
  <c r="DT86" i="4"/>
  <c r="DT87" i="4"/>
  <c r="DT88" i="4"/>
  <c r="DT89" i="4"/>
  <c r="DT90" i="4"/>
  <c r="DT91" i="4"/>
  <c r="DT83" i="4"/>
  <c r="CY105" i="4"/>
  <c r="CY106" i="4"/>
  <c r="DS127" i="4"/>
  <c r="DS128" i="4"/>
  <c r="CZ133" i="4"/>
  <c r="CZ134" i="4"/>
  <c r="CZ136" i="4"/>
  <c r="DR155" i="4"/>
  <c r="DR156" i="4"/>
  <c r="DR157" i="4"/>
  <c r="CY161" i="4"/>
  <c r="CY162" i="4"/>
  <c r="CY163" i="4"/>
  <c r="CY164" i="4"/>
  <c r="CS169" i="4"/>
  <c r="CS153" i="4"/>
  <c r="CS137" i="4"/>
  <c r="CS121" i="4"/>
  <c r="CS105" i="4"/>
  <c r="CS89" i="4"/>
  <c r="CS73" i="4"/>
  <c r="CS57" i="4"/>
  <c r="CS41" i="4"/>
  <c r="CS25" i="4"/>
  <c r="CS9" i="4"/>
  <c r="CT168" i="4"/>
  <c r="CT152" i="4"/>
  <c r="CT134" i="4"/>
  <c r="CT116" i="4"/>
  <c r="CT98" i="4"/>
  <c r="CT75" i="4"/>
  <c r="CT52" i="4"/>
  <c r="CT23" i="4"/>
  <c r="CU170" i="4"/>
  <c r="CU141" i="4"/>
  <c r="CU109" i="4"/>
  <c r="CU77" i="4"/>
  <c r="CU42" i="4"/>
  <c r="CU4" i="4"/>
  <c r="CZ89" i="4"/>
  <c r="CZ25" i="4"/>
  <c r="CY135" i="4"/>
  <c r="CX117" i="4"/>
  <c r="CY27" i="4"/>
  <c r="CY28" i="4"/>
  <c r="CY29" i="4"/>
  <c r="CY31" i="4"/>
  <c r="CY32" i="4"/>
  <c r="CY33" i="4"/>
  <c r="CY34" i="4"/>
  <c r="CY35" i="4"/>
  <c r="CY25" i="4"/>
  <c r="CY26" i="4"/>
  <c r="DR65" i="4"/>
  <c r="DR66" i="4"/>
  <c r="DR67" i="4"/>
  <c r="DR68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23" i="4"/>
  <c r="CY11" i="4"/>
  <c r="CY12" i="4"/>
  <c r="CY6" i="4"/>
  <c r="CY9" i="4"/>
  <c r="CY10" i="4"/>
  <c r="DS71" i="4"/>
  <c r="DS72" i="4"/>
  <c r="DS73" i="4"/>
  <c r="DS74" i="4"/>
  <c r="DS75" i="4"/>
  <c r="DS76" i="4"/>
  <c r="DS77" i="4"/>
  <c r="DS78" i="4"/>
  <c r="DS79" i="4"/>
  <c r="CX155" i="4"/>
  <c r="CX157" i="4"/>
  <c r="CS156" i="4"/>
  <c r="CS124" i="4"/>
  <c r="CS92" i="4"/>
  <c r="CS60" i="4"/>
  <c r="CS12" i="4"/>
  <c r="CT137" i="4"/>
  <c r="CT30" i="4"/>
  <c r="CY2" i="4"/>
  <c r="CY3" i="4"/>
  <c r="CZ5" i="4"/>
  <c r="CZ6" i="4"/>
  <c r="CZ8" i="4"/>
  <c r="CZ11" i="4"/>
  <c r="CZ12" i="4"/>
  <c r="DR38" i="4"/>
  <c r="DR39" i="4"/>
  <c r="DR88" i="4"/>
  <c r="DR89" i="4"/>
  <c r="DR90" i="4"/>
  <c r="DR91" i="4"/>
  <c r="DR83" i="4"/>
  <c r="DR84" i="4"/>
  <c r="DR86" i="4"/>
  <c r="DR87" i="4"/>
  <c r="DT5" i="4"/>
  <c r="DT6" i="4"/>
  <c r="DT7" i="4"/>
  <c r="DT8" i="4"/>
  <c r="DT9" i="4"/>
  <c r="DT10" i="4"/>
  <c r="DT11" i="4"/>
  <c r="DT12" i="4"/>
  <c r="CY16" i="4"/>
  <c r="CY17" i="4"/>
  <c r="CY18" i="4"/>
  <c r="CY19" i="4"/>
  <c r="CY20" i="4"/>
  <c r="CY22" i="4"/>
  <c r="CX49" i="4"/>
  <c r="CX50" i="4"/>
  <c r="CX52" i="4"/>
  <c r="CX55" i="4"/>
  <c r="DT59" i="4"/>
  <c r="DT60" i="4"/>
  <c r="DR63" i="4"/>
  <c r="DR64" i="4"/>
  <c r="DS102" i="4"/>
  <c r="DS101" i="4"/>
  <c r="DT127" i="4"/>
  <c r="DT128" i="4"/>
  <c r="DR136" i="4"/>
  <c r="DR134" i="4"/>
  <c r="DR135" i="4"/>
  <c r="DS155" i="4"/>
  <c r="DS156" i="4"/>
  <c r="DS157" i="4"/>
  <c r="CZ161" i="4"/>
  <c r="CZ162" i="4"/>
  <c r="CZ163" i="4"/>
  <c r="CZ164" i="4"/>
  <c r="CX169" i="4"/>
  <c r="CX170" i="4"/>
  <c r="CX171" i="4"/>
  <c r="CX173" i="4"/>
  <c r="CX174" i="4"/>
  <c r="CX175" i="4"/>
  <c r="CX167" i="4"/>
  <c r="CX168" i="4"/>
  <c r="CS168" i="4"/>
  <c r="CS152" i="4"/>
  <c r="CS136" i="4"/>
  <c r="CS120" i="4"/>
  <c r="CS104" i="4"/>
  <c r="CS88" i="4"/>
  <c r="CS72" i="4"/>
  <c r="CS56" i="4"/>
  <c r="CS40" i="4"/>
  <c r="CS24" i="4"/>
  <c r="CS8" i="4"/>
  <c r="CT167" i="4"/>
  <c r="CT151" i="4"/>
  <c r="CT133" i="4"/>
  <c r="CT115" i="4"/>
  <c r="CT96" i="4"/>
  <c r="CT74" i="4"/>
  <c r="CT51" i="4"/>
  <c r="CT22" i="4"/>
  <c r="CU166" i="4"/>
  <c r="CU139" i="4"/>
  <c r="CU107" i="4"/>
  <c r="CU75" i="4"/>
  <c r="CU38" i="4"/>
  <c r="CU3" i="4"/>
  <c r="CY133" i="4"/>
  <c r="CY69" i="4"/>
  <c r="CY5" i="4"/>
  <c r="CX115" i="4"/>
  <c r="CX51" i="4"/>
  <c r="DR133" i="4"/>
  <c r="CY75" i="4"/>
  <c r="CY76" i="4"/>
  <c r="CY77" i="4"/>
  <c r="CY79" i="4"/>
  <c r="CY73" i="4"/>
  <c r="CY74" i="4"/>
  <c r="CZ109" i="4"/>
  <c r="CZ110" i="4"/>
  <c r="CZ111" i="4"/>
  <c r="CZ113" i="4"/>
  <c r="CZ114" i="4"/>
  <c r="CZ115" i="4"/>
  <c r="CZ107" i="4"/>
  <c r="CZ108" i="4"/>
  <c r="CY91" i="4"/>
  <c r="CY83" i="4"/>
  <c r="CY84" i="4"/>
  <c r="CY86" i="4"/>
  <c r="CY89" i="4"/>
  <c r="CY90" i="4"/>
  <c r="DT148" i="4"/>
  <c r="DT149" i="4"/>
  <c r="DT137" i="4"/>
  <c r="DT138" i="4"/>
  <c r="DT139" i="4"/>
  <c r="DT140" i="4"/>
  <c r="DT141" i="4"/>
  <c r="DT142" i="4"/>
  <c r="DT143" i="4"/>
  <c r="DT144" i="4"/>
  <c r="DT146" i="4"/>
  <c r="DT147" i="4"/>
  <c r="DS23" i="4"/>
  <c r="DS24" i="4"/>
  <c r="DS25" i="4"/>
  <c r="DS26" i="4"/>
  <c r="DS27" i="4"/>
  <c r="DS28" i="4"/>
  <c r="DS29" i="4"/>
  <c r="DS30" i="4"/>
  <c r="DS31" i="4"/>
  <c r="DS32" i="4"/>
  <c r="DS33" i="4"/>
  <c r="DS34" i="4"/>
  <c r="CY59" i="4"/>
  <c r="CY60" i="4"/>
  <c r="CZ83" i="4"/>
  <c r="CZ84" i="4"/>
  <c r="CZ85" i="4"/>
  <c r="CZ86" i="4"/>
  <c r="CZ88" i="4"/>
  <c r="CZ91" i="4"/>
  <c r="CY127" i="4"/>
  <c r="CY128" i="4"/>
  <c r="CS140" i="4"/>
  <c r="CS108" i="4"/>
  <c r="CS76" i="4"/>
  <c r="CS28" i="4"/>
  <c r="CT155" i="4"/>
  <c r="CT55" i="4"/>
  <c r="DT23" i="4"/>
  <c r="DT24" i="4"/>
  <c r="DT25" i="4"/>
  <c r="DT26" i="4"/>
  <c r="DT27" i="4"/>
  <c r="DT28" i="4"/>
  <c r="DT29" i="4"/>
  <c r="DT30" i="4"/>
  <c r="DT31" i="4"/>
  <c r="DT32" i="4"/>
  <c r="DT34" i="4"/>
  <c r="DT35" i="4"/>
  <c r="DR2" i="4"/>
  <c r="DR3" i="4"/>
  <c r="DT2" i="4"/>
  <c r="DT3" i="4"/>
  <c r="CZ17" i="4"/>
  <c r="CZ18" i="4"/>
  <c r="CZ19" i="4"/>
  <c r="CZ20" i="4"/>
  <c r="CZ21" i="4"/>
  <c r="CZ22" i="4"/>
  <c r="CY49" i="4"/>
  <c r="CY50" i="4"/>
  <c r="CY51" i="4"/>
  <c r="CY52" i="4"/>
  <c r="CY54" i="4"/>
  <c r="DS63" i="4"/>
  <c r="DS64" i="4"/>
  <c r="CZ69" i="4"/>
  <c r="CZ70" i="4"/>
  <c r="CX80" i="4"/>
  <c r="CX81" i="4"/>
  <c r="CX82" i="4"/>
  <c r="DT101" i="4"/>
  <c r="DT102" i="4"/>
  <c r="DR105" i="4"/>
  <c r="DR106" i="4"/>
  <c r="CY116" i="4"/>
  <c r="CY118" i="4"/>
  <c r="DS134" i="4"/>
  <c r="DS135" i="4"/>
  <c r="DS136" i="4"/>
  <c r="DS133" i="4"/>
  <c r="DT155" i="4"/>
  <c r="DT156" i="4"/>
  <c r="DT157" i="4"/>
  <c r="DR161" i="4"/>
  <c r="DR162" i="4"/>
  <c r="DR163" i="4"/>
  <c r="DR164" i="4"/>
  <c r="CY171" i="4"/>
  <c r="CY172" i="4"/>
  <c r="CY173" i="4"/>
  <c r="CY175" i="4"/>
  <c r="CY166" i="4"/>
  <c r="CY169" i="4"/>
  <c r="CY170" i="4"/>
  <c r="CS167" i="4"/>
  <c r="CS151" i="4"/>
  <c r="CS135" i="4"/>
  <c r="CS119" i="4"/>
  <c r="CS103" i="4"/>
  <c r="CS87" i="4"/>
  <c r="CS71" i="4"/>
  <c r="CS55" i="4"/>
  <c r="CS39" i="4"/>
  <c r="CS23" i="4"/>
  <c r="CS7" i="4"/>
  <c r="CT166" i="4"/>
  <c r="CT150" i="4"/>
  <c r="CT132" i="4"/>
  <c r="CT114" i="4"/>
  <c r="CT94" i="4"/>
  <c r="CT73" i="4"/>
  <c r="CT50" i="4"/>
  <c r="CU164" i="4"/>
  <c r="CU138" i="4"/>
  <c r="CU106" i="4"/>
  <c r="CU74" i="4"/>
  <c r="CU36" i="4"/>
  <c r="CZ144" i="4"/>
  <c r="CZ16" i="4"/>
  <c r="CY62" i="4"/>
  <c r="CX172" i="4"/>
  <c r="CX44" i="4"/>
  <c r="DS35" i="4"/>
  <c r="CT10" i="4"/>
  <c r="CT26" i="4"/>
  <c r="CT42" i="4"/>
  <c r="CT58" i="4"/>
  <c r="CT11" i="4"/>
  <c r="CT27" i="4"/>
  <c r="CT43" i="4"/>
  <c r="CT59" i="4"/>
  <c r="CT12" i="4"/>
  <c r="CT28" i="4"/>
  <c r="CT44" i="4"/>
  <c r="CT60" i="4"/>
  <c r="CT76" i="4"/>
  <c r="CT92" i="4"/>
  <c r="CT15" i="4"/>
  <c r="CT31" i="4"/>
  <c r="CT47" i="4"/>
  <c r="CT63" i="4"/>
  <c r="CT79" i="4"/>
  <c r="CT95" i="4"/>
  <c r="CT111" i="4"/>
  <c r="CT127" i="4"/>
  <c r="CT143" i="4"/>
  <c r="CT17" i="4"/>
  <c r="CT33" i="4"/>
  <c r="CT49" i="4"/>
  <c r="CT65" i="4"/>
  <c r="CT81" i="4"/>
  <c r="CT97" i="4"/>
  <c r="CT113" i="4"/>
  <c r="CT129" i="4"/>
  <c r="CT145" i="4"/>
  <c r="CT3" i="4"/>
  <c r="CT19" i="4"/>
  <c r="CT35" i="4"/>
  <c r="CT8" i="4"/>
  <c r="CT24" i="4"/>
  <c r="CT40" i="4"/>
  <c r="CT56" i="4"/>
  <c r="CT72" i="4"/>
  <c r="CT88" i="4"/>
  <c r="CX57" i="4"/>
  <c r="CX58" i="4"/>
  <c r="DT63" i="4"/>
  <c r="DT64" i="4"/>
  <c r="DS105" i="4"/>
  <c r="DS106" i="4"/>
  <c r="DT133" i="4"/>
  <c r="DT134" i="4"/>
  <c r="DT135" i="4"/>
  <c r="DT136" i="4"/>
  <c r="DS161" i="4"/>
  <c r="DS162" i="4"/>
  <c r="DS164" i="4"/>
  <c r="CS150" i="4"/>
  <c r="CS118" i="4"/>
  <c r="CS86" i="4"/>
  <c r="CS54" i="4"/>
  <c r="CS22" i="4"/>
  <c r="CT165" i="4"/>
  <c r="CT131" i="4"/>
  <c r="CT93" i="4"/>
  <c r="CT48" i="4"/>
  <c r="CU163" i="4"/>
  <c r="CU134" i="4"/>
  <c r="CU70" i="4"/>
  <c r="CU35" i="4"/>
  <c r="CZ138" i="4"/>
  <c r="CZ74" i="4"/>
  <c r="CZ10" i="4"/>
  <c r="CX102" i="4"/>
  <c r="CX38" i="4"/>
  <c r="DR101" i="4"/>
  <c r="DS61" i="4"/>
  <c r="DS62" i="4"/>
  <c r="DR72" i="4"/>
  <c r="DR73" i="4"/>
  <c r="DR74" i="4"/>
  <c r="DR75" i="4"/>
  <c r="DR76" i="4"/>
  <c r="DR77" i="4"/>
  <c r="DR78" i="4"/>
  <c r="DR79" i="4"/>
  <c r="DR71" i="4"/>
  <c r="CX127" i="4"/>
  <c r="CX128" i="4"/>
  <c r="CY80" i="4"/>
  <c r="CY81" i="4"/>
  <c r="CY82" i="4"/>
  <c r="CS166" i="4"/>
  <c r="CS134" i="4"/>
  <c r="CS102" i="4"/>
  <c r="CS70" i="4"/>
  <c r="CS38" i="4"/>
  <c r="CS6" i="4"/>
  <c r="CT149" i="4"/>
  <c r="CT112" i="4"/>
  <c r="CT71" i="4"/>
  <c r="CT20" i="4"/>
  <c r="CU102" i="4"/>
  <c r="DS22" i="4"/>
  <c r="DS16" i="4"/>
  <c r="DS17" i="4"/>
  <c r="DS18" i="4"/>
  <c r="DS20" i="4"/>
  <c r="DS21" i="4"/>
  <c r="CZ36" i="4"/>
  <c r="CZ37" i="4"/>
  <c r="CX41" i="4"/>
  <c r="CX42" i="4"/>
  <c r="CX40" i="4"/>
  <c r="DR49" i="4"/>
  <c r="DR50" i="4"/>
  <c r="DR51" i="4"/>
  <c r="DR52" i="4"/>
  <c r="DR54" i="4"/>
  <c r="DR55" i="4"/>
  <c r="CY57" i="4"/>
  <c r="CY58" i="4"/>
  <c r="DS70" i="4"/>
  <c r="DS69" i="4"/>
  <c r="CZ81" i="4"/>
  <c r="CZ82" i="4"/>
  <c r="CX93" i="4"/>
  <c r="CX94" i="4"/>
  <c r="CX95" i="4"/>
  <c r="CX96" i="4"/>
  <c r="CX97" i="4"/>
  <c r="CX98" i="4"/>
  <c r="CX100" i="4"/>
  <c r="DT105" i="4"/>
  <c r="DT106" i="4"/>
  <c r="DR116" i="4"/>
  <c r="DR118" i="4"/>
  <c r="CY123" i="4"/>
  <c r="CY124" i="4"/>
  <c r="CY125" i="4"/>
  <c r="CY121" i="4"/>
  <c r="CY122" i="4"/>
  <c r="DT164" i="4"/>
  <c r="DT162" i="4"/>
  <c r="DT163" i="4"/>
  <c r="DR168" i="4"/>
  <c r="DR169" i="4"/>
  <c r="DR170" i="4"/>
  <c r="DR171" i="4"/>
  <c r="DR172" i="4"/>
  <c r="DR173" i="4"/>
  <c r="DR174" i="4"/>
  <c r="DR175" i="4"/>
  <c r="DR166" i="4"/>
  <c r="DR167" i="4"/>
  <c r="CS165" i="4"/>
  <c r="CS149" i="4"/>
  <c r="CS133" i="4"/>
  <c r="CS117" i="4"/>
  <c r="CS101" i="4"/>
  <c r="CS85" i="4"/>
  <c r="CS69" i="4"/>
  <c r="CS53" i="4"/>
  <c r="CS37" i="4"/>
  <c r="CS21" i="4"/>
  <c r="CS5" i="4"/>
  <c r="CT164" i="4"/>
  <c r="CT148" i="4"/>
  <c r="CT130" i="4"/>
  <c r="CT110" i="4"/>
  <c r="CT91" i="4"/>
  <c r="CT70" i="4"/>
  <c r="CT46" i="4"/>
  <c r="CT18" i="4"/>
  <c r="CU162" i="4"/>
  <c r="CU132" i="4"/>
  <c r="CU100" i="4"/>
  <c r="CU68" i="4"/>
  <c r="CU33" i="4"/>
  <c r="CZ137" i="4"/>
  <c r="CZ73" i="4"/>
  <c r="CZ9" i="4"/>
  <c r="CY55" i="4"/>
  <c r="CX37" i="4"/>
  <c r="DR85" i="4"/>
  <c r="DS3" i="4"/>
  <c r="CX25" i="4"/>
  <c r="CX26" i="4"/>
  <c r="CX27" i="4"/>
  <c r="CX29" i="4"/>
  <c r="CX30" i="4"/>
  <c r="CX31" i="4"/>
  <c r="CX32" i="4"/>
  <c r="CX33" i="4"/>
  <c r="CX34" i="4"/>
  <c r="CX23" i="4"/>
  <c r="CX24" i="4"/>
  <c r="DS129" i="4"/>
  <c r="DS130" i="4"/>
  <c r="DS132" i="4"/>
  <c r="DS166" i="4"/>
  <c r="DS167" i="4"/>
  <c r="DS168" i="4"/>
  <c r="DS169" i="4"/>
  <c r="DS170" i="4"/>
  <c r="DS171" i="4"/>
  <c r="DS172" i="4"/>
  <c r="DS173" i="4"/>
  <c r="DS174" i="4"/>
  <c r="DS175" i="4"/>
  <c r="CS164" i="4"/>
  <c r="CS148" i="4"/>
  <c r="CS132" i="4"/>
  <c r="CS116" i="4"/>
  <c r="CS100" i="4"/>
  <c r="CS84" i="4"/>
  <c r="CS68" i="4"/>
  <c r="CS52" i="4"/>
  <c r="CS36" i="4"/>
  <c r="CS20" i="4"/>
  <c r="CS4" i="4"/>
  <c r="CT163" i="4"/>
  <c r="CT147" i="4"/>
  <c r="CT128" i="4"/>
  <c r="CT109" i="4"/>
  <c r="CT90" i="4"/>
  <c r="CT69" i="4"/>
  <c r="CT45" i="4"/>
  <c r="CT16" i="4"/>
  <c r="CU161" i="4"/>
  <c r="CU131" i="4"/>
  <c r="CU99" i="4"/>
  <c r="CU67" i="4"/>
  <c r="CU29" i="4"/>
  <c r="CZ135" i="4"/>
  <c r="CZ7" i="4"/>
  <c r="CY117" i="4"/>
  <c r="CY53" i="4"/>
  <c r="CX163" i="4"/>
  <c r="CX99" i="4"/>
  <c r="CX35" i="4"/>
  <c r="DR69" i="4"/>
  <c r="DT161" i="4"/>
  <c r="CY107" i="4"/>
  <c r="CY108" i="4"/>
  <c r="CY109" i="4"/>
  <c r="CY111" i="4"/>
  <c r="CY112" i="4"/>
  <c r="CY113" i="4"/>
  <c r="CY114" i="4"/>
  <c r="CY115" i="4"/>
  <c r="DS103" i="4"/>
  <c r="DS104" i="4"/>
  <c r="DR137" i="4"/>
  <c r="DR138" i="4"/>
  <c r="DR139" i="4"/>
  <c r="DR140" i="4"/>
  <c r="DR141" i="4"/>
  <c r="DR142" i="4"/>
  <c r="DR143" i="4"/>
  <c r="DR144" i="4"/>
  <c r="DR145" i="4"/>
  <c r="DR146" i="4"/>
  <c r="DR147" i="4"/>
  <c r="DR148" i="4"/>
  <c r="DS47" i="4"/>
  <c r="DS48" i="4"/>
  <c r="CZ49" i="4"/>
  <c r="CZ50" i="4"/>
  <c r="CZ51" i="4"/>
  <c r="CZ52" i="4"/>
  <c r="CZ53" i="4"/>
  <c r="CZ54" i="4"/>
  <c r="CZ116" i="4"/>
  <c r="CZ117" i="4"/>
  <c r="CZ118" i="4"/>
  <c r="CX121" i="4"/>
  <c r="CX122" i="4"/>
  <c r="CX123" i="4"/>
  <c r="CX125" i="4"/>
  <c r="CX126" i="4"/>
  <c r="CX120" i="4"/>
  <c r="CZ173" i="4"/>
  <c r="CZ174" i="4"/>
  <c r="CZ175" i="4"/>
  <c r="CZ166" i="4"/>
  <c r="CZ168" i="4"/>
  <c r="CZ171" i="4"/>
  <c r="CZ172" i="4"/>
  <c r="DT20" i="4"/>
  <c r="DT21" i="4"/>
  <c r="DT22" i="4"/>
  <c r="DT16" i="4"/>
  <c r="DT17" i="4"/>
  <c r="DT18" i="4"/>
  <c r="DT19" i="4"/>
  <c r="CY41" i="4"/>
  <c r="CY42" i="4"/>
  <c r="DS54" i="4"/>
  <c r="DS55" i="4"/>
  <c r="DS49" i="4"/>
  <c r="DS50" i="4"/>
  <c r="DS52" i="4"/>
  <c r="DS53" i="4"/>
  <c r="CX61" i="4"/>
  <c r="CX62" i="4"/>
  <c r="DT69" i="4"/>
  <c r="DT70" i="4"/>
  <c r="DR80" i="4"/>
  <c r="DR81" i="4"/>
  <c r="DR82" i="4"/>
  <c r="CY92" i="4"/>
  <c r="CY93" i="4"/>
  <c r="CY95" i="4"/>
  <c r="CY96" i="4"/>
  <c r="CY97" i="4"/>
  <c r="CY98" i="4"/>
  <c r="CY99" i="4"/>
  <c r="CY100" i="4"/>
  <c r="DS118" i="4"/>
  <c r="DS116" i="4"/>
  <c r="DS117" i="4"/>
  <c r="CZ125" i="4"/>
  <c r="CZ126" i="4"/>
  <c r="CZ120" i="4"/>
  <c r="CZ123" i="4"/>
  <c r="CZ124" i="4"/>
  <c r="CX129" i="4"/>
  <c r="CX130" i="4"/>
  <c r="CX132" i="4"/>
  <c r="DS36" i="4"/>
  <c r="DS37" i="4"/>
  <c r="DT52" i="4"/>
  <c r="DT53" i="4"/>
  <c r="DT54" i="4"/>
  <c r="DT55" i="4"/>
  <c r="DT50" i="4"/>
  <c r="DT51" i="4"/>
  <c r="DR57" i="4"/>
  <c r="DR58" i="4"/>
  <c r="DS80" i="4"/>
  <c r="DS81" i="4"/>
  <c r="DS82" i="4"/>
  <c r="CZ93" i="4"/>
  <c r="CZ94" i="4"/>
  <c r="CZ95" i="4"/>
  <c r="CZ97" i="4"/>
  <c r="CZ98" i="4"/>
  <c r="CZ99" i="4"/>
  <c r="CZ100" i="4"/>
  <c r="CZ92" i="4"/>
  <c r="CX103" i="4"/>
  <c r="CX104" i="4"/>
  <c r="DT116" i="4"/>
  <c r="DT117" i="4"/>
  <c r="DT118" i="4"/>
  <c r="DR120" i="4"/>
  <c r="DR121" i="4"/>
  <c r="DR122" i="4"/>
  <c r="DR123" i="4"/>
  <c r="DR124" i="4"/>
  <c r="DR125" i="4"/>
  <c r="DR126" i="4"/>
  <c r="CY129" i="4"/>
  <c r="CY130" i="4"/>
  <c r="CY131" i="4"/>
  <c r="CY132" i="4"/>
  <c r="CX158" i="4"/>
  <c r="CX159" i="4"/>
  <c r="CX160" i="4"/>
  <c r="DT166" i="4"/>
  <c r="DT167" i="4"/>
  <c r="DT168" i="4"/>
  <c r="DT169" i="4"/>
  <c r="DT170" i="4"/>
  <c r="DT171" i="4"/>
  <c r="DT172" i="4"/>
  <c r="DT173" i="4"/>
  <c r="DT174" i="4"/>
  <c r="DT175" i="4"/>
  <c r="CS163" i="4"/>
  <c r="CS147" i="4"/>
  <c r="CS131" i="4"/>
  <c r="CS115" i="4"/>
  <c r="CS99" i="4"/>
  <c r="CS83" i="4"/>
  <c r="CS67" i="4"/>
  <c r="CS51" i="4"/>
  <c r="CS35" i="4"/>
  <c r="CS19" i="4"/>
  <c r="CS3" i="4"/>
  <c r="CT162" i="4"/>
  <c r="CT146" i="4"/>
  <c r="CT126" i="4"/>
  <c r="CT108" i="4"/>
  <c r="CT89" i="4"/>
  <c r="CT68" i="4"/>
  <c r="CT41" i="4"/>
  <c r="CT14" i="4"/>
  <c r="CU159" i="4"/>
  <c r="CU130" i="4"/>
  <c r="CU98" i="4"/>
  <c r="CU65" i="4"/>
  <c r="CU27" i="4"/>
  <c r="CZ128" i="4"/>
  <c r="CZ64" i="4"/>
  <c r="CY174" i="4"/>
  <c r="CY110" i="4"/>
  <c r="CX156" i="4"/>
  <c r="CX92" i="4"/>
  <c r="CX28" i="4"/>
  <c r="DR53" i="4"/>
  <c r="DT145" i="4"/>
  <c r="CS162" i="4"/>
  <c r="CS146" i="4"/>
  <c r="CS130" i="4"/>
  <c r="CS114" i="4"/>
  <c r="CS98" i="4"/>
  <c r="CS82" i="4"/>
  <c r="CS66" i="4"/>
  <c r="CS50" i="4"/>
  <c r="CS34" i="4"/>
  <c r="CS18" i="4"/>
  <c r="CT2" i="4"/>
  <c r="CT161" i="4"/>
  <c r="CT144" i="4"/>
  <c r="CT125" i="4"/>
  <c r="CT107" i="4"/>
  <c r="CT87" i="4"/>
  <c r="CT67" i="4"/>
  <c r="CT39" i="4"/>
  <c r="CT13" i="4"/>
  <c r="CU157" i="4"/>
  <c r="CU129" i="4"/>
  <c r="CU97" i="4"/>
  <c r="CU61" i="4"/>
  <c r="CZ122" i="4"/>
  <c r="CZ58" i="4"/>
  <c r="CY168" i="4"/>
  <c r="CY104" i="4"/>
  <c r="CY40" i="4"/>
  <c r="CX86" i="4"/>
  <c r="CX22" i="4"/>
  <c r="DR37" i="4"/>
  <c r="DT129" i="4"/>
  <c r="CU7" i="4"/>
  <c r="CU23" i="4"/>
  <c r="CU39" i="4"/>
  <c r="CU55" i="4"/>
  <c r="CU71" i="4"/>
  <c r="CU87" i="4"/>
  <c r="CU103" i="4"/>
  <c r="CU119" i="4"/>
  <c r="CU135" i="4"/>
  <c r="CU151" i="4"/>
  <c r="CU167" i="4"/>
  <c r="CU8" i="4"/>
  <c r="CU24" i="4"/>
  <c r="CU40" i="4"/>
  <c r="CU56" i="4"/>
  <c r="CU72" i="4"/>
  <c r="CU88" i="4"/>
  <c r="CU104" i="4"/>
  <c r="CU120" i="4"/>
  <c r="CU136" i="4"/>
  <c r="CU152" i="4"/>
  <c r="CU168" i="4"/>
  <c r="CU9" i="4"/>
  <c r="CU25" i="4"/>
  <c r="CU41" i="4"/>
  <c r="CU57" i="4"/>
  <c r="CU73" i="4"/>
  <c r="CU89" i="4"/>
  <c r="CU105" i="4"/>
  <c r="CU121" i="4"/>
  <c r="CU137" i="4"/>
  <c r="CU153" i="4"/>
  <c r="CU169" i="4"/>
  <c r="CU12" i="4"/>
  <c r="CU28" i="4"/>
  <c r="CU44" i="4"/>
  <c r="CU60" i="4"/>
  <c r="CU76" i="4"/>
  <c r="CU92" i="4"/>
  <c r="CU108" i="4"/>
  <c r="CU124" i="4"/>
  <c r="CU140" i="4"/>
  <c r="CU156" i="4"/>
  <c r="CU172" i="4"/>
  <c r="CU14" i="4"/>
  <c r="CU30" i="4"/>
  <c r="CU46" i="4"/>
  <c r="CU62" i="4"/>
  <c r="CU78" i="4"/>
  <c r="CU94" i="4"/>
  <c r="CU110" i="4"/>
  <c r="CU126" i="4"/>
  <c r="CU142" i="4"/>
  <c r="CU158" i="4"/>
  <c r="CU174" i="4"/>
  <c r="CU15" i="4"/>
  <c r="CU31" i="4"/>
  <c r="CU47" i="4"/>
  <c r="CU63" i="4"/>
  <c r="CU79" i="4"/>
  <c r="CU95" i="4"/>
  <c r="CU111" i="4"/>
  <c r="CU127" i="4"/>
  <c r="CU16" i="4"/>
  <c r="CU32" i="4"/>
  <c r="CU48" i="4"/>
  <c r="CU64" i="4"/>
  <c r="CU80" i="4"/>
  <c r="CU96" i="4"/>
  <c r="CU112" i="4"/>
  <c r="CU128" i="4"/>
  <c r="CU144" i="4"/>
  <c r="CU160" i="4"/>
  <c r="CU18" i="4"/>
  <c r="CU34" i="4"/>
  <c r="CU50" i="4"/>
  <c r="CU66" i="4"/>
  <c r="CU5" i="4"/>
  <c r="CU21" i="4"/>
  <c r="CU37" i="4"/>
  <c r="CU53" i="4"/>
  <c r="CU69" i="4"/>
  <c r="CU85" i="4"/>
  <c r="CU101" i="4"/>
  <c r="CU117" i="4"/>
  <c r="CU133" i="4"/>
  <c r="CU149" i="4"/>
  <c r="CU165" i="4"/>
  <c r="CX9" i="4"/>
  <c r="CX10" i="4"/>
  <c r="CX11" i="4"/>
  <c r="CX7" i="4"/>
  <c r="CX8" i="4"/>
  <c r="DS107" i="4"/>
  <c r="DS108" i="4"/>
  <c r="DS109" i="4"/>
  <c r="DS110" i="4"/>
  <c r="DS111" i="4"/>
  <c r="DS112" i="4"/>
  <c r="DS113" i="4"/>
  <c r="DS114" i="4"/>
  <c r="DR16" i="4"/>
  <c r="DR17" i="4"/>
  <c r="DR18" i="4"/>
  <c r="DR19" i="4"/>
  <c r="DR20" i="4"/>
  <c r="DR22" i="4"/>
  <c r="DT36" i="4"/>
  <c r="DT37" i="4"/>
  <c r="DR40" i="4"/>
  <c r="DR41" i="4"/>
  <c r="DR42" i="4"/>
  <c r="CY44" i="4"/>
  <c r="CY45" i="4"/>
  <c r="DS57" i="4"/>
  <c r="DS58" i="4"/>
  <c r="CZ61" i="4"/>
  <c r="CZ62" i="4"/>
  <c r="CX65" i="4"/>
  <c r="CX66" i="4"/>
  <c r="CX68" i="4"/>
  <c r="DT80" i="4"/>
  <c r="DT82" i="4"/>
  <c r="DR92" i="4"/>
  <c r="DR93" i="4"/>
  <c r="DR94" i="4"/>
  <c r="DR95" i="4"/>
  <c r="DR96" i="4"/>
  <c r="DR97" i="4"/>
  <c r="DR98" i="4"/>
  <c r="DR99" i="4"/>
  <c r="DR100" i="4"/>
  <c r="DS120" i="4"/>
  <c r="DS121" i="4"/>
  <c r="DS122" i="4"/>
  <c r="DS123" i="4"/>
  <c r="DS124" i="4"/>
  <c r="DS125" i="4"/>
  <c r="DS126" i="4"/>
  <c r="CZ129" i="4"/>
  <c r="CZ130" i="4"/>
  <c r="CZ131" i="4"/>
  <c r="CZ132" i="4"/>
  <c r="CX137" i="4"/>
  <c r="CX138" i="4"/>
  <c r="CX139" i="4"/>
  <c r="CX141" i="4"/>
  <c r="CX142" i="4"/>
  <c r="CX143" i="4"/>
  <c r="CX144" i="4"/>
  <c r="CX145" i="4"/>
  <c r="CX146" i="4"/>
  <c r="CX148" i="4"/>
  <c r="CY159" i="4"/>
  <c r="CY160" i="4"/>
  <c r="DS40" i="4"/>
  <c r="DS41" i="4"/>
  <c r="DS42" i="4"/>
  <c r="CZ45" i="4"/>
  <c r="CZ44" i="4"/>
  <c r="CX47" i="4"/>
  <c r="CX48" i="4"/>
  <c r="DT57" i="4"/>
  <c r="DT58" i="4"/>
  <c r="DR61" i="4"/>
  <c r="DR62" i="4"/>
  <c r="CY65" i="4"/>
  <c r="CY66" i="4"/>
  <c r="CY67" i="4"/>
  <c r="CY68" i="4"/>
  <c r="DS92" i="4"/>
  <c r="DS93" i="4"/>
  <c r="DS94" i="4"/>
  <c r="DS95" i="4"/>
  <c r="DS96" i="4"/>
  <c r="DS97" i="4"/>
  <c r="DS98" i="4"/>
  <c r="DS100" i="4"/>
  <c r="CX107" i="4"/>
  <c r="CX109" i="4"/>
  <c r="CX110" i="4"/>
  <c r="CX111" i="4"/>
  <c r="CX112" i="4"/>
  <c r="CX113" i="4"/>
  <c r="CX114" i="4"/>
  <c r="DT120" i="4"/>
  <c r="DT121" i="4"/>
  <c r="DT122" i="4"/>
  <c r="DT123" i="4"/>
  <c r="DT124" i="4"/>
  <c r="DT125" i="4"/>
  <c r="DT126" i="4"/>
  <c r="DR129" i="4"/>
  <c r="DR130" i="4"/>
  <c r="DR131" i="4"/>
  <c r="DR132" i="4"/>
  <c r="CY139" i="4"/>
  <c r="CY140" i="4"/>
  <c r="CY141" i="4"/>
  <c r="CY143" i="4"/>
  <c r="CY144" i="4"/>
  <c r="CY145" i="4"/>
  <c r="CY146" i="4"/>
  <c r="CY147" i="4"/>
  <c r="CY148" i="4"/>
  <c r="CY137" i="4"/>
  <c r="CY138" i="4"/>
  <c r="CZ158" i="4"/>
  <c r="CZ159" i="4"/>
  <c r="CS161" i="4"/>
  <c r="CS145" i="4"/>
  <c r="CS129" i="4"/>
  <c r="CS113" i="4"/>
  <c r="CS97" i="4"/>
  <c r="CS81" i="4"/>
  <c r="CS65" i="4"/>
  <c r="CS49" i="4"/>
  <c r="CS33" i="4"/>
  <c r="CS17" i="4"/>
  <c r="CU2" i="4"/>
  <c r="CT160" i="4"/>
  <c r="CT142" i="4"/>
  <c r="CT124" i="4"/>
  <c r="CT106" i="4"/>
  <c r="CT86" i="4"/>
  <c r="CT66" i="4"/>
  <c r="CT38" i="4"/>
  <c r="CT9" i="4"/>
  <c r="CU155" i="4"/>
  <c r="CU125" i="4"/>
  <c r="CU93" i="4"/>
  <c r="CU59" i="4"/>
  <c r="CU22" i="4"/>
  <c r="CZ121" i="4"/>
  <c r="CY167" i="4"/>
  <c r="CY39" i="4"/>
  <c r="CX149" i="4"/>
  <c r="CX21" i="4"/>
  <c r="DR21" i="4"/>
  <c r="DT113" i="4"/>
  <c r="DR5" i="4"/>
  <c r="DT97" i="4"/>
  <c r="DS158" i="4"/>
  <c r="DS159" i="4"/>
  <c r="DS160" i="4"/>
  <c r="CS175" i="4"/>
  <c r="CS159" i="4"/>
  <c r="CS143" i="4"/>
  <c r="CS127" i="4"/>
  <c r="CS111" i="4"/>
  <c r="CS95" i="4"/>
  <c r="CS79" i="4"/>
  <c r="CS63" i="4"/>
  <c r="CS47" i="4"/>
  <c r="CS31" i="4"/>
  <c r="CS15" i="4"/>
  <c r="CT174" i="4"/>
  <c r="CT158" i="4"/>
  <c r="CT140" i="4"/>
  <c r="CT122" i="4"/>
  <c r="CT104" i="4"/>
  <c r="CT84" i="4"/>
  <c r="CT62" i="4"/>
  <c r="CT36" i="4"/>
  <c r="CT6" i="4"/>
  <c r="CU150" i="4"/>
  <c r="CU122" i="4"/>
  <c r="CU90" i="4"/>
  <c r="CU54" i="4"/>
  <c r="CU19" i="4"/>
  <c r="CZ112" i="4"/>
  <c r="CZ48" i="4"/>
  <c r="CY158" i="4"/>
  <c r="CY94" i="4"/>
  <c r="CY30" i="4"/>
  <c r="CX140" i="4"/>
  <c r="CX76" i="4"/>
  <c r="CX12" i="4"/>
  <c r="DS163" i="4"/>
  <c r="DT81" i="4"/>
  <c r="DR44" i="4"/>
  <c r="DR45" i="4"/>
  <c r="CZ29" i="4"/>
  <c r="CZ30" i="4"/>
  <c r="CZ31" i="4"/>
  <c r="CZ33" i="4"/>
  <c r="CZ34" i="4"/>
  <c r="CZ35" i="4"/>
  <c r="CZ24" i="4"/>
  <c r="CZ27" i="4"/>
  <c r="CZ28" i="4"/>
  <c r="DT44" i="4"/>
  <c r="DT45" i="4"/>
  <c r="DR47" i="4"/>
  <c r="DR48" i="4"/>
  <c r="DS65" i="4"/>
  <c r="DS66" i="4"/>
  <c r="DS68" i="4"/>
  <c r="CZ77" i="4"/>
  <c r="CZ78" i="4"/>
  <c r="CZ79" i="4"/>
  <c r="CZ72" i="4"/>
  <c r="CZ75" i="4"/>
  <c r="CZ76" i="4"/>
  <c r="CX89" i="4"/>
  <c r="CX90" i="4"/>
  <c r="CX91" i="4"/>
  <c r="CX84" i="4"/>
  <c r="CX87" i="4"/>
  <c r="CX88" i="4"/>
  <c r="DT103" i="4"/>
  <c r="DT104" i="4"/>
  <c r="DR107" i="4"/>
  <c r="DR108" i="4"/>
  <c r="DR109" i="4"/>
  <c r="DR110" i="4"/>
  <c r="DR111" i="4"/>
  <c r="DR112" i="4"/>
  <c r="DR113" i="4"/>
  <c r="DR114" i="4"/>
  <c r="DR115" i="4"/>
  <c r="DS137" i="4"/>
  <c r="DS138" i="4"/>
  <c r="DS139" i="4"/>
  <c r="DS140" i="4"/>
  <c r="DS141" i="4"/>
  <c r="DS142" i="4"/>
  <c r="DS143" i="4"/>
  <c r="DS144" i="4"/>
  <c r="DS145" i="4"/>
  <c r="DS146" i="4"/>
  <c r="DS148" i="4"/>
  <c r="DS149" i="4"/>
  <c r="DT158" i="4"/>
  <c r="DT159" i="4"/>
  <c r="DT160" i="4"/>
  <c r="CS174" i="4"/>
  <c r="CS158" i="4"/>
  <c r="CS142" i="4"/>
  <c r="CS126" i="4"/>
  <c r="CS110" i="4"/>
  <c r="CS94" i="4"/>
  <c r="CS78" i="4"/>
  <c r="CS62" i="4"/>
  <c r="CS46" i="4"/>
  <c r="CS30" i="4"/>
  <c r="CT173" i="4"/>
  <c r="CT157" i="4"/>
  <c r="CT139" i="4"/>
  <c r="CT121" i="4"/>
  <c r="CT103" i="4"/>
  <c r="CT83" i="4"/>
  <c r="CT61" i="4"/>
  <c r="CT34" i="4"/>
  <c r="CT5" i="4"/>
  <c r="CU148" i="4"/>
  <c r="CU118" i="4"/>
  <c r="CU86" i="4"/>
  <c r="CU52" i="4"/>
  <c r="CU17" i="4"/>
  <c r="CZ170" i="4"/>
  <c r="CZ42" i="4"/>
  <c r="CY88" i="4"/>
  <c r="CY24" i="4"/>
  <c r="CX134" i="4"/>
  <c r="CX6" i="4"/>
  <c r="DS147" i="4"/>
  <c r="DT6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<sst xmlns="http://schemas.openxmlformats.org/spreadsheetml/2006/main" count="15633" uniqueCount="1330">
  <si>
    <t>NO. IMP. / EXP. (NOMBRE)</t>
  </si>
  <si>
    <t>REF.A.A.</t>
  </si>
  <si>
    <t>PATENTE</t>
  </si>
  <si>
    <t>PEDIMENTO</t>
  </si>
  <si>
    <t>PEDIMENTO ORIG. (RECT.)</t>
  </si>
  <si>
    <t>T.O</t>
  </si>
  <si>
    <t>CLAVE PEDIMENTO</t>
  </si>
  <si>
    <t>Tasa Partida IVA</t>
  </si>
  <si>
    <t>Importe Partida IVA</t>
  </si>
  <si>
    <t>Tasa Partida CC</t>
  </si>
  <si>
    <t>Importe Partida CC</t>
  </si>
  <si>
    <t>Tasa Partida IEPS</t>
  </si>
  <si>
    <t>Importe Partida IEPS</t>
  </si>
  <si>
    <t>Tasa Partida IGI/IGE</t>
  </si>
  <si>
    <t>Importe Partida IGI/IGE</t>
  </si>
  <si>
    <t>TIPO CAMBIO</t>
  </si>
  <si>
    <t>PESO BRUTO</t>
  </si>
  <si>
    <t>ADUANA DESPACHO</t>
  </si>
  <si>
    <t>NO. DE CONTENEDOR</t>
  </si>
  <si>
    <t>BULTOS ARRIBO</t>
  </si>
  <si>
    <t>Valor Comercial MXP</t>
  </si>
  <si>
    <t>TOTAL VALOR ADUANA</t>
  </si>
  <si>
    <t>Seguros</t>
  </si>
  <si>
    <t>Fletes</t>
  </si>
  <si>
    <t>EMBALAJES</t>
  </si>
  <si>
    <t>OTROS INC.</t>
  </si>
  <si>
    <t>MERCANCÍA (PED.)</t>
  </si>
  <si>
    <t>EJE UNIDAD DE NEGOCIO</t>
  </si>
  <si>
    <t>VALOR ADUANA (P. PART.)</t>
  </si>
  <si>
    <t>PRECIO UNITARIO</t>
  </si>
  <si>
    <t>Tasas P/Pedimento</t>
  </si>
  <si>
    <t>TASAS P/PARTIDA</t>
  </si>
  <si>
    <t>IGI / IGE</t>
  </si>
  <si>
    <t>REC</t>
  </si>
  <si>
    <t>IVA PREV</t>
  </si>
  <si>
    <t>DTA</t>
  </si>
  <si>
    <t>Importe DTA FP2</t>
  </si>
  <si>
    <t>IVA</t>
  </si>
  <si>
    <t>PREV</t>
  </si>
  <si>
    <t>IMPUESTOS</t>
  </si>
  <si>
    <t>Cuenta Origen</t>
  </si>
  <si>
    <t>PROVEEDOR / COMPRADOR</t>
  </si>
  <si>
    <t>NO(S) FACTURA(S)</t>
  </si>
  <si>
    <t>INCOTERM</t>
  </si>
  <si>
    <t>MONEDA</t>
  </si>
  <si>
    <t>NO. GUÍA (MASTER)</t>
  </si>
  <si>
    <t>NO. GUÍA HOUSE</t>
  </si>
  <si>
    <t>Temperatura</t>
  </si>
  <si>
    <t>FRACCION(ES)</t>
  </si>
  <si>
    <t>NICO</t>
  </si>
  <si>
    <t>Cantidad Factura</t>
  </si>
  <si>
    <t>UMC (CANTIDAD)</t>
  </si>
  <si>
    <t>Descripcion UMC</t>
  </si>
  <si>
    <t>CÓDIGO PRODUCTO</t>
  </si>
  <si>
    <t>PAIS O/D</t>
  </si>
  <si>
    <t>PAIS V/C</t>
  </si>
  <si>
    <t>FECHA ENTRADA</t>
  </si>
  <si>
    <t>FECHA PAGO</t>
  </si>
  <si>
    <t>FECHA DE CRUCE</t>
  </si>
  <si>
    <t>Resultado Selección</t>
  </si>
  <si>
    <t>MOTIVO RETRASO / OTROS</t>
  </si>
  <si>
    <t>NO. PERMISOS POR PARTIDA</t>
  </si>
  <si>
    <t>PERMISOS POR PARTIDA</t>
  </si>
  <si>
    <t>OBSERVACIONES ARRIBO</t>
  </si>
  <si>
    <t>ObservacionesPedimento</t>
  </si>
  <si>
    <t>NO. DE COVE</t>
  </si>
  <si>
    <t>FOLIO</t>
  </si>
  <si>
    <t>073 ALMACENAJE, MANEJO Y CUSTODIA (P.P.)</t>
  </si>
  <si>
    <t>110 MANIOBRAS (P.P.)</t>
  </si>
  <si>
    <t>077 DESCONSOLIDACION (P.P.)</t>
  </si>
  <si>
    <t xml:space="preserve"> 106 SERVICIO EXTRAORDIONARIO (P.P.)</t>
  </si>
  <si>
    <t xml:space="preserve"> 033 CUENTA AMERICANA (P.P.)</t>
  </si>
  <si>
    <t xml:space="preserve"> 133 RECONOCIMIENTO ADUANERO (P.P.)</t>
  </si>
  <si>
    <t>034 MONTACARGAS (P.P.)</t>
  </si>
  <si>
    <t>008 HIELO SECO (P.P.)</t>
  </si>
  <si>
    <t>117 TRAMITE SAGARPA (P.P.)</t>
  </si>
  <si>
    <t>012 PAGO DE DERECHOS (P.P.)</t>
  </si>
  <si>
    <t xml:space="preserve"> 087 OTROS GASTOS (P.P.)</t>
  </si>
  <si>
    <t xml:space="preserve"> 136 SERVICIO DE CUSTODIA (P.P.)</t>
  </si>
  <si>
    <t>OTROS GASTOS</t>
  </si>
  <si>
    <t>DESCARGAS</t>
  </si>
  <si>
    <t>DEMORAS</t>
  </si>
  <si>
    <t>HONORARIOS</t>
  </si>
  <si>
    <t>I.V.A.</t>
  </si>
  <si>
    <t>SALDO</t>
  </si>
  <si>
    <t>EstatusCuentaGastos</t>
  </si>
  <si>
    <t>Monto Cuenta de Gastos</t>
  </si>
  <si>
    <t>Anticipos o Pagos Registrados</t>
  </si>
  <si>
    <t>Ejecutivo</t>
  </si>
  <si>
    <t>Ejecutivo_ABC</t>
  </si>
  <si>
    <t>INTERVET MEXICO SA DE CV</t>
  </si>
  <si>
    <t>VER-25-1250</t>
  </si>
  <si>
    <t>Importación</t>
  </si>
  <si>
    <t>A1</t>
  </si>
  <si>
    <t xml:space="preserve"> HLBU6070355</t>
  </si>
  <si>
    <t xml:space="preserve">1 CONTENEDOR DE 40' RH </t>
  </si>
  <si>
    <t>ZILMAX (PROMOTOR DEL RENDIMIENTO)</t>
  </si>
  <si>
    <t>Cliente</t>
  </si>
  <si>
    <t>INTERVET INTERNATIONAL BV</t>
  </si>
  <si>
    <t>CIP</t>
  </si>
  <si>
    <t>MXP</t>
  </si>
  <si>
    <t>HLCULE1251059620</t>
  </si>
  <si>
    <t>TEC</t>
  </si>
  <si>
    <t>PIEZA</t>
  </si>
  <si>
    <t>FRA</t>
  </si>
  <si>
    <t>ZYA</t>
  </si>
  <si>
    <t>DESADUANAMIENTO LIBRE</t>
  </si>
  <si>
    <t>FALTA RRNA</t>
  </si>
  <si>
    <t xml:space="preserve"> A1</t>
  </si>
  <si>
    <t>DE CONFORMIDAD CON EL ART. 36-</t>
  </si>
  <si>
    <t>COVE267WBI7G5</t>
  </si>
  <si>
    <t>PAGADO</t>
  </si>
  <si>
    <t>ZULEIMA PEREZ RUIZ</t>
  </si>
  <si>
    <t>VER-25-1248</t>
  </si>
  <si>
    <t xml:space="preserve"> CAAU4072651</t>
  </si>
  <si>
    <t>CEFA SAFE (MEDICAMENTO DOSIFICADO DE USO VETERINARIO)</t>
  </si>
  <si>
    <t>HLCUANR251131095</t>
  </si>
  <si>
    <t>NINGUNO</t>
  </si>
  <si>
    <t xml:space="preserve"> 43064022026004190, 4306402202</t>
  </si>
  <si>
    <t xml:space="preserve"> A1, A1, A1, A1, A1</t>
  </si>
  <si>
    <t>COVE267WG87A1</t>
  </si>
  <si>
    <t>CAJA</t>
  </si>
  <si>
    <t>COVE267WH9PS7</t>
  </si>
  <si>
    <t>DILUVAC FORTE (MEDICAMENTO DOSIFICADO DE USO VETERINARIO)</t>
  </si>
  <si>
    <t>SOLVENS OCULO NASAL (MEDICAMENTO DOSIFICADO DE USO VETERINARIO)</t>
  </si>
  <si>
    <t>CELOSIL (MEDICAMENTO DOSIFICADO DE USO VETERINARIO)</t>
  </si>
  <si>
    <t>DEU</t>
  </si>
  <si>
    <t>COVE267WG87C4</t>
  </si>
  <si>
    <t>VER-26-0071</t>
  </si>
  <si>
    <t xml:space="preserve"> CAAU4061791</t>
  </si>
  <si>
    <t>1 CONTENEDOR DE 40' RH</t>
  </si>
  <si>
    <t>IMPLEMAX (MEDICAMENTO DOSIFICADO DE USO VETERINARIO)</t>
  </si>
  <si>
    <t>HLCUANR251210340</t>
  </si>
  <si>
    <t>AUT</t>
  </si>
  <si>
    <t>COVE267X7Z194</t>
  </si>
  <si>
    <t>BRAVECTO 1M 400 MG (MEDICAMENTO DOSIFICADO DE USO VETERINARIO)</t>
  </si>
  <si>
    <t>NUMELVI 31.6 MG 1X30TAB (MEDICAMENTO DOSIFICADO DE USO VETERINARIO)</t>
  </si>
  <si>
    <t>NUMELVI 21.6 MG 1X30TAB (MEDICAMENTO DOSIFICADO DE USO VETERINARIO)</t>
  </si>
  <si>
    <t>NUMELVI 4.8 MG 3X30TAB (MEDICAMENTO DOSIFICADO DE USO VETERINARIO)</t>
  </si>
  <si>
    <t>POSATEX (MEDICAMENTO DOSIFICADO DE USO VETERINARIO)</t>
  </si>
  <si>
    <t>COVE267X7Z1B6</t>
  </si>
  <si>
    <t>VER-26-0072</t>
  </si>
  <si>
    <t xml:space="preserve"> HLBU9625396, HLBU9749648</t>
  </si>
  <si>
    <t>2 CONTENEDORES DE 40' RH</t>
  </si>
  <si>
    <t>NOBILIS IB MA5 (VACUNA DE USO VETERINARIO)</t>
  </si>
  <si>
    <t>HLCURTM251230364</t>
  </si>
  <si>
    <t>REFRIGERADO</t>
  </si>
  <si>
    <t xml:space="preserve"> 43064022026015781, 4306402202</t>
  </si>
  <si>
    <t xml:space="preserve"> A1, A1, A1, A1, A1, A1, A1, A</t>
  </si>
  <si>
    <t>COVE267XBYFP5</t>
  </si>
  <si>
    <t>NOBILIS COR4+IB+ND+EDS (VACUNA DE USO VETERINARIO)</t>
  </si>
  <si>
    <t>COVE267X9IUV6</t>
  </si>
  <si>
    <t>NOBIVAC L4 (VACUNA DE USO VETERINARIO)</t>
  </si>
  <si>
    <t>COVE267XBHL73</t>
  </si>
  <si>
    <t>NOBILIS MG 6/85 (VACUNAS DE USO VETERINARIO)</t>
  </si>
  <si>
    <t>PORCILIS ERY+PARVO+LEPTO (VACUNA  DE USO VETERINARIO)</t>
  </si>
  <si>
    <t>NOBIVAC KC (VACUNA DE USO VETERINARIO)</t>
  </si>
  <si>
    <t>COVE267X9IV08</t>
  </si>
  <si>
    <t>NOBIVAC PUPPY DP PLUS (VACUNA DE USO VETERINARIO)</t>
  </si>
  <si>
    <t>NOBIVAC DH PARVO C (VACUNA DE USO VETERINARIO)</t>
  </si>
  <si>
    <t>MASTIJET FORT (MEDICAMENTO DOSIFICADO DE USO VETERINARIO)</t>
  </si>
  <si>
    <t>PORCILIS APP (VACUNA DE USO VETERINARIO)</t>
  </si>
  <si>
    <t>COVE267X9IV21</t>
  </si>
  <si>
    <t>PG 600 (MEDICAMENTO DOSIFICADO DE USO VETERINARIO)</t>
  </si>
  <si>
    <t>PORCILIS PORCOLI DF (VACUNA DE USO VETERINARIO)</t>
  </si>
  <si>
    <t>VER-25-1273-1</t>
  </si>
  <si>
    <t>S/M Y S/N, 1 PALLET</t>
  </si>
  <si>
    <t>ROTAVEC CORONA (VACUNA DE USO VETERINARIO)</t>
  </si>
  <si>
    <t xml:space="preserve">HLCURTM251142982 </t>
  </si>
  <si>
    <t>COVE267WZ8ML2</t>
  </si>
  <si>
    <t>VER-26-0104</t>
  </si>
  <si>
    <t xml:space="preserve"> HLBU9798112</t>
  </si>
  <si>
    <t>BRAVECTO PLUS FOR CAT 500MG 1X1DS  (MEDICAMENTO DOSIFICADO DE USO VETERINARIO)</t>
  </si>
  <si>
    <t>HLCULE1251204061</t>
  </si>
  <si>
    <t>COVE267XIIKY4</t>
  </si>
  <si>
    <t>BRAVECTO PLUS FOR CAT (MEDICAMENTO DOSIFICADO DE USO VETERINARIO)</t>
  </si>
  <si>
    <t>COVE267XIIKZ2</t>
  </si>
  <si>
    <t>VER-26-0124</t>
  </si>
  <si>
    <t xml:space="preserve"> HLBU6114474</t>
  </si>
  <si>
    <t>REVALOR H  (MEDICAMENTO DOSIFICADO DE USO VETERINARIO)</t>
  </si>
  <si>
    <t xml:space="preserve"> 10.00, 10.00</t>
  </si>
  <si>
    <t>HLCUANR251237871</t>
  </si>
  <si>
    <t>COVE267Y8AV74</t>
  </si>
  <si>
    <t>VER-26-0133</t>
  </si>
  <si>
    <t xml:space="preserve"> MRKU6162321</t>
  </si>
  <si>
    <t>1 CONTENEDOR DE 40' HC</t>
  </si>
  <si>
    <t>DILUREK POULTRY DILUENT 1X400 ML (MEDICAMENTO DE USO VETERINARIO)</t>
  </si>
  <si>
    <t xml:space="preserve"> 5.000, 16.00</t>
  </si>
  <si>
    <t>SECO</t>
  </si>
  <si>
    <t>BRA</t>
  </si>
  <si>
    <t>DE  CONFORMIDAD CON EL ART. 36</t>
  </si>
  <si>
    <t>COVE267Y8P6M1</t>
  </si>
  <si>
    <t>PEDIENTE DE PAGO</t>
  </si>
  <si>
    <t>VER-26-0132</t>
  </si>
  <si>
    <t>INTERVET MEXICO SA DE CV, 1 PA</t>
  </si>
  <si>
    <t>INTERRUPTOR ELECTRICO CON ACCESORIOS (PUSHBUTTON PPB30 S+G N.O CABLE_BL 3.5M)</t>
  </si>
  <si>
    <t xml:space="preserve"> 16.00, 16.00, 16.00</t>
  </si>
  <si>
    <t>ISR</t>
  </si>
  <si>
    <t>COVE2680X3T91</t>
  </si>
  <si>
    <t>APARATO DE CONTROL (CONNECTION BOX MC200 MILK RINSE SWITCH)</t>
  </si>
  <si>
    <t>ESTACION BASE CON ACCESORIOS (LD BASE UNIT BU500E)</t>
  </si>
  <si>
    <t>VER-26-0162</t>
  </si>
  <si>
    <t xml:space="preserve"> HLBU6120522</t>
  </si>
  <si>
    <t>MOMETAMAX ULTRA (MEDICAMENTO DOSIFICADO DE USO VETERINARIO)</t>
  </si>
  <si>
    <t>HLCUANR260115402</t>
  </si>
  <si>
    <t xml:space="preserve"> 43064022026059327, 4306402202</t>
  </si>
  <si>
    <t xml:space="preserve"> A1, A1</t>
  </si>
  <si>
    <t>COVE267Z26WG5</t>
  </si>
  <si>
    <t>RESFLOR GOLD (MEDICAMENTO DOSIFICADO DE USO VETERINARIO)</t>
  </si>
  <si>
    <t>VER-26-0178</t>
  </si>
  <si>
    <t xml:space="preserve"> HLBU9560171</t>
  </si>
  <si>
    <t>NOBIVAC RL (VACUNA  DE USO VETERINARIO)</t>
  </si>
  <si>
    <t>HLCURTM260111255</t>
  </si>
  <si>
    <t xml:space="preserve"> 43064022026051638, 4306402202</t>
  </si>
  <si>
    <t xml:space="preserve"> A1, A1, A1, A1, A1, A1, A1</t>
  </si>
  <si>
    <t>COVE267YNOLI2</t>
  </si>
  <si>
    <t>NOBIVAC DHPPI (VACUNA DE USO VETERINARIO)</t>
  </si>
  <si>
    <t>PORCILIS PCV M HYO (VACUNA DE USO VETERINARIO)</t>
  </si>
  <si>
    <t>NOBIVAC TRICAT TRIO (VACUNA DE USO VETERINARIO)</t>
  </si>
  <si>
    <t>COVE267YNOLN4</t>
  </si>
  <si>
    <t>NOBILIS MA5+CLONE 30 (VACUNA DE USO VETERINARIO)</t>
  </si>
  <si>
    <t>COVE267YNOLP2</t>
  </si>
  <si>
    <t>VER-26-0147</t>
  </si>
  <si>
    <t>NULL</t>
  </si>
  <si>
    <t xml:space="preserve"> MRSU3587310, TEMU8416772</t>
  </si>
  <si>
    <t>2 CONTENEDORES DE 40' HC</t>
  </si>
  <si>
    <t>TAKTIC EC 1X1L</t>
  </si>
  <si>
    <t xml:space="preserve"> 6.000, 6.000</t>
  </si>
  <si>
    <t>RECONOCIMIENTO ADUANERO</t>
  </si>
  <si>
    <t xml:space="preserve"> PFPA/430/01253/2026, PFPA/430</t>
  </si>
  <si>
    <t xml:space="preserve"> T9, T9</t>
  </si>
  <si>
    <t>COVE267YY86L8</t>
  </si>
  <si>
    <t>COVE267YY86O1</t>
  </si>
  <si>
    <t>VER-26-0197</t>
  </si>
  <si>
    <t xml:space="preserve"> HLBU9963135</t>
  </si>
  <si>
    <t>SALIX (MEDICAMENTO DOSIFICADO DE USO VETERINARIO)</t>
  </si>
  <si>
    <t>HLCUANR260133096</t>
  </si>
  <si>
    <t>COVE267Z0RX33</t>
  </si>
  <si>
    <t>SCALIBOR BANDA PROTECTORA  (DELTAMETRINA)</t>
  </si>
  <si>
    <t>COVE267Z0RX54</t>
  </si>
  <si>
    <t>VER-26-0198</t>
  </si>
  <si>
    <t xml:space="preserve"> MRSU7482615, TLLU5408347</t>
  </si>
  <si>
    <t>TAKTIC EC 1X200ML</t>
  </si>
  <si>
    <t xml:space="preserve"> PFPA/430/01499/2026, PFPA/430</t>
  </si>
  <si>
    <t>COVE267ZNMAK3</t>
  </si>
  <si>
    <t>COVE267ZNMAR6</t>
  </si>
  <si>
    <t>VER-26-0178-1</t>
  </si>
  <si>
    <t>S/M Y S/N, 1 PALLETS</t>
  </si>
  <si>
    <t>VER-25-1250-1</t>
  </si>
  <si>
    <t xml:space="preserve">S/M Y S/N, 1 PALLETS </t>
  </si>
  <si>
    <t>VER-26-0222</t>
  </si>
  <si>
    <t xml:space="preserve"> HLBU9641653</t>
  </si>
  <si>
    <t xml:space="preserve">1 CONTENEDOR 40' RH </t>
  </si>
  <si>
    <t xml:space="preserve"> 10.00, 10.00, 10.00, 10.00</t>
  </si>
  <si>
    <t>HLCUANR260153680</t>
  </si>
  <si>
    <t>COVE267Z5YFS6</t>
  </si>
  <si>
    <t>BRAVECTO 500 MG (MEDICAMENTO DOSIFICADO DE USO VETERINARIO)</t>
  </si>
  <si>
    <t>VER-26-0242</t>
  </si>
  <si>
    <t xml:space="preserve"> HLBU9548073</t>
  </si>
  <si>
    <t>HLCURTM260162366</t>
  </si>
  <si>
    <t xml:space="preserve"> 43064022026068262, 4306402202</t>
  </si>
  <si>
    <t>COVE267ZFNYB6</t>
  </si>
  <si>
    <t>EQUILIS TE  (VACUNAS DE USO VETERINARIO)</t>
  </si>
  <si>
    <t>COVE267ZFNYF5</t>
  </si>
  <si>
    <t>PORCILIS M HYO ID ONCE (VACUNAS DE USO VETERINARIO)</t>
  </si>
  <si>
    <t>PORCILIS PCV ID (VACUNA DE USO VETERINARIO)</t>
  </si>
  <si>
    <t>PORCILIS AR-T DF (VACUNA DE USO VETERINARIO)</t>
  </si>
  <si>
    <t>PORCILIS COLICLOS (VACUNA DE USO VETERINARIO)</t>
  </si>
  <si>
    <t>COVE267ZFNYH2</t>
  </si>
  <si>
    <t>COVE267ZFNYI1</t>
  </si>
  <si>
    <t>PORCILIS LAWSONIA ID (VACUNA  DE USO VETERINARIO)</t>
  </si>
  <si>
    <t>VER-26-0147-1</t>
  </si>
  <si>
    <t xml:space="preserve"> MRSU4452957</t>
  </si>
  <si>
    <t xml:space="preserve"> PFPA/430/01255/2026</t>
  </si>
  <si>
    <t xml:space="preserve"> T9</t>
  </si>
  <si>
    <t>COVE267YYH6A2</t>
  </si>
  <si>
    <t>26-001222</t>
  </si>
  <si>
    <t>1 BULTOS</t>
  </si>
  <si>
    <t>ESTACION BASE (CONTROLLER SENSEHUB US)</t>
  </si>
  <si>
    <t xml:space="preserve"> 16.00, 16.00</t>
  </si>
  <si>
    <t>INTERVET INTERNATIONAL B.V.</t>
  </si>
  <si>
    <t>057-02191140</t>
  </si>
  <si>
    <t>PROCEDENCIA: ISRAEL  FACTURA C</t>
  </si>
  <si>
    <t>COVE267ZLBAN6</t>
  </si>
  <si>
    <t>DANIEL ULISES  MORALES  REYES</t>
  </si>
  <si>
    <t>KAREN MARTINEZ</t>
  </si>
  <si>
    <t>PARTES PARA APARATO DE CONTROL (PANEL KIT FOR ED200N BLUE)</t>
  </si>
  <si>
    <t>VER-26-0203</t>
  </si>
  <si>
    <t xml:space="preserve"> MRSU0675016</t>
  </si>
  <si>
    <t>1 CONTENEDOR DE 20' DC</t>
  </si>
  <si>
    <t>ENDAL PLUS (MEDICAMENTO DOSIFICADO DE USO VETERINARIO)</t>
  </si>
  <si>
    <t>COVE267ZNUM71</t>
  </si>
  <si>
    <t>PANACUR SU 10% (MEDICAMENTO DOSIFICADO DE USO VETERINARIO)</t>
  </si>
  <si>
    <t>VER-26-0242-1</t>
  </si>
  <si>
    <t>S/M Y S/N, 2 PALLETS</t>
  </si>
  <si>
    <t>PORCILIS PCV M HYO ID (VACUNA DE USO VETERINARIO)</t>
  </si>
  <si>
    <t xml:space="preserve"> 43064022026077710, 4306402202</t>
  </si>
  <si>
    <t xml:space="preserve"> A1, A1, A1</t>
  </si>
  <si>
    <t>COVE267ZV8VI7</t>
  </si>
  <si>
    <t>ERICK CASTILLO VALLEJO</t>
  </si>
  <si>
    <t>COVE267ZV8VJ6</t>
  </si>
  <si>
    <t>VER-26-0309</t>
  </si>
  <si>
    <t xml:space="preserve"> UACU4761664</t>
  </si>
  <si>
    <t>HLCULE1260122307</t>
  </si>
  <si>
    <t>COVE2680KS5Y7</t>
  </si>
  <si>
    <t>VER-26-0219</t>
  </si>
  <si>
    <t xml:space="preserve"> HLBU6288481</t>
  </si>
  <si>
    <t>CIF</t>
  </si>
  <si>
    <t>HLCUANR260173197</t>
  </si>
  <si>
    <t>COVE267ZWRZQ8</t>
  </si>
  <si>
    <t>COVE267ZZCUW5</t>
  </si>
  <si>
    <t>COVE267ZWRZX2</t>
  </si>
  <si>
    <t>VER-26-0265</t>
  </si>
  <si>
    <t xml:space="preserve"> HLBU9355855</t>
  </si>
  <si>
    <t>HLCUHAM260250700</t>
  </si>
  <si>
    <t>COVE267ZUIMC7</t>
  </si>
  <si>
    <t>BRAVECTO 1M TRIPLE 50MG  (MEDICAMENTO DOSIFICADO DE USO VETERINARIO)</t>
  </si>
  <si>
    <t>VER-26-0266</t>
  </si>
  <si>
    <t xml:space="preserve"> HLBU9404456</t>
  </si>
  <si>
    <t>BRAVECTO 1M TRIPLE 200MG  (MEDICAMENTO DOSIFICADO DE USO VETERINARIO)</t>
  </si>
  <si>
    <t>HLCUHAM260250722</t>
  </si>
  <si>
    <t>COVE267ZV1994</t>
  </si>
  <si>
    <t>VER-26-0308</t>
  </si>
  <si>
    <t xml:space="preserve"> HLBU9764133</t>
  </si>
  <si>
    <t>BRAVECTO 112.5 MG (MEDICAMENTO DOSIFICADO DE USO VETERINARIO)</t>
  </si>
  <si>
    <t>HLCUHAM260271930</t>
  </si>
  <si>
    <t>COVE267ZVM4R3</t>
  </si>
  <si>
    <t>BRAVECTO 1400 MG (MEDICAMENTO DOSIFICADO DE USO VETERINARIO)</t>
  </si>
  <si>
    <t>BRAVECTO 1M 200MG (MEDICAMENTO DOSIFICADO DE USO VETERINARIO)</t>
  </si>
  <si>
    <t>VER-26-0300</t>
  </si>
  <si>
    <t xml:space="preserve"> HLBU6226854</t>
  </si>
  <si>
    <t>NOBILIS IB 4-91  (VACUNA DE USO VETERINARIO)</t>
  </si>
  <si>
    <t>HLCURTM260238200</t>
  </si>
  <si>
    <t>FALTA IMPUESTOS</t>
  </si>
  <si>
    <t xml:space="preserve"> 43064022026091940, 4306402202</t>
  </si>
  <si>
    <t>COVE2680K73J6</t>
  </si>
  <si>
    <t>COVE2680K73M3</t>
  </si>
  <si>
    <t>COVE2680M5XP5</t>
  </si>
  <si>
    <t>EQUILIS PREQUENZA-TE (VACUNA DE USO VETERINARIO)</t>
  </si>
  <si>
    <t>PRIME PAC PRRS (VACUNA DE USO VETERINARIO)</t>
  </si>
  <si>
    <t>COVE2680M5XT8</t>
  </si>
  <si>
    <t>VER-26-0197R</t>
  </si>
  <si>
    <t>R1</t>
  </si>
  <si>
    <t>VER-26-0242R</t>
  </si>
  <si>
    <t>COVE267ZUM312</t>
  </si>
  <si>
    <t>COVE267ZUM333</t>
  </si>
  <si>
    <t>VER-26-0242R2</t>
  </si>
  <si>
    <t>VER-26-0353</t>
  </si>
  <si>
    <t xml:space="preserve"> MSDU3019313</t>
  </si>
  <si>
    <t xml:space="preserve">1 CONTENEDOR DE 20' RF </t>
  </si>
  <si>
    <t>ENGEMYCIN LA (MEDICAMENTO DOSIFICADO DE USO VETERINARIO)</t>
  </si>
  <si>
    <t>MEDUK9666216</t>
  </si>
  <si>
    <t>ITA</t>
  </si>
  <si>
    <t xml:space="preserve"> 43064022026095938, 4306402202</t>
  </si>
  <si>
    <t>COVE2680UTA44</t>
  </si>
  <si>
    <t>COBACTAN 2.5% SU (MEDICAMENTO DOSIFICADO DE USO VETERINARIO)</t>
  </si>
  <si>
    <t>VER-26-0266-R1</t>
  </si>
  <si>
    <t>VER-26-0356</t>
  </si>
  <si>
    <t xml:space="preserve"> MRKU3100007</t>
  </si>
  <si>
    <t>TAKTIC EC (AMITRAZ)</t>
  </si>
  <si>
    <t xml:space="preserve"> 6.000, 10.00, 6.000, 16.00, 1</t>
  </si>
  <si>
    <t xml:space="preserve"> PFPA/430/01988/2026, PFPA/430</t>
  </si>
  <si>
    <t>COVE2680VA2H3</t>
  </si>
  <si>
    <t>PANACOXX 1X250ML (MEDICAMENTO DOSIFICADO DE USO VETERINARIO)</t>
  </si>
  <si>
    <t>BUTOX 2.5% (DELTAMETRINA)</t>
  </si>
  <si>
    <t>PANACOXX 1X1000ML (MEDICAMENTO DOSIFICADO DE USO VETERINARIO)</t>
  </si>
  <si>
    <t>VER-26-0358</t>
  </si>
  <si>
    <t xml:space="preserve"> HLBU9424956</t>
  </si>
  <si>
    <t>HLCURTM260288670</t>
  </si>
  <si>
    <t xml:space="preserve"> 43064022026104795, 4306402202</t>
  </si>
  <si>
    <t>COVE26818B3S4</t>
  </si>
  <si>
    <t>COVE26818B3T8</t>
  </si>
  <si>
    <t>NOBIVAC LEPTO  (VACUNA DE USO VETERINARIO)</t>
  </si>
  <si>
    <t>NOBILIS REO  (VACUNA DE USO VETERINARIO)</t>
  </si>
  <si>
    <t>VER-26-0330</t>
  </si>
  <si>
    <t xml:space="preserve"> HLBU9799870</t>
  </si>
  <si>
    <t>HALOCUR (MEDICAMENTO DOSIFICADO DE USO VETERINARIO)</t>
  </si>
  <si>
    <t>HLCUANR260249908</t>
  </si>
  <si>
    <t>COVE26816TXH2</t>
  </si>
  <si>
    <t>COVE26816TXI6</t>
  </si>
  <si>
    <t>COVE26816TXK6</t>
  </si>
  <si>
    <t>COVE26816TXM4</t>
  </si>
  <si>
    <t>NOBIVAC DILUENTE (MEDICAMENTO DOSIFICADO DE USO VETERINARIO)</t>
  </si>
  <si>
    <t>VER-26-0422</t>
  </si>
  <si>
    <t xml:space="preserve"> HLBU9843356</t>
  </si>
  <si>
    <t>1 CONTENEDOR DE 40'  RH</t>
  </si>
  <si>
    <t>BRAVECTO 250 MG (MEDICAMENTO DOSIFICADO DE USO VETERINARIO)</t>
  </si>
  <si>
    <t>HLCUHAM2602BKQA6</t>
  </si>
  <si>
    <t>FACTURAS COMERCIALES TRANSMITI</t>
  </si>
  <si>
    <t>COVE2681607R5</t>
  </si>
  <si>
    <t>VER-26-0423</t>
  </si>
  <si>
    <t xml:space="preserve"> HLBU9890321</t>
  </si>
  <si>
    <t>LACTOTROPINA INJ 500MG (MEDICAMENTO DOSIFICADO DE USO VETERINARIO)</t>
  </si>
  <si>
    <t>UNION AGENER INC</t>
  </si>
  <si>
    <t>USD</t>
  </si>
  <si>
    <t>HLCUBSC2602CQZI5</t>
  </si>
  <si>
    <t>USA</t>
  </si>
  <si>
    <t>OTRO</t>
  </si>
  <si>
    <t>COVE2681DGG84</t>
  </si>
  <si>
    <t>VER-26-0357</t>
  </si>
  <si>
    <t xml:space="preserve"> HLBU9780411</t>
  </si>
  <si>
    <t>BRAVECTO 1000 MG (MEDICAMENTO DOSIFICADO DE USO VETERINARIO)</t>
  </si>
  <si>
    <t>HLCUANR260264210</t>
  </si>
  <si>
    <t>COVE2681S0933</t>
  </si>
  <si>
    <t>MU-SE (MEDICAMENTO DOSIFICADO DE USO VETERINARIO)</t>
  </si>
  <si>
    <t>COVE2681S0947</t>
  </si>
  <si>
    <t>COVE2681S0963</t>
  </si>
  <si>
    <t>COVE2681S0974</t>
  </si>
  <si>
    <t>VER-26-0478</t>
  </si>
  <si>
    <t>MSD SALUD ANIMAL, 5 PALLETS</t>
  </si>
  <si>
    <t>UNIDAD DE REFRIGERACION (VETERINARY CHILLER UNIT)</t>
  </si>
  <si>
    <t xml:space="preserve"> 10.00, 16.00</t>
  </si>
  <si>
    <t>DENHOLM GOOD LOGISTICS LIMITED</t>
  </si>
  <si>
    <t>J176560</t>
  </si>
  <si>
    <t>ONEYLIVG04445400</t>
  </si>
  <si>
    <t>CHN</t>
  </si>
  <si>
    <t>GBR</t>
  </si>
  <si>
    <t>COVE2682EN402</t>
  </si>
  <si>
    <t>VER-26-0479</t>
  </si>
  <si>
    <t xml:space="preserve"> MRKU5064655</t>
  </si>
  <si>
    <t xml:space="preserve">DILUREK POULTRY DILUENT 1X400 ML </t>
  </si>
  <si>
    <t>COVE2682DV6P6</t>
  </si>
  <si>
    <t>VER-26-0481</t>
  </si>
  <si>
    <t xml:space="preserve"> HLBU9045905</t>
  </si>
  <si>
    <t>HLCULE1260252158</t>
  </si>
  <si>
    <t>COVE2682FB0T6</t>
  </si>
  <si>
    <t>VER-26-0482</t>
  </si>
  <si>
    <t xml:space="preserve"> HLBU6160000</t>
  </si>
  <si>
    <t>HLCUHAM260357434</t>
  </si>
  <si>
    <t>COVE2681ZPUQ4</t>
  </si>
  <si>
    <t>REVALOR-G (MEDICAMENTO DOSIFICADO DE USO VETERINARIO)</t>
  </si>
  <si>
    <t>PANACUR 4% 1 JUEGO CON 2 CAJAS CON 25 SOBRES DE 12.5 G C/U (MEDICAMENTO DOSIFICADO DE USO VETERINARIO)</t>
  </si>
  <si>
    <t>JUEGO</t>
  </si>
  <si>
    <t>VER-26-0483</t>
  </si>
  <si>
    <t xml:space="preserve"> UACU4784905</t>
  </si>
  <si>
    <t>BRAVECTO 1M 45MG (MEDICAMENTO DOSIFICADO DE USO VETERINARIO)</t>
  </si>
  <si>
    <t>HLCUHAM2602AZCL0</t>
  </si>
  <si>
    <t>COVE2682653E2</t>
  </si>
  <si>
    <t>RALGRO (MEDICAMENTO DOSIFICADO DE USO VETERINARIO)</t>
  </si>
  <si>
    <t>COVE2682653G6</t>
  </si>
  <si>
    <t>VER-26-0484</t>
  </si>
  <si>
    <t xml:space="preserve"> HLBU9337419</t>
  </si>
  <si>
    <t>HLCUHAM2603BCZP2</t>
  </si>
  <si>
    <t>COVE2681ZZW35</t>
  </si>
  <si>
    <t>VER-26-0506</t>
  </si>
  <si>
    <t xml:space="preserve"> MSKU5650827</t>
  </si>
  <si>
    <t xml:space="preserve">1 CONTENEDOR DE 20' DC </t>
  </si>
  <si>
    <t xml:space="preserve"> 6.000, 16.00</t>
  </si>
  <si>
    <t xml:space="preserve"> PFPA/430/02735/2026</t>
  </si>
  <si>
    <t>COVE2682DYSK2</t>
  </si>
  <si>
    <t>VER-26-0507</t>
  </si>
  <si>
    <t xml:space="preserve"> HLBU9661480</t>
  </si>
  <si>
    <t>COVE2682FRO33</t>
  </si>
  <si>
    <t>COVE2682FU7K3</t>
  </si>
  <si>
    <t>COVE2682FRO83</t>
  </si>
  <si>
    <t>COVE2682FROC7</t>
  </si>
  <si>
    <t>HLCURTM260353888</t>
  </si>
  <si>
    <t xml:space="preserve"> 43064022026130058, 4306402202</t>
  </si>
  <si>
    <t>COVE2682FROD1</t>
  </si>
  <si>
    <t>PORCILIS ERY (VACUNA DE USO VETERINARIO)</t>
  </si>
  <si>
    <t>COVE2682FROE6</t>
  </si>
  <si>
    <t>26-002651</t>
  </si>
  <si>
    <t>OTOMAX</t>
  </si>
  <si>
    <t>125-21466701</t>
  </si>
  <si>
    <t xml:space="preserve">MERCANCIA EN BUEN ESTADO </t>
  </si>
  <si>
    <t>FACTURA COMERCIAL 210372466 DE</t>
  </si>
  <si>
    <t>COVE2682GPM92</t>
  </si>
  <si>
    <t>YAIR JOSE  MIRANDA  ARANO</t>
  </si>
  <si>
    <t>Saldo2</t>
  </si>
  <si>
    <t>Sucursal</t>
  </si>
  <si>
    <t>Tipo Sucursal</t>
  </si>
  <si>
    <t>Referencia</t>
  </si>
  <si>
    <t>Aduana/Sección Despacho</t>
  </si>
  <si>
    <t xml:space="preserve"> Fecha de Pago</t>
  </si>
  <si>
    <t>MES</t>
  </si>
  <si>
    <t>Fecha Entrada/Presentación</t>
  </si>
  <si>
    <t>Fecha de Pago funcion</t>
  </si>
  <si>
    <t>Entrada de pago</t>
  </si>
  <si>
    <t>Etiqueta Entrada a Pago</t>
  </si>
  <si>
    <t>Fecha primera Selección</t>
  </si>
  <si>
    <t>Entrada a Cruce</t>
  </si>
  <si>
    <t>Entrada a cruce excel</t>
  </si>
  <si>
    <t>ETIQUETA ENTRADA A CRUCE excel</t>
  </si>
  <si>
    <t>KPI ENTRADA A CRUCE</t>
  </si>
  <si>
    <t>Etiqueta entrada a Cruce2</t>
  </si>
  <si>
    <t>FECHA ENTREGA DE  MERCANCIA</t>
  </si>
  <si>
    <t>Entrada a entrega excel</t>
  </si>
  <si>
    <t>ETIQUETA ENTRADA A ENTREGA excel</t>
  </si>
  <si>
    <t>KPI DE ENTRADA A ENTREGA</t>
  </si>
  <si>
    <t>Entrada a Entrega</t>
  </si>
  <si>
    <t>Etiqueta Entrada a Entrega</t>
  </si>
  <si>
    <t>Entrada a Factura</t>
  </si>
  <si>
    <t>Etiqueta Entrada a Factura</t>
  </si>
  <si>
    <t>Pago Pedimento a Cruce</t>
  </si>
  <si>
    <t>Etiqueta Pago Pedimento a Cruce</t>
  </si>
  <si>
    <t>Pago a Cruce</t>
  </si>
  <si>
    <t>CRUCE A ENTREGA</t>
  </si>
  <si>
    <t>ETIQUETA CRUCE A ENTREGA</t>
  </si>
  <si>
    <t>FECHA DE FACTURACIÓN</t>
  </si>
  <si>
    <t xml:space="preserve">ENTREGA A ENTREGA DE FACTURA </t>
  </si>
  <si>
    <t>ENTREGA A FACTURA</t>
  </si>
  <si>
    <t>FECHA RECIBE FACT</t>
  </si>
  <si>
    <t>FECHA TIMBRADO</t>
  </si>
  <si>
    <t>TIEMPO DE FACTURACION</t>
  </si>
  <si>
    <t>ETIQUETA ENTREGA A FACTURA</t>
  </si>
  <si>
    <t>CuentaG_FechaFactura</t>
  </si>
  <si>
    <t>Entrega de mercancia a factura excel</t>
  </si>
  <si>
    <t>ETIQUETA ENTREGA A FACTURA excel</t>
  </si>
  <si>
    <t>KPI entrega a factura</t>
  </si>
  <si>
    <t>VERIFICADOR</t>
  </si>
  <si>
    <t>Comparacion</t>
  </si>
  <si>
    <t>Clave Pedimento</t>
  </si>
  <si>
    <t>Guia Master</t>
  </si>
  <si>
    <t>Guia House</t>
  </si>
  <si>
    <t>Pedimento</t>
  </si>
  <si>
    <t>Tipo Operación Desc</t>
  </si>
  <si>
    <t>Mercancía</t>
  </si>
  <si>
    <t>TIPO MERCANCIA OK</t>
  </si>
  <si>
    <t>CLASIFICACIÓN DE MERCANCIA</t>
  </si>
  <si>
    <t>TIPO DE MERCANCIA</t>
  </si>
  <si>
    <t>Unidad de negocio</t>
  </si>
  <si>
    <t>MOTIVO DE RETRASO</t>
  </si>
  <si>
    <t>MOTIVO DE RETRASO OTRO</t>
  </si>
  <si>
    <t>MOTIVO DE RETRASO COMPLETO</t>
  </si>
  <si>
    <t>Ejecutivo_Tipo_Mercancia</t>
  </si>
  <si>
    <t>Primera Selección</t>
  </si>
  <si>
    <t>TRANSPORTISTA.</t>
  </si>
  <si>
    <t>UNIDAD RENTADA</t>
  </si>
  <si>
    <t>UNIDAD SUPER EXPRESS</t>
  </si>
  <si>
    <t>RFC_Importador</t>
  </si>
  <si>
    <t>OtrosIncPed</t>
  </si>
  <si>
    <t>Nico</t>
  </si>
  <si>
    <t>Mercancia_CovesSubModelo</t>
  </si>
  <si>
    <t>Días Credito</t>
  </si>
  <si>
    <t xml:space="preserve">Valor Moneda Factura </t>
  </si>
  <si>
    <t>UMT DESCRIPCION</t>
  </si>
  <si>
    <t>Motivo de Rectificación</t>
  </si>
  <si>
    <t>Nombre País Origen/Destino</t>
  </si>
  <si>
    <t>Nombre País Vendedor/Comprador</t>
  </si>
  <si>
    <t>Clave de País Origen/Destino</t>
  </si>
  <si>
    <t>Clave de País Vendedor/Comprador</t>
  </si>
  <si>
    <t>CIUDAD DE MÉXICO</t>
  </si>
  <si>
    <t>AÉREO AICM</t>
  </si>
  <si>
    <t>4 a 5 días</t>
  </si>
  <si>
    <t>6 a 10 días</t>
  </si>
  <si>
    <t>SIN DATO</t>
  </si>
  <si>
    <t>1 día o menos</t>
  </si>
  <si>
    <t>más de 16 días</t>
  </si>
  <si>
    <t>Es anterior</t>
  </si>
  <si>
    <t>SIN CLASIFICACION</t>
  </si>
  <si>
    <t>Cargas de Importación</t>
  </si>
  <si>
    <t>REFACCIONES</t>
  </si>
  <si>
    <t>Verde</t>
  </si>
  <si>
    <t>NISSAN 3</t>
  </si>
  <si>
    <t>IME850329RH2</t>
  </si>
  <si>
    <t>LOTE: IL20260101</t>
  </si>
  <si>
    <t>PIEZA,PIEZA</t>
  </si>
  <si>
    <t>ISRAEL (ESTADO DE)</t>
  </si>
  <si>
    <t>PAISES BAJOS (REINO DE LOS) (HOLANDA)</t>
  </si>
  <si>
    <t>11 a 15 días</t>
  </si>
  <si>
    <t>MATERIA PRIMA</t>
  </si>
  <si>
    <t>NISSAN 6</t>
  </si>
  <si>
    <t>LOTE: 6507301</t>
  </si>
  <si>
    <t>KILO</t>
  </si>
  <si>
    <t>ALEMANIA (REPUBLICA FEDERAL DE)</t>
  </si>
  <si>
    <t>CORRESPONSALIAS</t>
  </si>
  <si>
    <t>NUEVO LAREDO</t>
  </si>
  <si>
    <t>NLSI2515271S1</t>
  </si>
  <si>
    <t>16 o más días</t>
  </si>
  <si>
    <t>Sin Dato</t>
  </si>
  <si>
    <t>APARATO DE MONITOREO PARA USO VETERINARIO</t>
  </si>
  <si>
    <t>NLSI2600747</t>
  </si>
  <si>
    <t>APARATO DE MONITOREO</t>
  </si>
  <si>
    <t>NLSI2601987</t>
  </si>
  <si>
    <t>NLSI2603417</t>
  </si>
  <si>
    <t>NLSI2604579</t>
  </si>
  <si>
    <t>PRODUCTO TERMINADO</t>
  </si>
  <si>
    <t>VERACRUZ</t>
  </si>
  <si>
    <t>MARÍTIMO VERACRUZ</t>
  </si>
  <si>
    <t>2 a 3 días</t>
  </si>
  <si>
    <t xml:space="preserve"> SUPER EXPRESS DE CARGA FEDERAL S.A. DE C.V.</t>
  </si>
  <si>
    <t>IME-T006</t>
  </si>
  <si>
    <t>00,99</t>
  </si>
  <si>
    <t>LOTE: A217A05,LOTE: A219A02,LOTE: A219A01,LOTE: A217A03,LOTE: H107A01,LOTES: J550A01, J607A01,LOTE: 5677101,LOTE: A217A04</t>
  </si>
  <si>
    <t xml:space="preserve"> 952448.23, 2181141.30, 863532.00</t>
  </si>
  <si>
    <t>KILO,KILO,KILO,KILO,KILO,KILO,KILO,KILO</t>
  </si>
  <si>
    <t>ALEMANIA (REPUBLICA FEDERAL DE),PAISES BAJOS (REINO DE LOS) (HOLANDA)</t>
  </si>
  <si>
    <t>DEU,ZYA</t>
  </si>
  <si>
    <t>mas de 16 dias</t>
  </si>
  <si>
    <t>IME-T001</t>
  </si>
  <si>
    <t>LOTES: M084A01, M085A01,LOTES:  M086A01, M087A01,LOTES: M156A01, M157A01,,LOTES:  M158A01, M159A01,LOTES:  M160A01, M161A01,LOTES:  M162A01, M163A01,LOTES: M164A01, M165A01,LOTES: M180A01, M179A01,LOTES:  M178A01, M177A01</t>
  </si>
  <si>
    <t>FRANCIA (REPUBLICA FRANCESA)</t>
  </si>
  <si>
    <t xml:space="preserve"> SERVEX TRANSPORTES SA DE CV</t>
  </si>
  <si>
    <t xml:space="preserve">ECONOMICO 09 </t>
  </si>
  <si>
    <t>FALTA DE HRZ PARA INICIAR TRAMITE CON SADER</t>
  </si>
  <si>
    <t>ECONOMICO 09 CAMIONETA</t>
  </si>
  <si>
    <t>LOTE: 1R015B01</t>
  </si>
  <si>
    <t>IME-T005</t>
  </si>
  <si>
    <t>LOTE: A669T01,LOTE: 25E4006C01,LOTE: 25N4017A02,LOTE: 25N3005A08,LOTE: 25N1002A12,LOTE: 5732106,LOTE: 5660103</t>
  </si>
  <si>
    <t xml:space="preserve"> 5475856.92, 466125.84</t>
  </si>
  <si>
    <t>KILO,KILO,KILO,KILO,KILO,KILO,KILO</t>
  </si>
  <si>
    <t>ALEMANIA (REPUBLICA FEDERAL DE),AUSTRIA (REPUBLICA DE)</t>
  </si>
  <si>
    <t>AUT,DEU</t>
  </si>
  <si>
    <t>IME-T003</t>
  </si>
  <si>
    <t>LOTE: SA536AA38,LOTE: J654A01,LOTE: A449A02,LOTE: 2408467J03,LOTE: A372B02,LOTE: A179B01,LOTE: A264A02,LOTE: A218A01,LOTE: A197A01,LOTE: B277A01,LOTE: B274A01,LOTE: A414A01,LOTES: A462A03, A463A01</t>
  </si>
  <si>
    <t xml:space="preserve"> 167500.95, 3481449.92, 1040102.50, 9912953.44, 7554117.00</t>
  </si>
  <si>
    <t>KILO,KILO,KILO,KILO,KILO,KILO,KILO,KILO,KILO,KILO,KILO,KILO,KILO</t>
  </si>
  <si>
    <t xml:space="preserve"> MLH TRANSPORTE, S.A. DE C.V.</t>
  </si>
  <si>
    <t>TRACTOCAMION ECO 132</t>
  </si>
  <si>
    <t>LOTE: L45A03,LOTES: L43C04, L45C02</t>
  </si>
  <si>
    <t xml:space="preserve"> 2562084.60, 4542384.00</t>
  </si>
  <si>
    <t>KILO,KILO</t>
  </si>
  <si>
    <t>LOTE: B005P01,LOTE: B003P01</t>
  </si>
  <si>
    <t>AUSTRIA (REPUBLICA DE)</t>
  </si>
  <si>
    <t>ECONOMICO 143</t>
  </si>
  <si>
    <t>00,01,99</t>
  </si>
  <si>
    <t>LOTES: IL20250101, IL20260101,LOTE: IL20260101,LOTE: IL20250101</t>
  </si>
  <si>
    <t>KILO,KILO,PIEZA</t>
  </si>
  <si>
    <t>LOTES: 008/25, 009/25, 010/25</t>
  </si>
  <si>
    <t>BRASIL (REPUBLICA FEDERATIVA DE)</t>
  </si>
  <si>
    <t>Rojo</t>
  </si>
  <si>
    <t>ECONOMICO 09 RED</t>
  </si>
  <si>
    <t>LOTES: 040/25, 041/25,LOTES: 041/25, 042/25, 043/25</t>
  </si>
  <si>
    <t xml:space="preserve"> 1794721.26, 1819810.56</t>
  </si>
  <si>
    <t>ECONOMICO 174</t>
  </si>
  <si>
    <t>LOTES: 043/25, 044/25</t>
  </si>
  <si>
    <t>TRACTOCAMION ECO 174</t>
  </si>
  <si>
    <t>LOTE: 5741108,LOTE: 5762102</t>
  </si>
  <si>
    <t>LOTE: A312A01,LOTE: A848C01,LOTE: 1E072A01,LOTE: 1E067A01,LOTE: A267B01,LOTE: A488F01,LOTE: SCBA192A13</t>
  </si>
  <si>
    <t xml:space="preserve"> 14669835.04, 1461293.60, 268461.44</t>
  </si>
  <si>
    <t>CAMION ECO 021</t>
  </si>
  <si>
    <t>LOTE: 1R017B01</t>
  </si>
  <si>
    <t>TRACTOCAMION ECO 02 RED</t>
  </si>
  <si>
    <t>LOTE: A195A02,LOTE: N269A01</t>
  </si>
  <si>
    <t xml:space="preserve"> 272000.00, 802755.32</t>
  </si>
  <si>
    <t>ALEMANIA (REPUBLICA FEDERAL DE),FRANCIA (REPUBLICA FRANCESA)</t>
  </si>
  <si>
    <t>DEU,FRA</t>
  </si>
  <si>
    <t>TRACTOCAMION ECO 02RED</t>
  </si>
  <si>
    <t>TRACTOCAMION ECONOMICO 166</t>
  </si>
  <si>
    <t>LOTE: 045/25,LOTES: 045/25, 046/25</t>
  </si>
  <si>
    <t xml:space="preserve"> 1657908.00, 1572922.80</t>
  </si>
  <si>
    <t>TRACTOCAMION ECONOMICO 154</t>
  </si>
  <si>
    <t>LOTE: 014/25,LOTE: 082/25</t>
  </si>
  <si>
    <t>IME-T004</t>
  </si>
  <si>
    <t>LOTE: J150A03,LOTE: H095C01,LOTE: H115A02,LOTES: H117A01, H119A01</t>
  </si>
  <si>
    <t xml:space="preserve"> 737868.40, 421660.14, 2348832.00</t>
  </si>
  <si>
    <t>KILO,KILO,KILO,KILO</t>
  </si>
  <si>
    <t>ECONOMICO 132</t>
  </si>
  <si>
    <t>LOTE: B011P01,LOTE: B021P01,LOTE: B010P01,LOTE: 25M3058C01</t>
  </si>
  <si>
    <t>TRACTOCAMION ECO 107</t>
  </si>
  <si>
    <t>LOTE: SCBA207A11,LOTE: A053A01,LOTE: A224A01,LOTE: A198A02,LOTE: A489D01,LOTE: A061A01,LOTE: A247B01,LOTE: A436A02,LOTE: A142A01</t>
  </si>
  <si>
    <t xml:space="preserve"> 321379.32, 13019554.91, 1145829.89, 3079396.80</t>
  </si>
  <si>
    <t>KILO,KILO,KILO,KILO,KILO,KILO,KILO,KILO,KILO</t>
  </si>
  <si>
    <t xml:space="preserve">PENDIENTE CZB </t>
  </si>
  <si>
    <t>CAMION ECONOMICO 029</t>
  </si>
  <si>
    <t>LOTE: A019A01,LOTE: A019A02,LOTE: A020A01</t>
  </si>
  <si>
    <t xml:space="preserve"> 11491200.00, 24786720.00</t>
  </si>
  <si>
    <t>KILO,KILO,KILO</t>
  </si>
  <si>
    <t>LOTE: SCBA207A11,LOTE: A053A01,LOTE: A224A01,LOTE: A142A01,LOTE: A247B01,LOTE: A436A02,LOTE: A198A02,LOTE: A489D01,LOTE: A061A01</t>
  </si>
  <si>
    <t>LOTE: 25M3082C01,LOTE: 25F2003AC1</t>
  </si>
  <si>
    <t>LOTE: 25F4004AA2,LOTE: 26E4002C01</t>
  </si>
  <si>
    <t>LOTE: SA726AA17,LOTE: SA747AA17,LOTE: A313A01,LOTE: B294A01,LOTE: A061A02,LOTE: A333A02,LOTE: A610FB01,LOTE: 1E080A02,LOTE: B290A01</t>
  </si>
  <si>
    <t xml:space="preserve"> 368740.59, 12202490.96, 10460124.66, 9453419.98</t>
  </si>
  <si>
    <t>LOTE: 25M1014C05,LOTE: 25M5071C02,LOTE: 25E3005C01</t>
  </si>
  <si>
    <t>LOTES: M168A01, M169A01, M197A01,LOTES: M199A01, M200A01, M201A01,LOTES: M202A01, M203A01, M204A01,LOTES:  M205A01, M206A01, M207A01,LOTES: M208A01, M209A01, M210A01,LOTES:  M211A01, M212A01, M213A01</t>
  </si>
  <si>
    <t>LOTE: F292A02,LOTE: 5774102,LOTE: H114B01,LOTE: A221A01,LOTE: J786A01,LOTE: S491601,LOTE: H101A01</t>
  </si>
  <si>
    <t xml:space="preserve"> 2162410.07, 1803708.00, 1926255.36, 1072522.92</t>
  </si>
  <si>
    <t>ALEMANIA (REPUBLICA FEDERAL DE),FRANCIA (REPUBLICA FRANCESA),PAISES BAJOS (REINO DE LOS) (HOLANDA)</t>
  </si>
  <si>
    <t>DEU,FRA,ZYA</t>
  </si>
  <si>
    <t>TRACTOCAMION, ECO 138</t>
  </si>
  <si>
    <t>LOTE: 25EY041/1,LOTE: 25CC015/1</t>
  </si>
  <si>
    <t>ITALIA (REPUBLICA ITALIANA)</t>
  </si>
  <si>
    <t>LOTE: 001/26,LOTE: 001/26,LOTE: 002/26,LOTE: 001/26</t>
  </si>
  <si>
    <t>TRACTOCAMION ECO 04 RED</t>
  </si>
  <si>
    <t>LOTE: 25M4254C01,LOTE: 5793103,LOTE: H120A01,LOTE: H127A01</t>
  </si>
  <si>
    <t xml:space="preserve"> 4935456.00, 983496.00, 1527921.57, 1473391.36</t>
  </si>
  <si>
    <t>ALEMANIA (REPUBLICA FEDERAL DE),AUSTRIA (REPUBLICA DE),PAISES BAJOS (REINO DE LOS) (HOLANDA)</t>
  </si>
  <si>
    <t>AUT,DEU,ZYA</t>
  </si>
  <si>
    <t>TRACTOCAMION ECO 110</t>
  </si>
  <si>
    <t>LOTE: A217C01,LOTE: A849F01,LOTE: A225A01,LOTE: A180E01,LOTE: A145A01,LOTE: A227A01,LOTE: A061A03,LOTE: A061A04,LOTE: 1E073A03,LOTE: A737B01,LOTE: A270A02,LOTE: A032AJ02,LOTE: 1E073A02</t>
  </si>
  <si>
    <t xml:space="preserve"> 11626987.90, 30130695.36</t>
  </si>
  <si>
    <t>LOTE: 25M2046V02</t>
  </si>
  <si>
    <t>CONFIRMACION DE FACTURA Y APLICACION DE CERTIFICADO DE ORIGEN</t>
  </si>
  <si>
    <t>TRACTOCAMION ECO 04RED</t>
  </si>
  <si>
    <t>LOTE: F251242</t>
  </si>
  <si>
    <t>ESTADOS UNIDOS DE AMERICA</t>
  </si>
  <si>
    <t>REVALIDACION</t>
  </si>
  <si>
    <t>ECONOMICO 153</t>
  </si>
  <si>
    <t>CHINA (REPUBLICA POPULAR)</t>
  </si>
  <si>
    <t>REINO UNIDO DE LA GRAN BRETAÑA E IRLANDA DEL NORTE</t>
  </si>
  <si>
    <t>DILUREK POULTRY DILUENT 1X400 ML</t>
  </si>
  <si>
    <t>ECO 178</t>
  </si>
  <si>
    <t>LOTES: 013/25, 014/25</t>
  </si>
  <si>
    <t>ECONOMICO 135</t>
  </si>
  <si>
    <t>LOTE: M255A01, M256A01, M257A01, M258A01,LOTE: M259A01, M260A01, M261A01, M262A01,LOTE:  M263A01, M285A01, M286A01, M287A01,LOTE: M288A01, M289A01, M290A01, M291A01,LOTE: M292A01, M293A01</t>
  </si>
  <si>
    <t>LOTE: 25M4254C01,LOTE: A674T01,LOTE: 26P1001A01</t>
  </si>
  <si>
    <t>LOTE: 25E1003C06,LOTE: A075C01,LOTE: B031T01</t>
  </si>
  <si>
    <t xml:space="preserve"> 7496410.42, 7719310.00</t>
  </si>
  <si>
    <t>LOTE: 25N4019A05,LOTE: 26P1002A01,LOTE: B030T01,LOTE: B032P01</t>
  </si>
  <si>
    <t>LOTE: 005/2026</t>
  </si>
  <si>
    <t>LOTE: J654A03,LOTE: J853A01,LOTE: A495A01,LOTE: A494A01,LOTE: 1E076A02,LOTE: A854D01,LOTE: A061A05,LOTE: A463A02,LOTE: A548A01,LOTE: A270B01</t>
  </si>
  <si>
    <t xml:space="preserve"> 1513156.68, 2401836.00, 1768988.52, 1254448.52, 13288734.10, 2977644.74</t>
  </si>
  <si>
    <t>KILO,KILO,KILO,KILO,KILO,KILO,KILO,KILO,KILO,KILO</t>
  </si>
  <si>
    <t>VER-26-0544</t>
  </si>
  <si>
    <t>HLCUHAM2603BSRJ3</t>
  </si>
  <si>
    <t>BRAVECTO 1M TRIPLE 25MG  (MEDICAMENTO DOSIFICADO DE USO VETERINARIO)</t>
  </si>
  <si>
    <t>LOTE: 26F1001AA1,LOTE: 26E4008C01</t>
  </si>
  <si>
    <t>MANZANILLO</t>
  </si>
  <si>
    <t>MNSI262947</t>
  </si>
  <si>
    <t>21/04/2026</t>
  </si>
  <si>
    <t/>
  </si>
  <si>
    <t>JERINGAS DE PLASTICO CON AGUJAS</t>
  </si>
  <si>
    <t>Etiqueta entrada a Cruce</t>
  </si>
  <si>
    <t>Valor Aduana</t>
  </si>
  <si>
    <t>Importe DTA FP1</t>
  </si>
  <si>
    <t>Importe IVA 1</t>
  </si>
  <si>
    <t>IGI</t>
  </si>
  <si>
    <t>TotalCuentadeGastos</t>
  </si>
  <si>
    <t>Sin dato</t>
  </si>
  <si>
    <t>REVISION DE CLASIFICACION ARANCELARIA</t>
  </si>
  <si>
    <t>CuentaG_FechaFactura2</t>
  </si>
  <si>
    <t>CuentaG_FechaFactura3</t>
  </si>
  <si>
    <t>Clave Pedimento2</t>
  </si>
  <si>
    <t>Ejecutivo_ABC3</t>
  </si>
  <si>
    <t>Pedimento4</t>
  </si>
  <si>
    <t>Nico5</t>
  </si>
  <si>
    <t>Aduana/Sección Despacho2</t>
  </si>
  <si>
    <t xml:space="preserve"> Fecha de Pago3</t>
  </si>
  <si>
    <t>MES4</t>
  </si>
  <si>
    <t>Fecha Entrada/Presentación5</t>
  </si>
  <si>
    <t>Fecha de Pago funcion6</t>
  </si>
  <si>
    <t>Entrada de pago7</t>
  </si>
  <si>
    <t>Etiqueta Entrada a Pago8</t>
  </si>
  <si>
    <t>Fecha primera Selección9</t>
  </si>
  <si>
    <t>Entrada a Cruce10</t>
  </si>
  <si>
    <t>Pago Pedimento a Cruce11</t>
  </si>
  <si>
    <t>Etiqueta Pago Pedimento a Cruce12</t>
  </si>
  <si>
    <t>Pago a Cruce13</t>
  </si>
  <si>
    <t>CRUCE A ENTREGA14</t>
  </si>
  <si>
    <t>ETIQUETA CRUCE A ENTREGA15</t>
  </si>
  <si>
    <t>FECHA ENTREGA DE  MERCANCIA16</t>
  </si>
  <si>
    <t>Entrada a Entrega17</t>
  </si>
  <si>
    <t>Etiqueta Entrada a Entrega18</t>
  </si>
  <si>
    <t>Entrada a Factura19</t>
  </si>
  <si>
    <t>Etiqueta Entrada a Factura20</t>
  </si>
  <si>
    <t>FECHA DE FACTURACIÓN21</t>
  </si>
  <si>
    <t>ENTREGA A ENTREGA DE FACTURA 22</t>
  </si>
  <si>
    <t>ENTREGA A FACTURA23</t>
  </si>
  <si>
    <t>FECHA RECIBE FACT24</t>
  </si>
  <si>
    <t>FECHA TIMBRADO25</t>
  </si>
  <si>
    <t>CuentaG_FechaFactura26</t>
  </si>
  <si>
    <t>TIEMPO DE FACTURACION27</t>
  </si>
  <si>
    <t>ETIQUETA ENTREGA A FACTURA28</t>
  </si>
  <si>
    <t>VERIFICADOR29</t>
  </si>
  <si>
    <t>Comparacion30</t>
  </si>
  <si>
    <t>Clave Pedimento31</t>
  </si>
  <si>
    <t>Ejecutivo_ABC32</t>
  </si>
  <si>
    <t>Guia Master33</t>
  </si>
  <si>
    <t>Guia House34</t>
  </si>
  <si>
    <t>Pedimento35</t>
  </si>
  <si>
    <t>Tipo Operación Desc36</t>
  </si>
  <si>
    <t>Mercancía37</t>
  </si>
  <si>
    <t>TIPO MERCANCIA OK38</t>
  </si>
  <si>
    <t>CLASIFICACIÓN DE MERCANCIA39</t>
  </si>
  <si>
    <t>TIPO DE MERCANCIA40</t>
  </si>
  <si>
    <t>Cliente41</t>
  </si>
  <si>
    <t>Unidad de negocio42</t>
  </si>
  <si>
    <t>MOTIVO DE RETRASO43</t>
  </si>
  <si>
    <t>MOTIVO DE RETRASO OTRO44</t>
  </si>
  <si>
    <t>MOTIVO DE RETRASO COMPLETO45</t>
  </si>
  <si>
    <t>Ejecutivo_Tipo_Mercancia46</t>
  </si>
  <si>
    <t>Primera Selección47</t>
  </si>
  <si>
    <t>TRANSPORTISTA.48</t>
  </si>
  <si>
    <t>UNIDAD RENTADA49</t>
  </si>
  <si>
    <t>UNIDAD SUPER EXPRESS50</t>
  </si>
  <si>
    <t>RFC_Importador51</t>
  </si>
  <si>
    <t>OtrosIncPed52</t>
  </si>
  <si>
    <t>Nico53</t>
  </si>
  <si>
    <t>Mercancia_CovesSubModelo54</t>
  </si>
  <si>
    <t>Días Credito55</t>
  </si>
  <si>
    <t>Valor Moneda Factura 56</t>
  </si>
  <si>
    <t>UMT DESCRIPCION57</t>
  </si>
  <si>
    <t>Motivo de Rectificación58</t>
  </si>
  <si>
    <t>Nombre País Origen/Destino59</t>
  </si>
  <si>
    <t>Nombre País Vendedor/Comprador60</t>
  </si>
  <si>
    <t>Clave de País Origen/Destino61</t>
  </si>
  <si>
    <t>Clave de País Vendedor/Comprador62</t>
  </si>
  <si>
    <t>FECHA PAGO2</t>
  </si>
  <si>
    <t>FECHA DE CRUCE2</t>
  </si>
  <si>
    <t>FECHA ENTRADA2</t>
  </si>
  <si>
    <t>25-003081-2</t>
  </si>
  <si>
    <t>406-00598592</t>
  </si>
  <si>
    <t>V11358SS9VK</t>
  </si>
  <si>
    <t xml:space="preserve"> 279681.35</t>
  </si>
  <si>
    <t>CAMBIO DE FRACCIÓN ARANCELARIA</t>
  </si>
  <si>
    <t>444.00</t>
  </si>
  <si>
    <t>3662.00</t>
  </si>
  <si>
    <t xml:space="preserve"> 586894.97</t>
  </si>
  <si>
    <t>4695.00</t>
  </si>
  <si>
    <t>94655.00</t>
  </si>
  <si>
    <t>20944.87</t>
  </si>
  <si>
    <t xml:space="preserve"> 356770.94</t>
  </si>
  <si>
    <t>462.00</t>
  </si>
  <si>
    <t>30905.43</t>
  </si>
  <si>
    <t>26-003353</t>
  </si>
  <si>
    <t>139-35584286</t>
  </si>
  <si>
    <t>SAO0135313</t>
  </si>
  <si>
    <t>CAJA DE CONEXIONES ELECTRICAS CON ACCESORIOS</t>
  </si>
  <si>
    <t>NISSAN 10</t>
  </si>
  <si>
    <t>LOTE: IL20230101</t>
  </si>
  <si>
    <t xml:space="preserve"> 249786.00</t>
  </si>
  <si>
    <t>1998.00</t>
  </si>
  <si>
    <t>40285.00</t>
  </si>
  <si>
    <t>23812.55</t>
  </si>
  <si>
    <t>26-005812</t>
  </si>
  <si>
    <t>230-68451121</t>
  </si>
  <si>
    <t>NISSAN 8</t>
  </si>
  <si>
    <t>LOTE: IL20240110</t>
  </si>
  <si>
    <t xml:space="preserve"> 98564.00</t>
  </si>
  <si>
    <t>MALASIA</t>
  </si>
  <si>
    <t>MYS</t>
  </si>
  <si>
    <t>789.00</t>
  </si>
  <si>
    <t>15896.00</t>
  </si>
  <si>
    <t>16609.46</t>
  </si>
  <si>
    <t>MNAI260414</t>
  </si>
  <si>
    <t>JERINGAS</t>
  </si>
  <si>
    <t>147722.36</t>
  </si>
  <si>
    <t>55506.75</t>
  </si>
  <si>
    <t>MNSI263564</t>
  </si>
  <si>
    <t>JERINGAS DE PLASTICO</t>
  </si>
  <si>
    <t>62823.40</t>
  </si>
  <si>
    <t>MNSI264407</t>
  </si>
  <si>
    <t>80314.56</t>
  </si>
  <si>
    <t>109897.55</t>
  </si>
  <si>
    <t>102461.70</t>
  </si>
  <si>
    <t>103483.49</t>
  </si>
  <si>
    <t>57867.83</t>
  </si>
  <si>
    <t>52105.06</t>
  </si>
  <si>
    <t>NLSI2607262</t>
  </si>
  <si>
    <t>APARATO DE MONITOREO DE USO VETERINARIO</t>
  </si>
  <si>
    <t>63033.24</t>
  </si>
  <si>
    <t>NLSI2609044</t>
  </si>
  <si>
    <t>55658.31</t>
  </si>
  <si>
    <t>NLSI2610416</t>
  </si>
  <si>
    <t>93443.55</t>
  </si>
  <si>
    <t>LOTE: A217A05,LOTE: A219A02,LOTE: A219A01,LOTE: A217A04,LOTE: A217A03,LOTE: H107A01,LOTES: J550A01, J607A01,LOTE: 5677101</t>
  </si>
  <si>
    <t>139939.61</t>
  </si>
  <si>
    <t xml:space="preserve"> 12581182.40</t>
  </si>
  <si>
    <t>100649.00</t>
  </si>
  <si>
    <t>375823.69</t>
  </si>
  <si>
    <t xml:space="preserve"> 741815.00</t>
  </si>
  <si>
    <t>5935.00</t>
  </si>
  <si>
    <t>114307.79</t>
  </si>
  <si>
    <t xml:space="preserve"> 4939600.00</t>
  </si>
  <si>
    <t>94680.66</t>
  </si>
  <si>
    <t>27166.00</t>
  </si>
  <si>
    <t>339570.00</t>
  </si>
  <si>
    <t>130942.87</t>
  </si>
  <si>
    <t>350419.46</t>
  </si>
  <si>
    <t>196719.85</t>
  </si>
  <si>
    <t xml:space="preserve"> 11147126.72</t>
  </si>
  <si>
    <t>89177.00</t>
  </si>
  <si>
    <t>1114713.00</t>
  </si>
  <si>
    <t>135310.03</t>
  </si>
  <si>
    <t xml:space="preserve"> 114377.32</t>
  </si>
  <si>
    <t>915.00</t>
  </si>
  <si>
    <t>18446.00</t>
  </si>
  <si>
    <t>50747.92</t>
  </si>
  <si>
    <t xml:space="preserve"> 1235000.00</t>
  </si>
  <si>
    <t>9880.00</t>
  </si>
  <si>
    <t>209061.00</t>
  </si>
  <si>
    <t>61750.00</t>
  </si>
  <si>
    <t>87855.80</t>
  </si>
  <si>
    <t>28916.00</t>
  </si>
  <si>
    <t>315569.73</t>
  </si>
  <si>
    <t xml:space="preserve"> 1809774.84</t>
  </si>
  <si>
    <t>14478.00</t>
  </si>
  <si>
    <t>106834.03</t>
  </si>
  <si>
    <t xml:space="preserve"> 2368553.60</t>
  </si>
  <si>
    <t>230430.01</t>
  </si>
  <si>
    <t>218071.21</t>
  </si>
  <si>
    <t xml:space="preserve"> 5668364.80</t>
  </si>
  <si>
    <t>118950.16</t>
  </si>
  <si>
    <t>128478.00</t>
  </si>
  <si>
    <t>348588.11</t>
  </si>
  <si>
    <t>25847.00</t>
  </si>
  <si>
    <t>288531.45</t>
  </si>
  <si>
    <t xml:space="preserve"> 2517251.40</t>
  </si>
  <si>
    <t>20138.00</t>
  </si>
  <si>
    <t>251726.00</t>
  </si>
  <si>
    <t>108287.97</t>
  </si>
  <si>
    <t>110542.56</t>
  </si>
  <si>
    <t xml:space="preserve"> 17387126.42</t>
  </si>
  <si>
    <t>139097.00</t>
  </si>
  <si>
    <t>1738713.00</t>
  </si>
  <si>
    <t>157480.93</t>
  </si>
  <si>
    <t>250436.84</t>
  </si>
  <si>
    <t>138155.08</t>
  </si>
  <si>
    <t xml:space="preserve"> 7747845.50</t>
  </si>
  <si>
    <t>42576.00</t>
  </si>
  <si>
    <t>532202.00</t>
  </si>
  <si>
    <t>129344.57</t>
  </si>
  <si>
    <t xml:space="preserve"> 5465054.00</t>
  </si>
  <si>
    <t>102259.35</t>
  </si>
  <si>
    <t>LOTE: SA726AA17,LOTE: SA747AA17,LOTE: A313A01,LOTE: B294A01,LOTE: A061A02,LOTE: A333A02,LOTE: A610FB01,LOTE: B290A01,LOTE: 1E080A02</t>
  </si>
  <si>
    <t>218768.33</t>
  </si>
  <si>
    <t xml:space="preserve"> 10515563.20</t>
  </si>
  <si>
    <t>47881.00</t>
  </si>
  <si>
    <t>598513.00</t>
  </si>
  <si>
    <t>142313.69</t>
  </si>
  <si>
    <t xml:space="preserve"> 12690063.00</t>
  </si>
  <si>
    <t>101520.00</t>
  </si>
  <si>
    <t>218715.07</t>
  </si>
  <si>
    <t>168023.32</t>
  </si>
  <si>
    <t xml:space="preserve"> 1624557.60</t>
  </si>
  <si>
    <t>11651.00</t>
  </si>
  <si>
    <t>218461.00</t>
  </si>
  <si>
    <t>181118.11</t>
  </si>
  <si>
    <t xml:space="preserve"> 2189088.50</t>
  </si>
  <si>
    <t>17513.00</t>
  </si>
  <si>
    <t>179305.00</t>
  </si>
  <si>
    <t>26796.00</t>
  </si>
  <si>
    <t>142588.21</t>
  </si>
  <si>
    <t>39484.00</t>
  </si>
  <si>
    <t>493546.00</t>
  </si>
  <si>
    <t>173677.59</t>
  </si>
  <si>
    <t>LOTE: A217C01,LOTE: A849F01,LOTE: A225A01,LOTE: A180E01,LOTE: 1E073A02,LOTE: A145A01,LOTE: A227A01,LOTE: A061A03,LOTE: A061A04,LOTE: 1E073A03,LOTE: A737B01,LOTE: A270A02,LOTE: A032AJ02</t>
  </si>
  <si>
    <t>248801.02</t>
  </si>
  <si>
    <t xml:space="preserve"> 10052424.00</t>
  </si>
  <si>
    <t>80419.00</t>
  </si>
  <si>
    <t>1005242.00</t>
  </si>
  <si>
    <t>175411.10</t>
  </si>
  <si>
    <t xml:space="preserve"> 1360800.00</t>
  </si>
  <si>
    <t>246933.17</t>
  </si>
  <si>
    <t xml:space="preserve"> 27800.00</t>
  </si>
  <si>
    <t>3861.00</t>
  </si>
  <si>
    <t>85553.00</t>
  </si>
  <si>
    <t>48259.00</t>
  </si>
  <si>
    <t>82025.96</t>
  </si>
  <si>
    <t xml:space="preserve"> 928967.00</t>
  </si>
  <si>
    <t>7432.00</t>
  </si>
  <si>
    <t>157255.00</t>
  </si>
  <si>
    <t>46448.00</t>
  </si>
  <si>
    <t>91291.45</t>
  </si>
  <si>
    <t>245152.44</t>
  </si>
  <si>
    <t xml:space="preserve"> 11116743.74</t>
  </si>
  <si>
    <t>32601.00</t>
  </si>
  <si>
    <t>407518.00</t>
  </si>
  <si>
    <t>155013.37</t>
  </si>
  <si>
    <t>LOTE: 25E1003C06,LOTE: B031T01,LOTE: A075C01</t>
  </si>
  <si>
    <t>46567.00</t>
  </si>
  <si>
    <t>582093.00</t>
  </si>
  <si>
    <t>216973.64</t>
  </si>
  <si>
    <t xml:space="preserve"> 10797530.74</t>
  </si>
  <si>
    <t>60198.00</t>
  </si>
  <si>
    <t>752477.00</t>
  </si>
  <si>
    <t>157037.87</t>
  </si>
  <si>
    <t>VER-26-0505</t>
  </si>
  <si>
    <t>BUTOX 2.5% 1X100ML</t>
  </si>
  <si>
    <t>NOTIFICACIÓN DE EMBARQUE POSTERIOR AL ARRIBO</t>
  </si>
  <si>
    <t>ECONOMICO 112</t>
  </si>
  <si>
    <t>LOTE: 002/26,LOTE: 003/26,LOTE: 002/26,LOTE: 002/26,LOTE: 003/26</t>
  </si>
  <si>
    <t xml:space="preserve"> 6855361.60</t>
  </si>
  <si>
    <t>KILO,KILO,KILO,KILO,KILO</t>
  </si>
  <si>
    <t>54843.00</t>
  </si>
  <si>
    <t>839641.00</t>
  </si>
  <si>
    <t>772485.56</t>
  </si>
  <si>
    <t>VER-26-0505-1</t>
  </si>
  <si>
    <t>ECONOMICO 160</t>
  </si>
  <si>
    <t>LOTE: 009/26,LOTE: 003/26</t>
  </si>
  <si>
    <t xml:space="preserve"> 2808769.92</t>
  </si>
  <si>
    <t>22470.00</t>
  </si>
  <si>
    <t>137654.00</t>
  </si>
  <si>
    <t>249584.07</t>
  </si>
  <si>
    <t xml:space="preserve"> 1048831.20</t>
  </si>
  <si>
    <t>8391.00</t>
  </si>
  <si>
    <t>138283.46</t>
  </si>
  <si>
    <t>189833.75</t>
  </si>
  <si>
    <t>VER-26-0522</t>
  </si>
  <si>
    <t>HLCUANR260353877</t>
  </si>
  <si>
    <t>CEPRAVIN (MEDICAMENTO DOSIFICADO DE USO VETERINARIO)</t>
  </si>
  <si>
    <t xml:space="preserve">EN LA REVISION DOCUMENTAL OISA NOS RECHAZO LOS COAS CON FIRMA DEL REPRESENTANTE LEGAN DE CEPRAVINE Y FINADYNE, SOLICITANDO LOS ORIGINALES, DESPUES DE LA INSPECCIN FISICA CON SADER SE DETECTO QUE EL PRODUCTO FINADYNE NO LLEGO, SE CANCELO EL TRAMITE Y SE SUBIO UN TRAMITE NUEVO SOLO PARA EL PRODUCTO CEPRAVIN </t>
  </si>
  <si>
    <t>ECONOMICO 110</t>
  </si>
  <si>
    <t>LOTE: 6318,LOTE: IGV0000002,LOTE: F295A03,LOTE: 5817111</t>
  </si>
  <si>
    <t xml:space="preserve"> 678456.00, 70946.40, 1330078.50, 828132.48</t>
  </si>
  <si>
    <t>11370.00</t>
  </si>
  <si>
    <t>430322.24</t>
  </si>
  <si>
    <t xml:space="preserve"> 5259733.00</t>
  </si>
  <si>
    <t>153383.64</t>
  </si>
  <si>
    <t>VER-26-0579</t>
  </si>
  <si>
    <t>ONEYLIVG08777900</t>
  </si>
  <si>
    <t>DISPONIBILIDAD DE ESPACIO EN ALMACEN PARA HACER EL PREVIO Y LA UNIDAD QUE IBA A REALIZAR LA ENTREGA EL 12/05 TUVO UNA FALLA MECANCIA UY SE DECIDIO QUE POR EL HORARIO INICIARA RUTA EL 13/05</t>
  </si>
  <si>
    <t>ECONOMICO 121</t>
  </si>
  <si>
    <t>3891.00</t>
  </si>
  <si>
    <t>86221.00</t>
  </si>
  <si>
    <t>48635.00</t>
  </si>
  <si>
    <t>79911.64</t>
  </si>
  <si>
    <t>VER-26-0582</t>
  </si>
  <si>
    <t>BUTOX 2.5% 1X1L</t>
  </si>
  <si>
    <t>978AR2</t>
  </si>
  <si>
    <t>LOTE:006/26,LOTE:001/26,LOTE:001/26</t>
  </si>
  <si>
    <t xml:space="preserve"> 1402736.40</t>
  </si>
  <si>
    <t>11222.00</t>
  </si>
  <si>
    <t>197539.00</t>
  </si>
  <si>
    <t>19780.00</t>
  </si>
  <si>
    <t>152769.37</t>
  </si>
  <si>
    <t>VER-26-0583</t>
  </si>
  <si>
    <t>HLCUHAM2604AUEU9</t>
  </si>
  <si>
    <t>REVALOR H 2X10DS (MEDICAMENTO DOSIFICADO DE USO VETERINARIO)</t>
  </si>
  <si>
    <t>LOTE: B034T01,LOTE:B037T01,LOTE:B036T02,LOTE:26M4020V02,LOTE:26P1003A02</t>
  </si>
  <si>
    <t xml:space="preserve"> 15753545.80</t>
  </si>
  <si>
    <t>113509.00</t>
  </si>
  <si>
    <t>1418868.00</t>
  </si>
  <si>
    <t>136617.82</t>
  </si>
  <si>
    <t>VER-26-0583-R1</t>
  </si>
  <si>
    <t>VER-26-0584</t>
  </si>
  <si>
    <t>DILUENT DILUREK BAG 10X800ML</t>
  </si>
  <si>
    <t>LOTE:006/26, 007/26, 008/26</t>
  </si>
  <si>
    <t xml:space="preserve"> 934400.00</t>
  </si>
  <si>
    <t>7475.00</t>
  </si>
  <si>
    <t>156680.00</t>
  </si>
  <si>
    <t>37376.00</t>
  </si>
  <si>
    <t>81893.83</t>
  </si>
  <si>
    <t>VER-26-0585</t>
  </si>
  <si>
    <t>HLCULE1260421806</t>
  </si>
  <si>
    <t>FALTA DE OFICIO DE LA DGSA PARA SUBIR EL TRAMITE SADER</t>
  </si>
  <si>
    <t>LOTES: M354A01, M353A01, M352A01, M351A01,LOTES: M350A01, M349A01, M348A01, M347A01,LOTES: M346A01, M345A01, M344A01, M343A01,LOTES: M342A01, M341A01, M340A01, M339A01,LOTES: M310A01, M309A01</t>
  </si>
  <si>
    <t>279788.74</t>
  </si>
  <si>
    <t>VER-26-0586</t>
  </si>
  <si>
    <t>HLCULE1260366639</t>
  </si>
  <si>
    <t>LOTES: M271A01, M272A01, M273A01, M274A01,LOTES:M275A01, M276A01, M277A01, M278A01,LOTES:M279A01, M280A01, M281A01, M282A01,LOTES: M283A01, M284A01, M295A01,M296A01,LOTES:M297A01, M298A01</t>
  </si>
  <si>
    <t>307749.62</t>
  </si>
  <si>
    <t>VER-26-0587</t>
  </si>
  <si>
    <t>HLCULE1260366628</t>
  </si>
  <si>
    <t>LOTES: M198A01, M294A01, M299A01, M300A01,LOTES:M301A01, M302A01, M303A01, M304A01,LOTES: M330A01, M329A01, M328A01, M327A01,LOTES: M326A01, M325A01, M324A01, M323A01,LOTES: M322A01, M321A01</t>
  </si>
  <si>
    <t xml:space="preserve"> 12675962.93</t>
  </si>
  <si>
    <t>101408.00</t>
  </si>
  <si>
    <t>355469.64</t>
  </si>
  <si>
    <t>VER-26-0588</t>
  </si>
  <si>
    <t>HLCURTM260439634</t>
  </si>
  <si>
    <t>NOBIVAC L4 10X1DS 370 (VACUNA DE USO VETERINARIO)</t>
  </si>
  <si>
    <t>ECONOMICO 109</t>
  </si>
  <si>
    <t>LOTE: A466A01,LOTE: A856A01,LOTE: A437A01,LOTE: A066A05,LOTE:1E086A01,LOTE:A182D01,LOTE:A140A01,LOTE:A313A02,LOTE:A274A01,LOTE:A548A02</t>
  </si>
  <si>
    <t xml:space="preserve"> 8427525.50, 13162858.65, 252008.24</t>
  </si>
  <si>
    <t>210156.07</t>
  </si>
  <si>
    <t>VER-26-0590</t>
  </si>
  <si>
    <t>ECO 155</t>
  </si>
  <si>
    <t>LOTE: IL20260101,LOTES: IL20250101, IL20260101,LOTE: IL20260101</t>
  </si>
  <si>
    <t xml:space="preserve"> 492005.80</t>
  </si>
  <si>
    <t>3936.00</t>
  </si>
  <si>
    <t>79350.00</t>
  </si>
  <si>
    <t>57766.37</t>
  </si>
  <si>
    <t>VER-26-0591</t>
  </si>
  <si>
    <t>HLCULE1260421766</t>
  </si>
  <si>
    <t>LOTES:  M361A01, M362A01, M363A01, M364A01,LOTES: M365A01, M366A01, M367A01, M368A01,LOTES: M377A01, M378A01, M379A01, M380A01,LOTES:M381A01, M382A01, M383A01, M384A01,LOTES: M385A01, M386A01</t>
  </si>
  <si>
    <t>341674.28</t>
  </si>
  <si>
    <t>VER-26-0596</t>
  </si>
  <si>
    <t>HLCUHAM2604AUGB1</t>
  </si>
  <si>
    <t>LOTE: 26M4022V01</t>
  </si>
  <si>
    <t xml:space="preserve"> 8811845.40</t>
  </si>
  <si>
    <t>70495.00</t>
  </si>
  <si>
    <t>881184.00</t>
  </si>
  <si>
    <t>131768.89</t>
  </si>
  <si>
    <t>VER-26-0597</t>
  </si>
  <si>
    <t>HLCUHAM2604AUEV0</t>
  </si>
  <si>
    <t>BRAVECTO 1M 100MG (MEDICAMENTO DOSIFICADO DE USO VETERINARIO)</t>
  </si>
  <si>
    <t>LOTE: 26E2001C04</t>
  </si>
  <si>
    <t xml:space="preserve"> 3620505.50</t>
  </si>
  <si>
    <t>135157.43</t>
  </si>
  <si>
    <t>VER-26-0598</t>
  </si>
  <si>
    <t>HLCUANR260432584</t>
  </si>
  <si>
    <t>ECO 140</t>
  </si>
  <si>
    <t>LOTE:5805102,LOTE:5793104,LOTE: 6523104,LOTE: 6324,LOTE: 6092</t>
  </si>
  <si>
    <t xml:space="preserve"> 175680.00, 1317884.64, 540627.60, 339228.00, 525909.60</t>
  </si>
  <si>
    <t>516125.67</t>
  </si>
  <si>
    <t>VER-26-0653</t>
  </si>
  <si>
    <t>HLCULE1260422155</t>
  </si>
  <si>
    <t>LOTES:M305A01, M306A01, M307A01, M308A01,LOTES: M355A01, M356A01, M357A01, M358A01,LOTES:M359A01, M360A01, M369A01, M370A01,,LOTES: M371A01, M372A01, M373A01, M374A01,LOTES:M375A01, M376A01</t>
  </si>
  <si>
    <t>293135.03</t>
  </si>
  <si>
    <t>VER-26-0654</t>
  </si>
  <si>
    <t>HLCULE1260420222</t>
  </si>
  <si>
    <t>LOTES: M338A01, M337A01, M336A01, M335A01,LOTES: M334A01, M333A01, M332A01, M331A01,LOTES: M320A01, M319A01, M318A01, M317A01,LOTES:M316A01, M315A01, M314A01, M313A01,LOTES: M312A01, M311A01</t>
  </si>
  <si>
    <t>248903.08</t>
  </si>
  <si>
    <t>VER-26-0722</t>
  </si>
  <si>
    <t>HLCUANR260461810</t>
  </si>
  <si>
    <t>EL TRAMITE DOCUMENTAL TUVO REQUERIMIENTO</t>
  </si>
  <si>
    <t>LOTE: A220A04,LOTE: A224A02,LOTE: A224A03,LOTE: A224A01,LOTE: T071401,LOTE: E319A02</t>
  </si>
  <si>
    <t xml:space="preserve"> 349426.84, 1856990.60, 245176.32</t>
  </si>
  <si>
    <t>FRANCIA (REPUBLICA FRANCESA),PAISES BAJOS (REINO DE LOS) (HOLANDA)</t>
  </si>
  <si>
    <t>FRA,ZYA</t>
  </si>
  <si>
    <t>160570.10</t>
  </si>
  <si>
    <t>VER-26-0723</t>
  </si>
  <si>
    <t>HLCUANR260468228</t>
  </si>
  <si>
    <t>BRAVECTO 1M TRIPLE 400MG (MEDICAMENTO DOSIFICADO DE USO VETERINARIO)</t>
  </si>
  <si>
    <t>LOTE: 26F5001AJ1,LOTE: 26F6001AL1,LOTE: A183A02,LOTE: 6549102</t>
  </si>
  <si>
    <t xml:space="preserve"> 4260081.86, 4193280.00</t>
  </si>
  <si>
    <t>190774.14</t>
  </si>
  <si>
    <t>VER-26-0724</t>
  </si>
  <si>
    <t>HLCURTM260536561</t>
  </si>
  <si>
    <t>ECONOMICO 114</t>
  </si>
  <si>
    <t>LOTE: J853A05,LOTE: A611AE01,LOTE: A378A01,LOTE: A738A01,LOTE: A149A01,LOTE: A220B01,LOTE: A764A01,LOTE: A024A01,LOTE: A495C01,LOTE: A611AB01,LOTE: A208A02,LOTE: A063AJ01</t>
  </si>
  <si>
    <t xml:space="preserve"> 2321774.80, 5700381.40, 6006879.00, 4980181.83, 2275851.22</t>
  </si>
  <si>
    <t>KILO,KILO,KILO,KILO,KILO,KILO,KILO,KILO,KILO,KILO,KILO,KILO</t>
  </si>
  <si>
    <t>253282.33</t>
  </si>
  <si>
    <t>VER-26-0725</t>
  </si>
  <si>
    <t>PANACUR SU 10% (MEDICAMENTO DE USO VETERINARIO)</t>
  </si>
  <si>
    <t>ECONOMICO 102</t>
  </si>
  <si>
    <t>LOTE: 022/26</t>
  </si>
  <si>
    <t xml:space="preserve"> 1177555.68</t>
  </si>
  <si>
    <t>9420.00</t>
  </si>
  <si>
    <t>94205.00</t>
  </si>
  <si>
    <t>117590.46</t>
  </si>
  <si>
    <t>VER-26-0726</t>
  </si>
  <si>
    <t>HLCUANR260490861</t>
  </si>
  <si>
    <t>ECONOMICO 119</t>
  </si>
  <si>
    <t>LOTE: 26M3009V02</t>
  </si>
  <si>
    <t xml:space="preserve"> 3779622.60</t>
  </si>
  <si>
    <t>30237.00</t>
  </si>
  <si>
    <t>377962.00</t>
  </si>
  <si>
    <t>137978.05</t>
  </si>
  <si>
    <t>VER-26-0727</t>
  </si>
  <si>
    <t>HLCUANR260560173</t>
  </si>
  <si>
    <t>REQUERIMIENTO DE SADER</t>
  </si>
  <si>
    <t>LOTE: 5817111,LOTE: 6532102,LOTE: 26P1004A01, 26P1004A02,LOTE: H101A02,LOTE: P2408097,LOTE: J932A01</t>
  </si>
  <si>
    <t xml:space="preserve"> 2091859.36, 2579198.82, 206834.40, 21720.00, 342476.40</t>
  </si>
  <si>
    <t>KILO,KILO,KILO,KILO,KILO,KILO</t>
  </si>
  <si>
    <t>ALEMANIA (REPUBLICA FEDERAL DE),AUSTRIA (REPUBLICA DE),CHINA (REPUBLICA POPULAR),PAISES BAJOS (REINO DE LOS) (HOLANDA)</t>
  </si>
  <si>
    <t>AUT,CHN,DEU,ZYA</t>
  </si>
  <si>
    <t>4356.00</t>
  </si>
  <si>
    <t>5430.00</t>
  </si>
  <si>
    <t>194001.36</t>
  </si>
  <si>
    <t>VER-26-0728</t>
  </si>
  <si>
    <t>NAM8512994</t>
  </si>
  <si>
    <t>LOTE: F260353</t>
  </si>
  <si>
    <t>190600.09</t>
  </si>
  <si>
    <t>VER-26-0729</t>
  </si>
  <si>
    <t>HLCUHAM2605APMJ1</t>
  </si>
  <si>
    <t>LOTE: 26M1002V01,LOTE: 26M5028V05</t>
  </si>
  <si>
    <t xml:space="preserve"> 12529420.20</t>
  </si>
  <si>
    <t>59298.00</t>
  </si>
  <si>
    <t>741219.00</t>
  </si>
  <si>
    <t>145647.57</t>
  </si>
  <si>
    <t>VER-26-0730</t>
  </si>
  <si>
    <t>HLCUHAM260546610</t>
  </si>
  <si>
    <t>LOTE: 26M5028V01,LOTE: 26E4010C01</t>
  </si>
  <si>
    <t xml:space="preserve"> 8971854.40</t>
  </si>
  <si>
    <t>49301.00</t>
  </si>
  <si>
    <t>616263.00</t>
  </si>
  <si>
    <t>140403.70</t>
  </si>
  <si>
    <t>VER-26-0731</t>
  </si>
  <si>
    <t>HLCUBC1260439095</t>
  </si>
  <si>
    <t>APARATO DE TRANSMISION-RECEPCION DE DATOS (LDID UNIT IDU510)</t>
  </si>
  <si>
    <t xml:space="preserve"> 180865.20</t>
  </si>
  <si>
    <t>1447.00</t>
  </si>
  <si>
    <t>29170.00</t>
  </si>
  <si>
    <t>60575.98</t>
  </si>
  <si>
    <t>VER-26-0731-1</t>
  </si>
  <si>
    <t>APARATO DE CONTROL (MC200 EXTERNAL DISPLAY ED200)</t>
  </si>
  <si>
    <t>LOTE: IL20260101,LOTE: IL20260101,LOTES: IL20250101, IL20260101,LOTE: IL20260101</t>
  </si>
  <si>
    <t xml:space="preserve"> 1417149.61</t>
  </si>
  <si>
    <t>KILO,KILO,KILO,PIEZA,PIEZA</t>
  </si>
  <si>
    <t>11337.00</t>
  </si>
  <si>
    <t>229099.00</t>
  </si>
  <si>
    <t>3386.00</t>
  </si>
  <si>
    <t>59881.88</t>
  </si>
  <si>
    <t>VER-26-0731-1R</t>
  </si>
  <si>
    <t>ECONOMICO 155</t>
  </si>
  <si>
    <t>VER-26-0820</t>
  </si>
  <si>
    <t>SOLUTION LA 3.5% (MEDICAMENTO DOSIFICADO DE USO VETERINARIO)</t>
  </si>
  <si>
    <t>ECO 156</t>
  </si>
  <si>
    <t>LOTE: 001/26</t>
  </si>
  <si>
    <t xml:space="preserve"> 2829962.47</t>
  </si>
  <si>
    <t>22640.00</t>
  </si>
  <si>
    <t>226397.00</t>
  </si>
  <si>
    <t>107732.46</t>
  </si>
  <si>
    <t>VER-26-0822</t>
  </si>
  <si>
    <t>HLCURTM260617135</t>
  </si>
  <si>
    <t>NOBILIS CORVAC 4   (VACUNA DE USO VETERINARIO)</t>
  </si>
  <si>
    <t>REQUERIMIENTO EN EL TRAMITE DE DOCUMENTAL</t>
  </si>
  <si>
    <t>LOTE: J964A01,LOTE: J980A12,LOTE: A280A01,LOTE: A418A01,LOTE: A464A01,LOTE: A438A01,LOTE: A280A02,LOTE: A184F01,LOTE: A549A01,LOTE: A251A01</t>
  </si>
  <si>
    <t xml:space="preserve"> 1295136.24, 1251703.12, 5270210.09, 2148528.86, 5313037.85</t>
  </si>
  <si>
    <t>221332.04</t>
  </si>
  <si>
    <t>VER-26-0861</t>
  </si>
  <si>
    <t>HLCULE1260539690</t>
  </si>
  <si>
    <t>PENDIENTE OFICIO PARA INICIAR TRAMITE DOCUMENTAL SADER</t>
  </si>
  <si>
    <t>IME-T002</t>
  </si>
  <si>
    <t>LOTES: M426A01, M425A01, MA424A01, M423A01,LOTES: M422A01, M421A01, M420A01, M419A01,LOTES: M418A01, M417A01, M416A01, M415A01,LOTES: M414A01, M413A01, M412A01, M411A01,LOTES: M410A01, M409A01</t>
  </si>
  <si>
    <t>235793.52</t>
  </si>
  <si>
    <t>VER-26-0867</t>
  </si>
  <si>
    <t>TICK GARD 1X1</t>
  </si>
  <si>
    <t>ECONOMICO 08 RED</t>
  </si>
  <si>
    <t>LOTE: 006/2026</t>
  </si>
  <si>
    <t xml:space="preserve"> 1036771.56</t>
  </si>
  <si>
    <t>8294.00</t>
  </si>
  <si>
    <t>143310.03</t>
  </si>
  <si>
    <t>VER-26-0868</t>
  </si>
  <si>
    <t>HLCUHAM260621890</t>
  </si>
  <si>
    <t>LOTE: 26E3003C01,LOTE: 26F5003AF1</t>
  </si>
  <si>
    <t xml:space="preserve"> 5408524.80</t>
  </si>
  <si>
    <t>135179.98</t>
  </si>
  <si>
    <t>VER-26-0869</t>
  </si>
  <si>
    <t>HLCUHAM260621868</t>
  </si>
  <si>
    <t>REVALIDARON 05 DIAS POSTERIORES AL ATRAQUE DEL BUQUE</t>
  </si>
  <si>
    <t>LOTE: 26M1005A12,LOTE: 26M2015V01</t>
  </si>
  <si>
    <t xml:space="preserve"> 10833581.50</t>
  </si>
  <si>
    <t>67016.00</t>
  </si>
  <si>
    <t>837702.00</t>
  </si>
  <si>
    <t>176068.72</t>
  </si>
  <si>
    <t>VER-26-0892</t>
  </si>
  <si>
    <t>HLCUANR260612427</t>
  </si>
  <si>
    <t>ECO 117</t>
  </si>
  <si>
    <t>LOTE: N374A01,LOTE: 26F5003AF1</t>
  </si>
  <si>
    <t xml:space="preserve"> 1373636.16, 1043019.60</t>
  </si>
  <si>
    <t>AUSTRIA (REPUBLICA DE),FRANCIA (REPUBLICA FRANCESA)</t>
  </si>
  <si>
    <t>AUT,FRA</t>
  </si>
  <si>
    <t>219819.00</t>
  </si>
  <si>
    <t>151390.92</t>
  </si>
  <si>
    <t>VER-26-0893</t>
  </si>
  <si>
    <t>HLCUANR260641997</t>
  </si>
  <si>
    <t>LOTE: 26M4063V01</t>
  </si>
  <si>
    <t xml:space="preserve"> 7963563.90</t>
  </si>
  <si>
    <t>63709.00</t>
  </si>
  <si>
    <t>796356.00</t>
  </si>
  <si>
    <t>135773.89</t>
  </si>
  <si>
    <t>VER-26-0894</t>
  </si>
  <si>
    <t>OOLU2170985890</t>
  </si>
  <si>
    <t>PARTES PARA MAQUINA DE ORDEÑAR (DV P550 24V BLACK)</t>
  </si>
  <si>
    <t>00,02,99</t>
  </si>
  <si>
    <t>LOTE: IL20260101,LOTE: IL20260101,LOTE: IL20260101</t>
  </si>
  <si>
    <t xml:space="preserve"> 714985.35</t>
  </si>
  <si>
    <t>KILO,PIEZA,KILO,KILO,PIEZA</t>
  </si>
  <si>
    <t>5720.00</t>
  </si>
  <si>
    <t>119895.00</t>
  </si>
  <si>
    <t>28641.00</t>
  </si>
  <si>
    <t>65040.00</t>
  </si>
  <si>
    <t>VER-26-0894-R1</t>
  </si>
  <si>
    <t>VER-26-0932</t>
  </si>
  <si>
    <t>HLCULE1260557273</t>
  </si>
  <si>
    <t>LOTES: M387A01, M388A01, M407A01,,LOTES: M408A01, M427A01, M428A01,LOTES: M429A01, M430A01, M431A01,LOTES: M432A01, M433A01, M434A01,LOTES: M435A01, M436A01, M437A01,LOTES: M438A01, M439A01</t>
  </si>
  <si>
    <t xml:space="preserve"> 11985059.50</t>
  </si>
  <si>
    <t>95880.00</t>
  </si>
  <si>
    <t>184975.91</t>
  </si>
  <si>
    <t>VER-26-0933</t>
  </si>
  <si>
    <t>HLCUHAM260699580</t>
  </si>
  <si>
    <t>LOTE: 26P1005A01,LOTE: 26M5034V03</t>
  </si>
  <si>
    <t xml:space="preserve"> 10665651.83</t>
  </si>
  <si>
    <t>64428.00</t>
  </si>
  <si>
    <t>805354.00</t>
  </si>
  <si>
    <t>154797.77</t>
  </si>
  <si>
    <t>VER-26-0967</t>
  </si>
  <si>
    <t>HLCUHAM260714802</t>
  </si>
  <si>
    <t>LOTE: 26M2022V01</t>
  </si>
  <si>
    <t xml:space="preserve"> 11169360.00</t>
  </si>
  <si>
    <t>89355.00</t>
  </si>
  <si>
    <t>1116936.00</t>
  </si>
  <si>
    <t>142020.81</t>
  </si>
  <si>
    <t>VER-26-0968</t>
  </si>
  <si>
    <t>HLCURTM260701331</t>
  </si>
  <si>
    <t>NOBILIS CORVAC 4 (VACUNA DE USO VETERINARIO)</t>
  </si>
  <si>
    <t>LOTE: K011A03,LOTE: A226A01,LOTE: A150A01,LOTE: A280B01,LOTE: A860B02,LOTE: 1E089A02,LOTE: A863C01,LOTE: A864A01,LOTE: A380A01,LOTE: A222B01</t>
  </si>
  <si>
    <t xml:space="preserve"> 1949380.32, 11560062.49, 2824962.48, 7928534.05, 8677889.29</t>
  </si>
  <si>
    <t>281290.61</t>
  </si>
  <si>
    <t>VER-26-0969</t>
  </si>
  <si>
    <t>HLCUHAM2607ARDM2</t>
  </si>
  <si>
    <t>ECO 177</t>
  </si>
  <si>
    <t>LOTE: 26N3010B05,LOTE: 26N4039B01,LOTE: 26M4078V02,LOTE: 26N4027U03</t>
  </si>
  <si>
    <t xml:space="preserve"> 1614876.03, 12213738.86</t>
  </si>
  <si>
    <t>85370.00</t>
  </si>
  <si>
    <t>1067121.00</t>
  </si>
  <si>
    <t>245185.96</t>
  </si>
  <si>
    <t>VER-26-0990</t>
  </si>
  <si>
    <t>LOTE: 051/26</t>
  </si>
  <si>
    <t>104960.07</t>
  </si>
  <si>
    <t>VER-26-1008</t>
  </si>
  <si>
    <t>ONEYVNAG04429800</t>
  </si>
  <si>
    <t>LOTE: 26M2022V01,LOTE: 26E4019C01</t>
  </si>
  <si>
    <t xml:space="preserve"> 7624505.10</t>
  </si>
  <si>
    <t>35581.00</t>
  </si>
  <si>
    <t>444758.00</t>
  </si>
  <si>
    <t>135030.33</t>
  </si>
  <si>
    <t>VER-26-1009</t>
  </si>
  <si>
    <t>ONEYVNAG04428700</t>
  </si>
  <si>
    <t>LOTE: 26M3018V01,LOTE: 26E2007C01</t>
  </si>
  <si>
    <t xml:space="preserve"> 6099475.60</t>
  </si>
  <si>
    <t>22918.00</t>
  </si>
  <si>
    <t>286469.00</t>
  </si>
  <si>
    <t>110747.56</t>
  </si>
  <si>
    <t>VER-26-1024</t>
  </si>
  <si>
    <t>NAM8648052</t>
  </si>
  <si>
    <t>LOTES: F260353, F261235, F251242</t>
  </si>
  <si>
    <t>196259.93</t>
  </si>
  <si>
    <t>VER-26-1025</t>
  </si>
  <si>
    <t>ONEYLIVG20173700</t>
  </si>
  <si>
    <t>3772.00</t>
  </si>
  <si>
    <t>83577.00</t>
  </si>
  <si>
    <t>47144.00</t>
  </si>
  <si>
    <t>74082.62</t>
  </si>
  <si>
    <t>VER-26-1026</t>
  </si>
  <si>
    <t>HLCUANR260704329</t>
  </si>
  <si>
    <t>PANACUR 22% (MEDICAMENTO DOSIFICADO DE USO VETERINARIO)</t>
  </si>
  <si>
    <t>LOTE: 26G1004A01,LOTE: P2408097,LOTE: A230A01,LOTE: 261817642</t>
  </si>
  <si>
    <t xml:space="preserve"> 1489283.90, 21720.00, 437517.64, 400680.00</t>
  </si>
  <si>
    <t>AUSTRIA (REPUBLICA DE),CHINA (REPUBLICA POPULAR),PAISES BAJOS (REINO DE LOS) (HOLANDA),SUIZA (CONFEDERACION)</t>
  </si>
  <si>
    <t>AUT,CHE,CHN,ZYA</t>
  </si>
  <si>
    <t>3379.00</t>
  </si>
  <si>
    <t>4372.00</t>
  </si>
  <si>
    <t>25464.00</t>
  </si>
  <si>
    <t>150186.38</t>
  </si>
  <si>
    <t>VER-E26-0997</t>
  </si>
  <si>
    <t>Exportación</t>
  </si>
  <si>
    <t>BOBACT 8 1X250ML/50DS 370</t>
  </si>
  <si>
    <t>Cargas de Exportación</t>
  </si>
  <si>
    <t>LOTE: ME26762,LOTE: ME26763,LOTE: MA26755</t>
  </si>
  <si>
    <t xml:space="preserve"> 600008.70</t>
  </si>
  <si>
    <t>PANAMA (REPUBLICA DE)</t>
  </si>
  <si>
    <t>MEXICO</t>
  </si>
  <si>
    <t>PAN</t>
  </si>
  <si>
    <t>MEX</t>
  </si>
  <si>
    <t>463.00</t>
  </si>
  <si>
    <t>40827.49</t>
  </si>
  <si>
    <t>VER-E26-0997-R1</t>
  </si>
  <si>
    <t>VER-E26-1019</t>
  </si>
  <si>
    <t>LN CAN-35VHC (EMPTY) TANQUES PARA EL ALMACENAMIENTO DE NITROGENO</t>
  </si>
  <si>
    <t xml:space="preserve"> 78800.00</t>
  </si>
  <si>
    <t>VER-E26-1019-R1</t>
  </si>
  <si>
    <t>Columna1</t>
  </si>
  <si>
    <t>Columna2</t>
  </si>
  <si>
    <t>Columna3</t>
  </si>
  <si>
    <t>Columna4</t>
  </si>
  <si>
    <t>Columna5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</si>
</sst>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1" fontId="0" fillId="16" borderId="0" xfId="0" applyNumberForma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17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14" fontId="0" fillId="17" borderId="1" xfId="0" applyNumberFormat="1" applyFont="1" applyFill="1" applyBorder="1" applyAlignment="1">
      <alignment horizontal="center"/>
    </xf>
    <xf numFmtId="0" fontId="0" fillId="18" borderId="1" xfId="0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17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48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C83ED0-700E-4B5F-9B0E-660E6286A3C7}" name="ABEL8" displayName="ABEL8" ref="A1:HU175" totalsRowShown="0" headerRowDxfId="414" dataDxfId="413">
  <autoFilter ref="A1:HU175" xr:uid="{25C83ED0-700E-4B5F-9B0E-660E6286A3C7}"/>
  <sortState xmlns:xlrd2="http://schemas.microsoft.com/office/spreadsheetml/2017/richdata2" ref="A2:HS175">
    <sortCondition ref="B1:B175"/>
  </sortState>
  <tableColumns count="229">
    <tableColumn id="1" xr3:uid="{249F1739-6ED4-468C-A1B7-BD025008112E}" name="NO. IMP. / EXP. (NOMBRE)" dataDxfId="412"/>
    <tableColumn id="2" xr3:uid="{9D22CBA4-4B9A-4D31-BF4A-EF393CD039BF}" name="REF.A.A." dataDxfId="411"/>
    <tableColumn id="3" xr3:uid="{2DA21893-DA4D-4184-A497-C89443DBF929}" name="PATENTE" dataDxfId="410"/>
    <tableColumn id="4" xr3:uid="{DAD04DAE-3323-4C01-BAB4-5F4C737556F6}" name="PEDIMENTO" dataDxfId="409"/>
    <tableColumn id="5" xr3:uid="{40585480-A466-4BE4-9F1A-139011DB0725}" name="PEDIMENTO ORIG. (RECT.)" dataDxfId="408"/>
    <tableColumn id="6" xr3:uid="{26B100E7-1005-4FF8-9997-92ED635464E5}" name="T.O" dataDxfId="407"/>
    <tableColumn id="7" xr3:uid="{7699EAA6-A3A6-4B83-8367-810242F318A4}" name="CLAVE PEDIMENTO" dataDxfId="406"/>
    <tableColumn id="8" xr3:uid="{3135903D-BDD1-4083-97EC-E7909DF0502B}" name="Tasa Partida IVA" dataDxfId="405"/>
    <tableColumn id="9" xr3:uid="{8CF9FE49-CE24-4E86-AA25-3EA303F283B8}" name="Importe Partida IVA" dataDxfId="404"/>
    <tableColumn id="10" xr3:uid="{7EC46061-5E23-47E5-A574-C886B694ECDA}" name="Tasa Partida CC" dataDxfId="403"/>
    <tableColumn id="11" xr3:uid="{159D467C-05C9-4277-9BB2-3F346368AE30}" name="Importe Partida CC" dataDxfId="402"/>
    <tableColumn id="12" xr3:uid="{D5C9EE68-EA8F-4C9E-A8A1-6CC81A398ACC}" name="Tasa Partida IEPS" dataDxfId="401"/>
    <tableColumn id="13" xr3:uid="{D62D5B49-388B-4B7A-9B14-2CDFA5836629}" name="Importe Partida IEPS" dataDxfId="400"/>
    <tableColumn id="14" xr3:uid="{F3B39280-E5EB-415C-AD47-7356B51F7712}" name="Tasa Partida IGI/IGE" dataDxfId="399"/>
    <tableColumn id="15" xr3:uid="{D3B86493-FD2C-4CA6-B9CF-D8A820001F80}" name="Importe Partida IGI/IGE" dataDxfId="398"/>
    <tableColumn id="16" xr3:uid="{B6D1ADAB-5DBD-4605-8525-A92FFC4848AC}" name="TIPO CAMBIO" dataDxfId="397"/>
    <tableColumn id="17" xr3:uid="{FED79356-6CC5-471B-A872-E7AF8343F225}" name="PESO BRUTO" dataDxfId="396"/>
    <tableColumn id="18" xr3:uid="{BD8DF9CF-4D93-4288-96DB-BE62D5D8DF74}" name="ADUANA DESPACHO" dataDxfId="395"/>
    <tableColumn id="19" xr3:uid="{22858E28-428A-4435-B344-49A1B04D4942}" name="NO. DE CONTENEDOR" dataDxfId="394"/>
    <tableColumn id="20" xr3:uid="{A83EF3AE-8E43-4ABF-B830-2697B57D7420}" name="BULTOS ARRIBO" dataDxfId="393"/>
    <tableColumn id="21" xr3:uid="{669EADCA-8E17-4F0C-98DC-0319EA84B2F8}" name="Valor Comercial MXP" dataDxfId="392"/>
    <tableColumn id="22" xr3:uid="{A08A98F4-63F1-493C-B0B0-465D95D64D17}" name="TOTAL VALOR ADUANA" dataDxfId="391"/>
    <tableColumn id="23" xr3:uid="{24D6DC94-C0C3-4A30-A40C-E4E3D32F2AD8}" name="Seguros" dataDxfId="390"/>
    <tableColumn id="24" xr3:uid="{D448D20C-9EF8-4D29-B39A-58F31D8F944C}" name="Fletes" dataDxfId="389"/>
    <tableColumn id="25" xr3:uid="{82C533BD-59B6-4790-9F4F-5D96C6694CDD}" name="EMBALAJES" dataDxfId="388"/>
    <tableColumn id="26" xr3:uid="{AE2AC973-10D2-49C8-B9E0-B78532FC18E7}" name="OTROS INC." dataDxfId="387"/>
    <tableColumn id="27" xr3:uid="{5221ECAE-27E9-44A0-A0C6-0BE93C110899}" name="MERCANCÍA (PED.)" dataDxfId="386"/>
    <tableColumn id="28" xr3:uid="{E2B3B642-95B0-4E07-A74B-31EEA85BB3C9}" name="EJE UNIDAD DE NEGOCIO" dataDxfId="385"/>
    <tableColumn id="29" xr3:uid="{3D1689E3-D652-4DDA-A1DD-6F47904D1BEB}" name="VALOR ADUANA (P. PART.)" dataDxfId="384"/>
    <tableColumn id="30" xr3:uid="{4D2BAA41-6A8C-45EC-AD82-CA917EC375D0}" name="PRECIO UNITARIO" dataDxfId="383"/>
    <tableColumn id="31" xr3:uid="{E22765D5-146F-4CD4-AE92-54C80D4BA0A1}" name="Tasas P/Pedimento" dataDxfId="382"/>
    <tableColumn id="32" xr3:uid="{8F60E715-1A24-406B-81C9-5304229F459C}" name="TASAS P/PARTIDA" dataDxfId="381"/>
    <tableColumn id="33" xr3:uid="{91092838-2649-4C6D-9BCC-4095E88B2373}" name="IGI / IGE" dataDxfId="380"/>
    <tableColumn id="34" xr3:uid="{86C64DF1-2B8B-4764-85A5-B2F8309D22A5}" name="REC" dataDxfId="379"/>
    <tableColumn id="35" xr3:uid="{D4917509-72E2-4FC3-B4F2-0A500CCB0262}" name="IVA PREV" dataDxfId="378"/>
    <tableColumn id="36" xr3:uid="{8256DC66-45FA-4397-AFD4-DFB2DC4139AD}" name="DTA" dataDxfId="377"/>
    <tableColumn id="37" xr3:uid="{55B6B564-AD3A-4339-91AA-04274E20A879}" name="Importe DTA FP2" dataDxfId="376"/>
    <tableColumn id="38" xr3:uid="{F6398011-BF56-4912-B3D1-6E8960EEBC3F}" name="IVA" dataDxfId="375"/>
    <tableColumn id="39" xr3:uid="{B7C94E02-E549-4B56-AFD1-9429D171166D}" name="PREV" dataDxfId="374"/>
    <tableColumn id="40" xr3:uid="{4C5A353F-FB30-4218-84A2-3315D27D670E}" name="IMPUESTOS" dataDxfId="373"/>
    <tableColumn id="41" xr3:uid="{DAC092D4-4AB0-409C-9609-D6C818D873D3}" name="Cuenta Origen" dataDxfId="372"/>
    <tableColumn id="42" xr3:uid="{E62E7BC7-6D6C-407A-A72C-D200442748A6}" name="PROVEEDOR / COMPRADOR" dataDxfId="371"/>
    <tableColumn id="43" xr3:uid="{19062EB8-2364-4C21-B1B8-EEF892A8A5E4}" name="NO(S) FACTURA(S)" dataDxfId="370"/>
    <tableColumn id="44" xr3:uid="{3440CFFF-5925-414D-B872-08AD6AF5A3FB}" name="INCOTERM" dataDxfId="369"/>
    <tableColumn id="45" xr3:uid="{3DCE153B-BD07-4206-8D3E-6229CAE33CB8}" name="MONEDA" dataDxfId="368"/>
    <tableColumn id="46" xr3:uid="{4BEEC326-9C5C-4789-98B6-8C0432051D96}" name="NO. GUÍA (MASTER)" dataDxfId="367"/>
    <tableColumn id="47" xr3:uid="{F99062CD-F44A-4841-B919-40E6C5B70A8E}" name="NO. GUÍA HOUSE" dataDxfId="366"/>
    <tableColumn id="48" xr3:uid="{C0B5D22D-81A6-4CF8-9905-A5E3A20A4016}" name="Temperatura" dataDxfId="365"/>
    <tableColumn id="49" xr3:uid="{3F438606-C77E-4227-828F-2A72402C53E1}" name="FRACCION(ES)" dataDxfId="364"/>
    <tableColumn id="50" xr3:uid="{D140709D-DE7A-4B40-B736-B11D3888524F}" name="NICO" dataDxfId="363"/>
    <tableColumn id="51" xr3:uid="{0EB9B8DD-AF9A-4462-A001-74A00E0D6F61}" name="Cantidad Factura" dataDxfId="362"/>
    <tableColumn id="52" xr3:uid="{15A39054-B8AE-44C9-B1BD-1FC3E78036CC}" name="UMC (CANTIDAD)" dataDxfId="361"/>
    <tableColumn id="53" xr3:uid="{4337A8F1-5A89-427C-BFB8-045B9AD68374}" name="Descripcion UMC" dataDxfId="360"/>
    <tableColumn id="54" xr3:uid="{0897A832-7269-4701-A2AC-FB194E102891}" name="CÓDIGO PRODUCTO" dataDxfId="359"/>
    <tableColumn id="55" xr3:uid="{213BFD82-78C8-412E-B5F7-9768D3F48081}" name="PAIS O/D" dataDxfId="358"/>
    <tableColumn id="56" xr3:uid="{ED71B733-7599-4E5D-9B74-0B361F1B920F}" name="PAIS V/C" dataDxfId="357"/>
    <tableColumn id="60" xr3:uid="{EE89A76E-618D-4F5F-B2E3-A08546864676}" name="Resultado Selección" dataDxfId="356"/>
    <tableColumn id="61" xr3:uid="{B426AC61-8D99-4717-972E-3F9D9484A331}" name="MOTIVO RETRASO / OTROS" dataDxfId="355"/>
    <tableColumn id="62" xr3:uid="{C1496F6C-FFFA-4AC8-9823-691F3CEF31E3}" name="NO. PERMISOS POR PARTIDA" dataDxfId="354"/>
    <tableColumn id="63" xr3:uid="{371FAFC6-F017-4F82-AE5B-E0D69872616C}" name="PERMISOS POR PARTIDA" dataDxfId="353"/>
    <tableColumn id="64" xr3:uid="{953CB17E-E4A2-41A0-BA11-6BE1759F0D20}" name="OBSERVACIONES ARRIBO" dataDxfId="352"/>
    <tableColumn id="65" xr3:uid="{CA0D93A9-4468-4CD1-B3A0-864C1567D7A6}" name="ObservacionesPedimento" dataDxfId="351"/>
    <tableColumn id="66" xr3:uid="{E92C783A-E8E6-46A9-8069-43A28CDEC6A2}" name="NO. DE COVE" dataDxfId="350"/>
    <tableColumn id="67" xr3:uid="{A2EEDB61-AE5D-4639-9572-3F253B1306A9}" name="FOLIO" dataDxfId="349"/>
    <tableColumn id="68" xr3:uid="{441869D2-CFE3-4831-95CA-55FA9D0E0095}" name="073 ALMACENAJE, MANEJO Y CUSTODIA (P.P.)" dataDxfId="348"/>
    <tableColumn id="69" xr3:uid="{4E38DD5E-8AEA-42D7-BA37-C403F6E877AD}" name="110 MANIOBRAS (P.P.)" dataDxfId="347"/>
    <tableColumn id="70" xr3:uid="{9D14E0E6-9E82-41D7-89B3-3DA4704E5BD8}" name="077 DESCONSOLIDACION (P.P.)" dataDxfId="346"/>
    <tableColumn id="71" xr3:uid="{AB653DE5-2C7F-4338-9681-E943AAC93F16}" name=" 106 SERVICIO EXTRAORDIONARIO (P.P.)" dataDxfId="345"/>
    <tableColumn id="72" xr3:uid="{6513382E-77E8-438D-A5E2-F7C9B66A544E}" name=" 033 CUENTA AMERICANA (P.P.)" dataDxfId="344"/>
    <tableColumn id="73" xr3:uid="{4644DE89-46B6-45C0-8EB8-B18C09B983EB}" name=" 133 RECONOCIMIENTO ADUANERO (P.P.)" dataDxfId="343"/>
    <tableColumn id="74" xr3:uid="{9471B9FE-01BC-48AC-8B4F-3DAA5D8D50A0}" name="034 MONTACARGAS (P.P.)" dataDxfId="342"/>
    <tableColumn id="75" xr3:uid="{BD1397CE-EBE8-4686-AAA2-2C39B340D906}" name="008 HIELO SECO (P.P.)" dataDxfId="341"/>
    <tableColumn id="76" xr3:uid="{59B980A8-01A6-4ADD-B45D-AF6097A95B5F}" name="117 TRAMITE SAGARPA (P.P.)" dataDxfId="340"/>
    <tableColumn id="77" xr3:uid="{B875C509-7B71-4B28-9DBA-021689DF069D}" name="012 PAGO DE DERECHOS (P.P.)" dataDxfId="339"/>
    <tableColumn id="78" xr3:uid="{0442F8FB-CEA5-4260-BC57-33F553BFDC99}" name=" 087 OTROS GASTOS (P.P.)" dataDxfId="338"/>
    <tableColumn id="79" xr3:uid="{35C491FD-0BB2-47E1-A31E-69AF549A05D7}" name=" 136 SERVICIO DE CUSTODIA (P.P.)" dataDxfId="337"/>
    <tableColumn id="80" xr3:uid="{24819A4B-5DC9-4EA9-A2F8-721A7DBD19E0}" name="OTROS GASTOS" dataDxfId="336"/>
    <tableColumn id="81" xr3:uid="{385A7E1A-7E1F-46E6-BEF8-BBA8D5768A4B}" name="DESCARGAS" dataDxfId="335"/>
    <tableColumn id="82" xr3:uid="{61C9554E-3440-4F4A-86AE-5D4D8362E329}" name="DEMORAS" dataDxfId="334"/>
    <tableColumn id="83" xr3:uid="{592B0CD8-577A-4A98-9E20-437781C85229}" name="HONORARIOS" dataDxfId="333"/>
    <tableColumn id="84" xr3:uid="{0DB2084D-C0B0-49B2-912F-07D8D7334EDE}" name="I.V.A." dataDxfId="332"/>
    <tableColumn id="85" xr3:uid="{077DCA64-0256-473C-9F24-B1A33B6023C6}" name="SALDO" dataDxfId="331"/>
    <tableColumn id="86" xr3:uid="{052621C6-839C-4969-8DFC-224E54EF6ED4}" name="EstatusCuentaGastos" dataDxfId="330"/>
    <tableColumn id="87" xr3:uid="{12F5017C-BFD0-43CD-98E6-966C4A18E38B}" name="Monto Cuenta de Gastos" dataDxfId="329"/>
    <tableColumn id="88" xr3:uid="{7E6B5546-F266-4026-90F1-729B559E70DA}" name="Anticipos o Pagos Registrados" dataDxfId="328"/>
    <tableColumn id="89" xr3:uid="{355C0493-1494-4666-84DA-DC3A87509121}" name="Saldo2" dataDxfId="327"/>
    <tableColumn id="90" xr3:uid="{B3A9DE8E-5D00-420E-A7CD-7D14CECD0EA0}" name="Ejecutivo" dataDxfId="326"/>
    <tableColumn id="91" xr3:uid="{F02D0948-7DCE-4633-99F9-9E33CC7B581F}" name="Ejecutivo_ABC" dataDxfId="325"/>
    <tableColumn id="93" xr3:uid="{1344AFA4-50A1-42DF-935A-F154D0E748A6}" name="Aduana/Sección Despacho" dataDxfId="324">
      <calculatedColumnFormula>_xlfn.XLOOKUP($B$2,'BASE DE EXCEL'!C:C,'BASE DE EXCEL'!D:D,"NO HAY REFERENCIA")</calculatedColumnFormula>
    </tableColumn>
    <tableColumn id="95" xr3:uid="{618FBCE4-E558-4250-A6C1-951B09A43E72}" name="MES" dataDxfId="323">
      <calculatedColumnFormula>_xlfn.XLOOKUP($B$2,'BASE DE EXCEL'!$C:$C,'BASE DE EXCEL'!F:F,"NO HAY REFERENCIA")</calculatedColumnFormula>
    </tableColumn>
    <tableColumn id="96" xr3:uid="{B2646F9C-9E97-4508-948F-54C87B75EF18}" name="FECHA ENTRADA2" dataDxfId="322">
      <calculatedColumnFormula>_xlfn.XLOOKUP($B$2,'BASE DE EXCEL'!$C:$C,'BASE DE EXCEL'!G:G,"NO HAY REFERENCIA")</calculatedColumnFormula>
    </tableColumn>
    <tableColumn id="97" xr3:uid="{5F3CFAA2-6032-4027-A697-7E0912BEADC9}" name="FECHA PAGO2" dataDxfId="321">
      <calculatedColumnFormula>_xlfn.XLOOKUP($B$2,'BASE DE EXCEL'!$C:$C,'BASE DE EXCEL'!H:H,"NO HAY REFERENCIA")</calculatedColumnFormula>
    </tableColumn>
    <tableColumn id="98" xr3:uid="{65DE1E13-92A5-4810-B044-6B45553AC315}" name="Entrada de pago" dataDxfId="320">
      <calculatedColumnFormula>_xlfn.XLOOKUP($B$2,'BASE DE EXCEL'!$C:$C,'BASE DE EXCEL'!I:I,"NO HAY REFERENCIA")</calculatedColumnFormula>
    </tableColumn>
    <tableColumn id="99" xr3:uid="{C2E3D602-0CD2-4477-8EC8-8016781AE5E6}" name="Etiqueta Entrada a Pago" dataDxfId="319">
      <calculatedColumnFormula>_xlfn.XLOOKUP($B$2,'BASE DE EXCEL'!$C:$C,'BASE DE EXCEL'!J:J,"NO HAY REFERENCIA")</calculatedColumnFormula>
    </tableColumn>
    <tableColumn id="100" xr3:uid="{0C37AA1E-79EA-4DD4-AA42-0036D7B8E7A1}" name="FECHA DE CRUCE2" dataDxfId="318">
      <calculatedColumnFormula>_xlfn.XLOOKUP($B$2,'BASE DE EXCEL'!$C:$C,'BASE DE EXCEL'!K:K,"NO HAY REFERENCIA")</calculatedColumnFormula>
    </tableColumn>
    <tableColumn id="101" xr3:uid="{D0FB8FB7-CC3B-48CA-A1F3-394ADCF91BE0}" name="Entrada a Cruce" dataDxfId="317">
      <calculatedColumnFormula>_xlfn.XLOOKUP($B$2,'BASE DE EXCEL'!$C:$C,'BASE DE EXCEL'!L:L,"NO HAY REFERENCIA")</calculatedColumnFormula>
    </tableColumn>
    <tableColumn id="102" xr3:uid="{2BA743C9-018B-427C-AC7F-A2FCCC4A27A5}" name="Entrada a cruce excel" dataDxfId="316">
      <calculatedColumnFormula>_xlfn.XLOOKUP($B$2,'BASE DE EXCEL'!$C:$C,'BASE DE EXCEL'!M:M,"NO HAY REFERENCIA")</calculatedColumnFormula>
    </tableColumn>
    <tableColumn id="103" xr3:uid="{649F944B-35BC-4520-9247-5D62C093AACE}" name="ETIQUETA ENTRADA A CRUCE excel" dataDxfId="315">
      <calculatedColumnFormula>_xlfn.XLOOKUP($B$2,'BASE DE EXCEL'!$C:$C,'BASE DE EXCEL'!N:N,"NO HAY REFERENCIA")</calculatedColumnFormula>
    </tableColumn>
    <tableColumn id="104" xr3:uid="{9F3593A6-FFED-4FF8-8033-AA68DEE5515D}" name="KPI ENTRADA A CRUCE" dataDxfId="314">
      <calculatedColumnFormula>_xlfn.XLOOKUP($B$2,'BASE DE EXCEL'!$C:$C,'BASE DE EXCEL'!O:O,"NO HAY REFERENCIA")</calculatedColumnFormula>
    </tableColumn>
    <tableColumn id="105" xr3:uid="{F809B6DC-AA28-4A17-894A-08513FE36A2A}" name="Etiqueta entrada a Cruce2" dataDxfId="313">
      <calculatedColumnFormula>_xlfn.XLOOKUP(B2,'BASE DE EXCEL'!$C:$C,'BASE DE EXCEL'!P:P,"NO HAY REFERENCIA")</calculatedColumnFormula>
    </tableColumn>
    <tableColumn id="106" xr3:uid="{0D0E48F9-29B1-4C77-B5A4-DC90555B565C}" name="FECHA ENTREGA DE  MERCANCIA" dataDxfId="312">
      <calculatedColumnFormula>_xlfn.XLOOKUP(B2,'BASE DE EXCEL'!$C:$C,'BASE DE EXCEL'!Q:Q,"NO HAY REFERENCIA")</calculatedColumnFormula>
    </tableColumn>
    <tableColumn id="107" xr3:uid="{05C0BD42-0F18-4B9F-97AE-13FA9750383A}" name="Entrada a entrega excel" dataDxfId="311">
      <calculatedColumnFormula>_xlfn.XLOOKUP(B2,'BASE DE EXCEL'!$C:$C,'BASE DE EXCEL'!R:R,"NO HAY REFERENCIA")</calculatedColumnFormula>
    </tableColumn>
    <tableColumn id="108" xr3:uid="{D33DEDF5-8612-4143-A44E-D4E5C186ED71}" name="ETIQUETA ENTRADA A ENTREGA excel" dataDxfId="310">
      <calculatedColumnFormula>_xlfn.XLOOKUP(B2,'BASE DE EXCEL'!$C:$C,'BASE DE EXCEL'!S:S,"NO HAY REFERENCIA")</calculatedColumnFormula>
    </tableColumn>
    <tableColumn id="109" xr3:uid="{CB05EBAE-8269-4ED5-9AAA-3982F5B0DA63}" name="KPI DE ENTRADA A ENTREGA" dataDxfId="309">
      <calculatedColumnFormula>_xlfn.XLOOKUP(B2,'BASE DE EXCEL'!$C:$C,'BASE DE EXCEL'!T:T,"NO HAY REFERENCIA")</calculatedColumnFormula>
    </tableColumn>
    <tableColumn id="110" xr3:uid="{E1812F4C-4CFD-4CE1-89A7-761DA376EC8D}" name="Entrada a Entrega" dataDxfId="308">
      <calculatedColumnFormula>_xlfn.XLOOKUP(B2,'BASE DE EXCEL'!$C:$C,'BASE DE EXCEL'!U:U,"NO HAY REFERENCIA")</calculatedColumnFormula>
    </tableColumn>
    <tableColumn id="111" xr3:uid="{78F8231F-181D-44CB-919E-3C51A78BA2C6}" name="Etiqueta Entrada a Entrega" dataDxfId="307">
      <calculatedColumnFormula>_xlfn.XLOOKUP(B2,'BASE DE EXCEL'!$C:$C,'BASE DE EXCEL'!V:V,"NO HAY REFERENCIA")</calculatedColumnFormula>
    </tableColumn>
    <tableColumn id="112" xr3:uid="{55F77048-D37C-4B3F-AF34-A084F39490DE}" name="Entrada a Factura" dataDxfId="306">
      <calculatedColumnFormula>_xlfn.XLOOKUP(B2,'BASE DE EXCEL'!$C:$C,'BASE DE EXCEL'!W:W,"NO HAY REFERENCIA")</calculatedColumnFormula>
    </tableColumn>
    <tableColumn id="113" xr3:uid="{E86ECF43-CB5B-4AE1-AC8E-DD634121693F}" name="Etiqueta Entrada a Factura" dataDxfId="305">
      <calculatedColumnFormula>_xlfn.XLOOKUP(B2,'BASE DE EXCEL'!$C:$C,'BASE DE EXCEL'!X:X,"NO HAY REFERENCIA")</calculatedColumnFormula>
    </tableColumn>
    <tableColumn id="114" xr3:uid="{23954B39-0D50-4115-861B-417295B4F165}" name="Pago Pedimento a Cruce" dataDxfId="304">
      <calculatedColumnFormula>_xlfn.XLOOKUP(B2,'BASE DE EXCEL'!$C:$C,'BASE DE EXCEL'!Y:Y,"NO HAY REFERENCIA")</calculatedColumnFormula>
    </tableColumn>
    <tableColumn id="115" xr3:uid="{7649C87A-75BE-496E-8E09-F2F964CC1F89}" name="Etiqueta Pago Pedimento a Cruce" dataDxfId="303">
      <calculatedColumnFormula>_xlfn.XLOOKUP(B2,'BASE DE EXCEL'!$C:$C,'BASE DE EXCEL'!Z:Z,"NO HAY REFERENCIA")</calculatedColumnFormula>
    </tableColumn>
    <tableColumn id="116" xr3:uid="{D50BD428-DAFE-4CA6-B86C-E1DE6374A1A4}" name="Pago a Cruce" dataDxfId="302">
      <calculatedColumnFormula>_xlfn.XLOOKUP(B2,'BASE DE EXCEL'!$C:$C,'BASE DE EXCEL'!AA:AA,"NO HAY REFERENCIA")</calculatedColumnFormula>
    </tableColumn>
    <tableColumn id="117" xr3:uid="{BE21B638-69A4-4B7D-B4EE-7B0F03C35670}" name="CRUCE A ENTREGA" dataDxfId="301">
      <calculatedColumnFormula>_xlfn.XLOOKUP(B2,'BASE DE EXCEL'!$C:$C,'BASE DE EXCEL'!AB:AB,"NO HAY REFERENCIA")</calculatedColumnFormula>
    </tableColumn>
    <tableColumn id="118" xr3:uid="{9C4F1882-7E20-4224-B999-72D4CB46A61B}" name="ETIQUETA CRUCE A ENTREGA" dataDxfId="300">
      <calculatedColumnFormula>_xlfn.XLOOKUP(B2,'BASE DE EXCEL'!$C:$C,'BASE DE EXCEL'!AC:AC,"NO HAY REFERENCIA")</calculatedColumnFormula>
    </tableColumn>
    <tableColumn id="119" xr3:uid="{89607987-6444-4DBB-9243-846A40955A4F}" name="FECHA DE FACTURACIÓN" dataDxfId="299">
      <calculatedColumnFormula>_xlfn.XLOOKUP(B2,'BASE DE EXCEL'!$C:$C,'BASE DE EXCEL'!AD:AD,"NO HAY REFERENCIA")</calculatedColumnFormula>
    </tableColumn>
    <tableColumn id="120" xr3:uid="{EF4D44CC-F9E6-45C5-B615-5660A15FB696}" name="ENTREGA A ENTREGA DE FACTURA " dataDxfId="298">
      <calculatedColumnFormula>_xlfn.XLOOKUP(B2,'BASE DE EXCEL'!$C:$C,'BASE DE EXCEL'!AE:AE,"NO HAY REFERENCIA")</calculatedColumnFormula>
    </tableColumn>
    <tableColumn id="121" xr3:uid="{ED18AF2C-2165-4BC7-BE2C-7B11F105E840}" name="ENTREGA A FACTURA" dataDxfId="297">
      <calculatedColumnFormula>_xlfn.XLOOKUP(B2,'BASE DE EXCEL'!$C:$C,'BASE DE EXCEL'!AF:AF,"NO HAY REFERENCIA")</calculatedColumnFormula>
    </tableColumn>
    <tableColumn id="122" xr3:uid="{6C719C14-0F34-4565-A6DA-51543A482048}" name="FECHA RECIBE FACT" dataDxfId="296">
      <calculatedColumnFormula>_xlfn.XLOOKUP(B2,'BASE DE EXCEL'!$C:$C,'BASE DE EXCEL'!AG:AG,"NO HAY REFERENCIA")</calculatedColumnFormula>
    </tableColumn>
    <tableColumn id="123" xr3:uid="{ACC4458A-4F02-4945-A413-E64CB23A121E}" name="FECHA TIMBRADO" dataDxfId="295">
      <calculatedColumnFormula>_xlfn.XLOOKUP(B2,'BASE DE EXCEL'!$C:$C,'BASE DE EXCEL'!AH:AH,"NO HAY REFERENCIA")</calculatedColumnFormula>
    </tableColumn>
    <tableColumn id="124" xr3:uid="{6CE7F918-5128-4C04-B00F-C74FD0A0754A}" name="TIEMPO DE FACTURACION" dataDxfId="294">
      <calculatedColumnFormula>_xlfn.XLOOKUP(B2,'BASE DE EXCEL'!$C:$C,'BASE DE EXCEL'!AI:AI,"NO HAY REFERENCIA")</calculatedColumnFormula>
    </tableColumn>
    <tableColumn id="125" xr3:uid="{A7F66EBF-3342-46BC-B67B-22E4DEBC77AE}" name="ETIQUETA ENTREGA A FACTURA" dataDxfId="293">
      <calculatedColumnFormula>_xlfn.XLOOKUP(B2,'BASE DE EXCEL'!$C:$C,'BASE DE EXCEL'!AJ:AJ,"NO HAY REFERENCIA")</calculatedColumnFormula>
    </tableColumn>
    <tableColumn id="126" xr3:uid="{A13DE06C-774A-4BAA-9379-08DA124E76BD}" name="CuentaG_FechaFactura" dataDxfId="292">
      <calculatedColumnFormula>_xlfn.XLOOKUP(B2,'BASE DE EXCEL'!$C:$C,'BASE DE EXCEL'!AK:AK,"NO HAY REFERENCIA")</calculatedColumnFormula>
    </tableColumn>
    <tableColumn id="127" xr3:uid="{675367B3-9FC5-4ACC-8364-7E45D5A554DD}" name="Entrega de mercancia a factura excel" dataDxfId="291">
      <calculatedColumnFormula>_xlfn.XLOOKUP(B2,'BASE DE EXCEL'!$C:$C,'BASE DE EXCEL'!AL:AL,"NO HAY REFERENCIA")</calculatedColumnFormula>
    </tableColumn>
    <tableColumn id="128" xr3:uid="{62094279-34E8-44A5-87AF-B12FDB8D2797}" name="ETIQUETA ENTREGA A FACTURA excel" dataDxfId="290">
      <calculatedColumnFormula>_xlfn.XLOOKUP(B2,'BASE DE EXCEL'!$C:$C,'BASE DE EXCEL'!AM:AM,"NO HAY REFERENCIA")</calculatedColumnFormula>
    </tableColumn>
    <tableColumn id="129" xr3:uid="{A8582441-62F1-41AC-93F2-4321FC50CBF8}" name="KPI entrega a factura" dataDxfId="289">
      <calculatedColumnFormula>_xlfn.XLOOKUP(B2,'BASE DE EXCEL'!$C:$C,'BASE DE EXCEL'!AN:AN,"NO HAY REFERENCIA")</calculatedColumnFormula>
    </tableColumn>
    <tableColumn id="130" xr3:uid="{BC8D1532-6665-4236-9293-789D6C0FB3A0}" name="VERIFICADOR" dataDxfId="288">
      <calculatedColumnFormula>_xlfn.XLOOKUP(B2,'BASE DE EXCEL'!$C:$C,'BASE DE EXCEL'!AO:AO,"NO HAY REFERENCIA")</calculatedColumnFormula>
    </tableColumn>
    <tableColumn id="131" xr3:uid="{5F65AA61-28F6-4F19-ABCA-E2899A3DF429}" name="Comparacion" dataDxfId="287">
      <calculatedColumnFormula>_xlfn.XLOOKUP(B2,'BASE DE EXCEL'!$C:$C,'BASE DE EXCEL'!AP:AP,"NO HAY REFERENCIA")</calculatedColumnFormula>
    </tableColumn>
    <tableColumn id="132" xr3:uid="{3582A31E-0C35-4EED-9D7B-E76E1D4AF2D4}" name="Clave Pedimento2" dataDxfId="286">
      <calculatedColumnFormula>_xlfn.XLOOKUP(B2,'BASE DE EXCEL'!$C:$C,'BASE DE EXCEL'!AQ:AQ,"NO HAY REFERENCIA")</calculatedColumnFormula>
    </tableColumn>
    <tableColumn id="133" xr3:uid="{E339F5E8-C7C8-429F-AD3E-81BDBD3F8E4C}" name="Ejecutivo_ABC3" dataDxfId="285">
      <calculatedColumnFormula>_xlfn.XLOOKUP(B2,'BASE DE EXCEL'!$C:$C,'BASE DE EXCEL'!AR:AR,"NO HAY REFERENCIA")</calculatedColumnFormula>
    </tableColumn>
    <tableColumn id="134" xr3:uid="{3F0D5A6E-732D-4B39-86D5-A22E34230F46}" name="Guia Master" dataDxfId="284">
      <calculatedColumnFormula>_xlfn.XLOOKUP(B2,'BASE DE EXCEL'!$C:$C,'BASE DE EXCEL'!AS:AS,"NO HAY REFERENCIA")</calculatedColumnFormula>
    </tableColumn>
    <tableColumn id="135" xr3:uid="{193EF6BD-9FFD-4D10-97F7-E9A55CCB13A5}" name="Guia House" dataDxfId="283">
      <calculatedColumnFormula>_xlfn.XLOOKUP(B2,'BASE DE EXCEL'!$C:$C,'BASE DE EXCEL'!AT:AT,"NO HAY REFERENCIA")</calculatedColumnFormula>
    </tableColumn>
    <tableColumn id="136" xr3:uid="{8A3A1902-F478-432A-90B5-C0D02AB07CC4}" name="Pedimento4" dataDxfId="282">
      <calculatedColumnFormula>_xlfn.XLOOKUP(B2,'BASE DE EXCEL'!$C:$C,'BASE DE EXCEL'!AU:AU,"NO HAY REFERENCIA")</calculatedColumnFormula>
    </tableColumn>
    <tableColumn id="137" xr3:uid="{CBB99BDE-151C-4DFB-9635-388286060A62}" name="Tipo Operación Desc" dataDxfId="281">
      <calculatedColumnFormula>_xlfn.XLOOKUP(B2,'BASE DE EXCEL'!$C:$C,'BASE DE EXCEL'!AV:AV,"NO HAY REFERENCIA")</calculatedColumnFormula>
    </tableColumn>
    <tableColumn id="138" xr3:uid="{0894C525-DAF7-4D13-8975-08CAB119108D}" name="Mercancía" dataDxfId="280">
      <calculatedColumnFormula>_xlfn.XLOOKUP(B2,'BASE DE EXCEL'!$C:$C,'BASE DE EXCEL'!AW:AW,"NO HAY REFERENCIA")</calculatedColumnFormula>
    </tableColumn>
    <tableColumn id="139" xr3:uid="{C021F8E8-7EF2-4F72-A1A4-9BE899F1983A}" name="TIPO MERCANCIA OK" dataDxfId="279">
      <calculatedColumnFormula>_xlfn.XLOOKUP(B2,'BASE DE EXCEL'!$C:$C,'BASE DE EXCEL'!AX:AX,"NO HAY REFERENCIA")</calculatedColumnFormula>
    </tableColumn>
    <tableColumn id="140" xr3:uid="{46D2B6BD-3E47-4542-821B-2A26EB9D0A1D}" name="CLASIFICACIÓN DE MERCANCIA" dataDxfId="278">
      <calculatedColumnFormula>_xlfn.XLOOKUP(B2,'BASE DE EXCEL'!$C:$C,'BASE DE EXCEL'!AY:AY,"NO HAY REFERENCIA")</calculatedColumnFormula>
    </tableColumn>
    <tableColumn id="141" xr3:uid="{3F4BFC81-9EAA-40DE-B374-75E4DF14B988}" name="TIPO DE MERCANCIA" dataDxfId="277">
      <calculatedColumnFormula>_xlfn.XLOOKUP(B2,'BASE DE EXCEL'!$C:$C,'BASE DE EXCEL'!AZ:AZ,"NO HAY REFERENCIA")</calculatedColumnFormula>
    </tableColumn>
    <tableColumn id="142" xr3:uid="{231CE915-132D-4028-A5A7-53453D604AF4}" name="Cliente" dataDxfId="276">
      <calculatedColumnFormula>_xlfn.XLOOKUP(B2,'BASE DE EXCEL'!$C:$C,'BASE DE EXCEL'!BA:BA,"NO HAY REFERENCIA")</calculatedColumnFormula>
    </tableColumn>
    <tableColumn id="143" xr3:uid="{F4B9E211-609D-4E5E-8835-ED52004B7F4C}" name="Unidad de negocio" dataDxfId="275">
      <calculatedColumnFormula>_xlfn.XLOOKUP(B2,'BASE DE EXCEL'!$C:$C,'BASE DE EXCEL'!BB:BB,"NO HAY REFERENCIA")</calculatedColumnFormula>
    </tableColumn>
    <tableColumn id="144" xr3:uid="{92F71FFD-67D2-427A-90BE-A00D75B037FF}" name="MOTIVO DE RETRASO" dataDxfId="274">
      <calculatedColumnFormula>_xlfn.XLOOKUP(B2,'BASE DE EXCEL'!$C:$C,'BASE DE EXCEL'!BC:BC,"NO HAY REFERENCIA")</calculatedColumnFormula>
    </tableColumn>
    <tableColumn id="145" xr3:uid="{584D71BF-214D-4934-A49C-883B1F4620F1}" name="MOTIVO DE RETRASO OTRO" dataDxfId="273">
      <calculatedColumnFormula>_xlfn.XLOOKUP(B2,'BASE DE EXCEL'!$C:$C,'BASE DE EXCEL'!BD:BD,"NO HAY REFERENCIA")</calculatedColumnFormula>
    </tableColumn>
    <tableColumn id="146" xr3:uid="{BB1647BB-DEFB-4BAE-9E0B-C86FD8B7B340}" name="MOTIVO DE RETRASO COMPLETO" dataDxfId="272">
      <calculatedColumnFormula>_xlfn.XLOOKUP(B2,'BASE DE EXCEL'!$C:$C,'BASE DE EXCEL'!BE:BE,"NO HAY REFERENCIA")</calculatedColumnFormula>
    </tableColumn>
    <tableColumn id="147" xr3:uid="{E1129E22-9BE6-4EF0-A72D-6D375F336EAA}" name="Ejecutivo_Tipo_Mercancia" dataDxfId="271">
      <calculatedColumnFormula>_xlfn.XLOOKUP(B2,'BASE DE EXCEL'!$C:$C,'BASE DE EXCEL'!BF:BF,"NO HAY REFERENCIA")</calculatedColumnFormula>
    </tableColumn>
    <tableColumn id="148" xr3:uid="{4A8FEA41-F259-4D8F-8D38-C649CE501732}" name="Primera Selección" dataDxfId="270">
      <calculatedColumnFormula>_xlfn.XLOOKUP(B2,'BASE DE EXCEL'!$C:$C,'BASE DE EXCEL'!BG:BG,"NO HAY REFERENCIA")</calculatedColumnFormula>
    </tableColumn>
    <tableColumn id="149" xr3:uid="{9CC1E99A-48E4-47AE-A968-835D5254B14D}" name="TRANSPORTISTA." dataDxfId="269">
      <calculatedColumnFormula>_xlfn.XLOOKUP(B2,'BASE DE EXCEL'!$C:$C,'BASE DE EXCEL'!BH:BH,"NO HAY REFERENCIA")</calculatedColumnFormula>
    </tableColumn>
    <tableColumn id="150" xr3:uid="{C4656779-0314-461F-984D-382C5956757A}" name="UNIDAD RENTADA" dataDxfId="268">
      <calculatedColumnFormula>_xlfn.XLOOKUP(B2,'BASE DE EXCEL'!$C:$C,'BASE DE EXCEL'!BI:BI,"NO HAY REFERENCIA")</calculatedColumnFormula>
    </tableColumn>
    <tableColumn id="151" xr3:uid="{70DE1524-A273-47E2-B644-DBAC81587031}" name="UNIDAD SUPER EXPRESS" dataDxfId="267">
      <calculatedColumnFormula>_xlfn.XLOOKUP(B2,'BASE DE EXCEL'!$C:$C,'BASE DE EXCEL'!BJ:BJ,"NO HAY REFERENCIA")</calculatedColumnFormula>
    </tableColumn>
    <tableColumn id="152" xr3:uid="{8EDA98A8-E17E-4C7D-98BC-6957C8065022}" name="RFC_Importador" dataDxfId="266">
      <calculatedColumnFormula>_xlfn.XLOOKUP(B2,'BASE DE EXCEL'!$C:$C,'BASE DE EXCEL'!BK:BK,"NO HAY REFERENCIA")</calculatedColumnFormula>
    </tableColumn>
    <tableColumn id="153" xr3:uid="{A6A2D129-FE90-42CC-9F30-6A6E03DA31CB}" name="OtrosIncPed" dataDxfId="265">
      <calculatedColumnFormula>_xlfn.XLOOKUP(B2,'BASE DE EXCEL'!$C:$C,'BASE DE EXCEL'!BL:BL,"NO HAY REFERENCIA")</calculatedColumnFormula>
    </tableColumn>
    <tableColumn id="154" xr3:uid="{7746A8C0-72B8-413B-81A7-82C4AC9B6F1B}" name="Nico5" dataDxfId="264">
      <calculatedColumnFormula>_xlfn.XLOOKUP(B2,'BASE DE EXCEL'!$C:$C,'BASE DE EXCEL'!BM:BM,"NO HAY REFERENCIA")</calculatedColumnFormula>
    </tableColumn>
    <tableColumn id="155" xr3:uid="{983915E2-E7A9-414C-BEB7-414AF0E37149}" name="Mercancia_CovesSubModelo" dataDxfId="263">
      <calculatedColumnFormula>_xlfn.XLOOKUP(B2,'BASE DE EXCEL'!$C:$C,'BASE DE EXCEL'!BN:BN,"NO HAY REFERENCIA")</calculatedColumnFormula>
    </tableColumn>
    <tableColumn id="156" xr3:uid="{9B8F68E3-8FA7-49A0-8AB3-D97F0C651435}" name="Días Credito" dataDxfId="262">
      <calculatedColumnFormula>_xlfn.XLOOKUP(B2,'BASE DE EXCEL'!$C:$C,'BASE DE EXCEL'!BO:BO,"NO HAY REFERENCIA")</calculatedColumnFormula>
    </tableColumn>
    <tableColumn id="157" xr3:uid="{F2FA8D28-8DDF-46B8-892C-D6CDBD421603}" name="Valor Moneda Factura " dataDxfId="261">
      <calculatedColumnFormula>_xlfn.XLOOKUP(B2,'BASE DE EXCEL'!$C:$C,'BASE DE EXCEL'!BP:BP,"NO HAY REFERENCIA")</calculatedColumnFormula>
    </tableColumn>
    <tableColumn id="158" xr3:uid="{EE9FE58D-FECA-4BCD-83EB-FC1626797D5F}" name="UMT DESCRIPCION" dataDxfId="260">
      <calculatedColumnFormula>_xlfn.XLOOKUP(B2,'BASE DE EXCEL'!$C:$C,'BASE DE EXCEL'!BQ:BQ,"NO HAY REFERENCIA")</calculatedColumnFormula>
    </tableColumn>
    <tableColumn id="159" xr3:uid="{E6155E34-7BB9-4C18-A944-BDF6FCCA5D12}" name="Motivo de Rectificación" dataDxfId="259">
      <calculatedColumnFormula>_xlfn.XLOOKUP(B2,'BASE DE EXCEL'!$C:$C,'BASE DE EXCEL'!BR:BR,"NO HAY REFERENCIA")</calculatedColumnFormula>
    </tableColumn>
    <tableColumn id="160" xr3:uid="{8FA80873-5258-40FE-A43E-6AD19C77625C}" name="Nombre País Origen/Destino" dataDxfId="258">
      <calculatedColumnFormula>_xlfn.XLOOKUP(B2,'BASE DE EXCEL'!$C:$C,'BASE DE EXCEL'!BS:BS,"NO HAY REFERENCIA")</calculatedColumnFormula>
    </tableColumn>
    <tableColumn id="161" xr3:uid="{D5954EB4-6A49-41C0-8852-7894DC6E6BBF}" name="Nombre País Vendedor/Comprador" dataDxfId="257">
      <calculatedColumnFormula>_xlfn.XLOOKUP(B2,'BASE DE EXCEL'!$C:$C,'BASE DE EXCEL'!BT:BT,"NO HAY REFERENCIA")</calculatedColumnFormula>
    </tableColumn>
    <tableColumn id="162" xr3:uid="{5C9D9BC9-1056-475F-BC66-D7E369A043FA}" name="Clave de País Origen/Destino" dataDxfId="256">
      <calculatedColumnFormula>_xlfn.XLOOKUP(B2,'BASE DE EXCEL'!$C:$C,'BASE DE EXCEL'!BU:BU,"NO HAY REFERENCIA")</calculatedColumnFormula>
    </tableColumn>
    <tableColumn id="163" xr3:uid="{68EF5816-8A1C-4CCA-A257-F0AE3E9C76E0}" name="Clave de País Vendedor/Comprador" dataDxfId="255">
      <calculatedColumnFormula>_xlfn.XLOOKUP(B2,'BASE DE EXCEL'!$C:$C,'BASE DE EXCEL'!BV:BV,"NO HAY REFERENCIA")</calculatedColumnFormula>
    </tableColumn>
    <tableColumn id="164" xr3:uid="{CB9EA983-C512-47B8-ACB3-F741D2259E0C}" name="Aduana/Sección Despacho2" dataDxfId="254">
      <calculatedColumnFormula>_xlfn.XLOOKUP(B2,QUERY!$C:$C,QUERY!D:D)</calculatedColumnFormula>
    </tableColumn>
    <tableColumn id="165" xr3:uid="{34A6D8F2-ADA4-4AD9-9556-E2483D88AF51}" name=" Fecha de Pago3" dataDxfId="253">
      <calculatedColumnFormula>_xlfn.XLOOKUP(B2,QUERY!$C:$C,QUERY!E:E)</calculatedColumnFormula>
    </tableColumn>
    <tableColumn id="166" xr3:uid="{8CD8E571-47C6-40A8-A5D9-2C3382F5D9E0}" name="MES4" dataDxfId="252">
      <calculatedColumnFormula>_xlfn.XLOOKUP(B2,QUERY!$C:$C,QUERY!F:F)</calculatedColumnFormula>
    </tableColumn>
    <tableColumn id="167" xr3:uid="{FD2B9424-B130-4283-8A3A-06C7C88113BA}" name="Fecha Entrada/Presentación5" dataDxfId="251">
      <calculatedColumnFormula>_xlfn.XLOOKUP(B2,QUERY!$C:$C,QUERY!G:G)</calculatedColumnFormula>
    </tableColumn>
    <tableColumn id="168" xr3:uid="{9A5C9467-B3A5-4E5C-B9C7-20B89B4FA2EF}" name="Fecha de Pago funcion6" dataDxfId="250">
      <calculatedColumnFormula>_xlfn.XLOOKUP(B2,QUERY!$C:$C,QUERY!H:H)</calculatedColumnFormula>
    </tableColumn>
    <tableColumn id="169" xr3:uid="{09F6D6F6-7FB8-45CF-9F0E-0E6C2CA6C547}" name="Entrada de pago7" dataDxfId="249">
      <calculatedColumnFormula>_xlfn.XLOOKUP(B2,QUERY!$C:$C,QUERY!I:I)</calculatedColumnFormula>
    </tableColumn>
    <tableColumn id="170" xr3:uid="{C293C52C-8DC7-4BEA-939B-15390852DE35}" name="Etiqueta Entrada a Pago8" dataDxfId="248">
      <calculatedColumnFormula>_xlfn.XLOOKUP(B2,QUERY!$C:$C,QUERY!J:J)</calculatedColumnFormula>
    </tableColumn>
    <tableColumn id="171" xr3:uid="{40C23C22-87A1-4B53-AF42-2F11F050D7A7}" name="Fecha primera Selección9" dataDxfId="247">
      <calculatedColumnFormula>_xlfn.XLOOKUP(B2,QUERY!$C:$C,QUERY!K:K)</calculatedColumnFormula>
    </tableColumn>
    <tableColumn id="172" xr3:uid="{8223DB24-CB6B-4448-8B46-D758A63378FD}" name="Entrada a Cruce10" dataDxfId="246">
      <calculatedColumnFormula>_xlfn.XLOOKUP(B2,QUERY!$C:$C,QUERY!L:L)</calculatedColumnFormula>
    </tableColumn>
    <tableColumn id="173" xr3:uid="{96E49D44-D849-482F-ABA3-F850ECE61CD5}" name="Etiqueta entrada a Cruce" dataDxfId="245">
      <calculatedColumnFormula>_xlfn.XLOOKUP(B2,QUERY!$C:$C,QUERY!M:M)</calculatedColumnFormula>
    </tableColumn>
    <tableColumn id="174" xr3:uid="{26D828C7-5BE4-44D8-A90A-27378B85087B}" name="Pago Pedimento a Cruce11" dataDxfId="244">
      <calculatedColumnFormula>_xlfn.XLOOKUP(B2,QUERY!$C:$C,QUERY!N:N)</calculatedColumnFormula>
    </tableColumn>
    <tableColumn id="175" xr3:uid="{DDD8A733-94B1-4293-BB48-25B97E9F84EA}" name="Etiqueta Pago Pedimento a Cruce12" dataDxfId="243">
      <calculatedColumnFormula>_xlfn.XLOOKUP(B2,QUERY!$C:$C,QUERY!O:O)</calculatedColumnFormula>
    </tableColumn>
    <tableColumn id="176" xr3:uid="{48A4473E-7381-4244-AB2A-2DDA70836F7B}" name="Pago a Cruce13" dataDxfId="242">
      <calculatedColumnFormula>_xlfn.XLOOKUP(B2,QUERY!$C:$C,QUERY!P:P)</calculatedColumnFormula>
    </tableColumn>
    <tableColumn id="177" xr3:uid="{53427094-BD5A-40E8-9B30-438BE93FFB6F}" name="CRUCE A ENTREGA14" dataDxfId="241">
      <calculatedColumnFormula>_xlfn.XLOOKUP(B2,QUERY!$C:$C,QUERY!Q:Q)</calculatedColumnFormula>
    </tableColumn>
    <tableColumn id="178" xr3:uid="{26D96F1E-0BBF-4790-95AC-D404E8452112}" name="ETIQUETA CRUCE A ENTREGA15" dataDxfId="240">
      <calculatedColumnFormula>_xlfn.XLOOKUP(B2,QUERY!$C:$C,QUERY!R:R)</calculatedColumnFormula>
    </tableColumn>
    <tableColumn id="179" xr3:uid="{45FFAC6C-1D95-449E-A350-6D21A176366D}" name="FECHA ENTREGA DE  MERCANCIA16" dataDxfId="239">
      <calculatedColumnFormula>_xlfn.XLOOKUP(B2,QUERY!$C:$C,QUERY!S:S)</calculatedColumnFormula>
    </tableColumn>
    <tableColumn id="180" xr3:uid="{F883E655-A1C1-46B6-AC3A-3E8064BC8EF0}" name="Entrada a Entrega17" dataDxfId="238">
      <calculatedColumnFormula>_xlfn.XLOOKUP(B2,QUERY!$C:$C,QUERY!T:T)</calculatedColumnFormula>
    </tableColumn>
    <tableColumn id="181" xr3:uid="{6BB7A7C4-3E2A-4D41-BE3B-96462BCFDE33}" name="Etiqueta Entrada a Entrega18" dataDxfId="237">
      <calculatedColumnFormula>_xlfn.XLOOKUP(B2,QUERY!$C:$C,QUERY!U:U)</calculatedColumnFormula>
    </tableColumn>
    <tableColumn id="182" xr3:uid="{E6095780-B74E-4B5C-B67F-49E0A0A57D85}" name="Entrada a Factura19" dataDxfId="236">
      <calculatedColumnFormula>_xlfn.XLOOKUP(B2,QUERY!$C:$C,QUERY!V:V)</calculatedColumnFormula>
    </tableColumn>
    <tableColumn id="183" xr3:uid="{22533F0A-3468-4814-823B-F127DD7EA8A6}" name="Etiqueta Entrada a Factura20" dataDxfId="235">
      <calculatedColumnFormula>_xlfn.XLOOKUP(B2,QUERY!$C:$C,QUERY!W:W)</calculatedColumnFormula>
    </tableColumn>
    <tableColumn id="184" xr3:uid="{24B64F5F-AA23-4BA0-AE71-CA48C66D092D}" name="FECHA DE FACTURACIÓN21" dataDxfId="234">
      <calculatedColumnFormula>_xlfn.XLOOKUP(B2,QUERY!$C:$C,QUERY!X:X)</calculatedColumnFormula>
    </tableColumn>
    <tableColumn id="185" xr3:uid="{264BCB91-1174-41BF-B431-2AEF08DD3418}" name="ENTREGA A ENTREGA DE FACTURA 22" dataDxfId="233">
      <calculatedColumnFormula>_xlfn.XLOOKUP(B2,QUERY!$C:$C,QUERY!Y:Y)</calculatedColumnFormula>
    </tableColumn>
    <tableColumn id="186" xr3:uid="{ADEB4346-98ED-4A68-BF0F-E5A4CB9E0326}" name="ENTREGA A FACTURA23" dataDxfId="232">
      <calculatedColumnFormula>_xlfn.XLOOKUP(B2,QUERY!$C:$C,QUERY!Z:Z)</calculatedColumnFormula>
    </tableColumn>
    <tableColumn id="187" xr3:uid="{4D80D623-42FF-4CA4-AE59-09F8336B2875}" name="FECHA RECIBE FACT24" dataDxfId="231">
      <calculatedColumnFormula>_xlfn.XLOOKUP(B2,QUERY!$C:$C,QUERY!AA:AA)</calculatedColumnFormula>
    </tableColumn>
    <tableColumn id="188" xr3:uid="{330785C0-FCCF-4224-9261-E9D91CADBD60}" name="FECHA TIMBRADO25" dataDxfId="230">
      <calculatedColumnFormula>_xlfn.XLOOKUP(B2,QUERY!$C:$C,QUERY!AB:AB)</calculatedColumnFormula>
    </tableColumn>
    <tableColumn id="189" xr3:uid="{29391B6C-1531-460C-9C47-DEADB895E886}" name="CuentaG_FechaFactura26" dataDxfId="229">
      <calculatedColumnFormula>_xlfn.XLOOKUP(B2,QUERY!$C:$C,QUERY!AC:AC)</calculatedColumnFormula>
    </tableColumn>
    <tableColumn id="190" xr3:uid="{2CF66818-EF1F-4B1C-831A-A24B60C5A90A}" name="TIEMPO DE FACTURACION27" dataDxfId="228">
      <calculatedColumnFormula>_xlfn.XLOOKUP(B2,QUERY!$C:$C,QUERY!AD:AD)</calculatedColumnFormula>
    </tableColumn>
    <tableColumn id="191" xr3:uid="{2340857B-5081-464A-8C84-A42F1169F669}" name="CuentaG_FechaFactura2" dataDxfId="227">
      <calculatedColumnFormula>_xlfn.XLOOKUP(B2,QUERY!$C:$C,QUERY!AE:AE)</calculatedColumnFormula>
    </tableColumn>
    <tableColumn id="192" xr3:uid="{AE1CCA38-B7F5-42C0-AD19-950A455434A4}" name="ETIQUETA ENTREGA A FACTURA28" dataDxfId="226">
      <calculatedColumnFormula>_xlfn.XLOOKUP(B2,QUERY!$C:$C,QUERY!AF:AF)</calculatedColumnFormula>
    </tableColumn>
    <tableColumn id="193" xr3:uid="{902936C0-035E-4E9F-B520-1EF6BD495F7A}" name="CuentaG_FechaFactura3" dataDxfId="225">
      <calculatedColumnFormula>_xlfn.XLOOKUP(B2,QUERY!$C:$C,QUERY!AG:AG)</calculatedColumnFormula>
    </tableColumn>
    <tableColumn id="194" xr3:uid="{8C2F2C42-AEA3-411D-BE11-BC0660EB1BAC}" name="VERIFICADOR29" dataDxfId="224">
      <calculatedColumnFormula>_xlfn.XLOOKUP(B2,QUERY!$C:$C,QUERY!AH:AH)</calculatedColumnFormula>
    </tableColumn>
    <tableColumn id="195" xr3:uid="{A566E22C-6C9F-418E-93FE-AA113FF40A8D}" name="Comparacion30" dataDxfId="223">
      <calculatedColumnFormula>_xlfn.XLOOKUP(B2,QUERY!$C:$C,QUERY!AI:AI)</calculatedColumnFormula>
    </tableColumn>
    <tableColumn id="196" xr3:uid="{BAFCBDA9-EC26-4B92-9DF8-52F04B392D7A}" name="Clave Pedimento31" dataDxfId="222">
      <calculatedColumnFormula>_xlfn.XLOOKUP(B2,QUERY!$C:$C,QUERY!AJ:AJ)</calculatedColumnFormula>
    </tableColumn>
    <tableColumn id="197" xr3:uid="{5D7A6086-C168-4840-B1A6-47130436D22D}" name="Ejecutivo_ABC32" dataDxfId="221">
      <calculatedColumnFormula>_xlfn.XLOOKUP(B2,QUERY!$C:$C,QUERY!AK:AK)</calculatedColumnFormula>
    </tableColumn>
    <tableColumn id="198" xr3:uid="{875A8689-DCDA-40EE-B7AD-D483D9C8F8CA}" name="Guia Master33" dataDxfId="220">
      <calculatedColumnFormula>_xlfn.XLOOKUP(B2,QUERY!$C:$C,QUERY!AL:AL)</calculatedColumnFormula>
    </tableColumn>
    <tableColumn id="199" xr3:uid="{DD737686-6EE9-4E24-904F-D61F28AA9CF2}" name="Guia House34" dataDxfId="219">
      <calculatedColumnFormula>_xlfn.XLOOKUP(B2,QUERY!$C:$C,QUERY!AM:AM)</calculatedColumnFormula>
    </tableColumn>
    <tableColumn id="200" xr3:uid="{CAA79E2D-DBD0-48F7-BDB6-353D69158E03}" name="Pedimento35" dataDxfId="218">
      <calculatedColumnFormula>_xlfn.XLOOKUP(B2,QUERY!$C:$C,QUERY!AN:AN)</calculatedColumnFormula>
    </tableColumn>
    <tableColumn id="201" xr3:uid="{9B27BE1E-10B3-47C3-B899-383F86A82A1F}" name="Tipo Operación Desc36" dataDxfId="217">
      <calculatedColumnFormula>_xlfn.XLOOKUP(B2,QUERY!$C:$C,QUERY!AO:AO)</calculatedColumnFormula>
    </tableColumn>
    <tableColumn id="202" xr3:uid="{C705D849-201F-4AAA-8E8A-E498033F1875}" name="Mercancía37" dataDxfId="216">
      <calculatedColumnFormula>_xlfn.XLOOKUP(B2,QUERY!$C:$C,QUERY!AP:AP)</calculatedColumnFormula>
    </tableColumn>
    <tableColumn id="203" xr3:uid="{FDCD6AE7-9DC1-433A-991E-0AEFD97C9970}" name="TIPO MERCANCIA OK38" dataDxfId="215">
      <calculatedColumnFormula>_xlfn.XLOOKUP(B2,QUERY!$C:$C,QUERY!AQ:AQ)</calculatedColumnFormula>
    </tableColumn>
    <tableColumn id="204" xr3:uid="{3B8F9DC0-1194-4575-92E2-3179321750AB}" name="CLASIFICACIÓN DE MERCANCIA39" dataDxfId="214">
      <calculatedColumnFormula>_xlfn.XLOOKUP(B2,QUERY!$C:$C,QUERY!AR:AR)</calculatedColumnFormula>
    </tableColumn>
    <tableColumn id="205" xr3:uid="{34ABD86D-1A5C-4BE3-B118-455F9921D855}" name="TIPO DE MERCANCIA40" dataDxfId="213">
      <calculatedColumnFormula>_xlfn.XLOOKUP(B2,QUERY!$C:$C,QUERY!AS:AS)</calculatedColumnFormula>
    </tableColumn>
    <tableColumn id="206" xr3:uid="{9AA06A03-7698-4845-80D4-BA5CD1F90F7D}" name="Cliente41" dataDxfId="212">
      <calculatedColumnFormula>_xlfn.XLOOKUP(B2,QUERY!$C:$C,QUERY!AT:AT)</calculatedColumnFormula>
    </tableColumn>
    <tableColumn id="207" xr3:uid="{BFC4FAC8-C912-47DA-9B57-298B4D5C0398}" name="Unidad de negocio42" dataDxfId="211">
      <calculatedColumnFormula>_xlfn.XLOOKUP(B2,QUERY!$C:$C,QUERY!AU:AU)</calculatedColumnFormula>
    </tableColumn>
    <tableColumn id="208" xr3:uid="{22B0D0D5-6263-46E2-A751-CA0DC1EC5924}" name="MOTIVO DE RETRASO43" dataDxfId="210">
      <calculatedColumnFormula>_xlfn.XLOOKUP(B2,QUERY!$C:$C,QUERY!AV:AV)</calculatedColumnFormula>
    </tableColumn>
    <tableColumn id="209" xr3:uid="{EB811779-06A1-4948-8CB9-7958EFD9CDAD}" name="MOTIVO DE RETRASO OTRO44" dataDxfId="209">
      <calculatedColumnFormula>_xlfn.XLOOKUP(B2,QUERY!$C:$C,QUERY!AW:AW)</calculatedColumnFormula>
    </tableColumn>
    <tableColumn id="210" xr3:uid="{EE1160ED-F915-4D4D-85B8-C432733FC1CA}" name="MOTIVO DE RETRASO COMPLETO45" dataDxfId="208">
      <calculatedColumnFormula>_xlfn.XLOOKUP(B2,QUERY!$C:$C,QUERY!AX:AX)</calculatedColumnFormula>
    </tableColumn>
    <tableColumn id="211" xr3:uid="{61F35E3C-7043-4055-82F6-94CAD47F979E}" name="Ejecutivo_Tipo_Mercancia46" dataDxfId="207">
      <calculatedColumnFormula>_xlfn.XLOOKUP(B2,QUERY!$C:$C,QUERY!AY:AY)</calculatedColumnFormula>
    </tableColumn>
    <tableColumn id="212" xr3:uid="{55A0A94B-0ADC-441D-98F6-87049475DFC1}" name="Primera Selección47" dataDxfId="206">
      <calculatedColumnFormula>_xlfn.XLOOKUP(B2,QUERY!$C:$C,QUERY!AZ:AZ)</calculatedColumnFormula>
    </tableColumn>
    <tableColumn id="213" xr3:uid="{B28B1CCD-ADDA-4DE5-A1F9-E3A494173AA0}" name="TRANSPORTISTA.48" dataDxfId="205">
      <calculatedColumnFormula>_xlfn.XLOOKUP(B2,QUERY!$C:$C,QUERY!BA:BA)</calculatedColumnFormula>
    </tableColumn>
    <tableColumn id="214" xr3:uid="{CEF88124-8FD3-47F3-981A-B37DBB4A08BD}" name="UNIDAD RENTADA49" dataDxfId="204">
      <calculatedColumnFormula>_xlfn.XLOOKUP(B2,QUERY!$C:$C,QUERY!BB:BB)</calculatedColumnFormula>
    </tableColumn>
    <tableColumn id="215" xr3:uid="{842CD22B-97D8-47D2-8382-E77B0B11AD33}" name="UNIDAD SUPER EXPRESS50" dataDxfId="203">
      <calculatedColumnFormula>_xlfn.XLOOKUP(B2,QUERY!$C:$C,QUERY!BC:BC)</calculatedColumnFormula>
    </tableColumn>
    <tableColumn id="216" xr3:uid="{688548D8-CC5F-44BF-8E70-451671EE737E}" name="RFC_Importador51" dataDxfId="202">
      <calculatedColumnFormula>_xlfn.XLOOKUP(B2,QUERY!$C:$C,QUERY!BD:BD)</calculatedColumnFormula>
    </tableColumn>
    <tableColumn id="217" xr3:uid="{9FBFE1DA-587E-42C7-8449-7126CA454FCC}" name="OtrosIncPed52" dataDxfId="201">
      <calculatedColumnFormula>_xlfn.XLOOKUP(B2,QUERY!$C:$C,QUERY!BE:BE)</calculatedColumnFormula>
    </tableColumn>
    <tableColumn id="218" xr3:uid="{3C542F1D-06A5-4D0C-B201-E7B3CD8F81D0}" name="Nico53" dataDxfId="200">
      <calculatedColumnFormula>_xlfn.XLOOKUP(B2,QUERY!$C:$C,QUERY!BF:BF)</calculatedColumnFormula>
    </tableColumn>
    <tableColumn id="219" xr3:uid="{BDAE8DA6-349A-4DF5-949A-212ADE595652}" name="Mercancia_CovesSubModelo54" dataDxfId="199">
      <calculatedColumnFormula>_xlfn.XLOOKUP(B2,QUERY!$C:$C,QUERY!BG:BG)</calculatedColumnFormula>
    </tableColumn>
    <tableColumn id="220" xr3:uid="{5FDA9667-C8C8-4BEC-ABC7-2C2B2DC338EB}" name="Días Credito55" dataDxfId="198">
      <calculatedColumnFormula>_xlfn.XLOOKUP(B2,QUERY!$C:$C,QUERY!BH:BH)</calculatedColumnFormula>
    </tableColumn>
    <tableColumn id="221" xr3:uid="{651A7ED1-2766-4488-BB7E-C208C949D118}" name="Valor Moneda Factura 56" dataDxfId="197">
      <calculatedColumnFormula>_xlfn.XLOOKUP(B2,QUERY!$C:$C,QUERY!BI:BI)</calculatedColumnFormula>
    </tableColumn>
    <tableColumn id="222" xr3:uid="{2AB136BF-0CE6-4750-B0F4-1058366037E0}" name="UMT DESCRIPCION57" dataDxfId="196">
      <calculatedColumnFormula>_xlfn.XLOOKUP(B2,QUERY!$C:$C,QUERY!BJ:BJ)</calculatedColumnFormula>
    </tableColumn>
    <tableColumn id="223" xr3:uid="{17F89ECD-AA5E-4AE5-A8CC-057F46C64D82}" name="Motivo de Rectificación58" dataDxfId="195">
      <calculatedColumnFormula>_xlfn.XLOOKUP(B2,QUERY!$C:$C,QUERY!BK:BK)</calculatedColumnFormula>
    </tableColumn>
    <tableColumn id="224" xr3:uid="{F2DE189E-4F6F-4D01-81F0-FBB74DEF826B}" name="Nombre País Origen/Destino59" dataDxfId="194">
      <calculatedColumnFormula>_xlfn.XLOOKUP(B2,QUERY!$C:$C,QUERY!BL:BL)</calculatedColumnFormula>
    </tableColumn>
    <tableColumn id="225" xr3:uid="{420B1478-0797-4A02-8640-FF2272B98699}" name="Nombre País Vendedor/Comprador60" dataDxfId="193">
      <calculatedColumnFormula>_xlfn.XLOOKUP(B2,QUERY!$C:$C,QUERY!BM:BM)</calculatedColumnFormula>
    </tableColumn>
    <tableColumn id="226" xr3:uid="{EA8FFCB2-DD90-47E1-8975-A1DA911AD801}" name="Clave de País Origen/Destino61" dataDxfId="192">
      <calculatedColumnFormula>_xlfn.XLOOKUP(B2,QUERY!$C:$C,QUERY!BN:BN)</calculatedColumnFormula>
    </tableColumn>
    <tableColumn id="227" xr3:uid="{8DB56F30-69F1-4F3C-A8B5-7E205277E652}" name="Clave de País Vendedor/Comprador62" dataDxfId="191">
      <calculatedColumnFormula>_xlfn.XLOOKUP(B2,QUERY!$C:$C,QUERY!BO:BO)</calculatedColumnFormula>
    </tableColumn>
    <tableColumn id="228" xr3:uid="{929AB679-A9E8-4866-AFE1-BEDB2F57D7BD}" name="Valor Aduana" dataDxfId="190">
      <calculatedColumnFormula>_xlfn.XLOOKUP(B2,QUERY!$C:$C,QUERY!BP:BP)</calculatedColumnFormula>
    </tableColumn>
    <tableColumn id="229" xr3:uid="{2EC5B7FE-3361-4751-B1C8-E58887285277}" name="Importe DTA FP1" dataDxfId="189">
      <calculatedColumnFormula>_xlfn.XLOOKUP(B2,QUERY!$C:$C,QUERY!BQ:BQ)</calculatedColumnFormula>
    </tableColumn>
    <tableColumn id="230" xr3:uid="{0C0A184F-3F17-4E73-9167-2E1DD5EC272C}" name="Importe IVA 1" dataDxfId="188">
      <calculatedColumnFormula>_xlfn.XLOOKUP(B2,QUERY!$C:$C,QUERY!BR:BR)</calculatedColumnFormula>
    </tableColumn>
    <tableColumn id="231" xr3:uid="{5ECDE0F4-09AA-4F42-9F53-10BEFDA9F431}" name="IGI" dataDxfId="187">
      <calculatedColumnFormula>_xlfn.XLOOKUP(B2,QUERY!$C:$C,QUERY!BS:BS)</calculatedColumnFormula>
    </tableColumn>
    <tableColumn id="232" xr3:uid="{0F216D86-B1FC-4B5D-8CEA-985780720DB6}" name="TotalCuentadeGastos" dataDxfId="186">
      <calculatedColumnFormula>_xlfn.XLOOKUP(B2,QUERY!$C:$C,QUERY!BT:BT)</calculatedColumnFormula>
    </tableColumn>
    <tableColumn id="57" xr3:uid="{4585E464-A7E8-46F9-A113-23EF1639C270}" name="Sucursal" dataDxfId="185">
      <calculatedColumnFormula>_xlfn.XLOOKUP(B2,QUERY!$C:$C,QUERY!A:A)</calculatedColumnFormula>
    </tableColumn>
    <tableColumn id="58" xr3:uid="{8A6DDF37-C9AD-4145-81BE-56571778B98C}" name="Tipo Sucursal" dataDxfId="184">
      <calculatedColumnFormula>_xlfn.XLOOKUP(B2,QUERY!$C:$C,QUERY!B:B)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A8434-E42C-4335-85C7-2C466B97C3A1}" name="ABEL" displayName="ABEL" ref="A1:CM175" totalsRowShown="0" headerRowDxfId="183" dataDxfId="182">
  <autoFilter ref="A1:CM175" xr:uid="{316A8434-E42C-4335-85C7-2C466B97C3A1}"/>
  <sortState xmlns:xlrd2="http://schemas.microsoft.com/office/spreadsheetml/2017/richdata2" ref="A4:CM170">
    <sortCondition ref="BF1:BF175"/>
  </sortState>
  <tableColumns count="91">
    <tableColumn id="1" xr3:uid="{01D49191-C031-4063-84C7-F2795AD17AAE}" name="NO. IMP. / EXP. (NOMBRE)" dataDxfId="181"/>
    <tableColumn id="2" xr3:uid="{85278E31-F400-4421-BB20-57271825AB90}" name="REF.A.A." dataDxfId="180"/>
    <tableColumn id="3" xr3:uid="{F6B15F75-9B5A-4A79-90E4-A34D02A3466B}" name="PATENTE" dataDxfId="179"/>
    <tableColumn id="4" xr3:uid="{54444B11-F78B-444F-8E62-0E32A86FBA18}" name="PEDIMENTO" dataDxfId="178"/>
    <tableColumn id="5" xr3:uid="{48EE642C-E539-4EDA-A7A8-8A0BDEF39AF5}" name="PEDIMENTO ORIG. (RECT.)" dataDxfId="177"/>
    <tableColumn id="6" xr3:uid="{43EA99CA-3A1E-4E92-B2EC-090AF4EF4510}" name="T.O" dataDxfId="176"/>
    <tableColumn id="7" xr3:uid="{3FCFBA3A-161F-4008-A5F4-DE5789C4701B}" name="CLAVE PEDIMENTO" dataDxfId="175"/>
    <tableColumn id="8" xr3:uid="{41DB71FE-BF1D-405E-B72D-056C57E007B8}" name="Tasa Partida IVA" dataDxfId="174"/>
    <tableColumn id="9" xr3:uid="{D98E841D-66E4-4AEE-B6B0-19C22A36D33B}" name="Importe Partida IVA" dataDxfId="173"/>
    <tableColumn id="10" xr3:uid="{A5BB984C-2852-448A-991C-50A1382A42A0}" name="Tasa Partida CC" dataDxfId="172"/>
    <tableColumn id="11" xr3:uid="{4836A142-E047-467A-BD94-9B33E4376C66}" name="Importe Partida CC" dataDxfId="171"/>
    <tableColumn id="12" xr3:uid="{C0659CA4-0627-4948-B601-A2EBC68BB0D7}" name="Tasa Partida IEPS" dataDxfId="170"/>
    <tableColumn id="13" xr3:uid="{224ECBA1-EA18-465D-8294-90A53E0C1FB9}" name="Importe Partida IEPS" dataDxfId="169"/>
    <tableColumn id="14" xr3:uid="{0899BC0C-8642-4B99-A343-74ECAAD8C6E4}" name="Tasa Partida IGI/IGE" dataDxfId="168"/>
    <tableColumn id="15" xr3:uid="{F455103D-9608-4FA7-95A5-7771C4FEAB9D}" name="Importe Partida IGI/IGE" dataDxfId="167"/>
    <tableColumn id="16" xr3:uid="{508B7219-825D-423C-993C-ED7ED1612D66}" name="TIPO CAMBIO" dataDxfId="166"/>
    <tableColumn id="17" xr3:uid="{61D86CC1-2F87-41C6-A307-47CAEBC52EF1}" name="PESO BRUTO" dataDxfId="165"/>
    <tableColumn id="18" xr3:uid="{B85DC326-3148-4275-95CE-289CA8F96001}" name="ADUANA DESPACHO" dataDxfId="164"/>
    <tableColumn id="19" xr3:uid="{02AC97E9-D5AB-49A5-9BEC-283C681B2A37}" name="NO. DE CONTENEDOR" dataDxfId="163"/>
    <tableColumn id="20" xr3:uid="{0E8E4904-96F2-40A4-A7F5-6848BDD9D878}" name="BULTOS ARRIBO" dataDxfId="162"/>
    <tableColumn id="21" xr3:uid="{1B9A8F62-7ED5-4D43-BD7A-DE3F68B5E457}" name="Valor Comercial MXP" dataDxfId="161"/>
    <tableColumn id="22" xr3:uid="{94B3495B-7EB7-4050-9692-1369D1A6FAF0}" name="TOTAL VALOR ADUANA" dataDxfId="160"/>
    <tableColumn id="23" xr3:uid="{774513EB-B3B3-41D6-97EC-4A4DE52E4B66}" name="Seguros" dataDxfId="159"/>
    <tableColumn id="24" xr3:uid="{FE36AD7D-2259-4550-BD2E-6A53DD559E9C}" name="Fletes" dataDxfId="158"/>
    <tableColumn id="25" xr3:uid="{758AEF3A-1E1A-40BC-9021-00C3CB0C877A}" name="EMBALAJES" dataDxfId="157"/>
    <tableColumn id="26" xr3:uid="{66374972-F8D7-49BA-8463-6D417AE22FB6}" name="OTROS INC." dataDxfId="156"/>
    <tableColumn id="27" xr3:uid="{DA08B002-6A02-4CDA-B28E-3E7D77AA5BB2}" name="MERCANCÍA (PED.)" dataDxfId="155"/>
    <tableColumn id="28" xr3:uid="{FE34A827-B976-493A-B9AF-AC4C78230B54}" name="EJE UNIDAD DE NEGOCIO" dataDxfId="154"/>
    <tableColumn id="29" xr3:uid="{B6FF2A7B-FE40-4648-8157-27BABD6B4D08}" name="VALOR ADUANA (P. PART.)" dataDxfId="153"/>
    <tableColumn id="30" xr3:uid="{27A95CA9-5CB6-43A6-8F66-3FB9B4828259}" name="PRECIO UNITARIO" dataDxfId="152"/>
    <tableColumn id="31" xr3:uid="{7CE6EDED-1C14-495A-859D-97928885CCA8}" name="Tasas P/Pedimento" dataDxfId="151"/>
    <tableColumn id="32" xr3:uid="{98237B4C-BC7E-4AEF-AFCF-F3475D5CC409}" name="TASAS P/PARTIDA" dataDxfId="150"/>
    <tableColumn id="33" xr3:uid="{10F003FC-001B-4E0D-AA82-103BED9427F2}" name="IGI / IGE" dataDxfId="149"/>
    <tableColumn id="34" xr3:uid="{3A41814A-ADD8-418D-BCF4-0BB6AEE42FC9}" name="REC" dataDxfId="148"/>
    <tableColumn id="35" xr3:uid="{955DF5BA-A382-4D9C-9A62-303423B5DC13}" name="IVA PREV" dataDxfId="147"/>
    <tableColumn id="36" xr3:uid="{77BA7BB5-BBD1-4D14-B6E6-4A0D647CBA66}" name="DTA" dataDxfId="146"/>
    <tableColumn id="37" xr3:uid="{61F43FE1-15AE-440E-BEF8-3736C6558441}" name="Importe DTA FP2" dataDxfId="145"/>
    <tableColumn id="38" xr3:uid="{5B64C5BE-F7FA-49D6-A444-1BBA1C8F4C73}" name="IVA" dataDxfId="144"/>
    <tableColumn id="39" xr3:uid="{0C2C7AAF-1C6C-493D-94CD-E4580235A52B}" name="PREV" dataDxfId="143"/>
    <tableColumn id="40" xr3:uid="{35AA874D-74BF-4033-A074-E3EB01FE1CD4}" name="IMPUESTOS" dataDxfId="142"/>
    <tableColumn id="41" xr3:uid="{D8708C8D-74EB-4E7B-80D1-01B423B68930}" name="Cuenta Origen" dataDxfId="141"/>
    <tableColumn id="42" xr3:uid="{8980B3B7-9384-4CFC-BE0C-FCD4B9018758}" name="PROVEEDOR / COMPRADOR" dataDxfId="140"/>
    <tableColumn id="43" xr3:uid="{CC255377-60DE-4798-A00E-9773D1468016}" name="NO(S) FACTURA(S)" dataDxfId="139"/>
    <tableColumn id="44" xr3:uid="{BB507904-46CB-4552-9089-7DF7FC83CA13}" name="INCOTERM" dataDxfId="138"/>
    <tableColumn id="45" xr3:uid="{C4B21D1E-3C42-4C1C-B87D-4F593A21DBAB}" name="MONEDA" dataDxfId="137"/>
    <tableColumn id="46" xr3:uid="{E88F7C2D-D2EA-4C61-8D93-26E75D8ABCC1}" name="NO. GUÍA (MASTER)" dataDxfId="136"/>
    <tableColumn id="47" xr3:uid="{7A607685-A6BF-4D58-A97D-3A9D45B7B0AF}" name="NO. GUÍA HOUSE" dataDxfId="135"/>
    <tableColumn id="48" xr3:uid="{05328037-D86F-4EF4-B674-125509E8C487}" name="Temperatura" dataDxfId="134"/>
    <tableColumn id="49" xr3:uid="{37BF77A1-A5DE-4CF5-A3C0-AE496FE77D45}" name="FRACCION(ES)" dataDxfId="133"/>
    <tableColumn id="50" xr3:uid="{354EC505-1437-4AC4-9A60-18ED7BD2B0CD}" name="NICO" dataDxfId="132"/>
    <tableColumn id="51" xr3:uid="{11A708DA-4095-4625-9F75-C58276981FBB}" name="Cantidad Factura" dataDxfId="131"/>
    <tableColumn id="52" xr3:uid="{22A79780-73D7-4848-8158-DBA805AB56A0}" name="UMC (CANTIDAD)" dataDxfId="130"/>
    <tableColumn id="53" xr3:uid="{9B4B235F-42C1-4EAF-97D0-BDA6A4EA96A3}" name="Descripcion UMC" dataDxfId="129"/>
    <tableColumn id="54" xr3:uid="{22FE4283-6A8E-44F1-99CE-0A8E5A1CCAF4}" name="CÓDIGO PRODUCTO" dataDxfId="128"/>
    <tableColumn id="55" xr3:uid="{8AEAA43E-4FEA-48F9-92F0-8B1466ADA4D8}" name="PAIS O/D" dataDxfId="127"/>
    <tableColumn id="56" xr3:uid="{BC339D80-CDB8-427D-96AD-33B7EC20DD81}" name="PAIS V/C" dataDxfId="126"/>
    <tableColumn id="57" xr3:uid="{36E7D1E1-3078-4EA4-9803-2F2E9E4BCC2F}" name="FECHA ENTRADA" dataDxfId="125"/>
    <tableColumn id="58" xr3:uid="{3FAB05AB-2CE3-4283-BC54-A677F7A3875F}" name="FECHA PAGO" dataDxfId="124"/>
    <tableColumn id="59" xr3:uid="{1EEDE407-1072-4FB9-B087-C0302913FBA4}" name="FECHA DE CRUCE" dataDxfId="123"/>
    <tableColumn id="60" xr3:uid="{B836C597-6E20-42AE-BB39-C06002FF0382}" name="Resultado Selección" dataDxfId="122"/>
    <tableColumn id="61" xr3:uid="{E6FEA826-3775-4F88-BA93-B29FB66728FE}" name="MOTIVO RETRASO / OTROS" dataDxfId="121"/>
    <tableColumn id="62" xr3:uid="{E3190EF3-06B4-4FE6-8F57-A122AAB71085}" name="NO. PERMISOS POR PARTIDA" dataDxfId="120"/>
    <tableColumn id="63" xr3:uid="{F7F830FD-D464-46FE-985D-48AEB8D8FE32}" name="PERMISOS POR PARTIDA" dataDxfId="119"/>
    <tableColumn id="64" xr3:uid="{3FAFC0F5-0CA4-43CF-A25E-62639E970B5F}" name="OBSERVACIONES ARRIBO" dataDxfId="118"/>
    <tableColumn id="65" xr3:uid="{952DE6EA-151B-4A36-B384-518F478CCE81}" name="ObservacionesPedimento" dataDxfId="117"/>
    <tableColumn id="66" xr3:uid="{1FB1A128-125D-46B8-86E9-05B215033B48}" name="NO. DE COVE" dataDxfId="116"/>
    <tableColumn id="67" xr3:uid="{1187C6DA-12BD-466F-BF0D-8FA90E5C1D6B}" name="FOLIO" dataDxfId="115"/>
    <tableColumn id="68" xr3:uid="{5A4F9E6A-904D-447E-BC91-2246D954FAEF}" name="073 ALMACENAJE, MANEJO Y CUSTODIA (P.P.)" dataDxfId="114"/>
    <tableColumn id="69" xr3:uid="{C78EE5D7-BD75-4A9B-B55E-CDDC0FEF8A80}" name="110 MANIOBRAS (P.P.)" dataDxfId="113"/>
    <tableColumn id="70" xr3:uid="{17265B4F-E50A-4E74-8AA2-CA93589AE856}" name="077 DESCONSOLIDACION (P.P.)" dataDxfId="112"/>
    <tableColumn id="71" xr3:uid="{ED5AB21A-49A4-4023-8225-2FC92B3B492B}" name=" 106 SERVICIO EXTRAORDIONARIO (P.P.)" dataDxfId="111"/>
    <tableColumn id="72" xr3:uid="{11C4009D-979D-4580-A67F-5D43FF4B25E9}" name=" 033 CUENTA AMERICANA (P.P.)" dataDxfId="110"/>
    <tableColumn id="73" xr3:uid="{29F81A81-979E-4ED0-B8DC-0813C53885B1}" name=" 133 RECONOCIMIENTO ADUANERO (P.P.)" dataDxfId="109"/>
    <tableColumn id="74" xr3:uid="{441E6295-A215-437E-A809-72FF3585722C}" name="034 MONTACARGAS (P.P.)" dataDxfId="108"/>
    <tableColumn id="75" xr3:uid="{BD34D82F-5A06-447F-83F7-840C0DD8A9A3}" name="008 HIELO SECO (P.P.)" dataDxfId="107"/>
    <tableColumn id="76" xr3:uid="{A6668C63-40B2-4A21-9680-2AD2F9E1EE95}" name="117 TRAMITE SAGARPA (P.P.)" dataDxfId="106"/>
    <tableColumn id="77" xr3:uid="{8EB989CE-893A-4466-96F3-5307A9C77F4A}" name="012 PAGO DE DERECHOS (P.P.)" dataDxfId="105"/>
    <tableColumn id="78" xr3:uid="{EA2EB425-402C-43AD-BB53-A576400C0EF5}" name=" 087 OTROS GASTOS (P.P.)" dataDxfId="104"/>
    <tableColumn id="79" xr3:uid="{77693370-1F5A-4D61-A277-CEEC65F8F07E}" name=" 136 SERVICIO DE CUSTODIA (P.P.)" dataDxfId="103"/>
    <tableColumn id="80" xr3:uid="{8AA2796C-44AC-4798-84C6-0A816345594B}" name="OTROS GASTOS" dataDxfId="102"/>
    <tableColumn id="81" xr3:uid="{004D5F07-5726-44FC-BE26-1986AA1C8808}" name="DESCARGAS" dataDxfId="101"/>
    <tableColumn id="82" xr3:uid="{0EA76828-3CC9-4D9B-83D3-40C6E190B32D}" name="DEMORAS" dataDxfId="100"/>
    <tableColumn id="83" xr3:uid="{9C0FE7B8-9AE5-4C75-AD6A-C2B428DFBE15}" name="HONORARIOS" dataDxfId="99"/>
    <tableColumn id="84" xr3:uid="{C34B0C93-0B36-421F-928E-A0F755C443A8}" name="I.V.A." dataDxfId="98"/>
    <tableColumn id="85" xr3:uid="{4423EFF7-EBF7-4352-A783-3008654D5DD7}" name="SALDO" dataDxfId="97"/>
    <tableColumn id="86" xr3:uid="{487BC679-C37A-4B0A-8DDD-72FD4824D39F}" name="EstatusCuentaGastos" dataDxfId="96"/>
    <tableColumn id="87" xr3:uid="{25313FE5-AD71-4059-B85C-A98891169F7A}" name="Monto Cuenta de Gastos" dataDxfId="95"/>
    <tableColumn id="88" xr3:uid="{A94664F3-A599-49F2-A52E-2ED71516D336}" name="Anticipos o Pagos Registrados" dataDxfId="94"/>
    <tableColumn id="89" xr3:uid="{37C4F16B-051F-4238-A88D-84521A47B0B5}" name="Saldo2" dataDxfId="93"/>
    <tableColumn id="90" xr3:uid="{AC880F98-7D8A-467D-86F4-996949624099}" name="Ejecutivo" dataDxfId="92"/>
    <tableColumn id="91" xr3:uid="{0CC81792-FC58-410C-AC1E-3A3F155B0737}" name="Ejecutivo_ABC" dataDxfId="9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7F850-F9A1-437F-BCBD-380FE12EE55A}" name="KPIS" displayName="KPIS" ref="A1:CA121" totalsRowShown="0" headerRowDxfId="484" dataDxfId="483">
  <autoFilter ref="A1:CA121" xr:uid="{30F7F850-F9A1-437F-BCBD-380FE12EE55A}"/>
  <sortState xmlns:xlrd2="http://schemas.microsoft.com/office/spreadsheetml/2017/richdata2" ref="A2:BV56">
    <sortCondition ref="F1:F56"/>
  </sortState>
  <tableColumns count="79">
    <tableColumn id="1" xr3:uid="{E585B9E8-7E5A-4B48-AEE5-288B84FBC3D0}" name="Sucursal" dataDxfId="482"/>
    <tableColumn id="2" xr3:uid="{FF04D758-26E0-4D1E-B228-A5453E91B33F}" name="Tipo Sucursal" dataDxfId="481"/>
    <tableColumn id="3" xr3:uid="{F8EB0C73-1AFA-4274-9DEA-A8AB2611BDD9}" name="Referencia" dataDxfId="480"/>
    <tableColumn id="4" xr3:uid="{24AB46E9-25C7-44EE-B1FE-19AE2B35EA5F}" name="Aduana/Sección Despacho" dataDxfId="479"/>
    <tableColumn id="5" xr3:uid="{6C8B07CB-FE0F-4444-8216-EAC0547C0961}" name=" Fecha de Pago" dataDxfId="478"/>
    <tableColumn id="6" xr3:uid="{DA0DEEED-109A-478E-8664-D88C9DEF9D1E}" name="MES" dataDxfId="477"/>
    <tableColumn id="7" xr3:uid="{082DF18F-758E-4CD5-8EEA-62EAA347B531}" name="Fecha Entrada/Presentación" dataDxfId="476"/>
    <tableColumn id="8" xr3:uid="{D914AC1C-AE94-4E5D-B5E5-B8FCD995CB30}" name="Fecha de Pago funcion" dataDxfId="475"/>
    <tableColumn id="9" xr3:uid="{6A49D99F-11EF-4E6E-8738-AED5A9FF4C44}" name="Entrada de pago" dataDxfId="474"/>
    <tableColumn id="10" xr3:uid="{0E8EDA41-6835-492E-8630-C857F7E5E546}" name="Etiqueta Entrada a Pago" dataDxfId="473"/>
    <tableColumn id="11" xr3:uid="{65C110AD-083C-4911-8779-2103E53B1CD3}" name="Fecha primera Selección" dataDxfId="472"/>
    <tableColumn id="12" xr3:uid="{920BA75D-E0CF-46EF-89D8-043858509B95}" name="Entrada a Cruce" dataDxfId="471"/>
    <tableColumn id="67" xr3:uid="{D125ED7B-7B5C-4866-8D64-6C5F37F325A4}" name="Entrada a cruce excel" dataDxfId="470">
      <calculatedColumnFormula>IFERROR(IF(G2=K2,0,NETWORKDAYS(G2,K2,{"01/01/2026";"02/02/2026";"16/03/2026";"02/04/2026";"03/04/2026";"01/05/2026"})),"Faltan Fechas")</calculatedColumnFormula>
    </tableColumn>
    <tableColumn id="68" xr3:uid="{DCAB8AFE-6F30-4FF8-9FF9-3EC1AA586D0B}" name="ETIQUETA ENTRADA A CRUCE excel" dataDxfId="469">
      <calculatedColumnFormula>IFERROR(IF(OR(G2="",K2=""),"SIN DATO",IF(NETWORKDAYS(G2,K2,{"01/01/2026";"02/02/2026";"16/03/2026";"02/04/2026";"03/04/2026";"01/05/2026"})&lt;=1,"1 día o menos",IF(NETWORKDAYS(G2,K2,{"01/01/2026";"02/02/2026";"16/03/2026";"02/04/2026";"03/04/2026";"01/05/2026"})&lt;=3,"2 a 3 días",IF(NETWORKDAYS(G2,K2,{"01/01/2026";"02/02/2026";"16/03/2026";"02/04/2026";"03/04/2026";"01/05/2026"})&lt;=5,"4 a 5 días",IF(NETWORKDAYS(G2,K2,{"01/01/2026";"02/02/2026";"16/03/2026";"02/04/2026";"03/04/2026";"01/05/2026"})&lt;=10,"6 a 10 días",IF(NETWORKDAYS(G2,K2,{"01/01/2026";"02/02/2026";"16/03/2026";"02/04/2026";"03/04/2026";"01/05/2026"})&lt;=16,"11 a 15 días","más de 16 días")))))),"Aun no se entrega")</calculatedColumnFormula>
    </tableColumn>
    <tableColumn id="66" xr3:uid="{598AC6E2-8F2E-4FC0-8981-D0C0F96C2286}" name="KPI ENTRADA A CRUCE" dataDxfId="468">
      <calculatedColumnFormula array="1">IFERROR(
  IF(
    NETWORKDAYS(G2,K2,{"01/01/2026";"02/02/2026";"16/03/2026";"02/04/2026";"03/04/2026";"01/05/2026"}) &lt;=
    _xlfn.IFS(
      OR(TRIM(A2)="AICM", TRIM(A2)="AÉREO AICM"), 5,
      OR(TRIM(A2)="VERACRUZ", TRIM(A2)="MARÍTIMO VERACRUZ"), 6,
      OR(TRIM(A2)="AIFA", TRIM(A2)="AÉREO AIFA"), 7,
      AND(TRIM(A2)="CORRESPONSALIAS", TRIM(B2)="NUEVO LAREDO"), 6,
      TRIM(A2)="MANZANILLO", 10,
      TRIM(A2)="TOLUCA", 6,
      TRUE, 999
    ),
    "On Time",
    "Delayed"
  ),
  "Faltan fechas"
)</calculatedColumnFormula>
    </tableColumn>
    <tableColumn id="13" xr3:uid="{FD4EC613-0F13-4851-BCFA-2C73346749C8}" name="Etiqueta entrada a Cruce2" dataDxfId="467"/>
    <tableColumn id="14" xr3:uid="{FDDAFB33-CD7E-41F9-A649-4648C558757F}" name="FECHA ENTREGA DE  MERCANCIA" dataDxfId="466"/>
    <tableColumn id="70" xr3:uid="{52DDD837-F43E-400B-957A-6744CDB38758}" name="Entrada a entrega excel" dataDxfId="465">
      <calculatedColumnFormula>IFERROR(IF(G2=Q2,0,NETWORKDAYS(G2,Q2,{"01/01/2026";"02/02/2026";"16/03/2026";"02/04/2026";"03/04/2026";"01/05/2026"})),"Faltan Fechas")</calculatedColumnFormula>
    </tableColumn>
    <tableColumn id="69" xr3:uid="{56394BE3-5490-4790-AAE7-13AD72E42F08}" name="ETIQUETA ENTRADA A ENTREGA excel" dataDxfId="464">
      <calculatedColumnFormula>IFERROR(IF(OR(G2="",Q2=""),"SIN DATO",IF(NETWORKDAYS(G2,Q2,{"01/01/2026";"02/02/2026";"16/03/2026";"02/04/2026";"03/04/2026";"01/05/2026"})&lt;=1,"1 día o menos",IF(NETWORKDAYS(G2,Q2,{"01/01/2026";"02/02/2026";"16/03/2026";"02/04/2026";"03/04/2026";"01/05/2026"})&lt;=3,"2 a 3 días",IF(NETWORKDAYS(G2,Q2,{"01/01/2026";"02/02/2026";"16/03/2026";"02/04/2026";"03/04/2026";"01/05/2026"})&lt;=5,"4 a 5 días",IF(NETWORKDAYS(G2,Q2,{"01/01/2026";"02/02/2026";"16/03/2026";"02/04/2026";"03/04/2026";"01/05/2026"})&lt;=10,"6 a 10 días",IF(NETWORKDAYS(G2,Q2,{"01/01/2026";"02/02/2026";"16/03/2026";"02/04/2026";"03/04/2026";"01/05/2026"})&lt;=16,"11 a 15 días","más de 16 días")))))),"Aun no se entrega")</calculatedColumnFormula>
    </tableColumn>
    <tableColumn id="71" xr3:uid="{68CD921D-4057-480C-9509-79D69653BBAB}" name="KPI DE ENTRADA A ENTREGA" dataDxfId="463">
      <calculatedColumnFormula array="1">IFERROR(
  IF(
    NETWORKDAYS(G2,Q2,{"01/01/2026";"02/02/2026";"16/03/2026";"02/04/2026";"03/04/2026";"01/05/2026"}) &lt;=
    _xlfn.IFS(
      OR(TRIM(A2)="AICM", TRIM(A2)="AÉREO AICM"), 5,
      OR(TRIM(A2)="VERACRUZ", TRIM(A2)="MARÍTIMO VERACRUZ"), 6,
      OR(TRIM(A2)="AIFA", TRIM(A2)="AÉREO AIFA"), 7,
      AND(TRIM(A2)="CORRESPONSALIAS", TRIM(B2)="NUEVO LAREDO"), 6,
      TRIM(A2)="MANZANILLO", 10,
      TRIM(A2)="TOLUCA", 6,
      TRUE, 999
    ),
    "On Time",
    "Delayed"
  ),
  "Faltan fechas"
)</calculatedColumnFormula>
    </tableColumn>
    <tableColumn id="15" xr3:uid="{3209211C-7571-4946-BFEB-B0F71A89C7E7}" name="Entrada a Entrega" dataDxfId="462"/>
    <tableColumn id="16" xr3:uid="{8BB89E6E-4E78-49F2-95A9-C4C2454F2120}" name="Etiqueta Entrada a Entrega" dataDxfId="461"/>
    <tableColumn id="17" xr3:uid="{861864F7-C661-46CC-9D92-627D3662D3C8}" name="Entrada a Factura" dataDxfId="460"/>
    <tableColumn id="18" xr3:uid="{A106DA0E-F8E8-41E1-9985-0EDAC887B729}" name="Etiqueta Entrada a Factura" dataDxfId="459"/>
    <tableColumn id="19" xr3:uid="{0D10A2F3-59D0-4D26-BBF9-D1D1F395C8E9}" name="Pago Pedimento a Cruce" dataDxfId="458"/>
    <tableColumn id="20" xr3:uid="{A936F474-7BB9-4168-9B27-62FB7358E0FC}" name="Etiqueta Pago Pedimento a Cruce" dataDxfId="457"/>
    <tableColumn id="21" xr3:uid="{6A110BF8-D63F-4D90-899D-941252DB5A2B}" name="Pago a Cruce" dataDxfId="456"/>
    <tableColumn id="22" xr3:uid="{66DA537A-36DE-4F87-8C66-720EB7C33B45}" name="CRUCE A ENTREGA" dataDxfId="455"/>
    <tableColumn id="23" xr3:uid="{77C4BDD7-9B01-42AE-9D3B-3B2530AF78C8}" name="ETIQUETA CRUCE A ENTREGA" dataDxfId="454"/>
    <tableColumn id="24" xr3:uid="{421571A9-9D40-4B77-A9B2-9A5D79A3B4EE}" name="FECHA DE FACTURACIÓN" dataDxfId="453"/>
    <tableColumn id="25" xr3:uid="{DD68BF6A-BD63-48C4-A6DB-946F9F7D7C48}" name="ENTREGA A ENTREGA DE FACTURA " dataDxfId="452"/>
    <tableColumn id="26" xr3:uid="{2E8C4FAF-1677-4918-B872-195CE11ED4BC}" name="ENTREGA A FACTURA" dataDxfId="451"/>
    <tableColumn id="27" xr3:uid="{F84E6307-A2FB-47E5-8FD5-41292928854D}" name="FECHA RECIBE FACT" dataDxfId="450"/>
    <tableColumn id="28" xr3:uid="{FABF5505-BD8F-49D0-8A5D-54DB5E5BA13D}" name="FECHA TIMBRADO" dataDxfId="449"/>
    <tableColumn id="29" xr3:uid="{EDAC1AF7-BCE9-4382-B4A0-189B4E352F50}" name="TIEMPO DE FACTURACION" dataDxfId="448"/>
    <tableColumn id="30" xr3:uid="{F6AA989B-E9B5-4474-89AB-6A6CA3C90BD3}" name="ETIQUETA ENTREGA A FACTURA" dataDxfId="447"/>
    <tableColumn id="31" xr3:uid="{0EF63AC1-8E77-4079-B197-A2ED11951F54}" name="CuentaG_FechaFactura" dataDxfId="446"/>
    <tableColumn id="74" xr3:uid="{AA33F5E7-8F73-445C-A931-D182FF807BBD}" name="Entrega de mercancia a factura excel" dataDxfId="445">
      <calculatedColumnFormula>IFERROR(IF(Q2=AK2,0,NETWORKDAYS(Q2,AK2,{"01/01/2026";"02/02/2026";"16/03/2026";"02/04/2026";"03/04/2026";"01/05/2026"})),"aun no se factura")</calculatedColumnFormula>
    </tableColumn>
    <tableColumn id="73" xr3:uid="{0564D3BD-473A-4F80-BF81-87EF72631B2B}" name="ETIQUETA ENTREGA A FACTURA excel" dataDxfId="444">
      <calculatedColumnFormula>IFERROR(IF(OR(Q2="",AK2=""),"SIN DATO",IF(NETWORKDAYS(Q2,AK2,{"01/01/2026";"02/02/2026";"16/03/2026";"02/04/2026";"03/04/2026";"01/05/2026"})&lt;=1,"1 día o menos",IF(NETWORKDAYS(Q2,AK2,{"01/01/2026";"02/02/2026";"16/03/2026";"02/04/2026";"03/04/2026";"01/05/2026"})&lt;=3,"2 a 3 días",IF(NETWORKDAYS(Q2,AK2,{"01/01/2026";"02/02/2026";"16/03/2026";"02/04/2026";"03/04/2026";"01/05/2026"})&lt;=5,"4 a 5 días",IF(NETWORKDAYS(Q2,AK2,{"01/01/2026";"02/02/2026";"16/03/2026";"02/04/2026";"03/04/2026";"01/05/2026"})&lt;=10,"6 a 10 días",IF(NETWORKDAYS(Q2,AK2,{"01/01/2026";"02/02/2026";"16/03/2026";"02/04/2026";"03/04/2026";"01/05/2026"})&lt;=16,"11 a 15 días","más de 16 días")))))),"aun no se factura")</calculatedColumnFormula>
    </tableColumn>
    <tableColumn id="72" xr3:uid="{F9AE354A-EF09-43F2-BD98-45DF1C72AA49}" name="KPI entrega a factura" dataDxfId="7">
      <calculatedColumnFormula array="1">IFERROR(
  IF(
    NETWORKDAYS(Q2,AK2,{"01/01/2026";"02/02/2026";"16/03/2026";"02/04/2026";"03/04/2026";"01/05/2026"}) &lt;=
    _xlfn.IFS(
      OR(TRIM(A2)="AICM", TRIM(A2)="AÉREO AICM"), 5,
      OR(TRIM(A2)="VERACRUZ", TRIM(A2)="MARÍTIMO VERACRUZ"), 6,
      OR(TRIM(A2)="AIFA", TRIM(A2)="AÉREO AIFA"), 7,
      AND(TRIM(A2)="CORRESPONSALIAS", TRIM(B2)="NUEVO LAREDO"), 6,
      TRIM(A2)="MANZANILLO", 10,
      TRIM(A2)="TOLUCA", 6,
      TRUE, 999
    ),
    "On Time",
    "Delayed"
  ),
  "Faltan fechas"
)</calculatedColumnFormula>
    </tableColumn>
    <tableColumn id="32" xr3:uid="{17969E0C-E774-456D-8F80-22A0221B245B}" name="VERIFICADOR" dataDxfId="5"/>
    <tableColumn id="33" xr3:uid="{32BB6B17-4084-4383-A7EF-B597E184B31C}" name="Comparacion" dataDxfId="6"/>
    <tableColumn id="34" xr3:uid="{CD78B90B-029A-4CA2-A2AF-EBDDB63C8670}" name="Clave Pedimento" dataDxfId="443"/>
    <tableColumn id="35" xr3:uid="{B2B359F7-6887-4932-AF2B-65AC890A7C38}" name="Ejecutivo_ABC" dataDxfId="442"/>
    <tableColumn id="36" xr3:uid="{4E0FB0A7-651C-41B3-A54D-303BF44E2AFE}" name="Guia Master" dataDxfId="441"/>
    <tableColumn id="37" xr3:uid="{298227CC-4808-4682-8697-0A414C2061C6}" name="Guia House" dataDxfId="10"/>
    <tableColumn id="38" xr3:uid="{435EEC58-732B-47A7-A8BD-79B577ABB28A}" name="Pedimento" dataDxfId="8"/>
    <tableColumn id="39" xr3:uid="{492ACE69-81C9-44BB-954F-EE83AB992B72}" name="Tipo Operación Desc" dataDxfId="9"/>
    <tableColumn id="40" xr3:uid="{52D3781E-8D33-48FC-BF93-D127E3A16CC6}" name="Mercancía" dataDxfId="440"/>
    <tableColumn id="41" xr3:uid="{608878E0-1768-4383-9F23-11D3EBFF4895}" name="TIPO MERCANCIA OK" dataDxfId="439"/>
    <tableColumn id="42" xr3:uid="{33F9AD70-06BE-4C90-A0D6-28CAFC4BAE04}" name="CLASIFICACIÓN DE MERCANCIA" dataDxfId="438"/>
    <tableColumn id="43" xr3:uid="{E5403471-3711-42A2-A850-513C8F9EBDF4}" name="TIPO DE MERCANCIA" dataDxfId="437"/>
    <tableColumn id="44" xr3:uid="{BAFE0190-659A-4F6B-9E74-B01953EE9E36}" name="Cliente" dataDxfId="436"/>
    <tableColumn id="45" xr3:uid="{9D473183-7165-4F44-87D7-EBDF503A38C7}" name="Unidad de negocio" dataDxfId="435"/>
    <tableColumn id="46" xr3:uid="{44EA8AB8-7E48-4C50-AC50-5C5319D27D8C}" name="MOTIVO DE RETRASO" dataDxfId="434"/>
    <tableColumn id="47" xr3:uid="{E9B31D7A-63B5-4257-9351-B06F6265B0AB}" name="MOTIVO DE RETRASO OTRO" dataDxfId="433"/>
    <tableColumn id="48" xr3:uid="{1654BAEC-578F-46B2-88AF-8A882C130080}" name="MOTIVO DE RETRASO COMPLETO" dataDxfId="432"/>
    <tableColumn id="49" xr3:uid="{AC75EE9A-BFC0-48D4-A17B-62223DE70486}" name="Ejecutivo_Tipo_Mercancia" dataDxfId="431"/>
    <tableColumn id="50" xr3:uid="{004EDD74-9D99-45F5-A3DA-0EA6052BE222}" name="Primera Selección" dataDxfId="430"/>
    <tableColumn id="51" xr3:uid="{D022CEF2-A940-4E49-859E-EE56FD225587}" name="TRANSPORTISTA." dataDxfId="429"/>
    <tableColumn id="52" xr3:uid="{086FC48A-9160-4C5C-AD54-65B254D963CE}" name="UNIDAD RENTADA" dataDxfId="428"/>
    <tableColumn id="53" xr3:uid="{2C62263F-5454-407B-AE70-AC317FF4574C}" name="UNIDAD SUPER EXPRESS" dataDxfId="427"/>
    <tableColumn id="54" xr3:uid="{A2CFE26A-A7FA-4204-8908-592FE9617E64}" name="RFC_Importador" dataDxfId="426"/>
    <tableColumn id="55" xr3:uid="{203AE7AC-D750-44A0-A658-1B2CB42C1585}" name="OtrosIncPed" dataDxfId="425"/>
    <tableColumn id="56" xr3:uid="{7F8DE49B-4EDC-4B72-8360-3993FAD13999}" name="Nico" dataDxfId="424"/>
    <tableColumn id="57" xr3:uid="{BEC3C8CC-E264-42C9-9D9C-E656CD3CAF66}" name="Mercancia_CovesSubModelo" dataDxfId="423"/>
    <tableColumn id="58" xr3:uid="{DE4D648B-034F-46AE-B103-C1A370E05E38}" name="Días Credito" dataDxfId="422"/>
    <tableColumn id="59" xr3:uid="{9CBE34E5-642F-4E2D-B020-4D68BEE32BEB}" name="Valor Moneda Factura " dataDxfId="421"/>
    <tableColumn id="60" xr3:uid="{E697F58B-01A7-49C9-8F61-B976C01422E3}" name="UMT DESCRIPCION" dataDxfId="420"/>
    <tableColumn id="61" xr3:uid="{01E162C3-8373-4C16-8F1F-9661460F33AD}" name="Motivo de Rectificación" dataDxfId="419"/>
    <tableColumn id="62" xr3:uid="{23A9ABA7-A635-49A9-84AA-ED659A0A1DE5}" name="Nombre País Origen/Destino" dataDxfId="418"/>
    <tableColumn id="63" xr3:uid="{B1D720AF-EA29-4131-8A74-3E21807A176F}" name="Nombre País Vendedor/Comprador" dataDxfId="417"/>
    <tableColumn id="64" xr3:uid="{936C5ED7-3979-4026-886E-986FCFE5ACD5}" name="Clave de País Origen/Destino" dataDxfId="416"/>
    <tableColumn id="65" xr3:uid="{9BB26435-A549-409E-9320-872C3FA21CDA}" name="Clave de País Vendedor/Comprador" dataDxfId="415"/>
    <tableColumn id="75" xr3:uid="{E1E597D1-FD64-4C9A-A5DE-3A3B44D2FB71}" name="Columna1" dataDxfId="15"/>
    <tableColumn id="76" xr3:uid="{0FFBEBFC-ACDA-4A6C-AE97-B5E5ABD1C3D0}" name="Columna2" dataDxfId="14"/>
    <tableColumn id="77" xr3:uid="{249DB825-0858-4422-BC20-014C9062C46F}" name="Columna3" dataDxfId="13"/>
    <tableColumn id="78" xr3:uid="{39935241-728B-4476-87BC-AD2C53870210}" name="Columna4" dataDxfId="12"/>
    <tableColumn id="79" xr3:uid="{CDF3BE17-FE13-41B9-B171-DB8C2780986B}" name="Columna5" dataDxfId="1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9A884D-9D93-4E2D-9770-86E857E0F6C6}" name="CONSULTA" displayName="CONSULTA" ref="A1:BR121" totalsRowShown="0" headerRowDxfId="90" dataDxfId="89">
  <autoFilter ref="A1:BR121" xr:uid="{D59A884D-9D93-4E2D-9770-86E857E0F6C6}"/>
  <tableColumns count="70">
    <tableColumn id="1" xr3:uid="{AB76C2A2-0235-4C8E-B07F-B8CCC0B39BBA}" name="Sucursal" dataDxfId="88"/>
    <tableColumn id="2" xr3:uid="{1658C57B-2560-45A7-A39B-EB67AC052B47}" name="Tipo Sucursal" dataDxfId="87"/>
    <tableColumn id="3" xr3:uid="{72602924-4E17-49D8-98B2-F3524BD1DF92}" name="Referencia" dataDxfId="86"/>
    <tableColumn id="4" xr3:uid="{44BBFC43-5F2C-497B-B92A-4AFA0F9D6471}" name="Aduana/Sección Despacho" dataDxfId="85"/>
    <tableColumn id="5" xr3:uid="{FE8514C4-2CF9-4CA5-85E8-CF3F2D6A5DF1}" name=" Fecha de Pago" dataDxfId="84"/>
    <tableColumn id="6" xr3:uid="{565BC63F-BE4B-4300-AF8C-3DCAAB5A7B60}" name="MES" dataDxfId="83"/>
    <tableColumn id="7" xr3:uid="{2B0B465E-74B5-4E4D-B896-2E51A74F4E72}" name="Fecha Entrada/Presentación" dataDxfId="82"/>
    <tableColumn id="8" xr3:uid="{7AA40E28-5962-469E-883A-DCDF64D9D13B}" name="Fecha de Pago funcion" dataDxfId="81"/>
    <tableColumn id="9" xr3:uid="{98C80F14-0BE8-40FD-96CE-76476D8C9D2E}" name="Entrada de pago" dataDxfId="80"/>
    <tableColumn id="10" xr3:uid="{6578934E-1D20-4C6A-ABAF-1F772919A548}" name="Etiqueta Entrada a Pago" dataDxfId="79"/>
    <tableColumn id="11" xr3:uid="{11819EA9-2B30-4D2A-940E-8387606CDDE9}" name="Fecha primera Selección" dataDxfId="78"/>
    <tableColumn id="12" xr3:uid="{F40B034B-0114-4A7C-9CF2-594CD95E8E0A}" name="Entrada a Cruce" dataDxfId="77"/>
    <tableColumn id="13" xr3:uid="{32FEF655-215B-458D-B649-62F3BD1D01C7}" name="Etiqueta entrada a Cruce" dataDxfId="76"/>
    <tableColumn id="14" xr3:uid="{CB830875-7516-4721-92DD-CB798DCC73A8}" name="Pago Pedimento a Cruce" dataDxfId="75"/>
    <tableColumn id="15" xr3:uid="{0F9637EC-1C0B-4C38-860F-A657D0EAAEEC}" name="Etiqueta Pago Pedimento a Cruce" dataDxfId="74"/>
    <tableColumn id="16" xr3:uid="{3C0DE115-B4CE-4611-A69C-949E798ED9C3}" name="Pago a Cruce" dataDxfId="73"/>
    <tableColumn id="17" xr3:uid="{E6A1EC21-2B1C-4CE6-8565-5C1B25799DD8}" name="CRUCE A ENTREGA" dataDxfId="72"/>
    <tableColumn id="18" xr3:uid="{347A6F45-5E9B-43FE-9F53-DB572E8F29F7}" name="ETIQUETA CRUCE A ENTREGA" dataDxfId="71"/>
    <tableColumn id="19" xr3:uid="{4AD0F167-83FC-49AD-94F9-2895CD12A210}" name="FECHA ENTREGA DE  MERCANCIA" dataDxfId="70"/>
    <tableColumn id="20" xr3:uid="{8D7FD721-50EE-4206-B2F3-08E124AD2AE8}" name="Entrada a Entrega" dataDxfId="69"/>
    <tableColumn id="21" xr3:uid="{AF40E5B5-2602-4AC8-829A-9904B714C3B5}" name="Etiqueta Entrada a Entrega" dataDxfId="68"/>
    <tableColumn id="22" xr3:uid="{948A0FC2-5178-4FC4-AAD3-D29F9CDB2AD5}" name="Entrada a Factura" dataDxfId="67"/>
    <tableColumn id="23" xr3:uid="{8000D35F-5949-4AEA-9574-8ABACF7C35EB}" name="Etiqueta Entrada a Factura" dataDxfId="66"/>
    <tableColumn id="24" xr3:uid="{79C4C24D-3BB6-48A6-8AF5-EE5FAB3CFC13}" name="FECHA DE FACTURACIÓN" dataDxfId="65"/>
    <tableColumn id="25" xr3:uid="{9CEB7A0C-B682-4A95-B3C2-A248CBC6D9FB}" name="ENTREGA A ENTREGA DE FACTURA " dataDxfId="64"/>
    <tableColumn id="26" xr3:uid="{2CEA427E-A57C-40F9-AFDD-C8BCCC5F742E}" name="ENTREGA A FACTURA" dataDxfId="63"/>
    <tableColumn id="27" xr3:uid="{E3C5E766-C520-4D68-B81B-263D415AE0E7}" name="ETIQUETA ENTREGA A FACTURA" dataDxfId="59"/>
    <tableColumn id="28" xr3:uid="{FD0F52A2-E877-4FAD-9BF6-4013F2E879FF}" name="FECHA RECIBE FACT" dataDxfId="60"/>
    <tableColumn id="29" xr3:uid="{88D58C51-4A88-414B-8EDC-639DC800FA3B}" name="FECHA TIMBRADO" dataDxfId="61"/>
    <tableColumn id="30" xr3:uid="{2E3273A2-F626-44A7-A274-8BFF666AFAAC}" name="TIEMPO DE FACTURACION" dataDxfId="62"/>
    <tableColumn id="31" xr3:uid="{00D9B2BC-39CA-4741-A829-D3A4373877F9}" name="CuentaG_FechaFactura" dataDxfId="58"/>
    <tableColumn id="32" xr3:uid="{132E0807-7285-4262-A2B9-F3BE189894C2}" name="VERIFICADOR" dataDxfId="57"/>
    <tableColumn id="33" xr3:uid="{DD221297-E3E9-4E60-889F-196428119CA8}" name="Comparacion" dataDxfId="56"/>
    <tableColumn id="34" xr3:uid="{6B59D37A-764D-4945-B339-CB16571A1712}" name="Clave Pedimento" dataDxfId="55"/>
    <tableColumn id="35" xr3:uid="{1AA66E63-00BD-4922-BF48-8357FD77BD9F}" name="Ejecutivo_ABC" dataDxfId="54"/>
    <tableColumn id="36" xr3:uid="{5F195650-AB0C-4891-A371-5D841557662A}" name="Guia Master" dataDxfId="53"/>
    <tableColumn id="37" xr3:uid="{B189A974-C21A-4F39-A059-453D87622F73}" name="Guia House" dataDxfId="52"/>
    <tableColumn id="38" xr3:uid="{30F69543-FC4B-4E4A-B9DB-5945B2B6F081}" name="Pedimento" dataDxfId="51"/>
    <tableColumn id="39" xr3:uid="{EFC8540C-048F-4C69-8E6D-E011C1221480}" name="Tipo Operación Desc" dataDxfId="50"/>
    <tableColumn id="40" xr3:uid="{BCA05008-E16D-45C8-A5BF-7D4E38F5A791}" name="Mercancía" dataDxfId="49"/>
    <tableColumn id="41" xr3:uid="{26838BB1-543B-49AD-8CF4-2B5CAE62252A}" name="TIPO MERCANCIA OK" dataDxfId="48"/>
    <tableColumn id="42" xr3:uid="{E6D202C3-6F2A-48C5-91FA-8562F7EFB8F8}" name="CLASIFICACIÓN DE MERCANCIA" dataDxfId="47"/>
    <tableColumn id="43" xr3:uid="{8E316047-011F-4983-B11B-9FD961CD269C}" name="TIPO DE MERCANCIA" dataDxfId="46"/>
    <tableColumn id="44" xr3:uid="{8BBC858E-2422-45DE-AC88-12ABF9994D13}" name="Cliente" dataDxfId="45"/>
    <tableColumn id="45" xr3:uid="{F8A5A4DE-233A-432B-9906-A964D78F230E}" name="Unidad de negocio" dataDxfId="44"/>
    <tableColumn id="46" xr3:uid="{A8A2F75C-5BC9-4B8C-8BB6-120AA6E764E4}" name="MOTIVO DE RETRASO" dataDxfId="43"/>
    <tableColumn id="47" xr3:uid="{E36DD37C-7C2C-471C-9DDE-9204222DDE60}" name="MOTIVO DE RETRASO OTRO" dataDxfId="42"/>
    <tableColumn id="48" xr3:uid="{5E0661DB-960C-486C-8C9A-BF0D1E2F0F5C}" name="MOTIVO DE RETRASO COMPLETO" dataDxfId="41"/>
    <tableColumn id="49" xr3:uid="{C1B9857E-FBB7-48DB-A746-0C7CF844941B}" name="Ejecutivo_Tipo_Mercancia" dataDxfId="40"/>
    <tableColumn id="50" xr3:uid="{DC1EAEDA-F40A-495C-961D-3B679843401C}" name="Primera Selección" dataDxfId="39"/>
    <tableColumn id="51" xr3:uid="{A46E6514-3074-4D75-B1C6-16459D477D22}" name="TRANSPORTISTA." dataDxfId="38"/>
    <tableColumn id="52" xr3:uid="{2A4564F4-A70E-4205-8360-88C4A37807C5}" name="UNIDAD RENTADA" dataDxfId="37"/>
    <tableColumn id="53" xr3:uid="{18981F59-F4ED-4AEF-B5EA-581BE21F300F}" name="UNIDAD SUPER EXPRESS" dataDxfId="36"/>
    <tableColumn id="54" xr3:uid="{39CE0037-66B5-47AF-902A-8B56E6B33855}" name="RFC_Importador" dataDxfId="35"/>
    <tableColumn id="55" xr3:uid="{0EE7118D-3FEC-403D-B553-BE54E2ABCEFA}" name="OtrosIncPed" dataDxfId="34"/>
    <tableColumn id="56" xr3:uid="{F1EC4BFB-8680-4EE6-8BCF-F52D229C61D9}" name="Nico" dataDxfId="33"/>
    <tableColumn id="57" xr3:uid="{752F81E9-503D-4B20-A51C-3F9D1F4AD11C}" name="Mercancia_CovesSubModelo" dataDxfId="32"/>
    <tableColumn id="58" xr3:uid="{8EAFCED4-742B-4D64-9DE4-5A7FD8F8F895}" name="Días Credito" dataDxfId="31"/>
    <tableColumn id="59" xr3:uid="{FFE5F19D-04EA-411E-A66D-09A8A29861F5}" name="Valor Moneda Factura " dataDxfId="30"/>
    <tableColumn id="60" xr3:uid="{26A80DEA-5C81-43A7-AB3E-57F594028E4A}" name="UMT DESCRIPCION" dataDxfId="29"/>
    <tableColumn id="61" xr3:uid="{CE3E3FCC-CC23-4C02-AE20-A6C4FA31D1A4}" name="Motivo de Rectificación" dataDxfId="28"/>
    <tableColumn id="62" xr3:uid="{85BE7DA0-E64D-4AE2-9652-AEA071C196F5}" name="Nombre País Origen/Destino" dataDxfId="27"/>
    <tableColumn id="63" xr3:uid="{03F8CC50-09C8-45C8-802C-6921F2F94D90}" name="Nombre País Vendedor/Comprador" dataDxfId="26"/>
    <tableColumn id="64" xr3:uid="{A2F0ED57-4BFF-48FB-B2EF-EFE2FA25EC1D}" name="Clave de País Origen/Destino" dataDxfId="25"/>
    <tableColumn id="65" xr3:uid="{BE0A67DA-7AF9-41FB-BD4C-DDBC35CD13E8}" name="Clave de País Vendedor/Comprador" dataDxfId="24"/>
    <tableColumn id="66" xr3:uid="{EDB840EE-F5EA-41D4-B2FB-8E58B574043A}" name="Valor Aduana" dataDxfId="23"/>
    <tableColumn id="67" xr3:uid="{5E736FEA-75AF-4202-BF0E-EE2081447123}" name="Importe DTA FP1" dataDxfId="22"/>
    <tableColumn id="68" xr3:uid="{ABFD3C71-700A-4C76-8EFB-38A592538A2E}" name="Importe IVA 1" dataDxfId="21"/>
    <tableColumn id="69" xr3:uid="{A85B623D-0DEA-48EE-84E6-687E29F677C6}" name="IGI" dataDxfId="20"/>
    <tableColumn id="70" xr3:uid="{6C9F2CE0-7A2C-4363-8727-C9DE29E72D19}" name="TotalCuentadeGastos" dataDxfId="1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6A8C-C245-4FC0-9719-00341DEF7370}">
  <sheetPr>
    <tabColor rgb="FFFF0000"/>
  </sheetPr>
  <dimension ref="A1:HU175"/>
  <sheetViews>
    <sheetView workbookViewId="0">
      <selection activeCell="D17" sqref="D17"/>
    </sheetView>
  </sheetViews>
  <sheetFormatPr baseColWidth="10" defaultRowHeight="15" x14ac:dyDescent="0.25"/>
  <cols>
    <col min="1" max="1" width="29.28515625" bestFit="1" customWidth="1"/>
    <col min="2" max="2" width="14.7109375" bestFit="1" customWidth="1"/>
    <col min="3" max="3" width="13.42578125" bestFit="1" customWidth="1"/>
    <col min="4" max="4" width="16.28515625" bestFit="1" customWidth="1"/>
    <col min="5" max="5" width="28.85546875" bestFit="1" customWidth="1"/>
    <col min="6" max="6" width="11.7109375" bestFit="1" customWidth="1"/>
    <col min="7" max="7" width="22.42578125" bestFit="1" customWidth="1"/>
    <col min="8" max="8" width="19.7109375" bestFit="1" customWidth="1"/>
    <col min="9" max="9" width="23.140625" bestFit="1" customWidth="1"/>
    <col min="10" max="10" width="18.85546875" bestFit="1" customWidth="1"/>
    <col min="11" max="11" width="22.28515625" bestFit="1" customWidth="1"/>
    <col min="12" max="12" width="20.28515625" bestFit="1" customWidth="1"/>
    <col min="13" max="13" width="23.7109375" bestFit="1" customWidth="1"/>
    <col min="14" max="14" width="23.140625" bestFit="1" customWidth="1"/>
    <col min="15" max="15" width="26.5703125" bestFit="1" customWidth="1"/>
    <col min="16" max="16" width="17.5703125" bestFit="1" customWidth="1"/>
    <col min="17" max="17" width="16.7109375" bestFit="1" customWidth="1"/>
    <col min="18" max="18" width="23.7109375" bestFit="1" customWidth="1"/>
    <col min="19" max="19" width="27" bestFit="1" customWidth="1"/>
    <col min="20" max="20" width="30.42578125" bestFit="1" customWidth="1"/>
    <col min="21" max="21" width="24.28515625" bestFit="1" customWidth="1"/>
    <col min="22" max="22" width="26.28515625" bestFit="1" customWidth="1"/>
    <col min="23" max="23" width="12.5703125" bestFit="1" customWidth="1"/>
    <col min="24" max="24" width="11" bestFit="1" customWidth="1"/>
    <col min="25" max="26" width="15.7109375" bestFit="1" customWidth="1"/>
    <col min="27" max="27" width="106.7109375" bestFit="1" customWidth="1"/>
    <col min="28" max="28" width="27.85546875" bestFit="1" customWidth="1"/>
    <col min="29" max="29" width="29.42578125" bestFit="1" customWidth="1"/>
    <col min="30" max="30" width="21.42578125" bestFit="1" customWidth="1"/>
    <col min="31" max="31" width="22.7109375" bestFit="1" customWidth="1"/>
    <col min="32" max="32" width="25" bestFit="1" customWidth="1"/>
    <col min="33" max="33" width="12.85546875" bestFit="1" customWidth="1"/>
    <col min="34" max="34" width="8.85546875" bestFit="1" customWidth="1"/>
    <col min="35" max="35" width="13.7109375" bestFit="1" customWidth="1"/>
    <col min="36" max="36" width="9.140625" bestFit="1" customWidth="1"/>
    <col min="37" max="37" width="20.28515625" bestFit="1" customWidth="1"/>
    <col min="38" max="38" width="8.7109375" bestFit="1" customWidth="1"/>
    <col min="39" max="39" width="10.140625" bestFit="1" customWidth="1"/>
    <col min="40" max="40" width="16" bestFit="1" customWidth="1"/>
    <col min="41" max="41" width="18.28515625" bestFit="1" customWidth="1"/>
    <col min="42" max="42" width="33.140625" bestFit="1" customWidth="1"/>
    <col min="43" max="43" width="22.140625" bestFit="1" customWidth="1"/>
    <col min="44" max="44" width="15.140625" bestFit="1" customWidth="1"/>
    <col min="45" max="45" width="13.85546875" bestFit="1" customWidth="1"/>
    <col min="46" max="46" width="23.42578125" bestFit="1" customWidth="1"/>
    <col min="47" max="47" width="20.85546875" bestFit="1" customWidth="1"/>
    <col min="48" max="48" width="17" bestFit="1" customWidth="1"/>
    <col min="49" max="49" width="18.140625" bestFit="1" customWidth="1"/>
    <col min="50" max="50" width="10.140625" bestFit="1" customWidth="1"/>
    <col min="51" max="51" width="20.28515625" bestFit="1" customWidth="1"/>
    <col min="52" max="52" width="21.28515625" bestFit="1" customWidth="1"/>
    <col min="53" max="53" width="20.85546875" bestFit="1" customWidth="1"/>
    <col min="54" max="54" width="23.42578125" bestFit="1" customWidth="1"/>
    <col min="55" max="55" width="13.5703125" bestFit="1" customWidth="1"/>
    <col min="56" max="56" width="13.28515625" bestFit="1" customWidth="1"/>
    <col min="57" max="57" width="28.42578125" bestFit="1" customWidth="1"/>
    <col min="58" max="58" width="29.5703125" bestFit="1" customWidth="1"/>
    <col min="59" max="59" width="31.28515625" bestFit="1" customWidth="1"/>
    <col min="60" max="60" width="27.28515625" bestFit="1" customWidth="1"/>
    <col min="61" max="61" width="28.140625" bestFit="1" customWidth="1"/>
    <col min="62" max="62" width="33.5703125" bestFit="1" customWidth="1"/>
    <col min="63" max="63" width="17" bestFit="1" customWidth="1"/>
    <col min="64" max="64" width="10.85546875" bestFit="1" customWidth="1"/>
    <col min="65" max="65" width="46.85546875" bestFit="1" customWidth="1"/>
    <col min="66" max="66" width="25.5703125" bestFit="1" customWidth="1"/>
    <col min="67" max="67" width="33" bestFit="1" customWidth="1"/>
    <col min="68" max="68" width="41.28515625" bestFit="1" customWidth="1"/>
    <col min="69" max="69" width="33.85546875" bestFit="1" customWidth="1"/>
    <col min="70" max="70" width="42.7109375" bestFit="1" customWidth="1"/>
    <col min="71" max="71" width="28.85546875" bestFit="1" customWidth="1"/>
    <col min="72" max="72" width="24.5703125" bestFit="1" customWidth="1"/>
    <col min="73" max="73" width="31.5703125" bestFit="1" customWidth="1"/>
    <col min="74" max="74" width="32.42578125" bestFit="1" customWidth="1"/>
    <col min="75" max="75" width="28.5703125" bestFit="1" customWidth="1"/>
    <col min="76" max="76" width="35.5703125" bestFit="1" customWidth="1"/>
    <col min="77" max="77" width="19.140625" bestFit="1" customWidth="1"/>
    <col min="78" max="78" width="16.140625" bestFit="1" customWidth="1"/>
    <col min="79" max="79" width="14.5703125" bestFit="1" customWidth="1"/>
    <col min="80" max="80" width="17.7109375" bestFit="1" customWidth="1"/>
    <col min="81" max="81" width="10.42578125" bestFit="1" customWidth="1"/>
    <col min="82" max="82" width="11.42578125" bestFit="1" customWidth="1"/>
    <col min="83" max="83" width="24.28515625" bestFit="1" customWidth="1"/>
    <col min="84" max="84" width="27.7109375" bestFit="1" customWidth="1"/>
    <col min="85" max="85" width="32.140625" bestFit="1" customWidth="1"/>
    <col min="86" max="86" width="11.42578125" bestFit="1" customWidth="1"/>
    <col min="87" max="87" width="29.28515625" bestFit="1" customWidth="1"/>
    <col min="88" max="88" width="19" bestFit="1" customWidth="1"/>
    <col min="89" max="89" width="29.140625" bestFit="1" customWidth="1"/>
    <col min="90" max="90" width="9.42578125" style="2" bestFit="1" customWidth="1"/>
    <col min="91" max="91" width="21.28515625" style="1" bestFit="1" customWidth="1"/>
    <col min="92" max="92" width="18" bestFit="1" customWidth="1"/>
    <col min="93" max="93" width="19.7109375" bestFit="1" customWidth="1"/>
    <col min="94" max="94" width="26.5703125" bestFit="1" customWidth="1"/>
    <col min="95" max="95" width="21.42578125" style="1" bestFit="1" customWidth="1"/>
    <col min="96" max="96" width="19.140625" bestFit="1" customWidth="1"/>
    <col min="97" max="97" width="24.140625" bestFit="1" customWidth="1"/>
    <col min="98" max="98" width="36.85546875" bestFit="1" customWidth="1"/>
    <col min="99" max="99" width="25.42578125" bestFit="1" customWidth="1"/>
    <col min="100" max="100" width="28.42578125" bestFit="1" customWidth="1"/>
    <col min="101" max="101" width="34.85546875" style="1" bestFit="1" customWidth="1"/>
    <col min="102" max="102" width="26.42578125" bestFit="1" customWidth="1"/>
    <col min="103" max="103" width="39.28515625" bestFit="1" customWidth="1"/>
    <col min="104" max="104" width="30.7109375" bestFit="1" customWidth="1"/>
    <col min="105" max="105" width="21" bestFit="1" customWidth="1"/>
    <col min="106" max="106" width="29" bestFit="1" customWidth="1"/>
    <col min="107" max="107" width="20.7109375" bestFit="1" customWidth="1"/>
    <col min="108" max="108" width="28.7109375" bestFit="1" customWidth="1"/>
    <col min="109" max="109" width="27.28515625" bestFit="1" customWidth="1"/>
    <col min="110" max="110" width="35.28515625" bestFit="1" customWidth="1"/>
    <col min="111" max="111" width="16.7109375" bestFit="1" customWidth="1"/>
    <col min="112" max="112" width="22" bestFit="1" customWidth="1"/>
    <col min="113" max="113" width="31.42578125" bestFit="1" customWidth="1"/>
    <col min="114" max="114" width="27.5703125" style="1" bestFit="1" customWidth="1"/>
    <col min="115" max="115" width="36.7109375" bestFit="1" customWidth="1"/>
    <col min="116" max="116" width="24.42578125" bestFit="1" customWidth="1"/>
    <col min="117" max="117" width="22.7109375" style="1" bestFit="1" customWidth="1"/>
    <col min="118" max="118" width="21.5703125" bestFit="1" customWidth="1"/>
    <col min="119" max="119" width="28.85546875" bestFit="1" customWidth="1"/>
    <col min="120" max="120" width="33.85546875" bestFit="1" customWidth="1"/>
    <col min="121" max="121" width="26.140625" bestFit="1" customWidth="1"/>
    <col min="122" max="122" width="38.140625" bestFit="1" customWidth="1"/>
    <col min="123" max="123" width="39.140625" bestFit="1" customWidth="1"/>
    <col min="124" max="124" width="23.85546875" bestFit="1" customWidth="1"/>
    <col min="125" max="125" width="17.42578125" bestFit="1" customWidth="1"/>
    <col min="126" max="126" width="17.140625" bestFit="1" customWidth="1"/>
    <col min="127" max="127" width="21.85546875" bestFit="1" customWidth="1"/>
    <col min="128" max="128" width="19.28515625" bestFit="1" customWidth="1"/>
    <col min="129" max="129" width="20" bestFit="1" customWidth="1"/>
    <col min="130" max="130" width="15.7109375" bestFit="1" customWidth="1"/>
    <col min="131" max="131" width="16.42578125" bestFit="1" customWidth="1"/>
    <col min="132" max="132" width="23.7109375" bestFit="1" customWidth="1"/>
    <col min="133" max="133" width="83.7109375" bestFit="1" customWidth="1"/>
    <col min="134" max="134" width="24.140625" bestFit="1" customWidth="1"/>
    <col min="135" max="135" width="33.42578125" bestFit="1" customWidth="1"/>
    <col min="136" max="136" width="23.85546875" bestFit="1" customWidth="1"/>
    <col min="137" max="137" width="25.42578125" bestFit="1" customWidth="1"/>
    <col min="138" max="138" width="22.28515625" bestFit="1" customWidth="1"/>
    <col min="139" max="139" width="24.42578125" bestFit="1" customWidth="1"/>
    <col min="140" max="141" width="65.42578125" bestFit="1" customWidth="1"/>
    <col min="142" max="142" width="29" bestFit="1" customWidth="1"/>
    <col min="143" max="143" width="21.5703125" bestFit="1" customWidth="1"/>
    <col min="144" max="144" width="43.5703125" bestFit="1" customWidth="1"/>
    <col min="145" max="145" width="31.140625" bestFit="1" customWidth="1"/>
    <col min="146" max="146" width="27.140625" bestFit="1" customWidth="1"/>
    <col min="147" max="147" width="19.85546875" bestFit="1" customWidth="1"/>
    <col min="148" max="148" width="16.42578125" bestFit="1" customWidth="1"/>
    <col min="149" max="149" width="10.5703125" bestFit="1" customWidth="1"/>
    <col min="150" max="150" width="223.7109375" bestFit="1" customWidth="1"/>
    <col min="151" max="151" width="16.28515625" bestFit="1" customWidth="1"/>
    <col min="152" max="152" width="66.28515625" bestFit="1" customWidth="1"/>
    <col min="153" max="153" width="61.140625" bestFit="1" customWidth="1"/>
    <col min="154" max="154" width="26.7109375" bestFit="1" customWidth="1"/>
    <col min="155" max="155" width="101.7109375" bestFit="1" customWidth="1"/>
    <col min="156" max="156" width="53.42578125" bestFit="1" customWidth="1"/>
    <col min="157" max="157" width="31.7109375" bestFit="1" customWidth="1"/>
    <col min="158" max="158" width="37.7109375" bestFit="1" customWidth="1"/>
    <col min="159" max="159" width="30.140625" bestFit="1" customWidth="1"/>
    <col min="160" max="160" width="19.5703125" style="1" bestFit="1" customWidth="1"/>
    <col min="161" max="161" width="10.42578125" bestFit="1" customWidth="1"/>
    <col min="162" max="162" width="31.7109375" style="1" bestFit="1" customWidth="1"/>
    <col min="163" max="163" width="26.5703125" style="1" bestFit="1" customWidth="1"/>
    <col min="164" max="164" width="20.85546875" bestFit="1" customWidth="1"/>
    <col min="165" max="165" width="27.5703125" bestFit="1" customWidth="1"/>
    <col min="166" max="166" width="28.28515625" style="1" bestFit="1" customWidth="1"/>
    <col min="167" max="167" width="21.28515625" bestFit="1" customWidth="1"/>
    <col min="168" max="168" width="27.42578125" bestFit="1" customWidth="1"/>
    <col min="169" max="169" width="29.28515625" bestFit="1" customWidth="1"/>
    <col min="170" max="170" width="37.42578125" bestFit="1" customWidth="1"/>
    <col min="171" max="171" width="18.7109375" bestFit="1" customWidth="1"/>
    <col min="172" max="172" width="24" bestFit="1" customWidth="1"/>
    <col min="173" max="173" width="33.42578125" bestFit="1" customWidth="1"/>
    <col min="174" max="174" width="37" style="1" bestFit="1" customWidth="1"/>
    <col min="175" max="175" width="23" bestFit="1" customWidth="1"/>
    <col min="176" max="176" width="31.140625" bestFit="1" customWidth="1"/>
    <col min="177" max="177" width="22.7109375" bestFit="1" customWidth="1"/>
    <col min="178" max="178" width="30.7109375" bestFit="1" customWidth="1"/>
    <col min="179" max="179" width="29.5703125" style="1" bestFit="1" customWidth="1"/>
    <col min="180" max="180" width="38.7109375" bestFit="1" customWidth="1"/>
    <col min="181" max="181" width="26.5703125" bestFit="1" customWidth="1"/>
    <col min="182" max="182" width="24.7109375" style="1" bestFit="1" customWidth="1"/>
    <col min="183" max="183" width="23.5703125" style="1" bestFit="1" customWidth="1"/>
    <col min="184" max="184" width="28.140625" style="1" bestFit="1" customWidth="1"/>
    <col min="185" max="185" width="31" bestFit="1" customWidth="1"/>
    <col min="186" max="186" width="27.140625" style="1" bestFit="1" customWidth="1"/>
    <col min="187" max="187" width="35.85546875" bestFit="1" customWidth="1"/>
    <col min="188" max="188" width="27.140625" style="1" bestFit="1" customWidth="1"/>
    <col min="189" max="189" width="19.42578125" bestFit="1" customWidth="1"/>
    <col min="190" max="190" width="19.140625" bestFit="1" customWidth="1"/>
    <col min="191" max="191" width="22.85546875" bestFit="1" customWidth="1"/>
    <col min="192" max="192" width="20.28515625" bestFit="1" customWidth="1"/>
    <col min="193" max="193" width="20" bestFit="1" customWidth="1"/>
    <col min="194" max="194" width="17.7109375" bestFit="1" customWidth="1"/>
    <col min="195" max="195" width="17.42578125" bestFit="1" customWidth="1"/>
    <col min="196" max="196" width="25.85546875" bestFit="1" customWidth="1"/>
    <col min="197" max="197" width="83.7109375" bestFit="1" customWidth="1"/>
    <col min="198" max="198" width="26.28515625" bestFit="1" customWidth="1"/>
    <col min="199" max="199" width="35.42578125" bestFit="1" customWidth="1"/>
    <col min="200" max="200" width="26" bestFit="1" customWidth="1"/>
    <col min="201" max="201" width="25.42578125" bestFit="1" customWidth="1"/>
    <col min="202" max="202" width="24.28515625" bestFit="1" customWidth="1"/>
    <col min="203" max="203" width="26.5703125" bestFit="1" customWidth="1"/>
    <col min="204" max="205" width="65.42578125" bestFit="1" customWidth="1"/>
    <col min="206" max="206" width="31.140625" bestFit="1" customWidth="1"/>
    <col min="207" max="207" width="23.5703125" bestFit="1" customWidth="1"/>
    <col min="208" max="208" width="43.5703125" bestFit="1" customWidth="1"/>
    <col min="209" max="209" width="31.140625" bestFit="1" customWidth="1"/>
    <col min="210" max="210" width="29.140625" bestFit="1" customWidth="1"/>
    <col min="211" max="211" width="22" bestFit="1" customWidth="1"/>
    <col min="212" max="212" width="18.42578125" bestFit="1" customWidth="1"/>
    <col min="213" max="213" width="11.5703125" bestFit="1" customWidth="1"/>
    <col min="214" max="214" width="223.7109375" bestFit="1" customWidth="1"/>
    <col min="215" max="215" width="18.28515625" bestFit="1" customWidth="1"/>
    <col min="216" max="216" width="66.28515625" bestFit="1" customWidth="1"/>
    <col min="217" max="217" width="61.140625" bestFit="1" customWidth="1"/>
    <col min="218" max="218" width="28.7109375" bestFit="1" customWidth="1"/>
    <col min="219" max="219" width="101.7109375" bestFit="1" customWidth="1"/>
    <col min="220" max="220" width="53.42578125" bestFit="1" customWidth="1"/>
    <col min="221" max="221" width="33.7109375" bestFit="1" customWidth="1"/>
    <col min="222" max="222" width="39.7109375" bestFit="1" customWidth="1"/>
    <col min="223" max="223" width="17.42578125" bestFit="1" customWidth="1"/>
    <col min="224" max="224" width="20.28515625" bestFit="1" customWidth="1"/>
    <col min="225" max="225" width="17.7109375" bestFit="1" customWidth="1"/>
    <col min="226" max="226" width="8.140625" bestFit="1" customWidth="1"/>
    <col min="227" max="227" width="24.7109375" bestFit="1" customWidth="1"/>
    <col min="228" max="228" width="12.85546875" bestFit="1" customWidth="1"/>
    <col min="229" max="229" width="41.5703125" bestFit="1" customWidth="1"/>
    <col min="230" max="230" width="20.85546875" bestFit="1" customWidth="1"/>
    <col min="231" max="231" width="28.42578125" bestFit="1" customWidth="1"/>
    <col min="232" max="232" width="36.7109375" bestFit="1" customWidth="1"/>
    <col min="233" max="233" width="29" bestFit="1" customWidth="1"/>
    <col min="234" max="234" width="37.85546875" bestFit="1" customWidth="1"/>
    <col min="235" max="235" width="24" bestFit="1" customWidth="1"/>
    <col min="236" max="236" width="20" bestFit="1" customWidth="1"/>
    <col min="237" max="237" width="26.7109375" bestFit="1" customWidth="1"/>
    <col min="238" max="238" width="27.7109375" bestFit="1" customWidth="1"/>
    <col min="239" max="239" width="23.85546875" bestFit="1" customWidth="1"/>
    <col min="240" max="240" width="30.85546875" bestFit="1" customWidth="1"/>
    <col min="241" max="241" width="14.42578125" bestFit="1" customWidth="1"/>
    <col min="243" max="243" width="9.85546875" bestFit="1" customWidth="1"/>
    <col min="244" max="244" width="13.140625" bestFit="1" customWidth="1"/>
    <col min="245" max="245" width="5.85546875" bestFit="1" customWidth="1"/>
    <col min="246" max="246" width="6.85546875" bestFit="1" customWidth="1"/>
    <col min="247" max="247" width="19.5703125" bestFit="1" customWidth="1"/>
    <col min="248" max="248" width="22.85546875" bestFit="1" customWidth="1"/>
    <col min="249" max="249" width="27.5703125" bestFit="1" customWidth="1"/>
    <col min="250" max="250" width="6.85546875" bestFit="1" customWidth="1"/>
    <col min="251" max="251" width="9.140625" bestFit="1" customWidth="1"/>
    <col min="252" max="252" width="13.7109375" bestFit="1" customWidth="1"/>
    <col min="253" max="253" width="3.85546875" bestFit="1" customWidth="1"/>
    <col min="254" max="254" width="8.28515625" bestFit="1" customWidth="1"/>
    <col min="255" max="255" width="12.5703125" bestFit="1" customWidth="1"/>
    <col min="256" max="256" width="10.5703125" bestFit="1" customWidth="1"/>
    <col min="257" max="257" width="24.5703125" bestFit="1" customWidth="1"/>
    <col min="258" max="258" width="14" bestFit="1" customWidth="1"/>
    <col min="259" max="259" width="4.7109375" bestFit="1" customWidth="1"/>
    <col min="260" max="260" width="26" bestFit="1" customWidth="1"/>
    <col min="261" max="261" width="20.85546875" bestFit="1" customWidth="1"/>
    <col min="262" max="262" width="15.140625" bestFit="1" customWidth="1"/>
    <col min="263" max="263" width="22" bestFit="1" customWidth="1"/>
    <col min="264" max="264" width="22.7109375" bestFit="1" customWidth="1"/>
    <col min="265" max="265" width="14.5703125" bestFit="1" customWidth="1"/>
    <col min="266" max="266" width="19.5703125" bestFit="1" customWidth="1"/>
    <col min="267" max="267" width="32" bestFit="1" customWidth="1"/>
    <col min="268" max="268" width="20.7109375" bestFit="1" customWidth="1"/>
    <col min="269" max="269" width="23.85546875" bestFit="1" customWidth="1"/>
    <col min="270" max="270" width="30" bestFit="1" customWidth="1"/>
    <col min="271" max="271" width="21.85546875" bestFit="1" customWidth="1"/>
    <col min="272" max="272" width="34.42578125" bestFit="1" customWidth="1"/>
    <col min="273" max="273" width="26" bestFit="1" customWidth="1"/>
    <col min="274" max="274" width="16.42578125" bestFit="1" customWidth="1"/>
    <col min="275" max="275" width="24.42578125" bestFit="1" customWidth="1"/>
    <col min="276" max="276" width="16.140625" bestFit="1" customWidth="1"/>
    <col min="277" max="277" width="24.140625" bestFit="1" customWidth="1"/>
    <col min="278" max="278" width="22.7109375" bestFit="1" customWidth="1"/>
    <col min="279" max="279" width="30.7109375" bestFit="1" customWidth="1"/>
    <col min="280" max="280" width="12.140625" bestFit="1" customWidth="1"/>
    <col min="281" max="281" width="17.140625" bestFit="1" customWidth="1"/>
    <col min="282" max="282" width="26.42578125" bestFit="1" customWidth="1"/>
    <col min="283" max="283" width="22.85546875" bestFit="1" customWidth="1"/>
    <col min="284" max="284" width="31.7109375" bestFit="1" customWidth="1"/>
    <col min="285" max="285" width="19.5703125" bestFit="1" customWidth="1"/>
    <col min="286" max="286" width="18.140625" bestFit="1" customWidth="1"/>
    <col min="287" max="287" width="16.85546875" bestFit="1" customWidth="1"/>
    <col min="288" max="288" width="24" bestFit="1" customWidth="1"/>
    <col min="289" max="289" width="28.85546875" bestFit="1" customWidth="1"/>
    <col min="290" max="290" width="21.42578125" bestFit="1" customWidth="1"/>
    <col min="291" max="291" width="33.5703125" bestFit="1" customWidth="1"/>
    <col min="292" max="292" width="34.140625" bestFit="1" customWidth="1"/>
    <col min="293" max="293" width="19.28515625" bestFit="1" customWidth="1"/>
    <col min="294" max="294" width="12.85546875" bestFit="1" customWidth="1"/>
    <col min="295" max="295" width="12.5703125" bestFit="1" customWidth="1"/>
    <col min="296" max="296" width="17.7109375" bestFit="1" customWidth="1"/>
    <col min="297" max="297" width="13.7109375" bestFit="1" customWidth="1"/>
    <col min="298" max="298" width="11.5703125" bestFit="1" customWidth="1"/>
    <col min="299" max="299" width="11" bestFit="1" customWidth="1"/>
    <col min="300" max="300" width="10.85546875" bestFit="1" customWidth="1"/>
    <col min="301" max="301" width="19.140625" bestFit="1" customWidth="1"/>
    <col min="302" max="302" width="9.85546875" bestFit="1" customWidth="1"/>
    <col min="303" max="303" width="19.42578125" bestFit="1" customWidth="1"/>
    <col min="304" max="304" width="28.7109375" bestFit="1" customWidth="1"/>
    <col min="305" max="305" width="19.140625" bestFit="1" customWidth="1"/>
    <col min="306" max="306" width="7.42578125" bestFit="1" customWidth="1"/>
    <col min="307" max="307" width="17.5703125" bestFit="1" customWidth="1"/>
    <col min="308" max="308" width="19.7109375" bestFit="1" customWidth="1"/>
    <col min="309" max="309" width="25.28515625" bestFit="1" customWidth="1"/>
    <col min="310" max="310" width="30.140625" bestFit="1" customWidth="1"/>
    <col min="311" max="311" width="24.28515625" bestFit="1" customWidth="1"/>
    <col min="312" max="312" width="17" bestFit="1" customWidth="1"/>
    <col min="313" max="313" width="16.140625" bestFit="1" customWidth="1"/>
    <col min="314" max="314" width="17.140625" bestFit="1" customWidth="1"/>
    <col min="315" max="315" width="22.28515625" bestFit="1" customWidth="1"/>
    <col min="316" max="316" width="15.28515625" bestFit="1" customWidth="1"/>
    <col min="317" max="317" width="11.85546875" bestFit="1" customWidth="1"/>
    <col min="318" max="318" width="5" bestFit="1" customWidth="1"/>
    <col min="319" max="319" width="26.85546875" bestFit="1" customWidth="1"/>
    <col min="320" max="320" width="11.5703125" bestFit="1" customWidth="1"/>
    <col min="321" max="321" width="20.85546875" bestFit="1" customWidth="1"/>
    <col min="322" max="322" width="17.42578125" bestFit="1" customWidth="1"/>
    <col min="323" max="323" width="22" bestFit="1" customWidth="1"/>
    <col min="324" max="324" width="26.7109375" bestFit="1" customWidth="1"/>
    <col min="325" max="325" width="32.7109375" bestFit="1" customWidth="1"/>
    <col min="326" max="326" width="27" bestFit="1" customWidth="1"/>
  </cols>
  <sheetData>
    <row r="1" spans="1:2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3" t="s">
        <v>66</v>
      </c>
      <c r="BM1" s="3" t="s">
        <v>67</v>
      </c>
      <c r="BN1" s="3" t="s">
        <v>68</v>
      </c>
      <c r="BO1" s="3" t="s">
        <v>69</v>
      </c>
      <c r="BP1" s="3" t="s">
        <v>70</v>
      </c>
      <c r="BQ1" s="3" t="s">
        <v>71</v>
      </c>
      <c r="BR1" s="3" t="s">
        <v>72</v>
      </c>
      <c r="BS1" s="3" t="s">
        <v>73</v>
      </c>
      <c r="BT1" s="3" t="s">
        <v>74</v>
      </c>
      <c r="BU1" s="3" t="s">
        <v>75</v>
      </c>
      <c r="BV1" s="3" t="s">
        <v>76</v>
      </c>
      <c r="BW1" s="3" t="s">
        <v>77</v>
      </c>
      <c r="BX1" s="3" t="s">
        <v>78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3" t="s">
        <v>84</v>
      </c>
      <c r="CE1" s="3" t="s">
        <v>85</v>
      </c>
      <c r="CF1" s="3" t="s">
        <v>86</v>
      </c>
      <c r="CG1" s="3" t="s">
        <v>87</v>
      </c>
      <c r="CH1" s="3" t="s">
        <v>468</v>
      </c>
      <c r="CI1" s="3" t="s">
        <v>88</v>
      </c>
      <c r="CJ1" s="3" t="s">
        <v>89</v>
      </c>
      <c r="CK1" s="3" t="s">
        <v>472</v>
      </c>
      <c r="CL1" s="5" t="s">
        <v>474</v>
      </c>
      <c r="CM1" s="3" t="s">
        <v>789</v>
      </c>
      <c r="CN1" s="3" t="s">
        <v>787</v>
      </c>
      <c r="CO1" s="3" t="s">
        <v>477</v>
      </c>
      <c r="CP1" s="3" t="s">
        <v>478</v>
      </c>
      <c r="CQ1" s="3" t="s">
        <v>788</v>
      </c>
      <c r="CR1" s="3" t="s">
        <v>480</v>
      </c>
      <c r="CS1" s="20" t="s">
        <v>481</v>
      </c>
      <c r="CT1" s="20" t="s">
        <v>482</v>
      </c>
      <c r="CU1" s="20" t="s">
        <v>483</v>
      </c>
      <c r="CV1" s="3" t="s">
        <v>484</v>
      </c>
      <c r="CW1" s="4" t="s">
        <v>485</v>
      </c>
      <c r="CX1" s="21" t="s">
        <v>486</v>
      </c>
      <c r="CY1" s="20" t="s">
        <v>487</v>
      </c>
      <c r="CZ1" s="20" t="s">
        <v>488</v>
      </c>
      <c r="DA1" s="3" t="s">
        <v>489</v>
      </c>
      <c r="DB1" s="3" t="s">
        <v>490</v>
      </c>
      <c r="DC1" s="3" t="s">
        <v>491</v>
      </c>
      <c r="DD1" s="3" t="s">
        <v>492</v>
      </c>
      <c r="DE1" s="3" t="s">
        <v>493</v>
      </c>
      <c r="DF1" s="3" t="s">
        <v>494</v>
      </c>
      <c r="DG1" s="3" t="s">
        <v>495</v>
      </c>
      <c r="DH1" s="3" t="s">
        <v>496</v>
      </c>
      <c r="DI1" s="3" t="s">
        <v>497</v>
      </c>
      <c r="DJ1" s="4" t="s">
        <v>498</v>
      </c>
      <c r="DK1" s="3" t="s">
        <v>499</v>
      </c>
      <c r="DL1" s="3" t="s">
        <v>500</v>
      </c>
      <c r="DM1" s="4" t="s">
        <v>501</v>
      </c>
      <c r="DN1" s="3" t="s">
        <v>502</v>
      </c>
      <c r="DO1" s="3" t="s">
        <v>503</v>
      </c>
      <c r="DP1" s="3" t="s">
        <v>504</v>
      </c>
      <c r="DQ1" s="3" t="s">
        <v>505</v>
      </c>
      <c r="DR1" s="20" t="s">
        <v>506</v>
      </c>
      <c r="DS1" s="20" t="s">
        <v>507</v>
      </c>
      <c r="DT1" s="20" t="s">
        <v>508</v>
      </c>
      <c r="DU1" s="3" t="s">
        <v>509</v>
      </c>
      <c r="DV1" s="3" t="s">
        <v>510</v>
      </c>
      <c r="DW1" s="3" t="s">
        <v>722</v>
      </c>
      <c r="DX1" s="3" t="s">
        <v>723</v>
      </c>
      <c r="DY1" s="3" t="s">
        <v>512</v>
      </c>
      <c r="DZ1" s="3" t="s">
        <v>513</v>
      </c>
      <c r="EA1" s="3" t="s">
        <v>724</v>
      </c>
      <c r="EB1" s="3" t="s">
        <v>515</v>
      </c>
      <c r="EC1" s="3" t="s">
        <v>516</v>
      </c>
      <c r="ED1" s="3" t="s">
        <v>517</v>
      </c>
      <c r="EE1" s="3" t="s">
        <v>518</v>
      </c>
      <c r="EF1" s="3" t="s">
        <v>519</v>
      </c>
      <c r="EG1" s="3" t="s">
        <v>97</v>
      </c>
      <c r="EH1" s="3" t="s">
        <v>520</v>
      </c>
      <c r="EI1" s="3" t="s">
        <v>521</v>
      </c>
      <c r="EJ1" s="3" t="s">
        <v>522</v>
      </c>
      <c r="EK1" s="3" t="s">
        <v>523</v>
      </c>
      <c r="EL1" s="3" t="s">
        <v>524</v>
      </c>
      <c r="EM1" s="3" t="s">
        <v>525</v>
      </c>
      <c r="EN1" s="3" t="s">
        <v>526</v>
      </c>
      <c r="EO1" s="3" t="s">
        <v>527</v>
      </c>
      <c r="EP1" s="3" t="s">
        <v>528</v>
      </c>
      <c r="EQ1" s="3" t="s">
        <v>529</v>
      </c>
      <c r="ER1" s="3" t="s">
        <v>530</v>
      </c>
      <c r="ES1" s="3" t="s">
        <v>725</v>
      </c>
      <c r="ET1" s="3" t="s">
        <v>532</v>
      </c>
      <c r="EU1" s="3" t="s">
        <v>533</v>
      </c>
      <c r="EV1" s="3" t="s">
        <v>534</v>
      </c>
      <c r="EW1" s="3" t="s">
        <v>535</v>
      </c>
      <c r="EX1" s="3" t="s">
        <v>536</v>
      </c>
      <c r="EY1" s="3" t="s">
        <v>537</v>
      </c>
      <c r="EZ1" s="3" t="s">
        <v>538</v>
      </c>
      <c r="FA1" s="3" t="s">
        <v>539</v>
      </c>
      <c r="FB1" s="3" t="s">
        <v>540</v>
      </c>
      <c r="FC1" s="3" t="s">
        <v>726</v>
      </c>
      <c r="FD1" s="4" t="s">
        <v>727</v>
      </c>
      <c r="FE1" s="3" t="s">
        <v>728</v>
      </c>
      <c r="FF1" s="4" t="s">
        <v>729</v>
      </c>
      <c r="FG1" s="4" t="s">
        <v>730</v>
      </c>
      <c r="FH1" s="3" t="s">
        <v>731</v>
      </c>
      <c r="FI1" s="3" t="s">
        <v>732</v>
      </c>
      <c r="FJ1" s="4" t="s">
        <v>733</v>
      </c>
      <c r="FK1" s="3" t="s">
        <v>734</v>
      </c>
      <c r="FL1" s="3" t="s">
        <v>712</v>
      </c>
      <c r="FM1" s="3" t="s">
        <v>735</v>
      </c>
      <c r="FN1" s="3" t="s">
        <v>736</v>
      </c>
      <c r="FO1" s="3" t="s">
        <v>737</v>
      </c>
      <c r="FP1" s="3" t="s">
        <v>738</v>
      </c>
      <c r="FQ1" s="3" t="s">
        <v>739</v>
      </c>
      <c r="FR1" s="4" t="s">
        <v>740</v>
      </c>
      <c r="FS1" s="3" t="s">
        <v>741</v>
      </c>
      <c r="FT1" s="3" t="s">
        <v>742</v>
      </c>
      <c r="FU1" s="3" t="s">
        <v>743</v>
      </c>
      <c r="FV1" s="3" t="s">
        <v>744</v>
      </c>
      <c r="FW1" s="4" t="s">
        <v>745</v>
      </c>
      <c r="FX1" s="3" t="s">
        <v>746</v>
      </c>
      <c r="FY1" s="3" t="s">
        <v>747</v>
      </c>
      <c r="FZ1" s="4" t="s">
        <v>748</v>
      </c>
      <c r="GA1" s="4" t="s">
        <v>749</v>
      </c>
      <c r="GB1" s="4" t="s">
        <v>750</v>
      </c>
      <c r="GC1" s="3" t="s">
        <v>751</v>
      </c>
      <c r="GD1" s="4" t="s">
        <v>720</v>
      </c>
      <c r="GE1" s="3" t="s">
        <v>752</v>
      </c>
      <c r="GF1" s="4" t="s">
        <v>721</v>
      </c>
      <c r="GG1" s="3" t="s">
        <v>753</v>
      </c>
      <c r="GH1" s="3" t="s">
        <v>754</v>
      </c>
      <c r="GI1" s="3" t="s">
        <v>755</v>
      </c>
      <c r="GJ1" s="3" t="s">
        <v>756</v>
      </c>
      <c r="GK1" s="3" t="s">
        <v>757</v>
      </c>
      <c r="GL1" s="3" t="s">
        <v>758</v>
      </c>
      <c r="GM1" s="3" t="s">
        <v>759</v>
      </c>
      <c r="GN1" s="3" t="s">
        <v>760</v>
      </c>
      <c r="GO1" s="3" t="s">
        <v>761</v>
      </c>
      <c r="GP1" s="3" t="s">
        <v>762</v>
      </c>
      <c r="GQ1" s="3" t="s">
        <v>763</v>
      </c>
      <c r="GR1" s="3" t="s">
        <v>764</v>
      </c>
      <c r="GS1" s="3" t="s">
        <v>765</v>
      </c>
      <c r="GT1" s="3" t="s">
        <v>766</v>
      </c>
      <c r="GU1" s="3" t="s">
        <v>767</v>
      </c>
      <c r="GV1" s="3" t="s">
        <v>768</v>
      </c>
      <c r="GW1" s="3" t="s">
        <v>769</v>
      </c>
      <c r="GX1" s="3" t="s">
        <v>770</v>
      </c>
      <c r="GY1" s="3" t="s">
        <v>771</v>
      </c>
      <c r="GZ1" s="3" t="s">
        <v>772</v>
      </c>
      <c r="HA1" s="3" t="s">
        <v>773</v>
      </c>
      <c r="HB1" s="3" t="s">
        <v>774</v>
      </c>
      <c r="HC1" s="3" t="s">
        <v>775</v>
      </c>
      <c r="HD1" s="3" t="s">
        <v>776</v>
      </c>
      <c r="HE1" s="3" t="s">
        <v>777</v>
      </c>
      <c r="HF1" s="3" t="s">
        <v>778</v>
      </c>
      <c r="HG1" s="3" t="s">
        <v>779</v>
      </c>
      <c r="HH1" s="3" t="s">
        <v>780</v>
      </c>
      <c r="HI1" s="3" t="s">
        <v>781</v>
      </c>
      <c r="HJ1" s="3" t="s">
        <v>782</v>
      </c>
      <c r="HK1" s="3" t="s">
        <v>783</v>
      </c>
      <c r="HL1" s="3" t="s">
        <v>784</v>
      </c>
      <c r="HM1" s="3" t="s">
        <v>785</v>
      </c>
      <c r="HN1" s="3" t="s">
        <v>786</v>
      </c>
      <c r="HO1" s="3" t="s">
        <v>713</v>
      </c>
      <c r="HP1" s="3" t="s">
        <v>714</v>
      </c>
      <c r="HQ1" s="3" t="s">
        <v>715</v>
      </c>
      <c r="HR1" s="3" t="s">
        <v>716</v>
      </c>
      <c r="HS1" s="3" t="s">
        <v>717</v>
      </c>
      <c r="HT1" s="3" t="s">
        <v>469</v>
      </c>
      <c r="HU1" s="3" t="s">
        <v>470</v>
      </c>
    </row>
    <row r="2" spans="1:229" x14ac:dyDescent="0.25">
      <c r="A2" s="3" t="s">
        <v>90</v>
      </c>
      <c r="B2" s="6" t="s">
        <v>276</v>
      </c>
      <c r="C2" s="3">
        <v>3942</v>
      </c>
      <c r="D2" s="3">
        <v>6001223</v>
      </c>
      <c r="E2" s="3"/>
      <c r="F2" s="3" t="s">
        <v>92</v>
      </c>
      <c r="G2" s="3" t="s">
        <v>93</v>
      </c>
      <c r="H2" s="3">
        <v>16</v>
      </c>
      <c r="I2" s="3">
        <v>93586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17.170000000000002</v>
      </c>
      <c r="Q2" s="3">
        <v>122</v>
      </c>
      <c r="R2" s="3">
        <v>470</v>
      </c>
      <c r="S2" s="3"/>
      <c r="T2" s="3" t="s">
        <v>277</v>
      </c>
      <c r="U2" s="3">
        <v>586895</v>
      </c>
      <c r="V2" s="3">
        <v>586895</v>
      </c>
      <c r="W2" s="3">
        <v>0</v>
      </c>
      <c r="X2" s="3">
        <v>0</v>
      </c>
      <c r="Y2" s="3">
        <v>0</v>
      </c>
      <c r="Z2" s="3">
        <v>0</v>
      </c>
      <c r="AA2" s="3" t="s">
        <v>278</v>
      </c>
      <c r="AB2" s="3"/>
      <c r="AC2" s="3">
        <v>580268</v>
      </c>
      <c r="AD2" s="3">
        <v>13815.904759999999</v>
      </c>
      <c r="AE2" s="3">
        <v>354</v>
      </c>
      <c r="AF2" s="3" t="s">
        <v>279</v>
      </c>
      <c r="AG2" s="3">
        <v>0</v>
      </c>
      <c r="AH2" s="3">
        <v>0</v>
      </c>
      <c r="AI2" s="3">
        <v>53</v>
      </c>
      <c r="AJ2" s="3">
        <v>4695</v>
      </c>
      <c r="AK2" s="3">
        <v>0</v>
      </c>
      <c r="AL2" s="3">
        <v>94655</v>
      </c>
      <c r="AM2" s="3">
        <v>330</v>
      </c>
      <c r="AN2" s="3">
        <v>99733</v>
      </c>
      <c r="AO2" s="3" t="s">
        <v>97</v>
      </c>
      <c r="AP2" s="3" t="s">
        <v>280</v>
      </c>
      <c r="AQ2" s="3">
        <v>210367184</v>
      </c>
      <c r="AR2" s="3" t="s">
        <v>99</v>
      </c>
      <c r="AS2" s="3" t="s">
        <v>100</v>
      </c>
      <c r="AT2" s="3" t="s">
        <v>281</v>
      </c>
      <c r="AU2" s="3"/>
      <c r="AV2" s="3" t="s">
        <v>188</v>
      </c>
      <c r="AW2" s="3">
        <v>85176101</v>
      </c>
      <c r="AX2" s="3">
        <v>0</v>
      </c>
      <c r="AY2" s="3">
        <v>42</v>
      </c>
      <c r="AZ2" s="3">
        <v>42</v>
      </c>
      <c r="BA2" s="3" t="s">
        <v>103</v>
      </c>
      <c r="BB2" s="3"/>
      <c r="BC2" s="3" t="s">
        <v>197</v>
      </c>
      <c r="BD2" s="3" t="s">
        <v>105</v>
      </c>
      <c r="BE2" s="3" t="s">
        <v>106</v>
      </c>
      <c r="BF2" s="3"/>
      <c r="BG2" s="5"/>
      <c r="BH2" s="3"/>
      <c r="BI2" s="3"/>
      <c r="BJ2" s="3" t="s">
        <v>282</v>
      </c>
      <c r="BK2" s="3" t="s">
        <v>283</v>
      </c>
      <c r="BL2" s="3">
        <v>44228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5300</v>
      </c>
      <c r="CC2" s="3">
        <v>952</v>
      </c>
      <c r="CD2" s="3">
        <v>20944.87</v>
      </c>
      <c r="CE2" s="3" t="s">
        <v>192</v>
      </c>
      <c r="CF2" s="3">
        <v>20944.87</v>
      </c>
      <c r="CG2" s="3">
        <v>0</v>
      </c>
      <c r="CH2" s="3">
        <v>0</v>
      </c>
      <c r="CI2" s="3" t="s">
        <v>284</v>
      </c>
      <c r="CJ2" s="3" t="s">
        <v>285</v>
      </c>
      <c r="CK2" s="3">
        <f>_xlfn.XLOOKUP($B$2,'BASE DE EXCEL'!C:C,'BASE DE EXCEL'!D:D,"NO HAY REFERENCIA")</f>
        <v>470</v>
      </c>
      <c r="CL2" s="5">
        <f>_xlfn.XLOOKUP($B$2,'BASE DE EXCEL'!$C:$C,'BASE DE EXCEL'!F:F,"NO HAY REFERENCIA")</f>
        <v>3</v>
      </c>
      <c r="CM2" s="4">
        <f>_xlfn.XLOOKUP($B$2,'BASE DE EXCEL'!$C:$C,'BASE DE EXCEL'!G:G,"NO HAY REFERENCIA")</f>
        <v>46080</v>
      </c>
      <c r="CN2" s="4">
        <f>_xlfn.XLOOKUP($B$2,'BASE DE EXCEL'!$C:$C,'BASE DE EXCEL'!H:H,"NO HAY REFERENCIA")</f>
        <v>46086</v>
      </c>
      <c r="CO2" s="3">
        <f>_xlfn.XLOOKUP($B$2,'BASE DE EXCEL'!$C:$C,'BASE DE EXCEL'!I:I,"NO HAY REFERENCIA")</f>
        <v>4</v>
      </c>
      <c r="CP2" s="3" t="str">
        <f>_xlfn.XLOOKUP($B$2,'BASE DE EXCEL'!$C:$C,'BASE DE EXCEL'!J:J,"NO HAY REFERENCIA")</f>
        <v>4 a 5 días</v>
      </c>
      <c r="CQ2" s="4">
        <f>_xlfn.XLOOKUP($B$2,'BASE DE EXCEL'!$C:$C,'BASE DE EXCEL'!K:K,"NO HAY REFERENCIA")</f>
        <v>46087</v>
      </c>
      <c r="CR2" s="3">
        <f>_xlfn.XLOOKUP($B$2,'BASE DE EXCEL'!$C:$C,'BASE DE EXCEL'!L:L,"NO HAY REFERENCIA")</f>
        <v>5</v>
      </c>
      <c r="CS2" s="3">
        <f>_xlfn.XLOOKUP($B$2,'BASE DE EXCEL'!$C:$C,'BASE DE EXCEL'!M:M,"NO HAY REFERENCIA")</f>
        <v>6</v>
      </c>
      <c r="CT2" s="3" t="str">
        <f>_xlfn.XLOOKUP($B$2,'BASE DE EXCEL'!$C:$C,'BASE DE EXCEL'!N:N,"NO HAY REFERENCIA")</f>
        <v>6 a 10 días</v>
      </c>
      <c r="CU2" s="3" t="str">
        <f>_xlfn.XLOOKUP($B$2,'BASE DE EXCEL'!$C:$C,'BASE DE EXCEL'!O:O,"NO HAY REFERENCIA")</f>
        <v>On Time</v>
      </c>
      <c r="CV2" s="3" t="str">
        <f>_xlfn.XLOOKUP(B2,'BASE DE EXCEL'!$C:$C,'BASE DE EXCEL'!P:P,"NO HAY REFERENCIA")</f>
        <v>6 a 10 días</v>
      </c>
      <c r="CW2" s="4">
        <f>_xlfn.XLOOKUP(B2,'BASE DE EXCEL'!$C:$C,'BASE DE EXCEL'!Q:Q,"NO HAY REFERENCIA")</f>
        <v>46087</v>
      </c>
      <c r="CX2" s="3">
        <f>_xlfn.XLOOKUP(B2,'BASE DE EXCEL'!$C:$C,'BASE DE EXCEL'!R:R,"NO HAY REFERENCIA")</f>
        <v>6</v>
      </c>
      <c r="CY2" s="3" t="str">
        <f>_xlfn.XLOOKUP(B2,'BASE DE EXCEL'!$C:$C,'BASE DE EXCEL'!S:S,"NO HAY REFERENCIA")</f>
        <v>6 a 10 días</v>
      </c>
      <c r="CZ2" s="3" t="str">
        <f>_xlfn.XLOOKUP(B2,'BASE DE EXCEL'!$C:$C,'BASE DE EXCEL'!T:T,"NO HAY REFERENCIA")</f>
        <v>On Time</v>
      </c>
      <c r="DA2" s="3">
        <f>_xlfn.XLOOKUP(B2,'BASE DE EXCEL'!$C:$C,'BASE DE EXCEL'!U:U,"NO HAY REFERENCIA")</f>
        <v>7</v>
      </c>
      <c r="DB2" s="3" t="str">
        <f>_xlfn.XLOOKUP(B2,'BASE DE EXCEL'!$C:$C,'BASE DE EXCEL'!V:V,"NO HAY REFERENCIA")</f>
        <v>4 a 5 días</v>
      </c>
      <c r="DC2" s="3" t="str">
        <f>_xlfn.XLOOKUP(B2,'BASE DE EXCEL'!$C:$C,'BASE DE EXCEL'!W:W,"NO HAY REFERENCIA")</f>
        <v>NULL</v>
      </c>
      <c r="DD2" s="3" t="str">
        <f>_xlfn.XLOOKUP(B2,'BASE DE EXCEL'!$C:$C,'BASE DE EXCEL'!X:X,"NO HAY REFERENCIA")</f>
        <v>SIN DATO</v>
      </c>
      <c r="DE2" s="3">
        <f>_xlfn.XLOOKUP(B2,'BASE DE EXCEL'!$C:$C,'BASE DE EXCEL'!Y:Y,"NO HAY REFERENCIA")</f>
        <v>1</v>
      </c>
      <c r="DF2" s="3" t="str">
        <f>_xlfn.XLOOKUP(B2,'BASE DE EXCEL'!$C:$C,'BASE DE EXCEL'!Z:Z,"NO HAY REFERENCIA")</f>
        <v>1 día o menos</v>
      </c>
      <c r="DG2" s="3">
        <f>_xlfn.XLOOKUP(B2,'BASE DE EXCEL'!$C:$C,'BASE DE EXCEL'!AA:AA,"NO HAY REFERENCIA")</f>
        <v>6</v>
      </c>
      <c r="DH2" s="3">
        <f>_xlfn.XLOOKUP(B2,'BASE DE EXCEL'!$C:$C,'BASE DE EXCEL'!AB:AB,"NO HAY REFERENCIA")</f>
        <v>0</v>
      </c>
      <c r="DI2" s="3" t="str">
        <f>_xlfn.XLOOKUP(B2,'BASE DE EXCEL'!$C:$C,'BASE DE EXCEL'!AC:AC,"NO HAY REFERENCIA")</f>
        <v>1 día o menos</v>
      </c>
      <c r="DJ2" s="4">
        <f>_xlfn.XLOOKUP(B2,'BASE DE EXCEL'!$C:$C,'BASE DE EXCEL'!AD:AD,"NO HAY REFERENCIA")</f>
        <v>46113</v>
      </c>
      <c r="DK2" s="3">
        <f>_xlfn.XLOOKUP(B2,'BASE DE EXCEL'!$C:$C,'BASE DE EXCEL'!AE:AE,"NO HAY REFERENCIA")</f>
        <v>5</v>
      </c>
      <c r="DL2" s="3">
        <f>_xlfn.XLOOKUP(B2,'BASE DE EXCEL'!$C:$C,'BASE DE EXCEL'!AF:AF,"NO HAY REFERENCIA")</f>
        <v>18</v>
      </c>
      <c r="DM2" s="4">
        <f>_xlfn.XLOOKUP(B2,'BASE DE EXCEL'!$C:$C,'BASE DE EXCEL'!AG:AG,"NO HAY REFERENCIA")</f>
        <v>46092</v>
      </c>
      <c r="DN2" s="4">
        <f>_xlfn.XLOOKUP(B2,'BASE DE EXCEL'!$C:$C,'BASE DE EXCEL'!AH:AH,"NO HAY REFERENCIA")</f>
        <v>46093</v>
      </c>
      <c r="DO2" s="3" t="str">
        <f>_xlfn.XLOOKUP(B2,'BASE DE EXCEL'!$C:$C,'BASE DE EXCEL'!AI:AI,"NO HAY REFERENCIA")</f>
        <v>NULL</v>
      </c>
      <c r="DP2" s="4" t="str">
        <f>_xlfn.XLOOKUP(B2,'BASE DE EXCEL'!$C:$C,'BASE DE EXCEL'!AJ:AJ,"NO HAY REFERENCIA")</f>
        <v>más de 16 días</v>
      </c>
      <c r="DQ2" s="4">
        <f>_xlfn.XLOOKUP(B2,'BASE DE EXCEL'!$C:$C,'BASE DE EXCEL'!AK:AK,"NO HAY REFERENCIA")</f>
        <v>46113</v>
      </c>
      <c r="DR2" s="3">
        <f>_xlfn.XLOOKUP(B2,'BASE DE EXCEL'!$C:$C,'BASE DE EXCEL'!AL:AL,"NO HAY REFERENCIA")</f>
        <v>18</v>
      </c>
      <c r="DS2" s="3" t="str">
        <f>_xlfn.XLOOKUP(B2,'BASE DE EXCEL'!$C:$C,'BASE DE EXCEL'!AM:AM,"NO HAY REFERENCIA")</f>
        <v>más de 16 días</v>
      </c>
      <c r="DT2" s="3" t="str">
        <f>_xlfn.XLOOKUP(B2,'BASE DE EXCEL'!$C:$C,'BASE DE EXCEL'!AN:AN,"NO HAY REFERENCIA")</f>
        <v>On Time</v>
      </c>
      <c r="DU2" s="3">
        <f>_xlfn.XLOOKUP(B2,'BASE DE EXCEL'!$C:$C,'BASE DE EXCEL'!AO:AO,"NO HAY REFERENCIA")</f>
        <v>1</v>
      </c>
      <c r="DV2" s="3" t="str">
        <f>_xlfn.XLOOKUP(B2,'BASE DE EXCEL'!$C:$C,'BASE DE EXCEL'!AP:AP,"NO HAY REFERENCIA")</f>
        <v>Es anterior</v>
      </c>
      <c r="DW2" s="3" t="str">
        <f>_xlfn.XLOOKUP(B2,'BASE DE EXCEL'!$C:$C,'BASE DE EXCEL'!AQ:AQ,"NO HAY REFERENCIA")</f>
        <v>A1</v>
      </c>
      <c r="DX2" s="3" t="str">
        <f>_xlfn.XLOOKUP(B2,'BASE DE EXCEL'!$C:$C,'BASE DE EXCEL'!AR:AR,"NO HAY REFERENCIA")</f>
        <v>KAREN MARTINEZ</v>
      </c>
      <c r="DY2" s="3" t="str">
        <f>_xlfn.XLOOKUP(B2,'BASE DE EXCEL'!$C:$C,'BASE DE EXCEL'!AS:AS,"NO HAY REFERENCIA")</f>
        <v>057-02191140</v>
      </c>
      <c r="DZ2" s="3" t="str">
        <f>_xlfn.XLOOKUP(B2,'BASE DE EXCEL'!$C:$C,'BASE DE EXCEL'!AT:AT,"NO HAY REFERENCIA")</f>
        <v>NULL</v>
      </c>
      <c r="EA2" s="3">
        <f>_xlfn.XLOOKUP(B2,'BASE DE EXCEL'!$C:$C,'BASE DE EXCEL'!AU:AU,"NO HAY REFERENCIA")</f>
        <v>6001223</v>
      </c>
      <c r="EB2" s="3" t="str">
        <f>_xlfn.XLOOKUP(B2,'BASE DE EXCEL'!$C:$C,'BASE DE EXCEL'!AV:AV,"NO HAY REFERENCIA")</f>
        <v>Importación</v>
      </c>
      <c r="EC2" s="3" t="str">
        <f>_xlfn.XLOOKUP(B2,'BASE DE EXCEL'!$C:$C,'BASE DE EXCEL'!AW:AW,"NO HAY REFERENCIA")</f>
        <v>ESTACION BASE (CONTROLLER SENSEHUB US)</v>
      </c>
      <c r="ED2" s="3" t="str">
        <f>_xlfn.XLOOKUP(B2,'BASE DE EXCEL'!$C:$C,'BASE DE EXCEL'!AX:AX,"NO HAY REFERENCIA")</f>
        <v>SIN CLASIFICACION</v>
      </c>
      <c r="EE2" s="3">
        <f>_xlfn.XLOOKUP(B2,'BASE DE EXCEL'!$C:$C,'BASE DE EXCEL'!AY:AY,"NO HAY REFERENCIA")</f>
        <v>0</v>
      </c>
      <c r="EF2" s="3" t="str">
        <f>_xlfn.XLOOKUP(B2,'BASE DE EXCEL'!$C:$C,'BASE DE EXCEL'!AZ:AZ,"NO HAY REFERENCIA")</f>
        <v>Cargas de Importación</v>
      </c>
      <c r="EG2" s="3" t="str">
        <f>_xlfn.XLOOKUP(B2,'BASE DE EXCEL'!$C:$C,'BASE DE EXCEL'!BA:BA,"NO HAY REFERENCIA")</f>
        <v>INTERVET MEXICO SA DE CV</v>
      </c>
      <c r="EH2" s="3">
        <f>_xlfn.XLOOKUP(B2,'BASE DE EXCEL'!$C:$C,'BASE DE EXCEL'!BB:BB,"NO HAY REFERENCIA")</f>
        <v>0</v>
      </c>
      <c r="EI2" s="3">
        <f>_xlfn.XLOOKUP(B2,'BASE DE EXCEL'!$C:$C,'BASE DE EXCEL'!BC:BC,"NO HAY REFERENCIA")</f>
        <v>0</v>
      </c>
      <c r="EJ2" s="3">
        <f>_xlfn.XLOOKUP(B2,'BASE DE EXCEL'!$C:$C,'BASE DE EXCEL'!BD:BD,"NO HAY REFERENCIA")</f>
        <v>0</v>
      </c>
      <c r="EK2" s="3">
        <f>_xlfn.XLOOKUP(B2,'BASE DE EXCEL'!$C:$C,'BASE DE EXCEL'!BE:BE,"NO HAY REFERENCIA")</f>
        <v>0</v>
      </c>
      <c r="EL2" s="3" t="str">
        <f>_xlfn.XLOOKUP(B2,'BASE DE EXCEL'!$C:$C,'BASE DE EXCEL'!BF:BF,"NO HAY REFERENCIA")</f>
        <v>REFACCIONES</v>
      </c>
      <c r="EM2" s="3" t="str">
        <f>_xlfn.XLOOKUP(B2,'BASE DE EXCEL'!$C:$C,'BASE DE EXCEL'!BG:BG,"NO HAY REFERENCIA")</f>
        <v>Verde</v>
      </c>
      <c r="EN2" s="3" t="str">
        <f>_xlfn.XLOOKUP(B2,'BASE DE EXCEL'!$C:$C,'BASE DE EXCEL'!BH:BH,"NO HAY REFERENCIA")</f>
        <v>NULL</v>
      </c>
      <c r="EO2" s="3">
        <f>_xlfn.XLOOKUP(B2,'BASE DE EXCEL'!$C:$C,'BASE DE EXCEL'!BI:BI,"NO HAY REFERENCIA")</f>
        <v>0</v>
      </c>
      <c r="EP2" s="3" t="str">
        <f>_xlfn.XLOOKUP(B2,'BASE DE EXCEL'!$C:$C,'BASE DE EXCEL'!BJ:BJ,"NO HAY REFERENCIA")</f>
        <v>NISSAN 3</v>
      </c>
      <c r="EQ2" s="3" t="str">
        <f>_xlfn.XLOOKUP(B2,'BASE DE EXCEL'!$C:$C,'BASE DE EXCEL'!BK:BK,"NO HAY REFERENCIA")</f>
        <v>IME850329RH2</v>
      </c>
      <c r="ER2" s="3">
        <f>_xlfn.XLOOKUP(B2,'BASE DE EXCEL'!$C:$C,'BASE DE EXCEL'!BL:BL,"NO HAY REFERENCIA")</f>
        <v>0</v>
      </c>
      <c r="ES2" s="3">
        <f>_xlfn.XLOOKUP(B2,'BASE DE EXCEL'!$C:$C,'BASE DE EXCEL'!BM:BM,"NO HAY REFERENCIA")</f>
        <v>0</v>
      </c>
      <c r="ET2" s="3" t="str">
        <f>_xlfn.XLOOKUP(B2,'BASE DE EXCEL'!$C:$C,'BASE DE EXCEL'!BN:BN,"NO HAY REFERENCIA")</f>
        <v>LOTE: IL20260101</v>
      </c>
      <c r="EU2" s="3">
        <f>_xlfn.XLOOKUP(B2,'BASE DE EXCEL'!$C:$C,'BASE DE EXCEL'!BO:BO,"NO HAY REFERENCIA")</f>
        <v>90</v>
      </c>
      <c r="EV2" s="3">
        <f>_xlfn.XLOOKUP(B2,'BASE DE EXCEL'!$C:$C,'BASE DE EXCEL'!BP:BP,"NO HAY REFERENCIA")</f>
        <v>586894.97</v>
      </c>
      <c r="EW2" s="3" t="str">
        <f>_xlfn.XLOOKUP(B2,'BASE DE EXCEL'!$C:$C,'BASE DE EXCEL'!BQ:BQ,"NO HAY REFERENCIA")</f>
        <v>PIEZA,PIEZA</v>
      </c>
      <c r="EX2" s="3">
        <f>_xlfn.XLOOKUP(B2,'BASE DE EXCEL'!$C:$C,'BASE DE EXCEL'!BR:BR,"NO HAY REFERENCIA")</f>
        <v>0</v>
      </c>
      <c r="EY2" s="3" t="str">
        <f>_xlfn.XLOOKUP(B2,'BASE DE EXCEL'!$C:$C,'BASE DE EXCEL'!BS:BS,"NO HAY REFERENCIA")</f>
        <v>ISRAEL (ESTADO DE)</v>
      </c>
      <c r="EZ2" s="3" t="str">
        <f>_xlfn.XLOOKUP(B2,'BASE DE EXCEL'!$C:$C,'BASE DE EXCEL'!BT:BT,"NO HAY REFERENCIA")</f>
        <v>PAISES BAJOS (REINO DE LOS) (HOLANDA)</v>
      </c>
      <c r="FA2" s="3" t="str">
        <f>_xlfn.XLOOKUP(B2,'BASE DE EXCEL'!$C:$C,'BASE DE EXCEL'!BU:BU,"NO HAY REFERENCIA")</f>
        <v>ISR</v>
      </c>
      <c r="FB2" s="3" t="str">
        <f>_xlfn.XLOOKUP(B2,'BASE DE EXCEL'!$C:$C,'BASE DE EXCEL'!BV:BV,"NO HAY REFERENCIA")</f>
        <v>ZYA</v>
      </c>
      <c r="FC2" s="3">
        <f>_xlfn.XLOOKUP(B2,QUERY!$C:$C,QUERY!D:D)</f>
        <v>470</v>
      </c>
      <c r="FD2" s="4">
        <f>_xlfn.XLOOKUP(B2,QUERY!$C:$C,QUERY!E:E)</f>
        <v>46086</v>
      </c>
      <c r="FE2" s="3">
        <f>_xlfn.XLOOKUP(B2,QUERY!$C:$C,QUERY!F:F)</f>
        <v>3</v>
      </c>
      <c r="FF2" s="4">
        <f>_xlfn.XLOOKUP(B2,QUERY!$C:$C,QUERY!G:G)</f>
        <v>46080</v>
      </c>
      <c r="FG2" s="4">
        <f>_xlfn.XLOOKUP(B2,QUERY!$C:$C,QUERY!H:H)</f>
        <v>46086</v>
      </c>
      <c r="FH2" s="3">
        <f>_xlfn.XLOOKUP(B2,QUERY!$C:$C,QUERY!I:I)</f>
        <v>4</v>
      </c>
      <c r="FI2" s="3" t="str">
        <f>_xlfn.XLOOKUP(B2,QUERY!$C:$C,QUERY!J:J)</f>
        <v>4 a 5 días</v>
      </c>
      <c r="FJ2" s="4">
        <f>_xlfn.XLOOKUP(B2,QUERY!$C:$C,QUERY!K:K)</f>
        <v>46087</v>
      </c>
      <c r="FK2" s="3">
        <f>_xlfn.XLOOKUP(B2,QUERY!$C:$C,QUERY!L:L)</f>
        <v>5</v>
      </c>
      <c r="FL2" s="3" t="str">
        <f>_xlfn.XLOOKUP(B2,QUERY!$C:$C,QUERY!M:M)</f>
        <v>4 a 5 días</v>
      </c>
      <c r="FM2" s="3">
        <f>_xlfn.XLOOKUP(B2,QUERY!$C:$C,QUERY!N:N)</f>
        <v>1</v>
      </c>
      <c r="FN2" s="3" t="str">
        <f>_xlfn.XLOOKUP(B2,QUERY!$C:$C,QUERY!O:O)</f>
        <v>1 día o menos</v>
      </c>
      <c r="FO2" s="3">
        <f>_xlfn.XLOOKUP(B2,QUERY!$C:$C,QUERY!P:P)</f>
        <v>1</v>
      </c>
      <c r="FP2" s="3">
        <f>_xlfn.XLOOKUP(B2,QUERY!$C:$C,QUERY!Q:Q)</f>
        <v>0</v>
      </c>
      <c r="FQ2" s="3" t="str">
        <f>_xlfn.XLOOKUP(B2,QUERY!$C:$C,QUERY!R:R)</f>
        <v>1 día o menos</v>
      </c>
      <c r="FR2" s="4">
        <f>_xlfn.XLOOKUP(B2,QUERY!$C:$C,QUERY!S:S)</f>
        <v>46087</v>
      </c>
      <c r="FS2" s="3">
        <f>_xlfn.XLOOKUP(B2,QUERY!$C:$C,QUERY!T:T)</f>
        <v>5</v>
      </c>
      <c r="FT2" s="3" t="str">
        <f>_xlfn.XLOOKUP(B2,QUERY!$C:$C,QUERY!U:U)</f>
        <v>4 a 5 días</v>
      </c>
      <c r="FU2" s="3">
        <f>_xlfn.XLOOKUP(B2,QUERY!$C:$C,QUERY!V:V)</f>
        <v>23</v>
      </c>
      <c r="FV2" s="3" t="str">
        <f>_xlfn.XLOOKUP(B2,QUERY!$C:$C,QUERY!W:W)</f>
        <v>más de 16 días</v>
      </c>
      <c r="FW2" s="4">
        <f>_xlfn.XLOOKUP(B2,QUERY!$C:$C,QUERY!X:X)</f>
        <v>46113</v>
      </c>
      <c r="FX2" s="3">
        <f>_xlfn.XLOOKUP(B2,QUERY!$C:$C,QUERY!Y:Y)</f>
        <v>3</v>
      </c>
      <c r="FY2" s="3">
        <f>_xlfn.XLOOKUP(B2,QUERY!$C:$C,QUERY!Z:Z)</f>
        <v>18</v>
      </c>
      <c r="FZ2" s="4" t="str">
        <f>_xlfn.XLOOKUP(B2,QUERY!$C:$C,QUERY!AA:AA)</f>
        <v>más de 16 días</v>
      </c>
      <c r="GA2" s="4">
        <f>_xlfn.XLOOKUP(B2,QUERY!$C:$C,QUERY!AB:AB)</f>
        <v>46092</v>
      </c>
      <c r="GB2" s="4">
        <f>_xlfn.XLOOKUP(B2,QUERY!$C:$C,QUERY!AC:AC)</f>
        <v>46093</v>
      </c>
      <c r="GC2" s="3">
        <f>_xlfn.XLOOKUP(B2,QUERY!$C:$C,QUERY!AD:AD)</f>
        <v>15</v>
      </c>
      <c r="GD2" s="4">
        <f>_xlfn.XLOOKUP(B2,QUERY!$C:$C,QUERY!AE:AE)</f>
        <v>46113</v>
      </c>
      <c r="GE2" s="3">
        <f>_xlfn.XLOOKUP(B2,QUERY!$C:$C,QUERY!AF:AF)</f>
        <v>1</v>
      </c>
      <c r="GF2" s="4" t="str">
        <f>_xlfn.XLOOKUP(B2,QUERY!$C:$C,QUERY!AG:AG)</f>
        <v>Es anterior</v>
      </c>
      <c r="GG2" s="3" t="str">
        <f>_xlfn.XLOOKUP(B2,QUERY!$C:$C,QUERY!AH:AH)</f>
        <v>A1</v>
      </c>
      <c r="GH2" s="3" t="str">
        <f>_xlfn.XLOOKUP(B2,QUERY!$C:$C,QUERY!AI:AI)</f>
        <v>KAREN MARTINEZ</v>
      </c>
      <c r="GI2" s="3" t="str">
        <f>_xlfn.XLOOKUP(B2,QUERY!$C:$C,QUERY!AJ:AJ)</f>
        <v>057-02191140</v>
      </c>
      <c r="GJ2" s="3" t="str">
        <f>_xlfn.XLOOKUP(B2,QUERY!$C:$C,QUERY!AK:AK)</f>
        <v>NULL</v>
      </c>
      <c r="GK2" s="3">
        <f>_xlfn.XLOOKUP(B2,QUERY!$C:$C,QUERY!AL:AL)</f>
        <v>6001223</v>
      </c>
      <c r="GL2" s="3" t="str">
        <f>_xlfn.XLOOKUP(B2,QUERY!$C:$C,QUERY!AM:AM)</f>
        <v>Importación</v>
      </c>
      <c r="GM2" s="3" t="str">
        <f>_xlfn.XLOOKUP(B2,QUERY!$C:$C,QUERY!AN:AN)</f>
        <v>ESTACION BASE (CONTROLLER SENSEHUB US)</v>
      </c>
      <c r="GN2" s="3" t="str">
        <f>_xlfn.XLOOKUP(B2,QUERY!$C:$C,QUERY!AO:AO)</f>
        <v>SIN CLASIFICACION</v>
      </c>
      <c r="GO2" s="3">
        <f>_xlfn.XLOOKUP(B2,QUERY!$C:$C,QUERY!AP:AP)</f>
        <v>0</v>
      </c>
      <c r="GP2" s="3" t="str">
        <f>_xlfn.XLOOKUP(B2,QUERY!$C:$C,QUERY!AQ:AQ)</f>
        <v>Cargas de Importación</v>
      </c>
      <c r="GQ2" s="3" t="str">
        <f>_xlfn.XLOOKUP(B2,QUERY!$C:$C,QUERY!AR:AR)</f>
        <v>INTERVET MEXICO SA DE CV</v>
      </c>
      <c r="GR2" s="3">
        <f>_xlfn.XLOOKUP(B2,QUERY!$C:$C,QUERY!AS:AS)</f>
        <v>0</v>
      </c>
      <c r="GS2" s="3">
        <f>_xlfn.XLOOKUP(B2,QUERY!$C:$C,QUERY!AT:AT)</f>
        <v>0</v>
      </c>
      <c r="GT2" s="3">
        <f>_xlfn.XLOOKUP(B2,QUERY!$C:$C,QUERY!AU:AU)</f>
        <v>0</v>
      </c>
      <c r="GU2" s="3">
        <f>_xlfn.XLOOKUP(B2,QUERY!$C:$C,QUERY!AV:AV)</f>
        <v>0</v>
      </c>
      <c r="GV2" s="3" t="str">
        <f>_xlfn.XLOOKUP(B2,QUERY!$C:$C,QUERY!AW:AW)</f>
        <v>REFACCIONES</v>
      </c>
      <c r="GW2" s="3" t="str">
        <f>_xlfn.XLOOKUP(B2,QUERY!$C:$C,QUERY!AX:AX)</f>
        <v>Verde</v>
      </c>
      <c r="GX2" s="3" t="str">
        <f>_xlfn.XLOOKUP(B2,QUERY!$C:$C,QUERY!AY:AY)</f>
        <v>NULL</v>
      </c>
      <c r="GY2" s="3">
        <f>_xlfn.XLOOKUP(B2,QUERY!$C:$C,QUERY!AZ:AZ)</f>
        <v>0</v>
      </c>
      <c r="GZ2" s="3" t="str">
        <f>_xlfn.XLOOKUP(B2,QUERY!$C:$C,QUERY!BA:BA)</f>
        <v>NISSAN 3</v>
      </c>
      <c r="HA2" s="3" t="str">
        <f>_xlfn.XLOOKUP(B2,QUERY!$C:$C,QUERY!BB:BB)</f>
        <v>IME850329RH2</v>
      </c>
      <c r="HB2" s="3">
        <f>_xlfn.XLOOKUP(B2,QUERY!$C:$C,QUERY!BC:BC)</f>
        <v>0</v>
      </c>
      <c r="HC2" s="3">
        <f>_xlfn.XLOOKUP(B2,QUERY!$C:$C,QUERY!BD:BD)</f>
        <v>0</v>
      </c>
      <c r="HD2" s="3" t="str">
        <f>_xlfn.XLOOKUP(B2,QUERY!$C:$C,QUERY!BE:BE)</f>
        <v>LOTE: IL20260101</v>
      </c>
      <c r="HE2" s="3">
        <f>_xlfn.XLOOKUP(B2,QUERY!$C:$C,QUERY!BF:BF)</f>
        <v>90</v>
      </c>
      <c r="HF2" s="3" t="str">
        <f>_xlfn.XLOOKUP(B2,QUERY!$C:$C,QUERY!BG:BG)</f>
        <v xml:space="preserve"> 586894.97</v>
      </c>
      <c r="HG2" s="3" t="str">
        <f>_xlfn.XLOOKUP(B2,QUERY!$C:$C,QUERY!BH:BH)</f>
        <v>PIEZA,PIEZA</v>
      </c>
      <c r="HH2" s="3">
        <f>_xlfn.XLOOKUP(B2,QUERY!$C:$C,QUERY!BI:BI)</f>
        <v>0</v>
      </c>
      <c r="HI2" s="3" t="str">
        <f>_xlfn.XLOOKUP(B2,QUERY!$C:$C,QUERY!BJ:BJ)</f>
        <v>ISRAEL (ESTADO DE)</v>
      </c>
      <c r="HJ2" s="3" t="str">
        <f>_xlfn.XLOOKUP(B2,QUERY!$C:$C,QUERY!BK:BK)</f>
        <v>PAISES BAJOS (REINO DE LOS) (HOLANDA)</v>
      </c>
      <c r="HK2" s="3" t="str">
        <f>_xlfn.XLOOKUP(B2,QUERY!$C:$C,QUERY!BL:BL)</f>
        <v>ISR</v>
      </c>
      <c r="HL2" s="3" t="str">
        <f>_xlfn.XLOOKUP(B2,QUERY!$C:$C,QUERY!BM:BM)</f>
        <v>ZYA</v>
      </c>
      <c r="HM2" s="3">
        <f>_xlfn.XLOOKUP(B2,QUERY!$C:$C,QUERY!BN:BN)</f>
        <v>586895</v>
      </c>
      <c r="HN2" s="3" t="str">
        <f>_xlfn.XLOOKUP(B2,QUERY!$C:$C,QUERY!BO:BO)</f>
        <v>4695.00</v>
      </c>
      <c r="HO2" s="3" t="str">
        <f>_xlfn.XLOOKUP(B2,QUERY!$C:$C,QUERY!BP:BP)</f>
        <v>94655.00</v>
      </c>
      <c r="HP2" s="3" t="str">
        <f>_xlfn.XLOOKUP(B2,QUERY!$C:$C,QUERY!BQ:BQ)</f>
        <v>NULL</v>
      </c>
      <c r="HQ2" s="3" t="str">
        <f>_xlfn.XLOOKUP(B2,QUERY!$C:$C,QUERY!BR:BR)</f>
        <v>20944.87</v>
      </c>
      <c r="HR2" s="3">
        <f>_xlfn.XLOOKUP(B2,QUERY!$C:$C,QUERY!BS:BS)</f>
        <v>0</v>
      </c>
      <c r="HS2" s="3">
        <f>_xlfn.XLOOKUP(B2,QUERY!$C:$C,QUERY!BT:BT)</f>
        <v>0</v>
      </c>
      <c r="HT2" s="3" t="str">
        <f>_xlfn.XLOOKUP(B2,QUERY!$C:$C,QUERY!A:A)</f>
        <v>CIUDAD DE MÉXICO</v>
      </c>
      <c r="HU2" s="3" t="str">
        <f>_xlfn.XLOOKUP(B2,QUERY!$C:$C,QUERY!B:B)</f>
        <v>AÉREO AICM</v>
      </c>
    </row>
    <row r="3" spans="1:229" x14ac:dyDescent="0.25">
      <c r="A3" s="3" t="s">
        <v>90</v>
      </c>
      <c r="B3" s="6" t="s">
        <v>276</v>
      </c>
      <c r="C3" s="3">
        <v>3942</v>
      </c>
      <c r="D3" s="3">
        <v>6001223</v>
      </c>
      <c r="E3" s="3"/>
      <c r="F3" s="3" t="s">
        <v>92</v>
      </c>
      <c r="G3" s="3" t="s">
        <v>93</v>
      </c>
      <c r="H3" s="3">
        <v>16</v>
      </c>
      <c r="I3" s="3">
        <v>1069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470</v>
      </c>
      <c r="S3" s="3"/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286</v>
      </c>
      <c r="AB3" s="3"/>
      <c r="AC3" s="3">
        <v>6627</v>
      </c>
      <c r="AD3" s="3">
        <v>265.08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/>
      <c r="AP3" s="3" t="s">
        <v>280</v>
      </c>
      <c r="AQ3" s="3">
        <v>210367184</v>
      </c>
      <c r="AR3" s="3" t="s">
        <v>99</v>
      </c>
      <c r="AS3" s="3" t="s">
        <v>100</v>
      </c>
      <c r="AT3" s="3">
        <v>0</v>
      </c>
      <c r="AU3" s="3">
        <v>0</v>
      </c>
      <c r="AV3" s="3">
        <v>0</v>
      </c>
      <c r="AW3" s="3">
        <v>85389001</v>
      </c>
      <c r="AX3" s="3">
        <v>0</v>
      </c>
      <c r="AY3" s="3">
        <v>25</v>
      </c>
      <c r="AZ3" s="3">
        <v>25</v>
      </c>
      <c r="BA3" s="3" t="s">
        <v>103</v>
      </c>
      <c r="BB3" s="3"/>
      <c r="BC3" s="3" t="s">
        <v>197</v>
      </c>
      <c r="BD3" s="3" t="s">
        <v>105</v>
      </c>
      <c r="BE3" s="3"/>
      <c r="BF3" s="3"/>
      <c r="BG3" s="5"/>
      <c r="BH3" s="3"/>
      <c r="BI3" s="3"/>
      <c r="BJ3" s="3"/>
      <c r="BK3" s="3" t="s">
        <v>283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 t="s">
        <v>192</v>
      </c>
      <c r="CF3" s="3">
        <v>0</v>
      </c>
      <c r="CG3" s="3">
        <v>0</v>
      </c>
      <c r="CH3" s="3">
        <v>0</v>
      </c>
      <c r="CI3" s="3" t="s">
        <v>284</v>
      </c>
      <c r="CJ3" s="3" t="s">
        <v>285</v>
      </c>
      <c r="CK3" s="3">
        <f>_xlfn.XLOOKUP($B$2,'BASE DE EXCEL'!C:C,'BASE DE EXCEL'!D:D,"NO HAY REFERENCIA")</f>
        <v>470</v>
      </c>
      <c r="CL3" s="5">
        <f>_xlfn.XLOOKUP($B$2,'BASE DE EXCEL'!$C:$C,'BASE DE EXCEL'!F:F,"NO HAY REFERENCIA")</f>
        <v>3</v>
      </c>
      <c r="CM3" s="4">
        <f>_xlfn.XLOOKUP($B$2,'BASE DE EXCEL'!$C:$C,'BASE DE EXCEL'!G:G,"NO HAY REFERENCIA")</f>
        <v>46080</v>
      </c>
      <c r="CN3" s="4">
        <f>_xlfn.XLOOKUP($B$2,'BASE DE EXCEL'!$C:$C,'BASE DE EXCEL'!H:H,"NO HAY REFERENCIA")</f>
        <v>46086</v>
      </c>
      <c r="CO3" s="3">
        <f>_xlfn.XLOOKUP($B$2,'BASE DE EXCEL'!$C:$C,'BASE DE EXCEL'!I:I,"NO HAY REFERENCIA")</f>
        <v>4</v>
      </c>
      <c r="CP3" s="3" t="str">
        <f>_xlfn.XLOOKUP($B$2,'BASE DE EXCEL'!$C:$C,'BASE DE EXCEL'!J:J,"NO HAY REFERENCIA")</f>
        <v>4 a 5 días</v>
      </c>
      <c r="CQ3" s="4">
        <f>_xlfn.XLOOKUP($B$2,'BASE DE EXCEL'!$C:$C,'BASE DE EXCEL'!K:K,"NO HAY REFERENCIA")</f>
        <v>46087</v>
      </c>
      <c r="CR3" s="3">
        <f>_xlfn.XLOOKUP($B$2,'BASE DE EXCEL'!$C:$C,'BASE DE EXCEL'!L:L,"NO HAY REFERENCIA")</f>
        <v>5</v>
      </c>
      <c r="CS3" s="3">
        <f>_xlfn.XLOOKUP($B$2,'BASE DE EXCEL'!$C:$C,'BASE DE EXCEL'!M:M,"NO HAY REFERENCIA")</f>
        <v>6</v>
      </c>
      <c r="CT3" s="3" t="str">
        <f>_xlfn.XLOOKUP($B$2,'BASE DE EXCEL'!$C:$C,'BASE DE EXCEL'!N:N,"NO HAY REFERENCIA")</f>
        <v>6 a 10 días</v>
      </c>
      <c r="CU3" s="3" t="str">
        <f>_xlfn.XLOOKUP($B$2,'BASE DE EXCEL'!$C:$C,'BASE DE EXCEL'!O:O,"NO HAY REFERENCIA")</f>
        <v>On Time</v>
      </c>
      <c r="CV3" s="3" t="str">
        <f>_xlfn.XLOOKUP(B3,'BASE DE EXCEL'!$C:$C,'BASE DE EXCEL'!P:P,"NO HAY REFERENCIA")</f>
        <v>6 a 10 días</v>
      </c>
      <c r="CW3" s="4">
        <f>_xlfn.XLOOKUP(B3,'BASE DE EXCEL'!$C:$C,'BASE DE EXCEL'!Q:Q,"NO HAY REFERENCIA")</f>
        <v>46087</v>
      </c>
      <c r="CX3" s="3">
        <f>_xlfn.XLOOKUP(B3,'BASE DE EXCEL'!$C:$C,'BASE DE EXCEL'!R:R,"NO HAY REFERENCIA")</f>
        <v>6</v>
      </c>
      <c r="CY3" s="3" t="str">
        <f>_xlfn.XLOOKUP(B3,'BASE DE EXCEL'!$C:$C,'BASE DE EXCEL'!S:S,"NO HAY REFERENCIA")</f>
        <v>6 a 10 días</v>
      </c>
      <c r="CZ3" s="3" t="str">
        <f>_xlfn.XLOOKUP(B3,'BASE DE EXCEL'!$C:$C,'BASE DE EXCEL'!T:T,"NO HAY REFERENCIA")</f>
        <v>On Time</v>
      </c>
      <c r="DA3" s="3">
        <f>_xlfn.XLOOKUP(B3,'BASE DE EXCEL'!$C:$C,'BASE DE EXCEL'!U:U,"NO HAY REFERENCIA")</f>
        <v>7</v>
      </c>
      <c r="DB3" s="3" t="str">
        <f>_xlfn.XLOOKUP(B3,'BASE DE EXCEL'!$C:$C,'BASE DE EXCEL'!V:V,"NO HAY REFERENCIA")</f>
        <v>4 a 5 días</v>
      </c>
      <c r="DC3" s="3" t="str">
        <f>_xlfn.XLOOKUP(B3,'BASE DE EXCEL'!$C:$C,'BASE DE EXCEL'!W:W,"NO HAY REFERENCIA")</f>
        <v>NULL</v>
      </c>
      <c r="DD3" s="3" t="str">
        <f>_xlfn.XLOOKUP(B3,'BASE DE EXCEL'!$C:$C,'BASE DE EXCEL'!X:X,"NO HAY REFERENCIA")</f>
        <v>SIN DATO</v>
      </c>
      <c r="DE3" s="3">
        <f>_xlfn.XLOOKUP(B3,'BASE DE EXCEL'!$C:$C,'BASE DE EXCEL'!Y:Y,"NO HAY REFERENCIA")</f>
        <v>1</v>
      </c>
      <c r="DF3" s="3" t="str">
        <f>_xlfn.XLOOKUP(B3,'BASE DE EXCEL'!$C:$C,'BASE DE EXCEL'!Z:Z,"NO HAY REFERENCIA")</f>
        <v>1 día o menos</v>
      </c>
      <c r="DG3" s="3">
        <f>_xlfn.XLOOKUP(B3,'BASE DE EXCEL'!$C:$C,'BASE DE EXCEL'!AA:AA,"NO HAY REFERENCIA")</f>
        <v>6</v>
      </c>
      <c r="DH3" s="3">
        <f>_xlfn.XLOOKUP(B3,'BASE DE EXCEL'!$C:$C,'BASE DE EXCEL'!AB:AB,"NO HAY REFERENCIA")</f>
        <v>0</v>
      </c>
      <c r="DI3" s="3" t="str">
        <f>_xlfn.XLOOKUP(B3,'BASE DE EXCEL'!$C:$C,'BASE DE EXCEL'!AC:AC,"NO HAY REFERENCIA")</f>
        <v>1 día o menos</v>
      </c>
      <c r="DJ3" s="4">
        <f>_xlfn.XLOOKUP(B3,'BASE DE EXCEL'!$C:$C,'BASE DE EXCEL'!AD:AD,"NO HAY REFERENCIA")</f>
        <v>46113</v>
      </c>
      <c r="DK3" s="3">
        <f>_xlfn.XLOOKUP(B3,'BASE DE EXCEL'!$C:$C,'BASE DE EXCEL'!AE:AE,"NO HAY REFERENCIA")</f>
        <v>5</v>
      </c>
      <c r="DL3" s="3">
        <f>_xlfn.XLOOKUP(B3,'BASE DE EXCEL'!$C:$C,'BASE DE EXCEL'!AF:AF,"NO HAY REFERENCIA")</f>
        <v>18</v>
      </c>
      <c r="DM3" s="4">
        <f>_xlfn.XLOOKUP(B3,'BASE DE EXCEL'!$C:$C,'BASE DE EXCEL'!AG:AG,"NO HAY REFERENCIA")</f>
        <v>46092</v>
      </c>
      <c r="DN3" s="4">
        <f>_xlfn.XLOOKUP(B3,'BASE DE EXCEL'!$C:$C,'BASE DE EXCEL'!AH:AH,"NO HAY REFERENCIA")</f>
        <v>46093</v>
      </c>
      <c r="DO3" s="3" t="str">
        <f>_xlfn.XLOOKUP(B3,'BASE DE EXCEL'!$C:$C,'BASE DE EXCEL'!AI:AI,"NO HAY REFERENCIA")</f>
        <v>NULL</v>
      </c>
      <c r="DP3" s="4" t="str">
        <f>_xlfn.XLOOKUP(B3,'BASE DE EXCEL'!$C:$C,'BASE DE EXCEL'!AJ:AJ,"NO HAY REFERENCIA")</f>
        <v>más de 16 días</v>
      </c>
      <c r="DQ3" s="4">
        <f>_xlfn.XLOOKUP(B3,'BASE DE EXCEL'!$C:$C,'BASE DE EXCEL'!AK:AK,"NO HAY REFERENCIA")</f>
        <v>46113</v>
      </c>
      <c r="DR3" s="3">
        <f>_xlfn.XLOOKUP(B3,'BASE DE EXCEL'!$C:$C,'BASE DE EXCEL'!AL:AL,"NO HAY REFERENCIA")</f>
        <v>18</v>
      </c>
      <c r="DS3" s="3" t="str">
        <f>_xlfn.XLOOKUP(B3,'BASE DE EXCEL'!$C:$C,'BASE DE EXCEL'!AM:AM,"NO HAY REFERENCIA")</f>
        <v>más de 16 días</v>
      </c>
      <c r="DT3" s="3" t="str">
        <f>_xlfn.XLOOKUP(B3,'BASE DE EXCEL'!$C:$C,'BASE DE EXCEL'!AN:AN,"NO HAY REFERENCIA")</f>
        <v>On Time</v>
      </c>
      <c r="DU3" s="3">
        <f>_xlfn.XLOOKUP(B3,'BASE DE EXCEL'!$C:$C,'BASE DE EXCEL'!AO:AO,"NO HAY REFERENCIA")</f>
        <v>1</v>
      </c>
      <c r="DV3" s="3" t="str">
        <f>_xlfn.XLOOKUP(B3,'BASE DE EXCEL'!$C:$C,'BASE DE EXCEL'!AP:AP,"NO HAY REFERENCIA")</f>
        <v>Es anterior</v>
      </c>
      <c r="DW3" s="3" t="str">
        <f>_xlfn.XLOOKUP(B3,'BASE DE EXCEL'!$C:$C,'BASE DE EXCEL'!AQ:AQ,"NO HAY REFERENCIA")</f>
        <v>A1</v>
      </c>
      <c r="DX3" s="3" t="str">
        <f>_xlfn.XLOOKUP(B3,'BASE DE EXCEL'!$C:$C,'BASE DE EXCEL'!AR:AR,"NO HAY REFERENCIA")</f>
        <v>KAREN MARTINEZ</v>
      </c>
      <c r="DY3" s="3" t="str">
        <f>_xlfn.XLOOKUP(B3,'BASE DE EXCEL'!$C:$C,'BASE DE EXCEL'!AS:AS,"NO HAY REFERENCIA")</f>
        <v>057-02191140</v>
      </c>
      <c r="DZ3" s="3" t="str">
        <f>_xlfn.XLOOKUP(B3,'BASE DE EXCEL'!$C:$C,'BASE DE EXCEL'!AT:AT,"NO HAY REFERENCIA")</f>
        <v>NULL</v>
      </c>
      <c r="EA3" s="3">
        <f>_xlfn.XLOOKUP(B3,'BASE DE EXCEL'!$C:$C,'BASE DE EXCEL'!AU:AU,"NO HAY REFERENCIA")</f>
        <v>6001223</v>
      </c>
      <c r="EB3" s="3" t="str">
        <f>_xlfn.XLOOKUP(B3,'BASE DE EXCEL'!$C:$C,'BASE DE EXCEL'!AV:AV,"NO HAY REFERENCIA")</f>
        <v>Importación</v>
      </c>
      <c r="EC3" s="3" t="str">
        <f>_xlfn.XLOOKUP(B3,'BASE DE EXCEL'!$C:$C,'BASE DE EXCEL'!AW:AW,"NO HAY REFERENCIA")</f>
        <v>ESTACION BASE (CONTROLLER SENSEHUB US)</v>
      </c>
      <c r="ED3" s="3" t="str">
        <f>_xlfn.XLOOKUP(B3,'BASE DE EXCEL'!$C:$C,'BASE DE EXCEL'!AX:AX,"NO HAY REFERENCIA")</f>
        <v>SIN CLASIFICACION</v>
      </c>
      <c r="EE3" s="3">
        <f>_xlfn.XLOOKUP(B3,'BASE DE EXCEL'!$C:$C,'BASE DE EXCEL'!AY:AY,"NO HAY REFERENCIA")</f>
        <v>0</v>
      </c>
      <c r="EF3" s="3" t="str">
        <f>_xlfn.XLOOKUP(B3,'BASE DE EXCEL'!$C:$C,'BASE DE EXCEL'!AZ:AZ,"NO HAY REFERENCIA")</f>
        <v>Cargas de Importación</v>
      </c>
      <c r="EG3" s="3" t="str">
        <f>_xlfn.XLOOKUP(B3,'BASE DE EXCEL'!$C:$C,'BASE DE EXCEL'!BA:BA,"NO HAY REFERENCIA")</f>
        <v>INTERVET MEXICO SA DE CV</v>
      </c>
      <c r="EH3" s="3">
        <f>_xlfn.XLOOKUP(B3,'BASE DE EXCEL'!$C:$C,'BASE DE EXCEL'!BB:BB,"NO HAY REFERENCIA")</f>
        <v>0</v>
      </c>
      <c r="EI3" s="3">
        <f>_xlfn.XLOOKUP(B3,'BASE DE EXCEL'!$C:$C,'BASE DE EXCEL'!BC:BC,"NO HAY REFERENCIA")</f>
        <v>0</v>
      </c>
      <c r="EJ3" s="3">
        <f>_xlfn.XLOOKUP(B3,'BASE DE EXCEL'!$C:$C,'BASE DE EXCEL'!BD:BD,"NO HAY REFERENCIA")</f>
        <v>0</v>
      </c>
      <c r="EK3" s="3">
        <f>_xlfn.XLOOKUP(B3,'BASE DE EXCEL'!$C:$C,'BASE DE EXCEL'!BE:BE,"NO HAY REFERENCIA")</f>
        <v>0</v>
      </c>
      <c r="EL3" s="3" t="str">
        <f>_xlfn.XLOOKUP(B3,'BASE DE EXCEL'!$C:$C,'BASE DE EXCEL'!BF:BF,"NO HAY REFERENCIA")</f>
        <v>REFACCIONES</v>
      </c>
      <c r="EM3" s="3" t="str">
        <f>_xlfn.XLOOKUP(B3,'BASE DE EXCEL'!$C:$C,'BASE DE EXCEL'!BG:BG,"NO HAY REFERENCIA")</f>
        <v>Verde</v>
      </c>
      <c r="EN3" s="3" t="str">
        <f>_xlfn.XLOOKUP(B3,'BASE DE EXCEL'!$C:$C,'BASE DE EXCEL'!BH:BH,"NO HAY REFERENCIA")</f>
        <v>NULL</v>
      </c>
      <c r="EO3" s="3">
        <f>_xlfn.XLOOKUP(B3,'BASE DE EXCEL'!$C:$C,'BASE DE EXCEL'!BI:BI,"NO HAY REFERENCIA")</f>
        <v>0</v>
      </c>
      <c r="EP3" s="3" t="str">
        <f>_xlfn.XLOOKUP(B3,'BASE DE EXCEL'!$C:$C,'BASE DE EXCEL'!BJ:BJ,"NO HAY REFERENCIA")</f>
        <v>NISSAN 3</v>
      </c>
      <c r="EQ3" s="3" t="str">
        <f>_xlfn.XLOOKUP(B3,'BASE DE EXCEL'!$C:$C,'BASE DE EXCEL'!BK:BK,"NO HAY REFERENCIA")</f>
        <v>IME850329RH2</v>
      </c>
      <c r="ER3" s="3">
        <f>_xlfn.XLOOKUP(B3,'BASE DE EXCEL'!$C:$C,'BASE DE EXCEL'!BL:BL,"NO HAY REFERENCIA")</f>
        <v>0</v>
      </c>
      <c r="ES3" s="3">
        <f>_xlfn.XLOOKUP(B3,'BASE DE EXCEL'!$C:$C,'BASE DE EXCEL'!BM:BM,"NO HAY REFERENCIA")</f>
        <v>0</v>
      </c>
      <c r="ET3" s="3" t="str">
        <f>_xlfn.XLOOKUP(B3,'BASE DE EXCEL'!$C:$C,'BASE DE EXCEL'!BN:BN,"NO HAY REFERENCIA")</f>
        <v>LOTE: IL20260101</v>
      </c>
      <c r="EU3" s="3">
        <f>_xlfn.XLOOKUP(B3,'BASE DE EXCEL'!$C:$C,'BASE DE EXCEL'!BO:BO,"NO HAY REFERENCIA")</f>
        <v>90</v>
      </c>
      <c r="EV3" s="3">
        <f>_xlfn.XLOOKUP(B3,'BASE DE EXCEL'!$C:$C,'BASE DE EXCEL'!BP:BP,"NO HAY REFERENCIA")</f>
        <v>586894.97</v>
      </c>
      <c r="EW3" s="3" t="str">
        <f>_xlfn.XLOOKUP(B3,'BASE DE EXCEL'!$C:$C,'BASE DE EXCEL'!BQ:BQ,"NO HAY REFERENCIA")</f>
        <v>PIEZA,PIEZA</v>
      </c>
      <c r="EX3" s="3">
        <f>_xlfn.XLOOKUP(B3,'BASE DE EXCEL'!$C:$C,'BASE DE EXCEL'!BR:BR,"NO HAY REFERENCIA")</f>
        <v>0</v>
      </c>
      <c r="EY3" s="3" t="str">
        <f>_xlfn.XLOOKUP(B3,'BASE DE EXCEL'!$C:$C,'BASE DE EXCEL'!BS:BS,"NO HAY REFERENCIA")</f>
        <v>ISRAEL (ESTADO DE)</v>
      </c>
      <c r="EZ3" s="3" t="str">
        <f>_xlfn.XLOOKUP(B3,'BASE DE EXCEL'!$C:$C,'BASE DE EXCEL'!BT:BT,"NO HAY REFERENCIA")</f>
        <v>PAISES BAJOS (REINO DE LOS) (HOLANDA)</v>
      </c>
      <c r="FA3" s="3" t="str">
        <f>_xlfn.XLOOKUP(B3,'BASE DE EXCEL'!$C:$C,'BASE DE EXCEL'!BU:BU,"NO HAY REFERENCIA")</f>
        <v>ISR</v>
      </c>
      <c r="FB3" s="3" t="str">
        <f>_xlfn.XLOOKUP(B3,'BASE DE EXCEL'!$C:$C,'BASE DE EXCEL'!BV:BV,"NO HAY REFERENCIA")</f>
        <v>ZYA</v>
      </c>
      <c r="FC3" s="3">
        <f>_xlfn.XLOOKUP(B3,QUERY!$C:$C,QUERY!D:D)</f>
        <v>470</v>
      </c>
      <c r="FD3" s="4">
        <f>_xlfn.XLOOKUP(B3,QUERY!$C:$C,QUERY!E:E)</f>
        <v>46086</v>
      </c>
      <c r="FE3" s="3">
        <f>_xlfn.XLOOKUP(B3,QUERY!$C:$C,QUERY!F:F)</f>
        <v>3</v>
      </c>
      <c r="FF3" s="4">
        <f>_xlfn.XLOOKUP(B3,QUERY!$C:$C,QUERY!G:G)</f>
        <v>46080</v>
      </c>
      <c r="FG3" s="4">
        <f>_xlfn.XLOOKUP(B3,QUERY!$C:$C,QUERY!H:H)</f>
        <v>46086</v>
      </c>
      <c r="FH3" s="3">
        <f>_xlfn.XLOOKUP(B3,QUERY!$C:$C,QUERY!I:I)</f>
        <v>4</v>
      </c>
      <c r="FI3" s="3" t="str">
        <f>_xlfn.XLOOKUP(B3,QUERY!$C:$C,QUERY!J:J)</f>
        <v>4 a 5 días</v>
      </c>
      <c r="FJ3" s="4">
        <f>_xlfn.XLOOKUP(B3,QUERY!$C:$C,QUERY!K:K)</f>
        <v>46087</v>
      </c>
      <c r="FK3" s="3">
        <f>_xlfn.XLOOKUP(B3,QUERY!$C:$C,QUERY!L:L)</f>
        <v>5</v>
      </c>
      <c r="FL3" s="3" t="str">
        <f>_xlfn.XLOOKUP(B3,QUERY!$C:$C,QUERY!M:M)</f>
        <v>4 a 5 días</v>
      </c>
      <c r="FM3" s="3">
        <f>_xlfn.XLOOKUP(B3,QUERY!$C:$C,QUERY!N:N)</f>
        <v>1</v>
      </c>
      <c r="FN3" s="3" t="str">
        <f>_xlfn.XLOOKUP(B3,QUERY!$C:$C,QUERY!O:O)</f>
        <v>1 día o menos</v>
      </c>
      <c r="FO3" s="3">
        <f>_xlfn.XLOOKUP(B3,QUERY!$C:$C,QUERY!P:P)</f>
        <v>1</v>
      </c>
      <c r="FP3" s="3">
        <f>_xlfn.XLOOKUP(B3,QUERY!$C:$C,QUERY!Q:Q)</f>
        <v>0</v>
      </c>
      <c r="FQ3" s="3" t="str">
        <f>_xlfn.XLOOKUP(B3,QUERY!$C:$C,QUERY!R:R)</f>
        <v>1 día o menos</v>
      </c>
      <c r="FR3" s="4">
        <f>_xlfn.XLOOKUP(B3,QUERY!$C:$C,QUERY!S:S)</f>
        <v>46087</v>
      </c>
      <c r="FS3" s="3">
        <f>_xlfn.XLOOKUP(B3,QUERY!$C:$C,QUERY!T:T)</f>
        <v>5</v>
      </c>
      <c r="FT3" s="3" t="str">
        <f>_xlfn.XLOOKUP(B3,QUERY!$C:$C,QUERY!U:U)</f>
        <v>4 a 5 días</v>
      </c>
      <c r="FU3" s="3">
        <f>_xlfn.XLOOKUP(B3,QUERY!$C:$C,QUERY!V:V)</f>
        <v>23</v>
      </c>
      <c r="FV3" s="3" t="str">
        <f>_xlfn.XLOOKUP(B3,QUERY!$C:$C,QUERY!W:W)</f>
        <v>más de 16 días</v>
      </c>
      <c r="FW3" s="4">
        <f>_xlfn.XLOOKUP(B3,QUERY!$C:$C,QUERY!X:X)</f>
        <v>46113</v>
      </c>
      <c r="FX3" s="3">
        <f>_xlfn.XLOOKUP(B3,QUERY!$C:$C,QUERY!Y:Y)</f>
        <v>3</v>
      </c>
      <c r="FY3" s="3">
        <f>_xlfn.XLOOKUP(B3,QUERY!$C:$C,QUERY!Z:Z)</f>
        <v>18</v>
      </c>
      <c r="FZ3" s="4" t="str">
        <f>_xlfn.XLOOKUP(B3,QUERY!$C:$C,QUERY!AA:AA)</f>
        <v>más de 16 días</v>
      </c>
      <c r="GA3" s="4">
        <f>_xlfn.XLOOKUP(B3,QUERY!$C:$C,QUERY!AB:AB)</f>
        <v>46092</v>
      </c>
      <c r="GB3" s="4">
        <f>_xlfn.XLOOKUP(B3,QUERY!$C:$C,QUERY!AC:AC)</f>
        <v>46093</v>
      </c>
      <c r="GC3" s="3">
        <f>_xlfn.XLOOKUP(B3,QUERY!$C:$C,QUERY!AD:AD)</f>
        <v>15</v>
      </c>
      <c r="GD3" s="4">
        <f>_xlfn.XLOOKUP(B3,QUERY!$C:$C,QUERY!AE:AE)</f>
        <v>46113</v>
      </c>
      <c r="GE3" s="3">
        <f>_xlfn.XLOOKUP(B3,QUERY!$C:$C,QUERY!AF:AF)</f>
        <v>1</v>
      </c>
      <c r="GF3" s="4" t="str">
        <f>_xlfn.XLOOKUP(B3,QUERY!$C:$C,QUERY!AG:AG)</f>
        <v>Es anterior</v>
      </c>
      <c r="GG3" s="3" t="str">
        <f>_xlfn.XLOOKUP(B3,QUERY!$C:$C,QUERY!AH:AH)</f>
        <v>A1</v>
      </c>
      <c r="GH3" s="3" t="str">
        <f>_xlfn.XLOOKUP(B3,QUERY!$C:$C,QUERY!AI:AI)</f>
        <v>KAREN MARTINEZ</v>
      </c>
      <c r="GI3" s="3" t="str">
        <f>_xlfn.XLOOKUP(B3,QUERY!$C:$C,QUERY!AJ:AJ)</f>
        <v>057-02191140</v>
      </c>
      <c r="GJ3" s="3" t="str">
        <f>_xlfn.XLOOKUP(B3,QUERY!$C:$C,QUERY!AK:AK)</f>
        <v>NULL</v>
      </c>
      <c r="GK3" s="3">
        <f>_xlfn.XLOOKUP(B3,QUERY!$C:$C,QUERY!AL:AL)</f>
        <v>6001223</v>
      </c>
      <c r="GL3" s="3" t="str">
        <f>_xlfn.XLOOKUP(B3,QUERY!$C:$C,QUERY!AM:AM)</f>
        <v>Importación</v>
      </c>
      <c r="GM3" s="3" t="str">
        <f>_xlfn.XLOOKUP(B3,QUERY!$C:$C,QUERY!AN:AN)</f>
        <v>ESTACION BASE (CONTROLLER SENSEHUB US)</v>
      </c>
      <c r="GN3" s="3" t="str">
        <f>_xlfn.XLOOKUP(B3,QUERY!$C:$C,QUERY!AO:AO)</f>
        <v>SIN CLASIFICACION</v>
      </c>
      <c r="GO3" s="3">
        <f>_xlfn.XLOOKUP(B3,QUERY!$C:$C,QUERY!AP:AP)</f>
        <v>0</v>
      </c>
      <c r="GP3" s="3" t="str">
        <f>_xlfn.XLOOKUP(B3,QUERY!$C:$C,QUERY!AQ:AQ)</f>
        <v>Cargas de Importación</v>
      </c>
      <c r="GQ3" s="3" t="str">
        <f>_xlfn.XLOOKUP(B3,QUERY!$C:$C,QUERY!AR:AR)</f>
        <v>INTERVET MEXICO SA DE CV</v>
      </c>
      <c r="GR3" s="3">
        <f>_xlfn.XLOOKUP(B3,QUERY!$C:$C,QUERY!AS:AS)</f>
        <v>0</v>
      </c>
      <c r="GS3" s="3">
        <f>_xlfn.XLOOKUP(B3,QUERY!$C:$C,QUERY!AT:AT)</f>
        <v>0</v>
      </c>
      <c r="GT3" s="3">
        <f>_xlfn.XLOOKUP(B3,QUERY!$C:$C,QUERY!AU:AU)</f>
        <v>0</v>
      </c>
      <c r="GU3" s="3">
        <f>_xlfn.XLOOKUP(B3,QUERY!$C:$C,QUERY!AV:AV)</f>
        <v>0</v>
      </c>
      <c r="GV3" s="3" t="str">
        <f>_xlfn.XLOOKUP(B3,QUERY!$C:$C,QUERY!AW:AW)</f>
        <v>REFACCIONES</v>
      </c>
      <c r="GW3" s="3" t="str">
        <f>_xlfn.XLOOKUP(B3,QUERY!$C:$C,QUERY!AX:AX)</f>
        <v>Verde</v>
      </c>
      <c r="GX3" s="3" t="str">
        <f>_xlfn.XLOOKUP(B3,QUERY!$C:$C,QUERY!AY:AY)</f>
        <v>NULL</v>
      </c>
      <c r="GY3" s="3">
        <f>_xlfn.XLOOKUP(B3,QUERY!$C:$C,QUERY!AZ:AZ)</f>
        <v>0</v>
      </c>
      <c r="GZ3" s="3" t="str">
        <f>_xlfn.XLOOKUP(B3,QUERY!$C:$C,QUERY!BA:BA)</f>
        <v>NISSAN 3</v>
      </c>
      <c r="HA3" s="3" t="str">
        <f>_xlfn.XLOOKUP(B3,QUERY!$C:$C,QUERY!BB:BB)</f>
        <v>IME850329RH2</v>
      </c>
      <c r="HB3" s="3">
        <f>_xlfn.XLOOKUP(B3,QUERY!$C:$C,QUERY!BC:BC)</f>
        <v>0</v>
      </c>
      <c r="HC3" s="3">
        <f>_xlfn.XLOOKUP(B3,QUERY!$C:$C,QUERY!BD:BD)</f>
        <v>0</v>
      </c>
      <c r="HD3" s="3" t="str">
        <f>_xlfn.XLOOKUP(B3,QUERY!$C:$C,QUERY!BE:BE)</f>
        <v>LOTE: IL20260101</v>
      </c>
      <c r="HE3" s="3">
        <f>_xlfn.XLOOKUP(B3,QUERY!$C:$C,QUERY!BF:BF)</f>
        <v>90</v>
      </c>
      <c r="HF3" s="3" t="str">
        <f>_xlfn.XLOOKUP(B3,QUERY!$C:$C,QUERY!BG:BG)</f>
        <v xml:space="preserve"> 586894.97</v>
      </c>
      <c r="HG3" s="3" t="str">
        <f>_xlfn.XLOOKUP(B3,QUERY!$C:$C,QUERY!BH:BH)</f>
        <v>PIEZA,PIEZA</v>
      </c>
      <c r="HH3" s="3">
        <f>_xlfn.XLOOKUP(B3,QUERY!$C:$C,QUERY!BI:BI)</f>
        <v>0</v>
      </c>
      <c r="HI3" s="3" t="str">
        <f>_xlfn.XLOOKUP(B3,QUERY!$C:$C,QUERY!BJ:BJ)</f>
        <v>ISRAEL (ESTADO DE)</v>
      </c>
      <c r="HJ3" s="3" t="str">
        <f>_xlfn.XLOOKUP(B3,QUERY!$C:$C,QUERY!BK:BK)</f>
        <v>PAISES BAJOS (REINO DE LOS) (HOLANDA)</v>
      </c>
      <c r="HK3" s="3" t="str">
        <f>_xlfn.XLOOKUP(B3,QUERY!$C:$C,QUERY!BL:BL)</f>
        <v>ISR</v>
      </c>
      <c r="HL3" s="3" t="str">
        <f>_xlfn.XLOOKUP(B3,QUERY!$C:$C,QUERY!BM:BM)</f>
        <v>ZYA</v>
      </c>
      <c r="HM3" s="3">
        <f>_xlfn.XLOOKUP(B3,QUERY!$C:$C,QUERY!BN:BN)</f>
        <v>586895</v>
      </c>
      <c r="HN3" s="3" t="str">
        <f>_xlfn.XLOOKUP(B3,QUERY!$C:$C,QUERY!BO:BO)</f>
        <v>4695.00</v>
      </c>
      <c r="HO3" s="3" t="str">
        <f>_xlfn.XLOOKUP(B3,QUERY!$C:$C,QUERY!BP:BP)</f>
        <v>94655.00</v>
      </c>
      <c r="HP3" s="3" t="str">
        <f>_xlfn.XLOOKUP(B3,QUERY!$C:$C,QUERY!BQ:BQ)</f>
        <v>NULL</v>
      </c>
      <c r="HQ3" s="3" t="str">
        <f>_xlfn.XLOOKUP(B3,QUERY!$C:$C,QUERY!BR:BR)</f>
        <v>20944.87</v>
      </c>
      <c r="HR3" s="3">
        <f>_xlfn.XLOOKUP(B3,QUERY!$C:$C,QUERY!BS:BS)</f>
        <v>0</v>
      </c>
      <c r="HS3" s="3">
        <f>_xlfn.XLOOKUP(B3,QUERY!$C:$C,QUERY!BT:BT)</f>
        <v>0</v>
      </c>
      <c r="HT3" s="3" t="str">
        <f>_xlfn.XLOOKUP(B3,QUERY!$C:$C,QUERY!A:A)</f>
        <v>CIUDAD DE MÉXICO</v>
      </c>
      <c r="HU3" s="3" t="str">
        <f>_xlfn.XLOOKUP(B3,QUERY!$C:$C,QUERY!B:B)</f>
        <v>AÉREO AICM</v>
      </c>
    </row>
    <row r="4" spans="1:229" x14ac:dyDescent="0.25">
      <c r="A4" s="3" t="s">
        <v>90</v>
      </c>
      <c r="B4" s="3" t="s">
        <v>461</v>
      </c>
      <c r="C4" s="3">
        <v>3942</v>
      </c>
      <c r="D4" s="3">
        <v>6002421</v>
      </c>
      <c r="E4" s="3"/>
      <c r="F4" s="3" t="s">
        <v>92</v>
      </c>
      <c r="G4" s="3" t="s">
        <v>93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17.272300000000001</v>
      </c>
      <c r="Q4" s="3">
        <v>128</v>
      </c>
      <c r="R4" s="3">
        <v>470</v>
      </c>
      <c r="S4" s="3"/>
      <c r="T4" s="3" t="s">
        <v>277</v>
      </c>
      <c r="U4" s="3">
        <v>356771</v>
      </c>
      <c r="V4" s="3">
        <v>356771</v>
      </c>
      <c r="W4" s="3">
        <v>0</v>
      </c>
      <c r="X4" s="3">
        <v>0</v>
      </c>
      <c r="Y4" s="3">
        <v>0</v>
      </c>
      <c r="Z4" s="3">
        <v>0</v>
      </c>
      <c r="AA4" s="3" t="s">
        <v>462</v>
      </c>
      <c r="AB4" s="3"/>
      <c r="AC4" s="3">
        <v>356771</v>
      </c>
      <c r="AD4" s="3">
        <v>122.14002000000001</v>
      </c>
      <c r="AE4" s="3">
        <v>808</v>
      </c>
      <c r="AF4" s="3">
        <v>0</v>
      </c>
      <c r="AG4" s="3">
        <v>0</v>
      </c>
      <c r="AH4" s="3">
        <v>0</v>
      </c>
      <c r="AI4" s="3">
        <v>53</v>
      </c>
      <c r="AJ4" s="3">
        <v>462</v>
      </c>
      <c r="AK4" s="3">
        <v>0</v>
      </c>
      <c r="AL4" s="3">
        <v>0</v>
      </c>
      <c r="AM4" s="3">
        <v>330</v>
      </c>
      <c r="AN4" s="3">
        <v>845</v>
      </c>
      <c r="AO4" s="3" t="s">
        <v>97</v>
      </c>
      <c r="AP4" s="3" t="s">
        <v>98</v>
      </c>
      <c r="AQ4" s="3">
        <v>210372466</v>
      </c>
      <c r="AR4" s="3" t="s">
        <v>99</v>
      </c>
      <c r="AS4" s="3" t="s">
        <v>100</v>
      </c>
      <c r="AT4" s="3" t="s">
        <v>463</v>
      </c>
      <c r="AU4" s="3">
        <v>1073938896</v>
      </c>
      <c r="AV4" s="3" t="s">
        <v>102</v>
      </c>
      <c r="AW4" s="3">
        <v>30042099</v>
      </c>
      <c r="AX4" s="3">
        <v>0</v>
      </c>
      <c r="AY4" s="3">
        <v>2921</v>
      </c>
      <c r="AZ4" s="3">
        <v>2921</v>
      </c>
      <c r="BA4" s="3" t="s">
        <v>103</v>
      </c>
      <c r="BB4" s="3"/>
      <c r="BC4" s="3" t="s">
        <v>126</v>
      </c>
      <c r="BD4" s="3" t="s">
        <v>105</v>
      </c>
      <c r="BE4" s="3" t="s">
        <v>106</v>
      </c>
      <c r="BF4" s="3"/>
      <c r="BG4" s="5">
        <v>4.70020120261368E+16</v>
      </c>
      <c r="BH4" s="3" t="s">
        <v>108</v>
      </c>
      <c r="BI4" s="3" t="s">
        <v>464</v>
      </c>
      <c r="BJ4" s="3" t="s">
        <v>465</v>
      </c>
      <c r="BK4" s="3" t="s">
        <v>466</v>
      </c>
      <c r="BL4" s="3">
        <v>45913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5300</v>
      </c>
      <c r="CC4" s="3">
        <v>1272</v>
      </c>
      <c r="CD4" s="3">
        <v>30905.43</v>
      </c>
      <c r="CE4" s="3" t="s">
        <v>192</v>
      </c>
      <c r="CF4" s="3">
        <v>30905.43</v>
      </c>
      <c r="CG4" s="3">
        <v>0</v>
      </c>
      <c r="CH4" s="3">
        <v>0</v>
      </c>
      <c r="CI4" s="3" t="s">
        <v>467</v>
      </c>
      <c r="CJ4" s="3" t="s">
        <v>285</v>
      </c>
      <c r="CK4" s="3">
        <f>_xlfn.XLOOKUP($B$2,'BASE DE EXCEL'!C:C,'BASE DE EXCEL'!D:D,"NO HAY REFERENCIA")</f>
        <v>470</v>
      </c>
      <c r="CL4" s="5">
        <f>_xlfn.XLOOKUP($B$2,'BASE DE EXCEL'!$C:$C,'BASE DE EXCEL'!F:F,"NO HAY REFERENCIA")</f>
        <v>3</v>
      </c>
      <c r="CM4" s="4">
        <f>_xlfn.XLOOKUP($B$2,'BASE DE EXCEL'!$C:$C,'BASE DE EXCEL'!G:G,"NO HAY REFERENCIA")</f>
        <v>46080</v>
      </c>
      <c r="CN4" s="4">
        <f>_xlfn.XLOOKUP($B$2,'BASE DE EXCEL'!$C:$C,'BASE DE EXCEL'!H:H,"NO HAY REFERENCIA")</f>
        <v>46086</v>
      </c>
      <c r="CO4" s="3">
        <f>_xlfn.XLOOKUP($B$2,'BASE DE EXCEL'!$C:$C,'BASE DE EXCEL'!I:I,"NO HAY REFERENCIA")</f>
        <v>4</v>
      </c>
      <c r="CP4" s="3" t="str">
        <f>_xlfn.XLOOKUP($B$2,'BASE DE EXCEL'!$C:$C,'BASE DE EXCEL'!J:J,"NO HAY REFERENCIA")</f>
        <v>4 a 5 días</v>
      </c>
      <c r="CQ4" s="4">
        <f>_xlfn.XLOOKUP($B$2,'BASE DE EXCEL'!$C:$C,'BASE DE EXCEL'!K:K,"NO HAY REFERENCIA")</f>
        <v>46087</v>
      </c>
      <c r="CR4" s="3">
        <f>_xlfn.XLOOKUP($B$2,'BASE DE EXCEL'!$C:$C,'BASE DE EXCEL'!L:L,"NO HAY REFERENCIA")</f>
        <v>5</v>
      </c>
      <c r="CS4" s="3">
        <f>_xlfn.XLOOKUP($B$2,'BASE DE EXCEL'!$C:$C,'BASE DE EXCEL'!M:M,"NO HAY REFERENCIA")</f>
        <v>6</v>
      </c>
      <c r="CT4" s="3" t="str">
        <f>_xlfn.XLOOKUP($B$2,'BASE DE EXCEL'!$C:$C,'BASE DE EXCEL'!N:N,"NO HAY REFERENCIA")</f>
        <v>6 a 10 días</v>
      </c>
      <c r="CU4" s="3" t="str">
        <f>_xlfn.XLOOKUP($B$2,'BASE DE EXCEL'!$C:$C,'BASE DE EXCEL'!O:O,"NO HAY REFERENCIA")</f>
        <v>On Time</v>
      </c>
      <c r="CV4" s="3" t="str">
        <f>_xlfn.XLOOKUP(B4,'BASE DE EXCEL'!$C:$C,'BASE DE EXCEL'!P:P,"NO HAY REFERENCIA")</f>
        <v>6 a 10 días</v>
      </c>
      <c r="CW4" s="4">
        <f>_xlfn.XLOOKUP(B4,'BASE DE EXCEL'!$C:$C,'BASE DE EXCEL'!Q:Q,"NO HAY REFERENCIA")</f>
        <v>46142</v>
      </c>
      <c r="CX4" s="3">
        <f>_xlfn.XLOOKUP(B4,'BASE DE EXCEL'!$C:$C,'BASE DE EXCEL'!R:R,"NO HAY REFERENCIA")</f>
        <v>9</v>
      </c>
      <c r="CY4" s="3" t="str">
        <f>_xlfn.XLOOKUP(B4,'BASE DE EXCEL'!$C:$C,'BASE DE EXCEL'!S:S,"NO HAY REFERENCIA")</f>
        <v>6 a 10 días</v>
      </c>
      <c r="CZ4" s="3" t="str">
        <f>_xlfn.XLOOKUP(B4,'BASE DE EXCEL'!$C:$C,'BASE DE EXCEL'!T:T,"NO HAY REFERENCIA")</f>
        <v>On Time</v>
      </c>
      <c r="DA4" s="3">
        <f>_xlfn.XLOOKUP(B4,'BASE DE EXCEL'!$C:$C,'BASE DE EXCEL'!U:U,"NO HAY REFERENCIA")</f>
        <v>10</v>
      </c>
      <c r="DB4" s="3" t="str">
        <f>_xlfn.XLOOKUP(B4,'BASE DE EXCEL'!$C:$C,'BASE DE EXCEL'!V:V,"NO HAY REFERENCIA")</f>
        <v>6 a 10 días</v>
      </c>
      <c r="DC4" s="3">
        <f>_xlfn.XLOOKUP(B4,'BASE DE EXCEL'!$C:$C,'BASE DE EXCEL'!W:W,"NO HAY REFERENCIA")</f>
        <v>14</v>
      </c>
      <c r="DD4" s="3" t="str">
        <f>_xlfn.XLOOKUP(B4,'BASE DE EXCEL'!$C:$C,'BASE DE EXCEL'!X:X,"NO HAY REFERENCIA")</f>
        <v>11 a 15 días</v>
      </c>
      <c r="DE4" s="3">
        <f>_xlfn.XLOOKUP(B4,'BASE DE EXCEL'!$C:$C,'BASE DE EXCEL'!Y:Y,"NO HAY REFERENCIA")</f>
        <v>1</v>
      </c>
      <c r="DF4" s="3" t="str">
        <f>_xlfn.XLOOKUP(B4,'BASE DE EXCEL'!$C:$C,'BASE DE EXCEL'!Z:Z,"NO HAY REFERENCIA")</f>
        <v>1 día o menos</v>
      </c>
      <c r="DG4" s="3">
        <f>_xlfn.XLOOKUP(B4,'BASE DE EXCEL'!$C:$C,'BASE DE EXCEL'!AA:AA,"NO HAY REFERENCIA")</f>
        <v>9</v>
      </c>
      <c r="DH4" s="3">
        <f>_xlfn.XLOOKUP(B4,'BASE DE EXCEL'!$C:$C,'BASE DE EXCEL'!AB:AB,"NO HAY REFERENCIA")</f>
        <v>0</v>
      </c>
      <c r="DI4" s="3" t="str">
        <f>_xlfn.XLOOKUP(B4,'BASE DE EXCEL'!$C:$C,'BASE DE EXCEL'!AC:AC,"NO HAY REFERENCIA")</f>
        <v>1 día o menos</v>
      </c>
      <c r="DJ4" s="4">
        <f>_xlfn.XLOOKUP(B4,'BASE DE EXCEL'!$C:$C,'BASE DE EXCEL'!AD:AD,"NO HAY REFERENCIA")</f>
        <v>46150</v>
      </c>
      <c r="DK4" s="3">
        <f>_xlfn.XLOOKUP(B4,'BASE DE EXCEL'!$C:$C,'BASE DE EXCEL'!AE:AE,"NO HAY REFERENCIA")</f>
        <v>8</v>
      </c>
      <c r="DL4" s="3">
        <f>_xlfn.XLOOKUP(B4,'BASE DE EXCEL'!$C:$C,'BASE DE EXCEL'!AF:AF,"NO HAY REFERENCIA")</f>
        <v>6</v>
      </c>
      <c r="DM4" s="4">
        <f>_xlfn.XLOOKUP(B4,'BASE DE EXCEL'!$C:$C,'BASE DE EXCEL'!AG:AG,"NO HAY REFERENCIA")</f>
        <v>46150</v>
      </c>
      <c r="DN4" s="4">
        <f>_xlfn.XLOOKUP(B4,'BASE DE EXCEL'!$C:$C,'BASE DE EXCEL'!AH:AH,"NO HAY REFERENCIA")</f>
        <v>46150</v>
      </c>
      <c r="DO4" s="3">
        <f>_xlfn.XLOOKUP(B4,'BASE DE EXCEL'!$C:$C,'BASE DE EXCEL'!AI:AI,"NO HAY REFERENCIA")</f>
        <v>0</v>
      </c>
      <c r="DP4" s="4" t="str">
        <f>_xlfn.XLOOKUP(B4,'BASE DE EXCEL'!$C:$C,'BASE DE EXCEL'!AJ:AJ,"NO HAY REFERENCIA")</f>
        <v>6 a 10 días</v>
      </c>
      <c r="DQ4" s="4">
        <f>_xlfn.XLOOKUP(B4,'BASE DE EXCEL'!$C:$C,'BASE DE EXCEL'!AK:AK,"NO HAY REFERENCIA")</f>
        <v>46150</v>
      </c>
      <c r="DR4" s="3">
        <f>_xlfn.XLOOKUP(B4,'BASE DE EXCEL'!$C:$C,'BASE DE EXCEL'!AL:AL,"NO HAY REFERENCIA")</f>
        <v>6</v>
      </c>
      <c r="DS4" s="3" t="str">
        <f>_xlfn.XLOOKUP(B4,'BASE DE EXCEL'!$C:$C,'BASE DE EXCEL'!AM:AM,"NO HAY REFERENCIA")</f>
        <v>6 a 10 días</v>
      </c>
      <c r="DT4" s="3" t="str">
        <f>_xlfn.XLOOKUP(B4,'BASE DE EXCEL'!$C:$C,'BASE DE EXCEL'!AN:AN,"NO HAY REFERENCIA")</f>
        <v>On Time</v>
      </c>
      <c r="DU4" s="3">
        <f>_xlfn.XLOOKUP(B4,'BASE DE EXCEL'!$C:$C,'BASE DE EXCEL'!AO:AO,"NO HAY REFERENCIA")</f>
        <v>1</v>
      </c>
      <c r="DV4" s="3" t="str">
        <f>_xlfn.XLOOKUP(B4,'BASE DE EXCEL'!$C:$C,'BASE DE EXCEL'!AP:AP,"NO HAY REFERENCIA")</f>
        <v>Es anterior</v>
      </c>
      <c r="DW4" s="3" t="str">
        <f>_xlfn.XLOOKUP(B4,'BASE DE EXCEL'!$C:$C,'BASE DE EXCEL'!AQ:AQ,"NO HAY REFERENCIA")</f>
        <v>A1</v>
      </c>
      <c r="DX4" s="3" t="str">
        <f>_xlfn.XLOOKUP(B4,'BASE DE EXCEL'!$C:$C,'BASE DE EXCEL'!AR:AR,"NO HAY REFERENCIA")</f>
        <v>KAREN MARTINEZ</v>
      </c>
      <c r="DY4" s="3" t="str">
        <f>_xlfn.XLOOKUP(B4,'BASE DE EXCEL'!$C:$C,'BASE DE EXCEL'!AS:AS,"NO HAY REFERENCIA")</f>
        <v>125-21466701</v>
      </c>
      <c r="DZ4" s="3">
        <f>_xlfn.XLOOKUP(B4,'BASE DE EXCEL'!$C:$C,'BASE DE EXCEL'!AT:AT,"NO HAY REFERENCIA")</f>
        <v>1073938896</v>
      </c>
      <c r="EA4" s="3">
        <f>_xlfn.XLOOKUP(B4,'BASE DE EXCEL'!$C:$C,'BASE DE EXCEL'!AU:AU,"NO HAY REFERENCIA")</f>
        <v>6002421</v>
      </c>
      <c r="EB4" s="3" t="str">
        <f>_xlfn.XLOOKUP(B4,'BASE DE EXCEL'!$C:$C,'BASE DE EXCEL'!AV:AV,"NO HAY REFERENCIA")</f>
        <v>Importación</v>
      </c>
      <c r="EC4" s="3" t="str">
        <f>_xlfn.XLOOKUP(B4,'BASE DE EXCEL'!$C:$C,'BASE DE EXCEL'!AW:AW,"NO HAY REFERENCIA")</f>
        <v>OTOMAX</v>
      </c>
      <c r="ED4" s="3" t="str">
        <f>_xlfn.XLOOKUP(B4,'BASE DE EXCEL'!$C:$C,'BASE DE EXCEL'!AX:AX,"NO HAY REFERENCIA")</f>
        <v>SIN CLASIFICACION</v>
      </c>
      <c r="EE4" s="3">
        <f>_xlfn.XLOOKUP(B4,'BASE DE EXCEL'!$C:$C,'BASE DE EXCEL'!AY:AY,"NO HAY REFERENCIA")</f>
        <v>0</v>
      </c>
      <c r="EF4" s="3" t="str">
        <f>_xlfn.XLOOKUP(B4,'BASE DE EXCEL'!$C:$C,'BASE DE EXCEL'!AZ:AZ,"NO HAY REFERENCIA")</f>
        <v>Cargas de Importación</v>
      </c>
      <c r="EG4" s="3" t="str">
        <f>_xlfn.XLOOKUP(B4,'BASE DE EXCEL'!$C:$C,'BASE DE EXCEL'!BA:BA,"NO HAY REFERENCIA")</f>
        <v>INTERVET MEXICO SA DE CV</v>
      </c>
      <c r="EH4" s="3">
        <f>_xlfn.XLOOKUP(B4,'BASE DE EXCEL'!$C:$C,'BASE DE EXCEL'!BB:BB,"NO HAY REFERENCIA")</f>
        <v>0</v>
      </c>
      <c r="EI4" s="3">
        <f>_xlfn.XLOOKUP(B4,'BASE DE EXCEL'!$C:$C,'BASE DE EXCEL'!BC:BC,"NO HAY REFERENCIA")</f>
        <v>0</v>
      </c>
      <c r="EJ4" s="3">
        <f>_xlfn.XLOOKUP(B4,'BASE DE EXCEL'!$C:$C,'BASE DE EXCEL'!BD:BD,"NO HAY REFERENCIA")</f>
        <v>0</v>
      </c>
      <c r="EK4" s="3">
        <f>_xlfn.XLOOKUP(B4,'BASE DE EXCEL'!$C:$C,'BASE DE EXCEL'!BE:BE,"NO HAY REFERENCIA")</f>
        <v>0</v>
      </c>
      <c r="EL4" s="3" t="str">
        <f>_xlfn.XLOOKUP(B4,'BASE DE EXCEL'!$C:$C,'BASE DE EXCEL'!BF:BF,"NO HAY REFERENCIA")</f>
        <v>MATERIA PRIMA</v>
      </c>
      <c r="EM4" s="3" t="str">
        <f>_xlfn.XLOOKUP(B4,'BASE DE EXCEL'!$C:$C,'BASE DE EXCEL'!BG:BG,"NO HAY REFERENCIA")</f>
        <v>Verde</v>
      </c>
      <c r="EN4" s="3" t="str">
        <f>_xlfn.XLOOKUP(B4,'BASE DE EXCEL'!$C:$C,'BASE DE EXCEL'!BH:BH,"NO HAY REFERENCIA")</f>
        <v>NULL</v>
      </c>
      <c r="EO4" s="3">
        <f>_xlfn.XLOOKUP(B4,'BASE DE EXCEL'!$C:$C,'BASE DE EXCEL'!BI:BI,"NO HAY REFERENCIA")</f>
        <v>0</v>
      </c>
      <c r="EP4" s="3" t="str">
        <f>_xlfn.XLOOKUP(B4,'BASE DE EXCEL'!$C:$C,'BASE DE EXCEL'!BJ:BJ,"NO HAY REFERENCIA")</f>
        <v>NISSAN 6</v>
      </c>
      <c r="EQ4" s="3" t="str">
        <f>_xlfn.XLOOKUP(B4,'BASE DE EXCEL'!$C:$C,'BASE DE EXCEL'!BK:BK,"NO HAY REFERENCIA")</f>
        <v>IME850329RH2</v>
      </c>
      <c r="ER4" s="3">
        <f>_xlfn.XLOOKUP(B4,'BASE DE EXCEL'!$C:$C,'BASE DE EXCEL'!BL:BL,"NO HAY REFERENCIA")</f>
        <v>0</v>
      </c>
      <c r="ES4" s="3">
        <f>_xlfn.XLOOKUP(B4,'BASE DE EXCEL'!$C:$C,'BASE DE EXCEL'!BM:BM,"NO HAY REFERENCIA")</f>
        <v>0</v>
      </c>
      <c r="ET4" s="3" t="str">
        <f>_xlfn.XLOOKUP(B4,'BASE DE EXCEL'!$C:$C,'BASE DE EXCEL'!BN:BN,"NO HAY REFERENCIA")</f>
        <v>LOTE: 6507301</v>
      </c>
      <c r="EU4" s="3">
        <f>_xlfn.XLOOKUP(B4,'BASE DE EXCEL'!$C:$C,'BASE DE EXCEL'!BO:BO,"NO HAY REFERENCIA")</f>
        <v>90</v>
      </c>
      <c r="EV4" s="3">
        <f>_xlfn.XLOOKUP(B4,'BASE DE EXCEL'!$C:$C,'BASE DE EXCEL'!BP:BP,"NO HAY REFERENCIA")</f>
        <v>356770.94</v>
      </c>
      <c r="EW4" s="3" t="str">
        <f>_xlfn.XLOOKUP(B4,'BASE DE EXCEL'!$C:$C,'BASE DE EXCEL'!BQ:BQ,"NO HAY REFERENCIA")</f>
        <v>KILO</v>
      </c>
      <c r="EX4" s="3">
        <f>_xlfn.XLOOKUP(B4,'BASE DE EXCEL'!$C:$C,'BASE DE EXCEL'!BR:BR,"NO HAY REFERENCIA")</f>
        <v>0</v>
      </c>
      <c r="EY4" s="3" t="str">
        <f>_xlfn.XLOOKUP(B4,'BASE DE EXCEL'!$C:$C,'BASE DE EXCEL'!BS:BS,"NO HAY REFERENCIA")</f>
        <v>ALEMANIA (REPUBLICA FEDERAL DE)</v>
      </c>
      <c r="EZ4" s="3" t="str">
        <f>_xlfn.XLOOKUP(B4,'BASE DE EXCEL'!$C:$C,'BASE DE EXCEL'!BT:BT,"NO HAY REFERENCIA")</f>
        <v>PAISES BAJOS (REINO DE LOS) (HOLANDA)</v>
      </c>
      <c r="FA4" s="3" t="str">
        <f>_xlfn.XLOOKUP(B4,'BASE DE EXCEL'!$C:$C,'BASE DE EXCEL'!BU:BU,"NO HAY REFERENCIA")</f>
        <v>DEU</v>
      </c>
      <c r="FB4" s="3" t="str">
        <f>_xlfn.XLOOKUP(B4,'BASE DE EXCEL'!$C:$C,'BASE DE EXCEL'!BV:BV,"NO HAY REFERENCIA")</f>
        <v>ZYA</v>
      </c>
      <c r="FC4" s="3">
        <f>_xlfn.XLOOKUP(B4,QUERY!$C:$C,QUERY!D:D)</f>
        <v>470</v>
      </c>
      <c r="FD4" s="4">
        <f>_xlfn.XLOOKUP(B4,QUERY!$C:$C,QUERY!E:E)</f>
        <v>46141</v>
      </c>
      <c r="FE4" s="3">
        <f>_xlfn.XLOOKUP(B4,QUERY!$C:$C,QUERY!F:F)</f>
        <v>4</v>
      </c>
      <c r="FF4" s="4">
        <f>_xlfn.XLOOKUP(B4,QUERY!$C:$C,QUERY!G:G)</f>
        <v>46132</v>
      </c>
      <c r="FG4" s="4">
        <f>_xlfn.XLOOKUP(B4,QUERY!$C:$C,QUERY!H:H)</f>
        <v>46141</v>
      </c>
      <c r="FH4" s="3">
        <f>_xlfn.XLOOKUP(B4,QUERY!$C:$C,QUERY!I:I)</f>
        <v>7</v>
      </c>
      <c r="FI4" s="3" t="str">
        <f>_xlfn.XLOOKUP(B4,QUERY!$C:$C,QUERY!J:J)</f>
        <v>6 a 10 días</v>
      </c>
      <c r="FJ4" s="4">
        <f>_xlfn.XLOOKUP(B4,QUERY!$C:$C,QUERY!K:K)</f>
        <v>46142</v>
      </c>
      <c r="FK4" s="3">
        <f>_xlfn.XLOOKUP(B4,QUERY!$C:$C,QUERY!L:L)</f>
        <v>8</v>
      </c>
      <c r="FL4" s="3" t="str">
        <f>_xlfn.XLOOKUP(B4,QUERY!$C:$C,QUERY!M:M)</f>
        <v>6 a 10 días</v>
      </c>
      <c r="FM4" s="3">
        <f>_xlfn.XLOOKUP(B4,QUERY!$C:$C,QUERY!N:N)</f>
        <v>1</v>
      </c>
      <c r="FN4" s="3" t="str">
        <f>_xlfn.XLOOKUP(B4,QUERY!$C:$C,QUERY!O:O)</f>
        <v>1 día o menos</v>
      </c>
      <c r="FO4" s="3">
        <f>_xlfn.XLOOKUP(B4,QUERY!$C:$C,QUERY!P:P)</f>
        <v>1</v>
      </c>
      <c r="FP4" s="3">
        <f>_xlfn.XLOOKUP(B4,QUERY!$C:$C,QUERY!Q:Q)</f>
        <v>0</v>
      </c>
      <c r="FQ4" s="3" t="str">
        <f>_xlfn.XLOOKUP(B4,QUERY!$C:$C,QUERY!R:R)</f>
        <v>1 día o menos</v>
      </c>
      <c r="FR4" s="4">
        <f>_xlfn.XLOOKUP(B4,QUERY!$C:$C,QUERY!S:S)</f>
        <v>46142</v>
      </c>
      <c r="FS4" s="3">
        <f>_xlfn.XLOOKUP(B4,QUERY!$C:$C,QUERY!T:T)</f>
        <v>8</v>
      </c>
      <c r="FT4" s="3" t="str">
        <f>_xlfn.XLOOKUP(B4,QUERY!$C:$C,QUERY!U:U)</f>
        <v>6 a 10 días</v>
      </c>
      <c r="FU4" s="3">
        <f>_xlfn.XLOOKUP(B4,QUERY!$C:$C,QUERY!V:V)</f>
        <v>14</v>
      </c>
      <c r="FV4" s="3" t="str">
        <f>_xlfn.XLOOKUP(B4,QUERY!$C:$C,QUERY!W:W)</f>
        <v>11 a 15 días</v>
      </c>
      <c r="FW4" s="4">
        <f>_xlfn.XLOOKUP(B4,QUERY!$C:$C,QUERY!X:X)</f>
        <v>46150</v>
      </c>
      <c r="FX4" s="3">
        <f>_xlfn.XLOOKUP(B4,QUERY!$C:$C,QUERY!Y:Y)</f>
        <v>6</v>
      </c>
      <c r="FY4" s="3">
        <f>_xlfn.XLOOKUP(B4,QUERY!$C:$C,QUERY!Z:Z)</f>
        <v>6</v>
      </c>
      <c r="FZ4" s="4" t="str">
        <f>_xlfn.XLOOKUP(B4,QUERY!$C:$C,QUERY!AA:AA)</f>
        <v>6 a 10 días</v>
      </c>
      <c r="GA4" s="4">
        <f>_xlfn.XLOOKUP(B4,QUERY!$C:$C,QUERY!AB:AB)</f>
        <v>46150</v>
      </c>
      <c r="GB4" s="4">
        <f>_xlfn.XLOOKUP(B4,QUERY!$C:$C,QUERY!AC:AC)</f>
        <v>46150</v>
      </c>
      <c r="GC4" s="3">
        <f>_xlfn.XLOOKUP(B4,QUERY!$C:$C,QUERY!AD:AD)</f>
        <v>0</v>
      </c>
      <c r="GD4" s="4">
        <f>_xlfn.XLOOKUP(B4,QUERY!$C:$C,QUERY!AE:AE)</f>
        <v>46150</v>
      </c>
      <c r="GE4" s="3">
        <f>_xlfn.XLOOKUP(B4,QUERY!$C:$C,QUERY!AF:AF)</f>
        <v>1</v>
      </c>
      <c r="GF4" s="4" t="str">
        <f>_xlfn.XLOOKUP(B4,QUERY!$C:$C,QUERY!AG:AG)</f>
        <v>Es anterior</v>
      </c>
      <c r="GG4" s="3" t="str">
        <f>_xlfn.XLOOKUP(B4,QUERY!$C:$C,QUERY!AH:AH)</f>
        <v>A1</v>
      </c>
      <c r="GH4" s="3" t="str">
        <f>_xlfn.XLOOKUP(B4,QUERY!$C:$C,QUERY!AI:AI)</f>
        <v>KAREN MARTINEZ</v>
      </c>
      <c r="GI4" s="3" t="str">
        <f>_xlfn.XLOOKUP(B4,QUERY!$C:$C,QUERY!AJ:AJ)</f>
        <v>125-21466701</v>
      </c>
      <c r="GJ4" s="3">
        <f>_xlfn.XLOOKUP(B4,QUERY!$C:$C,QUERY!AK:AK)</f>
        <v>1073938896</v>
      </c>
      <c r="GK4" s="3">
        <f>_xlfn.XLOOKUP(B4,QUERY!$C:$C,QUERY!AL:AL)</f>
        <v>6002421</v>
      </c>
      <c r="GL4" s="3" t="str">
        <f>_xlfn.XLOOKUP(B4,QUERY!$C:$C,QUERY!AM:AM)</f>
        <v>Importación</v>
      </c>
      <c r="GM4" s="3" t="str">
        <f>_xlfn.XLOOKUP(B4,QUERY!$C:$C,QUERY!AN:AN)</f>
        <v>OTOMAX</v>
      </c>
      <c r="GN4" s="3" t="str">
        <f>_xlfn.XLOOKUP(B4,QUERY!$C:$C,QUERY!AO:AO)</f>
        <v>SIN CLASIFICACION</v>
      </c>
      <c r="GO4" s="3">
        <f>_xlfn.XLOOKUP(B4,QUERY!$C:$C,QUERY!AP:AP)</f>
        <v>0</v>
      </c>
      <c r="GP4" s="3" t="str">
        <f>_xlfn.XLOOKUP(B4,QUERY!$C:$C,QUERY!AQ:AQ)</f>
        <v>Cargas de Importación</v>
      </c>
      <c r="GQ4" s="3" t="str">
        <f>_xlfn.XLOOKUP(B4,QUERY!$C:$C,QUERY!AR:AR)</f>
        <v>INTERVET MEXICO SA DE CV</v>
      </c>
      <c r="GR4" s="3">
        <f>_xlfn.XLOOKUP(B4,QUERY!$C:$C,QUERY!AS:AS)</f>
        <v>0</v>
      </c>
      <c r="GS4" s="3">
        <f>_xlfn.XLOOKUP(B4,QUERY!$C:$C,QUERY!AT:AT)</f>
        <v>0</v>
      </c>
      <c r="GT4" s="3">
        <f>_xlfn.XLOOKUP(B4,QUERY!$C:$C,QUERY!AU:AU)</f>
        <v>0</v>
      </c>
      <c r="GU4" s="3">
        <f>_xlfn.XLOOKUP(B4,QUERY!$C:$C,QUERY!AV:AV)</f>
        <v>0</v>
      </c>
      <c r="GV4" s="3" t="str">
        <f>_xlfn.XLOOKUP(B4,QUERY!$C:$C,QUERY!AW:AW)</f>
        <v>MATERIA PRIMA</v>
      </c>
      <c r="GW4" s="3" t="str">
        <f>_xlfn.XLOOKUP(B4,QUERY!$C:$C,QUERY!AX:AX)</f>
        <v>Verde</v>
      </c>
      <c r="GX4" s="3" t="str">
        <f>_xlfn.XLOOKUP(B4,QUERY!$C:$C,QUERY!AY:AY)</f>
        <v>NULL</v>
      </c>
      <c r="GY4" s="3">
        <f>_xlfn.XLOOKUP(B4,QUERY!$C:$C,QUERY!AZ:AZ)</f>
        <v>0</v>
      </c>
      <c r="GZ4" s="3" t="str">
        <f>_xlfn.XLOOKUP(B4,QUERY!$C:$C,QUERY!BA:BA)</f>
        <v>NISSAN 6</v>
      </c>
      <c r="HA4" s="3" t="str">
        <f>_xlfn.XLOOKUP(B4,QUERY!$C:$C,QUERY!BB:BB)</f>
        <v>IME850329RH2</v>
      </c>
      <c r="HB4" s="3">
        <f>_xlfn.XLOOKUP(B4,QUERY!$C:$C,QUERY!BC:BC)</f>
        <v>0</v>
      </c>
      <c r="HC4" s="3">
        <f>_xlfn.XLOOKUP(B4,QUERY!$C:$C,QUERY!BD:BD)</f>
        <v>0</v>
      </c>
      <c r="HD4" s="3" t="str">
        <f>_xlfn.XLOOKUP(B4,QUERY!$C:$C,QUERY!BE:BE)</f>
        <v>LOTE: 6507301</v>
      </c>
      <c r="HE4" s="3">
        <f>_xlfn.XLOOKUP(B4,QUERY!$C:$C,QUERY!BF:BF)</f>
        <v>90</v>
      </c>
      <c r="HF4" s="3" t="str">
        <f>_xlfn.XLOOKUP(B4,QUERY!$C:$C,QUERY!BG:BG)</f>
        <v xml:space="preserve"> 356770.94</v>
      </c>
      <c r="HG4" s="3" t="str">
        <f>_xlfn.XLOOKUP(B4,QUERY!$C:$C,QUERY!BH:BH)</f>
        <v>KILO</v>
      </c>
      <c r="HH4" s="3">
        <f>_xlfn.XLOOKUP(B4,QUERY!$C:$C,QUERY!BI:BI)</f>
        <v>0</v>
      </c>
      <c r="HI4" s="3" t="str">
        <f>_xlfn.XLOOKUP(B4,QUERY!$C:$C,QUERY!BJ:BJ)</f>
        <v>ALEMANIA (REPUBLICA FEDERAL DE)</v>
      </c>
      <c r="HJ4" s="3" t="str">
        <f>_xlfn.XLOOKUP(B4,QUERY!$C:$C,QUERY!BK:BK)</f>
        <v>PAISES BAJOS (REINO DE LOS) (HOLANDA)</v>
      </c>
      <c r="HK4" s="3" t="str">
        <f>_xlfn.XLOOKUP(B4,QUERY!$C:$C,QUERY!BL:BL)</f>
        <v>DEU</v>
      </c>
      <c r="HL4" s="3" t="str">
        <f>_xlfn.XLOOKUP(B4,QUERY!$C:$C,QUERY!BM:BM)</f>
        <v>ZYA</v>
      </c>
      <c r="HM4" s="3">
        <f>_xlfn.XLOOKUP(B4,QUERY!$C:$C,QUERY!BN:BN)</f>
        <v>356771</v>
      </c>
      <c r="HN4" s="3" t="str">
        <f>_xlfn.XLOOKUP(B4,QUERY!$C:$C,QUERY!BO:BO)</f>
        <v>462.00</v>
      </c>
      <c r="HO4" s="3" t="str">
        <f>_xlfn.XLOOKUP(B4,QUERY!$C:$C,QUERY!BP:BP)</f>
        <v>NULL</v>
      </c>
      <c r="HP4" s="3" t="str">
        <f>_xlfn.XLOOKUP(B4,QUERY!$C:$C,QUERY!BQ:BQ)</f>
        <v>NULL</v>
      </c>
      <c r="HQ4" s="3" t="str">
        <f>_xlfn.XLOOKUP(B4,QUERY!$C:$C,QUERY!BR:BR)</f>
        <v>30905.43</v>
      </c>
      <c r="HR4" s="3">
        <f>_xlfn.XLOOKUP(B4,QUERY!$C:$C,QUERY!BS:BS)</f>
        <v>0</v>
      </c>
      <c r="HS4" s="3">
        <f>_xlfn.XLOOKUP(B4,QUERY!$C:$C,QUERY!BT:BT)</f>
        <v>0</v>
      </c>
      <c r="HT4" s="3" t="str">
        <f>_xlfn.XLOOKUP(B4,QUERY!$C:$C,QUERY!A:A)</f>
        <v>CIUDAD DE MÉXICO</v>
      </c>
      <c r="HU4" s="3" t="str">
        <f>_xlfn.XLOOKUP(B4,QUERY!$C:$C,QUERY!B:B)</f>
        <v>AÉREO AICM</v>
      </c>
    </row>
    <row r="5" spans="1:229" x14ac:dyDescent="0.25">
      <c r="A5" s="3" t="s">
        <v>90</v>
      </c>
      <c r="B5" s="7" t="s">
        <v>113</v>
      </c>
      <c r="C5" s="3">
        <v>3942</v>
      </c>
      <c r="D5" s="3">
        <v>6000072</v>
      </c>
      <c r="E5" s="3"/>
      <c r="F5" s="3" t="s">
        <v>92</v>
      </c>
      <c r="G5" s="3" t="s">
        <v>93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18.001200000000001</v>
      </c>
      <c r="Q5" s="3">
        <v>5918</v>
      </c>
      <c r="R5" s="3">
        <v>430</v>
      </c>
      <c r="S5" s="3" t="s">
        <v>114</v>
      </c>
      <c r="T5" s="3" t="s">
        <v>95</v>
      </c>
      <c r="U5" s="3">
        <v>3997122</v>
      </c>
      <c r="V5" s="3">
        <v>3997122</v>
      </c>
      <c r="W5" s="3">
        <v>0</v>
      </c>
      <c r="X5" s="3">
        <v>0</v>
      </c>
      <c r="Y5" s="3">
        <v>0</v>
      </c>
      <c r="Z5" s="3">
        <v>0</v>
      </c>
      <c r="AA5" s="3" t="s">
        <v>115</v>
      </c>
      <c r="AB5" s="3"/>
      <c r="AC5" s="3">
        <v>211379</v>
      </c>
      <c r="AD5" s="3">
        <v>2486.81176</v>
      </c>
      <c r="AE5" s="3">
        <v>808</v>
      </c>
      <c r="AF5" s="3">
        <v>0</v>
      </c>
      <c r="AG5" s="3">
        <v>0</v>
      </c>
      <c r="AH5" s="3">
        <v>0</v>
      </c>
      <c r="AI5" s="3">
        <v>53</v>
      </c>
      <c r="AJ5" s="3">
        <v>462</v>
      </c>
      <c r="AK5" s="3">
        <v>0</v>
      </c>
      <c r="AL5" s="3">
        <v>0</v>
      </c>
      <c r="AM5" s="3">
        <v>330</v>
      </c>
      <c r="AN5" s="3">
        <v>845</v>
      </c>
      <c r="AO5" s="3" t="s">
        <v>97</v>
      </c>
      <c r="AP5" s="3" t="s">
        <v>98</v>
      </c>
      <c r="AQ5" s="3">
        <v>210358508</v>
      </c>
      <c r="AR5" s="3" t="s">
        <v>99</v>
      </c>
      <c r="AS5" s="3" t="s">
        <v>100</v>
      </c>
      <c r="AT5" s="3" t="s">
        <v>116</v>
      </c>
      <c r="AU5" s="3"/>
      <c r="AV5" s="3" t="s">
        <v>102</v>
      </c>
      <c r="AW5" s="3">
        <v>30042099</v>
      </c>
      <c r="AX5" s="3">
        <v>0</v>
      </c>
      <c r="AY5" s="3">
        <v>85</v>
      </c>
      <c r="AZ5" s="3">
        <v>85</v>
      </c>
      <c r="BA5" s="3" t="s">
        <v>103</v>
      </c>
      <c r="BB5" s="3"/>
      <c r="BC5" s="3" t="s">
        <v>105</v>
      </c>
      <c r="BD5" s="3" t="s">
        <v>105</v>
      </c>
      <c r="BE5" s="3" t="s">
        <v>106</v>
      </c>
      <c r="BF5" s="3" t="s">
        <v>117</v>
      </c>
      <c r="BG5" s="5" t="s">
        <v>118</v>
      </c>
      <c r="BH5" s="3" t="s">
        <v>119</v>
      </c>
      <c r="BI5" s="3"/>
      <c r="BJ5" s="3" t="s">
        <v>109</v>
      </c>
      <c r="BK5" s="3" t="s">
        <v>120</v>
      </c>
      <c r="BL5" s="3">
        <v>41647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20545.919999999998</v>
      </c>
      <c r="BY5" s="3">
        <v>0</v>
      </c>
      <c r="BZ5" s="3">
        <v>0</v>
      </c>
      <c r="CA5" s="3">
        <v>0</v>
      </c>
      <c r="CB5" s="3">
        <v>5779.19</v>
      </c>
      <c r="CC5" s="3">
        <v>1367.87</v>
      </c>
      <c r="CD5" s="3">
        <v>139939.60999999999</v>
      </c>
      <c r="CE5" s="3" t="s">
        <v>111</v>
      </c>
      <c r="CF5" s="3">
        <v>139939.60999999999</v>
      </c>
      <c r="CG5" s="3">
        <v>139939.60999999999</v>
      </c>
      <c r="CH5" s="3">
        <v>0</v>
      </c>
      <c r="CI5" s="3" t="s">
        <v>112</v>
      </c>
      <c r="CJ5" s="3" t="s">
        <v>112</v>
      </c>
      <c r="CK5" s="3">
        <f>_xlfn.XLOOKUP($B$2,'BASE DE EXCEL'!C:C,'BASE DE EXCEL'!D:D,"NO HAY REFERENCIA")</f>
        <v>470</v>
      </c>
      <c r="CL5" s="5">
        <f>_xlfn.XLOOKUP($B$2,'BASE DE EXCEL'!$C:$C,'BASE DE EXCEL'!F:F,"NO HAY REFERENCIA")</f>
        <v>3</v>
      </c>
      <c r="CM5" s="4">
        <f>_xlfn.XLOOKUP($B$2,'BASE DE EXCEL'!$C:$C,'BASE DE EXCEL'!G:G,"NO HAY REFERENCIA")</f>
        <v>46080</v>
      </c>
      <c r="CN5" s="4">
        <f>_xlfn.XLOOKUP($B$2,'BASE DE EXCEL'!$C:$C,'BASE DE EXCEL'!H:H,"NO HAY REFERENCIA")</f>
        <v>46086</v>
      </c>
      <c r="CO5" s="3">
        <f>_xlfn.XLOOKUP($B$2,'BASE DE EXCEL'!$C:$C,'BASE DE EXCEL'!I:I,"NO HAY REFERENCIA")</f>
        <v>4</v>
      </c>
      <c r="CP5" s="3" t="str">
        <f>_xlfn.XLOOKUP($B$2,'BASE DE EXCEL'!$C:$C,'BASE DE EXCEL'!J:J,"NO HAY REFERENCIA")</f>
        <v>4 a 5 días</v>
      </c>
      <c r="CQ5" s="4">
        <f>_xlfn.XLOOKUP($B$2,'BASE DE EXCEL'!$C:$C,'BASE DE EXCEL'!K:K,"NO HAY REFERENCIA")</f>
        <v>46087</v>
      </c>
      <c r="CR5" s="3">
        <f>_xlfn.XLOOKUP($B$2,'BASE DE EXCEL'!$C:$C,'BASE DE EXCEL'!L:L,"NO HAY REFERENCIA")</f>
        <v>5</v>
      </c>
      <c r="CS5" s="3">
        <f>_xlfn.XLOOKUP($B$2,'BASE DE EXCEL'!$C:$C,'BASE DE EXCEL'!M:M,"NO HAY REFERENCIA")</f>
        <v>6</v>
      </c>
      <c r="CT5" s="3" t="str">
        <f>_xlfn.XLOOKUP($B$2,'BASE DE EXCEL'!$C:$C,'BASE DE EXCEL'!N:N,"NO HAY REFERENCIA")</f>
        <v>6 a 10 días</v>
      </c>
      <c r="CU5" s="3" t="str">
        <f>_xlfn.XLOOKUP($B$2,'BASE DE EXCEL'!$C:$C,'BASE DE EXCEL'!O:O,"NO HAY REFERENCIA")</f>
        <v>On Time</v>
      </c>
      <c r="CV5" s="3" t="str">
        <f>_xlfn.XLOOKUP(B5,'BASE DE EXCEL'!$C:$C,'BASE DE EXCEL'!P:P,"NO HAY REFERENCIA")</f>
        <v>4 a 5 días</v>
      </c>
      <c r="CW5" s="4">
        <f>_xlfn.XLOOKUP(B5,'BASE DE EXCEL'!$C:$C,'BASE DE EXCEL'!Q:Q,"NO HAY REFERENCIA")</f>
        <v>46031</v>
      </c>
      <c r="CX5" s="3">
        <f>_xlfn.XLOOKUP(B5,'BASE DE EXCEL'!$C:$C,'BASE DE EXCEL'!R:R,"NO HAY REFERENCIA")</f>
        <v>5</v>
      </c>
      <c r="CY5" s="3" t="str">
        <f>_xlfn.XLOOKUP(B5,'BASE DE EXCEL'!$C:$C,'BASE DE EXCEL'!S:S,"NO HAY REFERENCIA")</f>
        <v>4 a 5 días</v>
      </c>
      <c r="CZ5" s="3" t="str">
        <f>_xlfn.XLOOKUP(B5,'BASE DE EXCEL'!$C:$C,'BASE DE EXCEL'!T:T,"NO HAY REFERENCIA")</f>
        <v>On Time</v>
      </c>
      <c r="DA5" s="3">
        <f>_xlfn.XLOOKUP(B5,'BASE DE EXCEL'!$C:$C,'BASE DE EXCEL'!U:U,"NO HAY REFERENCIA")</f>
        <v>6</v>
      </c>
      <c r="DB5" s="3" t="str">
        <f>_xlfn.XLOOKUP(B5,'BASE DE EXCEL'!$C:$C,'BASE DE EXCEL'!V:V,"NO HAY REFERENCIA")</f>
        <v>4 a 5 días</v>
      </c>
      <c r="DC5" s="3">
        <f>_xlfn.XLOOKUP(B5,'BASE DE EXCEL'!$C:$C,'BASE DE EXCEL'!W:W,"NO HAY REFERENCIA")</f>
        <v>9</v>
      </c>
      <c r="DD5" s="3" t="str">
        <f>_xlfn.XLOOKUP(B5,'BASE DE EXCEL'!$C:$C,'BASE DE EXCEL'!X:X,"NO HAY REFERENCIA")</f>
        <v>6 a 10 días</v>
      </c>
      <c r="DE5" s="3">
        <f>_xlfn.XLOOKUP(B5,'BASE DE EXCEL'!$C:$C,'BASE DE EXCEL'!Y:Y,"NO HAY REFERENCIA")</f>
        <v>1</v>
      </c>
      <c r="DF5" s="3" t="str">
        <f>_xlfn.XLOOKUP(B5,'BASE DE EXCEL'!$C:$C,'BASE DE EXCEL'!Z:Z,"NO HAY REFERENCIA")</f>
        <v>1 día o menos</v>
      </c>
      <c r="DG5" s="3">
        <f>_xlfn.XLOOKUP(B5,'BASE DE EXCEL'!$C:$C,'BASE DE EXCEL'!AA:AA,"NO HAY REFERENCIA")</f>
        <v>4</v>
      </c>
      <c r="DH5" s="3">
        <f>_xlfn.XLOOKUP(B5,'BASE DE EXCEL'!$C:$C,'BASE DE EXCEL'!AB:AB,"NO HAY REFERENCIA")</f>
        <v>1</v>
      </c>
      <c r="DI5" s="3" t="str">
        <f>_xlfn.XLOOKUP(B5,'BASE DE EXCEL'!$C:$C,'BASE DE EXCEL'!AC:AC,"NO HAY REFERENCIA")</f>
        <v>1 día o menos</v>
      </c>
      <c r="DJ5" s="4">
        <f>_xlfn.XLOOKUP(B5,'BASE DE EXCEL'!$C:$C,'BASE DE EXCEL'!AD:AD,"NO HAY REFERENCIA")</f>
        <v>46038</v>
      </c>
      <c r="DK5" s="3">
        <f>_xlfn.XLOOKUP(B5,'BASE DE EXCEL'!$C:$C,'BASE DE EXCEL'!AE:AE,"NO HAY REFERENCIA")</f>
        <v>7</v>
      </c>
      <c r="DL5" s="3">
        <f>_xlfn.XLOOKUP(B5,'BASE DE EXCEL'!$C:$C,'BASE DE EXCEL'!AF:AF,"NO HAY REFERENCIA")</f>
        <v>5</v>
      </c>
      <c r="DM5" s="4">
        <f>_xlfn.XLOOKUP(B5,'BASE DE EXCEL'!$C:$C,'BASE DE EXCEL'!AG:AG,"NO HAY REFERENCIA")</f>
        <v>46038</v>
      </c>
      <c r="DN5" s="4">
        <f>_xlfn.XLOOKUP(B5,'BASE DE EXCEL'!$C:$C,'BASE DE EXCEL'!AH:AH,"NO HAY REFERENCIA")</f>
        <v>46038</v>
      </c>
      <c r="DO5" s="3">
        <f>_xlfn.XLOOKUP(B5,'BASE DE EXCEL'!$C:$C,'BASE DE EXCEL'!AI:AI,"NO HAY REFERENCIA")</f>
        <v>0</v>
      </c>
      <c r="DP5" s="4" t="str">
        <f>_xlfn.XLOOKUP(B5,'BASE DE EXCEL'!$C:$C,'BASE DE EXCEL'!AJ:AJ,"NO HAY REFERENCIA")</f>
        <v>6 a 10 días</v>
      </c>
      <c r="DQ5" s="4">
        <f>_xlfn.XLOOKUP(B5,'BASE DE EXCEL'!$C:$C,'BASE DE EXCEL'!AK:AK,"NO HAY REFERENCIA")</f>
        <v>46038</v>
      </c>
      <c r="DR5" s="3">
        <f>_xlfn.XLOOKUP(B5,'BASE DE EXCEL'!$C:$C,'BASE DE EXCEL'!AL:AL,"NO HAY REFERENCIA")</f>
        <v>6</v>
      </c>
      <c r="DS5" s="3" t="str">
        <f>_xlfn.XLOOKUP(B5,'BASE DE EXCEL'!$C:$C,'BASE DE EXCEL'!AM:AM,"NO HAY REFERENCIA")</f>
        <v>6 a 10 días</v>
      </c>
      <c r="DT5" s="3" t="str">
        <f>_xlfn.XLOOKUP(B5,'BASE DE EXCEL'!$C:$C,'BASE DE EXCEL'!AN:AN,"NO HAY REFERENCIA")</f>
        <v>On Time</v>
      </c>
      <c r="DU5" s="3">
        <f>_xlfn.XLOOKUP(B5,'BASE DE EXCEL'!$C:$C,'BASE DE EXCEL'!AO:AO,"NO HAY REFERENCIA")</f>
        <v>1</v>
      </c>
      <c r="DV5" s="3" t="str">
        <f>_xlfn.XLOOKUP(B5,'BASE DE EXCEL'!$C:$C,'BASE DE EXCEL'!AP:AP,"NO HAY REFERENCIA")</f>
        <v>Es anterior</v>
      </c>
      <c r="DW5" s="3" t="str">
        <f>_xlfn.XLOOKUP(B5,'BASE DE EXCEL'!$C:$C,'BASE DE EXCEL'!AQ:AQ,"NO HAY REFERENCIA")</f>
        <v>A1</v>
      </c>
      <c r="DX5" s="3" t="str">
        <f>_xlfn.XLOOKUP(B5,'BASE DE EXCEL'!$C:$C,'BASE DE EXCEL'!AR:AR,"NO HAY REFERENCIA")</f>
        <v>ZULEIMA PEREZ RUIZ</v>
      </c>
      <c r="DY5" s="3" t="str">
        <f>_xlfn.XLOOKUP(B5,'BASE DE EXCEL'!$C:$C,'BASE DE EXCEL'!AS:AS,"NO HAY REFERENCIA")</f>
        <v>HLCUANR251131095</v>
      </c>
      <c r="DZ5" s="3" t="str">
        <f>_xlfn.XLOOKUP(B5,'BASE DE EXCEL'!$C:$C,'BASE DE EXCEL'!AT:AT,"NO HAY REFERENCIA")</f>
        <v>NULL</v>
      </c>
      <c r="EA5" s="3">
        <f>_xlfn.XLOOKUP(B5,'BASE DE EXCEL'!$C:$C,'BASE DE EXCEL'!AU:AU,"NO HAY REFERENCIA")</f>
        <v>6000072</v>
      </c>
      <c r="EB5" s="3" t="str">
        <f>_xlfn.XLOOKUP(B5,'BASE DE EXCEL'!$C:$C,'BASE DE EXCEL'!AV:AV,"NO HAY REFERENCIA")</f>
        <v>Importación</v>
      </c>
      <c r="EC5" s="3" t="str">
        <f>_xlfn.XLOOKUP(B5,'BASE DE EXCEL'!$C:$C,'BASE DE EXCEL'!AW:AW,"NO HAY REFERENCIA")</f>
        <v>CEFA SAFE (MEDICAMENTO DOSIFICADO DE USO VETERINARIO)</v>
      </c>
      <c r="ED5" s="3" t="str">
        <f>_xlfn.XLOOKUP(B5,'BASE DE EXCEL'!$C:$C,'BASE DE EXCEL'!AX:AX,"NO HAY REFERENCIA")</f>
        <v>SIN CLASIFICACION</v>
      </c>
      <c r="EE5" s="3">
        <f>_xlfn.XLOOKUP(B5,'BASE DE EXCEL'!$C:$C,'BASE DE EXCEL'!AY:AY,"NO HAY REFERENCIA")</f>
        <v>0</v>
      </c>
      <c r="EF5" s="3" t="str">
        <f>_xlfn.XLOOKUP(B5,'BASE DE EXCEL'!$C:$C,'BASE DE EXCEL'!AZ:AZ,"NO HAY REFERENCIA")</f>
        <v>Cargas de Importación</v>
      </c>
      <c r="EG5" s="3" t="str">
        <f>_xlfn.XLOOKUP(B5,'BASE DE EXCEL'!$C:$C,'BASE DE EXCEL'!BA:BA,"NO HAY REFERENCIA")</f>
        <v>INTERVET MEXICO SA DE CV</v>
      </c>
      <c r="EH5" s="3">
        <f>_xlfn.XLOOKUP(B5,'BASE DE EXCEL'!$C:$C,'BASE DE EXCEL'!BB:BB,"NO HAY REFERENCIA")</f>
        <v>0</v>
      </c>
      <c r="EI5" s="3" t="str">
        <f>_xlfn.XLOOKUP(B5,'BASE DE EXCEL'!$C:$C,'BASE DE EXCEL'!BC:BC,"NO HAY REFERENCIA")</f>
        <v>NINGUNO</v>
      </c>
      <c r="EJ5" s="3">
        <f>_xlfn.XLOOKUP(B5,'BASE DE EXCEL'!$C:$C,'BASE DE EXCEL'!BD:BD,"NO HAY REFERENCIA")</f>
        <v>0</v>
      </c>
      <c r="EK5" s="3" t="str">
        <f>_xlfn.XLOOKUP(B5,'BASE DE EXCEL'!$C:$C,'BASE DE EXCEL'!BE:BE,"NO HAY REFERENCIA")</f>
        <v>NINGUNO</v>
      </c>
      <c r="EL5" s="3" t="str">
        <f>_xlfn.XLOOKUP(B5,'BASE DE EXCEL'!$C:$C,'BASE DE EXCEL'!BF:BF,"NO HAY REFERENCIA")</f>
        <v>PRODUCTO TERMINADO</v>
      </c>
      <c r="EM5" s="3" t="str">
        <f>_xlfn.XLOOKUP(B5,'BASE DE EXCEL'!$C:$C,'BASE DE EXCEL'!BG:BG,"NO HAY REFERENCIA")</f>
        <v>Verde</v>
      </c>
      <c r="EN5" s="3" t="str">
        <f>_xlfn.XLOOKUP(B5,'BASE DE EXCEL'!$C:$C,'BASE DE EXCEL'!BH:BH,"NO HAY REFERENCIA")</f>
        <v xml:space="preserve"> SUPER EXPRESS DE CARGA FEDERAL S.A. DE C.V.</v>
      </c>
      <c r="EO5" s="3">
        <f>_xlfn.XLOOKUP(B5,'BASE DE EXCEL'!$C:$C,'BASE DE EXCEL'!BI:BI,"NO HAY REFERENCIA")</f>
        <v>0</v>
      </c>
      <c r="EP5" s="3" t="str">
        <f>_xlfn.XLOOKUP(B5,'BASE DE EXCEL'!$C:$C,'BASE DE EXCEL'!BJ:BJ,"NO HAY REFERENCIA")</f>
        <v>IME-T006</v>
      </c>
      <c r="EQ5" s="3" t="str">
        <f>_xlfn.XLOOKUP(B5,'BASE DE EXCEL'!$C:$C,'BASE DE EXCEL'!BK:BK,"NO HAY REFERENCIA")</f>
        <v>IME850329RH2</v>
      </c>
      <c r="ER5" s="3">
        <f>_xlfn.XLOOKUP(B5,'BASE DE EXCEL'!$C:$C,'BASE DE EXCEL'!BL:BL,"NO HAY REFERENCIA")</f>
        <v>0</v>
      </c>
      <c r="ES5" s="3" t="str">
        <f>_xlfn.XLOOKUP(B5,'BASE DE EXCEL'!$C:$C,'BASE DE EXCEL'!BM:BM,"NO HAY REFERENCIA")</f>
        <v>00,99</v>
      </c>
      <c r="ET5" s="3" t="str">
        <f>_xlfn.XLOOKUP(B5,'BASE DE EXCEL'!$C:$C,'BASE DE EXCEL'!BN:BN,"NO HAY REFERENCIA")</f>
        <v>LOTE: A217A05,LOTE: A219A02,LOTE: A219A01,LOTE: A217A03,LOTE: H107A01,LOTES: J550A01, J607A01,LOTE: 5677101,LOTE: A217A04</v>
      </c>
      <c r="EU5" s="3">
        <f>_xlfn.XLOOKUP(B5,'BASE DE EXCEL'!$C:$C,'BASE DE EXCEL'!BO:BO,"NO HAY REFERENCIA")</f>
        <v>90</v>
      </c>
      <c r="EV5" s="3" t="str">
        <f>_xlfn.XLOOKUP(B5,'BASE DE EXCEL'!$C:$C,'BASE DE EXCEL'!BP:BP,"NO HAY REFERENCIA")</f>
        <v xml:space="preserve"> 952448.23, 2181141.30, 863532.00</v>
      </c>
      <c r="EW5" s="3" t="str">
        <f>_xlfn.XLOOKUP(B5,'BASE DE EXCEL'!$C:$C,'BASE DE EXCEL'!BQ:BQ,"NO HAY REFERENCIA")</f>
        <v>KILO,KILO,KILO,KILO,KILO,KILO,KILO,KILO</v>
      </c>
      <c r="EX5" s="3">
        <f>_xlfn.XLOOKUP(B5,'BASE DE EXCEL'!$C:$C,'BASE DE EXCEL'!BR:BR,"NO HAY REFERENCIA")</f>
        <v>0</v>
      </c>
      <c r="EY5" s="3" t="str">
        <f>_xlfn.XLOOKUP(B5,'BASE DE EXCEL'!$C:$C,'BASE DE EXCEL'!BS:BS,"NO HAY REFERENCIA")</f>
        <v>ALEMANIA (REPUBLICA FEDERAL DE),PAISES BAJOS (REINO DE LOS) (HOLANDA)</v>
      </c>
      <c r="EZ5" s="3" t="str">
        <f>_xlfn.XLOOKUP(B5,'BASE DE EXCEL'!$C:$C,'BASE DE EXCEL'!BT:BT,"NO HAY REFERENCIA")</f>
        <v>PAISES BAJOS (REINO DE LOS) (HOLANDA)</v>
      </c>
      <c r="FA5" s="3" t="str">
        <f>_xlfn.XLOOKUP(B5,'BASE DE EXCEL'!$C:$C,'BASE DE EXCEL'!BU:BU,"NO HAY REFERENCIA")</f>
        <v>DEU,ZYA</v>
      </c>
      <c r="FB5" s="3" t="str">
        <f>_xlfn.XLOOKUP(B5,'BASE DE EXCEL'!$C:$C,'BASE DE EXCEL'!BV:BV,"NO HAY REFERENCIA")</f>
        <v>ZYA</v>
      </c>
      <c r="FC5" s="3">
        <f>_xlfn.XLOOKUP(B5,QUERY!$C:$C,QUERY!D:D)</f>
        <v>430</v>
      </c>
      <c r="FD5" s="4">
        <f>_xlfn.XLOOKUP(B5,QUERY!$C:$C,QUERY!E:E)</f>
        <v>46029</v>
      </c>
      <c r="FE5" s="3">
        <f>_xlfn.XLOOKUP(B5,QUERY!$C:$C,QUERY!F:F)</f>
        <v>1</v>
      </c>
      <c r="FF5" s="4">
        <f>_xlfn.XLOOKUP(B5,QUERY!$C:$C,QUERY!G:G)</f>
        <v>46025</v>
      </c>
      <c r="FG5" s="4">
        <f>_xlfn.XLOOKUP(B5,QUERY!$C:$C,QUERY!H:H)</f>
        <v>46029</v>
      </c>
      <c r="FH5" s="3">
        <f>_xlfn.XLOOKUP(B5,QUERY!$C:$C,QUERY!I:I)</f>
        <v>2</v>
      </c>
      <c r="FI5" s="3" t="str">
        <f>_xlfn.XLOOKUP(B5,QUERY!$C:$C,QUERY!J:J)</f>
        <v>2 a 3 días</v>
      </c>
      <c r="FJ5" s="4">
        <f>_xlfn.XLOOKUP(B5,QUERY!$C:$C,QUERY!K:K)</f>
        <v>46030</v>
      </c>
      <c r="FK5" s="3">
        <f>_xlfn.XLOOKUP(B5,QUERY!$C:$C,QUERY!L:L)</f>
        <v>3</v>
      </c>
      <c r="FL5" s="3" t="str">
        <f>_xlfn.XLOOKUP(B5,QUERY!$C:$C,QUERY!M:M)</f>
        <v>2 a 3 días</v>
      </c>
      <c r="FM5" s="3">
        <f>_xlfn.XLOOKUP(B5,QUERY!$C:$C,QUERY!N:N)</f>
        <v>1</v>
      </c>
      <c r="FN5" s="3" t="str">
        <f>_xlfn.XLOOKUP(B5,QUERY!$C:$C,QUERY!O:O)</f>
        <v>1 día o menos</v>
      </c>
      <c r="FO5" s="3">
        <f>_xlfn.XLOOKUP(B5,QUERY!$C:$C,QUERY!P:P)</f>
        <v>1</v>
      </c>
      <c r="FP5" s="3">
        <f>_xlfn.XLOOKUP(B5,QUERY!$C:$C,QUERY!Q:Q)</f>
        <v>1</v>
      </c>
      <c r="FQ5" s="3" t="str">
        <f>_xlfn.XLOOKUP(B5,QUERY!$C:$C,QUERY!R:R)</f>
        <v>1 día o menos</v>
      </c>
      <c r="FR5" s="4">
        <f>_xlfn.XLOOKUP(B5,QUERY!$C:$C,QUERY!S:S)</f>
        <v>46031</v>
      </c>
      <c r="FS5" s="3">
        <f>_xlfn.XLOOKUP(B5,QUERY!$C:$C,QUERY!T:T)</f>
        <v>4</v>
      </c>
      <c r="FT5" s="3" t="str">
        <f>_xlfn.XLOOKUP(B5,QUERY!$C:$C,QUERY!U:U)</f>
        <v>4 a 5 días</v>
      </c>
      <c r="FU5" s="3">
        <f>_xlfn.XLOOKUP(B5,QUERY!$C:$C,QUERY!V:V)</f>
        <v>9</v>
      </c>
      <c r="FV5" s="3" t="str">
        <f>_xlfn.XLOOKUP(B5,QUERY!$C:$C,QUERY!W:W)</f>
        <v>6 a 10 días</v>
      </c>
      <c r="FW5" s="4">
        <f>_xlfn.XLOOKUP(B5,QUERY!$C:$C,QUERY!X:X)</f>
        <v>46038</v>
      </c>
      <c r="FX5" s="3">
        <f>_xlfn.XLOOKUP(B5,QUERY!$C:$C,QUERY!Y:Y)</f>
        <v>5</v>
      </c>
      <c r="FY5" s="3">
        <f>_xlfn.XLOOKUP(B5,QUERY!$C:$C,QUERY!Z:Z)</f>
        <v>5</v>
      </c>
      <c r="FZ5" s="4" t="str">
        <f>_xlfn.XLOOKUP(B5,QUERY!$C:$C,QUERY!AA:AA)</f>
        <v>6 a 10 días</v>
      </c>
      <c r="GA5" s="4">
        <f>_xlfn.XLOOKUP(B5,QUERY!$C:$C,QUERY!AB:AB)</f>
        <v>46038</v>
      </c>
      <c r="GB5" s="4">
        <f>_xlfn.XLOOKUP(B5,QUERY!$C:$C,QUERY!AC:AC)</f>
        <v>46038</v>
      </c>
      <c r="GC5" s="3">
        <f>_xlfn.XLOOKUP(B5,QUERY!$C:$C,QUERY!AD:AD)</f>
        <v>0</v>
      </c>
      <c r="GD5" s="4">
        <f>_xlfn.XLOOKUP(B5,QUERY!$C:$C,QUERY!AE:AE)</f>
        <v>46038</v>
      </c>
      <c r="GE5" s="3">
        <f>_xlfn.XLOOKUP(B5,QUERY!$C:$C,QUERY!AF:AF)</f>
        <v>1</v>
      </c>
      <c r="GF5" s="4" t="str">
        <f>_xlfn.XLOOKUP(B5,QUERY!$C:$C,QUERY!AG:AG)</f>
        <v>Es anterior</v>
      </c>
      <c r="GG5" s="3" t="str">
        <f>_xlfn.XLOOKUP(B5,QUERY!$C:$C,QUERY!AH:AH)</f>
        <v>A1</v>
      </c>
      <c r="GH5" s="3" t="str">
        <f>_xlfn.XLOOKUP(B5,QUERY!$C:$C,QUERY!AI:AI)</f>
        <v>ZULEIMA PEREZ RUIZ</v>
      </c>
      <c r="GI5" s="3" t="str">
        <f>_xlfn.XLOOKUP(B5,QUERY!$C:$C,QUERY!AJ:AJ)</f>
        <v>HLCUANR251131095</v>
      </c>
      <c r="GJ5" s="3" t="str">
        <f>_xlfn.XLOOKUP(B5,QUERY!$C:$C,QUERY!AK:AK)</f>
        <v>NULL</v>
      </c>
      <c r="GK5" s="3">
        <f>_xlfn.XLOOKUP(B5,QUERY!$C:$C,QUERY!AL:AL)</f>
        <v>6000072</v>
      </c>
      <c r="GL5" s="3" t="str">
        <f>_xlfn.XLOOKUP(B5,QUERY!$C:$C,QUERY!AM:AM)</f>
        <v>Importación</v>
      </c>
      <c r="GM5" s="3" t="str">
        <f>_xlfn.XLOOKUP(B5,QUERY!$C:$C,QUERY!AN:AN)</f>
        <v>CEFA SAFE (MEDICAMENTO DOSIFICADO DE USO VETERINARIO)</v>
      </c>
      <c r="GN5" s="3" t="str">
        <f>_xlfn.XLOOKUP(B5,QUERY!$C:$C,QUERY!AO:AO)</f>
        <v>SIN CLASIFICACION</v>
      </c>
      <c r="GO5" s="3">
        <f>_xlfn.XLOOKUP(B5,QUERY!$C:$C,QUERY!AP:AP)</f>
        <v>0</v>
      </c>
      <c r="GP5" s="3" t="str">
        <f>_xlfn.XLOOKUP(B5,QUERY!$C:$C,QUERY!AQ:AQ)</f>
        <v>Cargas de Importación</v>
      </c>
      <c r="GQ5" s="3" t="str">
        <f>_xlfn.XLOOKUP(B5,QUERY!$C:$C,QUERY!AR:AR)</f>
        <v>INTERVET MEXICO SA DE CV</v>
      </c>
      <c r="GR5" s="3">
        <f>_xlfn.XLOOKUP(B5,QUERY!$C:$C,QUERY!AS:AS)</f>
        <v>0</v>
      </c>
      <c r="GS5" s="3" t="str">
        <f>_xlfn.XLOOKUP(B5,QUERY!$C:$C,QUERY!AT:AT)</f>
        <v>NINGUNO</v>
      </c>
      <c r="GT5" s="3">
        <f>_xlfn.XLOOKUP(B5,QUERY!$C:$C,QUERY!AU:AU)</f>
        <v>0</v>
      </c>
      <c r="GU5" s="3" t="str">
        <f>_xlfn.XLOOKUP(B5,QUERY!$C:$C,QUERY!AV:AV)</f>
        <v>NINGUNO</v>
      </c>
      <c r="GV5" s="3" t="str">
        <f>_xlfn.XLOOKUP(B5,QUERY!$C:$C,QUERY!AW:AW)</f>
        <v>PRODUCTO TERMINADO</v>
      </c>
      <c r="GW5" s="3" t="str">
        <f>_xlfn.XLOOKUP(B5,QUERY!$C:$C,QUERY!AX:AX)</f>
        <v>Verde</v>
      </c>
      <c r="GX5" s="3" t="str">
        <f>_xlfn.XLOOKUP(B5,QUERY!$C:$C,QUERY!AY:AY)</f>
        <v xml:space="preserve"> SUPER EXPRESS DE CARGA FEDERAL S.A. DE C.V.</v>
      </c>
      <c r="GY5" s="3">
        <f>_xlfn.XLOOKUP(B5,QUERY!$C:$C,QUERY!AZ:AZ)</f>
        <v>0</v>
      </c>
      <c r="GZ5" s="3" t="str">
        <f>_xlfn.XLOOKUP(B5,QUERY!$C:$C,QUERY!BA:BA)</f>
        <v>IME-T006</v>
      </c>
      <c r="HA5" s="3" t="str">
        <f>_xlfn.XLOOKUP(B5,QUERY!$C:$C,QUERY!BB:BB)</f>
        <v>IME850329RH2</v>
      </c>
      <c r="HB5" s="3">
        <f>_xlfn.XLOOKUP(B5,QUERY!$C:$C,QUERY!BC:BC)</f>
        <v>0</v>
      </c>
      <c r="HC5" s="3">
        <f>_xlfn.XLOOKUP(B5,QUERY!$C:$C,QUERY!BD:BD)</f>
        <v>0.99</v>
      </c>
      <c r="HD5" s="3" t="str">
        <f>_xlfn.XLOOKUP(B5,QUERY!$C:$C,QUERY!BE:BE)</f>
        <v>LOTE: A217A05,LOTE: A219A02,LOTE: A219A01,LOTE: A217A04,LOTE: A217A03,LOTE: H107A01,LOTES: J550A01, J607A01,LOTE: 5677101</v>
      </c>
      <c r="HE5" s="3">
        <f>_xlfn.XLOOKUP(B5,QUERY!$C:$C,QUERY!BF:BF)</f>
        <v>90</v>
      </c>
      <c r="HF5" s="3" t="str">
        <f>_xlfn.XLOOKUP(B5,QUERY!$C:$C,QUERY!BG:BG)</f>
        <v xml:space="preserve"> 952448.23, 2181141.30, 863532.00</v>
      </c>
      <c r="HG5" s="3" t="str">
        <f>_xlfn.XLOOKUP(B5,QUERY!$C:$C,QUERY!BH:BH)</f>
        <v>KILO,KILO,KILO,KILO,KILO,KILO,KILO,KILO</v>
      </c>
      <c r="HH5" s="3">
        <f>_xlfn.XLOOKUP(B5,QUERY!$C:$C,QUERY!BI:BI)</f>
        <v>0</v>
      </c>
      <c r="HI5" s="3" t="str">
        <f>_xlfn.XLOOKUP(B5,QUERY!$C:$C,QUERY!BJ:BJ)</f>
        <v>ALEMANIA (REPUBLICA FEDERAL DE),PAISES BAJOS (REINO DE LOS) (HOLANDA)</v>
      </c>
      <c r="HJ5" s="3" t="str">
        <f>_xlfn.XLOOKUP(B5,QUERY!$C:$C,QUERY!BK:BK)</f>
        <v>PAISES BAJOS (REINO DE LOS) (HOLANDA)</v>
      </c>
      <c r="HK5" s="3" t="str">
        <f>_xlfn.XLOOKUP(B5,QUERY!$C:$C,QUERY!BL:BL)</f>
        <v>DEU,ZYA</v>
      </c>
      <c r="HL5" s="3" t="str">
        <f>_xlfn.XLOOKUP(B5,QUERY!$C:$C,QUERY!BM:BM)</f>
        <v>ZYA</v>
      </c>
      <c r="HM5" s="3">
        <f>_xlfn.XLOOKUP(B5,QUERY!$C:$C,QUERY!BN:BN)</f>
        <v>3997122</v>
      </c>
      <c r="HN5" s="3" t="str">
        <f>_xlfn.XLOOKUP(B5,QUERY!$C:$C,QUERY!BO:BO)</f>
        <v>462.00</v>
      </c>
      <c r="HO5" s="3" t="str">
        <f>_xlfn.XLOOKUP(B5,QUERY!$C:$C,QUERY!BP:BP)</f>
        <v>NULL</v>
      </c>
      <c r="HP5" s="3" t="str">
        <f>_xlfn.XLOOKUP(B5,QUERY!$C:$C,QUERY!BQ:BQ)</f>
        <v>NULL</v>
      </c>
      <c r="HQ5" s="3" t="str">
        <f>_xlfn.XLOOKUP(B5,QUERY!$C:$C,QUERY!BR:BR)</f>
        <v>139939.61</v>
      </c>
      <c r="HR5" s="3">
        <f>_xlfn.XLOOKUP(B5,QUERY!$C:$C,QUERY!BS:BS)</f>
        <v>0</v>
      </c>
      <c r="HS5" s="3">
        <f>_xlfn.XLOOKUP(B5,QUERY!$C:$C,QUERY!BT:BT)</f>
        <v>0</v>
      </c>
      <c r="HT5" s="3" t="str">
        <f>_xlfn.XLOOKUP(B5,QUERY!$C:$C,QUERY!A:A)</f>
        <v>VERACRUZ</v>
      </c>
      <c r="HU5" s="3" t="str">
        <f>_xlfn.XLOOKUP(B5,QUERY!$C:$C,QUERY!B:B)</f>
        <v>MARÍTIMO VERACRUZ</v>
      </c>
    </row>
    <row r="6" spans="1:229" x14ac:dyDescent="0.25">
      <c r="A6" s="3" t="s">
        <v>90</v>
      </c>
      <c r="B6" s="7" t="s">
        <v>113</v>
      </c>
      <c r="C6" s="3">
        <v>3942</v>
      </c>
      <c r="D6" s="3">
        <v>6000072</v>
      </c>
      <c r="E6" s="3"/>
      <c r="F6" s="3" t="s">
        <v>92</v>
      </c>
      <c r="G6" s="3" t="s">
        <v>93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430</v>
      </c>
      <c r="S6" s="3" t="s">
        <v>114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115</v>
      </c>
      <c r="AB6" s="3"/>
      <c r="AC6" s="3">
        <v>370535</v>
      </c>
      <c r="AD6" s="3">
        <v>2486.8120800000002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/>
      <c r="AP6" s="3" t="s">
        <v>98</v>
      </c>
      <c r="AQ6" s="3">
        <v>210358508</v>
      </c>
      <c r="AR6" s="3" t="s">
        <v>99</v>
      </c>
      <c r="AS6" s="3" t="s">
        <v>100</v>
      </c>
      <c r="AT6" s="3">
        <v>0</v>
      </c>
      <c r="AU6" s="3">
        <v>0</v>
      </c>
      <c r="AV6" s="3">
        <v>0</v>
      </c>
      <c r="AW6" s="3">
        <v>30042099</v>
      </c>
      <c r="AX6" s="3">
        <v>0</v>
      </c>
      <c r="AY6" s="3">
        <v>149</v>
      </c>
      <c r="AZ6" s="3">
        <v>149</v>
      </c>
      <c r="BA6" s="3" t="s">
        <v>121</v>
      </c>
      <c r="BB6" s="3"/>
      <c r="BC6" s="3" t="s">
        <v>105</v>
      </c>
      <c r="BD6" s="3" t="s">
        <v>105</v>
      </c>
      <c r="BE6" s="3"/>
      <c r="BF6" s="3"/>
      <c r="BG6" s="5"/>
      <c r="BH6" s="3"/>
      <c r="BI6" s="3"/>
      <c r="BJ6" s="3"/>
      <c r="BK6" s="3" t="s">
        <v>120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 t="s">
        <v>111</v>
      </c>
      <c r="CF6" s="3">
        <v>0</v>
      </c>
      <c r="CG6" s="3">
        <v>0</v>
      </c>
      <c r="CH6" s="3">
        <v>0</v>
      </c>
      <c r="CI6" s="3" t="s">
        <v>112</v>
      </c>
      <c r="CJ6" s="3" t="s">
        <v>112</v>
      </c>
      <c r="CK6" s="3">
        <f>_xlfn.XLOOKUP($B$2,'BASE DE EXCEL'!C:C,'BASE DE EXCEL'!D:D,"NO HAY REFERENCIA")</f>
        <v>470</v>
      </c>
      <c r="CL6" s="5">
        <f>_xlfn.XLOOKUP($B$2,'BASE DE EXCEL'!$C:$C,'BASE DE EXCEL'!F:F,"NO HAY REFERENCIA")</f>
        <v>3</v>
      </c>
      <c r="CM6" s="4">
        <f>_xlfn.XLOOKUP($B$2,'BASE DE EXCEL'!$C:$C,'BASE DE EXCEL'!G:G,"NO HAY REFERENCIA")</f>
        <v>46080</v>
      </c>
      <c r="CN6" s="4">
        <f>_xlfn.XLOOKUP($B$2,'BASE DE EXCEL'!$C:$C,'BASE DE EXCEL'!H:H,"NO HAY REFERENCIA")</f>
        <v>46086</v>
      </c>
      <c r="CO6" s="3">
        <f>_xlfn.XLOOKUP($B$2,'BASE DE EXCEL'!$C:$C,'BASE DE EXCEL'!I:I,"NO HAY REFERENCIA")</f>
        <v>4</v>
      </c>
      <c r="CP6" s="3" t="str">
        <f>_xlfn.XLOOKUP($B$2,'BASE DE EXCEL'!$C:$C,'BASE DE EXCEL'!J:J,"NO HAY REFERENCIA")</f>
        <v>4 a 5 días</v>
      </c>
      <c r="CQ6" s="4">
        <f>_xlfn.XLOOKUP($B$2,'BASE DE EXCEL'!$C:$C,'BASE DE EXCEL'!K:K,"NO HAY REFERENCIA")</f>
        <v>46087</v>
      </c>
      <c r="CR6" s="3">
        <f>_xlfn.XLOOKUP($B$2,'BASE DE EXCEL'!$C:$C,'BASE DE EXCEL'!L:L,"NO HAY REFERENCIA")</f>
        <v>5</v>
      </c>
      <c r="CS6" s="3">
        <f>_xlfn.XLOOKUP($B$2,'BASE DE EXCEL'!$C:$C,'BASE DE EXCEL'!M:M,"NO HAY REFERENCIA")</f>
        <v>6</v>
      </c>
      <c r="CT6" s="3" t="str">
        <f>_xlfn.XLOOKUP($B$2,'BASE DE EXCEL'!$C:$C,'BASE DE EXCEL'!N:N,"NO HAY REFERENCIA")</f>
        <v>6 a 10 días</v>
      </c>
      <c r="CU6" s="3" t="str">
        <f>_xlfn.XLOOKUP($B$2,'BASE DE EXCEL'!$C:$C,'BASE DE EXCEL'!O:O,"NO HAY REFERENCIA")</f>
        <v>On Time</v>
      </c>
      <c r="CV6" s="3" t="str">
        <f>_xlfn.XLOOKUP(B6,'BASE DE EXCEL'!$C:$C,'BASE DE EXCEL'!P:P,"NO HAY REFERENCIA")</f>
        <v>4 a 5 días</v>
      </c>
      <c r="CW6" s="4">
        <f>_xlfn.XLOOKUP(B6,'BASE DE EXCEL'!$C:$C,'BASE DE EXCEL'!Q:Q,"NO HAY REFERENCIA")</f>
        <v>46031</v>
      </c>
      <c r="CX6" s="3">
        <f>_xlfn.XLOOKUP(B6,'BASE DE EXCEL'!$C:$C,'BASE DE EXCEL'!R:R,"NO HAY REFERENCIA")</f>
        <v>5</v>
      </c>
      <c r="CY6" s="3" t="str">
        <f>_xlfn.XLOOKUP(B6,'BASE DE EXCEL'!$C:$C,'BASE DE EXCEL'!S:S,"NO HAY REFERENCIA")</f>
        <v>4 a 5 días</v>
      </c>
      <c r="CZ6" s="3" t="str">
        <f>_xlfn.XLOOKUP(B6,'BASE DE EXCEL'!$C:$C,'BASE DE EXCEL'!T:T,"NO HAY REFERENCIA")</f>
        <v>On Time</v>
      </c>
      <c r="DA6" s="3">
        <f>_xlfn.XLOOKUP(B6,'BASE DE EXCEL'!$C:$C,'BASE DE EXCEL'!U:U,"NO HAY REFERENCIA")</f>
        <v>6</v>
      </c>
      <c r="DB6" s="3" t="str">
        <f>_xlfn.XLOOKUP(B6,'BASE DE EXCEL'!$C:$C,'BASE DE EXCEL'!V:V,"NO HAY REFERENCIA")</f>
        <v>4 a 5 días</v>
      </c>
      <c r="DC6" s="3">
        <f>_xlfn.XLOOKUP(B6,'BASE DE EXCEL'!$C:$C,'BASE DE EXCEL'!W:W,"NO HAY REFERENCIA")</f>
        <v>9</v>
      </c>
      <c r="DD6" s="3" t="str">
        <f>_xlfn.XLOOKUP(B6,'BASE DE EXCEL'!$C:$C,'BASE DE EXCEL'!X:X,"NO HAY REFERENCIA")</f>
        <v>6 a 10 días</v>
      </c>
      <c r="DE6" s="3">
        <f>_xlfn.XLOOKUP(B6,'BASE DE EXCEL'!$C:$C,'BASE DE EXCEL'!Y:Y,"NO HAY REFERENCIA")</f>
        <v>1</v>
      </c>
      <c r="DF6" s="3" t="str">
        <f>_xlfn.XLOOKUP(B6,'BASE DE EXCEL'!$C:$C,'BASE DE EXCEL'!Z:Z,"NO HAY REFERENCIA")</f>
        <v>1 día o menos</v>
      </c>
      <c r="DG6" s="3">
        <f>_xlfn.XLOOKUP(B6,'BASE DE EXCEL'!$C:$C,'BASE DE EXCEL'!AA:AA,"NO HAY REFERENCIA")</f>
        <v>4</v>
      </c>
      <c r="DH6" s="3">
        <f>_xlfn.XLOOKUP(B6,'BASE DE EXCEL'!$C:$C,'BASE DE EXCEL'!AB:AB,"NO HAY REFERENCIA")</f>
        <v>1</v>
      </c>
      <c r="DI6" s="3" t="str">
        <f>_xlfn.XLOOKUP(B6,'BASE DE EXCEL'!$C:$C,'BASE DE EXCEL'!AC:AC,"NO HAY REFERENCIA")</f>
        <v>1 día o menos</v>
      </c>
      <c r="DJ6" s="4">
        <f>_xlfn.XLOOKUP(B6,'BASE DE EXCEL'!$C:$C,'BASE DE EXCEL'!AD:AD,"NO HAY REFERENCIA")</f>
        <v>46038</v>
      </c>
      <c r="DK6" s="3">
        <f>_xlfn.XLOOKUP(B6,'BASE DE EXCEL'!$C:$C,'BASE DE EXCEL'!AE:AE,"NO HAY REFERENCIA")</f>
        <v>7</v>
      </c>
      <c r="DL6" s="3">
        <f>_xlfn.XLOOKUP(B6,'BASE DE EXCEL'!$C:$C,'BASE DE EXCEL'!AF:AF,"NO HAY REFERENCIA")</f>
        <v>5</v>
      </c>
      <c r="DM6" s="4">
        <f>_xlfn.XLOOKUP(B6,'BASE DE EXCEL'!$C:$C,'BASE DE EXCEL'!AG:AG,"NO HAY REFERENCIA")</f>
        <v>46038</v>
      </c>
      <c r="DN6" s="4">
        <f>_xlfn.XLOOKUP(B6,'BASE DE EXCEL'!$C:$C,'BASE DE EXCEL'!AH:AH,"NO HAY REFERENCIA")</f>
        <v>46038</v>
      </c>
      <c r="DO6" s="3">
        <f>_xlfn.XLOOKUP(B6,'BASE DE EXCEL'!$C:$C,'BASE DE EXCEL'!AI:AI,"NO HAY REFERENCIA")</f>
        <v>0</v>
      </c>
      <c r="DP6" s="4" t="str">
        <f>_xlfn.XLOOKUP(B6,'BASE DE EXCEL'!$C:$C,'BASE DE EXCEL'!AJ:AJ,"NO HAY REFERENCIA")</f>
        <v>6 a 10 días</v>
      </c>
      <c r="DQ6" s="4">
        <f>_xlfn.XLOOKUP(B6,'BASE DE EXCEL'!$C:$C,'BASE DE EXCEL'!AK:AK,"NO HAY REFERENCIA")</f>
        <v>46038</v>
      </c>
      <c r="DR6" s="3">
        <f>_xlfn.XLOOKUP(B6,'BASE DE EXCEL'!$C:$C,'BASE DE EXCEL'!AL:AL,"NO HAY REFERENCIA")</f>
        <v>6</v>
      </c>
      <c r="DS6" s="3" t="str">
        <f>_xlfn.XLOOKUP(B6,'BASE DE EXCEL'!$C:$C,'BASE DE EXCEL'!AM:AM,"NO HAY REFERENCIA")</f>
        <v>6 a 10 días</v>
      </c>
      <c r="DT6" s="3" t="str">
        <f>_xlfn.XLOOKUP(B6,'BASE DE EXCEL'!$C:$C,'BASE DE EXCEL'!AN:AN,"NO HAY REFERENCIA")</f>
        <v>On Time</v>
      </c>
      <c r="DU6" s="3">
        <f>_xlfn.XLOOKUP(B6,'BASE DE EXCEL'!$C:$C,'BASE DE EXCEL'!AO:AO,"NO HAY REFERENCIA")</f>
        <v>1</v>
      </c>
      <c r="DV6" s="3" t="str">
        <f>_xlfn.XLOOKUP(B6,'BASE DE EXCEL'!$C:$C,'BASE DE EXCEL'!AP:AP,"NO HAY REFERENCIA")</f>
        <v>Es anterior</v>
      </c>
      <c r="DW6" s="3" t="str">
        <f>_xlfn.XLOOKUP(B6,'BASE DE EXCEL'!$C:$C,'BASE DE EXCEL'!AQ:AQ,"NO HAY REFERENCIA")</f>
        <v>A1</v>
      </c>
      <c r="DX6" s="3" t="str">
        <f>_xlfn.XLOOKUP(B6,'BASE DE EXCEL'!$C:$C,'BASE DE EXCEL'!AR:AR,"NO HAY REFERENCIA")</f>
        <v>ZULEIMA PEREZ RUIZ</v>
      </c>
      <c r="DY6" s="3" t="str">
        <f>_xlfn.XLOOKUP(B6,'BASE DE EXCEL'!$C:$C,'BASE DE EXCEL'!AS:AS,"NO HAY REFERENCIA")</f>
        <v>HLCUANR251131095</v>
      </c>
      <c r="DZ6" s="3" t="str">
        <f>_xlfn.XLOOKUP(B6,'BASE DE EXCEL'!$C:$C,'BASE DE EXCEL'!AT:AT,"NO HAY REFERENCIA")</f>
        <v>NULL</v>
      </c>
      <c r="EA6" s="3">
        <f>_xlfn.XLOOKUP(B6,'BASE DE EXCEL'!$C:$C,'BASE DE EXCEL'!AU:AU,"NO HAY REFERENCIA")</f>
        <v>6000072</v>
      </c>
      <c r="EB6" s="3" t="str">
        <f>_xlfn.XLOOKUP(B6,'BASE DE EXCEL'!$C:$C,'BASE DE EXCEL'!AV:AV,"NO HAY REFERENCIA")</f>
        <v>Importación</v>
      </c>
      <c r="EC6" s="3" t="str">
        <f>_xlfn.XLOOKUP(B6,'BASE DE EXCEL'!$C:$C,'BASE DE EXCEL'!AW:AW,"NO HAY REFERENCIA")</f>
        <v>CEFA SAFE (MEDICAMENTO DOSIFICADO DE USO VETERINARIO)</v>
      </c>
      <c r="ED6" s="3" t="str">
        <f>_xlfn.XLOOKUP(B6,'BASE DE EXCEL'!$C:$C,'BASE DE EXCEL'!AX:AX,"NO HAY REFERENCIA")</f>
        <v>SIN CLASIFICACION</v>
      </c>
      <c r="EE6" s="3">
        <f>_xlfn.XLOOKUP(B6,'BASE DE EXCEL'!$C:$C,'BASE DE EXCEL'!AY:AY,"NO HAY REFERENCIA")</f>
        <v>0</v>
      </c>
      <c r="EF6" s="3" t="str">
        <f>_xlfn.XLOOKUP(B6,'BASE DE EXCEL'!$C:$C,'BASE DE EXCEL'!AZ:AZ,"NO HAY REFERENCIA")</f>
        <v>Cargas de Importación</v>
      </c>
      <c r="EG6" s="3" t="str">
        <f>_xlfn.XLOOKUP(B6,'BASE DE EXCEL'!$C:$C,'BASE DE EXCEL'!BA:BA,"NO HAY REFERENCIA")</f>
        <v>INTERVET MEXICO SA DE CV</v>
      </c>
      <c r="EH6" s="3">
        <f>_xlfn.XLOOKUP(B6,'BASE DE EXCEL'!$C:$C,'BASE DE EXCEL'!BB:BB,"NO HAY REFERENCIA")</f>
        <v>0</v>
      </c>
      <c r="EI6" s="3" t="str">
        <f>_xlfn.XLOOKUP(B6,'BASE DE EXCEL'!$C:$C,'BASE DE EXCEL'!BC:BC,"NO HAY REFERENCIA")</f>
        <v>NINGUNO</v>
      </c>
      <c r="EJ6" s="3">
        <f>_xlfn.XLOOKUP(B6,'BASE DE EXCEL'!$C:$C,'BASE DE EXCEL'!BD:BD,"NO HAY REFERENCIA")</f>
        <v>0</v>
      </c>
      <c r="EK6" s="3" t="str">
        <f>_xlfn.XLOOKUP(B6,'BASE DE EXCEL'!$C:$C,'BASE DE EXCEL'!BE:BE,"NO HAY REFERENCIA")</f>
        <v>NINGUNO</v>
      </c>
      <c r="EL6" s="3" t="str">
        <f>_xlfn.XLOOKUP(B6,'BASE DE EXCEL'!$C:$C,'BASE DE EXCEL'!BF:BF,"NO HAY REFERENCIA")</f>
        <v>PRODUCTO TERMINADO</v>
      </c>
      <c r="EM6" s="3" t="str">
        <f>_xlfn.XLOOKUP(B6,'BASE DE EXCEL'!$C:$C,'BASE DE EXCEL'!BG:BG,"NO HAY REFERENCIA")</f>
        <v>Verde</v>
      </c>
      <c r="EN6" s="3" t="str">
        <f>_xlfn.XLOOKUP(B6,'BASE DE EXCEL'!$C:$C,'BASE DE EXCEL'!BH:BH,"NO HAY REFERENCIA")</f>
        <v xml:space="preserve"> SUPER EXPRESS DE CARGA FEDERAL S.A. DE C.V.</v>
      </c>
      <c r="EO6" s="3">
        <f>_xlfn.XLOOKUP(B6,'BASE DE EXCEL'!$C:$C,'BASE DE EXCEL'!BI:BI,"NO HAY REFERENCIA")</f>
        <v>0</v>
      </c>
      <c r="EP6" s="3" t="str">
        <f>_xlfn.XLOOKUP(B6,'BASE DE EXCEL'!$C:$C,'BASE DE EXCEL'!BJ:BJ,"NO HAY REFERENCIA")</f>
        <v>IME-T006</v>
      </c>
      <c r="EQ6" s="3" t="str">
        <f>_xlfn.XLOOKUP(B6,'BASE DE EXCEL'!$C:$C,'BASE DE EXCEL'!BK:BK,"NO HAY REFERENCIA")</f>
        <v>IME850329RH2</v>
      </c>
      <c r="ER6" s="3">
        <f>_xlfn.XLOOKUP(B6,'BASE DE EXCEL'!$C:$C,'BASE DE EXCEL'!BL:BL,"NO HAY REFERENCIA")</f>
        <v>0</v>
      </c>
      <c r="ES6" s="3" t="str">
        <f>_xlfn.XLOOKUP(B6,'BASE DE EXCEL'!$C:$C,'BASE DE EXCEL'!BM:BM,"NO HAY REFERENCIA")</f>
        <v>00,99</v>
      </c>
      <c r="ET6" s="3" t="str">
        <f>_xlfn.XLOOKUP(B6,'BASE DE EXCEL'!$C:$C,'BASE DE EXCEL'!BN:BN,"NO HAY REFERENCIA")</f>
        <v>LOTE: A217A05,LOTE: A219A02,LOTE: A219A01,LOTE: A217A03,LOTE: H107A01,LOTES: J550A01, J607A01,LOTE: 5677101,LOTE: A217A04</v>
      </c>
      <c r="EU6" s="3">
        <f>_xlfn.XLOOKUP(B6,'BASE DE EXCEL'!$C:$C,'BASE DE EXCEL'!BO:BO,"NO HAY REFERENCIA")</f>
        <v>90</v>
      </c>
      <c r="EV6" s="3" t="str">
        <f>_xlfn.XLOOKUP(B6,'BASE DE EXCEL'!$C:$C,'BASE DE EXCEL'!BP:BP,"NO HAY REFERENCIA")</f>
        <v xml:space="preserve"> 952448.23, 2181141.30, 863532.00</v>
      </c>
      <c r="EW6" s="3" t="str">
        <f>_xlfn.XLOOKUP(B6,'BASE DE EXCEL'!$C:$C,'BASE DE EXCEL'!BQ:BQ,"NO HAY REFERENCIA")</f>
        <v>KILO,KILO,KILO,KILO,KILO,KILO,KILO,KILO</v>
      </c>
      <c r="EX6" s="3">
        <f>_xlfn.XLOOKUP(B6,'BASE DE EXCEL'!$C:$C,'BASE DE EXCEL'!BR:BR,"NO HAY REFERENCIA")</f>
        <v>0</v>
      </c>
      <c r="EY6" s="3" t="str">
        <f>_xlfn.XLOOKUP(B6,'BASE DE EXCEL'!$C:$C,'BASE DE EXCEL'!BS:BS,"NO HAY REFERENCIA")</f>
        <v>ALEMANIA (REPUBLICA FEDERAL DE),PAISES BAJOS (REINO DE LOS) (HOLANDA)</v>
      </c>
      <c r="EZ6" s="3" t="str">
        <f>_xlfn.XLOOKUP(B6,'BASE DE EXCEL'!$C:$C,'BASE DE EXCEL'!BT:BT,"NO HAY REFERENCIA")</f>
        <v>PAISES BAJOS (REINO DE LOS) (HOLANDA)</v>
      </c>
      <c r="FA6" s="3" t="str">
        <f>_xlfn.XLOOKUP(B6,'BASE DE EXCEL'!$C:$C,'BASE DE EXCEL'!BU:BU,"NO HAY REFERENCIA")</f>
        <v>DEU,ZYA</v>
      </c>
      <c r="FB6" s="3" t="str">
        <f>_xlfn.XLOOKUP(B6,'BASE DE EXCEL'!$C:$C,'BASE DE EXCEL'!BV:BV,"NO HAY REFERENCIA")</f>
        <v>ZYA</v>
      </c>
      <c r="FC6" s="3">
        <f>_xlfn.XLOOKUP(B6,QUERY!$C:$C,QUERY!D:D)</f>
        <v>430</v>
      </c>
      <c r="FD6" s="4">
        <f>_xlfn.XLOOKUP(B6,QUERY!$C:$C,QUERY!E:E)</f>
        <v>46029</v>
      </c>
      <c r="FE6" s="3">
        <f>_xlfn.XLOOKUP(B6,QUERY!$C:$C,QUERY!F:F)</f>
        <v>1</v>
      </c>
      <c r="FF6" s="4">
        <f>_xlfn.XLOOKUP(B6,QUERY!$C:$C,QUERY!G:G)</f>
        <v>46025</v>
      </c>
      <c r="FG6" s="4">
        <f>_xlfn.XLOOKUP(B6,QUERY!$C:$C,QUERY!H:H)</f>
        <v>46029</v>
      </c>
      <c r="FH6" s="3">
        <f>_xlfn.XLOOKUP(B6,QUERY!$C:$C,QUERY!I:I)</f>
        <v>2</v>
      </c>
      <c r="FI6" s="3" t="str">
        <f>_xlfn.XLOOKUP(B6,QUERY!$C:$C,QUERY!J:J)</f>
        <v>2 a 3 días</v>
      </c>
      <c r="FJ6" s="4">
        <f>_xlfn.XLOOKUP(B6,QUERY!$C:$C,QUERY!K:K)</f>
        <v>46030</v>
      </c>
      <c r="FK6" s="3">
        <f>_xlfn.XLOOKUP(B6,QUERY!$C:$C,QUERY!L:L)</f>
        <v>3</v>
      </c>
      <c r="FL6" s="3" t="str">
        <f>_xlfn.XLOOKUP(B6,QUERY!$C:$C,QUERY!M:M)</f>
        <v>2 a 3 días</v>
      </c>
      <c r="FM6" s="3">
        <f>_xlfn.XLOOKUP(B6,QUERY!$C:$C,QUERY!N:N)</f>
        <v>1</v>
      </c>
      <c r="FN6" s="3" t="str">
        <f>_xlfn.XLOOKUP(B6,QUERY!$C:$C,QUERY!O:O)</f>
        <v>1 día o menos</v>
      </c>
      <c r="FO6" s="3">
        <f>_xlfn.XLOOKUP(B6,QUERY!$C:$C,QUERY!P:P)</f>
        <v>1</v>
      </c>
      <c r="FP6" s="3">
        <f>_xlfn.XLOOKUP(B6,QUERY!$C:$C,QUERY!Q:Q)</f>
        <v>1</v>
      </c>
      <c r="FQ6" s="3" t="str">
        <f>_xlfn.XLOOKUP(B6,QUERY!$C:$C,QUERY!R:R)</f>
        <v>1 día o menos</v>
      </c>
      <c r="FR6" s="4">
        <f>_xlfn.XLOOKUP(B6,QUERY!$C:$C,QUERY!S:S)</f>
        <v>46031</v>
      </c>
      <c r="FS6" s="3">
        <f>_xlfn.XLOOKUP(B6,QUERY!$C:$C,QUERY!T:T)</f>
        <v>4</v>
      </c>
      <c r="FT6" s="3" t="str">
        <f>_xlfn.XLOOKUP(B6,QUERY!$C:$C,QUERY!U:U)</f>
        <v>4 a 5 días</v>
      </c>
      <c r="FU6" s="3">
        <f>_xlfn.XLOOKUP(B6,QUERY!$C:$C,QUERY!V:V)</f>
        <v>9</v>
      </c>
      <c r="FV6" s="3" t="str">
        <f>_xlfn.XLOOKUP(B6,QUERY!$C:$C,QUERY!W:W)</f>
        <v>6 a 10 días</v>
      </c>
      <c r="FW6" s="4">
        <f>_xlfn.XLOOKUP(B6,QUERY!$C:$C,QUERY!X:X)</f>
        <v>46038</v>
      </c>
      <c r="FX6" s="3">
        <f>_xlfn.XLOOKUP(B6,QUERY!$C:$C,QUERY!Y:Y)</f>
        <v>5</v>
      </c>
      <c r="FY6" s="3">
        <f>_xlfn.XLOOKUP(B6,QUERY!$C:$C,QUERY!Z:Z)</f>
        <v>5</v>
      </c>
      <c r="FZ6" s="4" t="str">
        <f>_xlfn.XLOOKUP(B6,QUERY!$C:$C,QUERY!AA:AA)</f>
        <v>6 a 10 días</v>
      </c>
      <c r="GA6" s="4">
        <f>_xlfn.XLOOKUP(B6,QUERY!$C:$C,QUERY!AB:AB)</f>
        <v>46038</v>
      </c>
      <c r="GB6" s="4">
        <f>_xlfn.XLOOKUP(B6,QUERY!$C:$C,QUERY!AC:AC)</f>
        <v>46038</v>
      </c>
      <c r="GC6" s="3">
        <f>_xlfn.XLOOKUP(B6,QUERY!$C:$C,QUERY!AD:AD)</f>
        <v>0</v>
      </c>
      <c r="GD6" s="4">
        <f>_xlfn.XLOOKUP(B6,QUERY!$C:$C,QUERY!AE:AE)</f>
        <v>46038</v>
      </c>
      <c r="GE6" s="3">
        <f>_xlfn.XLOOKUP(B6,QUERY!$C:$C,QUERY!AF:AF)</f>
        <v>1</v>
      </c>
      <c r="GF6" s="4" t="str">
        <f>_xlfn.XLOOKUP(B6,QUERY!$C:$C,QUERY!AG:AG)</f>
        <v>Es anterior</v>
      </c>
      <c r="GG6" s="3" t="str">
        <f>_xlfn.XLOOKUP(B6,QUERY!$C:$C,QUERY!AH:AH)</f>
        <v>A1</v>
      </c>
      <c r="GH6" s="3" t="str">
        <f>_xlfn.XLOOKUP(B6,QUERY!$C:$C,QUERY!AI:AI)</f>
        <v>ZULEIMA PEREZ RUIZ</v>
      </c>
      <c r="GI6" s="3" t="str">
        <f>_xlfn.XLOOKUP(B6,QUERY!$C:$C,QUERY!AJ:AJ)</f>
        <v>HLCUANR251131095</v>
      </c>
      <c r="GJ6" s="3" t="str">
        <f>_xlfn.XLOOKUP(B6,QUERY!$C:$C,QUERY!AK:AK)</f>
        <v>NULL</v>
      </c>
      <c r="GK6" s="3">
        <f>_xlfn.XLOOKUP(B6,QUERY!$C:$C,QUERY!AL:AL)</f>
        <v>6000072</v>
      </c>
      <c r="GL6" s="3" t="str">
        <f>_xlfn.XLOOKUP(B6,QUERY!$C:$C,QUERY!AM:AM)</f>
        <v>Importación</v>
      </c>
      <c r="GM6" s="3" t="str">
        <f>_xlfn.XLOOKUP(B6,QUERY!$C:$C,QUERY!AN:AN)</f>
        <v>CEFA SAFE (MEDICAMENTO DOSIFICADO DE USO VETERINARIO)</v>
      </c>
      <c r="GN6" s="3" t="str">
        <f>_xlfn.XLOOKUP(B6,QUERY!$C:$C,QUERY!AO:AO)</f>
        <v>SIN CLASIFICACION</v>
      </c>
      <c r="GO6" s="3">
        <f>_xlfn.XLOOKUP(B6,QUERY!$C:$C,QUERY!AP:AP)</f>
        <v>0</v>
      </c>
      <c r="GP6" s="3" t="str">
        <f>_xlfn.XLOOKUP(B6,QUERY!$C:$C,QUERY!AQ:AQ)</f>
        <v>Cargas de Importación</v>
      </c>
      <c r="GQ6" s="3" t="str">
        <f>_xlfn.XLOOKUP(B6,QUERY!$C:$C,QUERY!AR:AR)</f>
        <v>INTERVET MEXICO SA DE CV</v>
      </c>
      <c r="GR6" s="3">
        <f>_xlfn.XLOOKUP(B6,QUERY!$C:$C,QUERY!AS:AS)</f>
        <v>0</v>
      </c>
      <c r="GS6" s="3" t="str">
        <f>_xlfn.XLOOKUP(B6,QUERY!$C:$C,QUERY!AT:AT)</f>
        <v>NINGUNO</v>
      </c>
      <c r="GT6" s="3">
        <f>_xlfn.XLOOKUP(B6,QUERY!$C:$C,QUERY!AU:AU)</f>
        <v>0</v>
      </c>
      <c r="GU6" s="3" t="str">
        <f>_xlfn.XLOOKUP(B6,QUERY!$C:$C,QUERY!AV:AV)</f>
        <v>NINGUNO</v>
      </c>
      <c r="GV6" s="3" t="str">
        <f>_xlfn.XLOOKUP(B6,QUERY!$C:$C,QUERY!AW:AW)</f>
        <v>PRODUCTO TERMINADO</v>
      </c>
      <c r="GW6" s="3" t="str">
        <f>_xlfn.XLOOKUP(B6,QUERY!$C:$C,QUERY!AX:AX)</f>
        <v>Verde</v>
      </c>
      <c r="GX6" s="3" t="str">
        <f>_xlfn.XLOOKUP(B6,QUERY!$C:$C,QUERY!AY:AY)</f>
        <v xml:space="preserve"> SUPER EXPRESS DE CARGA FEDERAL S.A. DE C.V.</v>
      </c>
      <c r="GY6" s="3">
        <f>_xlfn.XLOOKUP(B6,QUERY!$C:$C,QUERY!AZ:AZ)</f>
        <v>0</v>
      </c>
      <c r="GZ6" s="3" t="str">
        <f>_xlfn.XLOOKUP(B6,QUERY!$C:$C,QUERY!BA:BA)</f>
        <v>IME-T006</v>
      </c>
      <c r="HA6" s="3" t="str">
        <f>_xlfn.XLOOKUP(B6,QUERY!$C:$C,QUERY!BB:BB)</f>
        <v>IME850329RH2</v>
      </c>
      <c r="HB6" s="3">
        <f>_xlfn.XLOOKUP(B6,QUERY!$C:$C,QUERY!BC:BC)</f>
        <v>0</v>
      </c>
      <c r="HC6" s="3">
        <f>_xlfn.XLOOKUP(B6,QUERY!$C:$C,QUERY!BD:BD)</f>
        <v>0.99</v>
      </c>
      <c r="HD6" s="3" t="str">
        <f>_xlfn.XLOOKUP(B6,QUERY!$C:$C,QUERY!BE:BE)</f>
        <v>LOTE: A217A05,LOTE: A219A02,LOTE: A219A01,LOTE: A217A04,LOTE: A217A03,LOTE: H107A01,LOTES: J550A01, J607A01,LOTE: 5677101</v>
      </c>
      <c r="HE6" s="3">
        <f>_xlfn.XLOOKUP(B6,QUERY!$C:$C,QUERY!BF:BF)</f>
        <v>90</v>
      </c>
      <c r="HF6" s="3" t="str">
        <f>_xlfn.XLOOKUP(B6,QUERY!$C:$C,QUERY!BG:BG)</f>
        <v xml:space="preserve"> 952448.23, 2181141.30, 863532.00</v>
      </c>
      <c r="HG6" s="3" t="str">
        <f>_xlfn.XLOOKUP(B6,QUERY!$C:$C,QUERY!BH:BH)</f>
        <v>KILO,KILO,KILO,KILO,KILO,KILO,KILO,KILO</v>
      </c>
      <c r="HH6" s="3">
        <f>_xlfn.XLOOKUP(B6,QUERY!$C:$C,QUERY!BI:BI)</f>
        <v>0</v>
      </c>
      <c r="HI6" s="3" t="str">
        <f>_xlfn.XLOOKUP(B6,QUERY!$C:$C,QUERY!BJ:BJ)</f>
        <v>ALEMANIA (REPUBLICA FEDERAL DE),PAISES BAJOS (REINO DE LOS) (HOLANDA)</v>
      </c>
      <c r="HJ6" s="3" t="str">
        <f>_xlfn.XLOOKUP(B6,QUERY!$C:$C,QUERY!BK:BK)</f>
        <v>PAISES BAJOS (REINO DE LOS) (HOLANDA)</v>
      </c>
      <c r="HK6" s="3" t="str">
        <f>_xlfn.XLOOKUP(B6,QUERY!$C:$C,QUERY!BL:BL)</f>
        <v>DEU,ZYA</v>
      </c>
      <c r="HL6" s="3" t="str">
        <f>_xlfn.XLOOKUP(B6,QUERY!$C:$C,QUERY!BM:BM)</f>
        <v>ZYA</v>
      </c>
      <c r="HM6" s="3">
        <f>_xlfn.XLOOKUP(B6,QUERY!$C:$C,QUERY!BN:BN)</f>
        <v>3997122</v>
      </c>
      <c r="HN6" s="3" t="str">
        <f>_xlfn.XLOOKUP(B6,QUERY!$C:$C,QUERY!BO:BO)</f>
        <v>462.00</v>
      </c>
      <c r="HO6" s="3" t="str">
        <f>_xlfn.XLOOKUP(B6,QUERY!$C:$C,QUERY!BP:BP)</f>
        <v>NULL</v>
      </c>
      <c r="HP6" s="3" t="str">
        <f>_xlfn.XLOOKUP(B6,QUERY!$C:$C,QUERY!BQ:BQ)</f>
        <v>NULL</v>
      </c>
      <c r="HQ6" s="3" t="str">
        <f>_xlfn.XLOOKUP(B6,QUERY!$C:$C,QUERY!BR:BR)</f>
        <v>139939.61</v>
      </c>
      <c r="HR6" s="3">
        <f>_xlfn.XLOOKUP(B6,QUERY!$C:$C,QUERY!BS:BS)</f>
        <v>0</v>
      </c>
      <c r="HS6" s="3">
        <f>_xlfn.XLOOKUP(B6,QUERY!$C:$C,QUERY!BT:BT)</f>
        <v>0</v>
      </c>
      <c r="HT6" s="3" t="str">
        <f>_xlfn.XLOOKUP(B6,QUERY!$C:$C,QUERY!A:A)</f>
        <v>VERACRUZ</v>
      </c>
      <c r="HU6" s="3" t="str">
        <f>_xlfn.XLOOKUP(B6,QUERY!$C:$C,QUERY!B:B)</f>
        <v>MARÍTIMO VERACRUZ</v>
      </c>
    </row>
    <row r="7" spans="1:229" x14ac:dyDescent="0.25">
      <c r="A7" s="3" t="s">
        <v>90</v>
      </c>
      <c r="B7" s="7" t="s">
        <v>113</v>
      </c>
      <c r="C7" s="3">
        <v>3942</v>
      </c>
      <c r="D7" s="3">
        <v>6000072</v>
      </c>
      <c r="E7" s="3"/>
      <c r="F7" s="3" t="s">
        <v>92</v>
      </c>
      <c r="G7" s="3" t="s">
        <v>93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430</v>
      </c>
      <c r="S7" s="3" t="s">
        <v>114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115</v>
      </c>
      <c r="AB7" s="3"/>
      <c r="AC7" s="3">
        <v>370535</v>
      </c>
      <c r="AD7" s="3">
        <v>2486.8120800000002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/>
      <c r="AP7" s="3" t="s">
        <v>98</v>
      </c>
      <c r="AQ7" s="3">
        <v>210358508</v>
      </c>
      <c r="AR7" s="3" t="s">
        <v>99</v>
      </c>
      <c r="AS7" s="3" t="s">
        <v>100</v>
      </c>
      <c r="AT7" s="3">
        <v>0</v>
      </c>
      <c r="AU7" s="3">
        <v>0</v>
      </c>
      <c r="AV7" s="3">
        <v>0</v>
      </c>
      <c r="AW7" s="3">
        <v>30042099</v>
      </c>
      <c r="AX7" s="3">
        <v>0</v>
      </c>
      <c r="AY7" s="3">
        <v>149</v>
      </c>
      <c r="AZ7" s="3">
        <v>149</v>
      </c>
      <c r="BA7" s="3" t="s">
        <v>121</v>
      </c>
      <c r="BB7" s="3"/>
      <c r="BC7" s="3" t="s">
        <v>105</v>
      </c>
      <c r="BD7" s="3" t="s">
        <v>105</v>
      </c>
      <c r="BE7" s="3"/>
      <c r="BF7" s="3"/>
      <c r="BG7" s="5"/>
      <c r="BH7" s="3"/>
      <c r="BI7" s="3"/>
      <c r="BJ7" s="3"/>
      <c r="BK7" s="3" t="s">
        <v>120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 t="s">
        <v>111</v>
      </c>
      <c r="CF7" s="3">
        <v>0</v>
      </c>
      <c r="CG7" s="3">
        <v>0</v>
      </c>
      <c r="CH7" s="3">
        <v>0</v>
      </c>
      <c r="CI7" s="3" t="s">
        <v>112</v>
      </c>
      <c r="CJ7" s="3" t="s">
        <v>112</v>
      </c>
      <c r="CK7" s="3">
        <f>_xlfn.XLOOKUP($B$2,'BASE DE EXCEL'!C:C,'BASE DE EXCEL'!D:D,"NO HAY REFERENCIA")</f>
        <v>470</v>
      </c>
      <c r="CL7" s="5">
        <f>_xlfn.XLOOKUP($B$2,'BASE DE EXCEL'!$C:$C,'BASE DE EXCEL'!F:F,"NO HAY REFERENCIA")</f>
        <v>3</v>
      </c>
      <c r="CM7" s="4">
        <f>_xlfn.XLOOKUP($B$2,'BASE DE EXCEL'!$C:$C,'BASE DE EXCEL'!G:G,"NO HAY REFERENCIA")</f>
        <v>46080</v>
      </c>
      <c r="CN7" s="4">
        <f>_xlfn.XLOOKUP($B$2,'BASE DE EXCEL'!$C:$C,'BASE DE EXCEL'!H:H,"NO HAY REFERENCIA")</f>
        <v>46086</v>
      </c>
      <c r="CO7" s="3">
        <f>_xlfn.XLOOKUP($B$2,'BASE DE EXCEL'!$C:$C,'BASE DE EXCEL'!I:I,"NO HAY REFERENCIA")</f>
        <v>4</v>
      </c>
      <c r="CP7" s="3" t="str">
        <f>_xlfn.XLOOKUP($B$2,'BASE DE EXCEL'!$C:$C,'BASE DE EXCEL'!J:J,"NO HAY REFERENCIA")</f>
        <v>4 a 5 días</v>
      </c>
      <c r="CQ7" s="4">
        <f>_xlfn.XLOOKUP($B$2,'BASE DE EXCEL'!$C:$C,'BASE DE EXCEL'!K:K,"NO HAY REFERENCIA")</f>
        <v>46087</v>
      </c>
      <c r="CR7" s="3">
        <f>_xlfn.XLOOKUP($B$2,'BASE DE EXCEL'!$C:$C,'BASE DE EXCEL'!L:L,"NO HAY REFERENCIA")</f>
        <v>5</v>
      </c>
      <c r="CS7" s="3">
        <f>_xlfn.XLOOKUP($B$2,'BASE DE EXCEL'!$C:$C,'BASE DE EXCEL'!M:M,"NO HAY REFERENCIA")</f>
        <v>6</v>
      </c>
      <c r="CT7" s="3" t="str">
        <f>_xlfn.XLOOKUP($B$2,'BASE DE EXCEL'!$C:$C,'BASE DE EXCEL'!N:N,"NO HAY REFERENCIA")</f>
        <v>6 a 10 días</v>
      </c>
      <c r="CU7" s="3" t="str">
        <f>_xlfn.XLOOKUP($B$2,'BASE DE EXCEL'!$C:$C,'BASE DE EXCEL'!O:O,"NO HAY REFERENCIA")</f>
        <v>On Time</v>
      </c>
      <c r="CV7" s="3" t="str">
        <f>_xlfn.XLOOKUP(B7,'BASE DE EXCEL'!$C:$C,'BASE DE EXCEL'!P:P,"NO HAY REFERENCIA")</f>
        <v>4 a 5 días</v>
      </c>
      <c r="CW7" s="4">
        <f>_xlfn.XLOOKUP(B7,'BASE DE EXCEL'!$C:$C,'BASE DE EXCEL'!Q:Q,"NO HAY REFERENCIA")</f>
        <v>46031</v>
      </c>
      <c r="CX7" s="3">
        <f>_xlfn.XLOOKUP(B7,'BASE DE EXCEL'!$C:$C,'BASE DE EXCEL'!R:R,"NO HAY REFERENCIA")</f>
        <v>5</v>
      </c>
      <c r="CY7" s="3" t="str">
        <f>_xlfn.XLOOKUP(B7,'BASE DE EXCEL'!$C:$C,'BASE DE EXCEL'!S:S,"NO HAY REFERENCIA")</f>
        <v>4 a 5 días</v>
      </c>
      <c r="CZ7" s="3" t="str">
        <f>_xlfn.XLOOKUP(B7,'BASE DE EXCEL'!$C:$C,'BASE DE EXCEL'!T:T,"NO HAY REFERENCIA")</f>
        <v>On Time</v>
      </c>
      <c r="DA7" s="3">
        <f>_xlfn.XLOOKUP(B7,'BASE DE EXCEL'!$C:$C,'BASE DE EXCEL'!U:U,"NO HAY REFERENCIA")</f>
        <v>6</v>
      </c>
      <c r="DB7" s="3" t="str">
        <f>_xlfn.XLOOKUP(B7,'BASE DE EXCEL'!$C:$C,'BASE DE EXCEL'!V:V,"NO HAY REFERENCIA")</f>
        <v>4 a 5 días</v>
      </c>
      <c r="DC7" s="3">
        <f>_xlfn.XLOOKUP(B7,'BASE DE EXCEL'!$C:$C,'BASE DE EXCEL'!W:W,"NO HAY REFERENCIA")</f>
        <v>9</v>
      </c>
      <c r="DD7" s="3" t="str">
        <f>_xlfn.XLOOKUP(B7,'BASE DE EXCEL'!$C:$C,'BASE DE EXCEL'!X:X,"NO HAY REFERENCIA")</f>
        <v>6 a 10 días</v>
      </c>
      <c r="DE7" s="3">
        <f>_xlfn.XLOOKUP(B7,'BASE DE EXCEL'!$C:$C,'BASE DE EXCEL'!Y:Y,"NO HAY REFERENCIA")</f>
        <v>1</v>
      </c>
      <c r="DF7" s="3" t="str">
        <f>_xlfn.XLOOKUP(B7,'BASE DE EXCEL'!$C:$C,'BASE DE EXCEL'!Z:Z,"NO HAY REFERENCIA")</f>
        <v>1 día o menos</v>
      </c>
      <c r="DG7" s="3">
        <f>_xlfn.XLOOKUP(B7,'BASE DE EXCEL'!$C:$C,'BASE DE EXCEL'!AA:AA,"NO HAY REFERENCIA")</f>
        <v>4</v>
      </c>
      <c r="DH7" s="3">
        <f>_xlfn.XLOOKUP(B7,'BASE DE EXCEL'!$C:$C,'BASE DE EXCEL'!AB:AB,"NO HAY REFERENCIA")</f>
        <v>1</v>
      </c>
      <c r="DI7" s="3" t="str">
        <f>_xlfn.XLOOKUP(B7,'BASE DE EXCEL'!$C:$C,'BASE DE EXCEL'!AC:AC,"NO HAY REFERENCIA")</f>
        <v>1 día o menos</v>
      </c>
      <c r="DJ7" s="4">
        <f>_xlfn.XLOOKUP(B7,'BASE DE EXCEL'!$C:$C,'BASE DE EXCEL'!AD:AD,"NO HAY REFERENCIA")</f>
        <v>46038</v>
      </c>
      <c r="DK7" s="3">
        <f>_xlfn.XLOOKUP(B7,'BASE DE EXCEL'!$C:$C,'BASE DE EXCEL'!AE:AE,"NO HAY REFERENCIA")</f>
        <v>7</v>
      </c>
      <c r="DL7" s="3">
        <f>_xlfn.XLOOKUP(B7,'BASE DE EXCEL'!$C:$C,'BASE DE EXCEL'!AF:AF,"NO HAY REFERENCIA")</f>
        <v>5</v>
      </c>
      <c r="DM7" s="4">
        <f>_xlfn.XLOOKUP(B7,'BASE DE EXCEL'!$C:$C,'BASE DE EXCEL'!AG:AG,"NO HAY REFERENCIA")</f>
        <v>46038</v>
      </c>
      <c r="DN7" s="4">
        <f>_xlfn.XLOOKUP(B7,'BASE DE EXCEL'!$C:$C,'BASE DE EXCEL'!AH:AH,"NO HAY REFERENCIA")</f>
        <v>46038</v>
      </c>
      <c r="DO7" s="3">
        <f>_xlfn.XLOOKUP(B7,'BASE DE EXCEL'!$C:$C,'BASE DE EXCEL'!AI:AI,"NO HAY REFERENCIA")</f>
        <v>0</v>
      </c>
      <c r="DP7" s="4" t="str">
        <f>_xlfn.XLOOKUP(B7,'BASE DE EXCEL'!$C:$C,'BASE DE EXCEL'!AJ:AJ,"NO HAY REFERENCIA")</f>
        <v>6 a 10 días</v>
      </c>
      <c r="DQ7" s="4">
        <f>_xlfn.XLOOKUP(B7,'BASE DE EXCEL'!$C:$C,'BASE DE EXCEL'!AK:AK,"NO HAY REFERENCIA")</f>
        <v>46038</v>
      </c>
      <c r="DR7" s="3">
        <f>_xlfn.XLOOKUP(B7,'BASE DE EXCEL'!$C:$C,'BASE DE EXCEL'!AL:AL,"NO HAY REFERENCIA")</f>
        <v>6</v>
      </c>
      <c r="DS7" s="3" t="str">
        <f>_xlfn.XLOOKUP(B7,'BASE DE EXCEL'!$C:$C,'BASE DE EXCEL'!AM:AM,"NO HAY REFERENCIA")</f>
        <v>6 a 10 días</v>
      </c>
      <c r="DT7" s="3" t="str">
        <f>_xlfn.XLOOKUP(B7,'BASE DE EXCEL'!$C:$C,'BASE DE EXCEL'!AN:AN,"NO HAY REFERENCIA")</f>
        <v>On Time</v>
      </c>
      <c r="DU7" s="3">
        <f>_xlfn.XLOOKUP(B7,'BASE DE EXCEL'!$C:$C,'BASE DE EXCEL'!AO:AO,"NO HAY REFERENCIA")</f>
        <v>1</v>
      </c>
      <c r="DV7" s="3" t="str">
        <f>_xlfn.XLOOKUP(B7,'BASE DE EXCEL'!$C:$C,'BASE DE EXCEL'!AP:AP,"NO HAY REFERENCIA")</f>
        <v>Es anterior</v>
      </c>
      <c r="DW7" s="3" t="str">
        <f>_xlfn.XLOOKUP(B7,'BASE DE EXCEL'!$C:$C,'BASE DE EXCEL'!AQ:AQ,"NO HAY REFERENCIA")</f>
        <v>A1</v>
      </c>
      <c r="DX7" s="3" t="str">
        <f>_xlfn.XLOOKUP(B7,'BASE DE EXCEL'!$C:$C,'BASE DE EXCEL'!AR:AR,"NO HAY REFERENCIA")</f>
        <v>ZULEIMA PEREZ RUIZ</v>
      </c>
      <c r="DY7" s="3" t="str">
        <f>_xlfn.XLOOKUP(B7,'BASE DE EXCEL'!$C:$C,'BASE DE EXCEL'!AS:AS,"NO HAY REFERENCIA")</f>
        <v>HLCUANR251131095</v>
      </c>
      <c r="DZ7" s="3" t="str">
        <f>_xlfn.XLOOKUP(B7,'BASE DE EXCEL'!$C:$C,'BASE DE EXCEL'!AT:AT,"NO HAY REFERENCIA")</f>
        <v>NULL</v>
      </c>
      <c r="EA7" s="3">
        <f>_xlfn.XLOOKUP(B7,'BASE DE EXCEL'!$C:$C,'BASE DE EXCEL'!AU:AU,"NO HAY REFERENCIA")</f>
        <v>6000072</v>
      </c>
      <c r="EB7" s="3" t="str">
        <f>_xlfn.XLOOKUP(B7,'BASE DE EXCEL'!$C:$C,'BASE DE EXCEL'!AV:AV,"NO HAY REFERENCIA")</f>
        <v>Importación</v>
      </c>
      <c r="EC7" s="3" t="str">
        <f>_xlfn.XLOOKUP(B7,'BASE DE EXCEL'!$C:$C,'BASE DE EXCEL'!AW:AW,"NO HAY REFERENCIA")</f>
        <v>CEFA SAFE (MEDICAMENTO DOSIFICADO DE USO VETERINARIO)</v>
      </c>
      <c r="ED7" s="3" t="str">
        <f>_xlfn.XLOOKUP(B7,'BASE DE EXCEL'!$C:$C,'BASE DE EXCEL'!AX:AX,"NO HAY REFERENCIA")</f>
        <v>SIN CLASIFICACION</v>
      </c>
      <c r="EE7" s="3">
        <f>_xlfn.XLOOKUP(B7,'BASE DE EXCEL'!$C:$C,'BASE DE EXCEL'!AY:AY,"NO HAY REFERENCIA")</f>
        <v>0</v>
      </c>
      <c r="EF7" s="3" t="str">
        <f>_xlfn.XLOOKUP(B7,'BASE DE EXCEL'!$C:$C,'BASE DE EXCEL'!AZ:AZ,"NO HAY REFERENCIA")</f>
        <v>Cargas de Importación</v>
      </c>
      <c r="EG7" s="3" t="str">
        <f>_xlfn.XLOOKUP(B7,'BASE DE EXCEL'!$C:$C,'BASE DE EXCEL'!BA:BA,"NO HAY REFERENCIA")</f>
        <v>INTERVET MEXICO SA DE CV</v>
      </c>
      <c r="EH7" s="3">
        <f>_xlfn.XLOOKUP(B7,'BASE DE EXCEL'!$C:$C,'BASE DE EXCEL'!BB:BB,"NO HAY REFERENCIA")</f>
        <v>0</v>
      </c>
      <c r="EI7" s="3" t="str">
        <f>_xlfn.XLOOKUP(B7,'BASE DE EXCEL'!$C:$C,'BASE DE EXCEL'!BC:BC,"NO HAY REFERENCIA")</f>
        <v>NINGUNO</v>
      </c>
      <c r="EJ7" s="3">
        <f>_xlfn.XLOOKUP(B7,'BASE DE EXCEL'!$C:$C,'BASE DE EXCEL'!BD:BD,"NO HAY REFERENCIA")</f>
        <v>0</v>
      </c>
      <c r="EK7" s="3" t="str">
        <f>_xlfn.XLOOKUP(B7,'BASE DE EXCEL'!$C:$C,'BASE DE EXCEL'!BE:BE,"NO HAY REFERENCIA")</f>
        <v>NINGUNO</v>
      </c>
      <c r="EL7" s="3" t="str">
        <f>_xlfn.XLOOKUP(B7,'BASE DE EXCEL'!$C:$C,'BASE DE EXCEL'!BF:BF,"NO HAY REFERENCIA")</f>
        <v>PRODUCTO TERMINADO</v>
      </c>
      <c r="EM7" s="3" t="str">
        <f>_xlfn.XLOOKUP(B7,'BASE DE EXCEL'!$C:$C,'BASE DE EXCEL'!BG:BG,"NO HAY REFERENCIA")</f>
        <v>Verde</v>
      </c>
      <c r="EN7" s="3" t="str">
        <f>_xlfn.XLOOKUP(B7,'BASE DE EXCEL'!$C:$C,'BASE DE EXCEL'!BH:BH,"NO HAY REFERENCIA")</f>
        <v xml:space="preserve"> SUPER EXPRESS DE CARGA FEDERAL S.A. DE C.V.</v>
      </c>
      <c r="EO7" s="3">
        <f>_xlfn.XLOOKUP(B7,'BASE DE EXCEL'!$C:$C,'BASE DE EXCEL'!BI:BI,"NO HAY REFERENCIA")</f>
        <v>0</v>
      </c>
      <c r="EP7" s="3" t="str">
        <f>_xlfn.XLOOKUP(B7,'BASE DE EXCEL'!$C:$C,'BASE DE EXCEL'!BJ:BJ,"NO HAY REFERENCIA")</f>
        <v>IME-T006</v>
      </c>
      <c r="EQ7" s="3" t="str">
        <f>_xlfn.XLOOKUP(B7,'BASE DE EXCEL'!$C:$C,'BASE DE EXCEL'!BK:BK,"NO HAY REFERENCIA")</f>
        <v>IME850329RH2</v>
      </c>
      <c r="ER7" s="3">
        <f>_xlfn.XLOOKUP(B7,'BASE DE EXCEL'!$C:$C,'BASE DE EXCEL'!BL:BL,"NO HAY REFERENCIA")</f>
        <v>0</v>
      </c>
      <c r="ES7" s="3" t="str">
        <f>_xlfn.XLOOKUP(B7,'BASE DE EXCEL'!$C:$C,'BASE DE EXCEL'!BM:BM,"NO HAY REFERENCIA")</f>
        <v>00,99</v>
      </c>
      <c r="ET7" s="3" t="str">
        <f>_xlfn.XLOOKUP(B7,'BASE DE EXCEL'!$C:$C,'BASE DE EXCEL'!BN:BN,"NO HAY REFERENCIA")</f>
        <v>LOTE: A217A05,LOTE: A219A02,LOTE: A219A01,LOTE: A217A03,LOTE: H107A01,LOTES: J550A01, J607A01,LOTE: 5677101,LOTE: A217A04</v>
      </c>
      <c r="EU7" s="3">
        <f>_xlfn.XLOOKUP(B7,'BASE DE EXCEL'!$C:$C,'BASE DE EXCEL'!BO:BO,"NO HAY REFERENCIA")</f>
        <v>90</v>
      </c>
      <c r="EV7" s="3" t="str">
        <f>_xlfn.XLOOKUP(B7,'BASE DE EXCEL'!$C:$C,'BASE DE EXCEL'!BP:BP,"NO HAY REFERENCIA")</f>
        <v xml:space="preserve"> 952448.23, 2181141.30, 863532.00</v>
      </c>
      <c r="EW7" s="3" t="str">
        <f>_xlfn.XLOOKUP(B7,'BASE DE EXCEL'!$C:$C,'BASE DE EXCEL'!BQ:BQ,"NO HAY REFERENCIA")</f>
        <v>KILO,KILO,KILO,KILO,KILO,KILO,KILO,KILO</v>
      </c>
      <c r="EX7" s="3">
        <f>_xlfn.XLOOKUP(B7,'BASE DE EXCEL'!$C:$C,'BASE DE EXCEL'!BR:BR,"NO HAY REFERENCIA")</f>
        <v>0</v>
      </c>
      <c r="EY7" s="3" t="str">
        <f>_xlfn.XLOOKUP(B7,'BASE DE EXCEL'!$C:$C,'BASE DE EXCEL'!BS:BS,"NO HAY REFERENCIA")</f>
        <v>ALEMANIA (REPUBLICA FEDERAL DE),PAISES BAJOS (REINO DE LOS) (HOLANDA)</v>
      </c>
      <c r="EZ7" s="3" t="str">
        <f>_xlfn.XLOOKUP(B7,'BASE DE EXCEL'!$C:$C,'BASE DE EXCEL'!BT:BT,"NO HAY REFERENCIA")</f>
        <v>PAISES BAJOS (REINO DE LOS) (HOLANDA)</v>
      </c>
      <c r="FA7" s="3" t="str">
        <f>_xlfn.XLOOKUP(B7,'BASE DE EXCEL'!$C:$C,'BASE DE EXCEL'!BU:BU,"NO HAY REFERENCIA")</f>
        <v>DEU,ZYA</v>
      </c>
      <c r="FB7" s="3" t="str">
        <f>_xlfn.XLOOKUP(B7,'BASE DE EXCEL'!$C:$C,'BASE DE EXCEL'!BV:BV,"NO HAY REFERENCIA")</f>
        <v>ZYA</v>
      </c>
      <c r="FC7" s="3">
        <f>_xlfn.XLOOKUP(B7,QUERY!$C:$C,QUERY!D:D)</f>
        <v>430</v>
      </c>
      <c r="FD7" s="4">
        <f>_xlfn.XLOOKUP(B7,QUERY!$C:$C,QUERY!E:E)</f>
        <v>46029</v>
      </c>
      <c r="FE7" s="3">
        <f>_xlfn.XLOOKUP(B7,QUERY!$C:$C,QUERY!F:F)</f>
        <v>1</v>
      </c>
      <c r="FF7" s="4">
        <f>_xlfn.XLOOKUP(B7,QUERY!$C:$C,QUERY!G:G)</f>
        <v>46025</v>
      </c>
      <c r="FG7" s="4">
        <f>_xlfn.XLOOKUP(B7,QUERY!$C:$C,QUERY!H:H)</f>
        <v>46029</v>
      </c>
      <c r="FH7" s="3">
        <f>_xlfn.XLOOKUP(B7,QUERY!$C:$C,QUERY!I:I)</f>
        <v>2</v>
      </c>
      <c r="FI7" s="3" t="str">
        <f>_xlfn.XLOOKUP(B7,QUERY!$C:$C,QUERY!J:J)</f>
        <v>2 a 3 días</v>
      </c>
      <c r="FJ7" s="4">
        <f>_xlfn.XLOOKUP(B7,QUERY!$C:$C,QUERY!K:K)</f>
        <v>46030</v>
      </c>
      <c r="FK7" s="3">
        <f>_xlfn.XLOOKUP(B7,QUERY!$C:$C,QUERY!L:L)</f>
        <v>3</v>
      </c>
      <c r="FL7" s="3" t="str">
        <f>_xlfn.XLOOKUP(B7,QUERY!$C:$C,QUERY!M:M)</f>
        <v>2 a 3 días</v>
      </c>
      <c r="FM7" s="3">
        <f>_xlfn.XLOOKUP(B7,QUERY!$C:$C,QUERY!N:N)</f>
        <v>1</v>
      </c>
      <c r="FN7" s="3" t="str">
        <f>_xlfn.XLOOKUP(B7,QUERY!$C:$C,QUERY!O:O)</f>
        <v>1 día o menos</v>
      </c>
      <c r="FO7" s="3">
        <f>_xlfn.XLOOKUP(B7,QUERY!$C:$C,QUERY!P:P)</f>
        <v>1</v>
      </c>
      <c r="FP7" s="3">
        <f>_xlfn.XLOOKUP(B7,QUERY!$C:$C,QUERY!Q:Q)</f>
        <v>1</v>
      </c>
      <c r="FQ7" s="3" t="str">
        <f>_xlfn.XLOOKUP(B7,QUERY!$C:$C,QUERY!R:R)</f>
        <v>1 día o menos</v>
      </c>
      <c r="FR7" s="4">
        <f>_xlfn.XLOOKUP(B7,QUERY!$C:$C,QUERY!S:S)</f>
        <v>46031</v>
      </c>
      <c r="FS7" s="3">
        <f>_xlfn.XLOOKUP(B7,QUERY!$C:$C,QUERY!T:T)</f>
        <v>4</v>
      </c>
      <c r="FT7" s="3" t="str">
        <f>_xlfn.XLOOKUP(B7,QUERY!$C:$C,QUERY!U:U)</f>
        <v>4 a 5 días</v>
      </c>
      <c r="FU7" s="3">
        <f>_xlfn.XLOOKUP(B7,QUERY!$C:$C,QUERY!V:V)</f>
        <v>9</v>
      </c>
      <c r="FV7" s="3" t="str">
        <f>_xlfn.XLOOKUP(B7,QUERY!$C:$C,QUERY!W:W)</f>
        <v>6 a 10 días</v>
      </c>
      <c r="FW7" s="4">
        <f>_xlfn.XLOOKUP(B7,QUERY!$C:$C,QUERY!X:X)</f>
        <v>46038</v>
      </c>
      <c r="FX7" s="3">
        <f>_xlfn.XLOOKUP(B7,QUERY!$C:$C,QUERY!Y:Y)</f>
        <v>5</v>
      </c>
      <c r="FY7" s="3">
        <f>_xlfn.XLOOKUP(B7,QUERY!$C:$C,QUERY!Z:Z)</f>
        <v>5</v>
      </c>
      <c r="FZ7" s="4" t="str">
        <f>_xlfn.XLOOKUP(B7,QUERY!$C:$C,QUERY!AA:AA)</f>
        <v>6 a 10 días</v>
      </c>
      <c r="GA7" s="4">
        <f>_xlfn.XLOOKUP(B7,QUERY!$C:$C,QUERY!AB:AB)</f>
        <v>46038</v>
      </c>
      <c r="GB7" s="4">
        <f>_xlfn.XLOOKUP(B7,QUERY!$C:$C,QUERY!AC:AC)</f>
        <v>46038</v>
      </c>
      <c r="GC7" s="3">
        <f>_xlfn.XLOOKUP(B7,QUERY!$C:$C,QUERY!AD:AD)</f>
        <v>0</v>
      </c>
      <c r="GD7" s="4">
        <f>_xlfn.XLOOKUP(B7,QUERY!$C:$C,QUERY!AE:AE)</f>
        <v>46038</v>
      </c>
      <c r="GE7" s="3">
        <f>_xlfn.XLOOKUP(B7,QUERY!$C:$C,QUERY!AF:AF)</f>
        <v>1</v>
      </c>
      <c r="GF7" s="4" t="str">
        <f>_xlfn.XLOOKUP(B7,QUERY!$C:$C,QUERY!AG:AG)</f>
        <v>Es anterior</v>
      </c>
      <c r="GG7" s="3" t="str">
        <f>_xlfn.XLOOKUP(B7,QUERY!$C:$C,QUERY!AH:AH)</f>
        <v>A1</v>
      </c>
      <c r="GH7" s="3" t="str">
        <f>_xlfn.XLOOKUP(B7,QUERY!$C:$C,QUERY!AI:AI)</f>
        <v>ZULEIMA PEREZ RUIZ</v>
      </c>
      <c r="GI7" s="3" t="str">
        <f>_xlfn.XLOOKUP(B7,QUERY!$C:$C,QUERY!AJ:AJ)</f>
        <v>HLCUANR251131095</v>
      </c>
      <c r="GJ7" s="3" t="str">
        <f>_xlfn.XLOOKUP(B7,QUERY!$C:$C,QUERY!AK:AK)</f>
        <v>NULL</v>
      </c>
      <c r="GK7" s="3">
        <f>_xlfn.XLOOKUP(B7,QUERY!$C:$C,QUERY!AL:AL)</f>
        <v>6000072</v>
      </c>
      <c r="GL7" s="3" t="str">
        <f>_xlfn.XLOOKUP(B7,QUERY!$C:$C,QUERY!AM:AM)</f>
        <v>Importación</v>
      </c>
      <c r="GM7" s="3" t="str">
        <f>_xlfn.XLOOKUP(B7,QUERY!$C:$C,QUERY!AN:AN)</f>
        <v>CEFA SAFE (MEDICAMENTO DOSIFICADO DE USO VETERINARIO)</v>
      </c>
      <c r="GN7" s="3" t="str">
        <f>_xlfn.XLOOKUP(B7,QUERY!$C:$C,QUERY!AO:AO)</f>
        <v>SIN CLASIFICACION</v>
      </c>
      <c r="GO7" s="3">
        <f>_xlfn.XLOOKUP(B7,QUERY!$C:$C,QUERY!AP:AP)</f>
        <v>0</v>
      </c>
      <c r="GP7" s="3" t="str">
        <f>_xlfn.XLOOKUP(B7,QUERY!$C:$C,QUERY!AQ:AQ)</f>
        <v>Cargas de Importación</v>
      </c>
      <c r="GQ7" s="3" t="str">
        <f>_xlfn.XLOOKUP(B7,QUERY!$C:$C,QUERY!AR:AR)</f>
        <v>INTERVET MEXICO SA DE CV</v>
      </c>
      <c r="GR7" s="3">
        <f>_xlfn.XLOOKUP(B7,QUERY!$C:$C,QUERY!AS:AS)</f>
        <v>0</v>
      </c>
      <c r="GS7" s="3" t="str">
        <f>_xlfn.XLOOKUP(B7,QUERY!$C:$C,QUERY!AT:AT)</f>
        <v>NINGUNO</v>
      </c>
      <c r="GT7" s="3">
        <f>_xlfn.XLOOKUP(B7,QUERY!$C:$C,QUERY!AU:AU)</f>
        <v>0</v>
      </c>
      <c r="GU7" s="3" t="str">
        <f>_xlfn.XLOOKUP(B7,QUERY!$C:$C,QUERY!AV:AV)</f>
        <v>NINGUNO</v>
      </c>
      <c r="GV7" s="3" t="str">
        <f>_xlfn.XLOOKUP(B7,QUERY!$C:$C,QUERY!AW:AW)</f>
        <v>PRODUCTO TERMINADO</v>
      </c>
      <c r="GW7" s="3" t="str">
        <f>_xlfn.XLOOKUP(B7,QUERY!$C:$C,QUERY!AX:AX)</f>
        <v>Verde</v>
      </c>
      <c r="GX7" s="3" t="str">
        <f>_xlfn.XLOOKUP(B7,QUERY!$C:$C,QUERY!AY:AY)</f>
        <v xml:space="preserve"> SUPER EXPRESS DE CARGA FEDERAL S.A. DE C.V.</v>
      </c>
      <c r="GY7" s="3">
        <f>_xlfn.XLOOKUP(B7,QUERY!$C:$C,QUERY!AZ:AZ)</f>
        <v>0</v>
      </c>
      <c r="GZ7" s="3" t="str">
        <f>_xlfn.XLOOKUP(B7,QUERY!$C:$C,QUERY!BA:BA)</f>
        <v>IME-T006</v>
      </c>
      <c r="HA7" s="3" t="str">
        <f>_xlfn.XLOOKUP(B7,QUERY!$C:$C,QUERY!BB:BB)</f>
        <v>IME850329RH2</v>
      </c>
      <c r="HB7" s="3">
        <f>_xlfn.XLOOKUP(B7,QUERY!$C:$C,QUERY!BC:BC)</f>
        <v>0</v>
      </c>
      <c r="HC7" s="3">
        <f>_xlfn.XLOOKUP(B7,QUERY!$C:$C,QUERY!BD:BD)</f>
        <v>0.99</v>
      </c>
      <c r="HD7" s="3" t="str">
        <f>_xlfn.XLOOKUP(B7,QUERY!$C:$C,QUERY!BE:BE)</f>
        <v>LOTE: A217A05,LOTE: A219A02,LOTE: A219A01,LOTE: A217A04,LOTE: A217A03,LOTE: H107A01,LOTES: J550A01, J607A01,LOTE: 5677101</v>
      </c>
      <c r="HE7" s="3">
        <f>_xlfn.XLOOKUP(B7,QUERY!$C:$C,QUERY!BF:BF)</f>
        <v>90</v>
      </c>
      <c r="HF7" s="3" t="str">
        <f>_xlfn.XLOOKUP(B7,QUERY!$C:$C,QUERY!BG:BG)</f>
        <v xml:space="preserve"> 952448.23, 2181141.30, 863532.00</v>
      </c>
      <c r="HG7" s="3" t="str">
        <f>_xlfn.XLOOKUP(B7,QUERY!$C:$C,QUERY!BH:BH)</f>
        <v>KILO,KILO,KILO,KILO,KILO,KILO,KILO,KILO</v>
      </c>
      <c r="HH7" s="3">
        <f>_xlfn.XLOOKUP(B7,QUERY!$C:$C,QUERY!BI:BI)</f>
        <v>0</v>
      </c>
      <c r="HI7" s="3" t="str">
        <f>_xlfn.XLOOKUP(B7,QUERY!$C:$C,QUERY!BJ:BJ)</f>
        <v>ALEMANIA (REPUBLICA FEDERAL DE),PAISES BAJOS (REINO DE LOS) (HOLANDA)</v>
      </c>
      <c r="HJ7" s="3" t="str">
        <f>_xlfn.XLOOKUP(B7,QUERY!$C:$C,QUERY!BK:BK)</f>
        <v>PAISES BAJOS (REINO DE LOS) (HOLANDA)</v>
      </c>
      <c r="HK7" s="3" t="str">
        <f>_xlfn.XLOOKUP(B7,QUERY!$C:$C,QUERY!BL:BL)</f>
        <v>DEU,ZYA</v>
      </c>
      <c r="HL7" s="3" t="str">
        <f>_xlfn.XLOOKUP(B7,QUERY!$C:$C,QUERY!BM:BM)</f>
        <v>ZYA</v>
      </c>
      <c r="HM7" s="3">
        <f>_xlfn.XLOOKUP(B7,QUERY!$C:$C,QUERY!BN:BN)</f>
        <v>3997122</v>
      </c>
      <c r="HN7" s="3" t="str">
        <f>_xlfn.XLOOKUP(B7,QUERY!$C:$C,QUERY!BO:BO)</f>
        <v>462.00</v>
      </c>
      <c r="HO7" s="3" t="str">
        <f>_xlfn.XLOOKUP(B7,QUERY!$C:$C,QUERY!BP:BP)</f>
        <v>NULL</v>
      </c>
      <c r="HP7" s="3" t="str">
        <f>_xlfn.XLOOKUP(B7,QUERY!$C:$C,QUERY!BQ:BQ)</f>
        <v>NULL</v>
      </c>
      <c r="HQ7" s="3" t="str">
        <f>_xlfn.XLOOKUP(B7,QUERY!$C:$C,QUERY!BR:BR)</f>
        <v>139939.61</v>
      </c>
      <c r="HR7" s="3">
        <f>_xlfn.XLOOKUP(B7,QUERY!$C:$C,QUERY!BS:BS)</f>
        <v>0</v>
      </c>
      <c r="HS7" s="3">
        <f>_xlfn.XLOOKUP(B7,QUERY!$C:$C,QUERY!BT:BT)</f>
        <v>0</v>
      </c>
      <c r="HT7" s="3" t="str">
        <f>_xlfn.XLOOKUP(B7,QUERY!$C:$C,QUERY!A:A)</f>
        <v>VERACRUZ</v>
      </c>
      <c r="HU7" s="3" t="str">
        <f>_xlfn.XLOOKUP(B7,QUERY!$C:$C,QUERY!B:B)</f>
        <v>MARÍTIMO VERACRUZ</v>
      </c>
    </row>
    <row r="8" spans="1:229" x14ac:dyDescent="0.25">
      <c r="A8" s="3" t="s">
        <v>90</v>
      </c>
      <c r="B8" s="7" t="s">
        <v>113</v>
      </c>
      <c r="C8" s="3">
        <v>3942</v>
      </c>
      <c r="D8" s="3">
        <v>6000072</v>
      </c>
      <c r="E8" s="3"/>
      <c r="F8" s="3" t="s">
        <v>92</v>
      </c>
      <c r="G8" s="3" t="s">
        <v>93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430</v>
      </c>
      <c r="S8" s="3" t="s">
        <v>114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115</v>
      </c>
      <c r="AB8" s="3"/>
      <c r="AC8" s="3">
        <v>181537</v>
      </c>
      <c r="AD8" s="3">
        <v>2486.8082199999999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/>
      <c r="AP8" s="3" t="s">
        <v>98</v>
      </c>
      <c r="AQ8" s="3">
        <v>210358509</v>
      </c>
      <c r="AR8" s="3" t="s">
        <v>99</v>
      </c>
      <c r="AS8" s="3" t="s">
        <v>100</v>
      </c>
      <c r="AT8" s="3">
        <v>0</v>
      </c>
      <c r="AU8" s="3">
        <v>0</v>
      </c>
      <c r="AV8" s="3">
        <v>0</v>
      </c>
      <c r="AW8" s="3">
        <v>30042099</v>
      </c>
      <c r="AX8" s="3">
        <v>0</v>
      </c>
      <c r="AY8" s="3">
        <v>73</v>
      </c>
      <c r="AZ8" s="3">
        <v>73</v>
      </c>
      <c r="BA8" s="3" t="s">
        <v>121</v>
      </c>
      <c r="BB8" s="3"/>
      <c r="BC8" s="3" t="s">
        <v>105</v>
      </c>
      <c r="BD8" s="3" t="s">
        <v>105</v>
      </c>
      <c r="BE8" s="3"/>
      <c r="BF8" s="3"/>
      <c r="BG8" s="5"/>
      <c r="BH8" s="3"/>
      <c r="BI8" s="3"/>
      <c r="BJ8" s="3"/>
      <c r="BK8" s="3" t="s">
        <v>122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 t="s">
        <v>111</v>
      </c>
      <c r="CF8" s="3">
        <v>0</v>
      </c>
      <c r="CG8" s="3">
        <v>0</v>
      </c>
      <c r="CH8" s="3">
        <v>0</v>
      </c>
      <c r="CI8" s="3" t="s">
        <v>112</v>
      </c>
      <c r="CJ8" s="3" t="s">
        <v>112</v>
      </c>
      <c r="CK8" s="3">
        <f>_xlfn.XLOOKUP($B$2,'BASE DE EXCEL'!C:C,'BASE DE EXCEL'!D:D,"NO HAY REFERENCIA")</f>
        <v>470</v>
      </c>
      <c r="CL8" s="5">
        <f>_xlfn.XLOOKUP($B$2,'BASE DE EXCEL'!$C:$C,'BASE DE EXCEL'!F:F,"NO HAY REFERENCIA")</f>
        <v>3</v>
      </c>
      <c r="CM8" s="4">
        <f>_xlfn.XLOOKUP($B$2,'BASE DE EXCEL'!$C:$C,'BASE DE EXCEL'!G:G,"NO HAY REFERENCIA")</f>
        <v>46080</v>
      </c>
      <c r="CN8" s="4">
        <f>_xlfn.XLOOKUP($B$2,'BASE DE EXCEL'!$C:$C,'BASE DE EXCEL'!H:H,"NO HAY REFERENCIA")</f>
        <v>46086</v>
      </c>
      <c r="CO8" s="3">
        <f>_xlfn.XLOOKUP($B$2,'BASE DE EXCEL'!$C:$C,'BASE DE EXCEL'!I:I,"NO HAY REFERENCIA")</f>
        <v>4</v>
      </c>
      <c r="CP8" s="3" t="str">
        <f>_xlfn.XLOOKUP($B$2,'BASE DE EXCEL'!$C:$C,'BASE DE EXCEL'!J:J,"NO HAY REFERENCIA")</f>
        <v>4 a 5 días</v>
      </c>
      <c r="CQ8" s="4">
        <f>_xlfn.XLOOKUP($B$2,'BASE DE EXCEL'!$C:$C,'BASE DE EXCEL'!K:K,"NO HAY REFERENCIA")</f>
        <v>46087</v>
      </c>
      <c r="CR8" s="3">
        <f>_xlfn.XLOOKUP($B$2,'BASE DE EXCEL'!$C:$C,'BASE DE EXCEL'!L:L,"NO HAY REFERENCIA")</f>
        <v>5</v>
      </c>
      <c r="CS8" s="3">
        <f>_xlfn.XLOOKUP($B$2,'BASE DE EXCEL'!$C:$C,'BASE DE EXCEL'!M:M,"NO HAY REFERENCIA")</f>
        <v>6</v>
      </c>
      <c r="CT8" s="3" t="str">
        <f>_xlfn.XLOOKUP($B$2,'BASE DE EXCEL'!$C:$C,'BASE DE EXCEL'!N:N,"NO HAY REFERENCIA")</f>
        <v>6 a 10 días</v>
      </c>
      <c r="CU8" s="3" t="str">
        <f>_xlfn.XLOOKUP($B$2,'BASE DE EXCEL'!$C:$C,'BASE DE EXCEL'!O:O,"NO HAY REFERENCIA")</f>
        <v>On Time</v>
      </c>
      <c r="CV8" s="3" t="str">
        <f>_xlfn.XLOOKUP(B8,'BASE DE EXCEL'!$C:$C,'BASE DE EXCEL'!P:P,"NO HAY REFERENCIA")</f>
        <v>4 a 5 días</v>
      </c>
      <c r="CW8" s="4">
        <f>_xlfn.XLOOKUP(B8,'BASE DE EXCEL'!$C:$C,'BASE DE EXCEL'!Q:Q,"NO HAY REFERENCIA")</f>
        <v>46031</v>
      </c>
      <c r="CX8" s="3">
        <f>_xlfn.XLOOKUP(B8,'BASE DE EXCEL'!$C:$C,'BASE DE EXCEL'!R:R,"NO HAY REFERENCIA")</f>
        <v>5</v>
      </c>
      <c r="CY8" s="3" t="str">
        <f>_xlfn.XLOOKUP(B8,'BASE DE EXCEL'!$C:$C,'BASE DE EXCEL'!S:S,"NO HAY REFERENCIA")</f>
        <v>4 a 5 días</v>
      </c>
      <c r="CZ8" s="3" t="str">
        <f>_xlfn.XLOOKUP(B8,'BASE DE EXCEL'!$C:$C,'BASE DE EXCEL'!T:T,"NO HAY REFERENCIA")</f>
        <v>On Time</v>
      </c>
      <c r="DA8" s="3">
        <f>_xlfn.XLOOKUP(B8,'BASE DE EXCEL'!$C:$C,'BASE DE EXCEL'!U:U,"NO HAY REFERENCIA")</f>
        <v>6</v>
      </c>
      <c r="DB8" s="3" t="str">
        <f>_xlfn.XLOOKUP(B8,'BASE DE EXCEL'!$C:$C,'BASE DE EXCEL'!V:V,"NO HAY REFERENCIA")</f>
        <v>4 a 5 días</v>
      </c>
      <c r="DC8" s="3">
        <f>_xlfn.XLOOKUP(B8,'BASE DE EXCEL'!$C:$C,'BASE DE EXCEL'!W:W,"NO HAY REFERENCIA")</f>
        <v>9</v>
      </c>
      <c r="DD8" s="3" t="str">
        <f>_xlfn.XLOOKUP(B8,'BASE DE EXCEL'!$C:$C,'BASE DE EXCEL'!X:X,"NO HAY REFERENCIA")</f>
        <v>6 a 10 días</v>
      </c>
      <c r="DE8" s="3">
        <f>_xlfn.XLOOKUP(B8,'BASE DE EXCEL'!$C:$C,'BASE DE EXCEL'!Y:Y,"NO HAY REFERENCIA")</f>
        <v>1</v>
      </c>
      <c r="DF8" s="3" t="str">
        <f>_xlfn.XLOOKUP(B8,'BASE DE EXCEL'!$C:$C,'BASE DE EXCEL'!Z:Z,"NO HAY REFERENCIA")</f>
        <v>1 día o menos</v>
      </c>
      <c r="DG8" s="3">
        <f>_xlfn.XLOOKUP(B8,'BASE DE EXCEL'!$C:$C,'BASE DE EXCEL'!AA:AA,"NO HAY REFERENCIA")</f>
        <v>4</v>
      </c>
      <c r="DH8" s="3">
        <f>_xlfn.XLOOKUP(B8,'BASE DE EXCEL'!$C:$C,'BASE DE EXCEL'!AB:AB,"NO HAY REFERENCIA")</f>
        <v>1</v>
      </c>
      <c r="DI8" s="3" t="str">
        <f>_xlfn.XLOOKUP(B8,'BASE DE EXCEL'!$C:$C,'BASE DE EXCEL'!AC:AC,"NO HAY REFERENCIA")</f>
        <v>1 día o menos</v>
      </c>
      <c r="DJ8" s="4">
        <f>_xlfn.XLOOKUP(B8,'BASE DE EXCEL'!$C:$C,'BASE DE EXCEL'!AD:AD,"NO HAY REFERENCIA")</f>
        <v>46038</v>
      </c>
      <c r="DK8" s="3">
        <f>_xlfn.XLOOKUP(B8,'BASE DE EXCEL'!$C:$C,'BASE DE EXCEL'!AE:AE,"NO HAY REFERENCIA")</f>
        <v>7</v>
      </c>
      <c r="DL8" s="3">
        <f>_xlfn.XLOOKUP(B8,'BASE DE EXCEL'!$C:$C,'BASE DE EXCEL'!AF:AF,"NO HAY REFERENCIA")</f>
        <v>5</v>
      </c>
      <c r="DM8" s="4">
        <f>_xlfn.XLOOKUP(B8,'BASE DE EXCEL'!$C:$C,'BASE DE EXCEL'!AG:AG,"NO HAY REFERENCIA")</f>
        <v>46038</v>
      </c>
      <c r="DN8" s="4">
        <f>_xlfn.XLOOKUP(B8,'BASE DE EXCEL'!$C:$C,'BASE DE EXCEL'!AH:AH,"NO HAY REFERENCIA")</f>
        <v>46038</v>
      </c>
      <c r="DO8" s="3">
        <f>_xlfn.XLOOKUP(B8,'BASE DE EXCEL'!$C:$C,'BASE DE EXCEL'!AI:AI,"NO HAY REFERENCIA")</f>
        <v>0</v>
      </c>
      <c r="DP8" s="4" t="str">
        <f>_xlfn.XLOOKUP(B8,'BASE DE EXCEL'!$C:$C,'BASE DE EXCEL'!AJ:AJ,"NO HAY REFERENCIA")</f>
        <v>6 a 10 días</v>
      </c>
      <c r="DQ8" s="4">
        <f>_xlfn.XLOOKUP(B8,'BASE DE EXCEL'!$C:$C,'BASE DE EXCEL'!AK:AK,"NO HAY REFERENCIA")</f>
        <v>46038</v>
      </c>
      <c r="DR8" s="3">
        <f>_xlfn.XLOOKUP(B8,'BASE DE EXCEL'!$C:$C,'BASE DE EXCEL'!AL:AL,"NO HAY REFERENCIA")</f>
        <v>6</v>
      </c>
      <c r="DS8" s="3" t="str">
        <f>_xlfn.XLOOKUP(B8,'BASE DE EXCEL'!$C:$C,'BASE DE EXCEL'!AM:AM,"NO HAY REFERENCIA")</f>
        <v>6 a 10 días</v>
      </c>
      <c r="DT8" s="3" t="str">
        <f>_xlfn.XLOOKUP(B8,'BASE DE EXCEL'!$C:$C,'BASE DE EXCEL'!AN:AN,"NO HAY REFERENCIA")</f>
        <v>On Time</v>
      </c>
      <c r="DU8" s="3">
        <f>_xlfn.XLOOKUP(B8,'BASE DE EXCEL'!$C:$C,'BASE DE EXCEL'!AO:AO,"NO HAY REFERENCIA")</f>
        <v>1</v>
      </c>
      <c r="DV8" s="3" t="str">
        <f>_xlfn.XLOOKUP(B8,'BASE DE EXCEL'!$C:$C,'BASE DE EXCEL'!AP:AP,"NO HAY REFERENCIA")</f>
        <v>Es anterior</v>
      </c>
      <c r="DW8" s="3" t="str">
        <f>_xlfn.XLOOKUP(B8,'BASE DE EXCEL'!$C:$C,'BASE DE EXCEL'!AQ:AQ,"NO HAY REFERENCIA")</f>
        <v>A1</v>
      </c>
      <c r="DX8" s="3" t="str">
        <f>_xlfn.XLOOKUP(B8,'BASE DE EXCEL'!$C:$C,'BASE DE EXCEL'!AR:AR,"NO HAY REFERENCIA")</f>
        <v>ZULEIMA PEREZ RUIZ</v>
      </c>
      <c r="DY8" s="3" t="str">
        <f>_xlfn.XLOOKUP(B8,'BASE DE EXCEL'!$C:$C,'BASE DE EXCEL'!AS:AS,"NO HAY REFERENCIA")</f>
        <v>HLCUANR251131095</v>
      </c>
      <c r="DZ8" s="3" t="str">
        <f>_xlfn.XLOOKUP(B8,'BASE DE EXCEL'!$C:$C,'BASE DE EXCEL'!AT:AT,"NO HAY REFERENCIA")</f>
        <v>NULL</v>
      </c>
      <c r="EA8" s="3">
        <f>_xlfn.XLOOKUP(B8,'BASE DE EXCEL'!$C:$C,'BASE DE EXCEL'!AU:AU,"NO HAY REFERENCIA")</f>
        <v>6000072</v>
      </c>
      <c r="EB8" s="3" t="str">
        <f>_xlfn.XLOOKUP(B8,'BASE DE EXCEL'!$C:$C,'BASE DE EXCEL'!AV:AV,"NO HAY REFERENCIA")</f>
        <v>Importación</v>
      </c>
      <c r="EC8" s="3" t="str">
        <f>_xlfn.XLOOKUP(B8,'BASE DE EXCEL'!$C:$C,'BASE DE EXCEL'!AW:AW,"NO HAY REFERENCIA")</f>
        <v>CEFA SAFE (MEDICAMENTO DOSIFICADO DE USO VETERINARIO)</v>
      </c>
      <c r="ED8" s="3" t="str">
        <f>_xlfn.XLOOKUP(B8,'BASE DE EXCEL'!$C:$C,'BASE DE EXCEL'!AX:AX,"NO HAY REFERENCIA")</f>
        <v>SIN CLASIFICACION</v>
      </c>
      <c r="EE8" s="3">
        <f>_xlfn.XLOOKUP(B8,'BASE DE EXCEL'!$C:$C,'BASE DE EXCEL'!AY:AY,"NO HAY REFERENCIA")</f>
        <v>0</v>
      </c>
      <c r="EF8" s="3" t="str">
        <f>_xlfn.XLOOKUP(B8,'BASE DE EXCEL'!$C:$C,'BASE DE EXCEL'!AZ:AZ,"NO HAY REFERENCIA")</f>
        <v>Cargas de Importación</v>
      </c>
      <c r="EG8" s="3" t="str">
        <f>_xlfn.XLOOKUP(B8,'BASE DE EXCEL'!$C:$C,'BASE DE EXCEL'!BA:BA,"NO HAY REFERENCIA")</f>
        <v>INTERVET MEXICO SA DE CV</v>
      </c>
      <c r="EH8" s="3">
        <f>_xlfn.XLOOKUP(B8,'BASE DE EXCEL'!$C:$C,'BASE DE EXCEL'!BB:BB,"NO HAY REFERENCIA")</f>
        <v>0</v>
      </c>
      <c r="EI8" s="3" t="str">
        <f>_xlfn.XLOOKUP(B8,'BASE DE EXCEL'!$C:$C,'BASE DE EXCEL'!BC:BC,"NO HAY REFERENCIA")</f>
        <v>NINGUNO</v>
      </c>
      <c r="EJ8" s="3">
        <f>_xlfn.XLOOKUP(B8,'BASE DE EXCEL'!$C:$C,'BASE DE EXCEL'!BD:BD,"NO HAY REFERENCIA")</f>
        <v>0</v>
      </c>
      <c r="EK8" s="3" t="str">
        <f>_xlfn.XLOOKUP(B8,'BASE DE EXCEL'!$C:$C,'BASE DE EXCEL'!BE:BE,"NO HAY REFERENCIA")</f>
        <v>NINGUNO</v>
      </c>
      <c r="EL8" s="3" t="str">
        <f>_xlfn.XLOOKUP(B8,'BASE DE EXCEL'!$C:$C,'BASE DE EXCEL'!BF:BF,"NO HAY REFERENCIA")</f>
        <v>PRODUCTO TERMINADO</v>
      </c>
      <c r="EM8" s="3" t="str">
        <f>_xlfn.XLOOKUP(B8,'BASE DE EXCEL'!$C:$C,'BASE DE EXCEL'!BG:BG,"NO HAY REFERENCIA")</f>
        <v>Verde</v>
      </c>
      <c r="EN8" s="3" t="str">
        <f>_xlfn.XLOOKUP(B8,'BASE DE EXCEL'!$C:$C,'BASE DE EXCEL'!BH:BH,"NO HAY REFERENCIA")</f>
        <v xml:space="preserve"> SUPER EXPRESS DE CARGA FEDERAL S.A. DE C.V.</v>
      </c>
      <c r="EO8" s="3">
        <f>_xlfn.XLOOKUP(B8,'BASE DE EXCEL'!$C:$C,'BASE DE EXCEL'!BI:BI,"NO HAY REFERENCIA")</f>
        <v>0</v>
      </c>
      <c r="EP8" s="3" t="str">
        <f>_xlfn.XLOOKUP(B8,'BASE DE EXCEL'!$C:$C,'BASE DE EXCEL'!BJ:BJ,"NO HAY REFERENCIA")</f>
        <v>IME-T006</v>
      </c>
      <c r="EQ8" s="3" t="str">
        <f>_xlfn.XLOOKUP(B8,'BASE DE EXCEL'!$C:$C,'BASE DE EXCEL'!BK:BK,"NO HAY REFERENCIA")</f>
        <v>IME850329RH2</v>
      </c>
      <c r="ER8" s="3">
        <f>_xlfn.XLOOKUP(B8,'BASE DE EXCEL'!$C:$C,'BASE DE EXCEL'!BL:BL,"NO HAY REFERENCIA")</f>
        <v>0</v>
      </c>
      <c r="ES8" s="3" t="str">
        <f>_xlfn.XLOOKUP(B8,'BASE DE EXCEL'!$C:$C,'BASE DE EXCEL'!BM:BM,"NO HAY REFERENCIA")</f>
        <v>00,99</v>
      </c>
      <c r="ET8" s="3" t="str">
        <f>_xlfn.XLOOKUP(B8,'BASE DE EXCEL'!$C:$C,'BASE DE EXCEL'!BN:BN,"NO HAY REFERENCIA")</f>
        <v>LOTE: A217A05,LOTE: A219A02,LOTE: A219A01,LOTE: A217A03,LOTE: H107A01,LOTES: J550A01, J607A01,LOTE: 5677101,LOTE: A217A04</v>
      </c>
      <c r="EU8" s="3">
        <f>_xlfn.XLOOKUP(B8,'BASE DE EXCEL'!$C:$C,'BASE DE EXCEL'!BO:BO,"NO HAY REFERENCIA")</f>
        <v>90</v>
      </c>
      <c r="EV8" s="3" t="str">
        <f>_xlfn.XLOOKUP(B8,'BASE DE EXCEL'!$C:$C,'BASE DE EXCEL'!BP:BP,"NO HAY REFERENCIA")</f>
        <v xml:space="preserve"> 952448.23, 2181141.30, 863532.00</v>
      </c>
      <c r="EW8" s="3" t="str">
        <f>_xlfn.XLOOKUP(B8,'BASE DE EXCEL'!$C:$C,'BASE DE EXCEL'!BQ:BQ,"NO HAY REFERENCIA")</f>
        <v>KILO,KILO,KILO,KILO,KILO,KILO,KILO,KILO</v>
      </c>
      <c r="EX8" s="3">
        <f>_xlfn.XLOOKUP(B8,'BASE DE EXCEL'!$C:$C,'BASE DE EXCEL'!BR:BR,"NO HAY REFERENCIA")</f>
        <v>0</v>
      </c>
      <c r="EY8" s="3" t="str">
        <f>_xlfn.XLOOKUP(B8,'BASE DE EXCEL'!$C:$C,'BASE DE EXCEL'!BS:BS,"NO HAY REFERENCIA")</f>
        <v>ALEMANIA (REPUBLICA FEDERAL DE),PAISES BAJOS (REINO DE LOS) (HOLANDA)</v>
      </c>
      <c r="EZ8" s="3" t="str">
        <f>_xlfn.XLOOKUP(B8,'BASE DE EXCEL'!$C:$C,'BASE DE EXCEL'!BT:BT,"NO HAY REFERENCIA")</f>
        <v>PAISES BAJOS (REINO DE LOS) (HOLANDA)</v>
      </c>
      <c r="FA8" s="3" t="str">
        <f>_xlfn.XLOOKUP(B8,'BASE DE EXCEL'!$C:$C,'BASE DE EXCEL'!BU:BU,"NO HAY REFERENCIA")</f>
        <v>DEU,ZYA</v>
      </c>
      <c r="FB8" s="3" t="str">
        <f>_xlfn.XLOOKUP(B8,'BASE DE EXCEL'!$C:$C,'BASE DE EXCEL'!BV:BV,"NO HAY REFERENCIA")</f>
        <v>ZYA</v>
      </c>
      <c r="FC8" s="3">
        <f>_xlfn.XLOOKUP(B8,QUERY!$C:$C,QUERY!D:D)</f>
        <v>430</v>
      </c>
      <c r="FD8" s="4">
        <f>_xlfn.XLOOKUP(B8,QUERY!$C:$C,QUERY!E:E)</f>
        <v>46029</v>
      </c>
      <c r="FE8" s="3">
        <f>_xlfn.XLOOKUP(B8,QUERY!$C:$C,QUERY!F:F)</f>
        <v>1</v>
      </c>
      <c r="FF8" s="4">
        <f>_xlfn.XLOOKUP(B8,QUERY!$C:$C,QUERY!G:G)</f>
        <v>46025</v>
      </c>
      <c r="FG8" s="4">
        <f>_xlfn.XLOOKUP(B8,QUERY!$C:$C,QUERY!H:H)</f>
        <v>46029</v>
      </c>
      <c r="FH8" s="3">
        <f>_xlfn.XLOOKUP(B8,QUERY!$C:$C,QUERY!I:I)</f>
        <v>2</v>
      </c>
      <c r="FI8" s="3" t="str">
        <f>_xlfn.XLOOKUP(B8,QUERY!$C:$C,QUERY!J:J)</f>
        <v>2 a 3 días</v>
      </c>
      <c r="FJ8" s="4">
        <f>_xlfn.XLOOKUP(B8,QUERY!$C:$C,QUERY!K:K)</f>
        <v>46030</v>
      </c>
      <c r="FK8" s="3">
        <f>_xlfn.XLOOKUP(B8,QUERY!$C:$C,QUERY!L:L)</f>
        <v>3</v>
      </c>
      <c r="FL8" s="3" t="str">
        <f>_xlfn.XLOOKUP(B8,QUERY!$C:$C,QUERY!M:M)</f>
        <v>2 a 3 días</v>
      </c>
      <c r="FM8" s="3">
        <f>_xlfn.XLOOKUP(B8,QUERY!$C:$C,QUERY!N:N)</f>
        <v>1</v>
      </c>
      <c r="FN8" s="3" t="str">
        <f>_xlfn.XLOOKUP(B8,QUERY!$C:$C,QUERY!O:O)</f>
        <v>1 día o menos</v>
      </c>
      <c r="FO8" s="3">
        <f>_xlfn.XLOOKUP(B8,QUERY!$C:$C,QUERY!P:P)</f>
        <v>1</v>
      </c>
      <c r="FP8" s="3">
        <f>_xlfn.XLOOKUP(B8,QUERY!$C:$C,QUERY!Q:Q)</f>
        <v>1</v>
      </c>
      <c r="FQ8" s="3" t="str">
        <f>_xlfn.XLOOKUP(B8,QUERY!$C:$C,QUERY!R:R)</f>
        <v>1 día o menos</v>
      </c>
      <c r="FR8" s="4">
        <f>_xlfn.XLOOKUP(B8,QUERY!$C:$C,QUERY!S:S)</f>
        <v>46031</v>
      </c>
      <c r="FS8" s="3">
        <f>_xlfn.XLOOKUP(B8,QUERY!$C:$C,QUERY!T:T)</f>
        <v>4</v>
      </c>
      <c r="FT8" s="3" t="str">
        <f>_xlfn.XLOOKUP(B8,QUERY!$C:$C,QUERY!U:U)</f>
        <v>4 a 5 días</v>
      </c>
      <c r="FU8" s="3">
        <f>_xlfn.XLOOKUP(B8,QUERY!$C:$C,QUERY!V:V)</f>
        <v>9</v>
      </c>
      <c r="FV8" s="3" t="str">
        <f>_xlfn.XLOOKUP(B8,QUERY!$C:$C,QUERY!W:W)</f>
        <v>6 a 10 días</v>
      </c>
      <c r="FW8" s="4">
        <f>_xlfn.XLOOKUP(B8,QUERY!$C:$C,QUERY!X:X)</f>
        <v>46038</v>
      </c>
      <c r="FX8" s="3">
        <f>_xlfn.XLOOKUP(B8,QUERY!$C:$C,QUERY!Y:Y)</f>
        <v>5</v>
      </c>
      <c r="FY8" s="3">
        <f>_xlfn.XLOOKUP(B8,QUERY!$C:$C,QUERY!Z:Z)</f>
        <v>5</v>
      </c>
      <c r="FZ8" s="4" t="str">
        <f>_xlfn.XLOOKUP(B8,QUERY!$C:$C,QUERY!AA:AA)</f>
        <v>6 a 10 días</v>
      </c>
      <c r="GA8" s="4">
        <f>_xlfn.XLOOKUP(B8,QUERY!$C:$C,QUERY!AB:AB)</f>
        <v>46038</v>
      </c>
      <c r="GB8" s="4">
        <f>_xlfn.XLOOKUP(B8,QUERY!$C:$C,QUERY!AC:AC)</f>
        <v>46038</v>
      </c>
      <c r="GC8" s="3">
        <f>_xlfn.XLOOKUP(B8,QUERY!$C:$C,QUERY!AD:AD)</f>
        <v>0</v>
      </c>
      <c r="GD8" s="4">
        <f>_xlfn.XLOOKUP(B8,QUERY!$C:$C,QUERY!AE:AE)</f>
        <v>46038</v>
      </c>
      <c r="GE8" s="3">
        <f>_xlfn.XLOOKUP(B8,QUERY!$C:$C,QUERY!AF:AF)</f>
        <v>1</v>
      </c>
      <c r="GF8" s="4" t="str">
        <f>_xlfn.XLOOKUP(B8,QUERY!$C:$C,QUERY!AG:AG)</f>
        <v>Es anterior</v>
      </c>
      <c r="GG8" s="3" t="str">
        <f>_xlfn.XLOOKUP(B8,QUERY!$C:$C,QUERY!AH:AH)</f>
        <v>A1</v>
      </c>
      <c r="GH8" s="3" t="str">
        <f>_xlfn.XLOOKUP(B8,QUERY!$C:$C,QUERY!AI:AI)</f>
        <v>ZULEIMA PEREZ RUIZ</v>
      </c>
      <c r="GI8" s="3" t="str">
        <f>_xlfn.XLOOKUP(B8,QUERY!$C:$C,QUERY!AJ:AJ)</f>
        <v>HLCUANR251131095</v>
      </c>
      <c r="GJ8" s="3" t="str">
        <f>_xlfn.XLOOKUP(B8,QUERY!$C:$C,QUERY!AK:AK)</f>
        <v>NULL</v>
      </c>
      <c r="GK8" s="3">
        <f>_xlfn.XLOOKUP(B8,QUERY!$C:$C,QUERY!AL:AL)</f>
        <v>6000072</v>
      </c>
      <c r="GL8" s="3" t="str">
        <f>_xlfn.XLOOKUP(B8,QUERY!$C:$C,QUERY!AM:AM)</f>
        <v>Importación</v>
      </c>
      <c r="GM8" s="3" t="str">
        <f>_xlfn.XLOOKUP(B8,QUERY!$C:$C,QUERY!AN:AN)</f>
        <v>CEFA SAFE (MEDICAMENTO DOSIFICADO DE USO VETERINARIO)</v>
      </c>
      <c r="GN8" s="3" t="str">
        <f>_xlfn.XLOOKUP(B8,QUERY!$C:$C,QUERY!AO:AO)</f>
        <v>SIN CLASIFICACION</v>
      </c>
      <c r="GO8" s="3">
        <f>_xlfn.XLOOKUP(B8,QUERY!$C:$C,QUERY!AP:AP)</f>
        <v>0</v>
      </c>
      <c r="GP8" s="3" t="str">
        <f>_xlfn.XLOOKUP(B8,QUERY!$C:$C,QUERY!AQ:AQ)</f>
        <v>Cargas de Importación</v>
      </c>
      <c r="GQ8" s="3" t="str">
        <f>_xlfn.XLOOKUP(B8,QUERY!$C:$C,QUERY!AR:AR)</f>
        <v>INTERVET MEXICO SA DE CV</v>
      </c>
      <c r="GR8" s="3">
        <f>_xlfn.XLOOKUP(B8,QUERY!$C:$C,QUERY!AS:AS)</f>
        <v>0</v>
      </c>
      <c r="GS8" s="3" t="str">
        <f>_xlfn.XLOOKUP(B8,QUERY!$C:$C,QUERY!AT:AT)</f>
        <v>NINGUNO</v>
      </c>
      <c r="GT8" s="3">
        <f>_xlfn.XLOOKUP(B8,QUERY!$C:$C,QUERY!AU:AU)</f>
        <v>0</v>
      </c>
      <c r="GU8" s="3" t="str">
        <f>_xlfn.XLOOKUP(B8,QUERY!$C:$C,QUERY!AV:AV)</f>
        <v>NINGUNO</v>
      </c>
      <c r="GV8" s="3" t="str">
        <f>_xlfn.XLOOKUP(B8,QUERY!$C:$C,QUERY!AW:AW)</f>
        <v>PRODUCTO TERMINADO</v>
      </c>
      <c r="GW8" s="3" t="str">
        <f>_xlfn.XLOOKUP(B8,QUERY!$C:$C,QUERY!AX:AX)</f>
        <v>Verde</v>
      </c>
      <c r="GX8" s="3" t="str">
        <f>_xlfn.XLOOKUP(B8,QUERY!$C:$C,QUERY!AY:AY)</f>
        <v xml:space="preserve"> SUPER EXPRESS DE CARGA FEDERAL S.A. DE C.V.</v>
      </c>
      <c r="GY8" s="3">
        <f>_xlfn.XLOOKUP(B8,QUERY!$C:$C,QUERY!AZ:AZ)</f>
        <v>0</v>
      </c>
      <c r="GZ8" s="3" t="str">
        <f>_xlfn.XLOOKUP(B8,QUERY!$C:$C,QUERY!BA:BA)</f>
        <v>IME-T006</v>
      </c>
      <c r="HA8" s="3" t="str">
        <f>_xlfn.XLOOKUP(B8,QUERY!$C:$C,QUERY!BB:BB)</f>
        <v>IME850329RH2</v>
      </c>
      <c r="HB8" s="3">
        <f>_xlfn.XLOOKUP(B8,QUERY!$C:$C,QUERY!BC:BC)</f>
        <v>0</v>
      </c>
      <c r="HC8" s="3">
        <f>_xlfn.XLOOKUP(B8,QUERY!$C:$C,QUERY!BD:BD)</f>
        <v>0.99</v>
      </c>
      <c r="HD8" s="3" t="str">
        <f>_xlfn.XLOOKUP(B8,QUERY!$C:$C,QUERY!BE:BE)</f>
        <v>LOTE: A217A05,LOTE: A219A02,LOTE: A219A01,LOTE: A217A04,LOTE: A217A03,LOTE: H107A01,LOTES: J550A01, J607A01,LOTE: 5677101</v>
      </c>
      <c r="HE8" s="3">
        <f>_xlfn.XLOOKUP(B8,QUERY!$C:$C,QUERY!BF:BF)</f>
        <v>90</v>
      </c>
      <c r="HF8" s="3" t="str">
        <f>_xlfn.XLOOKUP(B8,QUERY!$C:$C,QUERY!BG:BG)</f>
        <v xml:space="preserve"> 952448.23, 2181141.30, 863532.00</v>
      </c>
      <c r="HG8" s="3" t="str">
        <f>_xlfn.XLOOKUP(B8,QUERY!$C:$C,QUERY!BH:BH)</f>
        <v>KILO,KILO,KILO,KILO,KILO,KILO,KILO,KILO</v>
      </c>
      <c r="HH8" s="3">
        <f>_xlfn.XLOOKUP(B8,QUERY!$C:$C,QUERY!BI:BI)</f>
        <v>0</v>
      </c>
      <c r="HI8" s="3" t="str">
        <f>_xlfn.XLOOKUP(B8,QUERY!$C:$C,QUERY!BJ:BJ)</f>
        <v>ALEMANIA (REPUBLICA FEDERAL DE),PAISES BAJOS (REINO DE LOS) (HOLANDA)</v>
      </c>
      <c r="HJ8" s="3" t="str">
        <f>_xlfn.XLOOKUP(B8,QUERY!$C:$C,QUERY!BK:BK)</f>
        <v>PAISES BAJOS (REINO DE LOS) (HOLANDA)</v>
      </c>
      <c r="HK8" s="3" t="str">
        <f>_xlfn.XLOOKUP(B8,QUERY!$C:$C,QUERY!BL:BL)</f>
        <v>DEU,ZYA</v>
      </c>
      <c r="HL8" s="3" t="str">
        <f>_xlfn.XLOOKUP(B8,QUERY!$C:$C,QUERY!BM:BM)</f>
        <v>ZYA</v>
      </c>
      <c r="HM8" s="3">
        <f>_xlfn.XLOOKUP(B8,QUERY!$C:$C,QUERY!BN:BN)</f>
        <v>3997122</v>
      </c>
      <c r="HN8" s="3" t="str">
        <f>_xlfn.XLOOKUP(B8,QUERY!$C:$C,QUERY!BO:BO)</f>
        <v>462.00</v>
      </c>
      <c r="HO8" s="3" t="str">
        <f>_xlfn.XLOOKUP(B8,QUERY!$C:$C,QUERY!BP:BP)</f>
        <v>NULL</v>
      </c>
      <c r="HP8" s="3" t="str">
        <f>_xlfn.XLOOKUP(B8,QUERY!$C:$C,QUERY!BQ:BQ)</f>
        <v>NULL</v>
      </c>
      <c r="HQ8" s="3" t="str">
        <f>_xlfn.XLOOKUP(B8,QUERY!$C:$C,QUERY!BR:BR)</f>
        <v>139939.61</v>
      </c>
      <c r="HR8" s="3">
        <f>_xlfn.XLOOKUP(B8,QUERY!$C:$C,QUERY!BS:BS)</f>
        <v>0</v>
      </c>
      <c r="HS8" s="3">
        <f>_xlfn.XLOOKUP(B8,QUERY!$C:$C,QUERY!BT:BT)</f>
        <v>0</v>
      </c>
      <c r="HT8" s="3" t="str">
        <f>_xlfn.XLOOKUP(B8,QUERY!$C:$C,QUERY!A:A)</f>
        <v>VERACRUZ</v>
      </c>
      <c r="HU8" s="3" t="str">
        <f>_xlfn.XLOOKUP(B8,QUERY!$C:$C,QUERY!B:B)</f>
        <v>MARÍTIMO VERACRUZ</v>
      </c>
    </row>
    <row r="9" spans="1:229" x14ac:dyDescent="0.25">
      <c r="A9" s="3" t="s">
        <v>90</v>
      </c>
      <c r="B9" s="7" t="s">
        <v>113</v>
      </c>
      <c r="C9" s="3">
        <v>3942</v>
      </c>
      <c r="D9" s="3">
        <v>6000072</v>
      </c>
      <c r="E9" s="3"/>
      <c r="F9" s="3" t="s">
        <v>92</v>
      </c>
      <c r="G9" s="3" t="s">
        <v>93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430</v>
      </c>
      <c r="S9" s="3" t="s">
        <v>114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115</v>
      </c>
      <c r="AB9" s="3"/>
      <c r="AC9" s="3">
        <v>370535</v>
      </c>
      <c r="AD9" s="3">
        <v>2486.8120800000002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/>
      <c r="AP9" s="3" t="s">
        <v>98</v>
      </c>
      <c r="AQ9" s="3">
        <v>210358509</v>
      </c>
      <c r="AR9" s="3" t="s">
        <v>99</v>
      </c>
      <c r="AS9" s="3" t="s">
        <v>100</v>
      </c>
      <c r="AT9" s="3">
        <v>0</v>
      </c>
      <c r="AU9" s="3">
        <v>0</v>
      </c>
      <c r="AV9" s="3">
        <v>0</v>
      </c>
      <c r="AW9" s="3">
        <v>30042099</v>
      </c>
      <c r="AX9" s="3">
        <v>0</v>
      </c>
      <c r="AY9" s="3">
        <v>149</v>
      </c>
      <c r="AZ9" s="3">
        <v>149</v>
      </c>
      <c r="BA9" s="3" t="s">
        <v>121</v>
      </c>
      <c r="BB9" s="3"/>
      <c r="BC9" s="3" t="s">
        <v>105</v>
      </c>
      <c r="BD9" s="3" t="s">
        <v>105</v>
      </c>
      <c r="BE9" s="3"/>
      <c r="BF9" s="3"/>
      <c r="BG9" s="5"/>
      <c r="BH9" s="3"/>
      <c r="BI9" s="3"/>
      <c r="BJ9" s="3"/>
      <c r="BK9" s="3" t="s">
        <v>122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 t="s">
        <v>111</v>
      </c>
      <c r="CF9" s="3">
        <v>0</v>
      </c>
      <c r="CG9" s="3">
        <v>0</v>
      </c>
      <c r="CH9" s="3">
        <v>0</v>
      </c>
      <c r="CI9" s="3" t="s">
        <v>112</v>
      </c>
      <c r="CJ9" s="3" t="s">
        <v>112</v>
      </c>
      <c r="CK9" s="3">
        <f>_xlfn.XLOOKUP($B$2,'BASE DE EXCEL'!C:C,'BASE DE EXCEL'!D:D,"NO HAY REFERENCIA")</f>
        <v>470</v>
      </c>
      <c r="CL9" s="5">
        <f>_xlfn.XLOOKUP($B$2,'BASE DE EXCEL'!$C:$C,'BASE DE EXCEL'!F:F,"NO HAY REFERENCIA")</f>
        <v>3</v>
      </c>
      <c r="CM9" s="4">
        <f>_xlfn.XLOOKUP($B$2,'BASE DE EXCEL'!$C:$C,'BASE DE EXCEL'!G:G,"NO HAY REFERENCIA")</f>
        <v>46080</v>
      </c>
      <c r="CN9" s="4">
        <f>_xlfn.XLOOKUP($B$2,'BASE DE EXCEL'!$C:$C,'BASE DE EXCEL'!H:H,"NO HAY REFERENCIA")</f>
        <v>46086</v>
      </c>
      <c r="CO9" s="3">
        <f>_xlfn.XLOOKUP($B$2,'BASE DE EXCEL'!$C:$C,'BASE DE EXCEL'!I:I,"NO HAY REFERENCIA")</f>
        <v>4</v>
      </c>
      <c r="CP9" s="3" t="str">
        <f>_xlfn.XLOOKUP($B$2,'BASE DE EXCEL'!$C:$C,'BASE DE EXCEL'!J:J,"NO HAY REFERENCIA")</f>
        <v>4 a 5 días</v>
      </c>
      <c r="CQ9" s="4">
        <f>_xlfn.XLOOKUP($B$2,'BASE DE EXCEL'!$C:$C,'BASE DE EXCEL'!K:K,"NO HAY REFERENCIA")</f>
        <v>46087</v>
      </c>
      <c r="CR9" s="3">
        <f>_xlfn.XLOOKUP($B$2,'BASE DE EXCEL'!$C:$C,'BASE DE EXCEL'!L:L,"NO HAY REFERENCIA")</f>
        <v>5</v>
      </c>
      <c r="CS9" s="3">
        <f>_xlfn.XLOOKUP($B$2,'BASE DE EXCEL'!$C:$C,'BASE DE EXCEL'!M:M,"NO HAY REFERENCIA")</f>
        <v>6</v>
      </c>
      <c r="CT9" s="3" t="str">
        <f>_xlfn.XLOOKUP($B$2,'BASE DE EXCEL'!$C:$C,'BASE DE EXCEL'!N:N,"NO HAY REFERENCIA")</f>
        <v>6 a 10 días</v>
      </c>
      <c r="CU9" s="3" t="str">
        <f>_xlfn.XLOOKUP($B$2,'BASE DE EXCEL'!$C:$C,'BASE DE EXCEL'!O:O,"NO HAY REFERENCIA")</f>
        <v>On Time</v>
      </c>
      <c r="CV9" s="3" t="str">
        <f>_xlfn.XLOOKUP(B9,'BASE DE EXCEL'!$C:$C,'BASE DE EXCEL'!P:P,"NO HAY REFERENCIA")</f>
        <v>4 a 5 días</v>
      </c>
      <c r="CW9" s="4">
        <f>_xlfn.XLOOKUP(B9,'BASE DE EXCEL'!$C:$C,'BASE DE EXCEL'!Q:Q,"NO HAY REFERENCIA")</f>
        <v>46031</v>
      </c>
      <c r="CX9" s="3">
        <f>_xlfn.XLOOKUP(B9,'BASE DE EXCEL'!$C:$C,'BASE DE EXCEL'!R:R,"NO HAY REFERENCIA")</f>
        <v>5</v>
      </c>
      <c r="CY9" s="3" t="str">
        <f>_xlfn.XLOOKUP(B9,'BASE DE EXCEL'!$C:$C,'BASE DE EXCEL'!S:S,"NO HAY REFERENCIA")</f>
        <v>4 a 5 días</v>
      </c>
      <c r="CZ9" s="3" t="str">
        <f>_xlfn.XLOOKUP(B9,'BASE DE EXCEL'!$C:$C,'BASE DE EXCEL'!T:T,"NO HAY REFERENCIA")</f>
        <v>On Time</v>
      </c>
      <c r="DA9" s="3">
        <f>_xlfn.XLOOKUP(B9,'BASE DE EXCEL'!$C:$C,'BASE DE EXCEL'!U:U,"NO HAY REFERENCIA")</f>
        <v>6</v>
      </c>
      <c r="DB9" s="3" t="str">
        <f>_xlfn.XLOOKUP(B9,'BASE DE EXCEL'!$C:$C,'BASE DE EXCEL'!V:V,"NO HAY REFERENCIA")</f>
        <v>4 a 5 días</v>
      </c>
      <c r="DC9" s="3">
        <f>_xlfn.XLOOKUP(B9,'BASE DE EXCEL'!$C:$C,'BASE DE EXCEL'!W:W,"NO HAY REFERENCIA")</f>
        <v>9</v>
      </c>
      <c r="DD9" s="3" t="str">
        <f>_xlfn.XLOOKUP(B9,'BASE DE EXCEL'!$C:$C,'BASE DE EXCEL'!X:X,"NO HAY REFERENCIA")</f>
        <v>6 a 10 días</v>
      </c>
      <c r="DE9" s="3">
        <f>_xlfn.XLOOKUP(B9,'BASE DE EXCEL'!$C:$C,'BASE DE EXCEL'!Y:Y,"NO HAY REFERENCIA")</f>
        <v>1</v>
      </c>
      <c r="DF9" s="3" t="str">
        <f>_xlfn.XLOOKUP(B9,'BASE DE EXCEL'!$C:$C,'BASE DE EXCEL'!Z:Z,"NO HAY REFERENCIA")</f>
        <v>1 día o menos</v>
      </c>
      <c r="DG9" s="3">
        <f>_xlfn.XLOOKUP(B9,'BASE DE EXCEL'!$C:$C,'BASE DE EXCEL'!AA:AA,"NO HAY REFERENCIA")</f>
        <v>4</v>
      </c>
      <c r="DH9" s="3">
        <f>_xlfn.XLOOKUP(B9,'BASE DE EXCEL'!$C:$C,'BASE DE EXCEL'!AB:AB,"NO HAY REFERENCIA")</f>
        <v>1</v>
      </c>
      <c r="DI9" s="3" t="str">
        <f>_xlfn.XLOOKUP(B9,'BASE DE EXCEL'!$C:$C,'BASE DE EXCEL'!AC:AC,"NO HAY REFERENCIA")</f>
        <v>1 día o menos</v>
      </c>
      <c r="DJ9" s="4">
        <f>_xlfn.XLOOKUP(B9,'BASE DE EXCEL'!$C:$C,'BASE DE EXCEL'!AD:AD,"NO HAY REFERENCIA")</f>
        <v>46038</v>
      </c>
      <c r="DK9" s="3">
        <f>_xlfn.XLOOKUP(B9,'BASE DE EXCEL'!$C:$C,'BASE DE EXCEL'!AE:AE,"NO HAY REFERENCIA")</f>
        <v>7</v>
      </c>
      <c r="DL9" s="3">
        <f>_xlfn.XLOOKUP(B9,'BASE DE EXCEL'!$C:$C,'BASE DE EXCEL'!AF:AF,"NO HAY REFERENCIA")</f>
        <v>5</v>
      </c>
      <c r="DM9" s="4">
        <f>_xlfn.XLOOKUP(B9,'BASE DE EXCEL'!$C:$C,'BASE DE EXCEL'!AG:AG,"NO HAY REFERENCIA")</f>
        <v>46038</v>
      </c>
      <c r="DN9" s="4">
        <f>_xlfn.XLOOKUP(B9,'BASE DE EXCEL'!$C:$C,'BASE DE EXCEL'!AH:AH,"NO HAY REFERENCIA")</f>
        <v>46038</v>
      </c>
      <c r="DO9" s="3">
        <f>_xlfn.XLOOKUP(B9,'BASE DE EXCEL'!$C:$C,'BASE DE EXCEL'!AI:AI,"NO HAY REFERENCIA")</f>
        <v>0</v>
      </c>
      <c r="DP9" s="4" t="str">
        <f>_xlfn.XLOOKUP(B9,'BASE DE EXCEL'!$C:$C,'BASE DE EXCEL'!AJ:AJ,"NO HAY REFERENCIA")</f>
        <v>6 a 10 días</v>
      </c>
      <c r="DQ9" s="4">
        <f>_xlfn.XLOOKUP(B9,'BASE DE EXCEL'!$C:$C,'BASE DE EXCEL'!AK:AK,"NO HAY REFERENCIA")</f>
        <v>46038</v>
      </c>
      <c r="DR9" s="3">
        <f>_xlfn.XLOOKUP(B9,'BASE DE EXCEL'!$C:$C,'BASE DE EXCEL'!AL:AL,"NO HAY REFERENCIA")</f>
        <v>6</v>
      </c>
      <c r="DS9" s="3" t="str">
        <f>_xlfn.XLOOKUP(B9,'BASE DE EXCEL'!$C:$C,'BASE DE EXCEL'!AM:AM,"NO HAY REFERENCIA")</f>
        <v>6 a 10 días</v>
      </c>
      <c r="DT9" s="3" t="str">
        <f>_xlfn.XLOOKUP(B9,'BASE DE EXCEL'!$C:$C,'BASE DE EXCEL'!AN:AN,"NO HAY REFERENCIA")</f>
        <v>On Time</v>
      </c>
      <c r="DU9" s="3">
        <f>_xlfn.XLOOKUP(B9,'BASE DE EXCEL'!$C:$C,'BASE DE EXCEL'!AO:AO,"NO HAY REFERENCIA")</f>
        <v>1</v>
      </c>
      <c r="DV9" s="3" t="str">
        <f>_xlfn.XLOOKUP(B9,'BASE DE EXCEL'!$C:$C,'BASE DE EXCEL'!AP:AP,"NO HAY REFERENCIA")</f>
        <v>Es anterior</v>
      </c>
      <c r="DW9" s="3" t="str">
        <f>_xlfn.XLOOKUP(B9,'BASE DE EXCEL'!$C:$C,'BASE DE EXCEL'!AQ:AQ,"NO HAY REFERENCIA")</f>
        <v>A1</v>
      </c>
      <c r="DX9" s="3" t="str">
        <f>_xlfn.XLOOKUP(B9,'BASE DE EXCEL'!$C:$C,'BASE DE EXCEL'!AR:AR,"NO HAY REFERENCIA")</f>
        <v>ZULEIMA PEREZ RUIZ</v>
      </c>
      <c r="DY9" s="3" t="str">
        <f>_xlfn.XLOOKUP(B9,'BASE DE EXCEL'!$C:$C,'BASE DE EXCEL'!AS:AS,"NO HAY REFERENCIA")</f>
        <v>HLCUANR251131095</v>
      </c>
      <c r="DZ9" s="3" t="str">
        <f>_xlfn.XLOOKUP(B9,'BASE DE EXCEL'!$C:$C,'BASE DE EXCEL'!AT:AT,"NO HAY REFERENCIA")</f>
        <v>NULL</v>
      </c>
      <c r="EA9" s="3">
        <f>_xlfn.XLOOKUP(B9,'BASE DE EXCEL'!$C:$C,'BASE DE EXCEL'!AU:AU,"NO HAY REFERENCIA")</f>
        <v>6000072</v>
      </c>
      <c r="EB9" s="3" t="str">
        <f>_xlfn.XLOOKUP(B9,'BASE DE EXCEL'!$C:$C,'BASE DE EXCEL'!AV:AV,"NO HAY REFERENCIA")</f>
        <v>Importación</v>
      </c>
      <c r="EC9" s="3" t="str">
        <f>_xlfn.XLOOKUP(B9,'BASE DE EXCEL'!$C:$C,'BASE DE EXCEL'!AW:AW,"NO HAY REFERENCIA")</f>
        <v>CEFA SAFE (MEDICAMENTO DOSIFICADO DE USO VETERINARIO)</v>
      </c>
      <c r="ED9" s="3" t="str">
        <f>_xlfn.XLOOKUP(B9,'BASE DE EXCEL'!$C:$C,'BASE DE EXCEL'!AX:AX,"NO HAY REFERENCIA")</f>
        <v>SIN CLASIFICACION</v>
      </c>
      <c r="EE9" s="3">
        <f>_xlfn.XLOOKUP(B9,'BASE DE EXCEL'!$C:$C,'BASE DE EXCEL'!AY:AY,"NO HAY REFERENCIA")</f>
        <v>0</v>
      </c>
      <c r="EF9" s="3" t="str">
        <f>_xlfn.XLOOKUP(B9,'BASE DE EXCEL'!$C:$C,'BASE DE EXCEL'!AZ:AZ,"NO HAY REFERENCIA")</f>
        <v>Cargas de Importación</v>
      </c>
      <c r="EG9" s="3" t="str">
        <f>_xlfn.XLOOKUP(B9,'BASE DE EXCEL'!$C:$C,'BASE DE EXCEL'!BA:BA,"NO HAY REFERENCIA")</f>
        <v>INTERVET MEXICO SA DE CV</v>
      </c>
      <c r="EH9" s="3">
        <f>_xlfn.XLOOKUP(B9,'BASE DE EXCEL'!$C:$C,'BASE DE EXCEL'!BB:BB,"NO HAY REFERENCIA")</f>
        <v>0</v>
      </c>
      <c r="EI9" s="3" t="str">
        <f>_xlfn.XLOOKUP(B9,'BASE DE EXCEL'!$C:$C,'BASE DE EXCEL'!BC:BC,"NO HAY REFERENCIA")</f>
        <v>NINGUNO</v>
      </c>
      <c r="EJ9" s="3">
        <f>_xlfn.XLOOKUP(B9,'BASE DE EXCEL'!$C:$C,'BASE DE EXCEL'!BD:BD,"NO HAY REFERENCIA")</f>
        <v>0</v>
      </c>
      <c r="EK9" s="3" t="str">
        <f>_xlfn.XLOOKUP(B9,'BASE DE EXCEL'!$C:$C,'BASE DE EXCEL'!BE:BE,"NO HAY REFERENCIA")</f>
        <v>NINGUNO</v>
      </c>
      <c r="EL9" s="3" t="str">
        <f>_xlfn.XLOOKUP(B9,'BASE DE EXCEL'!$C:$C,'BASE DE EXCEL'!BF:BF,"NO HAY REFERENCIA")</f>
        <v>PRODUCTO TERMINADO</v>
      </c>
      <c r="EM9" s="3" t="str">
        <f>_xlfn.XLOOKUP(B9,'BASE DE EXCEL'!$C:$C,'BASE DE EXCEL'!BG:BG,"NO HAY REFERENCIA")</f>
        <v>Verde</v>
      </c>
      <c r="EN9" s="3" t="str">
        <f>_xlfn.XLOOKUP(B9,'BASE DE EXCEL'!$C:$C,'BASE DE EXCEL'!BH:BH,"NO HAY REFERENCIA")</f>
        <v xml:space="preserve"> SUPER EXPRESS DE CARGA FEDERAL S.A. DE C.V.</v>
      </c>
      <c r="EO9" s="3">
        <f>_xlfn.XLOOKUP(B9,'BASE DE EXCEL'!$C:$C,'BASE DE EXCEL'!BI:BI,"NO HAY REFERENCIA")</f>
        <v>0</v>
      </c>
      <c r="EP9" s="3" t="str">
        <f>_xlfn.XLOOKUP(B9,'BASE DE EXCEL'!$C:$C,'BASE DE EXCEL'!BJ:BJ,"NO HAY REFERENCIA")</f>
        <v>IME-T006</v>
      </c>
      <c r="EQ9" s="3" t="str">
        <f>_xlfn.XLOOKUP(B9,'BASE DE EXCEL'!$C:$C,'BASE DE EXCEL'!BK:BK,"NO HAY REFERENCIA")</f>
        <v>IME850329RH2</v>
      </c>
      <c r="ER9" s="3">
        <f>_xlfn.XLOOKUP(B9,'BASE DE EXCEL'!$C:$C,'BASE DE EXCEL'!BL:BL,"NO HAY REFERENCIA")</f>
        <v>0</v>
      </c>
      <c r="ES9" s="3" t="str">
        <f>_xlfn.XLOOKUP(B9,'BASE DE EXCEL'!$C:$C,'BASE DE EXCEL'!BM:BM,"NO HAY REFERENCIA")</f>
        <v>00,99</v>
      </c>
      <c r="ET9" s="3" t="str">
        <f>_xlfn.XLOOKUP(B9,'BASE DE EXCEL'!$C:$C,'BASE DE EXCEL'!BN:BN,"NO HAY REFERENCIA")</f>
        <v>LOTE: A217A05,LOTE: A219A02,LOTE: A219A01,LOTE: A217A03,LOTE: H107A01,LOTES: J550A01, J607A01,LOTE: 5677101,LOTE: A217A04</v>
      </c>
      <c r="EU9" s="3">
        <f>_xlfn.XLOOKUP(B9,'BASE DE EXCEL'!$C:$C,'BASE DE EXCEL'!BO:BO,"NO HAY REFERENCIA")</f>
        <v>90</v>
      </c>
      <c r="EV9" s="3" t="str">
        <f>_xlfn.XLOOKUP(B9,'BASE DE EXCEL'!$C:$C,'BASE DE EXCEL'!BP:BP,"NO HAY REFERENCIA")</f>
        <v xml:space="preserve"> 952448.23, 2181141.30, 863532.00</v>
      </c>
      <c r="EW9" s="3" t="str">
        <f>_xlfn.XLOOKUP(B9,'BASE DE EXCEL'!$C:$C,'BASE DE EXCEL'!BQ:BQ,"NO HAY REFERENCIA")</f>
        <v>KILO,KILO,KILO,KILO,KILO,KILO,KILO,KILO</v>
      </c>
      <c r="EX9" s="3">
        <f>_xlfn.XLOOKUP(B9,'BASE DE EXCEL'!$C:$C,'BASE DE EXCEL'!BR:BR,"NO HAY REFERENCIA")</f>
        <v>0</v>
      </c>
      <c r="EY9" s="3" t="str">
        <f>_xlfn.XLOOKUP(B9,'BASE DE EXCEL'!$C:$C,'BASE DE EXCEL'!BS:BS,"NO HAY REFERENCIA")</f>
        <v>ALEMANIA (REPUBLICA FEDERAL DE),PAISES BAJOS (REINO DE LOS) (HOLANDA)</v>
      </c>
      <c r="EZ9" s="3" t="str">
        <f>_xlfn.XLOOKUP(B9,'BASE DE EXCEL'!$C:$C,'BASE DE EXCEL'!BT:BT,"NO HAY REFERENCIA")</f>
        <v>PAISES BAJOS (REINO DE LOS) (HOLANDA)</v>
      </c>
      <c r="FA9" s="3" t="str">
        <f>_xlfn.XLOOKUP(B9,'BASE DE EXCEL'!$C:$C,'BASE DE EXCEL'!BU:BU,"NO HAY REFERENCIA")</f>
        <v>DEU,ZYA</v>
      </c>
      <c r="FB9" s="3" t="str">
        <f>_xlfn.XLOOKUP(B9,'BASE DE EXCEL'!$C:$C,'BASE DE EXCEL'!BV:BV,"NO HAY REFERENCIA")</f>
        <v>ZYA</v>
      </c>
      <c r="FC9" s="3">
        <f>_xlfn.XLOOKUP(B9,QUERY!$C:$C,QUERY!D:D)</f>
        <v>430</v>
      </c>
      <c r="FD9" s="4">
        <f>_xlfn.XLOOKUP(B9,QUERY!$C:$C,QUERY!E:E)</f>
        <v>46029</v>
      </c>
      <c r="FE9" s="3">
        <f>_xlfn.XLOOKUP(B9,QUERY!$C:$C,QUERY!F:F)</f>
        <v>1</v>
      </c>
      <c r="FF9" s="4">
        <f>_xlfn.XLOOKUP(B9,QUERY!$C:$C,QUERY!G:G)</f>
        <v>46025</v>
      </c>
      <c r="FG9" s="4">
        <f>_xlfn.XLOOKUP(B9,QUERY!$C:$C,QUERY!H:H)</f>
        <v>46029</v>
      </c>
      <c r="FH9" s="3">
        <f>_xlfn.XLOOKUP(B9,QUERY!$C:$C,QUERY!I:I)</f>
        <v>2</v>
      </c>
      <c r="FI9" s="3" t="str">
        <f>_xlfn.XLOOKUP(B9,QUERY!$C:$C,QUERY!J:J)</f>
        <v>2 a 3 días</v>
      </c>
      <c r="FJ9" s="4">
        <f>_xlfn.XLOOKUP(B9,QUERY!$C:$C,QUERY!K:K)</f>
        <v>46030</v>
      </c>
      <c r="FK9" s="3">
        <f>_xlfn.XLOOKUP(B9,QUERY!$C:$C,QUERY!L:L)</f>
        <v>3</v>
      </c>
      <c r="FL9" s="3" t="str">
        <f>_xlfn.XLOOKUP(B9,QUERY!$C:$C,QUERY!M:M)</f>
        <v>2 a 3 días</v>
      </c>
      <c r="FM9" s="3">
        <f>_xlfn.XLOOKUP(B9,QUERY!$C:$C,QUERY!N:N)</f>
        <v>1</v>
      </c>
      <c r="FN9" s="3" t="str">
        <f>_xlfn.XLOOKUP(B9,QUERY!$C:$C,QUERY!O:O)</f>
        <v>1 día o menos</v>
      </c>
      <c r="FO9" s="3">
        <f>_xlfn.XLOOKUP(B9,QUERY!$C:$C,QUERY!P:P)</f>
        <v>1</v>
      </c>
      <c r="FP9" s="3">
        <f>_xlfn.XLOOKUP(B9,QUERY!$C:$C,QUERY!Q:Q)</f>
        <v>1</v>
      </c>
      <c r="FQ9" s="3" t="str">
        <f>_xlfn.XLOOKUP(B9,QUERY!$C:$C,QUERY!R:R)</f>
        <v>1 día o menos</v>
      </c>
      <c r="FR9" s="4">
        <f>_xlfn.XLOOKUP(B9,QUERY!$C:$C,QUERY!S:S)</f>
        <v>46031</v>
      </c>
      <c r="FS9" s="3">
        <f>_xlfn.XLOOKUP(B9,QUERY!$C:$C,QUERY!T:T)</f>
        <v>4</v>
      </c>
      <c r="FT9" s="3" t="str">
        <f>_xlfn.XLOOKUP(B9,QUERY!$C:$C,QUERY!U:U)</f>
        <v>4 a 5 días</v>
      </c>
      <c r="FU9" s="3">
        <f>_xlfn.XLOOKUP(B9,QUERY!$C:$C,QUERY!V:V)</f>
        <v>9</v>
      </c>
      <c r="FV9" s="3" t="str">
        <f>_xlfn.XLOOKUP(B9,QUERY!$C:$C,QUERY!W:W)</f>
        <v>6 a 10 días</v>
      </c>
      <c r="FW9" s="4">
        <f>_xlfn.XLOOKUP(B9,QUERY!$C:$C,QUERY!X:X)</f>
        <v>46038</v>
      </c>
      <c r="FX9" s="3">
        <f>_xlfn.XLOOKUP(B9,QUERY!$C:$C,QUERY!Y:Y)</f>
        <v>5</v>
      </c>
      <c r="FY9" s="3">
        <f>_xlfn.XLOOKUP(B9,QUERY!$C:$C,QUERY!Z:Z)</f>
        <v>5</v>
      </c>
      <c r="FZ9" s="4" t="str">
        <f>_xlfn.XLOOKUP(B9,QUERY!$C:$C,QUERY!AA:AA)</f>
        <v>6 a 10 días</v>
      </c>
      <c r="GA9" s="4">
        <f>_xlfn.XLOOKUP(B9,QUERY!$C:$C,QUERY!AB:AB)</f>
        <v>46038</v>
      </c>
      <c r="GB9" s="4">
        <f>_xlfn.XLOOKUP(B9,QUERY!$C:$C,QUERY!AC:AC)</f>
        <v>46038</v>
      </c>
      <c r="GC9" s="3">
        <f>_xlfn.XLOOKUP(B9,QUERY!$C:$C,QUERY!AD:AD)</f>
        <v>0</v>
      </c>
      <c r="GD9" s="4">
        <f>_xlfn.XLOOKUP(B9,QUERY!$C:$C,QUERY!AE:AE)</f>
        <v>46038</v>
      </c>
      <c r="GE9" s="3">
        <f>_xlfn.XLOOKUP(B9,QUERY!$C:$C,QUERY!AF:AF)</f>
        <v>1</v>
      </c>
      <c r="GF9" s="4" t="str">
        <f>_xlfn.XLOOKUP(B9,QUERY!$C:$C,QUERY!AG:AG)</f>
        <v>Es anterior</v>
      </c>
      <c r="GG9" s="3" t="str">
        <f>_xlfn.XLOOKUP(B9,QUERY!$C:$C,QUERY!AH:AH)</f>
        <v>A1</v>
      </c>
      <c r="GH9" s="3" t="str">
        <f>_xlfn.XLOOKUP(B9,QUERY!$C:$C,QUERY!AI:AI)</f>
        <v>ZULEIMA PEREZ RUIZ</v>
      </c>
      <c r="GI9" s="3" t="str">
        <f>_xlfn.XLOOKUP(B9,QUERY!$C:$C,QUERY!AJ:AJ)</f>
        <v>HLCUANR251131095</v>
      </c>
      <c r="GJ9" s="3" t="str">
        <f>_xlfn.XLOOKUP(B9,QUERY!$C:$C,QUERY!AK:AK)</f>
        <v>NULL</v>
      </c>
      <c r="GK9" s="3">
        <f>_xlfn.XLOOKUP(B9,QUERY!$C:$C,QUERY!AL:AL)</f>
        <v>6000072</v>
      </c>
      <c r="GL9" s="3" t="str">
        <f>_xlfn.XLOOKUP(B9,QUERY!$C:$C,QUERY!AM:AM)</f>
        <v>Importación</v>
      </c>
      <c r="GM9" s="3" t="str">
        <f>_xlfn.XLOOKUP(B9,QUERY!$C:$C,QUERY!AN:AN)</f>
        <v>CEFA SAFE (MEDICAMENTO DOSIFICADO DE USO VETERINARIO)</v>
      </c>
      <c r="GN9" s="3" t="str">
        <f>_xlfn.XLOOKUP(B9,QUERY!$C:$C,QUERY!AO:AO)</f>
        <v>SIN CLASIFICACION</v>
      </c>
      <c r="GO9" s="3">
        <f>_xlfn.XLOOKUP(B9,QUERY!$C:$C,QUERY!AP:AP)</f>
        <v>0</v>
      </c>
      <c r="GP9" s="3" t="str">
        <f>_xlfn.XLOOKUP(B9,QUERY!$C:$C,QUERY!AQ:AQ)</f>
        <v>Cargas de Importación</v>
      </c>
      <c r="GQ9" s="3" t="str">
        <f>_xlfn.XLOOKUP(B9,QUERY!$C:$C,QUERY!AR:AR)</f>
        <v>INTERVET MEXICO SA DE CV</v>
      </c>
      <c r="GR9" s="3">
        <f>_xlfn.XLOOKUP(B9,QUERY!$C:$C,QUERY!AS:AS)</f>
        <v>0</v>
      </c>
      <c r="GS9" s="3" t="str">
        <f>_xlfn.XLOOKUP(B9,QUERY!$C:$C,QUERY!AT:AT)</f>
        <v>NINGUNO</v>
      </c>
      <c r="GT9" s="3">
        <f>_xlfn.XLOOKUP(B9,QUERY!$C:$C,QUERY!AU:AU)</f>
        <v>0</v>
      </c>
      <c r="GU9" s="3" t="str">
        <f>_xlfn.XLOOKUP(B9,QUERY!$C:$C,QUERY!AV:AV)</f>
        <v>NINGUNO</v>
      </c>
      <c r="GV9" s="3" t="str">
        <f>_xlfn.XLOOKUP(B9,QUERY!$C:$C,QUERY!AW:AW)</f>
        <v>PRODUCTO TERMINADO</v>
      </c>
      <c r="GW9" s="3" t="str">
        <f>_xlfn.XLOOKUP(B9,QUERY!$C:$C,QUERY!AX:AX)</f>
        <v>Verde</v>
      </c>
      <c r="GX9" s="3" t="str">
        <f>_xlfn.XLOOKUP(B9,QUERY!$C:$C,QUERY!AY:AY)</f>
        <v xml:space="preserve"> SUPER EXPRESS DE CARGA FEDERAL S.A. DE C.V.</v>
      </c>
      <c r="GY9" s="3">
        <f>_xlfn.XLOOKUP(B9,QUERY!$C:$C,QUERY!AZ:AZ)</f>
        <v>0</v>
      </c>
      <c r="GZ9" s="3" t="str">
        <f>_xlfn.XLOOKUP(B9,QUERY!$C:$C,QUERY!BA:BA)</f>
        <v>IME-T006</v>
      </c>
      <c r="HA9" s="3" t="str">
        <f>_xlfn.XLOOKUP(B9,QUERY!$C:$C,QUERY!BB:BB)</f>
        <v>IME850329RH2</v>
      </c>
      <c r="HB9" s="3">
        <f>_xlfn.XLOOKUP(B9,QUERY!$C:$C,QUERY!BC:BC)</f>
        <v>0</v>
      </c>
      <c r="HC9" s="3">
        <f>_xlfn.XLOOKUP(B9,QUERY!$C:$C,QUERY!BD:BD)</f>
        <v>0.99</v>
      </c>
      <c r="HD9" s="3" t="str">
        <f>_xlfn.XLOOKUP(B9,QUERY!$C:$C,QUERY!BE:BE)</f>
        <v>LOTE: A217A05,LOTE: A219A02,LOTE: A219A01,LOTE: A217A04,LOTE: A217A03,LOTE: H107A01,LOTES: J550A01, J607A01,LOTE: 5677101</v>
      </c>
      <c r="HE9" s="3">
        <f>_xlfn.XLOOKUP(B9,QUERY!$C:$C,QUERY!BF:BF)</f>
        <v>90</v>
      </c>
      <c r="HF9" s="3" t="str">
        <f>_xlfn.XLOOKUP(B9,QUERY!$C:$C,QUERY!BG:BG)</f>
        <v xml:space="preserve"> 952448.23, 2181141.30, 863532.00</v>
      </c>
      <c r="HG9" s="3" t="str">
        <f>_xlfn.XLOOKUP(B9,QUERY!$C:$C,QUERY!BH:BH)</f>
        <v>KILO,KILO,KILO,KILO,KILO,KILO,KILO,KILO</v>
      </c>
      <c r="HH9" s="3">
        <f>_xlfn.XLOOKUP(B9,QUERY!$C:$C,QUERY!BI:BI)</f>
        <v>0</v>
      </c>
      <c r="HI9" s="3" t="str">
        <f>_xlfn.XLOOKUP(B9,QUERY!$C:$C,QUERY!BJ:BJ)</f>
        <v>ALEMANIA (REPUBLICA FEDERAL DE),PAISES BAJOS (REINO DE LOS) (HOLANDA)</v>
      </c>
      <c r="HJ9" s="3" t="str">
        <f>_xlfn.XLOOKUP(B9,QUERY!$C:$C,QUERY!BK:BK)</f>
        <v>PAISES BAJOS (REINO DE LOS) (HOLANDA)</v>
      </c>
      <c r="HK9" s="3" t="str">
        <f>_xlfn.XLOOKUP(B9,QUERY!$C:$C,QUERY!BL:BL)</f>
        <v>DEU,ZYA</v>
      </c>
      <c r="HL9" s="3" t="str">
        <f>_xlfn.XLOOKUP(B9,QUERY!$C:$C,QUERY!BM:BM)</f>
        <v>ZYA</v>
      </c>
      <c r="HM9" s="3">
        <f>_xlfn.XLOOKUP(B9,QUERY!$C:$C,QUERY!BN:BN)</f>
        <v>3997122</v>
      </c>
      <c r="HN9" s="3" t="str">
        <f>_xlfn.XLOOKUP(B9,QUERY!$C:$C,QUERY!BO:BO)</f>
        <v>462.00</v>
      </c>
      <c r="HO9" s="3" t="str">
        <f>_xlfn.XLOOKUP(B9,QUERY!$C:$C,QUERY!BP:BP)</f>
        <v>NULL</v>
      </c>
      <c r="HP9" s="3" t="str">
        <f>_xlfn.XLOOKUP(B9,QUERY!$C:$C,QUERY!BQ:BQ)</f>
        <v>NULL</v>
      </c>
      <c r="HQ9" s="3" t="str">
        <f>_xlfn.XLOOKUP(B9,QUERY!$C:$C,QUERY!BR:BR)</f>
        <v>139939.61</v>
      </c>
      <c r="HR9" s="3">
        <f>_xlfn.XLOOKUP(B9,QUERY!$C:$C,QUERY!BS:BS)</f>
        <v>0</v>
      </c>
      <c r="HS9" s="3">
        <f>_xlfn.XLOOKUP(B9,QUERY!$C:$C,QUERY!BT:BT)</f>
        <v>0</v>
      </c>
      <c r="HT9" s="3" t="str">
        <f>_xlfn.XLOOKUP(B9,QUERY!$C:$C,QUERY!A:A)</f>
        <v>VERACRUZ</v>
      </c>
      <c r="HU9" s="3" t="str">
        <f>_xlfn.XLOOKUP(B9,QUERY!$C:$C,QUERY!B:B)</f>
        <v>MARÍTIMO VERACRUZ</v>
      </c>
    </row>
    <row r="10" spans="1:229" x14ac:dyDescent="0.25">
      <c r="A10" s="3" t="s">
        <v>90</v>
      </c>
      <c r="B10" s="7" t="s">
        <v>113</v>
      </c>
      <c r="C10" s="3">
        <v>3942</v>
      </c>
      <c r="D10" s="3">
        <v>6000072</v>
      </c>
      <c r="E10" s="3"/>
      <c r="F10" s="3" t="s">
        <v>92</v>
      </c>
      <c r="G10" s="3" t="s">
        <v>93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430</v>
      </c>
      <c r="S10" s="3" t="s">
        <v>114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123</v>
      </c>
      <c r="AB10" s="3"/>
      <c r="AC10" s="3">
        <v>1425144</v>
      </c>
      <c r="AD10" s="3">
        <v>748.5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/>
      <c r="AP10" s="3" t="s">
        <v>98</v>
      </c>
      <c r="AQ10" s="3">
        <v>210358509</v>
      </c>
      <c r="AR10" s="3" t="s">
        <v>99</v>
      </c>
      <c r="AS10" s="3" t="s">
        <v>100</v>
      </c>
      <c r="AT10" s="3">
        <v>0</v>
      </c>
      <c r="AU10" s="3">
        <v>0</v>
      </c>
      <c r="AV10" s="3">
        <v>0</v>
      </c>
      <c r="AW10" s="3">
        <v>30049099</v>
      </c>
      <c r="AX10" s="3">
        <v>99</v>
      </c>
      <c r="AY10" s="3">
        <v>1904</v>
      </c>
      <c r="AZ10" s="3">
        <v>1904</v>
      </c>
      <c r="BA10" s="3" t="s">
        <v>121</v>
      </c>
      <c r="BB10" s="3"/>
      <c r="BC10" s="3" t="s">
        <v>105</v>
      </c>
      <c r="BD10" s="3" t="s">
        <v>105</v>
      </c>
      <c r="BE10" s="3"/>
      <c r="BF10" s="3"/>
      <c r="BG10" s="5"/>
      <c r="BH10" s="3"/>
      <c r="BI10" s="3"/>
      <c r="BJ10" s="3"/>
      <c r="BK10" s="3" t="s">
        <v>122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 t="s">
        <v>111</v>
      </c>
      <c r="CF10" s="3">
        <v>0</v>
      </c>
      <c r="CG10" s="3">
        <v>0</v>
      </c>
      <c r="CH10" s="3">
        <v>0</v>
      </c>
      <c r="CI10" s="3" t="s">
        <v>112</v>
      </c>
      <c r="CJ10" s="3" t="s">
        <v>112</v>
      </c>
      <c r="CK10" s="3">
        <f>_xlfn.XLOOKUP($B$2,'BASE DE EXCEL'!C:C,'BASE DE EXCEL'!D:D,"NO HAY REFERENCIA")</f>
        <v>470</v>
      </c>
      <c r="CL10" s="5">
        <f>_xlfn.XLOOKUP($B$2,'BASE DE EXCEL'!$C:$C,'BASE DE EXCEL'!F:F,"NO HAY REFERENCIA")</f>
        <v>3</v>
      </c>
      <c r="CM10" s="4">
        <f>_xlfn.XLOOKUP($B$2,'BASE DE EXCEL'!$C:$C,'BASE DE EXCEL'!G:G,"NO HAY REFERENCIA")</f>
        <v>46080</v>
      </c>
      <c r="CN10" s="4">
        <f>_xlfn.XLOOKUP($B$2,'BASE DE EXCEL'!$C:$C,'BASE DE EXCEL'!H:H,"NO HAY REFERENCIA")</f>
        <v>46086</v>
      </c>
      <c r="CO10" s="3">
        <f>_xlfn.XLOOKUP($B$2,'BASE DE EXCEL'!$C:$C,'BASE DE EXCEL'!I:I,"NO HAY REFERENCIA")</f>
        <v>4</v>
      </c>
      <c r="CP10" s="3" t="str">
        <f>_xlfn.XLOOKUP($B$2,'BASE DE EXCEL'!$C:$C,'BASE DE EXCEL'!J:J,"NO HAY REFERENCIA")</f>
        <v>4 a 5 días</v>
      </c>
      <c r="CQ10" s="4">
        <f>_xlfn.XLOOKUP($B$2,'BASE DE EXCEL'!$C:$C,'BASE DE EXCEL'!K:K,"NO HAY REFERENCIA")</f>
        <v>46087</v>
      </c>
      <c r="CR10" s="3">
        <f>_xlfn.XLOOKUP($B$2,'BASE DE EXCEL'!$C:$C,'BASE DE EXCEL'!L:L,"NO HAY REFERENCIA")</f>
        <v>5</v>
      </c>
      <c r="CS10" s="3">
        <f>_xlfn.XLOOKUP($B$2,'BASE DE EXCEL'!$C:$C,'BASE DE EXCEL'!M:M,"NO HAY REFERENCIA")</f>
        <v>6</v>
      </c>
      <c r="CT10" s="3" t="str">
        <f>_xlfn.XLOOKUP($B$2,'BASE DE EXCEL'!$C:$C,'BASE DE EXCEL'!N:N,"NO HAY REFERENCIA")</f>
        <v>6 a 10 días</v>
      </c>
      <c r="CU10" s="3" t="str">
        <f>_xlfn.XLOOKUP($B$2,'BASE DE EXCEL'!$C:$C,'BASE DE EXCEL'!O:O,"NO HAY REFERENCIA")</f>
        <v>On Time</v>
      </c>
      <c r="CV10" s="3" t="str">
        <f>_xlfn.XLOOKUP(B10,'BASE DE EXCEL'!$C:$C,'BASE DE EXCEL'!P:P,"NO HAY REFERENCIA")</f>
        <v>4 a 5 días</v>
      </c>
      <c r="CW10" s="4">
        <f>_xlfn.XLOOKUP(B10,'BASE DE EXCEL'!$C:$C,'BASE DE EXCEL'!Q:Q,"NO HAY REFERENCIA")</f>
        <v>46031</v>
      </c>
      <c r="CX10" s="3">
        <f>_xlfn.XLOOKUP(B10,'BASE DE EXCEL'!$C:$C,'BASE DE EXCEL'!R:R,"NO HAY REFERENCIA")</f>
        <v>5</v>
      </c>
      <c r="CY10" s="3" t="str">
        <f>_xlfn.XLOOKUP(B10,'BASE DE EXCEL'!$C:$C,'BASE DE EXCEL'!S:S,"NO HAY REFERENCIA")</f>
        <v>4 a 5 días</v>
      </c>
      <c r="CZ10" s="3" t="str">
        <f>_xlfn.XLOOKUP(B10,'BASE DE EXCEL'!$C:$C,'BASE DE EXCEL'!T:T,"NO HAY REFERENCIA")</f>
        <v>On Time</v>
      </c>
      <c r="DA10" s="3">
        <f>_xlfn.XLOOKUP(B10,'BASE DE EXCEL'!$C:$C,'BASE DE EXCEL'!U:U,"NO HAY REFERENCIA")</f>
        <v>6</v>
      </c>
      <c r="DB10" s="3" t="str">
        <f>_xlfn.XLOOKUP(B10,'BASE DE EXCEL'!$C:$C,'BASE DE EXCEL'!V:V,"NO HAY REFERENCIA")</f>
        <v>4 a 5 días</v>
      </c>
      <c r="DC10" s="3">
        <f>_xlfn.XLOOKUP(B10,'BASE DE EXCEL'!$C:$C,'BASE DE EXCEL'!W:W,"NO HAY REFERENCIA")</f>
        <v>9</v>
      </c>
      <c r="DD10" s="3" t="str">
        <f>_xlfn.XLOOKUP(B10,'BASE DE EXCEL'!$C:$C,'BASE DE EXCEL'!X:X,"NO HAY REFERENCIA")</f>
        <v>6 a 10 días</v>
      </c>
      <c r="DE10" s="3">
        <f>_xlfn.XLOOKUP(B10,'BASE DE EXCEL'!$C:$C,'BASE DE EXCEL'!Y:Y,"NO HAY REFERENCIA")</f>
        <v>1</v>
      </c>
      <c r="DF10" s="3" t="str">
        <f>_xlfn.XLOOKUP(B10,'BASE DE EXCEL'!$C:$C,'BASE DE EXCEL'!Z:Z,"NO HAY REFERENCIA")</f>
        <v>1 día o menos</v>
      </c>
      <c r="DG10" s="3">
        <f>_xlfn.XLOOKUP(B10,'BASE DE EXCEL'!$C:$C,'BASE DE EXCEL'!AA:AA,"NO HAY REFERENCIA")</f>
        <v>4</v>
      </c>
      <c r="DH10" s="3">
        <f>_xlfn.XLOOKUP(B10,'BASE DE EXCEL'!$C:$C,'BASE DE EXCEL'!AB:AB,"NO HAY REFERENCIA")</f>
        <v>1</v>
      </c>
      <c r="DI10" s="3" t="str">
        <f>_xlfn.XLOOKUP(B10,'BASE DE EXCEL'!$C:$C,'BASE DE EXCEL'!AC:AC,"NO HAY REFERENCIA")</f>
        <v>1 día o menos</v>
      </c>
      <c r="DJ10" s="4">
        <f>_xlfn.XLOOKUP(B10,'BASE DE EXCEL'!$C:$C,'BASE DE EXCEL'!AD:AD,"NO HAY REFERENCIA")</f>
        <v>46038</v>
      </c>
      <c r="DK10" s="3">
        <f>_xlfn.XLOOKUP(B10,'BASE DE EXCEL'!$C:$C,'BASE DE EXCEL'!AE:AE,"NO HAY REFERENCIA")</f>
        <v>7</v>
      </c>
      <c r="DL10" s="3">
        <f>_xlfn.XLOOKUP(B10,'BASE DE EXCEL'!$C:$C,'BASE DE EXCEL'!AF:AF,"NO HAY REFERENCIA")</f>
        <v>5</v>
      </c>
      <c r="DM10" s="4">
        <f>_xlfn.XLOOKUP(B10,'BASE DE EXCEL'!$C:$C,'BASE DE EXCEL'!AG:AG,"NO HAY REFERENCIA")</f>
        <v>46038</v>
      </c>
      <c r="DN10" s="4">
        <f>_xlfn.XLOOKUP(B10,'BASE DE EXCEL'!$C:$C,'BASE DE EXCEL'!AH:AH,"NO HAY REFERENCIA")</f>
        <v>46038</v>
      </c>
      <c r="DO10" s="3">
        <f>_xlfn.XLOOKUP(B10,'BASE DE EXCEL'!$C:$C,'BASE DE EXCEL'!AI:AI,"NO HAY REFERENCIA")</f>
        <v>0</v>
      </c>
      <c r="DP10" s="4" t="str">
        <f>_xlfn.XLOOKUP(B10,'BASE DE EXCEL'!$C:$C,'BASE DE EXCEL'!AJ:AJ,"NO HAY REFERENCIA")</f>
        <v>6 a 10 días</v>
      </c>
      <c r="DQ10" s="4">
        <f>_xlfn.XLOOKUP(B10,'BASE DE EXCEL'!$C:$C,'BASE DE EXCEL'!AK:AK,"NO HAY REFERENCIA")</f>
        <v>46038</v>
      </c>
      <c r="DR10" s="3">
        <f>_xlfn.XLOOKUP(B10,'BASE DE EXCEL'!$C:$C,'BASE DE EXCEL'!AL:AL,"NO HAY REFERENCIA")</f>
        <v>6</v>
      </c>
      <c r="DS10" s="3" t="str">
        <f>_xlfn.XLOOKUP(B10,'BASE DE EXCEL'!$C:$C,'BASE DE EXCEL'!AM:AM,"NO HAY REFERENCIA")</f>
        <v>6 a 10 días</v>
      </c>
      <c r="DT10" s="3" t="str">
        <f>_xlfn.XLOOKUP(B10,'BASE DE EXCEL'!$C:$C,'BASE DE EXCEL'!AN:AN,"NO HAY REFERENCIA")</f>
        <v>On Time</v>
      </c>
      <c r="DU10" s="3">
        <f>_xlfn.XLOOKUP(B10,'BASE DE EXCEL'!$C:$C,'BASE DE EXCEL'!AO:AO,"NO HAY REFERENCIA")</f>
        <v>1</v>
      </c>
      <c r="DV10" s="3" t="str">
        <f>_xlfn.XLOOKUP(B10,'BASE DE EXCEL'!$C:$C,'BASE DE EXCEL'!AP:AP,"NO HAY REFERENCIA")</f>
        <v>Es anterior</v>
      </c>
      <c r="DW10" s="3" t="str">
        <f>_xlfn.XLOOKUP(B10,'BASE DE EXCEL'!$C:$C,'BASE DE EXCEL'!AQ:AQ,"NO HAY REFERENCIA")</f>
        <v>A1</v>
      </c>
      <c r="DX10" s="3" t="str">
        <f>_xlfn.XLOOKUP(B10,'BASE DE EXCEL'!$C:$C,'BASE DE EXCEL'!AR:AR,"NO HAY REFERENCIA")</f>
        <v>ZULEIMA PEREZ RUIZ</v>
      </c>
      <c r="DY10" s="3" t="str">
        <f>_xlfn.XLOOKUP(B10,'BASE DE EXCEL'!$C:$C,'BASE DE EXCEL'!AS:AS,"NO HAY REFERENCIA")</f>
        <v>HLCUANR251131095</v>
      </c>
      <c r="DZ10" s="3" t="str">
        <f>_xlfn.XLOOKUP(B10,'BASE DE EXCEL'!$C:$C,'BASE DE EXCEL'!AT:AT,"NO HAY REFERENCIA")</f>
        <v>NULL</v>
      </c>
      <c r="EA10" s="3">
        <f>_xlfn.XLOOKUP(B10,'BASE DE EXCEL'!$C:$C,'BASE DE EXCEL'!AU:AU,"NO HAY REFERENCIA")</f>
        <v>6000072</v>
      </c>
      <c r="EB10" s="3" t="str">
        <f>_xlfn.XLOOKUP(B10,'BASE DE EXCEL'!$C:$C,'BASE DE EXCEL'!AV:AV,"NO HAY REFERENCIA")</f>
        <v>Importación</v>
      </c>
      <c r="EC10" s="3" t="str">
        <f>_xlfn.XLOOKUP(B10,'BASE DE EXCEL'!$C:$C,'BASE DE EXCEL'!AW:AW,"NO HAY REFERENCIA")</f>
        <v>CEFA SAFE (MEDICAMENTO DOSIFICADO DE USO VETERINARIO)</v>
      </c>
      <c r="ED10" s="3" t="str">
        <f>_xlfn.XLOOKUP(B10,'BASE DE EXCEL'!$C:$C,'BASE DE EXCEL'!AX:AX,"NO HAY REFERENCIA")</f>
        <v>SIN CLASIFICACION</v>
      </c>
      <c r="EE10" s="3">
        <f>_xlfn.XLOOKUP(B10,'BASE DE EXCEL'!$C:$C,'BASE DE EXCEL'!AY:AY,"NO HAY REFERENCIA")</f>
        <v>0</v>
      </c>
      <c r="EF10" s="3" t="str">
        <f>_xlfn.XLOOKUP(B10,'BASE DE EXCEL'!$C:$C,'BASE DE EXCEL'!AZ:AZ,"NO HAY REFERENCIA")</f>
        <v>Cargas de Importación</v>
      </c>
      <c r="EG10" s="3" t="str">
        <f>_xlfn.XLOOKUP(B10,'BASE DE EXCEL'!$C:$C,'BASE DE EXCEL'!BA:BA,"NO HAY REFERENCIA")</f>
        <v>INTERVET MEXICO SA DE CV</v>
      </c>
      <c r="EH10" s="3">
        <f>_xlfn.XLOOKUP(B10,'BASE DE EXCEL'!$C:$C,'BASE DE EXCEL'!BB:BB,"NO HAY REFERENCIA")</f>
        <v>0</v>
      </c>
      <c r="EI10" s="3" t="str">
        <f>_xlfn.XLOOKUP(B10,'BASE DE EXCEL'!$C:$C,'BASE DE EXCEL'!BC:BC,"NO HAY REFERENCIA")</f>
        <v>NINGUNO</v>
      </c>
      <c r="EJ10" s="3">
        <f>_xlfn.XLOOKUP(B10,'BASE DE EXCEL'!$C:$C,'BASE DE EXCEL'!BD:BD,"NO HAY REFERENCIA")</f>
        <v>0</v>
      </c>
      <c r="EK10" s="3" t="str">
        <f>_xlfn.XLOOKUP(B10,'BASE DE EXCEL'!$C:$C,'BASE DE EXCEL'!BE:BE,"NO HAY REFERENCIA")</f>
        <v>NINGUNO</v>
      </c>
      <c r="EL10" s="3" t="str">
        <f>_xlfn.XLOOKUP(B10,'BASE DE EXCEL'!$C:$C,'BASE DE EXCEL'!BF:BF,"NO HAY REFERENCIA")</f>
        <v>PRODUCTO TERMINADO</v>
      </c>
      <c r="EM10" s="3" t="str">
        <f>_xlfn.XLOOKUP(B10,'BASE DE EXCEL'!$C:$C,'BASE DE EXCEL'!BG:BG,"NO HAY REFERENCIA")</f>
        <v>Verde</v>
      </c>
      <c r="EN10" s="3" t="str">
        <f>_xlfn.XLOOKUP(B10,'BASE DE EXCEL'!$C:$C,'BASE DE EXCEL'!BH:BH,"NO HAY REFERENCIA")</f>
        <v xml:space="preserve"> SUPER EXPRESS DE CARGA FEDERAL S.A. DE C.V.</v>
      </c>
      <c r="EO10" s="3">
        <f>_xlfn.XLOOKUP(B10,'BASE DE EXCEL'!$C:$C,'BASE DE EXCEL'!BI:BI,"NO HAY REFERENCIA")</f>
        <v>0</v>
      </c>
      <c r="EP10" s="3" t="str">
        <f>_xlfn.XLOOKUP(B10,'BASE DE EXCEL'!$C:$C,'BASE DE EXCEL'!BJ:BJ,"NO HAY REFERENCIA")</f>
        <v>IME-T006</v>
      </c>
      <c r="EQ10" s="3" t="str">
        <f>_xlfn.XLOOKUP(B10,'BASE DE EXCEL'!$C:$C,'BASE DE EXCEL'!BK:BK,"NO HAY REFERENCIA")</f>
        <v>IME850329RH2</v>
      </c>
      <c r="ER10" s="3">
        <f>_xlfn.XLOOKUP(B10,'BASE DE EXCEL'!$C:$C,'BASE DE EXCEL'!BL:BL,"NO HAY REFERENCIA")</f>
        <v>0</v>
      </c>
      <c r="ES10" s="3" t="str">
        <f>_xlfn.XLOOKUP(B10,'BASE DE EXCEL'!$C:$C,'BASE DE EXCEL'!BM:BM,"NO HAY REFERENCIA")</f>
        <v>00,99</v>
      </c>
      <c r="ET10" s="3" t="str">
        <f>_xlfn.XLOOKUP(B10,'BASE DE EXCEL'!$C:$C,'BASE DE EXCEL'!BN:BN,"NO HAY REFERENCIA")</f>
        <v>LOTE: A217A05,LOTE: A219A02,LOTE: A219A01,LOTE: A217A03,LOTE: H107A01,LOTES: J550A01, J607A01,LOTE: 5677101,LOTE: A217A04</v>
      </c>
      <c r="EU10" s="3">
        <f>_xlfn.XLOOKUP(B10,'BASE DE EXCEL'!$C:$C,'BASE DE EXCEL'!BO:BO,"NO HAY REFERENCIA")</f>
        <v>90</v>
      </c>
      <c r="EV10" s="3" t="str">
        <f>_xlfn.XLOOKUP(B10,'BASE DE EXCEL'!$C:$C,'BASE DE EXCEL'!BP:BP,"NO HAY REFERENCIA")</f>
        <v xml:space="preserve"> 952448.23, 2181141.30, 863532.00</v>
      </c>
      <c r="EW10" s="3" t="str">
        <f>_xlfn.XLOOKUP(B10,'BASE DE EXCEL'!$C:$C,'BASE DE EXCEL'!BQ:BQ,"NO HAY REFERENCIA")</f>
        <v>KILO,KILO,KILO,KILO,KILO,KILO,KILO,KILO</v>
      </c>
      <c r="EX10" s="3">
        <f>_xlfn.XLOOKUP(B10,'BASE DE EXCEL'!$C:$C,'BASE DE EXCEL'!BR:BR,"NO HAY REFERENCIA")</f>
        <v>0</v>
      </c>
      <c r="EY10" s="3" t="str">
        <f>_xlfn.XLOOKUP(B10,'BASE DE EXCEL'!$C:$C,'BASE DE EXCEL'!BS:BS,"NO HAY REFERENCIA")</f>
        <v>ALEMANIA (REPUBLICA FEDERAL DE),PAISES BAJOS (REINO DE LOS) (HOLANDA)</v>
      </c>
      <c r="EZ10" s="3" t="str">
        <f>_xlfn.XLOOKUP(B10,'BASE DE EXCEL'!$C:$C,'BASE DE EXCEL'!BT:BT,"NO HAY REFERENCIA")</f>
        <v>PAISES BAJOS (REINO DE LOS) (HOLANDA)</v>
      </c>
      <c r="FA10" s="3" t="str">
        <f>_xlfn.XLOOKUP(B10,'BASE DE EXCEL'!$C:$C,'BASE DE EXCEL'!BU:BU,"NO HAY REFERENCIA")</f>
        <v>DEU,ZYA</v>
      </c>
      <c r="FB10" s="3" t="str">
        <f>_xlfn.XLOOKUP(B10,'BASE DE EXCEL'!$C:$C,'BASE DE EXCEL'!BV:BV,"NO HAY REFERENCIA")</f>
        <v>ZYA</v>
      </c>
      <c r="FC10" s="3">
        <f>_xlfn.XLOOKUP(B10,QUERY!$C:$C,QUERY!D:D)</f>
        <v>430</v>
      </c>
      <c r="FD10" s="4">
        <f>_xlfn.XLOOKUP(B10,QUERY!$C:$C,QUERY!E:E)</f>
        <v>46029</v>
      </c>
      <c r="FE10" s="3">
        <f>_xlfn.XLOOKUP(B10,QUERY!$C:$C,QUERY!F:F)</f>
        <v>1</v>
      </c>
      <c r="FF10" s="4">
        <f>_xlfn.XLOOKUP(B10,QUERY!$C:$C,QUERY!G:G)</f>
        <v>46025</v>
      </c>
      <c r="FG10" s="4">
        <f>_xlfn.XLOOKUP(B10,QUERY!$C:$C,QUERY!H:H)</f>
        <v>46029</v>
      </c>
      <c r="FH10" s="3">
        <f>_xlfn.XLOOKUP(B10,QUERY!$C:$C,QUERY!I:I)</f>
        <v>2</v>
      </c>
      <c r="FI10" s="3" t="str">
        <f>_xlfn.XLOOKUP(B10,QUERY!$C:$C,QUERY!J:J)</f>
        <v>2 a 3 días</v>
      </c>
      <c r="FJ10" s="4">
        <f>_xlfn.XLOOKUP(B10,QUERY!$C:$C,QUERY!K:K)</f>
        <v>46030</v>
      </c>
      <c r="FK10" s="3">
        <f>_xlfn.XLOOKUP(B10,QUERY!$C:$C,QUERY!L:L)</f>
        <v>3</v>
      </c>
      <c r="FL10" s="3" t="str">
        <f>_xlfn.XLOOKUP(B10,QUERY!$C:$C,QUERY!M:M)</f>
        <v>2 a 3 días</v>
      </c>
      <c r="FM10" s="3">
        <f>_xlfn.XLOOKUP(B10,QUERY!$C:$C,QUERY!N:N)</f>
        <v>1</v>
      </c>
      <c r="FN10" s="3" t="str">
        <f>_xlfn.XLOOKUP(B10,QUERY!$C:$C,QUERY!O:O)</f>
        <v>1 día o menos</v>
      </c>
      <c r="FO10" s="3">
        <f>_xlfn.XLOOKUP(B10,QUERY!$C:$C,QUERY!P:P)</f>
        <v>1</v>
      </c>
      <c r="FP10" s="3">
        <f>_xlfn.XLOOKUP(B10,QUERY!$C:$C,QUERY!Q:Q)</f>
        <v>1</v>
      </c>
      <c r="FQ10" s="3" t="str">
        <f>_xlfn.XLOOKUP(B10,QUERY!$C:$C,QUERY!R:R)</f>
        <v>1 día o menos</v>
      </c>
      <c r="FR10" s="4">
        <f>_xlfn.XLOOKUP(B10,QUERY!$C:$C,QUERY!S:S)</f>
        <v>46031</v>
      </c>
      <c r="FS10" s="3">
        <f>_xlfn.XLOOKUP(B10,QUERY!$C:$C,QUERY!T:T)</f>
        <v>4</v>
      </c>
      <c r="FT10" s="3" t="str">
        <f>_xlfn.XLOOKUP(B10,QUERY!$C:$C,QUERY!U:U)</f>
        <v>4 a 5 días</v>
      </c>
      <c r="FU10" s="3">
        <f>_xlfn.XLOOKUP(B10,QUERY!$C:$C,QUERY!V:V)</f>
        <v>9</v>
      </c>
      <c r="FV10" s="3" t="str">
        <f>_xlfn.XLOOKUP(B10,QUERY!$C:$C,QUERY!W:W)</f>
        <v>6 a 10 días</v>
      </c>
      <c r="FW10" s="4">
        <f>_xlfn.XLOOKUP(B10,QUERY!$C:$C,QUERY!X:X)</f>
        <v>46038</v>
      </c>
      <c r="FX10" s="3">
        <f>_xlfn.XLOOKUP(B10,QUERY!$C:$C,QUERY!Y:Y)</f>
        <v>5</v>
      </c>
      <c r="FY10" s="3">
        <f>_xlfn.XLOOKUP(B10,QUERY!$C:$C,QUERY!Z:Z)</f>
        <v>5</v>
      </c>
      <c r="FZ10" s="4" t="str">
        <f>_xlfn.XLOOKUP(B10,QUERY!$C:$C,QUERY!AA:AA)</f>
        <v>6 a 10 días</v>
      </c>
      <c r="GA10" s="4">
        <f>_xlfn.XLOOKUP(B10,QUERY!$C:$C,QUERY!AB:AB)</f>
        <v>46038</v>
      </c>
      <c r="GB10" s="4">
        <f>_xlfn.XLOOKUP(B10,QUERY!$C:$C,QUERY!AC:AC)</f>
        <v>46038</v>
      </c>
      <c r="GC10" s="3">
        <f>_xlfn.XLOOKUP(B10,QUERY!$C:$C,QUERY!AD:AD)</f>
        <v>0</v>
      </c>
      <c r="GD10" s="4">
        <f>_xlfn.XLOOKUP(B10,QUERY!$C:$C,QUERY!AE:AE)</f>
        <v>46038</v>
      </c>
      <c r="GE10" s="3">
        <f>_xlfn.XLOOKUP(B10,QUERY!$C:$C,QUERY!AF:AF)</f>
        <v>1</v>
      </c>
      <c r="GF10" s="4" t="str">
        <f>_xlfn.XLOOKUP(B10,QUERY!$C:$C,QUERY!AG:AG)</f>
        <v>Es anterior</v>
      </c>
      <c r="GG10" s="3" t="str">
        <f>_xlfn.XLOOKUP(B10,QUERY!$C:$C,QUERY!AH:AH)</f>
        <v>A1</v>
      </c>
      <c r="GH10" s="3" t="str">
        <f>_xlfn.XLOOKUP(B10,QUERY!$C:$C,QUERY!AI:AI)</f>
        <v>ZULEIMA PEREZ RUIZ</v>
      </c>
      <c r="GI10" s="3" t="str">
        <f>_xlfn.XLOOKUP(B10,QUERY!$C:$C,QUERY!AJ:AJ)</f>
        <v>HLCUANR251131095</v>
      </c>
      <c r="GJ10" s="3" t="str">
        <f>_xlfn.XLOOKUP(B10,QUERY!$C:$C,QUERY!AK:AK)</f>
        <v>NULL</v>
      </c>
      <c r="GK10" s="3">
        <f>_xlfn.XLOOKUP(B10,QUERY!$C:$C,QUERY!AL:AL)</f>
        <v>6000072</v>
      </c>
      <c r="GL10" s="3" t="str">
        <f>_xlfn.XLOOKUP(B10,QUERY!$C:$C,QUERY!AM:AM)</f>
        <v>Importación</v>
      </c>
      <c r="GM10" s="3" t="str">
        <f>_xlfn.XLOOKUP(B10,QUERY!$C:$C,QUERY!AN:AN)</f>
        <v>CEFA SAFE (MEDICAMENTO DOSIFICADO DE USO VETERINARIO)</v>
      </c>
      <c r="GN10" s="3" t="str">
        <f>_xlfn.XLOOKUP(B10,QUERY!$C:$C,QUERY!AO:AO)</f>
        <v>SIN CLASIFICACION</v>
      </c>
      <c r="GO10" s="3">
        <f>_xlfn.XLOOKUP(B10,QUERY!$C:$C,QUERY!AP:AP)</f>
        <v>0</v>
      </c>
      <c r="GP10" s="3" t="str">
        <f>_xlfn.XLOOKUP(B10,QUERY!$C:$C,QUERY!AQ:AQ)</f>
        <v>Cargas de Importación</v>
      </c>
      <c r="GQ10" s="3" t="str">
        <f>_xlfn.XLOOKUP(B10,QUERY!$C:$C,QUERY!AR:AR)</f>
        <v>INTERVET MEXICO SA DE CV</v>
      </c>
      <c r="GR10" s="3">
        <f>_xlfn.XLOOKUP(B10,QUERY!$C:$C,QUERY!AS:AS)</f>
        <v>0</v>
      </c>
      <c r="GS10" s="3" t="str">
        <f>_xlfn.XLOOKUP(B10,QUERY!$C:$C,QUERY!AT:AT)</f>
        <v>NINGUNO</v>
      </c>
      <c r="GT10" s="3">
        <f>_xlfn.XLOOKUP(B10,QUERY!$C:$C,QUERY!AU:AU)</f>
        <v>0</v>
      </c>
      <c r="GU10" s="3" t="str">
        <f>_xlfn.XLOOKUP(B10,QUERY!$C:$C,QUERY!AV:AV)</f>
        <v>NINGUNO</v>
      </c>
      <c r="GV10" s="3" t="str">
        <f>_xlfn.XLOOKUP(B10,QUERY!$C:$C,QUERY!AW:AW)</f>
        <v>PRODUCTO TERMINADO</v>
      </c>
      <c r="GW10" s="3" t="str">
        <f>_xlfn.XLOOKUP(B10,QUERY!$C:$C,QUERY!AX:AX)</f>
        <v>Verde</v>
      </c>
      <c r="GX10" s="3" t="str">
        <f>_xlfn.XLOOKUP(B10,QUERY!$C:$C,QUERY!AY:AY)</f>
        <v xml:space="preserve"> SUPER EXPRESS DE CARGA FEDERAL S.A. DE C.V.</v>
      </c>
      <c r="GY10" s="3">
        <f>_xlfn.XLOOKUP(B10,QUERY!$C:$C,QUERY!AZ:AZ)</f>
        <v>0</v>
      </c>
      <c r="GZ10" s="3" t="str">
        <f>_xlfn.XLOOKUP(B10,QUERY!$C:$C,QUERY!BA:BA)</f>
        <v>IME-T006</v>
      </c>
      <c r="HA10" s="3" t="str">
        <f>_xlfn.XLOOKUP(B10,QUERY!$C:$C,QUERY!BB:BB)</f>
        <v>IME850329RH2</v>
      </c>
      <c r="HB10" s="3">
        <f>_xlfn.XLOOKUP(B10,QUERY!$C:$C,QUERY!BC:BC)</f>
        <v>0</v>
      </c>
      <c r="HC10" s="3">
        <f>_xlfn.XLOOKUP(B10,QUERY!$C:$C,QUERY!BD:BD)</f>
        <v>0.99</v>
      </c>
      <c r="HD10" s="3" t="str">
        <f>_xlfn.XLOOKUP(B10,QUERY!$C:$C,QUERY!BE:BE)</f>
        <v>LOTE: A217A05,LOTE: A219A02,LOTE: A219A01,LOTE: A217A04,LOTE: A217A03,LOTE: H107A01,LOTES: J550A01, J607A01,LOTE: 5677101</v>
      </c>
      <c r="HE10" s="3">
        <f>_xlfn.XLOOKUP(B10,QUERY!$C:$C,QUERY!BF:BF)</f>
        <v>90</v>
      </c>
      <c r="HF10" s="3" t="str">
        <f>_xlfn.XLOOKUP(B10,QUERY!$C:$C,QUERY!BG:BG)</f>
        <v xml:space="preserve"> 952448.23, 2181141.30, 863532.00</v>
      </c>
      <c r="HG10" s="3" t="str">
        <f>_xlfn.XLOOKUP(B10,QUERY!$C:$C,QUERY!BH:BH)</f>
        <v>KILO,KILO,KILO,KILO,KILO,KILO,KILO,KILO</v>
      </c>
      <c r="HH10" s="3">
        <f>_xlfn.XLOOKUP(B10,QUERY!$C:$C,QUERY!BI:BI)</f>
        <v>0</v>
      </c>
      <c r="HI10" s="3" t="str">
        <f>_xlfn.XLOOKUP(B10,QUERY!$C:$C,QUERY!BJ:BJ)</f>
        <v>ALEMANIA (REPUBLICA FEDERAL DE),PAISES BAJOS (REINO DE LOS) (HOLANDA)</v>
      </c>
      <c r="HJ10" s="3" t="str">
        <f>_xlfn.XLOOKUP(B10,QUERY!$C:$C,QUERY!BK:BK)</f>
        <v>PAISES BAJOS (REINO DE LOS) (HOLANDA)</v>
      </c>
      <c r="HK10" s="3" t="str">
        <f>_xlfn.XLOOKUP(B10,QUERY!$C:$C,QUERY!BL:BL)</f>
        <v>DEU,ZYA</v>
      </c>
      <c r="HL10" s="3" t="str">
        <f>_xlfn.XLOOKUP(B10,QUERY!$C:$C,QUERY!BM:BM)</f>
        <v>ZYA</v>
      </c>
      <c r="HM10" s="3">
        <f>_xlfn.XLOOKUP(B10,QUERY!$C:$C,QUERY!BN:BN)</f>
        <v>3997122</v>
      </c>
      <c r="HN10" s="3" t="str">
        <f>_xlfn.XLOOKUP(B10,QUERY!$C:$C,QUERY!BO:BO)</f>
        <v>462.00</v>
      </c>
      <c r="HO10" s="3" t="str">
        <f>_xlfn.XLOOKUP(B10,QUERY!$C:$C,QUERY!BP:BP)</f>
        <v>NULL</v>
      </c>
      <c r="HP10" s="3" t="str">
        <f>_xlfn.XLOOKUP(B10,QUERY!$C:$C,QUERY!BQ:BQ)</f>
        <v>NULL</v>
      </c>
      <c r="HQ10" s="3" t="str">
        <f>_xlfn.XLOOKUP(B10,QUERY!$C:$C,QUERY!BR:BR)</f>
        <v>139939.61</v>
      </c>
      <c r="HR10" s="3">
        <f>_xlfn.XLOOKUP(B10,QUERY!$C:$C,QUERY!BS:BS)</f>
        <v>0</v>
      </c>
      <c r="HS10" s="3">
        <f>_xlfn.XLOOKUP(B10,QUERY!$C:$C,QUERY!BT:BT)</f>
        <v>0</v>
      </c>
      <c r="HT10" s="3" t="str">
        <f>_xlfn.XLOOKUP(B10,QUERY!$C:$C,QUERY!A:A)</f>
        <v>VERACRUZ</v>
      </c>
      <c r="HU10" s="3" t="str">
        <f>_xlfn.XLOOKUP(B10,QUERY!$C:$C,QUERY!B:B)</f>
        <v>MARÍTIMO VERACRUZ</v>
      </c>
    </row>
    <row r="11" spans="1:229" x14ac:dyDescent="0.25">
      <c r="A11" s="3" t="s">
        <v>90</v>
      </c>
      <c r="B11" s="7" t="s">
        <v>113</v>
      </c>
      <c r="C11" s="3">
        <v>3942</v>
      </c>
      <c r="D11" s="3">
        <v>6000072</v>
      </c>
      <c r="E11" s="3"/>
      <c r="F11" s="3" t="s">
        <v>92</v>
      </c>
      <c r="G11" s="3" t="s">
        <v>93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430</v>
      </c>
      <c r="S11" s="3" t="s">
        <v>114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124</v>
      </c>
      <c r="AB11" s="3"/>
      <c r="AC11" s="3">
        <v>203925</v>
      </c>
      <c r="AD11" s="3">
        <v>325.23923000000002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/>
      <c r="AP11" s="3" t="s">
        <v>98</v>
      </c>
      <c r="AQ11" s="3">
        <v>210358509</v>
      </c>
      <c r="AR11" s="3" t="s">
        <v>99</v>
      </c>
      <c r="AS11" s="3" t="s">
        <v>100</v>
      </c>
      <c r="AT11" s="3">
        <v>0</v>
      </c>
      <c r="AU11" s="3">
        <v>0</v>
      </c>
      <c r="AV11" s="3">
        <v>0</v>
      </c>
      <c r="AW11" s="3">
        <v>30049099</v>
      </c>
      <c r="AX11" s="3">
        <v>99</v>
      </c>
      <c r="AY11" s="3">
        <v>627</v>
      </c>
      <c r="AZ11" s="3">
        <v>627</v>
      </c>
      <c r="BA11" s="3" t="s">
        <v>121</v>
      </c>
      <c r="BB11" s="3"/>
      <c r="BC11" s="3" t="s">
        <v>105</v>
      </c>
      <c r="BD11" s="3" t="s">
        <v>105</v>
      </c>
      <c r="BE11" s="3"/>
      <c r="BF11" s="3"/>
      <c r="BG11" s="5"/>
      <c r="BH11" s="3"/>
      <c r="BI11" s="3"/>
      <c r="BJ11" s="3"/>
      <c r="BK11" s="3" t="s">
        <v>122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 t="s">
        <v>111</v>
      </c>
      <c r="CF11" s="3">
        <v>0</v>
      </c>
      <c r="CG11" s="3">
        <v>0</v>
      </c>
      <c r="CH11" s="3">
        <v>0</v>
      </c>
      <c r="CI11" s="3" t="s">
        <v>112</v>
      </c>
      <c r="CJ11" s="3" t="s">
        <v>112</v>
      </c>
      <c r="CK11" s="3">
        <f>_xlfn.XLOOKUP($B$2,'BASE DE EXCEL'!C:C,'BASE DE EXCEL'!D:D,"NO HAY REFERENCIA")</f>
        <v>470</v>
      </c>
      <c r="CL11" s="5">
        <f>_xlfn.XLOOKUP($B$2,'BASE DE EXCEL'!$C:$C,'BASE DE EXCEL'!F:F,"NO HAY REFERENCIA")</f>
        <v>3</v>
      </c>
      <c r="CM11" s="4">
        <f>_xlfn.XLOOKUP($B$2,'BASE DE EXCEL'!$C:$C,'BASE DE EXCEL'!G:G,"NO HAY REFERENCIA")</f>
        <v>46080</v>
      </c>
      <c r="CN11" s="4">
        <f>_xlfn.XLOOKUP($B$2,'BASE DE EXCEL'!$C:$C,'BASE DE EXCEL'!H:H,"NO HAY REFERENCIA")</f>
        <v>46086</v>
      </c>
      <c r="CO11" s="3">
        <f>_xlfn.XLOOKUP($B$2,'BASE DE EXCEL'!$C:$C,'BASE DE EXCEL'!I:I,"NO HAY REFERENCIA")</f>
        <v>4</v>
      </c>
      <c r="CP11" s="3" t="str">
        <f>_xlfn.XLOOKUP($B$2,'BASE DE EXCEL'!$C:$C,'BASE DE EXCEL'!J:J,"NO HAY REFERENCIA")</f>
        <v>4 a 5 días</v>
      </c>
      <c r="CQ11" s="4">
        <f>_xlfn.XLOOKUP($B$2,'BASE DE EXCEL'!$C:$C,'BASE DE EXCEL'!K:K,"NO HAY REFERENCIA")</f>
        <v>46087</v>
      </c>
      <c r="CR11" s="3">
        <f>_xlfn.XLOOKUP($B$2,'BASE DE EXCEL'!$C:$C,'BASE DE EXCEL'!L:L,"NO HAY REFERENCIA")</f>
        <v>5</v>
      </c>
      <c r="CS11" s="3">
        <f>_xlfn.XLOOKUP($B$2,'BASE DE EXCEL'!$C:$C,'BASE DE EXCEL'!M:M,"NO HAY REFERENCIA")</f>
        <v>6</v>
      </c>
      <c r="CT11" s="3" t="str">
        <f>_xlfn.XLOOKUP($B$2,'BASE DE EXCEL'!$C:$C,'BASE DE EXCEL'!N:N,"NO HAY REFERENCIA")</f>
        <v>6 a 10 días</v>
      </c>
      <c r="CU11" s="3" t="str">
        <f>_xlfn.XLOOKUP($B$2,'BASE DE EXCEL'!$C:$C,'BASE DE EXCEL'!O:O,"NO HAY REFERENCIA")</f>
        <v>On Time</v>
      </c>
      <c r="CV11" s="3" t="str">
        <f>_xlfn.XLOOKUP(B11,'BASE DE EXCEL'!$C:$C,'BASE DE EXCEL'!P:P,"NO HAY REFERENCIA")</f>
        <v>4 a 5 días</v>
      </c>
      <c r="CW11" s="4">
        <f>_xlfn.XLOOKUP(B11,'BASE DE EXCEL'!$C:$C,'BASE DE EXCEL'!Q:Q,"NO HAY REFERENCIA")</f>
        <v>46031</v>
      </c>
      <c r="CX11" s="3">
        <f>_xlfn.XLOOKUP(B11,'BASE DE EXCEL'!$C:$C,'BASE DE EXCEL'!R:R,"NO HAY REFERENCIA")</f>
        <v>5</v>
      </c>
      <c r="CY11" s="3" t="str">
        <f>_xlfn.XLOOKUP(B11,'BASE DE EXCEL'!$C:$C,'BASE DE EXCEL'!S:S,"NO HAY REFERENCIA")</f>
        <v>4 a 5 días</v>
      </c>
      <c r="CZ11" s="3" t="str">
        <f>_xlfn.XLOOKUP(B11,'BASE DE EXCEL'!$C:$C,'BASE DE EXCEL'!T:T,"NO HAY REFERENCIA")</f>
        <v>On Time</v>
      </c>
      <c r="DA11" s="3">
        <f>_xlfn.XLOOKUP(B11,'BASE DE EXCEL'!$C:$C,'BASE DE EXCEL'!U:U,"NO HAY REFERENCIA")</f>
        <v>6</v>
      </c>
      <c r="DB11" s="3" t="str">
        <f>_xlfn.XLOOKUP(B11,'BASE DE EXCEL'!$C:$C,'BASE DE EXCEL'!V:V,"NO HAY REFERENCIA")</f>
        <v>4 a 5 días</v>
      </c>
      <c r="DC11" s="3">
        <f>_xlfn.XLOOKUP(B11,'BASE DE EXCEL'!$C:$C,'BASE DE EXCEL'!W:W,"NO HAY REFERENCIA")</f>
        <v>9</v>
      </c>
      <c r="DD11" s="3" t="str">
        <f>_xlfn.XLOOKUP(B11,'BASE DE EXCEL'!$C:$C,'BASE DE EXCEL'!X:X,"NO HAY REFERENCIA")</f>
        <v>6 a 10 días</v>
      </c>
      <c r="DE11" s="3">
        <f>_xlfn.XLOOKUP(B11,'BASE DE EXCEL'!$C:$C,'BASE DE EXCEL'!Y:Y,"NO HAY REFERENCIA")</f>
        <v>1</v>
      </c>
      <c r="DF11" s="3" t="str">
        <f>_xlfn.XLOOKUP(B11,'BASE DE EXCEL'!$C:$C,'BASE DE EXCEL'!Z:Z,"NO HAY REFERENCIA")</f>
        <v>1 día o menos</v>
      </c>
      <c r="DG11" s="3">
        <f>_xlfn.XLOOKUP(B11,'BASE DE EXCEL'!$C:$C,'BASE DE EXCEL'!AA:AA,"NO HAY REFERENCIA")</f>
        <v>4</v>
      </c>
      <c r="DH11" s="3">
        <f>_xlfn.XLOOKUP(B11,'BASE DE EXCEL'!$C:$C,'BASE DE EXCEL'!AB:AB,"NO HAY REFERENCIA")</f>
        <v>1</v>
      </c>
      <c r="DI11" s="3" t="str">
        <f>_xlfn.XLOOKUP(B11,'BASE DE EXCEL'!$C:$C,'BASE DE EXCEL'!AC:AC,"NO HAY REFERENCIA")</f>
        <v>1 día o menos</v>
      </c>
      <c r="DJ11" s="4">
        <f>_xlfn.XLOOKUP(B11,'BASE DE EXCEL'!$C:$C,'BASE DE EXCEL'!AD:AD,"NO HAY REFERENCIA")</f>
        <v>46038</v>
      </c>
      <c r="DK11" s="3">
        <f>_xlfn.XLOOKUP(B11,'BASE DE EXCEL'!$C:$C,'BASE DE EXCEL'!AE:AE,"NO HAY REFERENCIA")</f>
        <v>7</v>
      </c>
      <c r="DL11" s="3">
        <f>_xlfn.XLOOKUP(B11,'BASE DE EXCEL'!$C:$C,'BASE DE EXCEL'!AF:AF,"NO HAY REFERENCIA")</f>
        <v>5</v>
      </c>
      <c r="DM11" s="4">
        <f>_xlfn.XLOOKUP(B11,'BASE DE EXCEL'!$C:$C,'BASE DE EXCEL'!AG:AG,"NO HAY REFERENCIA")</f>
        <v>46038</v>
      </c>
      <c r="DN11" s="4">
        <f>_xlfn.XLOOKUP(B11,'BASE DE EXCEL'!$C:$C,'BASE DE EXCEL'!AH:AH,"NO HAY REFERENCIA")</f>
        <v>46038</v>
      </c>
      <c r="DO11" s="3">
        <f>_xlfn.XLOOKUP(B11,'BASE DE EXCEL'!$C:$C,'BASE DE EXCEL'!AI:AI,"NO HAY REFERENCIA")</f>
        <v>0</v>
      </c>
      <c r="DP11" s="4" t="str">
        <f>_xlfn.XLOOKUP(B11,'BASE DE EXCEL'!$C:$C,'BASE DE EXCEL'!AJ:AJ,"NO HAY REFERENCIA")</f>
        <v>6 a 10 días</v>
      </c>
      <c r="DQ11" s="4">
        <f>_xlfn.XLOOKUP(B11,'BASE DE EXCEL'!$C:$C,'BASE DE EXCEL'!AK:AK,"NO HAY REFERENCIA")</f>
        <v>46038</v>
      </c>
      <c r="DR11" s="3">
        <f>_xlfn.XLOOKUP(B11,'BASE DE EXCEL'!$C:$C,'BASE DE EXCEL'!AL:AL,"NO HAY REFERENCIA")</f>
        <v>6</v>
      </c>
      <c r="DS11" s="3" t="str">
        <f>_xlfn.XLOOKUP(B11,'BASE DE EXCEL'!$C:$C,'BASE DE EXCEL'!AM:AM,"NO HAY REFERENCIA")</f>
        <v>6 a 10 días</v>
      </c>
      <c r="DT11" s="3" t="str">
        <f>_xlfn.XLOOKUP(B11,'BASE DE EXCEL'!$C:$C,'BASE DE EXCEL'!AN:AN,"NO HAY REFERENCIA")</f>
        <v>On Time</v>
      </c>
      <c r="DU11" s="3">
        <f>_xlfn.XLOOKUP(B11,'BASE DE EXCEL'!$C:$C,'BASE DE EXCEL'!AO:AO,"NO HAY REFERENCIA")</f>
        <v>1</v>
      </c>
      <c r="DV11" s="3" t="str">
        <f>_xlfn.XLOOKUP(B11,'BASE DE EXCEL'!$C:$C,'BASE DE EXCEL'!AP:AP,"NO HAY REFERENCIA")</f>
        <v>Es anterior</v>
      </c>
      <c r="DW11" s="3" t="str">
        <f>_xlfn.XLOOKUP(B11,'BASE DE EXCEL'!$C:$C,'BASE DE EXCEL'!AQ:AQ,"NO HAY REFERENCIA")</f>
        <v>A1</v>
      </c>
      <c r="DX11" s="3" t="str">
        <f>_xlfn.XLOOKUP(B11,'BASE DE EXCEL'!$C:$C,'BASE DE EXCEL'!AR:AR,"NO HAY REFERENCIA")</f>
        <v>ZULEIMA PEREZ RUIZ</v>
      </c>
      <c r="DY11" s="3" t="str">
        <f>_xlfn.XLOOKUP(B11,'BASE DE EXCEL'!$C:$C,'BASE DE EXCEL'!AS:AS,"NO HAY REFERENCIA")</f>
        <v>HLCUANR251131095</v>
      </c>
      <c r="DZ11" s="3" t="str">
        <f>_xlfn.XLOOKUP(B11,'BASE DE EXCEL'!$C:$C,'BASE DE EXCEL'!AT:AT,"NO HAY REFERENCIA")</f>
        <v>NULL</v>
      </c>
      <c r="EA11" s="3">
        <f>_xlfn.XLOOKUP(B11,'BASE DE EXCEL'!$C:$C,'BASE DE EXCEL'!AU:AU,"NO HAY REFERENCIA")</f>
        <v>6000072</v>
      </c>
      <c r="EB11" s="3" t="str">
        <f>_xlfn.XLOOKUP(B11,'BASE DE EXCEL'!$C:$C,'BASE DE EXCEL'!AV:AV,"NO HAY REFERENCIA")</f>
        <v>Importación</v>
      </c>
      <c r="EC11" s="3" t="str">
        <f>_xlfn.XLOOKUP(B11,'BASE DE EXCEL'!$C:$C,'BASE DE EXCEL'!AW:AW,"NO HAY REFERENCIA")</f>
        <v>CEFA SAFE (MEDICAMENTO DOSIFICADO DE USO VETERINARIO)</v>
      </c>
      <c r="ED11" s="3" t="str">
        <f>_xlfn.XLOOKUP(B11,'BASE DE EXCEL'!$C:$C,'BASE DE EXCEL'!AX:AX,"NO HAY REFERENCIA")</f>
        <v>SIN CLASIFICACION</v>
      </c>
      <c r="EE11" s="3">
        <f>_xlfn.XLOOKUP(B11,'BASE DE EXCEL'!$C:$C,'BASE DE EXCEL'!AY:AY,"NO HAY REFERENCIA")</f>
        <v>0</v>
      </c>
      <c r="EF11" s="3" t="str">
        <f>_xlfn.XLOOKUP(B11,'BASE DE EXCEL'!$C:$C,'BASE DE EXCEL'!AZ:AZ,"NO HAY REFERENCIA")</f>
        <v>Cargas de Importación</v>
      </c>
      <c r="EG11" s="3" t="str">
        <f>_xlfn.XLOOKUP(B11,'BASE DE EXCEL'!$C:$C,'BASE DE EXCEL'!BA:BA,"NO HAY REFERENCIA")</f>
        <v>INTERVET MEXICO SA DE CV</v>
      </c>
      <c r="EH11" s="3">
        <f>_xlfn.XLOOKUP(B11,'BASE DE EXCEL'!$C:$C,'BASE DE EXCEL'!BB:BB,"NO HAY REFERENCIA")</f>
        <v>0</v>
      </c>
      <c r="EI11" s="3" t="str">
        <f>_xlfn.XLOOKUP(B11,'BASE DE EXCEL'!$C:$C,'BASE DE EXCEL'!BC:BC,"NO HAY REFERENCIA")</f>
        <v>NINGUNO</v>
      </c>
      <c r="EJ11" s="3">
        <f>_xlfn.XLOOKUP(B11,'BASE DE EXCEL'!$C:$C,'BASE DE EXCEL'!BD:BD,"NO HAY REFERENCIA")</f>
        <v>0</v>
      </c>
      <c r="EK11" s="3" t="str">
        <f>_xlfn.XLOOKUP(B11,'BASE DE EXCEL'!$C:$C,'BASE DE EXCEL'!BE:BE,"NO HAY REFERENCIA")</f>
        <v>NINGUNO</v>
      </c>
      <c r="EL11" s="3" t="str">
        <f>_xlfn.XLOOKUP(B11,'BASE DE EXCEL'!$C:$C,'BASE DE EXCEL'!BF:BF,"NO HAY REFERENCIA")</f>
        <v>PRODUCTO TERMINADO</v>
      </c>
      <c r="EM11" s="3" t="str">
        <f>_xlfn.XLOOKUP(B11,'BASE DE EXCEL'!$C:$C,'BASE DE EXCEL'!BG:BG,"NO HAY REFERENCIA")</f>
        <v>Verde</v>
      </c>
      <c r="EN11" s="3" t="str">
        <f>_xlfn.XLOOKUP(B11,'BASE DE EXCEL'!$C:$C,'BASE DE EXCEL'!BH:BH,"NO HAY REFERENCIA")</f>
        <v xml:space="preserve"> SUPER EXPRESS DE CARGA FEDERAL S.A. DE C.V.</v>
      </c>
      <c r="EO11" s="3">
        <f>_xlfn.XLOOKUP(B11,'BASE DE EXCEL'!$C:$C,'BASE DE EXCEL'!BI:BI,"NO HAY REFERENCIA")</f>
        <v>0</v>
      </c>
      <c r="EP11" s="3" t="str">
        <f>_xlfn.XLOOKUP(B11,'BASE DE EXCEL'!$C:$C,'BASE DE EXCEL'!BJ:BJ,"NO HAY REFERENCIA")</f>
        <v>IME-T006</v>
      </c>
      <c r="EQ11" s="3" t="str">
        <f>_xlfn.XLOOKUP(B11,'BASE DE EXCEL'!$C:$C,'BASE DE EXCEL'!BK:BK,"NO HAY REFERENCIA")</f>
        <v>IME850329RH2</v>
      </c>
      <c r="ER11" s="3">
        <f>_xlfn.XLOOKUP(B11,'BASE DE EXCEL'!$C:$C,'BASE DE EXCEL'!BL:BL,"NO HAY REFERENCIA")</f>
        <v>0</v>
      </c>
      <c r="ES11" s="3" t="str">
        <f>_xlfn.XLOOKUP(B11,'BASE DE EXCEL'!$C:$C,'BASE DE EXCEL'!BM:BM,"NO HAY REFERENCIA")</f>
        <v>00,99</v>
      </c>
      <c r="ET11" s="3" t="str">
        <f>_xlfn.XLOOKUP(B11,'BASE DE EXCEL'!$C:$C,'BASE DE EXCEL'!BN:BN,"NO HAY REFERENCIA")</f>
        <v>LOTE: A217A05,LOTE: A219A02,LOTE: A219A01,LOTE: A217A03,LOTE: H107A01,LOTES: J550A01, J607A01,LOTE: 5677101,LOTE: A217A04</v>
      </c>
      <c r="EU11" s="3">
        <f>_xlfn.XLOOKUP(B11,'BASE DE EXCEL'!$C:$C,'BASE DE EXCEL'!BO:BO,"NO HAY REFERENCIA")</f>
        <v>90</v>
      </c>
      <c r="EV11" s="3" t="str">
        <f>_xlfn.XLOOKUP(B11,'BASE DE EXCEL'!$C:$C,'BASE DE EXCEL'!BP:BP,"NO HAY REFERENCIA")</f>
        <v xml:space="preserve"> 952448.23, 2181141.30, 863532.00</v>
      </c>
      <c r="EW11" s="3" t="str">
        <f>_xlfn.XLOOKUP(B11,'BASE DE EXCEL'!$C:$C,'BASE DE EXCEL'!BQ:BQ,"NO HAY REFERENCIA")</f>
        <v>KILO,KILO,KILO,KILO,KILO,KILO,KILO,KILO</v>
      </c>
      <c r="EX11" s="3">
        <f>_xlfn.XLOOKUP(B11,'BASE DE EXCEL'!$C:$C,'BASE DE EXCEL'!BR:BR,"NO HAY REFERENCIA")</f>
        <v>0</v>
      </c>
      <c r="EY11" s="3" t="str">
        <f>_xlfn.XLOOKUP(B11,'BASE DE EXCEL'!$C:$C,'BASE DE EXCEL'!BS:BS,"NO HAY REFERENCIA")</f>
        <v>ALEMANIA (REPUBLICA FEDERAL DE),PAISES BAJOS (REINO DE LOS) (HOLANDA)</v>
      </c>
      <c r="EZ11" s="3" t="str">
        <f>_xlfn.XLOOKUP(B11,'BASE DE EXCEL'!$C:$C,'BASE DE EXCEL'!BT:BT,"NO HAY REFERENCIA")</f>
        <v>PAISES BAJOS (REINO DE LOS) (HOLANDA)</v>
      </c>
      <c r="FA11" s="3" t="str">
        <f>_xlfn.XLOOKUP(B11,'BASE DE EXCEL'!$C:$C,'BASE DE EXCEL'!BU:BU,"NO HAY REFERENCIA")</f>
        <v>DEU,ZYA</v>
      </c>
      <c r="FB11" s="3" t="str">
        <f>_xlfn.XLOOKUP(B11,'BASE DE EXCEL'!$C:$C,'BASE DE EXCEL'!BV:BV,"NO HAY REFERENCIA")</f>
        <v>ZYA</v>
      </c>
      <c r="FC11" s="3">
        <f>_xlfn.XLOOKUP(B11,QUERY!$C:$C,QUERY!D:D)</f>
        <v>430</v>
      </c>
      <c r="FD11" s="4">
        <f>_xlfn.XLOOKUP(B11,QUERY!$C:$C,QUERY!E:E)</f>
        <v>46029</v>
      </c>
      <c r="FE11" s="3">
        <f>_xlfn.XLOOKUP(B11,QUERY!$C:$C,QUERY!F:F)</f>
        <v>1</v>
      </c>
      <c r="FF11" s="4">
        <f>_xlfn.XLOOKUP(B11,QUERY!$C:$C,QUERY!G:G)</f>
        <v>46025</v>
      </c>
      <c r="FG11" s="4">
        <f>_xlfn.XLOOKUP(B11,QUERY!$C:$C,QUERY!H:H)</f>
        <v>46029</v>
      </c>
      <c r="FH11" s="3">
        <f>_xlfn.XLOOKUP(B11,QUERY!$C:$C,QUERY!I:I)</f>
        <v>2</v>
      </c>
      <c r="FI11" s="3" t="str">
        <f>_xlfn.XLOOKUP(B11,QUERY!$C:$C,QUERY!J:J)</f>
        <v>2 a 3 días</v>
      </c>
      <c r="FJ11" s="4">
        <f>_xlfn.XLOOKUP(B11,QUERY!$C:$C,QUERY!K:K)</f>
        <v>46030</v>
      </c>
      <c r="FK11" s="3">
        <f>_xlfn.XLOOKUP(B11,QUERY!$C:$C,QUERY!L:L)</f>
        <v>3</v>
      </c>
      <c r="FL11" s="3" t="str">
        <f>_xlfn.XLOOKUP(B11,QUERY!$C:$C,QUERY!M:M)</f>
        <v>2 a 3 días</v>
      </c>
      <c r="FM11" s="3">
        <f>_xlfn.XLOOKUP(B11,QUERY!$C:$C,QUERY!N:N)</f>
        <v>1</v>
      </c>
      <c r="FN11" s="3" t="str">
        <f>_xlfn.XLOOKUP(B11,QUERY!$C:$C,QUERY!O:O)</f>
        <v>1 día o menos</v>
      </c>
      <c r="FO11" s="3">
        <f>_xlfn.XLOOKUP(B11,QUERY!$C:$C,QUERY!P:P)</f>
        <v>1</v>
      </c>
      <c r="FP11" s="3">
        <f>_xlfn.XLOOKUP(B11,QUERY!$C:$C,QUERY!Q:Q)</f>
        <v>1</v>
      </c>
      <c r="FQ11" s="3" t="str">
        <f>_xlfn.XLOOKUP(B11,QUERY!$C:$C,QUERY!R:R)</f>
        <v>1 día o menos</v>
      </c>
      <c r="FR11" s="4">
        <f>_xlfn.XLOOKUP(B11,QUERY!$C:$C,QUERY!S:S)</f>
        <v>46031</v>
      </c>
      <c r="FS11" s="3">
        <f>_xlfn.XLOOKUP(B11,QUERY!$C:$C,QUERY!T:T)</f>
        <v>4</v>
      </c>
      <c r="FT11" s="3" t="str">
        <f>_xlfn.XLOOKUP(B11,QUERY!$C:$C,QUERY!U:U)</f>
        <v>4 a 5 días</v>
      </c>
      <c r="FU11" s="3">
        <f>_xlfn.XLOOKUP(B11,QUERY!$C:$C,QUERY!V:V)</f>
        <v>9</v>
      </c>
      <c r="FV11" s="3" t="str">
        <f>_xlfn.XLOOKUP(B11,QUERY!$C:$C,QUERY!W:W)</f>
        <v>6 a 10 días</v>
      </c>
      <c r="FW11" s="4">
        <f>_xlfn.XLOOKUP(B11,QUERY!$C:$C,QUERY!X:X)</f>
        <v>46038</v>
      </c>
      <c r="FX11" s="3">
        <f>_xlfn.XLOOKUP(B11,QUERY!$C:$C,QUERY!Y:Y)</f>
        <v>5</v>
      </c>
      <c r="FY11" s="3">
        <f>_xlfn.XLOOKUP(B11,QUERY!$C:$C,QUERY!Z:Z)</f>
        <v>5</v>
      </c>
      <c r="FZ11" s="4" t="str">
        <f>_xlfn.XLOOKUP(B11,QUERY!$C:$C,QUERY!AA:AA)</f>
        <v>6 a 10 días</v>
      </c>
      <c r="GA11" s="4">
        <f>_xlfn.XLOOKUP(B11,QUERY!$C:$C,QUERY!AB:AB)</f>
        <v>46038</v>
      </c>
      <c r="GB11" s="4">
        <f>_xlfn.XLOOKUP(B11,QUERY!$C:$C,QUERY!AC:AC)</f>
        <v>46038</v>
      </c>
      <c r="GC11" s="3">
        <f>_xlfn.XLOOKUP(B11,QUERY!$C:$C,QUERY!AD:AD)</f>
        <v>0</v>
      </c>
      <c r="GD11" s="4">
        <f>_xlfn.XLOOKUP(B11,QUERY!$C:$C,QUERY!AE:AE)</f>
        <v>46038</v>
      </c>
      <c r="GE11" s="3">
        <f>_xlfn.XLOOKUP(B11,QUERY!$C:$C,QUERY!AF:AF)</f>
        <v>1</v>
      </c>
      <c r="GF11" s="4" t="str">
        <f>_xlfn.XLOOKUP(B11,QUERY!$C:$C,QUERY!AG:AG)</f>
        <v>Es anterior</v>
      </c>
      <c r="GG11" s="3" t="str">
        <f>_xlfn.XLOOKUP(B11,QUERY!$C:$C,QUERY!AH:AH)</f>
        <v>A1</v>
      </c>
      <c r="GH11" s="3" t="str">
        <f>_xlfn.XLOOKUP(B11,QUERY!$C:$C,QUERY!AI:AI)</f>
        <v>ZULEIMA PEREZ RUIZ</v>
      </c>
      <c r="GI11" s="3" t="str">
        <f>_xlfn.XLOOKUP(B11,QUERY!$C:$C,QUERY!AJ:AJ)</f>
        <v>HLCUANR251131095</v>
      </c>
      <c r="GJ11" s="3" t="str">
        <f>_xlfn.XLOOKUP(B11,QUERY!$C:$C,QUERY!AK:AK)</f>
        <v>NULL</v>
      </c>
      <c r="GK11" s="3">
        <f>_xlfn.XLOOKUP(B11,QUERY!$C:$C,QUERY!AL:AL)</f>
        <v>6000072</v>
      </c>
      <c r="GL11" s="3" t="str">
        <f>_xlfn.XLOOKUP(B11,QUERY!$C:$C,QUERY!AM:AM)</f>
        <v>Importación</v>
      </c>
      <c r="GM11" s="3" t="str">
        <f>_xlfn.XLOOKUP(B11,QUERY!$C:$C,QUERY!AN:AN)</f>
        <v>CEFA SAFE (MEDICAMENTO DOSIFICADO DE USO VETERINARIO)</v>
      </c>
      <c r="GN11" s="3" t="str">
        <f>_xlfn.XLOOKUP(B11,QUERY!$C:$C,QUERY!AO:AO)</f>
        <v>SIN CLASIFICACION</v>
      </c>
      <c r="GO11" s="3">
        <f>_xlfn.XLOOKUP(B11,QUERY!$C:$C,QUERY!AP:AP)</f>
        <v>0</v>
      </c>
      <c r="GP11" s="3" t="str">
        <f>_xlfn.XLOOKUP(B11,QUERY!$C:$C,QUERY!AQ:AQ)</f>
        <v>Cargas de Importación</v>
      </c>
      <c r="GQ11" s="3" t="str">
        <f>_xlfn.XLOOKUP(B11,QUERY!$C:$C,QUERY!AR:AR)</f>
        <v>INTERVET MEXICO SA DE CV</v>
      </c>
      <c r="GR11" s="3">
        <f>_xlfn.XLOOKUP(B11,QUERY!$C:$C,QUERY!AS:AS)</f>
        <v>0</v>
      </c>
      <c r="GS11" s="3" t="str">
        <f>_xlfn.XLOOKUP(B11,QUERY!$C:$C,QUERY!AT:AT)</f>
        <v>NINGUNO</v>
      </c>
      <c r="GT11" s="3">
        <f>_xlfn.XLOOKUP(B11,QUERY!$C:$C,QUERY!AU:AU)</f>
        <v>0</v>
      </c>
      <c r="GU11" s="3" t="str">
        <f>_xlfn.XLOOKUP(B11,QUERY!$C:$C,QUERY!AV:AV)</f>
        <v>NINGUNO</v>
      </c>
      <c r="GV11" s="3" t="str">
        <f>_xlfn.XLOOKUP(B11,QUERY!$C:$C,QUERY!AW:AW)</f>
        <v>PRODUCTO TERMINADO</v>
      </c>
      <c r="GW11" s="3" t="str">
        <f>_xlfn.XLOOKUP(B11,QUERY!$C:$C,QUERY!AX:AX)</f>
        <v>Verde</v>
      </c>
      <c r="GX11" s="3" t="str">
        <f>_xlfn.XLOOKUP(B11,QUERY!$C:$C,QUERY!AY:AY)</f>
        <v xml:space="preserve"> SUPER EXPRESS DE CARGA FEDERAL S.A. DE C.V.</v>
      </c>
      <c r="GY11" s="3">
        <f>_xlfn.XLOOKUP(B11,QUERY!$C:$C,QUERY!AZ:AZ)</f>
        <v>0</v>
      </c>
      <c r="GZ11" s="3" t="str">
        <f>_xlfn.XLOOKUP(B11,QUERY!$C:$C,QUERY!BA:BA)</f>
        <v>IME-T006</v>
      </c>
      <c r="HA11" s="3" t="str">
        <f>_xlfn.XLOOKUP(B11,QUERY!$C:$C,QUERY!BB:BB)</f>
        <v>IME850329RH2</v>
      </c>
      <c r="HB11" s="3">
        <f>_xlfn.XLOOKUP(B11,QUERY!$C:$C,QUERY!BC:BC)</f>
        <v>0</v>
      </c>
      <c r="HC11" s="3">
        <f>_xlfn.XLOOKUP(B11,QUERY!$C:$C,QUERY!BD:BD)</f>
        <v>0.99</v>
      </c>
      <c r="HD11" s="3" t="str">
        <f>_xlfn.XLOOKUP(B11,QUERY!$C:$C,QUERY!BE:BE)</f>
        <v>LOTE: A217A05,LOTE: A219A02,LOTE: A219A01,LOTE: A217A04,LOTE: A217A03,LOTE: H107A01,LOTES: J550A01, J607A01,LOTE: 5677101</v>
      </c>
      <c r="HE11" s="3">
        <f>_xlfn.XLOOKUP(B11,QUERY!$C:$C,QUERY!BF:BF)</f>
        <v>90</v>
      </c>
      <c r="HF11" s="3" t="str">
        <f>_xlfn.XLOOKUP(B11,QUERY!$C:$C,QUERY!BG:BG)</f>
        <v xml:space="preserve"> 952448.23, 2181141.30, 863532.00</v>
      </c>
      <c r="HG11" s="3" t="str">
        <f>_xlfn.XLOOKUP(B11,QUERY!$C:$C,QUERY!BH:BH)</f>
        <v>KILO,KILO,KILO,KILO,KILO,KILO,KILO,KILO</v>
      </c>
      <c r="HH11" s="3">
        <f>_xlfn.XLOOKUP(B11,QUERY!$C:$C,QUERY!BI:BI)</f>
        <v>0</v>
      </c>
      <c r="HI11" s="3" t="str">
        <f>_xlfn.XLOOKUP(B11,QUERY!$C:$C,QUERY!BJ:BJ)</f>
        <v>ALEMANIA (REPUBLICA FEDERAL DE),PAISES BAJOS (REINO DE LOS) (HOLANDA)</v>
      </c>
      <c r="HJ11" s="3" t="str">
        <f>_xlfn.XLOOKUP(B11,QUERY!$C:$C,QUERY!BK:BK)</f>
        <v>PAISES BAJOS (REINO DE LOS) (HOLANDA)</v>
      </c>
      <c r="HK11" s="3" t="str">
        <f>_xlfn.XLOOKUP(B11,QUERY!$C:$C,QUERY!BL:BL)</f>
        <v>DEU,ZYA</v>
      </c>
      <c r="HL11" s="3" t="str">
        <f>_xlfn.XLOOKUP(B11,QUERY!$C:$C,QUERY!BM:BM)</f>
        <v>ZYA</v>
      </c>
      <c r="HM11" s="3">
        <f>_xlfn.XLOOKUP(B11,QUERY!$C:$C,QUERY!BN:BN)</f>
        <v>3997122</v>
      </c>
      <c r="HN11" s="3" t="str">
        <f>_xlfn.XLOOKUP(B11,QUERY!$C:$C,QUERY!BO:BO)</f>
        <v>462.00</v>
      </c>
      <c r="HO11" s="3" t="str">
        <f>_xlfn.XLOOKUP(B11,QUERY!$C:$C,QUERY!BP:BP)</f>
        <v>NULL</v>
      </c>
      <c r="HP11" s="3" t="str">
        <f>_xlfn.XLOOKUP(B11,QUERY!$C:$C,QUERY!BQ:BQ)</f>
        <v>NULL</v>
      </c>
      <c r="HQ11" s="3" t="str">
        <f>_xlfn.XLOOKUP(B11,QUERY!$C:$C,QUERY!BR:BR)</f>
        <v>139939.61</v>
      </c>
      <c r="HR11" s="3">
        <f>_xlfn.XLOOKUP(B11,QUERY!$C:$C,QUERY!BS:BS)</f>
        <v>0</v>
      </c>
      <c r="HS11" s="3">
        <f>_xlfn.XLOOKUP(B11,QUERY!$C:$C,QUERY!BT:BT)</f>
        <v>0</v>
      </c>
      <c r="HT11" s="3" t="str">
        <f>_xlfn.XLOOKUP(B11,QUERY!$C:$C,QUERY!A:A)</f>
        <v>VERACRUZ</v>
      </c>
      <c r="HU11" s="3" t="str">
        <f>_xlfn.XLOOKUP(B11,QUERY!$C:$C,QUERY!B:B)</f>
        <v>MARÍTIMO VERACRUZ</v>
      </c>
    </row>
    <row r="12" spans="1:229" x14ac:dyDescent="0.25">
      <c r="A12" s="3" t="s">
        <v>90</v>
      </c>
      <c r="B12" s="7" t="s">
        <v>113</v>
      </c>
      <c r="C12" s="3">
        <v>3942</v>
      </c>
      <c r="D12" s="3">
        <v>6000072</v>
      </c>
      <c r="E12" s="3"/>
      <c r="F12" s="3" t="s">
        <v>92</v>
      </c>
      <c r="G12" s="3" t="s">
        <v>93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430</v>
      </c>
      <c r="S12" s="3" t="s">
        <v>114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125</v>
      </c>
      <c r="AB12" s="3"/>
      <c r="AC12" s="3">
        <v>863532</v>
      </c>
      <c r="AD12" s="3">
        <v>479.74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/>
      <c r="AP12" s="3" t="s">
        <v>98</v>
      </c>
      <c r="AQ12" s="3">
        <v>210358711</v>
      </c>
      <c r="AR12" s="3" t="s">
        <v>99</v>
      </c>
      <c r="AS12" s="3" t="s">
        <v>100</v>
      </c>
      <c r="AT12" s="3">
        <v>0</v>
      </c>
      <c r="AU12" s="3">
        <v>0</v>
      </c>
      <c r="AV12" s="3">
        <v>0</v>
      </c>
      <c r="AW12" s="3">
        <v>30043999</v>
      </c>
      <c r="AX12" s="3">
        <v>99</v>
      </c>
      <c r="AY12" s="3">
        <v>1800</v>
      </c>
      <c r="AZ12" s="3">
        <v>1800</v>
      </c>
      <c r="BA12" s="3" t="s">
        <v>103</v>
      </c>
      <c r="BB12" s="3"/>
      <c r="BC12" s="3" t="s">
        <v>126</v>
      </c>
      <c r="BD12" s="3" t="s">
        <v>105</v>
      </c>
      <c r="BE12" s="3"/>
      <c r="BF12" s="3"/>
      <c r="BG12" s="5"/>
      <c r="BH12" s="3"/>
      <c r="BI12" s="3"/>
      <c r="BJ12" s="3"/>
      <c r="BK12" s="3" t="s">
        <v>127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 t="s">
        <v>111</v>
      </c>
      <c r="CF12" s="3">
        <v>0</v>
      </c>
      <c r="CG12" s="3">
        <v>0</v>
      </c>
      <c r="CH12" s="3">
        <v>0</v>
      </c>
      <c r="CI12" s="3" t="s">
        <v>112</v>
      </c>
      <c r="CJ12" s="3" t="s">
        <v>112</v>
      </c>
      <c r="CK12" s="3">
        <f>_xlfn.XLOOKUP($B$2,'BASE DE EXCEL'!C:C,'BASE DE EXCEL'!D:D,"NO HAY REFERENCIA")</f>
        <v>470</v>
      </c>
      <c r="CL12" s="5">
        <f>_xlfn.XLOOKUP($B$2,'BASE DE EXCEL'!$C:$C,'BASE DE EXCEL'!F:F,"NO HAY REFERENCIA")</f>
        <v>3</v>
      </c>
      <c r="CM12" s="4">
        <f>_xlfn.XLOOKUP($B$2,'BASE DE EXCEL'!$C:$C,'BASE DE EXCEL'!G:G,"NO HAY REFERENCIA")</f>
        <v>46080</v>
      </c>
      <c r="CN12" s="4">
        <f>_xlfn.XLOOKUP($B$2,'BASE DE EXCEL'!$C:$C,'BASE DE EXCEL'!H:H,"NO HAY REFERENCIA")</f>
        <v>46086</v>
      </c>
      <c r="CO12" s="3">
        <f>_xlfn.XLOOKUP($B$2,'BASE DE EXCEL'!$C:$C,'BASE DE EXCEL'!I:I,"NO HAY REFERENCIA")</f>
        <v>4</v>
      </c>
      <c r="CP12" s="3" t="str">
        <f>_xlfn.XLOOKUP($B$2,'BASE DE EXCEL'!$C:$C,'BASE DE EXCEL'!J:J,"NO HAY REFERENCIA")</f>
        <v>4 a 5 días</v>
      </c>
      <c r="CQ12" s="4">
        <f>_xlfn.XLOOKUP($B$2,'BASE DE EXCEL'!$C:$C,'BASE DE EXCEL'!K:K,"NO HAY REFERENCIA")</f>
        <v>46087</v>
      </c>
      <c r="CR12" s="3">
        <f>_xlfn.XLOOKUP($B$2,'BASE DE EXCEL'!$C:$C,'BASE DE EXCEL'!L:L,"NO HAY REFERENCIA")</f>
        <v>5</v>
      </c>
      <c r="CS12" s="3">
        <f>_xlfn.XLOOKUP($B$2,'BASE DE EXCEL'!$C:$C,'BASE DE EXCEL'!M:M,"NO HAY REFERENCIA")</f>
        <v>6</v>
      </c>
      <c r="CT12" s="3" t="str">
        <f>_xlfn.XLOOKUP($B$2,'BASE DE EXCEL'!$C:$C,'BASE DE EXCEL'!N:N,"NO HAY REFERENCIA")</f>
        <v>6 a 10 días</v>
      </c>
      <c r="CU12" s="3" t="str">
        <f>_xlfn.XLOOKUP($B$2,'BASE DE EXCEL'!$C:$C,'BASE DE EXCEL'!O:O,"NO HAY REFERENCIA")</f>
        <v>On Time</v>
      </c>
      <c r="CV12" s="3" t="str">
        <f>_xlfn.XLOOKUP(B12,'BASE DE EXCEL'!$C:$C,'BASE DE EXCEL'!P:P,"NO HAY REFERENCIA")</f>
        <v>4 a 5 días</v>
      </c>
      <c r="CW12" s="4">
        <f>_xlfn.XLOOKUP(B12,'BASE DE EXCEL'!$C:$C,'BASE DE EXCEL'!Q:Q,"NO HAY REFERENCIA")</f>
        <v>46031</v>
      </c>
      <c r="CX12" s="3">
        <f>_xlfn.XLOOKUP(B12,'BASE DE EXCEL'!$C:$C,'BASE DE EXCEL'!R:R,"NO HAY REFERENCIA")</f>
        <v>5</v>
      </c>
      <c r="CY12" s="3" t="str">
        <f>_xlfn.XLOOKUP(B12,'BASE DE EXCEL'!$C:$C,'BASE DE EXCEL'!S:S,"NO HAY REFERENCIA")</f>
        <v>4 a 5 días</v>
      </c>
      <c r="CZ12" s="3" t="str">
        <f>_xlfn.XLOOKUP(B12,'BASE DE EXCEL'!$C:$C,'BASE DE EXCEL'!T:T,"NO HAY REFERENCIA")</f>
        <v>On Time</v>
      </c>
      <c r="DA12" s="3">
        <f>_xlfn.XLOOKUP(B12,'BASE DE EXCEL'!$C:$C,'BASE DE EXCEL'!U:U,"NO HAY REFERENCIA")</f>
        <v>6</v>
      </c>
      <c r="DB12" s="3" t="str">
        <f>_xlfn.XLOOKUP(B12,'BASE DE EXCEL'!$C:$C,'BASE DE EXCEL'!V:V,"NO HAY REFERENCIA")</f>
        <v>4 a 5 días</v>
      </c>
      <c r="DC12" s="3">
        <f>_xlfn.XLOOKUP(B12,'BASE DE EXCEL'!$C:$C,'BASE DE EXCEL'!W:W,"NO HAY REFERENCIA")</f>
        <v>9</v>
      </c>
      <c r="DD12" s="3" t="str">
        <f>_xlfn.XLOOKUP(B12,'BASE DE EXCEL'!$C:$C,'BASE DE EXCEL'!X:X,"NO HAY REFERENCIA")</f>
        <v>6 a 10 días</v>
      </c>
      <c r="DE12" s="3">
        <f>_xlfn.XLOOKUP(B12,'BASE DE EXCEL'!$C:$C,'BASE DE EXCEL'!Y:Y,"NO HAY REFERENCIA")</f>
        <v>1</v>
      </c>
      <c r="DF12" s="3" t="str">
        <f>_xlfn.XLOOKUP(B12,'BASE DE EXCEL'!$C:$C,'BASE DE EXCEL'!Z:Z,"NO HAY REFERENCIA")</f>
        <v>1 día o menos</v>
      </c>
      <c r="DG12" s="3">
        <f>_xlfn.XLOOKUP(B12,'BASE DE EXCEL'!$C:$C,'BASE DE EXCEL'!AA:AA,"NO HAY REFERENCIA")</f>
        <v>4</v>
      </c>
      <c r="DH12" s="3">
        <f>_xlfn.XLOOKUP(B12,'BASE DE EXCEL'!$C:$C,'BASE DE EXCEL'!AB:AB,"NO HAY REFERENCIA")</f>
        <v>1</v>
      </c>
      <c r="DI12" s="3" t="str">
        <f>_xlfn.XLOOKUP(B12,'BASE DE EXCEL'!$C:$C,'BASE DE EXCEL'!AC:AC,"NO HAY REFERENCIA")</f>
        <v>1 día o menos</v>
      </c>
      <c r="DJ12" s="4">
        <f>_xlfn.XLOOKUP(B12,'BASE DE EXCEL'!$C:$C,'BASE DE EXCEL'!AD:AD,"NO HAY REFERENCIA")</f>
        <v>46038</v>
      </c>
      <c r="DK12" s="3">
        <f>_xlfn.XLOOKUP(B12,'BASE DE EXCEL'!$C:$C,'BASE DE EXCEL'!AE:AE,"NO HAY REFERENCIA")</f>
        <v>7</v>
      </c>
      <c r="DL12" s="3">
        <f>_xlfn.XLOOKUP(B12,'BASE DE EXCEL'!$C:$C,'BASE DE EXCEL'!AF:AF,"NO HAY REFERENCIA")</f>
        <v>5</v>
      </c>
      <c r="DM12" s="4">
        <f>_xlfn.XLOOKUP(B12,'BASE DE EXCEL'!$C:$C,'BASE DE EXCEL'!AG:AG,"NO HAY REFERENCIA")</f>
        <v>46038</v>
      </c>
      <c r="DN12" s="4">
        <f>_xlfn.XLOOKUP(B12,'BASE DE EXCEL'!$C:$C,'BASE DE EXCEL'!AH:AH,"NO HAY REFERENCIA")</f>
        <v>46038</v>
      </c>
      <c r="DO12" s="3">
        <f>_xlfn.XLOOKUP(B12,'BASE DE EXCEL'!$C:$C,'BASE DE EXCEL'!AI:AI,"NO HAY REFERENCIA")</f>
        <v>0</v>
      </c>
      <c r="DP12" s="4" t="str">
        <f>_xlfn.XLOOKUP(B12,'BASE DE EXCEL'!$C:$C,'BASE DE EXCEL'!AJ:AJ,"NO HAY REFERENCIA")</f>
        <v>6 a 10 días</v>
      </c>
      <c r="DQ12" s="4">
        <f>_xlfn.XLOOKUP(B12,'BASE DE EXCEL'!$C:$C,'BASE DE EXCEL'!AK:AK,"NO HAY REFERENCIA")</f>
        <v>46038</v>
      </c>
      <c r="DR12" s="3">
        <f>_xlfn.XLOOKUP(B12,'BASE DE EXCEL'!$C:$C,'BASE DE EXCEL'!AL:AL,"NO HAY REFERENCIA")</f>
        <v>6</v>
      </c>
      <c r="DS12" s="3" t="str">
        <f>_xlfn.XLOOKUP(B12,'BASE DE EXCEL'!$C:$C,'BASE DE EXCEL'!AM:AM,"NO HAY REFERENCIA")</f>
        <v>6 a 10 días</v>
      </c>
      <c r="DT12" s="3" t="str">
        <f>_xlfn.XLOOKUP(B12,'BASE DE EXCEL'!$C:$C,'BASE DE EXCEL'!AN:AN,"NO HAY REFERENCIA")</f>
        <v>On Time</v>
      </c>
      <c r="DU12" s="3">
        <f>_xlfn.XLOOKUP(B12,'BASE DE EXCEL'!$C:$C,'BASE DE EXCEL'!AO:AO,"NO HAY REFERENCIA")</f>
        <v>1</v>
      </c>
      <c r="DV12" s="3" t="str">
        <f>_xlfn.XLOOKUP(B12,'BASE DE EXCEL'!$C:$C,'BASE DE EXCEL'!AP:AP,"NO HAY REFERENCIA")</f>
        <v>Es anterior</v>
      </c>
      <c r="DW12" s="3" t="str">
        <f>_xlfn.XLOOKUP(B12,'BASE DE EXCEL'!$C:$C,'BASE DE EXCEL'!AQ:AQ,"NO HAY REFERENCIA")</f>
        <v>A1</v>
      </c>
      <c r="DX12" s="3" t="str">
        <f>_xlfn.XLOOKUP(B12,'BASE DE EXCEL'!$C:$C,'BASE DE EXCEL'!AR:AR,"NO HAY REFERENCIA")</f>
        <v>ZULEIMA PEREZ RUIZ</v>
      </c>
      <c r="DY12" s="3" t="str">
        <f>_xlfn.XLOOKUP(B12,'BASE DE EXCEL'!$C:$C,'BASE DE EXCEL'!AS:AS,"NO HAY REFERENCIA")</f>
        <v>HLCUANR251131095</v>
      </c>
      <c r="DZ12" s="3" t="str">
        <f>_xlfn.XLOOKUP(B12,'BASE DE EXCEL'!$C:$C,'BASE DE EXCEL'!AT:AT,"NO HAY REFERENCIA")</f>
        <v>NULL</v>
      </c>
      <c r="EA12" s="3">
        <f>_xlfn.XLOOKUP(B12,'BASE DE EXCEL'!$C:$C,'BASE DE EXCEL'!AU:AU,"NO HAY REFERENCIA")</f>
        <v>6000072</v>
      </c>
      <c r="EB12" s="3" t="str">
        <f>_xlfn.XLOOKUP(B12,'BASE DE EXCEL'!$C:$C,'BASE DE EXCEL'!AV:AV,"NO HAY REFERENCIA")</f>
        <v>Importación</v>
      </c>
      <c r="EC12" s="3" t="str">
        <f>_xlfn.XLOOKUP(B12,'BASE DE EXCEL'!$C:$C,'BASE DE EXCEL'!AW:AW,"NO HAY REFERENCIA")</f>
        <v>CEFA SAFE (MEDICAMENTO DOSIFICADO DE USO VETERINARIO)</v>
      </c>
      <c r="ED12" s="3" t="str">
        <f>_xlfn.XLOOKUP(B12,'BASE DE EXCEL'!$C:$C,'BASE DE EXCEL'!AX:AX,"NO HAY REFERENCIA")</f>
        <v>SIN CLASIFICACION</v>
      </c>
      <c r="EE12" s="3">
        <f>_xlfn.XLOOKUP(B12,'BASE DE EXCEL'!$C:$C,'BASE DE EXCEL'!AY:AY,"NO HAY REFERENCIA")</f>
        <v>0</v>
      </c>
      <c r="EF12" s="3" t="str">
        <f>_xlfn.XLOOKUP(B12,'BASE DE EXCEL'!$C:$C,'BASE DE EXCEL'!AZ:AZ,"NO HAY REFERENCIA")</f>
        <v>Cargas de Importación</v>
      </c>
      <c r="EG12" s="3" t="str">
        <f>_xlfn.XLOOKUP(B12,'BASE DE EXCEL'!$C:$C,'BASE DE EXCEL'!BA:BA,"NO HAY REFERENCIA")</f>
        <v>INTERVET MEXICO SA DE CV</v>
      </c>
      <c r="EH12" s="3">
        <f>_xlfn.XLOOKUP(B12,'BASE DE EXCEL'!$C:$C,'BASE DE EXCEL'!BB:BB,"NO HAY REFERENCIA")</f>
        <v>0</v>
      </c>
      <c r="EI12" s="3" t="str">
        <f>_xlfn.XLOOKUP(B12,'BASE DE EXCEL'!$C:$C,'BASE DE EXCEL'!BC:BC,"NO HAY REFERENCIA")</f>
        <v>NINGUNO</v>
      </c>
      <c r="EJ12" s="3">
        <f>_xlfn.XLOOKUP(B12,'BASE DE EXCEL'!$C:$C,'BASE DE EXCEL'!BD:BD,"NO HAY REFERENCIA")</f>
        <v>0</v>
      </c>
      <c r="EK12" s="3" t="str">
        <f>_xlfn.XLOOKUP(B12,'BASE DE EXCEL'!$C:$C,'BASE DE EXCEL'!BE:BE,"NO HAY REFERENCIA")</f>
        <v>NINGUNO</v>
      </c>
      <c r="EL12" s="3" t="str">
        <f>_xlfn.XLOOKUP(B12,'BASE DE EXCEL'!$C:$C,'BASE DE EXCEL'!BF:BF,"NO HAY REFERENCIA")</f>
        <v>PRODUCTO TERMINADO</v>
      </c>
      <c r="EM12" s="3" t="str">
        <f>_xlfn.XLOOKUP(B12,'BASE DE EXCEL'!$C:$C,'BASE DE EXCEL'!BG:BG,"NO HAY REFERENCIA")</f>
        <v>Verde</v>
      </c>
      <c r="EN12" s="3" t="str">
        <f>_xlfn.XLOOKUP(B12,'BASE DE EXCEL'!$C:$C,'BASE DE EXCEL'!BH:BH,"NO HAY REFERENCIA")</f>
        <v xml:space="preserve"> SUPER EXPRESS DE CARGA FEDERAL S.A. DE C.V.</v>
      </c>
      <c r="EO12" s="3">
        <f>_xlfn.XLOOKUP(B12,'BASE DE EXCEL'!$C:$C,'BASE DE EXCEL'!BI:BI,"NO HAY REFERENCIA")</f>
        <v>0</v>
      </c>
      <c r="EP12" s="3" t="str">
        <f>_xlfn.XLOOKUP(B12,'BASE DE EXCEL'!$C:$C,'BASE DE EXCEL'!BJ:BJ,"NO HAY REFERENCIA")</f>
        <v>IME-T006</v>
      </c>
      <c r="EQ12" s="3" t="str">
        <f>_xlfn.XLOOKUP(B12,'BASE DE EXCEL'!$C:$C,'BASE DE EXCEL'!BK:BK,"NO HAY REFERENCIA")</f>
        <v>IME850329RH2</v>
      </c>
      <c r="ER12" s="3">
        <f>_xlfn.XLOOKUP(B12,'BASE DE EXCEL'!$C:$C,'BASE DE EXCEL'!BL:BL,"NO HAY REFERENCIA")</f>
        <v>0</v>
      </c>
      <c r="ES12" s="3" t="str">
        <f>_xlfn.XLOOKUP(B12,'BASE DE EXCEL'!$C:$C,'BASE DE EXCEL'!BM:BM,"NO HAY REFERENCIA")</f>
        <v>00,99</v>
      </c>
      <c r="ET12" s="3" t="str">
        <f>_xlfn.XLOOKUP(B12,'BASE DE EXCEL'!$C:$C,'BASE DE EXCEL'!BN:BN,"NO HAY REFERENCIA")</f>
        <v>LOTE: A217A05,LOTE: A219A02,LOTE: A219A01,LOTE: A217A03,LOTE: H107A01,LOTES: J550A01, J607A01,LOTE: 5677101,LOTE: A217A04</v>
      </c>
      <c r="EU12" s="3">
        <f>_xlfn.XLOOKUP(B12,'BASE DE EXCEL'!$C:$C,'BASE DE EXCEL'!BO:BO,"NO HAY REFERENCIA")</f>
        <v>90</v>
      </c>
      <c r="EV12" s="3" t="str">
        <f>_xlfn.XLOOKUP(B12,'BASE DE EXCEL'!$C:$C,'BASE DE EXCEL'!BP:BP,"NO HAY REFERENCIA")</f>
        <v xml:space="preserve"> 952448.23, 2181141.30, 863532.00</v>
      </c>
      <c r="EW12" s="3" t="str">
        <f>_xlfn.XLOOKUP(B12,'BASE DE EXCEL'!$C:$C,'BASE DE EXCEL'!BQ:BQ,"NO HAY REFERENCIA")</f>
        <v>KILO,KILO,KILO,KILO,KILO,KILO,KILO,KILO</v>
      </c>
      <c r="EX12" s="3">
        <f>_xlfn.XLOOKUP(B12,'BASE DE EXCEL'!$C:$C,'BASE DE EXCEL'!BR:BR,"NO HAY REFERENCIA")</f>
        <v>0</v>
      </c>
      <c r="EY12" s="3" t="str">
        <f>_xlfn.XLOOKUP(B12,'BASE DE EXCEL'!$C:$C,'BASE DE EXCEL'!BS:BS,"NO HAY REFERENCIA")</f>
        <v>ALEMANIA (REPUBLICA FEDERAL DE),PAISES BAJOS (REINO DE LOS) (HOLANDA)</v>
      </c>
      <c r="EZ12" s="3" t="str">
        <f>_xlfn.XLOOKUP(B12,'BASE DE EXCEL'!$C:$C,'BASE DE EXCEL'!BT:BT,"NO HAY REFERENCIA")</f>
        <v>PAISES BAJOS (REINO DE LOS) (HOLANDA)</v>
      </c>
      <c r="FA12" s="3" t="str">
        <f>_xlfn.XLOOKUP(B12,'BASE DE EXCEL'!$C:$C,'BASE DE EXCEL'!BU:BU,"NO HAY REFERENCIA")</f>
        <v>DEU,ZYA</v>
      </c>
      <c r="FB12" s="3" t="str">
        <f>_xlfn.XLOOKUP(B12,'BASE DE EXCEL'!$C:$C,'BASE DE EXCEL'!BV:BV,"NO HAY REFERENCIA")</f>
        <v>ZYA</v>
      </c>
      <c r="FC12" s="3">
        <f>_xlfn.XLOOKUP(B12,QUERY!$C:$C,QUERY!D:D)</f>
        <v>430</v>
      </c>
      <c r="FD12" s="4">
        <f>_xlfn.XLOOKUP(B12,QUERY!$C:$C,QUERY!E:E)</f>
        <v>46029</v>
      </c>
      <c r="FE12" s="3">
        <f>_xlfn.XLOOKUP(B12,QUERY!$C:$C,QUERY!F:F)</f>
        <v>1</v>
      </c>
      <c r="FF12" s="4">
        <f>_xlfn.XLOOKUP(B12,QUERY!$C:$C,QUERY!G:G)</f>
        <v>46025</v>
      </c>
      <c r="FG12" s="4">
        <f>_xlfn.XLOOKUP(B12,QUERY!$C:$C,QUERY!H:H)</f>
        <v>46029</v>
      </c>
      <c r="FH12" s="3">
        <f>_xlfn.XLOOKUP(B12,QUERY!$C:$C,QUERY!I:I)</f>
        <v>2</v>
      </c>
      <c r="FI12" s="3" t="str">
        <f>_xlfn.XLOOKUP(B12,QUERY!$C:$C,QUERY!J:J)</f>
        <v>2 a 3 días</v>
      </c>
      <c r="FJ12" s="4">
        <f>_xlfn.XLOOKUP(B12,QUERY!$C:$C,QUERY!K:K)</f>
        <v>46030</v>
      </c>
      <c r="FK12" s="3">
        <f>_xlfn.XLOOKUP(B12,QUERY!$C:$C,QUERY!L:L)</f>
        <v>3</v>
      </c>
      <c r="FL12" s="3" t="str">
        <f>_xlfn.XLOOKUP(B12,QUERY!$C:$C,QUERY!M:M)</f>
        <v>2 a 3 días</v>
      </c>
      <c r="FM12" s="3">
        <f>_xlfn.XLOOKUP(B12,QUERY!$C:$C,QUERY!N:N)</f>
        <v>1</v>
      </c>
      <c r="FN12" s="3" t="str">
        <f>_xlfn.XLOOKUP(B12,QUERY!$C:$C,QUERY!O:O)</f>
        <v>1 día o menos</v>
      </c>
      <c r="FO12" s="3">
        <f>_xlfn.XLOOKUP(B12,QUERY!$C:$C,QUERY!P:P)</f>
        <v>1</v>
      </c>
      <c r="FP12" s="3">
        <f>_xlfn.XLOOKUP(B12,QUERY!$C:$C,QUERY!Q:Q)</f>
        <v>1</v>
      </c>
      <c r="FQ12" s="3" t="str">
        <f>_xlfn.XLOOKUP(B12,QUERY!$C:$C,QUERY!R:R)</f>
        <v>1 día o menos</v>
      </c>
      <c r="FR12" s="4">
        <f>_xlfn.XLOOKUP(B12,QUERY!$C:$C,QUERY!S:S)</f>
        <v>46031</v>
      </c>
      <c r="FS12" s="3">
        <f>_xlfn.XLOOKUP(B12,QUERY!$C:$C,QUERY!T:T)</f>
        <v>4</v>
      </c>
      <c r="FT12" s="3" t="str">
        <f>_xlfn.XLOOKUP(B12,QUERY!$C:$C,QUERY!U:U)</f>
        <v>4 a 5 días</v>
      </c>
      <c r="FU12" s="3">
        <f>_xlfn.XLOOKUP(B12,QUERY!$C:$C,QUERY!V:V)</f>
        <v>9</v>
      </c>
      <c r="FV12" s="3" t="str">
        <f>_xlfn.XLOOKUP(B12,QUERY!$C:$C,QUERY!W:W)</f>
        <v>6 a 10 días</v>
      </c>
      <c r="FW12" s="4">
        <f>_xlfn.XLOOKUP(B12,QUERY!$C:$C,QUERY!X:X)</f>
        <v>46038</v>
      </c>
      <c r="FX12" s="3">
        <f>_xlfn.XLOOKUP(B12,QUERY!$C:$C,QUERY!Y:Y)</f>
        <v>5</v>
      </c>
      <c r="FY12" s="3">
        <f>_xlfn.XLOOKUP(B12,QUERY!$C:$C,QUERY!Z:Z)</f>
        <v>5</v>
      </c>
      <c r="FZ12" s="4" t="str">
        <f>_xlfn.XLOOKUP(B12,QUERY!$C:$C,QUERY!AA:AA)</f>
        <v>6 a 10 días</v>
      </c>
      <c r="GA12" s="4">
        <f>_xlfn.XLOOKUP(B12,QUERY!$C:$C,QUERY!AB:AB)</f>
        <v>46038</v>
      </c>
      <c r="GB12" s="4">
        <f>_xlfn.XLOOKUP(B12,QUERY!$C:$C,QUERY!AC:AC)</f>
        <v>46038</v>
      </c>
      <c r="GC12" s="3">
        <f>_xlfn.XLOOKUP(B12,QUERY!$C:$C,QUERY!AD:AD)</f>
        <v>0</v>
      </c>
      <c r="GD12" s="4">
        <f>_xlfn.XLOOKUP(B12,QUERY!$C:$C,QUERY!AE:AE)</f>
        <v>46038</v>
      </c>
      <c r="GE12" s="3">
        <f>_xlfn.XLOOKUP(B12,QUERY!$C:$C,QUERY!AF:AF)</f>
        <v>1</v>
      </c>
      <c r="GF12" s="4" t="str">
        <f>_xlfn.XLOOKUP(B12,QUERY!$C:$C,QUERY!AG:AG)</f>
        <v>Es anterior</v>
      </c>
      <c r="GG12" s="3" t="str">
        <f>_xlfn.XLOOKUP(B12,QUERY!$C:$C,QUERY!AH:AH)</f>
        <v>A1</v>
      </c>
      <c r="GH12" s="3" t="str">
        <f>_xlfn.XLOOKUP(B12,QUERY!$C:$C,QUERY!AI:AI)</f>
        <v>ZULEIMA PEREZ RUIZ</v>
      </c>
      <c r="GI12" s="3" t="str">
        <f>_xlfn.XLOOKUP(B12,QUERY!$C:$C,QUERY!AJ:AJ)</f>
        <v>HLCUANR251131095</v>
      </c>
      <c r="GJ12" s="3" t="str">
        <f>_xlfn.XLOOKUP(B12,QUERY!$C:$C,QUERY!AK:AK)</f>
        <v>NULL</v>
      </c>
      <c r="GK12" s="3">
        <f>_xlfn.XLOOKUP(B12,QUERY!$C:$C,QUERY!AL:AL)</f>
        <v>6000072</v>
      </c>
      <c r="GL12" s="3" t="str">
        <f>_xlfn.XLOOKUP(B12,QUERY!$C:$C,QUERY!AM:AM)</f>
        <v>Importación</v>
      </c>
      <c r="GM12" s="3" t="str">
        <f>_xlfn.XLOOKUP(B12,QUERY!$C:$C,QUERY!AN:AN)</f>
        <v>CEFA SAFE (MEDICAMENTO DOSIFICADO DE USO VETERINARIO)</v>
      </c>
      <c r="GN12" s="3" t="str">
        <f>_xlfn.XLOOKUP(B12,QUERY!$C:$C,QUERY!AO:AO)</f>
        <v>SIN CLASIFICACION</v>
      </c>
      <c r="GO12" s="3">
        <f>_xlfn.XLOOKUP(B12,QUERY!$C:$C,QUERY!AP:AP)</f>
        <v>0</v>
      </c>
      <c r="GP12" s="3" t="str">
        <f>_xlfn.XLOOKUP(B12,QUERY!$C:$C,QUERY!AQ:AQ)</f>
        <v>Cargas de Importación</v>
      </c>
      <c r="GQ12" s="3" t="str">
        <f>_xlfn.XLOOKUP(B12,QUERY!$C:$C,QUERY!AR:AR)</f>
        <v>INTERVET MEXICO SA DE CV</v>
      </c>
      <c r="GR12" s="3">
        <f>_xlfn.XLOOKUP(B12,QUERY!$C:$C,QUERY!AS:AS)</f>
        <v>0</v>
      </c>
      <c r="GS12" s="3" t="str">
        <f>_xlfn.XLOOKUP(B12,QUERY!$C:$C,QUERY!AT:AT)</f>
        <v>NINGUNO</v>
      </c>
      <c r="GT12" s="3">
        <f>_xlfn.XLOOKUP(B12,QUERY!$C:$C,QUERY!AU:AU)</f>
        <v>0</v>
      </c>
      <c r="GU12" s="3" t="str">
        <f>_xlfn.XLOOKUP(B12,QUERY!$C:$C,QUERY!AV:AV)</f>
        <v>NINGUNO</v>
      </c>
      <c r="GV12" s="3" t="str">
        <f>_xlfn.XLOOKUP(B12,QUERY!$C:$C,QUERY!AW:AW)</f>
        <v>PRODUCTO TERMINADO</v>
      </c>
      <c r="GW12" s="3" t="str">
        <f>_xlfn.XLOOKUP(B12,QUERY!$C:$C,QUERY!AX:AX)</f>
        <v>Verde</v>
      </c>
      <c r="GX12" s="3" t="str">
        <f>_xlfn.XLOOKUP(B12,QUERY!$C:$C,QUERY!AY:AY)</f>
        <v xml:space="preserve"> SUPER EXPRESS DE CARGA FEDERAL S.A. DE C.V.</v>
      </c>
      <c r="GY12" s="3">
        <f>_xlfn.XLOOKUP(B12,QUERY!$C:$C,QUERY!AZ:AZ)</f>
        <v>0</v>
      </c>
      <c r="GZ12" s="3" t="str">
        <f>_xlfn.XLOOKUP(B12,QUERY!$C:$C,QUERY!BA:BA)</f>
        <v>IME-T006</v>
      </c>
      <c r="HA12" s="3" t="str">
        <f>_xlfn.XLOOKUP(B12,QUERY!$C:$C,QUERY!BB:BB)</f>
        <v>IME850329RH2</v>
      </c>
      <c r="HB12" s="3">
        <f>_xlfn.XLOOKUP(B12,QUERY!$C:$C,QUERY!BC:BC)</f>
        <v>0</v>
      </c>
      <c r="HC12" s="3">
        <f>_xlfn.XLOOKUP(B12,QUERY!$C:$C,QUERY!BD:BD)</f>
        <v>0.99</v>
      </c>
      <c r="HD12" s="3" t="str">
        <f>_xlfn.XLOOKUP(B12,QUERY!$C:$C,QUERY!BE:BE)</f>
        <v>LOTE: A217A05,LOTE: A219A02,LOTE: A219A01,LOTE: A217A04,LOTE: A217A03,LOTE: H107A01,LOTES: J550A01, J607A01,LOTE: 5677101</v>
      </c>
      <c r="HE12" s="3">
        <f>_xlfn.XLOOKUP(B12,QUERY!$C:$C,QUERY!BF:BF)</f>
        <v>90</v>
      </c>
      <c r="HF12" s="3" t="str">
        <f>_xlfn.XLOOKUP(B12,QUERY!$C:$C,QUERY!BG:BG)</f>
        <v xml:space="preserve"> 952448.23, 2181141.30, 863532.00</v>
      </c>
      <c r="HG12" s="3" t="str">
        <f>_xlfn.XLOOKUP(B12,QUERY!$C:$C,QUERY!BH:BH)</f>
        <v>KILO,KILO,KILO,KILO,KILO,KILO,KILO,KILO</v>
      </c>
      <c r="HH12" s="3">
        <f>_xlfn.XLOOKUP(B12,QUERY!$C:$C,QUERY!BI:BI)</f>
        <v>0</v>
      </c>
      <c r="HI12" s="3" t="str">
        <f>_xlfn.XLOOKUP(B12,QUERY!$C:$C,QUERY!BJ:BJ)</f>
        <v>ALEMANIA (REPUBLICA FEDERAL DE),PAISES BAJOS (REINO DE LOS) (HOLANDA)</v>
      </c>
      <c r="HJ12" s="3" t="str">
        <f>_xlfn.XLOOKUP(B12,QUERY!$C:$C,QUERY!BK:BK)</f>
        <v>PAISES BAJOS (REINO DE LOS) (HOLANDA)</v>
      </c>
      <c r="HK12" s="3" t="str">
        <f>_xlfn.XLOOKUP(B12,QUERY!$C:$C,QUERY!BL:BL)</f>
        <v>DEU,ZYA</v>
      </c>
      <c r="HL12" s="3" t="str">
        <f>_xlfn.XLOOKUP(B12,QUERY!$C:$C,QUERY!BM:BM)</f>
        <v>ZYA</v>
      </c>
      <c r="HM12" s="3">
        <f>_xlfn.XLOOKUP(B12,QUERY!$C:$C,QUERY!BN:BN)</f>
        <v>3997122</v>
      </c>
      <c r="HN12" s="3" t="str">
        <f>_xlfn.XLOOKUP(B12,QUERY!$C:$C,QUERY!BO:BO)</f>
        <v>462.00</v>
      </c>
      <c r="HO12" s="3" t="str">
        <f>_xlfn.XLOOKUP(B12,QUERY!$C:$C,QUERY!BP:BP)</f>
        <v>NULL</v>
      </c>
      <c r="HP12" s="3" t="str">
        <f>_xlfn.XLOOKUP(B12,QUERY!$C:$C,QUERY!BQ:BQ)</f>
        <v>NULL</v>
      </c>
      <c r="HQ12" s="3" t="str">
        <f>_xlfn.XLOOKUP(B12,QUERY!$C:$C,QUERY!BR:BR)</f>
        <v>139939.61</v>
      </c>
      <c r="HR12" s="3">
        <f>_xlfn.XLOOKUP(B12,QUERY!$C:$C,QUERY!BS:BS)</f>
        <v>0</v>
      </c>
      <c r="HS12" s="3">
        <f>_xlfn.XLOOKUP(B12,QUERY!$C:$C,QUERY!BT:BT)</f>
        <v>0</v>
      </c>
      <c r="HT12" s="3" t="str">
        <f>_xlfn.XLOOKUP(B12,QUERY!$C:$C,QUERY!A:A)</f>
        <v>VERACRUZ</v>
      </c>
      <c r="HU12" s="3" t="str">
        <f>_xlfn.XLOOKUP(B12,QUERY!$C:$C,QUERY!B:B)</f>
        <v>MARÍTIMO VERACRUZ</v>
      </c>
    </row>
    <row r="13" spans="1:229" x14ac:dyDescent="0.25">
      <c r="A13" s="3" t="s">
        <v>90</v>
      </c>
      <c r="B13" s="3" t="s">
        <v>91</v>
      </c>
      <c r="C13" s="3">
        <v>3942</v>
      </c>
      <c r="D13" s="3">
        <v>6000083</v>
      </c>
      <c r="E13" s="3"/>
      <c r="F13" s="3" t="s">
        <v>92</v>
      </c>
      <c r="G13" s="3" t="s">
        <v>93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18.208500000000001</v>
      </c>
      <c r="Q13" s="3">
        <v>9260.9599999999991</v>
      </c>
      <c r="R13" s="3">
        <v>430</v>
      </c>
      <c r="S13" s="3" t="s">
        <v>94</v>
      </c>
      <c r="T13" s="3" t="s">
        <v>95</v>
      </c>
      <c r="U13" s="3">
        <v>12581182</v>
      </c>
      <c r="V13" s="3">
        <v>12581182</v>
      </c>
      <c r="W13" s="3">
        <v>0</v>
      </c>
      <c r="X13" s="3">
        <v>0</v>
      </c>
      <c r="Y13" s="3">
        <v>0</v>
      </c>
      <c r="Z13" s="3">
        <v>0</v>
      </c>
      <c r="AA13" s="3" t="s">
        <v>96</v>
      </c>
      <c r="AB13" s="3"/>
      <c r="AC13" s="3">
        <v>12581182</v>
      </c>
      <c r="AD13" s="3">
        <v>14836.29953</v>
      </c>
      <c r="AE13" s="3">
        <v>354</v>
      </c>
      <c r="AF13" s="3">
        <v>0</v>
      </c>
      <c r="AG13" s="3">
        <v>0</v>
      </c>
      <c r="AH13" s="3">
        <v>0</v>
      </c>
      <c r="AI13" s="3">
        <v>53</v>
      </c>
      <c r="AJ13" s="3">
        <v>100649</v>
      </c>
      <c r="AK13" s="3">
        <v>0</v>
      </c>
      <c r="AL13" s="3">
        <v>0</v>
      </c>
      <c r="AM13" s="3">
        <v>330</v>
      </c>
      <c r="AN13" s="3">
        <v>101032</v>
      </c>
      <c r="AO13" s="3" t="s">
        <v>97</v>
      </c>
      <c r="AP13" s="3" t="s">
        <v>98</v>
      </c>
      <c r="AQ13" s="3">
        <v>210358461</v>
      </c>
      <c r="AR13" s="3" t="s">
        <v>99</v>
      </c>
      <c r="AS13" s="3" t="s">
        <v>100</v>
      </c>
      <c r="AT13" s="3" t="s">
        <v>101</v>
      </c>
      <c r="AU13" s="3"/>
      <c r="AV13" s="3" t="s">
        <v>102</v>
      </c>
      <c r="AW13" s="3">
        <v>23099099</v>
      </c>
      <c r="AX13" s="3">
        <v>99</v>
      </c>
      <c r="AY13" s="3">
        <v>848</v>
      </c>
      <c r="AZ13" s="3">
        <v>848</v>
      </c>
      <c r="BA13" s="3" t="s">
        <v>103</v>
      </c>
      <c r="BB13" s="3"/>
      <c r="BC13" s="3" t="s">
        <v>104</v>
      </c>
      <c r="BD13" s="3" t="s">
        <v>105</v>
      </c>
      <c r="BE13" s="3" t="s">
        <v>106</v>
      </c>
      <c r="BF13" s="3" t="s">
        <v>107</v>
      </c>
      <c r="BG13" s="5">
        <v>4.30640220254354E+16</v>
      </c>
      <c r="BH13" s="3" t="s">
        <v>108</v>
      </c>
      <c r="BI13" s="3"/>
      <c r="BJ13" s="3" t="s">
        <v>109</v>
      </c>
      <c r="BK13" s="3" t="s">
        <v>110</v>
      </c>
      <c r="BL13" s="3">
        <v>41521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20545.919999999998</v>
      </c>
      <c r="BY13" s="3">
        <v>0</v>
      </c>
      <c r="BZ13" s="3">
        <v>0</v>
      </c>
      <c r="CA13" s="3">
        <v>120130.3</v>
      </c>
      <c r="CB13" s="3">
        <v>18000</v>
      </c>
      <c r="CC13" s="3">
        <v>3323.2</v>
      </c>
      <c r="CD13" s="3">
        <v>375823.69</v>
      </c>
      <c r="CE13" s="3" t="s">
        <v>111</v>
      </c>
      <c r="CF13" s="3">
        <v>375823.69</v>
      </c>
      <c r="CG13" s="3">
        <v>375823.69</v>
      </c>
      <c r="CH13" s="3">
        <v>0</v>
      </c>
      <c r="CI13" s="3" t="s">
        <v>112</v>
      </c>
      <c r="CJ13" s="3" t="s">
        <v>112</v>
      </c>
      <c r="CK13" s="3">
        <f>_xlfn.XLOOKUP($B$2,'BASE DE EXCEL'!C:C,'BASE DE EXCEL'!D:D,"NO HAY REFERENCIA")</f>
        <v>470</v>
      </c>
      <c r="CL13" s="5">
        <f>_xlfn.XLOOKUP($B$2,'BASE DE EXCEL'!$C:$C,'BASE DE EXCEL'!F:F,"NO HAY REFERENCIA")</f>
        <v>3</v>
      </c>
      <c r="CM13" s="4">
        <f>_xlfn.XLOOKUP($B$2,'BASE DE EXCEL'!$C:$C,'BASE DE EXCEL'!G:G,"NO HAY REFERENCIA")</f>
        <v>46080</v>
      </c>
      <c r="CN13" s="4">
        <f>_xlfn.XLOOKUP($B$2,'BASE DE EXCEL'!$C:$C,'BASE DE EXCEL'!H:H,"NO HAY REFERENCIA")</f>
        <v>46086</v>
      </c>
      <c r="CO13" s="3">
        <f>_xlfn.XLOOKUP($B$2,'BASE DE EXCEL'!$C:$C,'BASE DE EXCEL'!I:I,"NO HAY REFERENCIA")</f>
        <v>4</v>
      </c>
      <c r="CP13" s="3" t="str">
        <f>_xlfn.XLOOKUP($B$2,'BASE DE EXCEL'!$C:$C,'BASE DE EXCEL'!J:J,"NO HAY REFERENCIA")</f>
        <v>4 a 5 días</v>
      </c>
      <c r="CQ13" s="4">
        <f>_xlfn.XLOOKUP($B$2,'BASE DE EXCEL'!$C:$C,'BASE DE EXCEL'!K:K,"NO HAY REFERENCIA")</f>
        <v>46087</v>
      </c>
      <c r="CR13" s="3">
        <f>_xlfn.XLOOKUP($B$2,'BASE DE EXCEL'!$C:$C,'BASE DE EXCEL'!L:L,"NO HAY REFERENCIA")</f>
        <v>5</v>
      </c>
      <c r="CS13" s="3">
        <f>_xlfn.XLOOKUP($B$2,'BASE DE EXCEL'!$C:$C,'BASE DE EXCEL'!M:M,"NO HAY REFERENCIA")</f>
        <v>6</v>
      </c>
      <c r="CT13" s="3" t="str">
        <f>_xlfn.XLOOKUP($B$2,'BASE DE EXCEL'!$C:$C,'BASE DE EXCEL'!N:N,"NO HAY REFERENCIA")</f>
        <v>6 a 10 días</v>
      </c>
      <c r="CU13" s="3" t="str">
        <f>_xlfn.XLOOKUP($B$2,'BASE DE EXCEL'!$C:$C,'BASE DE EXCEL'!O:O,"NO HAY REFERENCIA")</f>
        <v>On Time</v>
      </c>
      <c r="CV13" s="3" t="str">
        <f>_xlfn.XLOOKUP(B13,'BASE DE EXCEL'!$C:$C,'BASE DE EXCEL'!P:P,"NO HAY REFERENCIA")</f>
        <v>16 o más días</v>
      </c>
      <c r="CW13" s="4">
        <f>_xlfn.XLOOKUP(B13,'BASE DE EXCEL'!$C:$C,'BASE DE EXCEL'!Q:Q,"NO HAY REFERENCIA")</f>
        <v>46029</v>
      </c>
      <c r="CX13" s="3">
        <f>_xlfn.XLOOKUP(B13,'BASE DE EXCEL'!$C:$C,'BASE DE EXCEL'!R:R,"NO HAY REFERENCIA")</f>
        <v>17</v>
      </c>
      <c r="CY13" s="3" t="str">
        <f>_xlfn.XLOOKUP(B13,'BASE DE EXCEL'!$C:$C,'BASE DE EXCEL'!S:S,"NO HAY REFERENCIA")</f>
        <v>más de 16 días</v>
      </c>
      <c r="CZ13" s="3" t="str">
        <f>_xlfn.XLOOKUP(B13,'BASE DE EXCEL'!$C:$C,'BASE DE EXCEL'!T:T,"NO HAY REFERENCIA")</f>
        <v>Delayed</v>
      </c>
      <c r="DA13" s="3">
        <f>_xlfn.XLOOKUP(B13,'BASE DE EXCEL'!$C:$C,'BASE DE EXCEL'!U:U,"NO HAY REFERENCIA")</f>
        <v>23</v>
      </c>
      <c r="DB13" s="3" t="str">
        <f>_xlfn.XLOOKUP(B13,'BASE DE EXCEL'!$C:$C,'BASE DE EXCEL'!V:V,"NO HAY REFERENCIA")</f>
        <v>mas de 16 dias</v>
      </c>
      <c r="DC13" s="3">
        <f>_xlfn.XLOOKUP(B13,'BASE DE EXCEL'!$C:$C,'BASE DE EXCEL'!W:W,"NO HAY REFERENCIA")</f>
        <v>21</v>
      </c>
      <c r="DD13" s="3" t="str">
        <f>_xlfn.XLOOKUP(B13,'BASE DE EXCEL'!$C:$C,'BASE DE EXCEL'!X:X,"NO HAY REFERENCIA")</f>
        <v>más de 16 días</v>
      </c>
      <c r="DE13" s="3">
        <f>_xlfn.XLOOKUP(B13,'BASE DE EXCEL'!$C:$C,'BASE DE EXCEL'!Y:Y,"NO HAY REFERENCIA")</f>
        <v>1</v>
      </c>
      <c r="DF13" s="3" t="str">
        <f>_xlfn.XLOOKUP(B13,'BASE DE EXCEL'!$C:$C,'BASE DE EXCEL'!Z:Z,"NO HAY REFERENCIA")</f>
        <v>1 día o menos</v>
      </c>
      <c r="DG13" s="3">
        <f>_xlfn.XLOOKUP(B13,'BASE DE EXCEL'!$C:$C,'BASE DE EXCEL'!AA:AA,"NO HAY REFERENCIA")</f>
        <v>21</v>
      </c>
      <c r="DH13" s="3">
        <f>_xlfn.XLOOKUP(B13,'BASE DE EXCEL'!$C:$C,'BASE DE EXCEL'!AB:AB,"NO HAY REFERENCIA")</f>
        <v>1</v>
      </c>
      <c r="DI13" s="3" t="str">
        <f>_xlfn.XLOOKUP(B13,'BASE DE EXCEL'!$C:$C,'BASE DE EXCEL'!AC:AC,"NO HAY REFERENCIA")</f>
        <v>1 día o menos</v>
      </c>
      <c r="DJ13" s="4">
        <f>_xlfn.XLOOKUP(B13,'BASE DE EXCEL'!$C:$C,'BASE DE EXCEL'!AD:AD,"NO HAY REFERENCIA")</f>
        <v>46035</v>
      </c>
      <c r="DK13" s="3">
        <f>_xlfn.XLOOKUP(B13,'BASE DE EXCEL'!$C:$C,'BASE DE EXCEL'!AE:AE,"NO HAY REFERENCIA")</f>
        <v>6</v>
      </c>
      <c r="DL13" s="3">
        <f>_xlfn.XLOOKUP(B13,'BASE DE EXCEL'!$C:$C,'BASE DE EXCEL'!AF:AF,"NO HAY REFERENCIA")</f>
        <v>4</v>
      </c>
      <c r="DM13" s="4">
        <f>_xlfn.XLOOKUP(B13,'BASE DE EXCEL'!$C:$C,'BASE DE EXCEL'!AG:AG,"NO HAY REFERENCIA")</f>
        <v>46035</v>
      </c>
      <c r="DN13" s="4">
        <f>_xlfn.XLOOKUP(B13,'BASE DE EXCEL'!$C:$C,'BASE DE EXCEL'!AH:AH,"NO HAY REFERENCIA")</f>
        <v>46035</v>
      </c>
      <c r="DO13" s="3">
        <f>_xlfn.XLOOKUP(B13,'BASE DE EXCEL'!$C:$C,'BASE DE EXCEL'!AI:AI,"NO HAY REFERENCIA")</f>
        <v>0</v>
      </c>
      <c r="DP13" s="4" t="str">
        <f>_xlfn.XLOOKUP(B13,'BASE DE EXCEL'!$C:$C,'BASE DE EXCEL'!AJ:AJ,"NO HAY REFERENCIA")</f>
        <v>6 a 10 días</v>
      </c>
      <c r="DQ13" s="4">
        <f>_xlfn.XLOOKUP(B13,'BASE DE EXCEL'!$C:$C,'BASE DE EXCEL'!AK:AK,"NO HAY REFERENCIA")</f>
        <v>46035</v>
      </c>
      <c r="DR13" s="3">
        <f>_xlfn.XLOOKUP(B13,'BASE DE EXCEL'!$C:$C,'BASE DE EXCEL'!AL:AL,"NO HAY REFERENCIA")</f>
        <v>5</v>
      </c>
      <c r="DS13" s="3" t="str">
        <f>_xlfn.XLOOKUP(B13,'BASE DE EXCEL'!$C:$C,'BASE DE EXCEL'!AM:AM,"NO HAY REFERENCIA")</f>
        <v>4 a 5 días</v>
      </c>
      <c r="DT13" s="3" t="str">
        <f>_xlfn.XLOOKUP(B13,'BASE DE EXCEL'!$C:$C,'BASE DE EXCEL'!AN:AN,"NO HAY REFERENCIA")</f>
        <v>On Time</v>
      </c>
      <c r="DU13" s="3">
        <f>_xlfn.XLOOKUP(B13,'BASE DE EXCEL'!$C:$C,'BASE DE EXCEL'!AO:AO,"NO HAY REFERENCIA")</f>
        <v>1</v>
      </c>
      <c r="DV13" s="3" t="str">
        <f>_xlfn.XLOOKUP(B13,'BASE DE EXCEL'!$C:$C,'BASE DE EXCEL'!AP:AP,"NO HAY REFERENCIA")</f>
        <v>Es anterior</v>
      </c>
      <c r="DW13" s="3" t="str">
        <f>_xlfn.XLOOKUP(B13,'BASE DE EXCEL'!$C:$C,'BASE DE EXCEL'!AQ:AQ,"NO HAY REFERENCIA")</f>
        <v>A1</v>
      </c>
      <c r="DX13" s="3" t="str">
        <f>_xlfn.XLOOKUP(B13,'BASE DE EXCEL'!$C:$C,'BASE DE EXCEL'!AR:AR,"NO HAY REFERENCIA")</f>
        <v>ZULEIMA PEREZ RUIZ</v>
      </c>
      <c r="DY13" s="3" t="str">
        <f>_xlfn.XLOOKUP(B13,'BASE DE EXCEL'!$C:$C,'BASE DE EXCEL'!AS:AS,"NO HAY REFERENCIA")</f>
        <v>HLCULE1251059620</v>
      </c>
      <c r="DZ13" s="3" t="str">
        <f>_xlfn.XLOOKUP(B13,'BASE DE EXCEL'!$C:$C,'BASE DE EXCEL'!AT:AT,"NO HAY REFERENCIA")</f>
        <v>NULL</v>
      </c>
      <c r="EA13" s="3">
        <f>_xlfn.XLOOKUP(B13,'BASE DE EXCEL'!$C:$C,'BASE DE EXCEL'!AU:AU,"NO HAY REFERENCIA")</f>
        <v>6000083</v>
      </c>
      <c r="EB13" s="3" t="str">
        <f>_xlfn.XLOOKUP(B13,'BASE DE EXCEL'!$C:$C,'BASE DE EXCEL'!AV:AV,"NO HAY REFERENCIA")</f>
        <v>Importación</v>
      </c>
      <c r="EC13" s="3" t="str">
        <f>_xlfn.XLOOKUP(B13,'BASE DE EXCEL'!$C:$C,'BASE DE EXCEL'!AW:AW,"NO HAY REFERENCIA")</f>
        <v>ZILMAX (PROMOTOR DEL RENDIMIENTO)</v>
      </c>
      <c r="ED13" s="3" t="str">
        <f>_xlfn.XLOOKUP(B13,'BASE DE EXCEL'!$C:$C,'BASE DE EXCEL'!AX:AX,"NO HAY REFERENCIA")</f>
        <v>SIN CLASIFICACION</v>
      </c>
      <c r="EE13" s="3">
        <f>_xlfn.XLOOKUP(B13,'BASE DE EXCEL'!$C:$C,'BASE DE EXCEL'!AY:AY,"NO HAY REFERENCIA")</f>
        <v>0</v>
      </c>
      <c r="EF13" s="3" t="str">
        <f>_xlfn.XLOOKUP(B13,'BASE DE EXCEL'!$C:$C,'BASE DE EXCEL'!AZ:AZ,"NO HAY REFERENCIA")</f>
        <v>Cargas de Importación</v>
      </c>
      <c r="EG13" s="3" t="str">
        <f>_xlfn.XLOOKUP(B13,'BASE DE EXCEL'!$C:$C,'BASE DE EXCEL'!BA:BA,"NO HAY REFERENCIA")</f>
        <v>INTERVET MEXICO SA DE CV</v>
      </c>
      <c r="EH13" s="3">
        <f>_xlfn.XLOOKUP(B13,'BASE DE EXCEL'!$C:$C,'BASE DE EXCEL'!BB:BB,"NO HAY REFERENCIA")</f>
        <v>0</v>
      </c>
      <c r="EI13" s="3" t="str">
        <f>_xlfn.XLOOKUP(B13,'BASE DE EXCEL'!$C:$C,'BASE DE EXCEL'!BC:BC,"NO HAY REFERENCIA")</f>
        <v>FALTA RRNA</v>
      </c>
      <c r="EJ13" s="3">
        <f>_xlfn.XLOOKUP(B13,'BASE DE EXCEL'!$C:$C,'BASE DE EXCEL'!BD:BD,"NO HAY REFERENCIA")</f>
        <v>0</v>
      </c>
      <c r="EK13" s="3" t="str">
        <f>_xlfn.XLOOKUP(B13,'BASE DE EXCEL'!$C:$C,'BASE DE EXCEL'!BE:BE,"NO HAY REFERENCIA")</f>
        <v>FALTA RRNA</v>
      </c>
      <c r="EL13" s="3" t="str">
        <f>_xlfn.XLOOKUP(B13,'BASE DE EXCEL'!$C:$C,'BASE DE EXCEL'!BF:BF,"NO HAY REFERENCIA")</f>
        <v>PRODUCTO TERMINADO</v>
      </c>
      <c r="EM13" s="3" t="str">
        <f>_xlfn.XLOOKUP(B13,'BASE DE EXCEL'!$C:$C,'BASE DE EXCEL'!BG:BG,"NO HAY REFERENCIA")</f>
        <v>Verde</v>
      </c>
      <c r="EN13" s="3" t="str">
        <f>_xlfn.XLOOKUP(B13,'BASE DE EXCEL'!$C:$C,'BASE DE EXCEL'!BH:BH,"NO HAY REFERENCIA")</f>
        <v xml:space="preserve"> SUPER EXPRESS DE CARGA FEDERAL S.A. DE C.V.</v>
      </c>
      <c r="EO13" s="3">
        <f>_xlfn.XLOOKUP(B13,'BASE DE EXCEL'!$C:$C,'BASE DE EXCEL'!BI:BI,"NO HAY REFERENCIA")</f>
        <v>0</v>
      </c>
      <c r="EP13" s="3" t="str">
        <f>_xlfn.XLOOKUP(B13,'BASE DE EXCEL'!$C:$C,'BASE DE EXCEL'!BJ:BJ,"NO HAY REFERENCIA")</f>
        <v>IME-T001</v>
      </c>
      <c r="EQ13" s="3" t="str">
        <f>_xlfn.XLOOKUP(B13,'BASE DE EXCEL'!$C:$C,'BASE DE EXCEL'!BK:BK,"NO HAY REFERENCIA")</f>
        <v>IME850329RH2</v>
      </c>
      <c r="ER13" s="3">
        <f>_xlfn.XLOOKUP(B13,'BASE DE EXCEL'!$C:$C,'BASE DE EXCEL'!BL:BL,"NO HAY REFERENCIA")</f>
        <v>0</v>
      </c>
      <c r="ES13" s="3">
        <f>_xlfn.XLOOKUP(B13,'BASE DE EXCEL'!$C:$C,'BASE DE EXCEL'!BM:BM,"NO HAY REFERENCIA")</f>
        <v>99</v>
      </c>
      <c r="ET13" s="3" t="str">
        <f>_xlfn.XLOOKUP(B13,'BASE DE EXCEL'!$C:$C,'BASE DE EXCEL'!BN:BN,"NO HAY REFERENCIA")</f>
        <v>LOTES: M084A01, M085A01,LOTES:  M086A01, M087A01,LOTES: M156A01, M157A01,,LOTES:  M158A01, M159A01,LOTES:  M160A01, M161A01,LOTES:  M162A01, M163A01,LOTES: M164A01, M165A01,LOTES: M180A01, M179A01,LOTES:  M178A01, M177A01</v>
      </c>
      <c r="EU13" s="3">
        <f>_xlfn.XLOOKUP(B13,'BASE DE EXCEL'!$C:$C,'BASE DE EXCEL'!BO:BO,"NO HAY REFERENCIA")</f>
        <v>90</v>
      </c>
      <c r="EV13" s="3">
        <f>_xlfn.XLOOKUP(B13,'BASE DE EXCEL'!$C:$C,'BASE DE EXCEL'!BP:BP,"NO HAY REFERENCIA")</f>
        <v>12581182.4</v>
      </c>
      <c r="EW13" s="3" t="str">
        <f>_xlfn.XLOOKUP(B13,'BASE DE EXCEL'!$C:$C,'BASE DE EXCEL'!BQ:BQ,"NO HAY REFERENCIA")</f>
        <v>KILO</v>
      </c>
      <c r="EX13" s="3">
        <f>_xlfn.XLOOKUP(B13,'BASE DE EXCEL'!$C:$C,'BASE DE EXCEL'!BR:BR,"NO HAY REFERENCIA")</f>
        <v>0</v>
      </c>
      <c r="EY13" s="3" t="str">
        <f>_xlfn.XLOOKUP(B13,'BASE DE EXCEL'!$C:$C,'BASE DE EXCEL'!BS:BS,"NO HAY REFERENCIA")</f>
        <v>FRANCIA (REPUBLICA FRANCESA)</v>
      </c>
      <c r="EZ13" s="3" t="str">
        <f>_xlfn.XLOOKUP(B13,'BASE DE EXCEL'!$C:$C,'BASE DE EXCEL'!BT:BT,"NO HAY REFERENCIA")</f>
        <v>PAISES BAJOS (REINO DE LOS) (HOLANDA)</v>
      </c>
      <c r="FA13" s="3" t="str">
        <f>_xlfn.XLOOKUP(B13,'BASE DE EXCEL'!$C:$C,'BASE DE EXCEL'!BU:BU,"NO HAY REFERENCIA")</f>
        <v>FRA</v>
      </c>
      <c r="FB13" s="3" t="str">
        <f>_xlfn.XLOOKUP(B13,'BASE DE EXCEL'!$C:$C,'BASE DE EXCEL'!BV:BV,"NO HAY REFERENCIA")</f>
        <v>ZYA</v>
      </c>
      <c r="FC13" s="3">
        <f>_xlfn.XLOOKUP(B13,QUERY!$C:$C,QUERY!D:D)</f>
        <v>430</v>
      </c>
      <c r="FD13" s="4">
        <f>_xlfn.XLOOKUP(B13,QUERY!$C:$C,QUERY!E:E)</f>
        <v>46027</v>
      </c>
      <c r="FE13" s="3">
        <f>_xlfn.XLOOKUP(B13,QUERY!$C:$C,QUERY!F:F)</f>
        <v>1</v>
      </c>
      <c r="FF13" s="4">
        <f>_xlfn.XLOOKUP(B13,QUERY!$C:$C,QUERY!G:G)</f>
        <v>46006</v>
      </c>
      <c r="FG13" s="4">
        <f>_xlfn.XLOOKUP(B13,QUERY!$C:$C,QUERY!H:H)</f>
        <v>46027</v>
      </c>
      <c r="FH13" s="3">
        <f>_xlfn.XLOOKUP(B13,QUERY!$C:$C,QUERY!I:I)</f>
        <v>15</v>
      </c>
      <c r="FI13" s="3" t="str">
        <f>_xlfn.XLOOKUP(B13,QUERY!$C:$C,QUERY!J:J)</f>
        <v>11 a 15 días</v>
      </c>
      <c r="FJ13" s="4">
        <f>_xlfn.XLOOKUP(B13,QUERY!$C:$C,QUERY!K:K)</f>
        <v>46028</v>
      </c>
      <c r="FK13" s="3">
        <f>_xlfn.XLOOKUP(B13,QUERY!$C:$C,QUERY!L:L)</f>
        <v>16</v>
      </c>
      <c r="FL13" s="3" t="str">
        <f>_xlfn.XLOOKUP(B13,QUERY!$C:$C,QUERY!M:M)</f>
        <v>16 o más días</v>
      </c>
      <c r="FM13" s="3">
        <f>_xlfn.XLOOKUP(B13,QUERY!$C:$C,QUERY!N:N)</f>
        <v>1</v>
      </c>
      <c r="FN13" s="3" t="str">
        <f>_xlfn.XLOOKUP(B13,QUERY!$C:$C,QUERY!O:O)</f>
        <v>1 día o menos</v>
      </c>
      <c r="FO13" s="3">
        <f>_xlfn.XLOOKUP(B13,QUERY!$C:$C,QUERY!P:P)</f>
        <v>1</v>
      </c>
      <c r="FP13" s="3">
        <f>_xlfn.XLOOKUP(B13,QUERY!$C:$C,QUERY!Q:Q)</f>
        <v>1</v>
      </c>
      <c r="FQ13" s="3" t="str">
        <f>_xlfn.XLOOKUP(B13,QUERY!$C:$C,QUERY!R:R)</f>
        <v>1 día o menos</v>
      </c>
      <c r="FR13" s="4">
        <f>_xlfn.XLOOKUP(B13,QUERY!$C:$C,QUERY!S:S)</f>
        <v>46029</v>
      </c>
      <c r="FS13" s="3">
        <f>_xlfn.XLOOKUP(B13,QUERY!$C:$C,QUERY!T:T)</f>
        <v>17</v>
      </c>
      <c r="FT13" s="3" t="str">
        <f>_xlfn.XLOOKUP(B13,QUERY!$C:$C,QUERY!U:U)</f>
        <v>mas de 16 dias</v>
      </c>
      <c r="FU13" s="3">
        <f>_xlfn.XLOOKUP(B13,QUERY!$C:$C,QUERY!V:V)</f>
        <v>21</v>
      </c>
      <c r="FV13" s="3" t="str">
        <f>_xlfn.XLOOKUP(B13,QUERY!$C:$C,QUERY!W:W)</f>
        <v>más de 16 días</v>
      </c>
      <c r="FW13" s="4">
        <f>_xlfn.XLOOKUP(B13,QUERY!$C:$C,QUERY!X:X)</f>
        <v>46035</v>
      </c>
      <c r="FX13" s="3">
        <f>_xlfn.XLOOKUP(B13,QUERY!$C:$C,QUERY!Y:Y)</f>
        <v>4</v>
      </c>
      <c r="FY13" s="3">
        <f>_xlfn.XLOOKUP(B13,QUERY!$C:$C,QUERY!Z:Z)</f>
        <v>4</v>
      </c>
      <c r="FZ13" s="4" t="str">
        <f>_xlfn.XLOOKUP(B13,QUERY!$C:$C,QUERY!AA:AA)</f>
        <v>6 a 10 días</v>
      </c>
      <c r="GA13" s="4">
        <f>_xlfn.XLOOKUP(B13,QUERY!$C:$C,QUERY!AB:AB)</f>
        <v>46035</v>
      </c>
      <c r="GB13" s="4">
        <f>_xlfn.XLOOKUP(B13,QUERY!$C:$C,QUERY!AC:AC)</f>
        <v>46035</v>
      </c>
      <c r="GC13" s="3">
        <f>_xlfn.XLOOKUP(B13,QUERY!$C:$C,QUERY!AD:AD)</f>
        <v>0</v>
      </c>
      <c r="GD13" s="4">
        <f>_xlfn.XLOOKUP(B13,QUERY!$C:$C,QUERY!AE:AE)</f>
        <v>46035</v>
      </c>
      <c r="GE13" s="3">
        <f>_xlfn.XLOOKUP(B13,QUERY!$C:$C,QUERY!AF:AF)</f>
        <v>1</v>
      </c>
      <c r="GF13" s="4" t="str">
        <f>_xlfn.XLOOKUP(B13,QUERY!$C:$C,QUERY!AG:AG)</f>
        <v>Es anterior</v>
      </c>
      <c r="GG13" s="3" t="str">
        <f>_xlfn.XLOOKUP(B13,QUERY!$C:$C,QUERY!AH:AH)</f>
        <v>A1</v>
      </c>
      <c r="GH13" s="3" t="str">
        <f>_xlfn.XLOOKUP(B13,QUERY!$C:$C,QUERY!AI:AI)</f>
        <v>ZULEIMA PEREZ RUIZ</v>
      </c>
      <c r="GI13" s="3" t="str">
        <f>_xlfn.XLOOKUP(B13,QUERY!$C:$C,QUERY!AJ:AJ)</f>
        <v>HLCULE1251059620</v>
      </c>
      <c r="GJ13" s="3" t="str">
        <f>_xlfn.XLOOKUP(B13,QUERY!$C:$C,QUERY!AK:AK)</f>
        <v>NULL</v>
      </c>
      <c r="GK13" s="3">
        <f>_xlfn.XLOOKUP(B13,QUERY!$C:$C,QUERY!AL:AL)</f>
        <v>6000083</v>
      </c>
      <c r="GL13" s="3" t="str">
        <f>_xlfn.XLOOKUP(B13,QUERY!$C:$C,QUERY!AM:AM)</f>
        <v>Importación</v>
      </c>
      <c r="GM13" s="3" t="str">
        <f>_xlfn.XLOOKUP(B13,QUERY!$C:$C,QUERY!AN:AN)</f>
        <v>ZILMAX (PROMOTOR DEL RENDIMIENTO)</v>
      </c>
      <c r="GN13" s="3" t="str">
        <f>_xlfn.XLOOKUP(B13,QUERY!$C:$C,QUERY!AO:AO)</f>
        <v>SIN CLASIFICACION</v>
      </c>
      <c r="GO13" s="3">
        <f>_xlfn.XLOOKUP(B13,QUERY!$C:$C,QUERY!AP:AP)</f>
        <v>0</v>
      </c>
      <c r="GP13" s="3" t="str">
        <f>_xlfn.XLOOKUP(B13,QUERY!$C:$C,QUERY!AQ:AQ)</f>
        <v>Cargas de Importación</v>
      </c>
      <c r="GQ13" s="3" t="str">
        <f>_xlfn.XLOOKUP(B13,QUERY!$C:$C,QUERY!AR:AR)</f>
        <v>INTERVET MEXICO SA DE CV</v>
      </c>
      <c r="GR13" s="3">
        <f>_xlfn.XLOOKUP(B13,QUERY!$C:$C,QUERY!AS:AS)</f>
        <v>0</v>
      </c>
      <c r="GS13" s="3" t="str">
        <f>_xlfn.XLOOKUP(B13,QUERY!$C:$C,QUERY!AT:AT)</f>
        <v>FALTA RRNA</v>
      </c>
      <c r="GT13" s="3">
        <f>_xlfn.XLOOKUP(B13,QUERY!$C:$C,QUERY!AU:AU)</f>
        <v>0</v>
      </c>
      <c r="GU13" s="3" t="str">
        <f>_xlfn.XLOOKUP(B13,QUERY!$C:$C,QUERY!AV:AV)</f>
        <v>FALTA RRNA</v>
      </c>
      <c r="GV13" s="3" t="str">
        <f>_xlfn.XLOOKUP(B13,QUERY!$C:$C,QUERY!AW:AW)</f>
        <v>PRODUCTO TERMINADO</v>
      </c>
      <c r="GW13" s="3" t="str">
        <f>_xlfn.XLOOKUP(B13,QUERY!$C:$C,QUERY!AX:AX)</f>
        <v>Verde</v>
      </c>
      <c r="GX13" s="3" t="str">
        <f>_xlfn.XLOOKUP(B13,QUERY!$C:$C,QUERY!AY:AY)</f>
        <v xml:space="preserve"> SUPER EXPRESS DE CARGA FEDERAL S.A. DE C.V.</v>
      </c>
      <c r="GY13" s="3">
        <f>_xlfn.XLOOKUP(B13,QUERY!$C:$C,QUERY!AZ:AZ)</f>
        <v>0</v>
      </c>
      <c r="GZ13" s="3" t="str">
        <f>_xlfn.XLOOKUP(B13,QUERY!$C:$C,QUERY!BA:BA)</f>
        <v>IME-T001</v>
      </c>
      <c r="HA13" s="3" t="str">
        <f>_xlfn.XLOOKUP(B13,QUERY!$C:$C,QUERY!BB:BB)</f>
        <v>IME850329RH2</v>
      </c>
      <c r="HB13" s="3">
        <f>_xlfn.XLOOKUP(B13,QUERY!$C:$C,QUERY!BC:BC)</f>
        <v>0</v>
      </c>
      <c r="HC13" s="3">
        <f>_xlfn.XLOOKUP(B13,QUERY!$C:$C,QUERY!BD:BD)</f>
        <v>99</v>
      </c>
      <c r="HD13" s="3" t="str">
        <f>_xlfn.XLOOKUP(B13,QUERY!$C:$C,QUERY!BE:BE)</f>
        <v>LOTES: M084A01, M085A01,LOTES:  M086A01, M087A01,LOTES: M156A01, M157A01,,LOTES:  M158A01, M159A01,LOTES:  M160A01, M161A01,LOTES:  M162A01, M163A01,LOTES: M164A01, M165A01,LOTES: M180A01, M179A01,LOTES:  M178A01, M177A01</v>
      </c>
      <c r="HE13" s="3">
        <f>_xlfn.XLOOKUP(B13,QUERY!$C:$C,QUERY!BF:BF)</f>
        <v>90</v>
      </c>
      <c r="HF13" s="3" t="str">
        <f>_xlfn.XLOOKUP(B13,QUERY!$C:$C,QUERY!BG:BG)</f>
        <v xml:space="preserve"> 12581182.40</v>
      </c>
      <c r="HG13" s="3" t="str">
        <f>_xlfn.XLOOKUP(B13,QUERY!$C:$C,QUERY!BH:BH)</f>
        <v>KILO</v>
      </c>
      <c r="HH13" s="3">
        <f>_xlfn.XLOOKUP(B13,QUERY!$C:$C,QUERY!BI:BI)</f>
        <v>0</v>
      </c>
      <c r="HI13" s="3" t="str">
        <f>_xlfn.XLOOKUP(B13,QUERY!$C:$C,QUERY!BJ:BJ)</f>
        <v>FRANCIA (REPUBLICA FRANCESA)</v>
      </c>
      <c r="HJ13" s="3" t="str">
        <f>_xlfn.XLOOKUP(B13,QUERY!$C:$C,QUERY!BK:BK)</f>
        <v>PAISES BAJOS (REINO DE LOS) (HOLANDA)</v>
      </c>
      <c r="HK13" s="3" t="str">
        <f>_xlfn.XLOOKUP(B13,QUERY!$C:$C,QUERY!BL:BL)</f>
        <v>FRA</v>
      </c>
      <c r="HL13" s="3" t="str">
        <f>_xlfn.XLOOKUP(B13,QUERY!$C:$C,QUERY!BM:BM)</f>
        <v>ZYA</v>
      </c>
      <c r="HM13" s="3">
        <f>_xlfn.XLOOKUP(B13,QUERY!$C:$C,QUERY!BN:BN)</f>
        <v>12581182</v>
      </c>
      <c r="HN13" s="3" t="str">
        <f>_xlfn.XLOOKUP(B13,QUERY!$C:$C,QUERY!BO:BO)</f>
        <v>100649.00</v>
      </c>
      <c r="HO13" s="3" t="str">
        <f>_xlfn.XLOOKUP(B13,QUERY!$C:$C,QUERY!BP:BP)</f>
        <v>NULL</v>
      </c>
      <c r="HP13" s="3" t="str">
        <f>_xlfn.XLOOKUP(B13,QUERY!$C:$C,QUERY!BQ:BQ)</f>
        <v>NULL</v>
      </c>
      <c r="HQ13" s="3" t="str">
        <f>_xlfn.XLOOKUP(B13,QUERY!$C:$C,QUERY!BR:BR)</f>
        <v>375823.69</v>
      </c>
      <c r="HR13" s="3">
        <f>_xlfn.XLOOKUP(B13,QUERY!$C:$C,QUERY!BS:BS)</f>
        <v>0</v>
      </c>
      <c r="HS13" s="3">
        <f>_xlfn.XLOOKUP(B13,QUERY!$C:$C,QUERY!BT:BT)</f>
        <v>0</v>
      </c>
      <c r="HT13" s="3" t="str">
        <f>_xlfn.XLOOKUP(B13,QUERY!$C:$C,QUERY!A:A)</f>
        <v>VERACRUZ</v>
      </c>
      <c r="HU13" s="3" t="str">
        <f>_xlfn.XLOOKUP(B13,QUERY!$C:$C,QUERY!B:B)</f>
        <v>MARÍTIMO VERACRUZ</v>
      </c>
    </row>
    <row r="14" spans="1:229" x14ac:dyDescent="0.25">
      <c r="A14" s="3" t="s">
        <v>90</v>
      </c>
      <c r="B14" s="3" t="s">
        <v>248</v>
      </c>
      <c r="C14" s="3">
        <v>3942</v>
      </c>
      <c r="D14" s="3">
        <v>6000299</v>
      </c>
      <c r="E14" s="3"/>
      <c r="F14" s="3" t="s">
        <v>92</v>
      </c>
      <c r="G14" s="3" t="s">
        <v>93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18.208500000000001</v>
      </c>
      <c r="Q14" s="3">
        <v>546</v>
      </c>
      <c r="R14" s="3">
        <v>430</v>
      </c>
      <c r="S14" s="3"/>
      <c r="T14" s="3" t="s">
        <v>249</v>
      </c>
      <c r="U14" s="3">
        <v>741815</v>
      </c>
      <c r="V14" s="3">
        <v>741815</v>
      </c>
      <c r="W14" s="3">
        <v>0</v>
      </c>
      <c r="X14" s="3">
        <v>0</v>
      </c>
      <c r="Y14" s="3">
        <v>0</v>
      </c>
      <c r="Z14" s="3">
        <v>0</v>
      </c>
      <c r="AA14" s="3" t="s">
        <v>96</v>
      </c>
      <c r="AB14" s="3"/>
      <c r="AC14" s="3">
        <v>741815</v>
      </c>
      <c r="AD14" s="3">
        <v>14836.3</v>
      </c>
      <c r="AE14" s="3">
        <v>354</v>
      </c>
      <c r="AF14" s="3">
        <v>0</v>
      </c>
      <c r="AG14" s="3">
        <v>0</v>
      </c>
      <c r="AH14" s="3">
        <v>0</v>
      </c>
      <c r="AI14" s="3">
        <v>53</v>
      </c>
      <c r="AJ14" s="3">
        <v>5935</v>
      </c>
      <c r="AK14" s="3">
        <v>0</v>
      </c>
      <c r="AL14" s="3">
        <v>0</v>
      </c>
      <c r="AM14" s="3">
        <v>330</v>
      </c>
      <c r="AN14" s="3">
        <v>6318</v>
      </c>
      <c r="AO14" s="3" t="s">
        <v>97</v>
      </c>
      <c r="AP14" s="3" t="s">
        <v>98</v>
      </c>
      <c r="AQ14" s="3">
        <v>210358461</v>
      </c>
      <c r="AR14" s="3" t="s">
        <v>99</v>
      </c>
      <c r="AS14" s="3" t="s">
        <v>100</v>
      </c>
      <c r="AT14" s="3" t="s">
        <v>101</v>
      </c>
      <c r="AU14" s="3"/>
      <c r="AV14" s="3" t="s">
        <v>102</v>
      </c>
      <c r="AW14" s="3">
        <v>23099099</v>
      </c>
      <c r="AX14" s="3">
        <v>99</v>
      </c>
      <c r="AY14" s="3">
        <v>50</v>
      </c>
      <c r="AZ14" s="3">
        <v>50</v>
      </c>
      <c r="BA14" s="3" t="s">
        <v>103</v>
      </c>
      <c r="BB14" s="3"/>
      <c r="BC14" s="3" t="s">
        <v>104</v>
      </c>
      <c r="BD14" s="3" t="s">
        <v>105</v>
      </c>
      <c r="BE14" s="3" t="s">
        <v>106</v>
      </c>
      <c r="BF14" s="3" t="s">
        <v>107</v>
      </c>
      <c r="BG14" s="5">
        <v>4.3064022026058704E+16</v>
      </c>
      <c r="BH14" s="3" t="s">
        <v>108</v>
      </c>
      <c r="BI14" s="3"/>
      <c r="BJ14" s="3" t="s">
        <v>109</v>
      </c>
      <c r="BK14" s="3" t="s">
        <v>110</v>
      </c>
      <c r="BL14" s="3">
        <v>43356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22189.59</v>
      </c>
      <c r="BY14" s="3">
        <v>0</v>
      </c>
      <c r="BZ14" s="3">
        <v>0</v>
      </c>
      <c r="CA14" s="3">
        <v>0</v>
      </c>
      <c r="CB14" s="3">
        <v>5600</v>
      </c>
      <c r="CC14" s="3">
        <v>1358.4</v>
      </c>
      <c r="CD14" s="3">
        <v>114307.79</v>
      </c>
      <c r="CE14" s="3" t="s">
        <v>192</v>
      </c>
      <c r="CF14" s="3">
        <v>114307.79</v>
      </c>
      <c r="CG14" s="3">
        <v>0</v>
      </c>
      <c r="CH14" s="3">
        <v>0</v>
      </c>
      <c r="CI14" s="3" t="s">
        <v>112</v>
      </c>
      <c r="CJ14" s="3" t="s">
        <v>112</v>
      </c>
      <c r="CK14" s="3">
        <f>_xlfn.XLOOKUP($B$2,'BASE DE EXCEL'!C:C,'BASE DE EXCEL'!D:D,"NO HAY REFERENCIA")</f>
        <v>470</v>
      </c>
      <c r="CL14" s="5">
        <f>_xlfn.XLOOKUP($B$2,'BASE DE EXCEL'!$C:$C,'BASE DE EXCEL'!F:F,"NO HAY REFERENCIA")</f>
        <v>3</v>
      </c>
      <c r="CM14" s="4">
        <f>_xlfn.XLOOKUP($B$2,'BASE DE EXCEL'!$C:$C,'BASE DE EXCEL'!G:G,"NO HAY REFERENCIA")</f>
        <v>46080</v>
      </c>
      <c r="CN14" s="4">
        <f>_xlfn.XLOOKUP($B$2,'BASE DE EXCEL'!$C:$C,'BASE DE EXCEL'!H:H,"NO HAY REFERENCIA")</f>
        <v>46086</v>
      </c>
      <c r="CO14" s="3">
        <f>_xlfn.XLOOKUP($B$2,'BASE DE EXCEL'!$C:$C,'BASE DE EXCEL'!I:I,"NO HAY REFERENCIA")</f>
        <v>4</v>
      </c>
      <c r="CP14" s="3" t="str">
        <f>_xlfn.XLOOKUP($B$2,'BASE DE EXCEL'!$C:$C,'BASE DE EXCEL'!J:J,"NO HAY REFERENCIA")</f>
        <v>4 a 5 días</v>
      </c>
      <c r="CQ14" s="4">
        <f>_xlfn.XLOOKUP($B$2,'BASE DE EXCEL'!$C:$C,'BASE DE EXCEL'!K:K,"NO HAY REFERENCIA")</f>
        <v>46087</v>
      </c>
      <c r="CR14" s="3">
        <f>_xlfn.XLOOKUP($B$2,'BASE DE EXCEL'!$C:$C,'BASE DE EXCEL'!L:L,"NO HAY REFERENCIA")</f>
        <v>5</v>
      </c>
      <c r="CS14" s="3">
        <f>_xlfn.XLOOKUP($B$2,'BASE DE EXCEL'!$C:$C,'BASE DE EXCEL'!M:M,"NO HAY REFERENCIA")</f>
        <v>6</v>
      </c>
      <c r="CT14" s="3" t="str">
        <f>_xlfn.XLOOKUP($B$2,'BASE DE EXCEL'!$C:$C,'BASE DE EXCEL'!N:N,"NO HAY REFERENCIA")</f>
        <v>6 a 10 días</v>
      </c>
      <c r="CU14" s="3" t="str">
        <f>_xlfn.XLOOKUP($B$2,'BASE DE EXCEL'!$C:$C,'BASE DE EXCEL'!O:O,"NO HAY REFERENCIA")</f>
        <v>On Time</v>
      </c>
      <c r="CV14" s="3" t="str">
        <f>_xlfn.XLOOKUP(B14,'BASE DE EXCEL'!$C:$C,'BASE DE EXCEL'!P:P,"NO HAY REFERENCIA")</f>
        <v>16 o más días</v>
      </c>
      <c r="CW14" s="4">
        <f>_xlfn.XLOOKUP(B14,'BASE DE EXCEL'!$C:$C,'BASE DE EXCEL'!Q:Q,"NO HAY REFERENCIA")</f>
        <v>46080</v>
      </c>
      <c r="CX14" s="3">
        <f>_xlfn.XLOOKUP(B14,'BASE DE EXCEL'!$C:$C,'BASE DE EXCEL'!R:R,"NO HAY REFERENCIA")</f>
        <v>53</v>
      </c>
      <c r="CY14" s="3" t="str">
        <f>_xlfn.XLOOKUP(B14,'BASE DE EXCEL'!$C:$C,'BASE DE EXCEL'!S:S,"NO HAY REFERENCIA")</f>
        <v>más de 16 días</v>
      </c>
      <c r="CZ14" s="3" t="str">
        <f>_xlfn.XLOOKUP(B14,'BASE DE EXCEL'!$C:$C,'BASE DE EXCEL'!T:T,"NO HAY REFERENCIA")</f>
        <v>Delayed</v>
      </c>
      <c r="DA14" s="3">
        <f>_xlfn.XLOOKUP(B14,'BASE DE EXCEL'!$C:$C,'BASE DE EXCEL'!U:U,"NO HAY REFERENCIA")</f>
        <v>74</v>
      </c>
      <c r="DB14" s="3" t="str">
        <f>_xlfn.XLOOKUP(B14,'BASE DE EXCEL'!$C:$C,'BASE DE EXCEL'!V:V,"NO HAY REFERENCIA")</f>
        <v>mas de 16 dias</v>
      </c>
      <c r="DC14" s="3">
        <f>_xlfn.XLOOKUP(B14,'BASE DE EXCEL'!$C:$C,'BASE DE EXCEL'!W:W,"NO HAY REFERENCIA")</f>
        <v>58</v>
      </c>
      <c r="DD14" s="3" t="str">
        <f>_xlfn.XLOOKUP(B14,'BASE DE EXCEL'!$C:$C,'BASE DE EXCEL'!X:X,"NO HAY REFERENCIA")</f>
        <v>más de 16 días</v>
      </c>
      <c r="DE14" s="3">
        <f>_xlfn.XLOOKUP(B14,'BASE DE EXCEL'!$C:$C,'BASE DE EXCEL'!Y:Y,"NO HAY REFERENCIA")</f>
        <v>1</v>
      </c>
      <c r="DF14" s="3" t="str">
        <f>_xlfn.XLOOKUP(B14,'BASE DE EXCEL'!$C:$C,'BASE DE EXCEL'!Z:Z,"NO HAY REFERENCIA")</f>
        <v>1 día o menos</v>
      </c>
      <c r="DG14" s="3">
        <f>_xlfn.XLOOKUP(B14,'BASE DE EXCEL'!$C:$C,'BASE DE EXCEL'!AA:AA,"NO HAY REFERENCIA")</f>
        <v>72</v>
      </c>
      <c r="DH14" s="3">
        <f>_xlfn.XLOOKUP(B14,'BASE DE EXCEL'!$C:$C,'BASE DE EXCEL'!AB:AB,"NO HAY REFERENCIA")</f>
        <v>1</v>
      </c>
      <c r="DI14" s="3" t="str">
        <f>_xlfn.XLOOKUP(B14,'BASE DE EXCEL'!$C:$C,'BASE DE EXCEL'!AC:AC,"NO HAY REFERENCIA")</f>
        <v>1 día o menos</v>
      </c>
      <c r="DJ14" s="4">
        <f>_xlfn.XLOOKUP(B14,'BASE DE EXCEL'!$C:$C,'BASE DE EXCEL'!AD:AD,"NO HAY REFERENCIA")</f>
        <v>46086</v>
      </c>
      <c r="DK14" s="3">
        <f>_xlfn.XLOOKUP(B14,'BASE DE EXCEL'!$C:$C,'BASE DE EXCEL'!AE:AE,"NO HAY REFERENCIA")</f>
        <v>6</v>
      </c>
      <c r="DL14" s="3">
        <f>_xlfn.XLOOKUP(B14,'BASE DE EXCEL'!$C:$C,'BASE DE EXCEL'!AF:AF,"NO HAY REFERENCIA")</f>
        <v>4</v>
      </c>
      <c r="DM14" s="4">
        <f>_xlfn.XLOOKUP(B14,'BASE DE EXCEL'!$C:$C,'BASE DE EXCEL'!AG:AG,"NO HAY REFERENCIA")</f>
        <v>46086</v>
      </c>
      <c r="DN14" s="4">
        <f>_xlfn.XLOOKUP(B14,'BASE DE EXCEL'!$C:$C,'BASE DE EXCEL'!AH:AH,"NO HAY REFERENCIA")</f>
        <v>46086</v>
      </c>
      <c r="DO14" s="3">
        <f>_xlfn.XLOOKUP(B14,'BASE DE EXCEL'!$C:$C,'BASE DE EXCEL'!AI:AI,"NO HAY REFERENCIA")</f>
        <v>0</v>
      </c>
      <c r="DP14" s="4" t="str">
        <f>_xlfn.XLOOKUP(B14,'BASE DE EXCEL'!$C:$C,'BASE DE EXCEL'!AJ:AJ,"NO HAY REFERENCIA")</f>
        <v>6 a 10 días</v>
      </c>
      <c r="DQ14" s="4">
        <f>_xlfn.XLOOKUP(B14,'BASE DE EXCEL'!$C:$C,'BASE DE EXCEL'!AK:AK,"NO HAY REFERENCIA")</f>
        <v>46086</v>
      </c>
      <c r="DR14" s="3">
        <f>_xlfn.XLOOKUP(B14,'BASE DE EXCEL'!$C:$C,'BASE DE EXCEL'!AL:AL,"NO HAY REFERENCIA")</f>
        <v>5</v>
      </c>
      <c r="DS14" s="3" t="str">
        <f>_xlfn.XLOOKUP(B14,'BASE DE EXCEL'!$C:$C,'BASE DE EXCEL'!AM:AM,"NO HAY REFERENCIA")</f>
        <v>4 a 5 días</v>
      </c>
      <c r="DT14" s="3" t="str">
        <f>_xlfn.XLOOKUP(B14,'BASE DE EXCEL'!$C:$C,'BASE DE EXCEL'!AN:AN,"NO HAY REFERENCIA")</f>
        <v>On Time</v>
      </c>
      <c r="DU14" s="3">
        <f>_xlfn.XLOOKUP(B14,'BASE DE EXCEL'!$C:$C,'BASE DE EXCEL'!AO:AO,"NO HAY REFERENCIA")</f>
        <v>1</v>
      </c>
      <c r="DV14" s="3" t="str">
        <f>_xlfn.XLOOKUP(B14,'BASE DE EXCEL'!$C:$C,'BASE DE EXCEL'!AP:AP,"NO HAY REFERENCIA")</f>
        <v>Es anterior</v>
      </c>
      <c r="DW14" s="3" t="str">
        <f>_xlfn.XLOOKUP(B14,'BASE DE EXCEL'!$C:$C,'BASE DE EXCEL'!AQ:AQ,"NO HAY REFERENCIA")</f>
        <v>A1</v>
      </c>
      <c r="DX14" s="3" t="str">
        <f>_xlfn.XLOOKUP(B14,'BASE DE EXCEL'!$C:$C,'BASE DE EXCEL'!AR:AR,"NO HAY REFERENCIA")</f>
        <v>ZULEIMA PEREZ RUIZ</v>
      </c>
      <c r="DY14" s="3" t="str">
        <f>_xlfn.XLOOKUP(B14,'BASE DE EXCEL'!$C:$C,'BASE DE EXCEL'!AS:AS,"NO HAY REFERENCIA")</f>
        <v>HLCULE1251059620</v>
      </c>
      <c r="DZ14" s="3" t="str">
        <f>_xlfn.XLOOKUP(B14,'BASE DE EXCEL'!$C:$C,'BASE DE EXCEL'!AT:AT,"NO HAY REFERENCIA")</f>
        <v>NULL</v>
      </c>
      <c r="EA14" s="3">
        <f>_xlfn.XLOOKUP(B14,'BASE DE EXCEL'!$C:$C,'BASE DE EXCEL'!AU:AU,"NO HAY REFERENCIA")</f>
        <v>6000299</v>
      </c>
      <c r="EB14" s="3" t="str">
        <f>_xlfn.XLOOKUP(B14,'BASE DE EXCEL'!$C:$C,'BASE DE EXCEL'!AV:AV,"NO HAY REFERENCIA")</f>
        <v>Importación</v>
      </c>
      <c r="EC14" s="3" t="str">
        <f>_xlfn.XLOOKUP(B14,'BASE DE EXCEL'!$C:$C,'BASE DE EXCEL'!AW:AW,"NO HAY REFERENCIA")</f>
        <v>ZILMAX (PROMOTOR DEL RENDIMIENTO)</v>
      </c>
      <c r="ED14" s="3" t="str">
        <f>_xlfn.XLOOKUP(B14,'BASE DE EXCEL'!$C:$C,'BASE DE EXCEL'!AX:AX,"NO HAY REFERENCIA")</f>
        <v>SIN CLASIFICACION</v>
      </c>
      <c r="EE14" s="3">
        <f>_xlfn.XLOOKUP(B14,'BASE DE EXCEL'!$C:$C,'BASE DE EXCEL'!AY:AY,"NO HAY REFERENCIA")</f>
        <v>0</v>
      </c>
      <c r="EF14" s="3" t="str">
        <f>_xlfn.XLOOKUP(B14,'BASE DE EXCEL'!$C:$C,'BASE DE EXCEL'!AZ:AZ,"NO HAY REFERENCIA")</f>
        <v>Cargas de Importación</v>
      </c>
      <c r="EG14" s="3" t="str">
        <f>_xlfn.XLOOKUP(B14,'BASE DE EXCEL'!$C:$C,'BASE DE EXCEL'!BA:BA,"NO HAY REFERENCIA")</f>
        <v>INTERVET MEXICO SA DE CV</v>
      </c>
      <c r="EH14" s="3">
        <f>_xlfn.XLOOKUP(B14,'BASE DE EXCEL'!$C:$C,'BASE DE EXCEL'!BB:BB,"NO HAY REFERENCIA")</f>
        <v>0</v>
      </c>
      <c r="EI14" s="3" t="str">
        <f>_xlfn.XLOOKUP(B14,'BASE DE EXCEL'!$C:$C,'BASE DE EXCEL'!BC:BC,"NO HAY REFERENCIA")</f>
        <v>FALTA RRNA</v>
      </c>
      <c r="EJ14" s="3">
        <f>_xlfn.XLOOKUP(B14,'BASE DE EXCEL'!$C:$C,'BASE DE EXCEL'!BD:BD,"NO HAY REFERENCIA")</f>
        <v>0</v>
      </c>
      <c r="EK14" s="3" t="str">
        <f>_xlfn.XLOOKUP(B14,'BASE DE EXCEL'!$C:$C,'BASE DE EXCEL'!BE:BE,"NO HAY REFERENCIA")</f>
        <v>FALTA RRNA</v>
      </c>
      <c r="EL14" s="3" t="str">
        <f>_xlfn.XLOOKUP(B14,'BASE DE EXCEL'!$C:$C,'BASE DE EXCEL'!BF:BF,"NO HAY REFERENCIA")</f>
        <v>PRODUCTO TERMINADO</v>
      </c>
      <c r="EM14" s="3" t="str">
        <f>_xlfn.XLOOKUP(B14,'BASE DE EXCEL'!$C:$C,'BASE DE EXCEL'!BG:BG,"NO HAY REFERENCIA")</f>
        <v>Verde</v>
      </c>
      <c r="EN14" s="3" t="str">
        <f>_xlfn.XLOOKUP(B14,'BASE DE EXCEL'!$C:$C,'BASE DE EXCEL'!BH:BH,"NO HAY REFERENCIA")</f>
        <v xml:space="preserve"> SERVEX TRANSPORTES SA DE CV</v>
      </c>
      <c r="EO14" s="3" t="str">
        <f>_xlfn.XLOOKUP(B14,'BASE DE EXCEL'!$C:$C,'BASE DE EXCEL'!BI:BI,"NO HAY REFERENCIA")</f>
        <v xml:space="preserve">ECONOMICO 09 </v>
      </c>
      <c r="EP14" s="3">
        <f>_xlfn.XLOOKUP(B14,'BASE DE EXCEL'!$C:$C,'BASE DE EXCEL'!BJ:BJ,"NO HAY REFERENCIA")</f>
        <v>0</v>
      </c>
      <c r="EQ14" s="3" t="str">
        <f>_xlfn.XLOOKUP(B14,'BASE DE EXCEL'!$C:$C,'BASE DE EXCEL'!BK:BK,"NO HAY REFERENCIA")</f>
        <v>IME850329RH2</v>
      </c>
      <c r="ER14" s="3">
        <f>_xlfn.XLOOKUP(B14,'BASE DE EXCEL'!$C:$C,'BASE DE EXCEL'!BL:BL,"NO HAY REFERENCIA")</f>
        <v>0</v>
      </c>
      <c r="ES14" s="3">
        <f>_xlfn.XLOOKUP(B14,'BASE DE EXCEL'!$C:$C,'BASE DE EXCEL'!BM:BM,"NO HAY REFERENCIA")</f>
        <v>99</v>
      </c>
      <c r="ET14" s="3" t="str">
        <f>_xlfn.XLOOKUP(B14,'BASE DE EXCEL'!$C:$C,'BASE DE EXCEL'!BN:BN,"NO HAY REFERENCIA")</f>
        <v>LOTES: M084A01, M085A01,LOTES:  M086A01, M087A01,LOTES: M156A01, M157A01,,LOTES:  M158A01, M159A01,LOTES:  M160A01, M161A01,LOTES:  M162A01, M163A01,LOTES: M164A01, M165A01,LOTES: M180A01, M179A01,LOTES:  M178A01, M177A01</v>
      </c>
      <c r="EU14" s="3">
        <f>_xlfn.XLOOKUP(B14,'BASE DE EXCEL'!$C:$C,'BASE DE EXCEL'!BO:BO,"NO HAY REFERENCIA")</f>
        <v>90</v>
      </c>
      <c r="EV14" s="3">
        <f>_xlfn.XLOOKUP(B14,'BASE DE EXCEL'!$C:$C,'BASE DE EXCEL'!BP:BP,"NO HAY REFERENCIA")</f>
        <v>741815</v>
      </c>
      <c r="EW14" s="3" t="str">
        <f>_xlfn.XLOOKUP(B14,'BASE DE EXCEL'!$C:$C,'BASE DE EXCEL'!BQ:BQ,"NO HAY REFERENCIA")</f>
        <v>KILO</v>
      </c>
      <c r="EX14" s="3">
        <f>_xlfn.XLOOKUP(B14,'BASE DE EXCEL'!$C:$C,'BASE DE EXCEL'!BR:BR,"NO HAY REFERENCIA")</f>
        <v>0</v>
      </c>
      <c r="EY14" s="3" t="str">
        <f>_xlfn.XLOOKUP(B14,'BASE DE EXCEL'!$C:$C,'BASE DE EXCEL'!BS:BS,"NO HAY REFERENCIA")</f>
        <v>FRANCIA (REPUBLICA FRANCESA)</v>
      </c>
      <c r="EZ14" s="3" t="str">
        <f>_xlfn.XLOOKUP(B14,'BASE DE EXCEL'!$C:$C,'BASE DE EXCEL'!BT:BT,"NO HAY REFERENCIA")</f>
        <v>PAISES BAJOS (REINO DE LOS) (HOLANDA)</v>
      </c>
      <c r="FA14" s="3" t="str">
        <f>_xlfn.XLOOKUP(B14,'BASE DE EXCEL'!$C:$C,'BASE DE EXCEL'!BU:BU,"NO HAY REFERENCIA")</f>
        <v>FRA</v>
      </c>
      <c r="FB14" s="3" t="str">
        <f>_xlfn.XLOOKUP(B14,'BASE DE EXCEL'!$C:$C,'BASE DE EXCEL'!BV:BV,"NO HAY REFERENCIA")</f>
        <v>ZYA</v>
      </c>
      <c r="FC14" s="3">
        <f>_xlfn.XLOOKUP(B14,QUERY!$C:$C,QUERY!D:D)</f>
        <v>430</v>
      </c>
      <c r="FD14" s="4">
        <f>_xlfn.XLOOKUP(B14,QUERY!$C:$C,QUERY!E:E)</f>
        <v>46078</v>
      </c>
      <c r="FE14" s="3">
        <f>_xlfn.XLOOKUP(B14,QUERY!$C:$C,QUERY!F:F)</f>
        <v>2</v>
      </c>
      <c r="FF14" s="4">
        <f>_xlfn.XLOOKUP(B14,QUERY!$C:$C,QUERY!G:G)</f>
        <v>46006</v>
      </c>
      <c r="FG14" s="4">
        <f>_xlfn.XLOOKUP(B14,QUERY!$C:$C,QUERY!H:H)</f>
        <v>46078</v>
      </c>
      <c r="FH14" s="3">
        <f>_xlfn.XLOOKUP(B14,QUERY!$C:$C,QUERY!I:I)</f>
        <v>52</v>
      </c>
      <c r="FI14" s="3" t="str">
        <f>_xlfn.XLOOKUP(B14,QUERY!$C:$C,QUERY!J:J)</f>
        <v>16 o más días</v>
      </c>
      <c r="FJ14" s="4">
        <f>_xlfn.XLOOKUP(B14,QUERY!$C:$C,QUERY!K:K)</f>
        <v>46079</v>
      </c>
      <c r="FK14" s="3">
        <f>_xlfn.XLOOKUP(B14,QUERY!$C:$C,QUERY!L:L)</f>
        <v>53</v>
      </c>
      <c r="FL14" s="3" t="str">
        <f>_xlfn.XLOOKUP(B14,QUERY!$C:$C,QUERY!M:M)</f>
        <v>16 o más días</v>
      </c>
      <c r="FM14" s="3">
        <f>_xlfn.XLOOKUP(B14,QUERY!$C:$C,QUERY!N:N)</f>
        <v>1</v>
      </c>
      <c r="FN14" s="3" t="str">
        <f>_xlfn.XLOOKUP(B14,QUERY!$C:$C,QUERY!O:O)</f>
        <v>1 día o menos</v>
      </c>
      <c r="FO14" s="3">
        <f>_xlfn.XLOOKUP(B14,QUERY!$C:$C,QUERY!P:P)</f>
        <v>1</v>
      </c>
      <c r="FP14" s="3">
        <f>_xlfn.XLOOKUP(B14,QUERY!$C:$C,QUERY!Q:Q)</f>
        <v>1</v>
      </c>
      <c r="FQ14" s="3" t="str">
        <f>_xlfn.XLOOKUP(B14,QUERY!$C:$C,QUERY!R:R)</f>
        <v>1 día o menos</v>
      </c>
      <c r="FR14" s="4">
        <f>_xlfn.XLOOKUP(B14,QUERY!$C:$C,QUERY!S:S)</f>
        <v>46080</v>
      </c>
      <c r="FS14" s="3">
        <f>_xlfn.XLOOKUP(B14,QUERY!$C:$C,QUERY!T:T)</f>
        <v>54</v>
      </c>
      <c r="FT14" s="3" t="str">
        <f>_xlfn.XLOOKUP(B14,QUERY!$C:$C,QUERY!U:U)</f>
        <v>mas de 16 dias</v>
      </c>
      <c r="FU14" s="3">
        <f>_xlfn.XLOOKUP(B14,QUERY!$C:$C,QUERY!V:V)</f>
        <v>58</v>
      </c>
      <c r="FV14" s="3" t="str">
        <f>_xlfn.XLOOKUP(B14,QUERY!$C:$C,QUERY!W:W)</f>
        <v>más de 16 días</v>
      </c>
      <c r="FW14" s="4">
        <f>_xlfn.XLOOKUP(B14,QUERY!$C:$C,QUERY!X:X)</f>
        <v>46086</v>
      </c>
      <c r="FX14" s="3">
        <f>_xlfn.XLOOKUP(B14,QUERY!$C:$C,QUERY!Y:Y)</f>
        <v>4</v>
      </c>
      <c r="FY14" s="3">
        <f>_xlfn.XLOOKUP(B14,QUERY!$C:$C,QUERY!Z:Z)</f>
        <v>4</v>
      </c>
      <c r="FZ14" s="4" t="str">
        <f>_xlfn.XLOOKUP(B14,QUERY!$C:$C,QUERY!AA:AA)</f>
        <v>6 a 10 días</v>
      </c>
      <c r="GA14" s="4">
        <f>_xlfn.XLOOKUP(B14,QUERY!$C:$C,QUERY!AB:AB)</f>
        <v>46086</v>
      </c>
      <c r="GB14" s="4">
        <f>_xlfn.XLOOKUP(B14,QUERY!$C:$C,QUERY!AC:AC)</f>
        <v>46086</v>
      </c>
      <c r="GC14" s="3">
        <f>_xlfn.XLOOKUP(B14,QUERY!$C:$C,QUERY!AD:AD)</f>
        <v>0</v>
      </c>
      <c r="GD14" s="4">
        <f>_xlfn.XLOOKUP(B14,QUERY!$C:$C,QUERY!AE:AE)</f>
        <v>46086</v>
      </c>
      <c r="GE14" s="3">
        <f>_xlfn.XLOOKUP(B14,QUERY!$C:$C,QUERY!AF:AF)</f>
        <v>1</v>
      </c>
      <c r="GF14" s="4" t="str">
        <f>_xlfn.XLOOKUP(B14,QUERY!$C:$C,QUERY!AG:AG)</f>
        <v>Es anterior</v>
      </c>
      <c r="GG14" s="3" t="str">
        <f>_xlfn.XLOOKUP(B14,QUERY!$C:$C,QUERY!AH:AH)</f>
        <v>A1</v>
      </c>
      <c r="GH14" s="3" t="str">
        <f>_xlfn.XLOOKUP(B14,QUERY!$C:$C,QUERY!AI:AI)</f>
        <v>ZULEIMA PEREZ RUIZ</v>
      </c>
      <c r="GI14" s="3" t="str">
        <f>_xlfn.XLOOKUP(B14,QUERY!$C:$C,QUERY!AJ:AJ)</f>
        <v>HLCULE1251059620</v>
      </c>
      <c r="GJ14" s="3" t="str">
        <f>_xlfn.XLOOKUP(B14,QUERY!$C:$C,QUERY!AK:AK)</f>
        <v>NULL</v>
      </c>
      <c r="GK14" s="3">
        <f>_xlfn.XLOOKUP(B14,QUERY!$C:$C,QUERY!AL:AL)</f>
        <v>6000299</v>
      </c>
      <c r="GL14" s="3" t="str">
        <f>_xlfn.XLOOKUP(B14,QUERY!$C:$C,QUERY!AM:AM)</f>
        <v>Importación</v>
      </c>
      <c r="GM14" s="3" t="str">
        <f>_xlfn.XLOOKUP(B14,QUERY!$C:$C,QUERY!AN:AN)</f>
        <v>ZILMAX (PROMOTOR DEL RENDIMIENTO)</v>
      </c>
      <c r="GN14" s="3" t="str">
        <f>_xlfn.XLOOKUP(B14,QUERY!$C:$C,QUERY!AO:AO)</f>
        <v>SIN CLASIFICACION</v>
      </c>
      <c r="GO14" s="3">
        <f>_xlfn.XLOOKUP(B14,QUERY!$C:$C,QUERY!AP:AP)</f>
        <v>0</v>
      </c>
      <c r="GP14" s="3" t="str">
        <f>_xlfn.XLOOKUP(B14,QUERY!$C:$C,QUERY!AQ:AQ)</f>
        <v>Cargas de Importación</v>
      </c>
      <c r="GQ14" s="3" t="str">
        <f>_xlfn.XLOOKUP(B14,QUERY!$C:$C,QUERY!AR:AR)</f>
        <v>INTERVET MEXICO SA DE CV</v>
      </c>
      <c r="GR14" s="3">
        <f>_xlfn.XLOOKUP(B14,QUERY!$C:$C,QUERY!AS:AS)</f>
        <v>0</v>
      </c>
      <c r="GS14" s="3" t="str">
        <f>_xlfn.XLOOKUP(B14,QUERY!$C:$C,QUERY!AT:AT)</f>
        <v>FALTA RRNA</v>
      </c>
      <c r="GT14" s="3">
        <f>_xlfn.XLOOKUP(B14,QUERY!$C:$C,QUERY!AU:AU)</f>
        <v>0</v>
      </c>
      <c r="GU14" s="3" t="str">
        <f>_xlfn.XLOOKUP(B14,QUERY!$C:$C,QUERY!AV:AV)</f>
        <v>FALTA RRNA</v>
      </c>
      <c r="GV14" s="3" t="str">
        <f>_xlfn.XLOOKUP(B14,QUERY!$C:$C,QUERY!AW:AW)</f>
        <v>PRODUCTO TERMINADO</v>
      </c>
      <c r="GW14" s="3" t="str">
        <f>_xlfn.XLOOKUP(B14,QUERY!$C:$C,QUERY!AX:AX)</f>
        <v>Verde</v>
      </c>
      <c r="GX14" s="3" t="str">
        <f>_xlfn.XLOOKUP(B14,QUERY!$C:$C,QUERY!AY:AY)</f>
        <v xml:space="preserve"> SERVEX TRANSPORTES SA DE CV</v>
      </c>
      <c r="GY14" s="3" t="str">
        <f>_xlfn.XLOOKUP(B14,QUERY!$C:$C,QUERY!AZ:AZ)</f>
        <v xml:space="preserve">ECONOMICO 09 </v>
      </c>
      <c r="GZ14" s="3">
        <f>_xlfn.XLOOKUP(B14,QUERY!$C:$C,QUERY!BA:BA)</f>
        <v>0</v>
      </c>
      <c r="HA14" s="3" t="str">
        <f>_xlfn.XLOOKUP(B14,QUERY!$C:$C,QUERY!BB:BB)</f>
        <v>IME850329RH2</v>
      </c>
      <c r="HB14" s="3">
        <f>_xlfn.XLOOKUP(B14,QUERY!$C:$C,QUERY!BC:BC)</f>
        <v>0</v>
      </c>
      <c r="HC14" s="3">
        <f>_xlfn.XLOOKUP(B14,QUERY!$C:$C,QUERY!BD:BD)</f>
        <v>99</v>
      </c>
      <c r="HD14" s="3" t="str">
        <f>_xlfn.XLOOKUP(B14,QUERY!$C:$C,QUERY!BE:BE)</f>
        <v>LOTES: M084A01, M085A01,LOTES:  M086A01, M087A01,LOTES: M156A01, M157A01,,LOTES:  M158A01, M159A01,LOTES:  M160A01, M161A01,LOTES:  M162A01, M163A01,LOTES: M164A01, M165A01,LOTES: M180A01, M179A01,LOTES:  M178A01, M177A01</v>
      </c>
      <c r="HE14" s="3">
        <f>_xlfn.XLOOKUP(B14,QUERY!$C:$C,QUERY!BF:BF)</f>
        <v>90</v>
      </c>
      <c r="HF14" s="3" t="str">
        <f>_xlfn.XLOOKUP(B14,QUERY!$C:$C,QUERY!BG:BG)</f>
        <v xml:space="preserve"> 741815.00</v>
      </c>
      <c r="HG14" s="3" t="str">
        <f>_xlfn.XLOOKUP(B14,QUERY!$C:$C,QUERY!BH:BH)</f>
        <v>KILO</v>
      </c>
      <c r="HH14" s="3">
        <f>_xlfn.XLOOKUP(B14,QUERY!$C:$C,QUERY!BI:BI)</f>
        <v>0</v>
      </c>
      <c r="HI14" s="3" t="str">
        <f>_xlfn.XLOOKUP(B14,QUERY!$C:$C,QUERY!BJ:BJ)</f>
        <v>FRANCIA (REPUBLICA FRANCESA)</v>
      </c>
      <c r="HJ14" s="3" t="str">
        <f>_xlfn.XLOOKUP(B14,QUERY!$C:$C,QUERY!BK:BK)</f>
        <v>PAISES BAJOS (REINO DE LOS) (HOLANDA)</v>
      </c>
      <c r="HK14" s="3" t="str">
        <f>_xlfn.XLOOKUP(B14,QUERY!$C:$C,QUERY!BL:BL)</f>
        <v>FRA</v>
      </c>
      <c r="HL14" s="3" t="str">
        <f>_xlfn.XLOOKUP(B14,QUERY!$C:$C,QUERY!BM:BM)</f>
        <v>ZYA</v>
      </c>
      <c r="HM14" s="3">
        <f>_xlfn.XLOOKUP(B14,QUERY!$C:$C,QUERY!BN:BN)</f>
        <v>741815</v>
      </c>
      <c r="HN14" s="3" t="str">
        <f>_xlfn.XLOOKUP(B14,QUERY!$C:$C,QUERY!BO:BO)</f>
        <v>5935.00</v>
      </c>
      <c r="HO14" s="3" t="str">
        <f>_xlfn.XLOOKUP(B14,QUERY!$C:$C,QUERY!BP:BP)</f>
        <v>NULL</v>
      </c>
      <c r="HP14" s="3" t="str">
        <f>_xlfn.XLOOKUP(B14,QUERY!$C:$C,QUERY!BQ:BQ)</f>
        <v>NULL</v>
      </c>
      <c r="HQ14" s="3" t="str">
        <f>_xlfn.XLOOKUP(B14,QUERY!$C:$C,QUERY!BR:BR)</f>
        <v>114307.79</v>
      </c>
      <c r="HR14" s="3">
        <f>_xlfn.XLOOKUP(B14,QUERY!$C:$C,QUERY!BS:BS)</f>
        <v>0</v>
      </c>
      <c r="HS14" s="3">
        <f>_xlfn.XLOOKUP(B14,QUERY!$C:$C,QUERY!BT:BT)</f>
        <v>0</v>
      </c>
      <c r="HT14" s="3" t="str">
        <f>_xlfn.XLOOKUP(B14,QUERY!$C:$C,QUERY!A:A)</f>
        <v>VERACRUZ</v>
      </c>
      <c r="HU14" s="3" t="str">
        <f>_xlfn.XLOOKUP(B14,QUERY!$C:$C,QUERY!B:B)</f>
        <v>MARÍTIMO VERACRUZ</v>
      </c>
    </row>
    <row r="15" spans="1:229" x14ac:dyDescent="0.25">
      <c r="A15" s="3" t="s">
        <v>90</v>
      </c>
      <c r="B15" s="3" t="s">
        <v>165</v>
      </c>
      <c r="C15" s="3">
        <v>3942</v>
      </c>
      <c r="D15" s="3">
        <v>6000133</v>
      </c>
      <c r="E15" s="3"/>
      <c r="F15" s="3" t="s">
        <v>92</v>
      </c>
      <c r="G15" s="3" t="s">
        <v>93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18.208500000000001</v>
      </c>
      <c r="Q15" s="3">
        <v>276</v>
      </c>
      <c r="R15" s="3">
        <v>430</v>
      </c>
      <c r="S15" s="3"/>
      <c r="T15" s="3" t="s">
        <v>166</v>
      </c>
      <c r="U15" s="3">
        <v>4939600</v>
      </c>
      <c r="V15" s="3">
        <v>4939600</v>
      </c>
      <c r="W15" s="3">
        <v>0</v>
      </c>
      <c r="X15" s="3">
        <v>0</v>
      </c>
      <c r="Y15" s="3">
        <v>0</v>
      </c>
      <c r="Z15" s="3">
        <v>0</v>
      </c>
      <c r="AA15" s="3" t="s">
        <v>167</v>
      </c>
      <c r="AB15" s="3"/>
      <c r="AC15" s="3">
        <v>4939600</v>
      </c>
      <c r="AD15" s="3">
        <v>1234.9000000000001</v>
      </c>
      <c r="AE15" s="3">
        <v>808</v>
      </c>
      <c r="AF15" s="3">
        <v>0</v>
      </c>
      <c r="AG15" s="3">
        <v>0</v>
      </c>
      <c r="AH15" s="3">
        <v>0</v>
      </c>
      <c r="AI15" s="3">
        <v>53</v>
      </c>
      <c r="AJ15" s="3">
        <v>462</v>
      </c>
      <c r="AK15" s="3">
        <v>0</v>
      </c>
      <c r="AL15" s="3">
        <v>0</v>
      </c>
      <c r="AM15" s="3">
        <v>330</v>
      </c>
      <c r="AN15" s="3">
        <v>845</v>
      </c>
      <c r="AO15" s="3" t="s">
        <v>97</v>
      </c>
      <c r="AP15" s="3" t="s">
        <v>98</v>
      </c>
      <c r="AQ15" s="3">
        <v>210358877</v>
      </c>
      <c r="AR15" s="3" t="s">
        <v>99</v>
      </c>
      <c r="AS15" s="3" t="s">
        <v>100</v>
      </c>
      <c r="AT15" s="3" t="s">
        <v>168</v>
      </c>
      <c r="AU15" s="3"/>
      <c r="AV15" s="3" t="s">
        <v>146</v>
      </c>
      <c r="AW15" s="3">
        <v>30024201</v>
      </c>
      <c r="AX15" s="3">
        <v>99</v>
      </c>
      <c r="AY15" s="3">
        <v>4000</v>
      </c>
      <c r="AZ15" s="3">
        <v>4000</v>
      </c>
      <c r="BA15" s="3" t="s">
        <v>103</v>
      </c>
      <c r="BB15" s="3"/>
      <c r="BC15" s="3" t="s">
        <v>105</v>
      </c>
      <c r="BD15" s="3" t="s">
        <v>105</v>
      </c>
      <c r="BE15" s="3" t="s">
        <v>106</v>
      </c>
      <c r="BF15" s="3" t="s">
        <v>107</v>
      </c>
      <c r="BG15" s="5">
        <v>4.3064022026014896E+16</v>
      </c>
      <c r="BH15" s="3" t="s">
        <v>108</v>
      </c>
      <c r="BI15" s="3"/>
      <c r="BJ15" s="3" t="s">
        <v>109</v>
      </c>
      <c r="BK15" s="3" t="s">
        <v>169</v>
      </c>
      <c r="BL15" s="3">
        <v>41810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22189.59</v>
      </c>
      <c r="BY15" s="3">
        <v>0</v>
      </c>
      <c r="BZ15" s="3">
        <v>0</v>
      </c>
      <c r="CA15" s="3">
        <v>0</v>
      </c>
      <c r="CB15" s="3">
        <v>7033.06</v>
      </c>
      <c r="CC15" s="3">
        <v>1587.69</v>
      </c>
      <c r="CD15" s="3">
        <v>94680.66</v>
      </c>
      <c r="CE15" s="3" t="s">
        <v>111</v>
      </c>
      <c r="CF15" s="3">
        <v>94680.66</v>
      </c>
      <c r="CG15" s="3">
        <v>94680.66</v>
      </c>
      <c r="CH15" s="3">
        <v>0</v>
      </c>
      <c r="CI15" s="3" t="s">
        <v>112</v>
      </c>
      <c r="CJ15" s="3" t="s">
        <v>112</v>
      </c>
      <c r="CK15" s="3">
        <f>_xlfn.XLOOKUP($B$2,'BASE DE EXCEL'!C:C,'BASE DE EXCEL'!D:D,"NO HAY REFERENCIA")</f>
        <v>470</v>
      </c>
      <c r="CL15" s="5">
        <f>_xlfn.XLOOKUP($B$2,'BASE DE EXCEL'!$C:$C,'BASE DE EXCEL'!F:F,"NO HAY REFERENCIA")</f>
        <v>3</v>
      </c>
      <c r="CM15" s="4">
        <f>_xlfn.XLOOKUP($B$2,'BASE DE EXCEL'!$C:$C,'BASE DE EXCEL'!G:G,"NO HAY REFERENCIA")</f>
        <v>46080</v>
      </c>
      <c r="CN15" s="4">
        <f>_xlfn.XLOOKUP($B$2,'BASE DE EXCEL'!$C:$C,'BASE DE EXCEL'!H:H,"NO HAY REFERENCIA")</f>
        <v>46086</v>
      </c>
      <c r="CO15" s="3">
        <f>_xlfn.XLOOKUP($B$2,'BASE DE EXCEL'!$C:$C,'BASE DE EXCEL'!I:I,"NO HAY REFERENCIA")</f>
        <v>4</v>
      </c>
      <c r="CP15" s="3" t="str">
        <f>_xlfn.XLOOKUP($B$2,'BASE DE EXCEL'!$C:$C,'BASE DE EXCEL'!J:J,"NO HAY REFERENCIA")</f>
        <v>4 a 5 días</v>
      </c>
      <c r="CQ15" s="4">
        <f>_xlfn.XLOOKUP($B$2,'BASE DE EXCEL'!$C:$C,'BASE DE EXCEL'!K:K,"NO HAY REFERENCIA")</f>
        <v>46087</v>
      </c>
      <c r="CR15" s="3">
        <f>_xlfn.XLOOKUP($B$2,'BASE DE EXCEL'!$C:$C,'BASE DE EXCEL'!L:L,"NO HAY REFERENCIA")</f>
        <v>5</v>
      </c>
      <c r="CS15" s="3">
        <f>_xlfn.XLOOKUP($B$2,'BASE DE EXCEL'!$C:$C,'BASE DE EXCEL'!M:M,"NO HAY REFERENCIA")</f>
        <v>6</v>
      </c>
      <c r="CT15" s="3" t="str">
        <f>_xlfn.XLOOKUP($B$2,'BASE DE EXCEL'!$C:$C,'BASE DE EXCEL'!N:N,"NO HAY REFERENCIA")</f>
        <v>6 a 10 días</v>
      </c>
      <c r="CU15" s="3" t="str">
        <f>_xlfn.XLOOKUP($B$2,'BASE DE EXCEL'!$C:$C,'BASE DE EXCEL'!O:O,"NO HAY REFERENCIA")</f>
        <v>On Time</v>
      </c>
      <c r="CV15" s="3" t="str">
        <f>_xlfn.XLOOKUP(B15,'BASE DE EXCEL'!$C:$C,'BASE DE EXCEL'!P:P,"NO HAY REFERENCIA")</f>
        <v>16 o más días</v>
      </c>
      <c r="CW15" s="4">
        <f>_xlfn.XLOOKUP(B15,'BASE DE EXCEL'!$C:$C,'BASE DE EXCEL'!Q:Q,"NO HAY REFERENCIA")</f>
        <v>46042</v>
      </c>
      <c r="CX15" s="3">
        <f>_xlfn.XLOOKUP(B15,'BASE DE EXCEL'!$C:$C,'BASE DE EXCEL'!R:R,"NO HAY REFERENCIA")</f>
        <v>26</v>
      </c>
      <c r="CY15" s="3" t="str">
        <f>_xlfn.XLOOKUP(B15,'BASE DE EXCEL'!$C:$C,'BASE DE EXCEL'!S:S,"NO HAY REFERENCIA")</f>
        <v>más de 16 días</v>
      </c>
      <c r="CZ15" s="3" t="str">
        <f>_xlfn.XLOOKUP(B15,'BASE DE EXCEL'!$C:$C,'BASE DE EXCEL'!T:T,"NO HAY REFERENCIA")</f>
        <v>Delayed</v>
      </c>
      <c r="DA15" s="3">
        <f>_xlfn.XLOOKUP(B15,'BASE DE EXCEL'!$C:$C,'BASE DE EXCEL'!U:U,"NO HAY REFERENCIA")</f>
        <v>36</v>
      </c>
      <c r="DB15" s="3" t="str">
        <f>_xlfn.XLOOKUP(B15,'BASE DE EXCEL'!$C:$C,'BASE DE EXCEL'!V:V,"NO HAY REFERENCIA")</f>
        <v>mas de 16 dias</v>
      </c>
      <c r="DC15" s="3">
        <f>_xlfn.XLOOKUP(B15,'BASE DE EXCEL'!$C:$C,'BASE DE EXCEL'!W:W,"NO HAY REFERENCIA")</f>
        <v>28</v>
      </c>
      <c r="DD15" s="3" t="str">
        <f>_xlfn.XLOOKUP(B15,'BASE DE EXCEL'!$C:$C,'BASE DE EXCEL'!X:X,"NO HAY REFERENCIA")</f>
        <v>más de 16 días</v>
      </c>
      <c r="DE15" s="3">
        <f>_xlfn.XLOOKUP(B15,'BASE DE EXCEL'!$C:$C,'BASE DE EXCEL'!Y:Y,"NO HAY REFERENCIA")</f>
        <v>1</v>
      </c>
      <c r="DF15" s="3" t="str">
        <f>_xlfn.XLOOKUP(B15,'BASE DE EXCEL'!$C:$C,'BASE DE EXCEL'!Z:Z,"NO HAY REFERENCIA")</f>
        <v>1 día o menos</v>
      </c>
      <c r="DG15" s="3">
        <f>_xlfn.XLOOKUP(B15,'BASE DE EXCEL'!$C:$C,'BASE DE EXCEL'!AA:AA,"NO HAY REFERENCIA")</f>
        <v>32</v>
      </c>
      <c r="DH15" s="3">
        <f>_xlfn.XLOOKUP(B15,'BASE DE EXCEL'!$C:$C,'BASE DE EXCEL'!AB:AB,"NO HAY REFERENCIA")</f>
        <v>1</v>
      </c>
      <c r="DI15" s="3" t="str">
        <f>_xlfn.XLOOKUP(B15,'BASE DE EXCEL'!$C:$C,'BASE DE EXCEL'!AC:AC,"NO HAY REFERENCIA")</f>
        <v>1 día o menos</v>
      </c>
      <c r="DJ15" s="4">
        <f>_xlfn.XLOOKUP(B15,'BASE DE EXCEL'!$C:$C,'BASE DE EXCEL'!AD:AD,"NO HAY REFERENCIA")</f>
        <v>46044</v>
      </c>
      <c r="DK15" s="3">
        <f>_xlfn.XLOOKUP(B15,'BASE DE EXCEL'!$C:$C,'BASE DE EXCEL'!AE:AE,"NO HAY REFERENCIA")</f>
        <v>2</v>
      </c>
      <c r="DL15" s="3">
        <f>_xlfn.XLOOKUP(B15,'BASE DE EXCEL'!$C:$C,'BASE DE EXCEL'!AF:AF,"NO HAY REFERENCIA")</f>
        <v>2</v>
      </c>
      <c r="DM15" s="4">
        <f>_xlfn.XLOOKUP(B15,'BASE DE EXCEL'!$C:$C,'BASE DE EXCEL'!AG:AG,"NO HAY REFERENCIA")</f>
        <v>46044</v>
      </c>
      <c r="DN15" s="4">
        <f>_xlfn.XLOOKUP(B15,'BASE DE EXCEL'!$C:$C,'BASE DE EXCEL'!AH:AH,"NO HAY REFERENCIA")</f>
        <v>46044</v>
      </c>
      <c r="DO15" s="3">
        <f>_xlfn.XLOOKUP(B15,'BASE DE EXCEL'!$C:$C,'BASE DE EXCEL'!AI:AI,"NO HAY REFERENCIA")</f>
        <v>0</v>
      </c>
      <c r="DP15" s="4" t="str">
        <f>_xlfn.XLOOKUP(B15,'BASE DE EXCEL'!$C:$C,'BASE DE EXCEL'!AJ:AJ,"NO HAY REFERENCIA")</f>
        <v>2 a 3 días</v>
      </c>
      <c r="DQ15" s="4">
        <f>_xlfn.XLOOKUP(B15,'BASE DE EXCEL'!$C:$C,'BASE DE EXCEL'!AK:AK,"NO HAY REFERENCIA")</f>
        <v>46044</v>
      </c>
      <c r="DR15" s="3">
        <f>_xlfn.XLOOKUP(B15,'BASE DE EXCEL'!$C:$C,'BASE DE EXCEL'!AL:AL,"NO HAY REFERENCIA")</f>
        <v>3</v>
      </c>
      <c r="DS15" s="3" t="str">
        <f>_xlfn.XLOOKUP(B15,'BASE DE EXCEL'!$C:$C,'BASE DE EXCEL'!AM:AM,"NO HAY REFERENCIA")</f>
        <v>2 a 3 días</v>
      </c>
      <c r="DT15" s="3" t="str">
        <f>_xlfn.XLOOKUP(B15,'BASE DE EXCEL'!$C:$C,'BASE DE EXCEL'!AN:AN,"NO HAY REFERENCIA")</f>
        <v>On Time</v>
      </c>
      <c r="DU15" s="3">
        <f>_xlfn.XLOOKUP(B15,'BASE DE EXCEL'!$C:$C,'BASE DE EXCEL'!AO:AO,"NO HAY REFERENCIA")</f>
        <v>1</v>
      </c>
      <c r="DV15" s="3" t="str">
        <f>_xlfn.XLOOKUP(B15,'BASE DE EXCEL'!$C:$C,'BASE DE EXCEL'!AP:AP,"NO HAY REFERENCIA")</f>
        <v>Es anterior</v>
      </c>
      <c r="DW15" s="3" t="str">
        <f>_xlfn.XLOOKUP(B15,'BASE DE EXCEL'!$C:$C,'BASE DE EXCEL'!AQ:AQ,"NO HAY REFERENCIA")</f>
        <v>A1</v>
      </c>
      <c r="DX15" s="3" t="str">
        <f>_xlfn.XLOOKUP(B15,'BASE DE EXCEL'!$C:$C,'BASE DE EXCEL'!AR:AR,"NO HAY REFERENCIA")</f>
        <v>ZULEIMA PEREZ RUIZ</v>
      </c>
      <c r="DY15" s="3" t="str">
        <f>_xlfn.XLOOKUP(B15,'BASE DE EXCEL'!$C:$C,'BASE DE EXCEL'!AS:AS,"NO HAY REFERENCIA")</f>
        <v xml:space="preserve">HLCURTM251142982 </v>
      </c>
      <c r="DZ15" s="3" t="str">
        <f>_xlfn.XLOOKUP(B15,'BASE DE EXCEL'!$C:$C,'BASE DE EXCEL'!AT:AT,"NO HAY REFERENCIA")</f>
        <v>NULL</v>
      </c>
      <c r="EA15" s="3">
        <f>_xlfn.XLOOKUP(B15,'BASE DE EXCEL'!$C:$C,'BASE DE EXCEL'!AU:AU,"NO HAY REFERENCIA")</f>
        <v>6000133</v>
      </c>
      <c r="EB15" s="3" t="str">
        <f>_xlfn.XLOOKUP(B15,'BASE DE EXCEL'!$C:$C,'BASE DE EXCEL'!AV:AV,"NO HAY REFERENCIA")</f>
        <v>Importación</v>
      </c>
      <c r="EC15" s="3" t="str">
        <f>_xlfn.XLOOKUP(B15,'BASE DE EXCEL'!$C:$C,'BASE DE EXCEL'!AW:AW,"NO HAY REFERENCIA")</f>
        <v>ROTAVEC CORONA (VACUNA DE USO VETERINARIO)</v>
      </c>
      <c r="ED15" s="3" t="str">
        <f>_xlfn.XLOOKUP(B15,'BASE DE EXCEL'!$C:$C,'BASE DE EXCEL'!AX:AX,"NO HAY REFERENCIA")</f>
        <v>SIN CLASIFICACION</v>
      </c>
      <c r="EE15" s="3">
        <f>_xlfn.XLOOKUP(B15,'BASE DE EXCEL'!$C:$C,'BASE DE EXCEL'!AY:AY,"NO HAY REFERENCIA")</f>
        <v>0</v>
      </c>
      <c r="EF15" s="3" t="str">
        <f>_xlfn.XLOOKUP(B15,'BASE DE EXCEL'!$C:$C,'BASE DE EXCEL'!AZ:AZ,"NO HAY REFERENCIA")</f>
        <v>Cargas de Importación</v>
      </c>
      <c r="EG15" s="3" t="str">
        <f>_xlfn.XLOOKUP(B15,'BASE DE EXCEL'!$C:$C,'BASE DE EXCEL'!BA:BA,"NO HAY REFERENCIA")</f>
        <v>INTERVET MEXICO SA DE CV</v>
      </c>
      <c r="EH15" s="3">
        <f>_xlfn.XLOOKUP(B15,'BASE DE EXCEL'!$C:$C,'BASE DE EXCEL'!BB:BB,"NO HAY REFERENCIA")</f>
        <v>0</v>
      </c>
      <c r="EI15" s="3" t="str">
        <f>_xlfn.XLOOKUP(B15,'BASE DE EXCEL'!$C:$C,'BASE DE EXCEL'!BC:BC,"NO HAY REFERENCIA")</f>
        <v>FALTA RRNA</v>
      </c>
      <c r="EJ15" s="3" t="str">
        <f>_xlfn.XLOOKUP(B15,'BASE DE EXCEL'!$C:$C,'BASE DE EXCEL'!BD:BD,"NO HAY REFERENCIA")</f>
        <v>FALTA DE HRZ PARA INICIAR TRAMITE CON SADER</v>
      </c>
      <c r="EK15" s="3" t="str">
        <f>_xlfn.XLOOKUP(B15,'BASE DE EXCEL'!$C:$C,'BASE DE EXCEL'!BE:BE,"NO HAY REFERENCIA")</f>
        <v>FALTA RRNA</v>
      </c>
      <c r="EL15" s="3" t="str">
        <f>_xlfn.XLOOKUP(B15,'BASE DE EXCEL'!$C:$C,'BASE DE EXCEL'!BF:BF,"NO HAY REFERENCIA")</f>
        <v>PRODUCTO TERMINADO</v>
      </c>
      <c r="EM15" s="3" t="str">
        <f>_xlfn.XLOOKUP(B15,'BASE DE EXCEL'!$C:$C,'BASE DE EXCEL'!BG:BG,"NO HAY REFERENCIA")</f>
        <v>Verde</v>
      </c>
      <c r="EN15" s="3" t="str">
        <f>_xlfn.XLOOKUP(B15,'BASE DE EXCEL'!$C:$C,'BASE DE EXCEL'!BH:BH,"NO HAY REFERENCIA")</f>
        <v xml:space="preserve"> SERVEX TRANSPORTES SA DE CV</v>
      </c>
      <c r="EO15" s="3" t="str">
        <f>_xlfn.XLOOKUP(B15,'BASE DE EXCEL'!$C:$C,'BASE DE EXCEL'!BI:BI,"NO HAY REFERENCIA")</f>
        <v>ECONOMICO 09 CAMIONETA</v>
      </c>
      <c r="EP15" s="3">
        <f>_xlfn.XLOOKUP(B15,'BASE DE EXCEL'!$C:$C,'BASE DE EXCEL'!BJ:BJ,"NO HAY REFERENCIA")</f>
        <v>0</v>
      </c>
      <c r="EQ15" s="3" t="str">
        <f>_xlfn.XLOOKUP(B15,'BASE DE EXCEL'!$C:$C,'BASE DE EXCEL'!BK:BK,"NO HAY REFERENCIA")</f>
        <v>IME850329RH2</v>
      </c>
      <c r="ER15" s="3">
        <f>_xlfn.XLOOKUP(B15,'BASE DE EXCEL'!$C:$C,'BASE DE EXCEL'!BL:BL,"NO HAY REFERENCIA")</f>
        <v>0</v>
      </c>
      <c r="ES15" s="3">
        <f>_xlfn.XLOOKUP(B15,'BASE DE EXCEL'!$C:$C,'BASE DE EXCEL'!BM:BM,"NO HAY REFERENCIA")</f>
        <v>99</v>
      </c>
      <c r="ET15" s="3" t="str">
        <f>_xlfn.XLOOKUP(B15,'BASE DE EXCEL'!$C:$C,'BASE DE EXCEL'!BN:BN,"NO HAY REFERENCIA")</f>
        <v>LOTE: 1R015B01</v>
      </c>
      <c r="EU15" s="3">
        <f>_xlfn.XLOOKUP(B15,'BASE DE EXCEL'!$C:$C,'BASE DE EXCEL'!BO:BO,"NO HAY REFERENCIA")</f>
        <v>90</v>
      </c>
      <c r="EV15" s="3">
        <f>_xlfn.XLOOKUP(B15,'BASE DE EXCEL'!$C:$C,'BASE DE EXCEL'!BP:BP,"NO HAY REFERENCIA")</f>
        <v>4939600</v>
      </c>
      <c r="EW15" s="3" t="str">
        <f>_xlfn.XLOOKUP(B15,'BASE DE EXCEL'!$C:$C,'BASE DE EXCEL'!BQ:BQ,"NO HAY REFERENCIA")</f>
        <v>KILO</v>
      </c>
      <c r="EX15" s="3">
        <f>_xlfn.XLOOKUP(B15,'BASE DE EXCEL'!$C:$C,'BASE DE EXCEL'!BR:BR,"NO HAY REFERENCIA")</f>
        <v>0</v>
      </c>
      <c r="EY15" s="3" t="str">
        <f>_xlfn.XLOOKUP(B15,'BASE DE EXCEL'!$C:$C,'BASE DE EXCEL'!BS:BS,"NO HAY REFERENCIA")</f>
        <v>PAISES BAJOS (REINO DE LOS) (HOLANDA)</v>
      </c>
      <c r="EZ15" s="3" t="str">
        <f>_xlfn.XLOOKUP(B15,'BASE DE EXCEL'!$C:$C,'BASE DE EXCEL'!BT:BT,"NO HAY REFERENCIA")</f>
        <v>PAISES BAJOS (REINO DE LOS) (HOLANDA)</v>
      </c>
      <c r="FA15" s="3" t="str">
        <f>_xlfn.XLOOKUP(B15,'BASE DE EXCEL'!$C:$C,'BASE DE EXCEL'!BU:BU,"NO HAY REFERENCIA")</f>
        <v>ZYA</v>
      </c>
      <c r="FB15" s="3" t="str">
        <f>_xlfn.XLOOKUP(B15,'BASE DE EXCEL'!$C:$C,'BASE DE EXCEL'!BV:BV,"NO HAY REFERENCIA")</f>
        <v>ZYA</v>
      </c>
      <c r="FC15" s="3">
        <f>_xlfn.XLOOKUP(B15,QUERY!$C:$C,QUERY!D:D)</f>
        <v>430</v>
      </c>
      <c r="FD15" s="4">
        <f>_xlfn.XLOOKUP(B15,QUERY!$C:$C,QUERY!E:E)</f>
        <v>46038</v>
      </c>
      <c r="FE15" s="3">
        <f>_xlfn.XLOOKUP(B15,QUERY!$C:$C,QUERY!F:F)</f>
        <v>1</v>
      </c>
      <c r="FF15" s="4">
        <f>_xlfn.XLOOKUP(B15,QUERY!$C:$C,QUERY!G:G)</f>
        <v>46006</v>
      </c>
      <c r="FG15" s="4">
        <f>_xlfn.XLOOKUP(B15,QUERY!$C:$C,QUERY!H:H)</f>
        <v>46038</v>
      </c>
      <c r="FH15" s="3">
        <f>_xlfn.XLOOKUP(B15,QUERY!$C:$C,QUERY!I:I)</f>
        <v>24</v>
      </c>
      <c r="FI15" s="3" t="str">
        <f>_xlfn.XLOOKUP(B15,QUERY!$C:$C,QUERY!J:J)</f>
        <v>16 o más días</v>
      </c>
      <c r="FJ15" s="4">
        <f>_xlfn.XLOOKUP(B15,QUERY!$C:$C,QUERY!K:K)</f>
        <v>46041</v>
      </c>
      <c r="FK15" s="3">
        <f>_xlfn.XLOOKUP(B15,QUERY!$C:$C,QUERY!L:L)</f>
        <v>25</v>
      </c>
      <c r="FL15" s="3" t="str">
        <f>_xlfn.XLOOKUP(B15,QUERY!$C:$C,QUERY!M:M)</f>
        <v>16 o más días</v>
      </c>
      <c r="FM15" s="3">
        <f>_xlfn.XLOOKUP(B15,QUERY!$C:$C,QUERY!N:N)</f>
        <v>1</v>
      </c>
      <c r="FN15" s="3" t="str">
        <f>_xlfn.XLOOKUP(B15,QUERY!$C:$C,QUERY!O:O)</f>
        <v>1 día o menos</v>
      </c>
      <c r="FO15" s="3">
        <f>_xlfn.XLOOKUP(B15,QUERY!$C:$C,QUERY!P:P)</f>
        <v>1</v>
      </c>
      <c r="FP15" s="3">
        <f>_xlfn.XLOOKUP(B15,QUERY!$C:$C,QUERY!Q:Q)</f>
        <v>1</v>
      </c>
      <c r="FQ15" s="3" t="str">
        <f>_xlfn.XLOOKUP(B15,QUERY!$C:$C,QUERY!R:R)</f>
        <v>1 día o menos</v>
      </c>
      <c r="FR15" s="4">
        <f>_xlfn.XLOOKUP(B15,QUERY!$C:$C,QUERY!S:S)</f>
        <v>46042</v>
      </c>
      <c r="FS15" s="3">
        <f>_xlfn.XLOOKUP(B15,QUERY!$C:$C,QUERY!T:T)</f>
        <v>26</v>
      </c>
      <c r="FT15" s="3" t="str">
        <f>_xlfn.XLOOKUP(B15,QUERY!$C:$C,QUERY!U:U)</f>
        <v>mas de 16 dias</v>
      </c>
      <c r="FU15" s="3">
        <f>_xlfn.XLOOKUP(B15,QUERY!$C:$C,QUERY!V:V)</f>
        <v>28</v>
      </c>
      <c r="FV15" s="3" t="str">
        <f>_xlfn.XLOOKUP(B15,QUERY!$C:$C,QUERY!W:W)</f>
        <v>más de 16 días</v>
      </c>
      <c r="FW15" s="4">
        <f>_xlfn.XLOOKUP(B15,QUERY!$C:$C,QUERY!X:X)</f>
        <v>46044</v>
      </c>
      <c r="FX15" s="3">
        <f>_xlfn.XLOOKUP(B15,QUERY!$C:$C,QUERY!Y:Y)</f>
        <v>2</v>
      </c>
      <c r="FY15" s="3">
        <f>_xlfn.XLOOKUP(B15,QUERY!$C:$C,QUERY!Z:Z)</f>
        <v>2</v>
      </c>
      <c r="FZ15" s="4" t="str">
        <f>_xlfn.XLOOKUP(B15,QUERY!$C:$C,QUERY!AA:AA)</f>
        <v>2 a 3 días</v>
      </c>
      <c r="GA15" s="4">
        <f>_xlfn.XLOOKUP(B15,QUERY!$C:$C,QUERY!AB:AB)</f>
        <v>46044</v>
      </c>
      <c r="GB15" s="4">
        <f>_xlfn.XLOOKUP(B15,QUERY!$C:$C,QUERY!AC:AC)</f>
        <v>46044</v>
      </c>
      <c r="GC15" s="3">
        <f>_xlfn.XLOOKUP(B15,QUERY!$C:$C,QUERY!AD:AD)</f>
        <v>0</v>
      </c>
      <c r="GD15" s="4">
        <f>_xlfn.XLOOKUP(B15,QUERY!$C:$C,QUERY!AE:AE)</f>
        <v>46044</v>
      </c>
      <c r="GE15" s="3">
        <f>_xlfn.XLOOKUP(B15,QUERY!$C:$C,QUERY!AF:AF)</f>
        <v>1</v>
      </c>
      <c r="GF15" s="4" t="str">
        <f>_xlfn.XLOOKUP(B15,QUERY!$C:$C,QUERY!AG:AG)</f>
        <v>Es anterior</v>
      </c>
      <c r="GG15" s="3" t="str">
        <f>_xlfn.XLOOKUP(B15,QUERY!$C:$C,QUERY!AH:AH)</f>
        <v>A1</v>
      </c>
      <c r="GH15" s="3" t="str">
        <f>_xlfn.XLOOKUP(B15,QUERY!$C:$C,QUERY!AI:AI)</f>
        <v>ZULEIMA PEREZ RUIZ</v>
      </c>
      <c r="GI15" s="3" t="str">
        <f>_xlfn.XLOOKUP(B15,QUERY!$C:$C,QUERY!AJ:AJ)</f>
        <v xml:space="preserve">HLCURTM251142982 </v>
      </c>
      <c r="GJ15" s="3" t="str">
        <f>_xlfn.XLOOKUP(B15,QUERY!$C:$C,QUERY!AK:AK)</f>
        <v>NULL</v>
      </c>
      <c r="GK15" s="3">
        <f>_xlfn.XLOOKUP(B15,QUERY!$C:$C,QUERY!AL:AL)</f>
        <v>6000133</v>
      </c>
      <c r="GL15" s="3" t="str">
        <f>_xlfn.XLOOKUP(B15,QUERY!$C:$C,QUERY!AM:AM)</f>
        <v>Importación</v>
      </c>
      <c r="GM15" s="3" t="str">
        <f>_xlfn.XLOOKUP(B15,QUERY!$C:$C,QUERY!AN:AN)</f>
        <v>ROTAVEC CORONA (VACUNA DE USO VETERINARIO)</v>
      </c>
      <c r="GN15" s="3" t="str">
        <f>_xlfn.XLOOKUP(B15,QUERY!$C:$C,QUERY!AO:AO)</f>
        <v>SIN CLASIFICACION</v>
      </c>
      <c r="GO15" s="3">
        <f>_xlfn.XLOOKUP(B15,QUERY!$C:$C,QUERY!AP:AP)</f>
        <v>0</v>
      </c>
      <c r="GP15" s="3" t="str">
        <f>_xlfn.XLOOKUP(B15,QUERY!$C:$C,QUERY!AQ:AQ)</f>
        <v>Cargas de Importación</v>
      </c>
      <c r="GQ15" s="3" t="str">
        <f>_xlfn.XLOOKUP(B15,QUERY!$C:$C,QUERY!AR:AR)</f>
        <v>INTERVET MEXICO SA DE CV</v>
      </c>
      <c r="GR15" s="3">
        <f>_xlfn.XLOOKUP(B15,QUERY!$C:$C,QUERY!AS:AS)</f>
        <v>0</v>
      </c>
      <c r="GS15" s="3" t="str">
        <f>_xlfn.XLOOKUP(B15,QUERY!$C:$C,QUERY!AT:AT)</f>
        <v>FALTA RRNA</v>
      </c>
      <c r="GT15" s="3" t="str">
        <f>_xlfn.XLOOKUP(B15,QUERY!$C:$C,QUERY!AU:AU)</f>
        <v>FALTA DE HRZ PARA INICIAR TRAMITE CON SADER</v>
      </c>
      <c r="GU15" s="3" t="str">
        <f>_xlfn.XLOOKUP(B15,QUERY!$C:$C,QUERY!AV:AV)</f>
        <v>FALTA RRNA</v>
      </c>
      <c r="GV15" s="3" t="str">
        <f>_xlfn.XLOOKUP(B15,QUERY!$C:$C,QUERY!AW:AW)</f>
        <v>PRODUCTO TERMINADO</v>
      </c>
      <c r="GW15" s="3" t="str">
        <f>_xlfn.XLOOKUP(B15,QUERY!$C:$C,QUERY!AX:AX)</f>
        <v>Verde</v>
      </c>
      <c r="GX15" s="3" t="str">
        <f>_xlfn.XLOOKUP(B15,QUERY!$C:$C,QUERY!AY:AY)</f>
        <v xml:space="preserve"> SERVEX TRANSPORTES SA DE CV</v>
      </c>
      <c r="GY15" s="3" t="str">
        <f>_xlfn.XLOOKUP(B15,QUERY!$C:$C,QUERY!AZ:AZ)</f>
        <v>ECONOMICO 09 CAMIONETA</v>
      </c>
      <c r="GZ15" s="3">
        <f>_xlfn.XLOOKUP(B15,QUERY!$C:$C,QUERY!BA:BA)</f>
        <v>0</v>
      </c>
      <c r="HA15" s="3" t="str">
        <f>_xlfn.XLOOKUP(B15,QUERY!$C:$C,QUERY!BB:BB)</f>
        <v>IME850329RH2</v>
      </c>
      <c r="HB15" s="3">
        <f>_xlfn.XLOOKUP(B15,QUERY!$C:$C,QUERY!BC:BC)</f>
        <v>0</v>
      </c>
      <c r="HC15" s="3">
        <f>_xlfn.XLOOKUP(B15,QUERY!$C:$C,QUERY!BD:BD)</f>
        <v>99</v>
      </c>
      <c r="HD15" s="3" t="str">
        <f>_xlfn.XLOOKUP(B15,QUERY!$C:$C,QUERY!BE:BE)</f>
        <v>LOTE: 1R015B01</v>
      </c>
      <c r="HE15" s="3">
        <f>_xlfn.XLOOKUP(B15,QUERY!$C:$C,QUERY!BF:BF)</f>
        <v>90</v>
      </c>
      <c r="HF15" s="3" t="str">
        <f>_xlfn.XLOOKUP(B15,QUERY!$C:$C,QUERY!BG:BG)</f>
        <v xml:space="preserve"> 4939600.00</v>
      </c>
      <c r="HG15" s="3" t="str">
        <f>_xlfn.XLOOKUP(B15,QUERY!$C:$C,QUERY!BH:BH)</f>
        <v>KILO</v>
      </c>
      <c r="HH15" s="3">
        <f>_xlfn.XLOOKUP(B15,QUERY!$C:$C,QUERY!BI:BI)</f>
        <v>0</v>
      </c>
      <c r="HI15" s="3" t="str">
        <f>_xlfn.XLOOKUP(B15,QUERY!$C:$C,QUERY!BJ:BJ)</f>
        <v>PAISES BAJOS (REINO DE LOS) (HOLANDA)</v>
      </c>
      <c r="HJ15" s="3" t="str">
        <f>_xlfn.XLOOKUP(B15,QUERY!$C:$C,QUERY!BK:BK)</f>
        <v>PAISES BAJOS (REINO DE LOS) (HOLANDA)</v>
      </c>
      <c r="HK15" s="3" t="str">
        <f>_xlfn.XLOOKUP(B15,QUERY!$C:$C,QUERY!BL:BL)</f>
        <v>ZYA</v>
      </c>
      <c r="HL15" s="3" t="str">
        <f>_xlfn.XLOOKUP(B15,QUERY!$C:$C,QUERY!BM:BM)</f>
        <v>ZYA</v>
      </c>
      <c r="HM15" s="3">
        <f>_xlfn.XLOOKUP(B15,QUERY!$C:$C,QUERY!BN:BN)</f>
        <v>4939600</v>
      </c>
      <c r="HN15" s="3" t="str">
        <f>_xlfn.XLOOKUP(B15,QUERY!$C:$C,QUERY!BO:BO)</f>
        <v>462.00</v>
      </c>
      <c r="HO15" s="3" t="str">
        <f>_xlfn.XLOOKUP(B15,QUERY!$C:$C,QUERY!BP:BP)</f>
        <v>NULL</v>
      </c>
      <c r="HP15" s="3" t="str">
        <f>_xlfn.XLOOKUP(B15,QUERY!$C:$C,QUERY!BQ:BQ)</f>
        <v>NULL</v>
      </c>
      <c r="HQ15" s="3" t="str">
        <f>_xlfn.XLOOKUP(B15,QUERY!$C:$C,QUERY!BR:BR)</f>
        <v>94680.66</v>
      </c>
      <c r="HR15" s="3">
        <f>_xlfn.XLOOKUP(B15,QUERY!$C:$C,QUERY!BS:BS)</f>
        <v>0</v>
      </c>
      <c r="HS15" s="3">
        <f>_xlfn.XLOOKUP(B15,QUERY!$C:$C,QUERY!BT:BT)</f>
        <v>0</v>
      </c>
      <c r="HT15" s="3" t="str">
        <f>_xlfn.XLOOKUP(B15,QUERY!$C:$C,QUERY!A:A)</f>
        <v>VERACRUZ</v>
      </c>
      <c r="HU15" s="3" t="str">
        <f>_xlfn.XLOOKUP(B15,QUERY!$C:$C,QUERY!B:B)</f>
        <v>MARÍTIMO VERACRUZ</v>
      </c>
    </row>
    <row r="16" spans="1:229" x14ac:dyDescent="0.25">
      <c r="A16" s="3" t="s">
        <v>90</v>
      </c>
      <c r="B16" s="8" t="s">
        <v>128</v>
      </c>
      <c r="C16" s="3">
        <v>3942</v>
      </c>
      <c r="D16" s="3">
        <v>6000095</v>
      </c>
      <c r="E16" s="3"/>
      <c r="F16" s="3" t="s">
        <v>92</v>
      </c>
      <c r="G16" s="3" t="s">
        <v>93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10</v>
      </c>
      <c r="O16" s="3">
        <v>339570</v>
      </c>
      <c r="P16" s="3">
        <v>17.599</v>
      </c>
      <c r="Q16" s="3">
        <v>1258</v>
      </c>
      <c r="R16" s="3">
        <v>430</v>
      </c>
      <c r="S16" s="3" t="s">
        <v>129</v>
      </c>
      <c r="T16" s="3" t="s">
        <v>130</v>
      </c>
      <c r="U16" s="3">
        <v>5941983</v>
      </c>
      <c r="V16" s="3">
        <v>5941983</v>
      </c>
      <c r="W16" s="3">
        <v>0</v>
      </c>
      <c r="X16" s="3">
        <v>0</v>
      </c>
      <c r="Y16" s="3">
        <v>0</v>
      </c>
      <c r="Z16" s="3">
        <v>0</v>
      </c>
      <c r="AA16" s="3" t="s">
        <v>131</v>
      </c>
      <c r="AB16" s="3"/>
      <c r="AC16" s="3">
        <v>3395701</v>
      </c>
      <c r="AD16" s="3">
        <v>596.26004999999998</v>
      </c>
      <c r="AE16" s="3">
        <v>354</v>
      </c>
      <c r="AF16" s="3">
        <v>10</v>
      </c>
      <c r="AG16" s="3">
        <v>339570</v>
      </c>
      <c r="AH16" s="3">
        <v>0</v>
      </c>
      <c r="AI16" s="3">
        <v>53</v>
      </c>
      <c r="AJ16" s="3">
        <v>27166</v>
      </c>
      <c r="AK16" s="3">
        <v>0</v>
      </c>
      <c r="AL16" s="3">
        <v>0</v>
      </c>
      <c r="AM16" s="3">
        <v>330</v>
      </c>
      <c r="AN16" s="3">
        <v>367119</v>
      </c>
      <c r="AO16" s="3" t="s">
        <v>97</v>
      </c>
      <c r="AP16" s="3" t="s">
        <v>98</v>
      </c>
      <c r="AQ16" s="3">
        <v>210360279</v>
      </c>
      <c r="AR16" s="3" t="s">
        <v>99</v>
      </c>
      <c r="AS16" s="3" t="s">
        <v>100</v>
      </c>
      <c r="AT16" s="3" t="s">
        <v>132</v>
      </c>
      <c r="AU16" s="3"/>
      <c r="AV16" s="3" t="s">
        <v>102</v>
      </c>
      <c r="AW16" s="3">
        <v>30043999</v>
      </c>
      <c r="AX16" s="3">
        <v>99</v>
      </c>
      <c r="AY16" s="3">
        <v>5695</v>
      </c>
      <c r="AZ16" s="3">
        <v>5695</v>
      </c>
      <c r="BA16" s="3" t="s">
        <v>103</v>
      </c>
      <c r="BB16" s="3"/>
      <c r="BC16" s="3" t="s">
        <v>133</v>
      </c>
      <c r="BD16" s="3" t="s">
        <v>105</v>
      </c>
      <c r="BE16" s="3" t="s">
        <v>106</v>
      </c>
      <c r="BF16" s="3"/>
      <c r="BG16" s="5"/>
      <c r="BH16" s="3"/>
      <c r="BI16" s="3"/>
      <c r="BJ16" s="3" t="s">
        <v>109</v>
      </c>
      <c r="BK16" s="3" t="s">
        <v>134</v>
      </c>
      <c r="BL16" s="3">
        <v>42224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22189.59</v>
      </c>
      <c r="BY16" s="3">
        <v>0</v>
      </c>
      <c r="BZ16" s="3">
        <v>0</v>
      </c>
      <c r="CA16" s="3">
        <v>0</v>
      </c>
      <c r="CB16" s="3">
        <v>9000.2000000000007</v>
      </c>
      <c r="CC16" s="3">
        <v>1563.23</v>
      </c>
      <c r="CD16" s="3">
        <v>130942.87</v>
      </c>
      <c r="CE16" s="3" t="s">
        <v>111</v>
      </c>
      <c r="CF16" s="3">
        <v>130942.87</v>
      </c>
      <c r="CG16" s="3">
        <v>130942.87</v>
      </c>
      <c r="CH16" s="3">
        <v>0</v>
      </c>
      <c r="CI16" s="3" t="s">
        <v>112</v>
      </c>
      <c r="CJ16" s="3" t="s">
        <v>112</v>
      </c>
      <c r="CK16" s="3">
        <f>_xlfn.XLOOKUP($B$2,'BASE DE EXCEL'!C:C,'BASE DE EXCEL'!D:D,"NO HAY REFERENCIA")</f>
        <v>470</v>
      </c>
      <c r="CL16" s="5">
        <f>_xlfn.XLOOKUP($B$2,'BASE DE EXCEL'!$C:$C,'BASE DE EXCEL'!F:F,"NO HAY REFERENCIA")</f>
        <v>3</v>
      </c>
      <c r="CM16" s="4">
        <f>_xlfn.XLOOKUP($B$2,'BASE DE EXCEL'!$C:$C,'BASE DE EXCEL'!G:G,"NO HAY REFERENCIA")</f>
        <v>46080</v>
      </c>
      <c r="CN16" s="4">
        <f>_xlfn.XLOOKUP($B$2,'BASE DE EXCEL'!$C:$C,'BASE DE EXCEL'!H:H,"NO HAY REFERENCIA")</f>
        <v>46086</v>
      </c>
      <c r="CO16" s="3">
        <f>_xlfn.XLOOKUP($B$2,'BASE DE EXCEL'!$C:$C,'BASE DE EXCEL'!I:I,"NO HAY REFERENCIA")</f>
        <v>4</v>
      </c>
      <c r="CP16" s="3" t="str">
        <f>_xlfn.XLOOKUP($B$2,'BASE DE EXCEL'!$C:$C,'BASE DE EXCEL'!J:J,"NO HAY REFERENCIA")</f>
        <v>4 a 5 días</v>
      </c>
      <c r="CQ16" s="4">
        <f>_xlfn.XLOOKUP($B$2,'BASE DE EXCEL'!$C:$C,'BASE DE EXCEL'!K:K,"NO HAY REFERENCIA")</f>
        <v>46087</v>
      </c>
      <c r="CR16" s="3">
        <f>_xlfn.XLOOKUP($B$2,'BASE DE EXCEL'!$C:$C,'BASE DE EXCEL'!L:L,"NO HAY REFERENCIA")</f>
        <v>5</v>
      </c>
      <c r="CS16" s="3">
        <f>_xlfn.XLOOKUP($B$2,'BASE DE EXCEL'!$C:$C,'BASE DE EXCEL'!M:M,"NO HAY REFERENCIA")</f>
        <v>6</v>
      </c>
      <c r="CT16" s="3" t="str">
        <f>_xlfn.XLOOKUP($B$2,'BASE DE EXCEL'!$C:$C,'BASE DE EXCEL'!N:N,"NO HAY REFERENCIA")</f>
        <v>6 a 10 días</v>
      </c>
      <c r="CU16" s="3" t="str">
        <f>_xlfn.XLOOKUP($B$2,'BASE DE EXCEL'!$C:$C,'BASE DE EXCEL'!O:O,"NO HAY REFERENCIA")</f>
        <v>On Time</v>
      </c>
      <c r="CV16" s="3" t="str">
        <f>_xlfn.XLOOKUP(B16,'BASE DE EXCEL'!$C:$C,'BASE DE EXCEL'!P:P,"NO HAY REFERENCIA")</f>
        <v>2 a 3 días</v>
      </c>
      <c r="CW16" s="4">
        <f>_xlfn.XLOOKUP(B16,'BASE DE EXCEL'!$C:$C,'BASE DE EXCEL'!Q:Q,"NO HAY REFERENCIA")</f>
        <v>46048</v>
      </c>
      <c r="CX16" s="3">
        <f>_xlfn.XLOOKUP(B16,'BASE DE EXCEL'!$C:$C,'BASE DE EXCEL'!R:R,"NO HAY REFERENCIA")</f>
        <v>4</v>
      </c>
      <c r="CY16" s="3" t="str">
        <f>_xlfn.XLOOKUP(B16,'BASE DE EXCEL'!$C:$C,'BASE DE EXCEL'!S:S,"NO HAY REFERENCIA")</f>
        <v>4 a 5 días</v>
      </c>
      <c r="CZ16" s="3" t="str">
        <f>_xlfn.XLOOKUP(B16,'BASE DE EXCEL'!$C:$C,'BASE DE EXCEL'!T:T,"NO HAY REFERENCIA")</f>
        <v>On Time</v>
      </c>
      <c r="DA16" s="3">
        <f>_xlfn.XLOOKUP(B16,'BASE DE EXCEL'!$C:$C,'BASE DE EXCEL'!U:U,"NO HAY REFERENCIA")</f>
        <v>5</v>
      </c>
      <c r="DB16" s="3" t="str">
        <f>_xlfn.XLOOKUP(B16,'BASE DE EXCEL'!$C:$C,'BASE DE EXCEL'!V:V,"NO HAY REFERENCIA")</f>
        <v>2 a 3 días</v>
      </c>
      <c r="DC16" s="3">
        <f>_xlfn.XLOOKUP(B16,'BASE DE EXCEL'!$C:$C,'BASE DE EXCEL'!W:W,"NO HAY REFERENCIA")</f>
        <v>9</v>
      </c>
      <c r="DD16" s="3" t="str">
        <f>_xlfn.XLOOKUP(B16,'BASE DE EXCEL'!$C:$C,'BASE DE EXCEL'!X:X,"NO HAY REFERENCIA")</f>
        <v>6 a 10 días</v>
      </c>
      <c r="DE16" s="3">
        <f>_xlfn.XLOOKUP(B16,'BASE DE EXCEL'!$C:$C,'BASE DE EXCEL'!Y:Y,"NO HAY REFERENCIA")</f>
        <v>1</v>
      </c>
      <c r="DF16" s="3" t="str">
        <f>_xlfn.XLOOKUP(B16,'BASE DE EXCEL'!$C:$C,'BASE DE EXCEL'!Z:Z,"NO HAY REFERENCIA")</f>
        <v>1 día o menos</v>
      </c>
      <c r="DG16" s="3">
        <f>_xlfn.XLOOKUP(B16,'BASE DE EXCEL'!$C:$C,'BASE DE EXCEL'!AA:AA,"NO HAY REFERENCIA")</f>
        <v>2</v>
      </c>
      <c r="DH16" s="3">
        <f>_xlfn.XLOOKUP(B16,'BASE DE EXCEL'!$C:$C,'BASE DE EXCEL'!AB:AB,"NO HAY REFERENCIA")</f>
        <v>2</v>
      </c>
      <c r="DI16" s="3" t="str">
        <f>_xlfn.XLOOKUP(B16,'BASE DE EXCEL'!$C:$C,'BASE DE EXCEL'!AC:AC,"NO HAY REFERENCIA")</f>
        <v>2 a 3 días</v>
      </c>
      <c r="DJ16" s="4">
        <f>_xlfn.XLOOKUP(B16,'BASE DE EXCEL'!$C:$C,'BASE DE EXCEL'!AD:AD,"NO HAY REFERENCIA")</f>
        <v>46056</v>
      </c>
      <c r="DK16" s="3">
        <f>_xlfn.XLOOKUP(B16,'BASE DE EXCEL'!$C:$C,'BASE DE EXCEL'!AE:AE,"NO HAY REFERENCIA")</f>
        <v>8</v>
      </c>
      <c r="DL16" s="3">
        <f>_xlfn.XLOOKUP(B16,'BASE DE EXCEL'!$C:$C,'BASE DE EXCEL'!AF:AF,"NO HAY REFERENCIA")</f>
        <v>6</v>
      </c>
      <c r="DM16" s="4">
        <f>_xlfn.XLOOKUP(B16,'BASE DE EXCEL'!$C:$C,'BASE DE EXCEL'!AG:AG,"NO HAY REFERENCIA")</f>
        <v>46056</v>
      </c>
      <c r="DN16" s="4">
        <f>_xlfn.XLOOKUP(B16,'BASE DE EXCEL'!$C:$C,'BASE DE EXCEL'!AH:AH,"NO HAY REFERENCIA")</f>
        <v>46056</v>
      </c>
      <c r="DO16" s="3">
        <f>_xlfn.XLOOKUP(B16,'BASE DE EXCEL'!$C:$C,'BASE DE EXCEL'!AI:AI,"NO HAY REFERENCIA")</f>
        <v>0</v>
      </c>
      <c r="DP16" s="4" t="str">
        <f>_xlfn.XLOOKUP(B16,'BASE DE EXCEL'!$C:$C,'BASE DE EXCEL'!AJ:AJ,"NO HAY REFERENCIA")</f>
        <v>6 a 10 días</v>
      </c>
      <c r="DQ16" s="4">
        <f>_xlfn.XLOOKUP(B16,'BASE DE EXCEL'!$C:$C,'BASE DE EXCEL'!AK:AK,"NO HAY REFERENCIA")</f>
        <v>46056</v>
      </c>
      <c r="DR16" s="3">
        <f>_xlfn.XLOOKUP(B16,'BASE DE EXCEL'!$C:$C,'BASE DE EXCEL'!AL:AL,"NO HAY REFERENCIA")</f>
        <v>6</v>
      </c>
      <c r="DS16" s="3" t="str">
        <f>_xlfn.XLOOKUP(B16,'BASE DE EXCEL'!$C:$C,'BASE DE EXCEL'!AM:AM,"NO HAY REFERENCIA")</f>
        <v>6 a 10 días</v>
      </c>
      <c r="DT16" s="3" t="str">
        <f>_xlfn.XLOOKUP(B16,'BASE DE EXCEL'!$C:$C,'BASE DE EXCEL'!AN:AN,"NO HAY REFERENCIA")</f>
        <v>On Time</v>
      </c>
      <c r="DU16" s="3">
        <f>_xlfn.XLOOKUP(B16,'BASE DE EXCEL'!$C:$C,'BASE DE EXCEL'!AO:AO,"NO HAY REFERENCIA")</f>
        <v>1</v>
      </c>
      <c r="DV16" s="3" t="str">
        <f>_xlfn.XLOOKUP(B16,'BASE DE EXCEL'!$C:$C,'BASE DE EXCEL'!AP:AP,"NO HAY REFERENCIA")</f>
        <v>Es anterior</v>
      </c>
      <c r="DW16" s="3" t="str">
        <f>_xlfn.XLOOKUP(B16,'BASE DE EXCEL'!$C:$C,'BASE DE EXCEL'!AQ:AQ,"NO HAY REFERENCIA")</f>
        <v>A1</v>
      </c>
      <c r="DX16" s="3" t="str">
        <f>_xlfn.XLOOKUP(B16,'BASE DE EXCEL'!$C:$C,'BASE DE EXCEL'!AR:AR,"NO HAY REFERENCIA")</f>
        <v>ZULEIMA PEREZ RUIZ</v>
      </c>
      <c r="DY16" s="3" t="str">
        <f>_xlfn.XLOOKUP(B16,'BASE DE EXCEL'!$C:$C,'BASE DE EXCEL'!AS:AS,"NO HAY REFERENCIA")</f>
        <v>HLCUANR251210340</v>
      </c>
      <c r="DZ16" s="3" t="str">
        <f>_xlfn.XLOOKUP(B16,'BASE DE EXCEL'!$C:$C,'BASE DE EXCEL'!AT:AT,"NO HAY REFERENCIA")</f>
        <v>NULL</v>
      </c>
      <c r="EA16" s="3">
        <f>_xlfn.XLOOKUP(B16,'BASE DE EXCEL'!$C:$C,'BASE DE EXCEL'!AU:AU,"NO HAY REFERENCIA")</f>
        <v>6000095</v>
      </c>
      <c r="EB16" s="3" t="str">
        <f>_xlfn.XLOOKUP(B16,'BASE DE EXCEL'!$C:$C,'BASE DE EXCEL'!AV:AV,"NO HAY REFERENCIA")</f>
        <v>Importación</v>
      </c>
      <c r="EC16" s="3" t="str">
        <f>_xlfn.XLOOKUP(B16,'BASE DE EXCEL'!$C:$C,'BASE DE EXCEL'!AW:AW,"NO HAY REFERENCIA")</f>
        <v>IMPLEMAX (MEDICAMENTO DOSIFICADO DE USO VETERINARIO)</v>
      </c>
      <c r="ED16" s="3" t="str">
        <f>_xlfn.XLOOKUP(B16,'BASE DE EXCEL'!$C:$C,'BASE DE EXCEL'!AX:AX,"NO HAY REFERENCIA")</f>
        <v>SIN CLASIFICACION</v>
      </c>
      <c r="EE16" s="3">
        <f>_xlfn.XLOOKUP(B16,'BASE DE EXCEL'!$C:$C,'BASE DE EXCEL'!AY:AY,"NO HAY REFERENCIA")</f>
        <v>0</v>
      </c>
      <c r="EF16" s="3" t="str">
        <f>_xlfn.XLOOKUP(B16,'BASE DE EXCEL'!$C:$C,'BASE DE EXCEL'!AZ:AZ,"NO HAY REFERENCIA")</f>
        <v>Cargas de Importación</v>
      </c>
      <c r="EG16" s="3" t="str">
        <f>_xlfn.XLOOKUP(B16,'BASE DE EXCEL'!$C:$C,'BASE DE EXCEL'!BA:BA,"NO HAY REFERENCIA")</f>
        <v>INTERVET MEXICO SA DE CV</v>
      </c>
      <c r="EH16" s="3">
        <f>_xlfn.XLOOKUP(B16,'BASE DE EXCEL'!$C:$C,'BASE DE EXCEL'!BB:BB,"NO HAY REFERENCIA")</f>
        <v>0</v>
      </c>
      <c r="EI16" s="3">
        <f>_xlfn.XLOOKUP(B16,'BASE DE EXCEL'!$C:$C,'BASE DE EXCEL'!BC:BC,"NO HAY REFERENCIA")</f>
        <v>0</v>
      </c>
      <c r="EJ16" s="3">
        <f>_xlfn.XLOOKUP(B16,'BASE DE EXCEL'!$C:$C,'BASE DE EXCEL'!BD:BD,"NO HAY REFERENCIA")</f>
        <v>0</v>
      </c>
      <c r="EK16" s="3">
        <f>_xlfn.XLOOKUP(B16,'BASE DE EXCEL'!$C:$C,'BASE DE EXCEL'!BE:BE,"NO HAY REFERENCIA")</f>
        <v>0</v>
      </c>
      <c r="EL16" s="3" t="str">
        <f>_xlfn.XLOOKUP(B16,'BASE DE EXCEL'!$C:$C,'BASE DE EXCEL'!BF:BF,"NO HAY REFERENCIA")</f>
        <v>PRODUCTO TERMINADO</v>
      </c>
      <c r="EM16" s="3" t="str">
        <f>_xlfn.XLOOKUP(B16,'BASE DE EXCEL'!$C:$C,'BASE DE EXCEL'!BG:BG,"NO HAY REFERENCIA")</f>
        <v>Verde</v>
      </c>
      <c r="EN16" s="3" t="str">
        <f>_xlfn.XLOOKUP(B16,'BASE DE EXCEL'!$C:$C,'BASE DE EXCEL'!BH:BH,"NO HAY REFERENCIA")</f>
        <v xml:space="preserve"> SUPER EXPRESS DE CARGA FEDERAL S.A. DE C.V.</v>
      </c>
      <c r="EO16" s="3">
        <f>_xlfn.XLOOKUP(B16,'BASE DE EXCEL'!$C:$C,'BASE DE EXCEL'!BI:BI,"NO HAY REFERENCIA")</f>
        <v>0</v>
      </c>
      <c r="EP16" s="3" t="str">
        <f>_xlfn.XLOOKUP(B16,'BASE DE EXCEL'!$C:$C,'BASE DE EXCEL'!BJ:BJ,"NO HAY REFERENCIA")</f>
        <v>IME-T005</v>
      </c>
      <c r="EQ16" s="3" t="str">
        <f>_xlfn.XLOOKUP(B16,'BASE DE EXCEL'!$C:$C,'BASE DE EXCEL'!BK:BK,"NO HAY REFERENCIA")</f>
        <v>IME850329RH2</v>
      </c>
      <c r="ER16" s="3">
        <f>_xlfn.XLOOKUP(B16,'BASE DE EXCEL'!$C:$C,'BASE DE EXCEL'!BL:BL,"NO HAY REFERENCIA")</f>
        <v>0</v>
      </c>
      <c r="ES16" s="3" t="str">
        <f>_xlfn.XLOOKUP(B16,'BASE DE EXCEL'!$C:$C,'BASE DE EXCEL'!BM:BM,"NO HAY REFERENCIA")</f>
        <v>00,99</v>
      </c>
      <c r="ET16" s="3" t="str">
        <f>_xlfn.XLOOKUP(B16,'BASE DE EXCEL'!$C:$C,'BASE DE EXCEL'!BN:BN,"NO HAY REFERENCIA")</f>
        <v>LOTE: A669T01,LOTE: 25E4006C01,LOTE: 25N4017A02,LOTE: 25N3005A08,LOTE: 25N1002A12,LOTE: 5732106,LOTE: 5660103</v>
      </c>
      <c r="EU16" s="3">
        <f>_xlfn.XLOOKUP(B16,'BASE DE EXCEL'!$C:$C,'BASE DE EXCEL'!BO:BO,"NO HAY REFERENCIA")</f>
        <v>90</v>
      </c>
      <c r="EV16" s="3" t="str">
        <f>_xlfn.XLOOKUP(B16,'BASE DE EXCEL'!$C:$C,'BASE DE EXCEL'!BP:BP,"NO HAY REFERENCIA")</f>
        <v xml:space="preserve"> 5475856.92, 466125.84</v>
      </c>
      <c r="EW16" s="3" t="str">
        <f>_xlfn.XLOOKUP(B16,'BASE DE EXCEL'!$C:$C,'BASE DE EXCEL'!BQ:BQ,"NO HAY REFERENCIA")</f>
        <v>KILO,KILO,KILO,KILO,KILO,KILO,KILO</v>
      </c>
      <c r="EX16" s="3">
        <f>_xlfn.XLOOKUP(B16,'BASE DE EXCEL'!$C:$C,'BASE DE EXCEL'!BR:BR,"NO HAY REFERENCIA")</f>
        <v>0</v>
      </c>
      <c r="EY16" s="3" t="str">
        <f>_xlfn.XLOOKUP(B16,'BASE DE EXCEL'!$C:$C,'BASE DE EXCEL'!BS:BS,"NO HAY REFERENCIA")</f>
        <v>ALEMANIA (REPUBLICA FEDERAL DE),AUSTRIA (REPUBLICA DE)</v>
      </c>
      <c r="EZ16" s="3" t="str">
        <f>_xlfn.XLOOKUP(B16,'BASE DE EXCEL'!$C:$C,'BASE DE EXCEL'!BT:BT,"NO HAY REFERENCIA")</f>
        <v>PAISES BAJOS (REINO DE LOS) (HOLANDA)</v>
      </c>
      <c r="FA16" s="3" t="str">
        <f>_xlfn.XLOOKUP(B16,'BASE DE EXCEL'!$C:$C,'BASE DE EXCEL'!BU:BU,"NO HAY REFERENCIA")</f>
        <v>AUT,DEU</v>
      </c>
      <c r="FB16" s="3" t="str">
        <f>_xlfn.XLOOKUP(B16,'BASE DE EXCEL'!$C:$C,'BASE DE EXCEL'!BV:BV,"NO HAY REFERENCIA")</f>
        <v>ZYA</v>
      </c>
      <c r="FC16" s="3">
        <f>_xlfn.XLOOKUP(B16,QUERY!$C:$C,QUERY!D:D)</f>
        <v>430</v>
      </c>
      <c r="FD16" s="4">
        <f>_xlfn.XLOOKUP(B16,QUERY!$C:$C,QUERY!E:E)</f>
        <v>46045</v>
      </c>
      <c r="FE16" s="3">
        <f>_xlfn.XLOOKUP(B16,QUERY!$C:$C,QUERY!F:F)</f>
        <v>1</v>
      </c>
      <c r="FF16" s="4">
        <f>_xlfn.XLOOKUP(B16,QUERY!$C:$C,QUERY!G:G)</f>
        <v>46043</v>
      </c>
      <c r="FG16" s="4">
        <f>_xlfn.XLOOKUP(B16,QUERY!$C:$C,QUERY!H:H)</f>
        <v>46045</v>
      </c>
      <c r="FH16" s="3">
        <f>_xlfn.XLOOKUP(B16,QUERY!$C:$C,QUERY!I:I)</f>
        <v>2</v>
      </c>
      <c r="FI16" s="3" t="str">
        <f>_xlfn.XLOOKUP(B16,QUERY!$C:$C,QUERY!J:J)</f>
        <v>2 a 3 días</v>
      </c>
      <c r="FJ16" s="4">
        <f>_xlfn.XLOOKUP(B16,QUERY!$C:$C,QUERY!K:K)</f>
        <v>46046</v>
      </c>
      <c r="FK16" s="3">
        <f>_xlfn.XLOOKUP(B16,QUERY!$C:$C,QUERY!L:L)</f>
        <v>2</v>
      </c>
      <c r="FL16" s="3" t="str">
        <f>_xlfn.XLOOKUP(B16,QUERY!$C:$C,QUERY!M:M)</f>
        <v>2 a 3 días</v>
      </c>
      <c r="FM16" s="3">
        <f>_xlfn.XLOOKUP(B16,QUERY!$C:$C,QUERY!N:N)</f>
        <v>1</v>
      </c>
      <c r="FN16" s="3" t="str">
        <f>_xlfn.XLOOKUP(B16,QUERY!$C:$C,QUERY!O:O)</f>
        <v>1 día o menos</v>
      </c>
      <c r="FO16" s="3">
        <f>_xlfn.XLOOKUP(B16,QUERY!$C:$C,QUERY!P:P)</f>
        <v>1</v>
      </c>
      <c r="FP16" s="3">
        <f>_xlfn.XLOOKUP(B16,QUERY!$C:$C,QUERY!Q:Q)</f>
        <v>2</v>
      </c>
      <c r="FQ16" s="3" t="str">
        <f>_xlfn.XLOOKUP(B16,QUERY!$C:$C,QUERY!R:R)</f>
        <v>2 a 3 días</v>
      </c>
      <c r="FR16" s="4">
        <f>_xlfn.XLOOKUP(B16,QUERY!$C:$C,QUERY!S:S)</f>
        <v>46048</v>
      </c>
      <c r="FS16" s="3">
        <f>_xlfn.XLOOKUP(B16,QUERY!$C:$C,QUERY!T:T)</f>
        <v>3</v>
      </c>
      <c r="FT16" s="3" t="str">
        <f>_xlfn.XLOOKUP(B16,QUERY!$C:$C,QUERY!U:U)</f>
        <v>2 a 3 días</v>
      </c>
      <c r="FU16" s="3">
        <f>_xlfn.XLOOKUP(B16,QUERY!$C:$C,QUERY!V:V)</f>
        <v>9</v>
      </c>
      <c r="FV16" s="3" t="str">
        <f>_xlfn.XLOOKUP(B16,QUERY!$C:$C,QUERY!W:W)</f>
        <v>6 a 10 días</v>
      </c>
      <c r="FW16" s="4">
        <f>_xlfn.XLOOKUP(B16,QUERY!$C:$C,QUERY!X:X)</f>
        <v>46056</v>
      </c>
      <c r="FX16" s="3">
        <f>_xlfn.XLOOKUP(B16,QUERY!$C:$C,QUERY!Y:Y)</f>
        <v>6</v>
      </c>
      <c r="FY16" s="3">
        <f>_xlfn.XLOOKUP(B16,QUERY!$C:$C,QUERY!Z:Z)</f>
        <v>6</v>
      </c>
      <c r="FZ16" s="4" t="str">
        <f>_xlfn.XLOOKUP(B16,QUERY!$C:$C,QUERY!AA:AA)</f>
        <v>6 a 10 días</v>
      </c>
      <c r="GA16" s="4">
        <f>_xlfn.XLOOKUP(B16,QUERY!$C:$C,QUERY!AB:AB)</f>
        <v>46056</v>
      </c>
      <c r="GB16" s="4">
        <f>_xlfn.XLOOKUP(B16,QUERY!$C:$C,QUERY!AC:AC)</f>
        <v>46056</v>
      </c>
      <c r="GC16" s="3">
        <f>_xlfn.XLOOKUP(B16,QUERY!$C:$C,QUERY!AD:AD)</f>
        <v>0</v>
      </c>
      <c r="GD16" s="4">
        <f>_xlfn.XLOOKUP(B16,QUERY!$C:$C,QUERY!AE:AE)</f>
        <v>46056</v>
      </c>
      <c r="GE16" s="3">
        <f>_xlfn.XLOOKUP(B16,QUERY!$C:$C,QUERY!AF:AF)</f>
        <v>1</v>
      </c>
      <c r="GF16" s="4" t="str">
        <f>_xlfn.XLOOKUP(B16,QUERY!$C:$C,QUERY!AG:AG)</f>
        <v>Es anterior</v>
      </c>
      <c r="GG16" s="3" t="str">
        <f>_xlfn.XLOOKUP(B16,QUERY!$C:$C,QUERY!AH:AH)</f>
        <v>A1</v>
      </c>
      <c r="GH16" s="3" t="str">
        <f>_xlfn.XLOOKUP(B16,QUERY!$C:$C,QUERY!AI:AI)</f>
        <v>ZULEIMA PEREZ RUIZ</v>
      </c>
      <c r="GI16" s="3" t="str">
        <f>_xlfn.XLOOKUP(B16,QUERY!$C:$C,QUERY!AJ:AJ)</f>
        <v>HLCUANR251210340</v>
      </c>
      <c r="GJ16" s="3" t="str">
        <f>_xlfn.XLOOKUP(B16,QUERY!$C:$C,QUERY!AK:AK)</f>
        <v>NULL</v>
      </c>
      <c r="GK16" s="3">
        <f>_xlfn.XLOOKUP(B16,QUERY!$C:$C,QUERY!AL:AL)</f>
        <v>6000095</v>
      </c>
      <c r="GL16" s="3" t="str">
        <f>_xlfn.XLOOKUP(B16,QUERY!$C:$C,QUERY!AM:AM)</f>
        <v>Importación</v>
      </c>
      <c r="GM16" s="3" t="str">
        <f>_xlfn.XLOOKUP(B16,QUERY!$C:$C,QUERY!AN:AN)</f>
        <v>IMPLEMAX (MEDICAMENTO DOSIFICADO DE USO VETERINARIO)</v>
      </c>
      <c r="GN16" s="3" t="str">
        <f>_xlfn.XLOOKUP(B16,QUERY!$C:$C,QUERY!AO:AO)</f>
        <v>SIN CLASIFICACION</v>
      </c>
      <c r="GO16" s="3">
        <f>_xlfn.XLOOKUP(B16,QUERY!$C:$C,QUERY!AP:AP)</f>
        <v>0</v>
      </c>
      <c r="GP16" s="3" t="str">
        <f>_xlfn.XLOOKUP(B16,QUERY!$C:$C,QUERY!AQ:AQ)</f>
        <v>Cargas de Importación</v>
      </c>
      <c r="GQ16" s="3" t="str">
        <f>_xlfn.XLOOKUP(B16,QUERY!$C:$C,QUERY!AR:AR)</f>
        <v>INTERVET MEXICO SA DE CV</v>
      </c>
      <c r="GR16" s="3">
        <f>_xlfn.XLOOKUP(B16,QUERY!$C:$C,QUERY!AS:AS)</f>
        <v>0</v>
      </c>
      <c r="GS16" s="3">
        <f>_xlfn.XLOOKUP(B16,QUERY!$C:$C,QUERY!AT:AT)</f>
        <v>0</v>
      </c>
      <c r="GT16" s="3">
        <f>_xlfn.XLOOKUP(B16,QUERY!$C:$C,QUERY!AU:AU)</f>
        <v>0</v>
      </c>
      <c r="GU16" s="3">
        <f>_xlfn.XLOOKUP(B16,QUERY!$C:$C,QUERY!AV:AV)</f>
        <v>0</v>
      </c>
      <c r="GV16" s="3" t="str">
        <f>_xlfn.XLOOKUP(B16,QUERY!$C:$C,QUERY!AW:AW)</f>
        <v>PRODUCTO TERMINADO</v>
      </c>
      <c r="GW16" s="3" t="str">
        <f>_xlfn.XLOOKUP(B16,QUERY!$C:$C,QUERY!AX:AX)</f>
        <v>Verde</v>
      </c>
      <c r="GX16" s="3" t="str">
        <f>_xlfn.XLOOKUP(B16,QUERY!$C:$C,QUERY!AY:AY)</f>
        <v xml:space="preserve"> SUPER EXPRESS DE CARGA FEDERAL S.A. DE C.V.</v>
      </c>
      <c r="GY16" s="3">
        <f>_xlfn.XLOOKUP(B16,QUERY!$C:$C,QUERY!AZ:AZ)</f>
        <v>0</v>
      </c>
      <c r="GZ16" s="3" t="str">
        <f>_xlfn.XLOOKUP(B16,QUERY!$C:$C,QUERY!BA:BA)</f>
        <v>IME-T005</v>
      </c>
      <c r="HA16" s="3" t="str">
        <f>_xlfn.XLOOKUP(B16,QUERY!$C:$C,QUERY!BB:BB)</f>
        <v>IME850329RH2</v>
      </c>
      <c r="HB16" s="3">
        <f>_xlfn.XLOOKUP(B16,QUERY!$C:$C,QUERY!BC:BC)</f>
        <v>0</v>
      </c>
      <c r="HC16" s="3">
        <f>_xlfn.XLOOKUP(B16,QUERY!$C:$C,QUERY!BD:BD)</f>
        <v>0.99</v>
      </c>
      <c r="HD16" s="3" t="str">
        <f>_xlfn.XLOOKUP(B16,QUERY!$C:$C,QUERY!BE:BE)</f>
        <v>LOTE: A669T01,LOTE: 25E4006C01,LOTE: 25N4017A02,LOTE: 25N3005A08,LOTE: 25N1002A12,LOTE: 5732106,LOTE: 5660103</v>
      </c>
      <c r="HE16" s="3">
        <f>_xlfn.XLOOKUP(B16,QUERY!$C:$C,QUERY!BF:BF)</f>
        <v>90</v>
      </c>
      <c r="HF16" s="3" t="str">
        <f>_xlfn.XLOOKUP(B16,QUERY!$C:$C,QUERY!BG:BG)</f>
        <v xml:space="preserve"> 5475856.92, 466125.84</v>
      </c>
      <c r="HG16" s="3" t="str">
        <f>_xlfn.XLOOKUP(B16,QUERY!$C:$C,QUERY!BH:BH)</f>
        <v>KILO,KILO,KILO,KILO,KILO,KILO,KILO</v>
      </c>
      <c r="HH16" s="3">
        <f>_xlfn.XLOOKUP(B16,QUERY!$C:$C,QUERY!BI:BI)</f>
        <v>0</v>
      </c>
      <c r="HI16" s="3" t="str">
        <f>_xlfn.XLOOKUP(B16,QUERY!$C:$C,QUERY!BJ:BJ)</f>
        <v>ALEMANIA (REPUBLICA FEDERAL DE),AUSTRIA (REPUBLICA DE)</v>
      </c>
      <c r="HJ16" s="3" t="str">
        <f>_xlfn.XLOOKUP(B16,QUERY!$C:$C,QUERY!BK:BK)</f>
        <v>PAISES BAJOS (REINO DE LOS) (HOLANDA)</v>
      </c>
      <c r="HK16" s="3" t="str">
        <f>_xlfn.XLOOKUP(B16,QUERY!$C:$C,QUERY!BL:BL)</f>
        <v>AUT,DEU</v>
      </c>
      <c r="HL16" s="3" t="str">
        <f>_xlfn.XLOOKUP(B16,QUERY!$C:$C,QUERY!BM:BM)</f>
        <v>ZYA</v>
      </c>
      <c r="HM16" s="3">
        <f>_xlfn.XLOOKUP(B16,QUERY!$C:$C,QUERY!BN:BN)</f>
        <v>5941983</v>
      </c>
      <c r="HN16" s="3" t="str">
        <f>_xlfn.XLOOKUP(B16,QUERY!$C:$C,QUERY!BO:BO)</f>
        <v>27166.00</v>
      </c>
      <c r="HO16" s="3" t="str">
        <f>_xlfn.XLOOKUP(B16,QUERY!$C:$C,QUERY!BP:BP)</f>
        <v>NULL</v>
      </c>
      <c r="HP16" s="3" t="str">
        <f>_xlfn.XLOOKUP(B16,QUERY!$C:$C,QUERY!BQ:BQ)</f>
        <v>339570.00</v>
      </c>
      <c r="HQ16" s="3" t="str">
        <f>_xlfn.XLOOKUP(B16,QUERY!$C:$C,QUERY!BR:BR)</f>
        <v>130942.87</v>
      </c>
      <c r="HR16" s="3">
        <f>_xlfn.XLOOKUP(B16,QUERY!$C:$C,QUERY!BS:BS)</f>
        <v>0</v>
      </c>
      <c r="HS16" s="3">
        <f>_xlfn.XLOOKUP(B16,QUERY!$C:$C,QUERY!BT:BT)</f>
        <v>0</v>
      </c>
      <c r="HT16" s="3" t="str">
        <f>_xlfn.XLOOKUP(B16,QUERY!$C:$C,QUERY!A:A)</f>
        <v>VERACRUZ</v>
      </c>
      <c r="HU16" s="3" t="str">
        <f>_xlfn.XLOOKUP(B16,QUERY!$C:$C,QUERY!B:B)</f>
        <v>MARÍTIMO VERACRUZ</v>
      </c>
    </row>
    <row r="17" spans="1:229" x14ac:dyDescent="0.25">
      <c r="A17" s="3" t="s">
        <v>90</v>
      </c>
      <c r="B17" s="8" t="s">
        <v>128</v>
      </c>
      <c r="C17" s="3">
        <v>3942</v>
      </c>
      <c r="D17" s="3">
        <v>6000095</v>
      </c>
      <c r="E17" s="3"/>
      <c r="F17" s="3" t="s">
        <v>92</v>
      </c>
      <c r="G17" s="3" t="s">
        <v>93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430</v>
      </c>
      <c r="S17" s="3" t="s">
        <v>129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135</v>
      </c>
      <c r="AB17" s="3"/>
      <c r="AC17" s="3">
        <v>1038496</v>
      </c>
      <c r="AD17" s="3">
        <v>62.56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/>
      <c r="AP17" s="3" t="s">
        <v>98</v>
      </c>
      <c r="AQ17" s="3">
        <v>210360279</v>
      </c>
      <c r="AR17" s="3" t="s">
        <v>99</v>
      </c>
      <c r="AS17" s="3" t="s">
        <v>100</v>
      </c>
      <c r="AT17" s="3">
        <v>0</v>
      </c>
      <c r="AU17" s="3">
        <v>0</v>
      </c>
      <c r="AV17" s="3">
        <v>0</v>
      </c>
      <c r="AW17" s="3">
        <v>30049099</v>
      </c>
      <c r="AX17" s="3">
        <v>99</v>
      </c>
      <c r="AY17" s="3">
        <v>16600</v>
      </c>
      <c r="AZ17" s="3">
        <v>16600</v>
      </c>
      <c r="BA17" s="3" t="s">
        <v>103</v>
      </c>
      <c r="BB17" s="3"/>
      <c r="BC17" s="3" t="s">
        <v>133</v>
      </c>
      <c r="BD17" s="3" t="s">
        <v>105</v>
      </c>
      <c r="BE17" s="3"/>
      <c r="BF17" s="3"/>
      <c r="BG17" s="5"/>
      <c r="BH17" s="3"/>
      <c r="BI17" s="3"/>
      <c r="BJ17" s="3"/>
      <c r="BK17" s="3" t="s">
        <v>134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 t="s">
        <v>111</v>
      </c>
      <c r="CF17" s="3">
        <v>0</v>
      </c>
      <c r="CG17" s="3">
        <v>0</v>
      </c>
      <c r="CH17" s="3">
        <v>0</v>
      </c>
      <c r="CI17" s="3" t="s">
        <v>112</v>
      </c>
      <c r="CJ17" s="3" t="s">
        <v>112</v>
      </c>
      <c r="CK17" s="3">
        <f>_xlfn.XLOOKUP($B$2,'BASE DE EXCEL'!C:C,'BASE DE EXCEL'!D:D,"NO HAY REFERENCIA")</f>
        <v>470</v>
      </c>
      <c r="CL17" s="5">
        <f>_xlfn.XLOOKUP($B$2,'BASE DE EXCEL'!$C:$C,'BASE DE EXCEL'!F:F,"NO HAY REFERENCIA")</f>
        <v>3</v>
      </c>
      <c r="CM17" s="4">
        <f>_xlfn.XLOOKUP($B$2,'BASE DE EXCEL'!$C:$C,'BASE DE EXCEL'!G:G,"NO HAY REFERENCIA")</f>
        <v>46080</v>
      </c>
      <c r="CN17" s="4">
        <f>_xlfn.XLOOKUP($B$2,'BASE DE EXCEL'!$C:$C,'BASE DE EXCEL'!H:H,"NO HAY REFERENCIA")</f>
        <v>46086</v>
      </c>
      <c r="CO17" s="3">
        <f>_xlfn.XLOOKUP($B$2,'BASE DE EXCEL'!$C:$C,'BASE DE EXCEL'!I:I,"NO HAY REFERENCIA")</f>
        <v>4</v>
      </c>
      <c r="CP17" s="3" t="str">
        <f>_xlfn.XLOOKUP($B$2,'BASE DE EXCEL'!$C:$C,'BASE DE EXCEL'!J:J,"NO HAY REFERENCIA")</f>
        <v>4 a 5 días</v>
      </c>
      <c r="CQ17" s="4">
        <f>_xlfn.XLOOKUP($B$2,'BASE DE EXCEL'!$C:$C,'BASE DE EXCEL'!K:K,"NO HAY REFERENCIA")</f>
        <v>46087</v>
      </c>
      <c r="CR17" s="3">
        <f>_xlfn.XLOOKUP($B$2,'BASE DE EXCEL'!$C:$C,'BASE DE EXCEL'!L:L,"NO HAY REFERENCIA")</f>
        <v>5</v>
      </c>
      <c r="CS17" s="3">
        <f>_xlfn.XLOOKUP($B$2,'BASE DE EXCEL'!$C:$C,'BASE DE EXCEL'!M:M,"NO HAY REFERENCIA")</f>
        <v>6</v>
      </c>
      <c r="CT17" s="3" t="str">
        <f>_xlfn.XLOOKUP($B$2,'BASE DE EXCEL'!$C:$C,'BASE DE EXCEL'!N:N,"NO HAY REFERENCIA")</f>
        <v>6 a 10 días</v>
      </c>
      <c r="CU17" s="3" t="str">
        <f>_xlfn.XLOOKUP($B$2,'BASE DE EXCEL'!$C:$C,'BASE DE EXCEL'!O:O,"NO HAY REFERENCIA")</f>
        <v>On Time</v>
      </c>
      <c r="CV17" s="3" t="str">
        <f>_xlfn.XLOOKUP(B17,'BASE DE EXCEL'!$C:$C,'BASE DE EXCEL'!P:P,"NO HAY REFERENCIA")</f>
        <v>2 a 3 días</v>
      </c>
      <c r="CW17" s="4">
        <f>_xlfn.XLOOKUP(B17,'BASE DE EXCEL'!$C:$C,'BASE DE EXCEL'!Q:Q,"NO HAY REFERENCIA")</f>
        <v>46048</v>
      </c>
      <c r="CX17" s="3">
        <f>_xlfn.XLOOKUP(B17,'BASE DE EXCEL'!$C:$C,'BASE DE EXCEL'!R:R,"NO HAY REFERENCIA")</f>
        <v>4</v>
      </c>
      <c r="CY17" s="3" t="str">
        <f>_xlfn.XLOOKUP(B17,'BASE DE EXCEL'!$C:$C,'BASE DE EXCEL'!S:S,"NO HAY REFERENCIA")</f>
        <v>4 a 5 días</v>
      </c>
      <c r="CZ17" s="3" t="str">
        <f>_xlfn.XLOOKUP(B17,'BASE DE EXCEL'!$C:$C,'BASE DE EXCEL'!T:T,"NO HAY REFERENCIA")</f>
        <v>On Time</v>
      </c>
      <c r="DA17" s="3">
        <f>_xlfn.XLOOKUP(B17,'BASE DE EXCEL'!$C:$C,'BASE DE EXCEL'!U:U,"NO HAY REFERENCIA")</f>
        <v>5</v>
      </c>
      <c r="DB17" s="3" t="str">
        <f>_xlfn.XLOOKUP(B17,'BASE DE EXCEL'!$C:$C,'BASE DE EXCEL'!V:V,"NO HAY REFERENCIA")</f>
        <v>2 a 3 días</v>
      </c>
      <c r="DC17" s="3">
        <f>_xlfn.XLOOKUP(B17,'BASE DE EXCEL'!$C:$C,'BASE DE EXCEL'!W:W,"NO HAY REFERENCIA")</f>
        <v>9</v>
      </c>
      <c r="DD17" s="3" t="str">
        <f>_xlfn.XLOOKUP(B17,'BASE DE EXCEL'!$C:$C,'BASE DE EXCEL'!X:X,"NO HAY REFERENCIA")</f>
        <v>6 a 10 días</v>
      </c>
      <c r="DE17" s="3">
        <f>_xlfn.XLOOKUP(B17,'BASE DE EXCEL'!$C:$C,'BASE DE EXCEL'!Y:Y,"NO HAY REFERENCIA")</f>
        <v>1</v>
      </c>
      <c r="DF17" s="3" t="str">
        <f>_xlfn.XLOOKUP(B17,'BASE DE EXCEL'!$C:$C,'BASE DE EXCEL'!Z:Z,"NO HAY REFERENCIA")</f>
        <v>1 día o menos</v>
      </c>
      <c r="DG17" s="3">
        <f>_xlfn.XLOOKUP(B17,'BASE DE EXCEL'!$C:$C,'BASE DE EXCEL'!AA:AA,"NO HAY REFERENCIA")</f>
        <v>2</v>
      </c>
      <c r="DH17" s="3">
        <f>_xlfn.XLOOKUP(B17,'BASE DE EXCEL'!$C:$C,'BASE DE EXCEL'!AB:AB,"NO HAY REFERENCIA")</f>
        <v>2</v>
      </c>
      <c r="DI17" s="3" t="str">
        <f>_xlfn.XLOOKUP(B17,'BASE DE EXCEL'!$C:$C,'BASE DE EXCEL'!AC:AC,"NO HAY REFERENCIA")</f>
        <v>2 a 3 días</v>
      </c>
      <c r="DJ17" s="4">
        <f>_xlfn.XLOOKUP(B17,'BASE DE EXCEL'!$C:$C,'BASE DE EXCEL'!AD:AD,"NO HAY REFERENCIA")</f>
        <v>46056</v>
      </c>
      <c r="DK17" s="3">
        <f>_xlfn.XLOOKUP(B17,'BASE DE EXCEL'!$C:$C,'BASE DE EXCEL'!AE:AE,"NO HAY REFERENCIA")</f>
        <v>8</v>
      </c>
      <c r="DL17" s="3">
        <f>_xlfn.XLOOKUP(B17,'BASE DE EXCEL'!$C:$C,'BASE DE EXCEL'!AF:AF,"NO HAY REFERENCIA")</f>
        <v>6</v>
      </c>
      <c r="DM17" s="4">
        <f>_xlfn.XLOOKUP(B17,'BASE DE EXCEL'!$C:$C,'BASE DE EXCEL'!AG:AG,"NO HAY REFERENCIA")</f>
        <v>46056</v>
      </c>
      <c r="DN17" s="4">
        <f>_xlfn.XLOOKUP(B17,'BASE DE EXCEL'!$C:$C,'BASE DE EXCEL'!AH:AH,"NO HAY REFERENCIA")</f>
        <v>46056</v>
      </c>
      <c r="DO17" s="3">
        <f>_xlfn.XLOOKUP(B17,'BASE DE EXCEL'!$C:$C,'BASE DE EXCEL'!AI:AI,"NO HAY REFERENCIA")</f>
        <v>0</v>
      </c>
      <c r="DP17" s="4" t="str">
        <f>_xlfn.XLOOKUP(B17,'BASE DE EXCEL'!$C:$C,'BASE DE EXCEL'!AJ:AJ,"NO HAY REFERENCIA")</f>
        <v>6 a 10 días</v>
      </c>
      <c r="DQ17" s="4">
        <f>_xlfn.XLOOKUP(B17,'BASE DE EXCEL'!$C:$C,'BASE DE EXCEL'!AK:AK,"NO HAY REFERENCIA")</f>
        <v>46056</v>
      </c>
      <c r="DR17" s="3">
        <f>_xlfn.XLOOKUP(B17,'BASE DE EXCEL'!$C:$C,'BASE DE EXCEL'!AL:AL,"NO HAY REFERENCIA")</f>
        <v>6</v>
      </c>
      <c r="DS17" s="3" t="str">
        <f>_xlfn.XLOOKUP(B17,'BASE DE EXCEL'!$C:$C,'BASE DE EXCEL'!AM:AM,"NO HAY REFERENCIA")</f>
        <v>6 a 10 días</v>
      </c>
      <c r="DT17" s="3" t="str">
        <f>_xlfn.XLOOKUP(B17,'BASE DE EXCEL'!$C:$C,'BASE DE EXCEL'!AN:AN,"NO HAY REFERENCIA")</f>
        <v>On Time</v>
      </c>
      <c r="DU17" s="3">
        <f>_xlfn.XLOOKUP(B17,'BASE DE EXCEL'!$C:$C,'BASE DE EXCEL'!AO:AO,"NO HAY REFERENCIA")</f>
        <v>1</v>
      </c>
      <c r="DV17" s="3" t="str">
        <f>_xlfn.XLOOKUP(B17,'BASE DE EXCEL'!$C:$C,'BASE DE EXCEL'!AP:AP,"NO HAY REFERENCIA")</f>
        <v>Es anterior</v>
      </c>
      <c r="DW17" s="3" t="str">
        <f>_xlfn.XLOOKUP(B17,'BASE DE EXCEL'!$C:$C,'BASE DE EXCEL'!AQ:AQ,"NO HAY REFERENCIA")</f>
        <v>A1</v>
      </c>
      <c r="DX17" s="3" t="str">
        <f>_xlfn.XLOOKUP(B17,'BASE DE EXCEL'!$C:$C,'BASE DE EXCEL'!AR:AR,"NO HAY REFERENCIA")</f>
        <v>ZULEIMA PEREZ RUIZ</v>
      </c>
      <c r="DY17" s="3" t="str">
        <f>_xlfn.XLOOKUP(B17,'BASE DE EXCEL'!$C:$C,'BASE DE EXCEL'!AS:AS,"NO HAY REFERENCIA")</f>
        <v>HLCUANR251210340</v>
      </c>
      <c r="DZ17" s="3" t="str">
        <f>_xlfn.XLOOKUP(B17,'BASE DE EXCEL'!$C:$C,'BASE DE EXCEL'!AT:AT,"NO HAY REFERENCIA")</f>
        <v>NULL</v>
      </c>
      <c r="EA17" s="3">
        <f>_xlfn.XLOOKUP(B17,'BASE DE EXCEL'!$C:$C,'BASE DE EXCEL'!AU:AU,"NO HAY REFERENCIA")</f>
        <v>6000095</v>
      </c>
      <c r="EB17" s="3" t="str">
        <f>_xlfn.XLOOKUP(B17,'BASE DE EXCEL'!$C:$C,'BASE DE EXCEL'!AV:AV,"NO HAY REFERENCIA")</f>
        <v>Importación</v>
      </c>
      <c r="EC17" s="3" t="str">
        <f>_xlfn.XLOOKUP(B17,'BASE DE EXCEL'!$C:$C,'BASE DE EXCEL'!AW:AW,"NO HAY REFERENCIA")</f>
        <v>IMPLEMAX (MEDICAMENTO DOSIFICADO DE USO VETERINARIO)</v>
      </c>
      <c r="ED17" s="3" t="str">
        <f>_xlfn.XLOOKUP(B17,'BASE DE EXCEL'!$C:$C,'BASE DE EXCEL'!AX:AX,"NO HAY REFERENCIA")</f>
        <v>SIN CLASIFICACION</v>
      </c>
      <c r="EE17" s="3">
        <f>_xlfn.XLOOKUP(B17,'BASE DE EXCEL'!$C:$C,'BASE DE EXCEL'!AY:AY,"NO HAY REFERENCIA")</f>
        <v>0</v>
      </c>
      <c r="EF17" s="3" t="str">
        <f>_xlfn.XLOOKUP(B17,'BASE DE EXCEL'!$C:$C,'BASE DE EXCEL'!AZ:AZ,"NO HAY REFERENCIA")</f>
        <v>Cargas de Importación</v>
      </c>
      <c r="EG17" s="3" t="str">
        <f>_xlfn.XLOOKUP(B17,'BASE DE EXCEL'!$C:$C,'BASE DE EXCEL'!BA:BA,"NO HAY REFERENCIA")</f>
        <v>INTERVET MEXICO SA DE CV</v>
      </c>
      <c r="EH17" s="3">
        <f>_xlfn.XLOOKUP(B17,'BASE DE EXCEL'!$C:$C,'BASE DE EXCEL'!BB:BB,"NO HAY REFERENCIA")</f>
        <v>0</v>
      </c>
      <c r="EI17" s="3">
        <f>_xlfn.XLOOKUP(B17,'BASE DE EXCEL'!$C:$C,'BASE DE EXCEL'!BC:BC,"NO HAY REFERENCIA")</f>
        <v>0</v>
      </c>
      <c r="EJ17" s="3">
        <f>_xlfn.XLOOKUP(B17,'BASE DE EXCEL'!$C:$C,'BASE DE EXCEL'!BD:BD,"NO HAY REFERENCIA")</f>
        <v>0</v>
      </c>
      <c r="EK17" s="3">
        <f>_xlfn.XLOOKUP(B17,'BASE DE EXCEL'!$C:$C,'BASE DE EXCEL'!BE:BE,"NO HAY REFERENCIA")</f>
        <v>0</v>
      </c>
      <c r="EL17" s="3" t="str">
        <f>_xlfn.XLOOKUP(B17,'BASE DE EXCEL'!$C:$C,'BASE DE EXCEL'!BF:BF,"NO HAY REFERENCIA")</f>
        <v>PRODUCTO TERMINADO</v>
      </c>
      <c r="EM17" s="3" t="str">
        <f>_xlfn.XLOOKUP(B17,'BASE DE EXCEL'!$C:$C,'BASE DE EXCEL'!BG:BG,"NO HAY REFERENCIA")</f>
        <v>Verde</v>
      </c>
      <c r="EN17" s="3" t="str">
        <f>_xlfn.XLOOKUP(B17,'BASE DE EXCEL'!$C:$C,'BASE DE EXCEL'!BH:BH,"NO HAY REFERENCIA")</f>
        <v xml:space="preserve"> SUPER EXPRESS DE CARGA FEDERAL S.A. DE C.V.</v>
      </c>
      <c r="EO17" s="3">
        <f>_xlfn.XLOOKUP(B17,'BASE DE EXCEL'!$C:$C,'BASE DE EXCEL'!BI:BI,"NO HAY REFERENCIA")</f>
        <v>0</v>
      </c>
      <c r="EP17" s="3" t="str">
        <f>_xlfn.XLOOKUP(B17,'BASE DE EXCEL'!$C:$C,'BASE DE EXCEL'!BJ:BJ,"NO HAY REFERENCIA")</f>
        <v>IME-T005</v>
      </c>
      <c r="EQ17" s="3" t="str">
        <f>_xlfn.XLOOKUP(B17,'BASE DE EXCEL'!$C:$C,'BASE DE EXCEL'!BK:BK,"NO HAY REFERENCIA")</f>
        <v>IME850329RH2</v>
      </c>
      <c r="ER17" s="3">
        <f>_xlfn.XLOOKUP(B17,'BASE DE EXCEL'!$C:$C,'BASE DE EXCEL'!BL:BL,"NO HAY REFERENCIA")</f>
        <v>0</v>
      </c>
      <c r="ES17" s="3" t="str">
        <f>_xlfn.XLOOKUP(B17,'BASE DE EXCEL'!$C:$C,'BASE DE EXCEL'!BM:BM,"NO HAY REFERENCIA")</f>
        <v>00,99</v>
      </c>
      <c r="ET17" s="3" t="str">
        <f>_xlfn.XLOOKUP(B17,'BASE DE EXCEL'!$C:$C,'BASE DE EXCEL'!BN:BN,"NO HAY REFERENCIA")</f>
        <v>LOTE: A669T01,LOTE: 25E4006C01,LOTE: 25N4017A02,LOTE: 25N3005A08,LOTE: 25N1002A12,LOTE: 5732106,LOTE: 5660103</v>
      </c>
      <c r="EU17" s="3">
        <f>_xlfn.XLOOKUP(B17,'BASE DE EXCEL'!$C:$C,'BASE DE EXCEL'!BO:BO,"NO HAY REFERENCIA")</f>
        <v>90</v>
      </c>
      <c r="EV17" s="3" t="str">
        <f>_xlfn.XLOOKUP(B17,'BASE DE EXCEL'!$C:$C,'BASE DE EXCEL'!BP:BP,"NO HAY REFERENCIA")</f>
        <v xml:space="preserve"> 5475856.92, 466125.84</v>
      </c>
      <c r="EW17" s="3" t="str">
        <f>_xlfn.XLOOKUP(B17,'BASE DE EXCEL'!$C:$C,'BASE DE EXCEL'!BQ:BQ,"NO HAY REFERENCIA")</f>
        <v>KILO,KILO,KILO,KILO,KILO,KILO,KILO</v>
      </c>
      <c r="EX17" s="3">
        <f>_xlfn.XLOOKUP(B17,'BASE DE EXCEL'!$C:$C,'BASE DE EXCEL'!BR:BR,"NO HAY REFERENCIA")</f>
        <v>0</v>
      </c>
      <c r="EY17" s="3" t="str">
        <f>_xlfn.XLOOKUP(B17,'BASE DE EXCEL'!$C:$C,'BASE DE EXCEL'!BS:BS,"NO HAY REFERENCIA")</f>
        <v>ALEMANIA (REPUBLICA FEDERAL DE),AUSTRIA (REPUBLICA DE)</v>
      </c>
      <c r="EZ17" s="3" t="str">
        <f>_xlfn.XLOOKUP(B17,'BASE DE EXCEL'!$C:$C,'BASE DE EXCEL'!BT:BT,"NO HAY REFERENCIA")</f>
        <v>PAISES BAJOS (REINO DE LOS) (HOLANDA)</v>
      </c>
      <c r="FA17" s="3" t="str">
        <f>_xlfn.XLOOKUP(B17,'BASE DE EXCEL'!$C:$C,'BASE DE EXCEL'!BU:BU,"NO HAY REFERENCIA")</f>
        <v>AUT,DEU</v>
      </c>
      <c r="FB17" s="3" t="str">
        <f>_xlfn.XLOOKUP(B17,'BASE DE EXCEL'!$C:$C,'BASE DE EXCEL'!BV:BV,"NO HAY REFERENCIA")</f>
        <v>ZYA</v>
      </c>
      <c r="FC17" s="3">
        <f>_xlfn.XLOOKUP(B17,QUERY!$C:$C,QUERY!D:D)</f>
        <v>430</v>
      </c>
      <c r="FD17" s="4">
        <f>_xlfn.XLOOKUP(B17,QUERY!$C:$C,QUERY!E:E)</f>
        <v>46045</v>
      </c>
      <c r="FE17" s="3">
        <f>_xlfn.XLOOKUP(B17,QUERY!$C:$C,QUERY!F:F)</f>
        <v>1</v>
      </c>
      <c r="FF17" s="4">
        <f>_xlfn.XLOOKUP(B17,QUERY!$C:$C,QUERY!G:G)</f>
        <v>46043</v>
      </c>
      <c r="FG17" s="4">
        <f>_xlfn.XLOOKUP(B17,QUERY!$C:$C,QUERY!H:H)</f>
        <v>46045</v>
      </c>
      <c r="FH17" s="3">
        <f>_xlfn.XLOOKUP(B17,QUERY!$C:$C,QUERY!I:I)</f>
        <v>2</v>
      </c>
      <c r="FI17" s="3" t="str">
        <f>_xlfn.XLOOKUP(B17,QUERY!$C:$C,QUERY!J:J)</f>
        <v>2 a 3 días</v>
      </c>
      <c r="FJ17" s="4">
        <f>_xlfn.XLOOKUP(B17,QUERY!$C:$C,QUERY!K:K)</f>
        <v>46046</v>
      </c>
      <c r="FK17" s="3">
        <f>_xlfn.XLOOKUP(B17,QUERY!$C:$C,QUERY!L:L)</f>
        <v>2</v>
      </c>
      <c r="FL17" s="3" t="str">
        <f>_xlfn.XLOOKUP(B17,QUERY!$C:$C,QUERY!M:M)</f>
        <v>2 a 3 días</v>
      </c>
      <c r="FM17" s="3">
        <f>_xlfn.XLOOKUP(B17,QUERY!$C:$C,QUERY!N:N)</f>
        <v>1</v>
      </c>
      <c r="FN17" s="3" t="str">
        <f>_xlfn.XLOOKUP(B17,QUERY!$C:$C,QUERY!O:O)</f>
        <v>1 día o menos</v>
      </c>
      <c r="FO17" s="3">
        <f>_xlfn.XLOOKUP(B17,QUERY!$C:$C,QUERY!P:P)</f>
        <v>1</v>
      </c>
      <c r="FP17" s="3">
        <f>_xlfn.XLOOKUP(B17,QUERY!$C:$C,QUERY!Q:Q)</f>
        <v>2</v>
      </c>
      <c r="FQ17" s="3" t="str">
        <f>_xlfn.XLOOKUP(B17,QUERY!$C:$C,QUERY!R:R)</f>
        <v>2 a 3 días</v>
      </c>
      <c r="FR17" s="4">
        <f>_xlfn.XLOOKUP(B17,QUERY!$C:$C,QUERY!S:S)</f>
        <v>46048</v>
      </c>
      <c r="FS17" s="3">
        <f>_xlfn.XLOOKUP(B17,QUERY!$C:$C,QUERY!T:T)</f>
        <v>3</v>
      </c>
      <c r="FT17" s="3" t="str">
        <f>_xlfn.XLOOKUP(B17,QUERY!$C:$C,QUERY!U:U)</f>
        <v>2 a 3 días</v>
      </c>
      <c r="FU17" s="3">
        <f>_xlfn.XLOOKUP(B17,QUERY!$C:$C,QUERY!V:V)</f>
        <v>9</v>
      </c>
      <c r="FV17" s="3" t="str">
        <f>_xlfn.XLOOKUP(B17,QUERY!$C:$C,QUERY!W:W)</f>
        <v>6 a 10 días</v>
      </c>
      <c r="FW17" s="4">
        <f>_xlfn.XLOOKUP(B17,QUERY!$C:$C,QUERY!X:X)</f>
        <v>46056</v>
      </c>
      <c r="FX17" s="3">
        <f>_xlfn.XLOOKUP(B17,QUERY!$C:$C,QUERY!Y:Y)</f>
        <v>6</v>
      </c>
      <c r="FY17" s="3">
        <f>_xlfn.XLOOKUP(B17,QUERY!$C:$C,QUERY!Z:Z)</f>
        <v>6</v>
      </c>
      <c r="FZ17" s="4" t="str">
        <f>_xlfn.XLOOKUP(B17,QUERY!$C:$C,QUERY!AA:AA)</f>
        <v>6 a 10 días</v>
      </c>
      <c r="GA17" s="4">
        <f>_xlfn.XLOOKUP(B17,QUERY!$C:$C,QUERY!AB:AB)</f>
        <v>46056</v>
      </c>
      <c r="GB17" s="4">
        <f>_xlfn.XLOOKUP(B17,QUERY!$C:$C,QUERY!AC:AC)</f>
        <v>46056</v>
      </c>
      <c r="GC17" s="3">
        <f>_xlfn.XLOOKUP(B17,QUERY!$C:$C,QUERY!AD:AD)</f>
        <v>0</v>
      </c>
      <c r="GD17" s="4">
        <f>_xlfn.XLOOKUP(B17,QUERY!$C:$C,QUERY!AE:AE)</f>
        <v>46056</v>
      </c>
      <c r="GE17" s="3">
        <f>_xlfn.XLOOKUP(B17,QUERY!$C:$C,QUERY!AF:AF)</f>
        <v>1</v>
      </c>
      <c r="GF17" s="4" t="str">
        <f>_xlfn.XLOOKUP(B17,QUERY!$C:$C,QUERY!AG:AG)</f>
        <v>Es anterior</v>
      </c>
      <c r="GG17" s="3" t="str">
        <f>_xlfn.XLOOKUP(B17,QUERY!$C:$C,QUERY!AH:AH)</f>
        <v>A1</v>
      </c>
      <c r="GH17" s="3" t="str">
        <f>_xlfn.XLOOKUP(B17,QUERY!$C:$C,QUERY!AI:AI)</f>
        <v>ZULEIMA PEREZ RUIZ</v>
      </c>
      <c r="GI17" s="3" t="str">
        <f>_xlfn.XLOOKUP(B17,QUERY!$C:$C,QUERY!AJ:AJ)</f>
        <v>HLCUANR251210340</v>
      </c>
      <c r="GJ17" s="3" t="str">
        <f>_xlfn.XLOOKUP(B17,QUERY!$C:$C,QUERY!AK:AK)</f>
        <v>NULL</v>
      </c>
      <c r="GK17" s="3">
        <f>_xlfn.XLOOKUP(B17,QUERY!$C:$C,QUERY!AL:AL)</f>
        <v>6000095</v>
      </c>
      <c r="GL17" s="3" t="str">
        <f>_xlfn.XLOOKUP(B17,QUERY!$C:$C,QUERY!AM:AM)</f>
        <v>Importación</v>
      </c>
      <c r="GM17" s="3" t="str">
        <f>_xlfn.XLOOKUP(B17,QUERY!$C:$C,QUERY!AN:AN)</f>
        <v>IMPLEMAX (MEDICAMENTO DOSIFICADO DE USO VETERINARIO)</v>
      </c>
      <c r="GN17" s="3" t="str">
        <f>_xlfn.XLOOKUP(B17,QUERY!$C:$C,QUERY!AO:AO)</f>
        <v>SIN CLASIFICACION</v>
      </c>
      <c r="GO17" s="3">
        <f>_xlfn.XLOOKUP(B17,QUERY!$C:$C,QUERY!AP:AP)</f>
        <v>0</v>
      </c>
      <c r="GP17" s="3" t="str">
        <f>_xlfn.XLOOKUP(B17,QUERY!$C:$C,QUERY!AQ:AQ)</f>
        <v>Cargas de Importación</v>
      </c>
      <c r="GQ17" s="3" t="str">
        <f>_xlfn.XLOOKUP(B17,QUERY!$C:$C,QUERY!AR:AR)</f>
        <v>INTERVET MEXICO SA DE CV</v>
      </c>
      <c r="GR17" s="3">
        <f>_xlfn.XLOOKUP(B17,QUERY!$C:$C,QUERY!AS:AS)</f>
        <v>0</v>
      </c>
      <c r="GS17" s="3">
        <f>_xlfn.XLOOKUP(B17,QUERY!$C:$C,QUERY!AT:AT)</f>
        <v>0</v>
      </c>
      <c r="GT17" s="3">
        <f>_xlfn.XLOOKUP(B17,QUERY!$C:$C,QUERY!AU:AU)</f>
        <v>0</v>
      </c>
      <c r="GU17" s="3">
        <f>_xlfn.XLOOKUP(B17,QUERY!$C:$C,QUERY!AV:AV)</f>
        <v>0</v>
      </c>
      <c r="GV17" s="3" t="str">
        <f>_xlfn.XLOOKUP(B17,QUERY!$C:$C,QUERY!AW:AW)</f>
        <v>PRODUCTO TERMINADO</v>
      </c>
      <c r="GW17" s="3" t="str">
        <f>_xlfn.XLOOKUP(B17,QUERY!$C:$C,QUERY!AX:AX)</f>
        <v>Verde</v>
      </c>
      <c r="GX17" s="3" t="str">
        <f>_xlfn.XLOOKUP(B17,QUERY!$C:$C,QUERY!AY:AY)</f>
        <v xml:space="preserve"> SUPER EXPRESS DE CARGA FEDERAL S.A. DE C.V.</v>
      </c>
      <c r="GY17" s="3">
        <f>_xlfn.XLOOKUP(B17,QUERY!$C:$C,QUERY!AZ:AZ)</f>
        <v>0</v>
      </c>
      <c r="GZ17" s="3" t="str">
        <f>_xlfn.XLOOKUP(B17,QUERY!$C:$C,QUERY!BA:BA)</f>
        <v>IME-T005</v>
      </c>
      <c r="HA17" s="3" t="str">
        <f>_xlfn.XLOOKUP(B17,QUERY!$C:$C,QUERY!BB:BB)</f>
        <v>IME850329RH2</v>
      </c>
      <c r="HB17" s="3">
        <f>_xlfn.XLOOKUP(B17,QUERY!$C:$C,QUERY!BC:BC)</f>
        <v>0</v>
      </c>
      <c r="HC17" s="3">
        <f>_xlfn.XLOOKUP(B17,QUERY!$C:$C,QUERY!BD:BD)</f>
        <v>0.99</v>
      </c>
      <c r="HD17" s="3" t="str">
        <f>_xlfn.XLOOKUP(B17,QUERY!$C:$C,QUERY!BE:BE)</f>
        <v>LOTE: A669T01,LOTE: 25E4006C01,LOTE: 25N4017A02,LOTE: 25N3005A08,LOTE: 25N1002A12,LOTE: 5732106,LOTE: 5660103</v>
      </c>
      <c r="HE17" s="3">
        <f>_xlfn.XLOOKUP(B17,QUERY!$C:$C,QUERY!BF:BF)</f>
        <v>90</v>
      </c>
      <c r="HF17" s="3" t="str">
        <f>_xlfn.XLOOKUP(B17,QUERY!$C:$C,QUERY!BG:BG)</f>
        <v xml:space="preserve"> 5475856.92, 466125.84</v>
      </c>
      <c r="HG17" s="3" t="str">
        <f>_xlfn.XLOOKUP(B17,QUERY!$C:$C,QUERY!BH:BH)</f>
        <v>KILO,KILO,KILO,KILO,KILO,KILO,KILO</v>
      </c>
      <c r="HH17" s="3">
        <f>_xlfn.XLOOKUP(B17,QUERY!$C:$C,QUERY!BI:BI)</f>
        <v>0</v>
      </c>
      <c r="HI17" s="3" t="str">
        <f>_xlfn.XLOOKUP(B17,QUERY!$C:$C,QUERY!BJ:BJ)</f>
        <v>ALEMANIA (REPUBLICA FEDERAL DE),AUSTRIA (REPUBLICA DE)</v>
      </c>
      <c r="HJ17" s="3" t="str">
        <f>_xlfn.XLOOKUP(B17,QUERY!$C:$C,QUERY!BK:BK)</f>
        <v>PAISES BAJOS (REINO DE LOS) (HOLANDA)</v>
      </c>
      <c r="HK17" s="3" t="str">
        <f>_xlfn.XLOOKUP(B17,QUERY!$C:$C,QUERY!BL:BL)</f>
        <v>AUT,DEU</v>
      </c>
      <c r="HL17" s="3" t="str">
        <f>_xlfn.XLOOKUP(B17,QUERY!$C:$C,QUERY!BM:BM)</f>
        <v>ZYA</v>
      </c>
      <c r="HM17" s="3">
        <f>_xlfn.XLOOKUP(B17,QUERY!$C:$C,QUERY!BN:BN)</f>
        <v>5941983</v>
      </c>
      <c r="HN17" s="3" t="str">
        <f>_xlfn.XLOOKUP(B17,QUERY!$C:$C,QUERY!BO:BO)</f>
        <v>27166.00</v>
      </c>
      <c r="HO17" s="3" t="str">
        <f>_xlfn.XLOOKUP(B17,QUERY!$C:$C,QUERY!BP:BP)</f>
        <v>NULL</v>
      </c>
      <c r="HP17" s="3" t="str">
        <f>_xlfn.XLOOKUP(B17,QUERY!$C:$C,QUERY!BQ:BQ)</f>
        <v>339570.00</v>
      </c>
      <c r="HQ17" s="3" t="str">
        <f>_xlfn.XLOOKUP(B17,QUERY!$C:$C,QUERY!BR:BR)</f>
        <v>130942.87</v>
      </c>
      <c r="HR17" s="3">
        <f>_xlfn.XLOOKUP(B17,QUERY!$C:$C,QUERY!BS:BS)</f>
        <v>0</v>
      </c>
      <c r="HS17" s="3">
        <f>_xlfn.XLOOKUP(B17,QUERY!$C:$C,QUERY!BT:BT)</f>
        <v>0</v>
      </c>
      <c r="HT17" s="3" t="str">
        <f>_xlfn.XLOOKUP(B17,QUERY!$C:$C,QUERY!A:A)</f>
        <v>VERACRUZ</v>
      </c>
      <c r="HU17" s="3" t="str">
        <f>_xlfn.XLOOKUP(B17,QUERY!$C:$C,QUERY!B:B)</f>
        <v>MARÍTIMO VERACRUZ</v>
      </c>
    </row>
    <row r="18" spans="1:229" x14ac:dyDescent="0.25">
      <c r="A18" s="3" t="s">
        <v>90</v>
      </c>
      <c r="B18" s="8" t="s">
        <v>128</v>
      </c>
      <c r="C18" s="3">
        <v>3942</v>
      </c>
      <c r="D18" s="3">
        <v>6000095</v>
      </c>
      <c r="E18" s="3"/>
      <c r="F18" s="3" t="s">
        <v>92</v>
      </c>
      <c r="G18" s="3" t="s">
        <v>93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430</v>
      </c>
      <c r="S18" s="3" t="s">
        <v>129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 t="s">
        <v>136</v>
      </c>
      <c r="AB18" s="3"/>
      <c r="AC18" s="3">
        <v>404270</v>
      </c>
      <c r="AD18" s="3">
        <v>721.91070999999999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/>
      <c r="AP18" s="3" t="s">
        <v>98</v>
      </c>
      <c r="AQ18" s="3">
        <v>210360279</v>
      </c>
      <c r="AR18" s="3" t="s">
        <v>99</v>
      </c>
      <c r="AS18" s="3" t="s">
        <v>100</v>
      </c>
      <c r="AT18" s="3">
        <v>0</v>
      </c>
      <c r="AU18" s="3">
        <v>0</v>
      </c>
      <c r="AV18" s="3">
        <v>0</v>
      </c>
      <c r="AW18" s="3">
        <v>30049099</v>
      </c>
      <c r="AX18" s="3">
        <v>99</v>
      </c>
      <c r="AY18" s="3">
        <v>560</v>
      </c>
      <c r="AZ18" s="3">
        <v>560</v>
      </c>
      <c r="BA18" s="3" t="s">
        <v>103</v>
      </c>
      <c r="BB18" s="3"/>
      <c r="BC18" s="3" t="s">
        <v>133</v>
      </c>
      <c r="BD18" s="3" t="s">
        <v>105</v>
      </c>
      <c r="BE18" s="3"/>
      <c r="BF18" s="3"/>
      <c r="BG18" s="5"/>
      <c r="BH18" s="3"/>
      <c r="BI18" s="3"/>
      <c r="BJ18" s="3"/>
      <c r="BK18" s="3" t="s">
        <v>134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 t="s">
        <v>111</v>
      </c>
      <c r="CF18" s="3">
        <v>0</v>
      </c>
      <c r="CG18" s="3">
        <v>0</v>
      </c>
      <c r="CH18" s="3">
        <v>0</v>
      </c>
      <c r="CI18" s="3" t="s">
        <v>112</v>
      </c>
      <c r="CJ18" s="3" t="s">
        <v>112</v>
      </c>
      <c r="CK18" s="3">
        <f>_xlfn.XLOOKUP($B$2,'BASE DE EXCEL'!C:C,'BASE DE EXCEL'!D:D,"NO HAY REFERENCIA")</f>
        <v>470</v>
      </c>
      <c r="CL18" s="5">
        <f>_xlfn.XLOOKUP($B$2,'BASE DE EXCEL'!$C:$C,'BASE DE EXCEL'!F:F,"NO HAY REFERENCIA")</f>
        <v>3</v>
      </c>
      <c r="CM18" s="4">
        <f>_xlfn.XLOOKUP($B$2,'BASE DE EXCEL'!$C:$C,'BASE DE EXCEL'!G:G,"NO HAY REFERENCIA")</f>
        <v>46080</v>
      </c>
      <c r="CN18" s="4">
        <f>_xlfn.XLOOKUP($B$2,'BASE DE EXCEL'!$C:$C,'BASE DE EXCEL'!H:H,"NO HAY REFERENCIA")</f>
        <v>46086</v>
      </c>
      <c r="CO18" s="3">
        <f>_xlfn.XLOOKUP($B$2,'BASE DE EXCEL'!$C:$C,'BASE DE EXCEL'!I:I,"NO HAY REFERENCIA")</f>
        <v>4</v>
      </c>
      <c r="CP18" s="3" t="str">
        <f>_xlfn.XLOOKUP($B$2,'BASE DE EXCEL'!$C:$C,'BASE DE EXCEL'!J:J,"NO HAY REFERENCIA")</f>
        <v>4 a 5 días</v>
      </c>
      <c r="CQ18" s="4">
        <f>_xlfn.XLOOKUP($B$2,'BASE DE EXCEL'!$C:$C,'BASE DE EXCEL'!K:K,"NO HAY REFERENCIA")</f>
        <v>46087</v>
      </c>
      <c r="CR18" s="3">
        <f>_xlfn.XLOOKUP($B$2,'BASE DE EXCEL'!$C:$C,'BASE DE EXCEL'!L:L,"NO HAY REFERENCIA")</f>
        <v>5</v>
      </c>
      <c r="CS18" s="3">
        <f>_xlfn.XLOOKUP($B$2,'BASE DE EXCEL'!$C:$C,'BASE DE EXCEL'!M:M,"NO HAY REFERENCIA")</f>
        <v>6</v>
      </c>
      <c r="CT18" s="3" t="str">
        <f>_xlfn.XLOOKUP($B$2,'BASE DE EXCEL'!$C:$C,'BASE DE EXCEL'!N:N,"NO HAY REFERENCIA")</f>
        <v>6 a 10 días</v>
      </c>
      <c r="CU18" s="3" t="str">
        <f>_xlfn.XLOOKUP($B$2,'BASE DE EXCEL'!$C:$C,'BASE DE EXCEL'!O:O,"NO HAY REFERENCIA")</f>
        <v>On Time</v>
      </c>
      <c r="CV18" s="3" t="str">
        <f>_xlfn.XLOOKUP(B18,'BASE DE EXCEL'!$C:$C,'BASE DE EXCEL'!P:P,"NO HAY REFERENCIA")</f>
        <v>2 a 3 días</v>
      </c>
      <c r="CW18" s="4">
        <f>_xlfn.XLOOKUP(B18,'BASE DE EXCEL'!$C:$C,'BASE DE EXCEL'!Q:Q,"NO HAY REFERENCIA")</f>
        <v>46048</v>
      </c>
      <c r="CX18" s="3">
        <f>_xlfn.XLOOKUP(B18,'BASE DE EXCEL'!$C:$C,'BASE DE EXCEL'!R:R,"NO HAY REFERENCIA")</f>
        <v>4</v>
      </c>
      <c r="CY18" s="3" t="str">
        <f>_xlfn.XLOOKUP(B18,'BASE DE EXCEL'!$C:$C,'BASE DE EXCEL'!S:S,"NO HAY REFERENCIA")</f>
        <v>4 a 5 días</v>
      </c>
      <c r="CZ18" s="3" t="str">
        <f>_xlfn.XLOOKUP(B18,'BASE DE EXCEL'!$C:$C,'BASE DE EXCEL'!T:T,"NO HAY REFERENCIA")</f>
        <v>On Time</v>
      </c>
      <c r="DA18" s="3">
        <f>_xlfn.XLOOKUP(B18,'BASE DE EXCEL'!$C:$C,'BASE DE EXCEL'!U:U,"NO HAY REFERENCIA")</f>
        <v>5</v>
      </c>
      <c r="DB18" s="3" t="str">
        <f>_xlfn.XLOOKUP(B18,'BASE DE EXCEL'!$C:$C,'BASE DE EXCEL'!V:V,"NO HAY REFERENCIA")</f>
        <v>2 a 3 días</v>
      </c>
      <c r="DC18" s="3">
        <f>_xlfn.XLOOKUP(B18,'BASE DE EXCEL'!$C:$C,'BASE DE EXCEL'!W:W,"NO HAY REFERENCIA")</f>
        <v>9</v>
      </c>
      <c r="DD18" s="3" t="str">
        <f>_xlfn.XLOOKUP(B18,'BASE DE EXCEL'!$C:$C,'BASE DE EXCEL'!X:X,"NO HAY REFERENCIA")</f>
        <v>6 a 10 días</v>
      </c>
      <c r="DE18" s="3">
        <f>_xlfn.XLOOKUP(B18,'BASE DE EXCEL'!$C:$C,'BASE DE EXCEL'!Y:Y,"NO HAY REFERENCIA")</f>
        <v>1</v>
      </c>
      <c r="DF18" s="3" t="str">
        <f>_xlfn.XLOOKUP(B18,'BASE DE EXCEL'!$C:$C,'BASE DE EXCEL'!Z:Z,"NO HAY REFERENCIA")</f>
        <v>1 día o menos</v>
      </c>
      <c r="DG18" s="3">
        <f>_xlfn.XLOOKUP(B18,'BASE DE EXCEL'!$C:$C,'BASE DE EXCEL'!AA:AA,"NO HAY REFERENCIA")</f>
        <v>2</v>
      </c>
      <c r="DH18" s="3">
        <f>_xlfn.XLOOKUP(B18,'BASE DE EXCEL'!$C:$C,'BASE DE EXCEL'!AB:AB,"NO HAY REFERENCIA")</f>
        <v>2</v>
      </c>
      <c r="DI18" s="3" t="str">
        <f>_xlfn.XLOOKUP(B18,'BASE DE EXCEL'!$C:$C,'BASE DE EXCEL'!AC:AC,"NO HAY REFERENCIA")</f>
        <v>2 a 3 días</v>
      </c>
      <c r="DJ18" s="4">
        <f>_xlfn.XLOOKUP(B18,'BASE DE EXCEL'!$C:$C,'BASE DE EXCEL'!AD:AD,"NO HAY REFERENCIA")</f>
        <v>46056</v>
      </c>
      <c r="DK18" s="3">
        <f>_xlfn.XLOOKUP(B18,'BASE DE EXCEL'!$C:$C,'BASE DE EXCEL'!AE:AE,"NO HAY REFERENCIA")</f>
        <v>8</v>
      </c>
      <c r="DL18" s="3">
        <f>_xlfn.XLOOKUP(B18,'BASE DE EXCEL'!$C:$C,'BASE DE EXCEL'!AF:AF,"NO HAY REFERENCIA")</f>
        <v>6</v>
      </c>
      <c r="DM18" s="4">
        <f>_xlfn.XLOOKUP(B18,'BASE DE EXCEL'!$C:$C,'BASE DE EXCEL'!AG:AG,"NO HAY REFERENCIA")</f>
        <v>46056</v>
      </c>
      <c r="DN18" s="4">
        <f>_xlfn.XLOOKUP(B18,'BASE DE EXCEL'!$C:$C,'BASE DE EXCEL'!AH:AH,"NO HAY REFERENCIA")</f>
        <v>46056</v>
      </c>
      <c r="DO18" s="3">
        <f>_xlfn.XLOOKUP(B18,'BASE DE EXCEL'!$C:$C,'BASE DE EXCEL'!AI:AI,"NO HAY REFERENCIA")</f>
        <v>0</v>
      </c>
      <c r="DP18" s="4" t="str">
        <f>_xlfn.XLOOKUP(B18,'BASE DE EXCEL'!$C:$C,'BASE DE EXCEL'!AJ:AJ,"NO HAY REFERENCIA")</f>
        <v>6 a 10 días</v>
      </c>
      <c r="DQ18" s="4">
        <f>_xlfn.XLOOKUP(B18,'BASE DE EXCEL'!$C:$C,'BASE DE EXCEL'!AK:AK,"NO HAY REFERENCIA")</f>
        <v>46056</v>
      </c>
      <c r="DR18" s="3">
        <f>_xlfn.XLOOKUP(B18,'BASE DE EXCEL'!$C:$C,'BASE DE EXCEL'!AL:AL,"NO HAY REFERENCIA")</f>
        <v>6</v>
      </c>
      <c r="DS18" s="3" t="str">
        <f>_xlfn.XLOOKUP(B18,'BASE DE EXCEL'!$C:$C,'BASE DE EXCEL'!AM:AM,"NO HAY REFERENCIA")</f>
        <v>6 a 10 días</v>
      </c>
      <c r="DT18" s="3" t="str">
        <f>_xlfn.XLOOKUP(B18,'BASE DE EXCEL'!$C:$C,'BASE DE EXCEL'!AN:AN,"NO HAY REFERENCIA")</f>
        <v>On Time</v>
      </c>
      <c r="DU18" s="3">
        <f>_xlfn.XLOOKUP(B18,'BASE DE EXCEL'!$C:$C,'BASE DE EXCEL'!AO:AO,"NO HAY REFERENCIA")</f>
        <v>1</v>
      </c>
      <c r="DV18" s="3" t="str">
        <f>_xlfn.XLOOKUP(B18,'BASE DE EXCEL'!$C:$C,'BASE DE EXCEL'!AP:AP,"NO HAY REFERENCIA")</f>
        <v>Es anterior</v>
      </c>
      <c r="DW18" s="3" t="str">
        <f>_xlfn.XLOOKUP(B18,'BASE DE EXCEL'!$C:$C,'BASE DE EXCEL'!AQ:AQ,"NO HAY REFERENCIA")</f>
        <v>A1</v>
      </c>
      <c r="DX18" s="3" t="str">
        <f>_xlfn.XLOOKUP(B18,'BASE DE EXCEL'!$C:$C,'BASE DE EXCEL'!AR:AR,"NO HAY REFERENCIA")</f>
        <v>ZULEIMA PEREZ RUIZ</v>
      </c>
      <c r="DY18" s="3" t="str">
        <f>_xlfn.XLOOKUP(B18,'BASE DE EXCEL'!$C:$C,'BASE DE EXCEL'!AS:AS,"NO HAY REFERENCIA")</f>
        <v>HLCUANR251210340</v>
      </c>
      <c r="DZ18" s="3" t="str">
        <f>_xlfn.XLOOKUP(B18,'BASE DE EXCEL'!$C:$C,'BASE DE EXCEL'!AT:AT,"NO HAY REFERENCIA")</f>
        <v>NULL</v>
      </c>
      <c r="EA18" s="3">
        <f>_xlfn.XLOOKUP(B18,'BASE DE EXCEL'!$C:$C,'BASE DE EXCEL'!AU:AU,"NO HAY REFERENCIA")</f>
        <v>6000095</v>
      </c>
      <c r="EB18" s="3" t="str">
        <f>_xlfn.XLOOKUP(B18,'BASE DE EXCEL'!$C:$C,'BASE DE EXCEL'!AV:AV,"NO HAY REFERENCIA")</f>
        <v>Importación</v>
      </c>
      <c r="EC18" s="3" t="str">
        <f>_xlfn.XLOOKUP(B18,'BASE DE EXCEL'!$C:$C,'BASE DE EXCEL'!AW:AW,"NO HAY REFERENCIA")</f>
        <v>IMPLEMAX (MEDICAMENTO DOSIFICADO DE USO VETERINARIO)</v>
      </c>
      <c r="ED18" s="3" t="str">
        <f>_xlfn.XLOOKUP(B18,'BASE DE EXCEL'!$C:$C,'BASE DE EXCEL'!AX:AX,"NO HAY REFERENCIA")</f>
        <v>SIN CLASIFICACION</v>
      </c>
      <c r="EE18" s="3">
        <f>_xlfn.XLOOKUP(B18,'BASE DE EXCEL'!$C:$C,'BASE DE EXCEL'!AY:AY,"NO HAY REFERENCIA")</f>
        <v>0</v>
      </c>
      <c r="EF18" s="3" t="str">
        <f>_xlfn.XLOOKUP(B18,'BASE DE EXCEL'!$C:$C,'BASE DE EXCEL'!AZ:AZ,"NO HAY REFERENCIA")</f>
        <v>Cargas de Importación</v>
      </c>
      <c r="EG18" s="3" t="str">
        <f>_xlfn.XLOOKUP(B18,'BASE DE EXCEL'!$C:$C,'BASE DE EXCEL'!BA:BA,"NO HAY REFERENCIA")</f>
        <v>INTERVET MEXICO SA DE CV</v>
      </c>
      <c r="EH18" s="3">
        <f>_xlfn.XLOOKUP(B18,'BASE DE EXCEL'!$C:$C,'BASE DE EXCEL'!BB:BB,"NO HAY REFERENCIA")</f>
        <v>0</v>
      </c>
      <c r="EI18" s="3">
        <f>_xlfn.XLOOKUP(B18,'BASE DE EXCEL'!$C:$C,'BASE DE EXCEL'!BC:BC,"NO HAY REFERENCIA")</f>
        <v>0</v>
      </c>
      <c r="EJ18" s="3">
        <f>_xlfn.XLOOKUP(B18,'BASE DE EXCEL'!$C:$C,'BASE DE EXCEL'!BD:BD,"NO HAY REFERENCIA")</f>
        <v>0</v>
      </c>
      <c r="EK18" s="3">
        <f>_xlfn.XLOOKUP(B18,'BASE DE EXCEL'!$C:$C,'BASE DE EXCEL'!BE:BE,"NO HAY REFERENCIA")</f>
        <v>0</v>
      </c>
      <c r="EL18" s="3" t="str">
        <f>_xlfn.XLOOKUP(B18,'BASE DE EXCEL'!$C:$C,'BASE DE EXCEL'!BF:BF,"NO HAY REFERENCIA")</f>
        <v>PRODUCTO TERMINADO</v>
      </c>
      <c r="EM18" s="3" t="str">
        <f>_xlfn.XLOOKUP(B18,'BASE DE EXCEL'!$C:$C,'BASE DE EXCEL'!BG:BG,"NO HAY REFERENCIA")</f>
        <v>Verde</v>
      </c>
      <c r="EN18" s="3" t="str">
        <f>_xlfn.XLOOKUP(B18,'BASE DE EXCEL'!$C:$C,'BASE DE EXCEL'!BH:BH,"NO HAY REFERENCIA")</f>
        <v xml:space="preserve"> SUPER EXPRESS DE CARGA FEDERAL S.A. DE C.V.</v>
      </c>
      <c r="EO18" s="3">
        <f>_xlfn.XLOOKUP(B18,'BASE DE EXCEL'!$C:$C,'BASE DE EXCEL'!BI:BI,"NO HAY REFERENCIA")</f>
        <v>0</v>
      </c>
      <c r="EP18" s="3" t="str">
        <f>_xlfn.XLOOKUP(B18,'BASE DE EXCEL'!$C:$C,'BASE DE EXCEL'!BJ:BJ,"NO HAY REFERENCIA")</f>
        <v>IME-T005</v>
      </c>
      <c r="EQ18" s="3" t="str">
        <f>_xlfn.XLOOKUP(B18,'BASE DE EXCEL'!$C:$C,'BASE DE EXCEL'!BK:BK,"NO HAY REFERENCIA")</f>
        <v>IME850329RH2</v>
      </c>
      <c r="ER18" s="3">
        <f>_xlfn.XLOOKUP(B18,'BASE DE EXCEL'!$C:$C,'BASE DE EXCEL'!BL:BL,"NO HAY REFERENCIA")</f>
        <v>0</v>
      </c>
      <c r="ES18" s="3" t="str">
        <f>_xlfn.XLOOKUP(B18,'BASE DE EXCEL'!$C:$C,'BASE DE EXCEL'!BM:BM,"NO HAY REFERENCIA")</f>
        <v>00,99</v>
      </c>
      <c r="ET18" s="3" t="str">
        <f>_xlfn.XLOOKUP(B18,'BASE DE EXCEL'!$C:$C,'BASE DE EXCEL'!BN:BN,"NO HAY REFERENCIA")</f>
        <v>LOTE: A669T01,LOTE: 25E4006C01,LOTE: 25N4017A02,LOTE: 25N3005A08,LOTE: 25N1002A12,LOTE: 5732106,LOTE: 5660103</v>
      </c>
      <c r="EU18" s="3">
        <f>_xlfn.XLOOKUP(B18,'BASE DE EXCEL'!$C:$C,'BASE DE EXCEL'!BO:BO,"NO HAY REFERENCIA")</f>
        <v>90</v>
      </c>
      <c r="EV18" s="3" t="str">
        <f>_xlfn.XLOOKUP(B18,'BASE DE EXCEL'!$C:$C,'BASE DE EXCEL'!BP:BP,"NO HAY REFERENCIA")</f>
        <v xml:space="preserve"> 5475856.92, 466125.84</v>
      </c>
      <c r="EW18" s="3" t="str">
        <f>_xlfn.XLOOKUP(B18,'BASE DE EXCEL'!$C:$C,'BASE DE EXCEL'!BQ:BQ,"NO HAY REFERENCIA")</f>
        <v>KILO,KILO,KILO,KILO,KILO,KILO,KILO</v>
      </c>
      <c r="EX18" s="3">
        <f>_xlfn.XLOOKUP(B18,'BASE DE EXCEL'!$C:$C,'BASE DE EXCEL'!BR:BR,"NO HAY REFERENCIA")</f>
        <v>0</v>
      </c>
      <c r="EY18" s="3" t="str">
        <f>_xlfn.XLOOKUP(B18,'BASE DE EXCEL'!$C:$C,'BASE DE EXCEL'!BS:BS,"NO HAY REFERENCIA")</f>
        <v>ALEMANIA (REPUBLICA FEDERAL DE),AUSTRIA (REPUBLICA DE)</v>
      </c>
      <c r="EZ18" s="3" t="str">
        <f>_xlfn.XLOOKUP(B18,'BASE DE EXCEL'!$C:$C,'BASE DE EXCEL'!BT:BT,"NO HAY REFERENCIA")</f>
        <v>PAISES BAJOS (REINO DE LOS) (HOLANDA)</v>
      </c>
      <c r="FA18" s="3" t="str">
        <f>_xlfn.XLOOKUP(B18,'BASE DE EXCEL'!$C:$C,'BASE DE EXCEL'!BU:BU,"NO HAY REFERENCIA")</f>
        <v>AUT,DEU</v>
      </c>
      <c r="FB18" s="3" t="str">
        <f>_xlfn.XLOOKUP(B18,'BASE DE EXCEL'!$C:$C,'BASE DE EXCEL'!BV:BV,"NO HAY REFERENCIA")</f>
        <v>ZYA</v>
      </c>
      <c r="FC18" s="3">
        <f>_xlfn.XLOOKUP(B18,QUERY!$C:$C,QUERY!D:D)</f>
        <v>430</v>
      </c>
      <c r="FD18" s="4">
        <f>_xlfn.XLOOKUP(B18,QUERY!$C:$C,QUERY!E:E)</f>
        <v>46045</v>
      </c>
      <c r="FE18" s="3">
        <f>_xlfn.XLOOKUP(B18,QUERY!$C:$C,QUERY!F:F)</f>
        <v>1</v>
      </c>
      <c r="FF18" s="4">
        <f>_xlfn.XLOOKUP(B18,QUERY!$C:$C,QUERY!G:G)</f>
        <v>46043</v>
      </c>
      <c r="FG18" s="4">
        <f>_xlfn.XLOOKUP(B18,QUERY!$C:$C,QUERY!H:H)</f>
        <v>46045</v>
      </c>
      <c r="FH18" s="3">
        <f>_xlfn.XLOOKUP(B18,QUERY!$C:$C,QUERY!I:I)</f>
        <v>2</v>
      </c>
      <c r="FI18" s="3" t="str">
        <f>_xlfn.XLOOKUP(B18,QUERY!$C:$C,QUERY!J:J)</f>
        <v>2 a 3 días</v>
      </c>
      <c r="FJ18" s="4">
        <f>_xlfn.XLOOKUP(B18,QUERY!$C:$C,QUERY!K:K)</f>
        <v>46046</v>
      </c>
      <c r="FK18" s="3">
        <f>_xlfn.XLOOKUP(B18,QUERY!$C:$C,QUERY!L:L)</f>
        <v>2</v>
      </c>
      <c r="FL18" s="3" t="str">
        <f>_xlfn.XLOOKUP(B18,QUERY!$C:$C,QUERY!M:M)</f>
        <v>2 a 3 días</v>
      </c>
      <c r="FM18" s="3">
        <f>_xlfn.XLOOKUP(B18,QUERY!$C:$C,QUERY!N:N)</f>
        <v>1</v>
      </c>
      <c r="FN18" s="3" t="str">
        <f>_xlfn.XLOOKUP(B18,QUERY!$C:$C,QUERY!O:O)</f>
        <v>1 día o menos</v>
      </c>
      <c r="FO18" s="3">
        <f>_xlfn.XLOOKUP(B18,QUERY!$C:$C,QUERY!P:P)</f>
        <v>1</v>
      </c>
      <c r="FP18" s="3">
        <f>_xlfn.XLOOKUP(B18,QUERY!$C:$C,QUERY!Q:Q)</f>
        <v>2</v>
      </c>
      <c r="FQ18" s="3" t="str">
        <f>_xlfn.XLOOKUP(B18,QUERY!$C:$C,QUERY!R:R)</f>
        <v>2 a 3 días</v>
      </c>
      <c r="FR18" s="4">
        <f>_xlfn.XLOOKUP(B18,QUERY!$C:$C,QUERY!S:S)</f>
        <v>46048</v>
      </c>
      <c r="FS18" s="3">
        <f>_xlfn.XLOOKUP(B18,QUERY!$C:$C,QUERY!T:T)</f>
        <v>3</v>
      </c>
      <c r="FT18" s="3" t="str">
        <f>_xlfn.XLOOKUP(B18,QUERY!$C:$C,QUERY!U:U)</f>
        <v>2 a 3 días</v>
      </c>
      <c r="FU18" s="3">
        <f>_xlfn.XLOOKUP(B18,QUERY!$C:$C,QUERY!V:V)</f>
        <v>9</v>
      </c>
      <c r="FV18" s="3" t="str">
        <f>_xlfn.XLOOKUP(B18,QUERY!$C:$C,QUERY!W:W)</f>
        <v>6 a 10 días</v>
      </c>
      <c r="FW18" s="4">
        <f>_xlfn.XLOOKUP(B18,QUERY!$C:$C,QUERY!X:X)</f>
        <v>46056</v>
      </c>
      <c r="FX18" s="3">
        <f>_xlfn.XLOOKUP(B18,QUERY!$C:$C,QUERY!Y:Y)</f>
        <v>6</v>
      </c>
      <c r="FY18" s="3">
        <f>_xlfn.XLOOKUP(B18,QUERY!$C:$C,QUERY!Z:Z)</f>
        <v>6</v>
      </c>
      <c r="FZ18" s="4" t="str">
        <f>_xlfn.XLOOKUP(B18,QUERY!$C:$C,QUERY!AA:AA)</f>
        <v>6 a 10 días</v>
      </c>
      <c r="GA18" s="4">
        <f>_xlfn.XLOOKUP(B18,QUERY!$C:$C,QUERY!AB:AB)</f>
        <v>46056</v>
      </c>
      <c r="GB18" s="4">
        <f>_xlfn.XLOOKUP(B18,QUERY!$C:$C,QUERY!AC:AC)</f>
        <v>46056</v>
      </c>
      <c r="GC18" s="3">
        <f>_xlfn.XLOOKUP(B18,QUERY!$C:$C,QUERY!AD:AD)</f>
        <v>0</v>
      </c>
      <c r="GD18" s="4">
        <f>_xlfn.XLOOKUP(B18,QUERY!$C:$C,QUERY!AE:AE)</f>
        <v>46056</v>
      </c>
      <c r="GE18" s="3">
        <f>_xlfn.XLOOKUP(B18,QUERY!$C:$C,QUERY!AF:AF)</f>
        <v>1</v>
      </c>
      <c r="GF18" s="4" t="str">
        <f>_xlfn.XLOOKUP(B18,QUERY!$C:$C,QUERY!AG:AG)</f>
        <v>Es anterior</v>
      </c>
      <c r="GG18" s="3" t="str">
        <f>_xlfn.XLOOKUP(B18,QUERY!$C:$C,QUERY!AH:AH)</f>
        <v>A1</v>
      </c>
      <c r="GH18" s="3" t="str">
        <f>_xlfn.XLOOKUP(B18,QUERY!$C:$C,QUERY!AI:AI)</f>
        <v>ZULEIMA PEREZ RUIZ</v>
      </c>
      <c r="GI18" s="3" t="str">
        <f>_xlfn.XLOOKUP(B18,QUERY!$C:$C,QUERY!AJ:AJ)</f>
        <v>HLCUANR251210340</v>
      </c>
      <c r="GJ18" s="3" t="str">
        <f>_xlfn.XLOOKUP(B18,QUERY!$C:$C,QUERY!AK:AK)</f>
        <v>NULL</v>
      </c>
      <c r="GK18" s="3">
        <f>_xlfn.XLOOKUP(B18,QUERY!$C:$C,QUERY!AL:AL)</f>
        <v>6000095</v>
      </c>
      <c r="GL18" s="3" t="str">
        <f>_xlfn.XLOOKUP(B18,QUERY!$C:$C,QUERY!AM:AM)</f>
        <v>Importación</v>
      </c>
      <c r="GM18" s="3" t="str">
        <f>_xlfn.XLOOKUP(B18,QUERY!$C:$C,QUERY!AN:AN)</f>
        <v>IMPLEMAX (MEDICAMENTO DOSIFICADO DE USO VETERINARIO)</v>
      </c>
      <c r="GN18" s="3" t="str">
        <f>_xlfn.XLOOKUP(B18,QUERY!$C:$C,QUERY!AO:AO)</f>
        <v>SIN CLASIFICACION</v>
      </c>
      <c r="GO18" s="3">
        <f>_xlfn.XLOOKUP(B18,QUERY!$C:$C,QUERY!AP:AP)</f>
        <v>0</v>
      </c>
      <c r="GP18" s="3" t="str">
        <f>_xlfn.XLOOKUP(B18,QUERY!$C:$C,QUERY!AQ:AQ)</f>
        <v>Cargas de Importación</v>
      </c>
      <c r="GQ18" s="3" t="str">
        <f>_xlfn.XLOOKUP(B18,QUERY!$C:$C,QUERY!AR:AR)</f>
        <v>INTERVET MEXICO SA DE CV</v>
      </c>
      <c r="GR18" s="3">
        <f>_xlfn.XLOOKUP(B18,QUERY!$C:$C,QUERY!AS:AS)</f>
        <v>0</v>
      </c>
      <c r="GS18" s="3">
        <f>_xlfn.XLOOKUP(B18,QUERY!$C:$C,QUERY!AT:AT)</f>
        <v>0</v>
      </c>
      <c r="GT18" s="3">
        <f>_xlfn.XLOOKUP(B18,QUERY!$C:$C,QUERY!AU:AU)</f>
        <v>0</v>
      </c>
      <c r="GU18" s="3">
        <f>_xlfn.XLOOKUP(B18,QUERY!$C:$C,QUERY!AV:AV)</f>
        <v>0</v>
      </c>
      <c r="GV18" s="3" t="str">
        <f>_xlfn.XLOOKUP(B18,QUERY!$C:$C,QUERY!AW:AW)</f>
        <v>PRODUCTO TERMINADO</v>
      </c>
      <c r="GW18" s="3" t="str">
        <f>_xlfn.XLOOKUP(B18,QUERY!$C:$C,QUERY!AX:AX)</f>
        <v>Verde</v>
      </c>
      <c r="GX18" s="3" t="str">
        <f>_xlfn.XLOOKUP(B18,QUERY!$C:$C,QUERY!AY:AY)</f>
        <v xml:space="preserve"> SUPER EXPRESS DE CARGA FEDERAL S.A. DE C.V.</v>
      </c>
      <c r="GY18" s="3">
        <f>_xlfn.XLOOKUP(B18,QUERY!$C:$C,QUERY!AZ:AZ)</f>
        <v>0</v>
      </c>
      <c r="GZ18" s="3" t="str">
        <f>_xlfn.XLOOKUP(B18,QUERY!$C:$C,QUERY!BA:BA)</f>
        <v>IME-T005</v>
      </c>
      <c r="HA18" s="3" t="str">
        <f>_xlfn.XLOOKUP(B18,QUERY!$C:$C,QUERY!BB:BB)</f>
        <v>IME850329RH2</v>
      </c>
      <c r="HB18" s="3">
        <f>_xlfn.XLOOKUP(B18,QUERY!$C:$C,QUERY!BC:BC)</f>
        <v>0</v>
      </c>
      <c r="HC18" s="3">
        <f>_xlfn.XLOOKUP(B18,QUERY!$C:$C,QUERY!BD:BD)</f>
        <v>0.99</v>
      </c>
      <c r="HD18" s="3" t="str">
        <f>_xlfn.XLOOKUP(B18,QUERY!$C:$C,QUERY!BE:BE)</f>
        <v>LOTE: A669T01,LOTE: 25E4006C01,LOTE: 25N4017A02,LOTE: 25N3005A08,LOTE: 25N1002A12,LOTE: 5732106,LOTE: 5660103</v>
      </c>
      <c r="HE18" s="3">
        <f>_xlfn.XLOOKUP(B18,QUERY!$C:$C,QUERY!BF:BF)</f>
        <v>90</v>
      </c>
      <c r="HF18" s="3" t="str">
        <f>_xlfn.XLOOKUP(B18,QUERY!$C:$C,QUERY!BG:BG)</f>
        <v xml:space="preserve"> 5475856.92, 466125.84</v>
      </c>
      <c r="HG18" s="3" t="str">
        <f>_xlfn.XLOOKUP(B18,QUERY!$C:$C,QUERY!BH:BH)</f>
        <v>KILO,KILO,KILO,KILO,KILO,KILO,KILO</v>
      </c>
      <c r="HH18" s="3">
        <f>_xlfn.XLOOKUP(B18,QUERY!$C:$C,QUERY!BI:BI)</f>
        <v>0</v>
      </c>
      <c r="HI18" s="3" t="str">
        <f>_xlfn.XLOOKUP(B18,QUERY!$C:$C,QUERY!BJ:BJ)</f>
        <v>ALEMANIA (REPUBLICA FEDERAL DE),AUSTRIA (REPUBLICA DE)</v>
      </c>
      <c r="HJ18" s="3" t="str">
        <f>_xlfn.XLOOKUP(B18,QUERY!$C:$C,QUERY!BK:BK)</f>
        <v>PAISES BAJOS (REINO DE LOS) (HOLANDA)</v>
      </c>
      <c r="HK18" s="3" t="str">
        <f>_xlfn.XLOOKUP(B18,QUERY!$C:$C,QUERY!BL:BL)</f>
        <v>AUT,DEU</v>
      </c>
      <c r="HL18" s="3" t="str">
        <f>_xlfn.XLOOKUP(B18,QUERY!$C:$C,QUERY!BM:BM)</f>
        <v>ZYA</v>
      </c>
      <c r="HM18" s="3">
        <f>_xlfn.XLOOKUP(B18,QUERY!$C:$C,QUERY!BN:BN)</f>
        <v>5941983</v>
      </c>
      <c r="HN18" s="3" t="str">
        <f>_xlfn.XLOOKUP(B18,QUERY!$C:$C,QUERY!BO:BO)</f>
        <v>27166.00</v>
      </c>
      <c r="HO18" s="3" t="str">
        <f>_xlfn.XLOOKUP(B18,QUERY!$C:$C,QUERY!BP:BP)</f>
        <v>NULL</v>
      </c>
      <c r="HP18" s="3" t="str">
        <f>_xlfn.XLOOKUP(B18,QUERY!$C:$C,QUERY!BQ:BQ)</f>
        <v>339570.00</v>
      </c>
      <c r="HQ18" s="3" t="str">
        <f>_xlfn.XLOOKUP(B18,QUERY!$C:$C,QUERY!BR:BR)</f>
        <v>130942.87</v>
      </c>
      <c r="HR18" s="3">
        <f>_xlfn.XLOOKUP(B18,QUERY!$C:$C,QUERY!BS:BS)</f>
        <v>0</v>
      </c>
      <c r="HS18" s="3">
        <f>_xlfn.XLOOKUP(B18,QUERY!$C:$C,QUERY!BT:BT)</f>
        <v>0</v>
      </c>
      <c r="HT18" s="3" t="str">
        <f>_xlfn.XLOOKUP(B18,QUERY!$C:$C,QUERY!A:A)</f>
        <v>VERACRUZ</v>
      </c>
      <c r="HU18" s="3" t="str">
        <f>_xlfn.XLOOKUP(B18,QUERY!$C:$C,QUERY!B:B)</f>
        <v>MARÍTIMO VERACRUZ</v>
      </c>
    </row>
    <row r="19" spans="1:229" x14ac:dyDescent="0.25">
      <c r="A19" s="3" t="s">
        <v>90</v>
      </c>
      <c r="B19" s="8" t="s">
        <v>128</v>
      </c>
      <c r="C19" s="3">
        <v>3942</v>
      </c>
      <c r="D19" s="3">
        <v>6000095</v>
      </c>
      <c r="E19" s="3"/>
      <c r="F19" s="3" t="s">
        <v>92</v>
      </c>
      <c r="G19" s="3" t="s">
        <v>93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430</v>
      </c>
      <c r="S19" s="3" t="s">
        <v>129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 t="s">
        <v>137</v>
      </c>
      <c r="AB19" s="3"/>
      <c r="AC19" s="3">
        <v>335035</v>
      </c>
      <c r="AD19" s="3">
        <v>601.4991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/>
      <c r="AP19" s="3" t="s">
        <v>98</v>
      </c>
      <c r="AQ19" s="3">
        <v>210360279</v>
      </c>
      <c r="AR19" s="3" t="s">
        <v>99</v>
      </c>
      <c r="AS19" s="3" t="s">
        <v>100</v>
      </c>
      <c r="AT19" s="3">
        <v>0</v>
      </c>
      <c r="AU19" s="3">
        <v>0</v>
      </c>
      <c r="AV19" s="3">
        <v>0</v>
      </c>
      <c r="AW19" s="3">
        <v>30049099</v>
      </c>
      <c r="AX19" s="3">
        <v>99</v>
      </c>
      <c r="AY19" s="3">
        <v>557</v>
      </c>
      <c r="AZ19" s="3">
        <v>557</v>
      </c>
      <c r="BA19" s="3" t="s">
        <v>103</v>
      </c>
      <c r="BB19" s="3"/>
      <c r="BC19" s="3" t="s">
        <v>133</v>
      </c>
      <c r="BD19" s="3" t="s">
        <v>105</v>
      </c>
      <c r="BE19" s="3"/>
      <c r="BF19" s="3"/>
      <c r="BG19" s="5"/>
      <c r="BH19" s="3"/>
      <c r="BI19" s="3"/>
      <c r="BJ19" s="3"/>
      <c r="BK19" s="3" t="s">
        <v>134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 t="s">
        <v>111</v>
      </c>
      <c r="CF19" s="3">
        <v>0</v>
      </c>
      <c r="CG19" s="3">
        <v>0</v>
      </c>
      <c r="CH19" s="3">
        <v>0</v>
      </c>
      <c r="CI19" s="3" t="s">
        <v>112</v>
      </c>
      <c r="CJ19" s="3" t="s">
        <v>112</v>
      </c>
      <c r="CK19" s="3">
        <f>_xlfn.XLOOKUP($B$2,'BASE DE EXCEL'!C:C,'BASE DE EXCEL'!D:D,"NO HAY REFERENCIA")</f>
        <v>470</v>
      </c>
      <c r="CL19" s="5">
        <f>_xlfn.XLOOKUP($B$2,'BASE DE EXCEL'!$C:$C,'BASE DE EXCEL'!F:F,"NO HAY REFERENCIA")</f>
        <v>3</v>
      </c>
      <c r="CM19" s="4">
        <f>_xlfn.XLOOKUP($B$2,'BASE DE EXCEL'!$C:$C,'BASE DE EXCEL'!G:G,"NO HAY REFERENCIA")</f>
        <v>46080</v>
      </c>
      <c r="CN19" s="4">
        <f>_xlfn.XLOOKUP($B$2,'BASE DE EXCEL'!$C:$C,'BASE DE EXCEL'!H:H,"NO HAY REFERENCIA")</f>
        <v>46086</v>
      </c>
      <c r="CO19" s="3">
        <f>_xlfn.XLOOKUP($B$2,'BASE DE EXCEL'!$C:$C,'BASE DE EXCEL'!I:I,"NO HAY REFERENCIA")</f>
        <v>4</v>
      </c>
      <c r="CP19" s="3" t="str">
        <f>_xlfn.XLOOKUP($B$2,'BASE DE EXCEL'!$C:$C,'BASE DE EXCEL'!J:J,"NO HAY REFERENCIA")</f>
        <v>4 a 5 días</v>
      </c>
      <c r="CQ19" s="4">
        <f>_xlfn.XLOOKUP($B$2,'BASE DE EXCEL'!$C:$C,'BASE DE EXCEL'!K:K,"NO HAY REFERENCIA")</f>
        <v>46087</v>
      </c>
      <c r="CR19" s="3">
        <f>_xlfn.XLOOKUP($B$2,'BASE DE EXCEL'!$C:$C,'BASE DE EXCEL'!L:L,"NO HAY REFERENCIA")</f>
        <v>5</v>
      </c>
      <c r="CS19" s="3">
        <f>_xlfn.XLOOKUP($B$2,'BASE DE EXCEL'!$C:$C,'BASE DE EXCEL'!M:M,"NO HAY REFERENCIA")</f>
        <v>6</v>
      </c>
      <c r="CT19" s="3" t="str">
        <f>_xlfn.XLOOKUP($B$2,'BASE DE EXCEL'!$C:$C,'BASE DE EXCEL'!N:N,"NO HAY REFERENCIA")</f>
        <v>6 a 10 días</v>
      </c>
      <c r="CU19" s="3" t="str">
        <f>_xlfn.XLOOKUP($B$2,'BASE DE EXCEL'!$C:$C,'BASE DE EXCEL'!O:O,"NO HAY REFERENCIA")</f>
        <v>On Time</v>
      </c>
      <c r="CV19" s="3" t="str">
        <f>_xlfn.XLOOKUP(B19,'BASE DE EXCEL'!$C:$C,'BASE DE EXCEL'!P:P,"NO HAY REFERENCIA")</f>
        <v>2 a 3 días</v>
      </c>
      <c r="CW19" s="4">
        <f>_xlfn.XLOOKUP(B19,'BASE DE EXCEL'!$C:$C,'BASE DE EXCEL'!Q:Q,"NO HAY REFERENCIA")</f>
        <v>46048</v>
      </c>
      <c r="CX19" s="3">
        <f>_xlfn.XLOOKUP(B19,'BASE DE EXCEL'!$C:$C,'BASE DE EXCEL'!R:R,"NO HAY REFERENCIA")</f>
        <v>4</v>
      </c>
      <c r="CY19" s="3" t="str">
        <f>_xlfn.XLOOKUP(B19,'BASE DE EXCEL'!$C:$C,'BASE DE EXCEL'!S:S,"NO HAY REFERENCIA")</f>
        <v>4 a 5 días</v>
      </c>
      <c r="CZ19" s="3" t="str">
        <f>_xlfn.XLOOKUP(B19,'BASE DE EXCEL'!$C:$C,'BASE DE EXCEL'!T:T,"NO HAY REFERENCIA")</f>
        <v>On Time</v>
      </c>
      <c r="DA19" s="3">
        <f>_xlfn.XLOOKUP(B19,'BASE DE EXCEL'!$C:$C,'BASE DE EXCEL'!U:U,"NO HAY REFERENCIA")</f>
        <v>5</v>
      </c>
      <c r="DB19" s="3" t="str">
        <f>_xlfn.XLOOKUP(B19,'BASE DE EXCEL'!$C:$C,'BASE DE EXCEL'!V:V,"NO HAY REFERENCIA")</f>
        <v>2 a 3 días</v>
      </c>
      <c r="DC19" s="3">
        <f>_xlfn.XLOOKUP(B19,'BASE DE EXCEL'!$C:$C,'BASE DE EXCEL'!W:W,"NO HAY REFERENCIA")</f>
        <v>9</v>
      </c>
      <c r="DD19" s="3" t="str">
        <f>_xlfn.XLOOKUP(B19,'BASE DE EXCEL'!$C:$C,'BASE DE EXCEL'!X:X,"NO HAY REFERENCIA")</f>
        <v>6 a 10 días</v>
      </c>
      <c r="DE19" s="3">
        <f>_xlfn.XLOOKUP(B19,'BASE DE EXCEL'!$C:$C,'BASE DE EXCEL'!Y:Y,"NO HAY REFERENCIA")</f>
        <v>1</v>
      </c>
      <c r="DF19" s="3" t="str">
        <f>_xlfn.XLOOKUP(B19,'BASE DE EXCEL'!$C:$C,'BASE DE EXCEL'!Z:Z,"NO HAY REFERENCIA")</f>
        <v>1 día o menos</v>
      </c>
      <c r="DG19" s="3">
        <f>_xlfn.XLOOKUP(B19,'BASE DE EXCEL'!$C:$C,'BASE DE EXCEL'!AA:AA,"NO HAY REFERENCIA")</f>
        <v>2</v>
      </c>
      <c r="DH19" s="3">
        <f>_xlfn.XLOOKUP(B19,'BASE DE EXCEL'!$C:$C,'BASE DE EXCEL'!AB:AB,"NO HAY REFERENCIA")</f>
        <v>2</v>
      </c>
      <c r="DI19" s="3" t="str">
        <f>_xlfn.XLOOKUP(B19,'BASE DE EXCEL'!$C:$C,'BASE DE EXCEL'!AC:AC,"NO HAY REFERENCIA")</f>
        <v>2 a 3 días</v>
      </c>
      <c r="DJ19" s="4">
        <f>_xlfn.XLOOKUP(B19,'BASE DE EXCEL'!$C:$C,'BASE DE EXCEL'!AD:AD,"NO HAY REFERENCIA")</f>
        <v>46056</v>
      </c>
      <c r="DK19" s="3">
        <f>_xlfn.XLOOKUP(B19,'BASE DE EXCEL'!$C:$C,'BASE DE EXCEL'!AE:AE,"NO HAY REFERENCIA")</f>
        <v>8</v>
      </c>
      <c r="DL19" s="3">
        <f>_xlfn.XLOOKUP(B19,'BASE DE EXCEL'!$C:$C,'BASE DE EXCEL'!AF:AF,"NO HAY REFERENCIA")</f>
        <v>6</v>
      </c>
      <c r="DM19" s="4">
        <f>_xlfn.XLOOKUP(B19,'BASE DE EXCEL'!$C:$C,'BASE DE EXCEL'!AG:AG,"NO HAY REFERENCIA")</f>
        <v>46056</v>
      </c>
      <c r="DN19" s="4">
        <f>_xlfn.XLOOKUP(B19,'BASE DE EXCEL'!$C:$C,'BASE DE EXCEL'!AH:AH,"NO HAY REFERENCIA")</f>
        <v>46056</v>
      </c>
      <c r="DO19" s="3">
        <f>_xlfn.XLOOKUP(B19,'BASE DE EXCEL'!$C:$C,'BASE DE EXCEL'!AI:AI,"NO HAY REFERENCIA")</f>
        <v>0</v>
      </c>
      <c r="DP19" s="4" t="str">
        <f>_xlfn.XLOOKUP(B19,'BASE DE EXCEL'!$C:$C,'BASE DE EXCEL'!AJ:AJ,"NO HAY REFERENCIA")</f>
        <v>6 a 10 días</v>
      </c>
      <c r="DQ19" s="4">
        <f>_xlfn.XLOOKUP(B19,'BASE DE EXCEL'!$C:$C,'BASE DE EXCEL'!AK:AK,"NO HAY REFERENCIA")</f>
        <v>46056</v>
      </c>
      <c r="DR19" s="3">
        <f>_xlfn.XLOOKUP(B19,'BASE DE EXCEL'!$C:$C,'BASE DE EXCEL'!AL:AL,"NO HAY REFERENCIA")</f>
        <v>6</v>
      </c>
      <c r="DS19" s="3" t="str">
        <f>_xlfn.XLOOKUP(B19,'BASE DE EXCEL'!$C:$C,'BASE DE EXCEL'!AM:AM,"NO HAY REFERENCIA")</f>
        <v>6 a 10 días</v>
      </c>
      <c r="DT19" s="3" t="str">
        <f>_xlfn.XLOOKUP(B19,'BASE DE EXCEL'!$C:$C,'BASE DE EXCEL'!AN:AN,"NO HAY REFERENCIA")</f>
        <v>On Time</v>
      </c>
      <c r="DU19" s="3">
        <f>_xlfn.XLOOKUP(B19,'BASE DE EXCEL'!$C:$C,'BASE DE EXCEL'!AO:AO,"NO HAY REFERENCIA")</f>
        <v>1</v>
      </c>
      <c r="DV19" s="3" t="str">
        <f>_xlfn.XLOOKUP(B19,'BASE DE EXCEL'!$C:$C,'BASE DE EXCEL'!AP:AP,"NO HAY REFERENCIA")</f>
        <v>Es anterior</v>
      </c>
      <c r="DW19" s="3" t="str">
        <f>_xlfn.XLOOKUP(B19,'BASE DE EXCEL'!$C:$C,'BASE DE EXCEL'!AQ:AQ,"NO HAY REFERENCIA")</f>
        <v>A1</v>
      </c>
      <c r="DX19" s="3" t="str">
        <f>_xlfn.XLOOKUP(B19,'BASE DE EXCEL'!$C:$C,'BASE DE EXCEL'!AR:AR,"NO HAY REFERENCIA")</f>
        <v>ZULEIMA PEREZ RUIZ</v>
      </c>
      <c r="DY19" s="3" t="str">
        <f>_xlfn.XLOOKUP(B19,'BASE DE EXCEL'!$C:$C,'BASE DE EXCEL'!AS:AS,"NO HAY REFERENCIA")</f>
        <v>HLCUANR251210340</v>
      </c>
      <c r="DZ19" s="3" t="str">
        <f>_xlfn.XLOOKUP(B19,'BASE DE EXCEL'!$C:$C,'BASE DE EXCEL'!AT:AT,"NO HAY REFERENCIA")</f>
        <v>NULL</v>
      </c>
      <c r="EA19" s="3">
        <f>_xlfn.XLOOKUP(B19,'BASE DE EXCEL'!$C:$C,'BASE DE EXCEL'!AU:AU,"NO HAY REFERENCIA")</f>
        <v>6000095</v>
      </c>
      <c r="EB19" s="3" t="str">
        <f>_xlfn.XLOOKUP(B19,'BASE DE EXCEL'!$C:$C,'BASE DE EXCEL'!AV:AV,"NO HAY REFERENCIA")</f>
        <v>Importación</v>
      </c>
      <c r="EC19" s="3" t="str">
        <f>_xlfn.XLOOKUP(B19,'BASE DE EXCEL'!$C:$C,'BASE DE EXCEL'!AW:AW,"NO HAY REFERENCIA")</f>
        <v>IMPLEMAX (MEDICAMENTO DOSIFICADO DE USO VETERINARIO)</v>
      </c>
      <c r="ED19" s="3" t="str">
        <f>_xlfn.XLOOKUP(B19,'BASE DE EXCEL'!$C:$C,'BASE DE EXCEL'!AX:AX,"NO HAY REFERENCIA")</f>
        <v>SIN CLASIFICACION</v>
      </c>
      <c r="EE19" s="3">
        <f>_xlfn.XLOOKUP(B19,'BASE DE EXCEL'!$C:$C,'BASE DE EXCEL'!AY:AY,"NO HAY REFERENCIA")</f>
        <v>0</v>
      </c>
      <c r="EF19" s="3" t="str">
        <f>_xlfn.XLOOKUP(B19,'BASE DE EXCEL'!$C:$C,'BASE DE EXCEL'!AZ:AZ,"NO HAY REFERENCIA")</f>
        <v>Cargas de Importación</v>
      </c>
      <c r="EG19" s="3" t="str">
        <f>_xlfn.XLOOKUP(B19,'BASE DE EXCEL'!$C:$C,'BASE DE EXCEL'!BA:BA,"NO HAY REFERENCIA")</f>
        <v>INTERVET MEXICO SA DE CV</v>
      </c>
      <c r="EH19" s="3">
        <f>_xlfn.XLOOKUP(B19,'BASE DE EXCEL'!$C:$C,'BASE DE EXCEL'!BB:BB,"NO HAY REFERENCIA")</f>
        <v>0</v>
      </c>
      <c r="EI19" s="3">
        <f>_xlfn.XLOOKUP(B19,'BASE DE EXCEL'!$C:$C,'BASE DE EXCEL'!BC:BC,"NO HAY REFERENCIA")</f>
        <v>0</v>
      </c>
      <c r="EJ19" s="3">
        <f>_xlfn.XLOOKUP(B19,'BASE DE EXCEL'!$C:$C,'BASE DE EXCEL'!BD:BD,"NO HAY REFERENCIA")</f>
        <v>0</v>
      </c>
      <c r="EK19" s="3">
        <f>_xlfn.XLOOKUP(B19,'BASE DE EXCEL'!$C:$C,'BASE DE EXCEL'!BE:BE,"NO HAY REFERENCIA")</f>
        <v>0</v>
      </c>
      <c r="EL19" s="3" t="str">
        <f>_xlfn.XLOOKUP(B19,'BASE DE EXCEL'!$C:$C,'BASE DE EXCEL'!BF:BF,"NO HAY REFERENCIA")</f>
        <v>PRODUCTO TERMINADO</v>
      </c>
      <c r="EM19" s="3" t="str">
        <f>_xlfn.XLOOKUP(B19,'BASE DE EXCEL'!$C:$C,'BASE DE EXCEL'!BG:BG,"NO HAY REFERENCIA")</f>
        <v>Verde</v>
      </c>
      <c r="EN19" s="3" t="str">
        <f>_xlfn.XLOOKUP(B19,'BASE DE EXCEL'!$C:$C,'BASE DE EXCEL'!BH:BH,"NO HAY REFERENCIA")</f>
        <v xml:space="preserve"> SUPER EXPRESS DE CARGA FEDERAL S.A. DE C.V.</v>
      </c>
      <c r="EO19" s="3">
        <f>_xlfn.XLOOKUP(B19,'BASE DE EXCEL'!$C:$C,'BASE DE EXCEL'!BI:BI,"NO HAY REFERENCIA")</f>
        <v>0</v>
      </c>
      <c r="EP19" s="3" t="str">
        <f>_xlfn.XLOOKUP(B19,'BASE DE EXCEL'!$C:$C,'BASE DE EXCEL'!BJ:BJ,"NO HAY REFERENCIA")</f>
        <v>IME-T005</v>
      </c>
      <c r="EQ19" s="3" t="str">
        <f>_xlfn.XLOOKUP(B19,'BASE DE EXCEL'!$C:$C,'BASE DE EXCEL'!BK:BK,"NO HAY REFERENCIA")</f>
        <v>IME850329RH2</v>
      </c>
      <c r="ER19" s="3">
        <f>_xlfn.XLOOKUP(B19,'BASE DE EXCEL'!$C:$C,'BASE DE EXCEL'!BL:BL,"NO HAY REFERENCIA")</f>
        <v>0</v>
      </c>
      <c r="ES19" s="3" t="str">
        <f>_xlfn.XLOOKUP(B19,'BASE DE EXCEL'!$C:$C,'BASE DE EXCEL'!BM:BM,"NO HAY REFERENCIA")</f>
        <v>00,99</v>
      </c>
      <c r="ET19" s="3" t="str">
        <f>_xlfn.XLOOKUP(B19,'BASE DE EXCEL'!$C:$C,'BASE DE EXCEL'!BN:BN,"NO HAY REFERENCIA")</f>
        <v>LOTE: A669T01,LOTE: 25E4006C01,LOTE: 25N4017A02,LOTE: 25N3005A08,LOTE: 25N1002A12,LOTE: 5732106,LOTE: 5660103</v>
      </c>
      <c r="EU19" s="3">
        <f>_xlfn.XLOOKUP(B19,'BASE DE EXCEL'!$C:$C,'BASE DE EXCEL'!BO:BO,"NO HAY REFERENCIA")</f>
        <v>90</v>
      </c>
      <c r="EV19" s="3" t="str">
        <f>_xlfn.XLOOKUP(B19,'BASE DE EXCEL'!$C:$C,'BASE DE EXCEL'!BP:BP,"NO HAY REFERENCIA")</f>
        <v xml:space="preserve"> 5475856.92, 466125.84</v>
      </c>
      <c r="EW19" s="3" t="str">
        <f>_xlfn.XLOOKUP(B19,'BASE DE EXCEL'!$C:$C,'BASE DE EXCEL'!BQ:BQ,"NO HAY REFERENCIA")</f>
        <v>KILO,KILO,KILO,KILO,KILO,KILO,KILO</v>
      </c>
      <c r="EX19" s="3">
        <f>_xlfn.XLOOKUP(B19,'BASE DE EXCEL'!$C:$C,'BASE DE EXCEL'!BR:BR,"NO HAY REFERENCIA")</f>
        <v>0</v>
      </c>
      <c r="EY19" s="3" t="str">
        <f>_xlfn.XLOOKUP(B19,'BASE DE EXCEL'!$C:$C,'BASE DE EXCEL'!BS:BS,"NO HAY REFERENCIA")</f>
        <v>ALEMANIA (REPUBLICA FEDERAL DE),AUSTRIA (REPUBLICA DE)</v>
      </c>
      <c r="EZ19" s="3" t="str">
        <f>_xlfn.XLOOKUP(B19,'BASE DE EXCEL'!$C:$C,'BASE DE EXCEL'!BT:BT,"NO HAY REFERENCIA")</f>
        <v>PAISES BAJOS (REINO DE LOS) (HOLANDA)</v>
      </c>
      <c r="FA19" s="3" t="str">
        <f>_xlfn.XLOOKUP(B19,'BASE DE EXCEL'!$C:$C,'BASE DE EXCEL'!BU:BU,"NO HAY REFERENCIA")</f>
        <v>AUT,DEU</v>
      </c>
      <c r="FB19" s="3" t="str">
        <f>_xlfn.XLOOKUP(B19,'BASE DE EXCEL'!$C:$C,'BASE DE EXCEL'!BV:BV,"NO HAY REFERENCIA")</f>
        <v>ZYA</v>
      </c>
      <c r="FC19" s="3">
        <f>_xlfn.XLOOKUP(B19,QUERY!$C:$C,QUERY!D:D)</f>
        <v>430</v>
      </c>
      <c r="FD19" s="4">
        <f>_xlfn.XLOOKUP(B19,QUERY!$C:$C,QUERY!E:E)</f>
        <v>46045</v>
      </c>
      <c r="FE19" s="3">
        <f>_xlfn.XLOOKUP(B19,QUERY!$C:$C,QUERY!F:F)</f>
        <v>1</v>
      </c>
      <c r="FF19" s="4">
        <f>_xlfn.XLOOKUP(B19,QUERY!$C:$C,QUERY!G:G)</f>
        <v>46043</v>
      </c>
      <c r="FG19" s="4">
        <f>_xlfn.XLOOKUP(B19,QUERY!$C:$C,QUERY!H:H)</f>
        <v>46045</v>
      </c>
      <c r="FH19" s="3">
        <f>_xlfn.XLOOKUP(B19,QUERY!$C:$C,QUERY!I:I)</f>
        <v>2</v>
      </c>
      <c r="FI19" s="3" t="str">
        <f>_xlfn.XLOOKUP(B19,QUERY!$C:$C,QUERY!J:J)</f>
        <v>2 a 3 días</v>
      </c>
      <c r="FJ19" s="4">
        <f>_xlfn.XLOOKUP(B19,QUERY!$C:$C,QUERY!K:K)</f>
        <v>46046</v>
      </c>
      <c r="FK19" s="3">
        <f>_xlfn.XLOOKUP(B19,QUERY!$C:$C,QUERY!L:L)</f>
        <v>2</v>
      </c>
      <c r="FL19" s="3" t="str">
        <f>_xlfn.XLOOKUP(B19,QUERY!$C:$C,QUERY!M:M)</f>
        <v>2 a 3 días</v>
      </c>
      <c r="FM19" s="3">
        <f>_xlfn.XLOOKUP(B19,QUERY!$C:$C,QUERY!N:N)</f>
        <v>1</v>
      </c>
      <c r="FN19" s="3" t="str">
        <f>_xlfn.XLOOKUP(B19,QUERY!$C:$C,QUERY!O:O)</f>
        <v>1 día o menos</v>
      </c>
      <c r="FO19" s="3">
        <f>_xlfn.XLOOKUP(B19,QUERY!$C:$C,QUERY!P:P)</f>
        <v>1</v>
      </c>
      <c r="FP19" s="3">
        <f>_xlfn.XLOOKUP(B19,QUERY!$C:$C,QUERY!Q:Q)</f>
        <v>2</v>
      </c>
      <c r="FQ19" s="3" t="str">
        <f>_xlfn.XLOOKUP(B19,QUERY!$C:$C,QUERY!R:R)</f>
        <v>2 a 3 días</v>
      </c>
      <c r="FR19" s="4">
        <f>_xlfn.XLOOKUP(B19,QUERY!$C:$C,QUERY!S:S)</f>
        <v>46048</v>
      </c>
      <c r="FS19" s="3">
        <f>_xlfn.XLOOKUP(B19,QUERY!$C:$C,QUERY!T:T)</f>
        <v>3</v>
      </c>
      <c r="FT19" s="3" t="str">
        <f>_xlfn.XLOOKUP(B19,QUERY!$C:$C,QUERY!U:U)</f>
        <v>2 a 3 días</v>
      </c>
      <c r="FU19" s="3">
        <f>_xlfn.XLOOKUP(B19,QUERY!$C:$C,QUERY!V:V)</f>
        <v>9</v>
      </c>
      <c r="FV19" s="3" t="str">
        <f>_xlfn.XLOOKUP(B19,QUERY!$C:$C,QUERY!W:W)</f>
        <v>6 a 10 días</v>
      </c>
      <c r="FW19" s="4">
        <f>_xlfn.XLOOKUP(B19,QUERY!$C:$C,QUERY!X:X)</f>
        <v>46056</v>
      </c>
      <c r="FX19" s="3">
        <f>_xlfn.XLOOKUP(B19,QUERY!$C:$C,QUERY!Y:Y)</f>
        <v>6</v>
      </c>
      <c r="FY19" s="3">
        <f>_xlfn.XLOOKUP(B19,QUERY!$C:$C,QUERY!Z:Z)</f>
        <v>6</v>
      </c>
      <c r="FZ19" s="4" t="str">
        <f>_xlfn.XLOOKUP(B19,QUERY!$C:$C,QUERY!AA:AA)</f>
        <v>6 a 10 días</v>
      </c>
      <c r="GA19" s="4">
        <f>_xlfn.XLOOKUP(B19,QUERY!$C:$C,QUERY!AB:AB)</f>
        <v>46056</v>
      </c>
      <c r="GB19" s="4">
        <f>_xlfn.XLOOKUP(B19,QUERY!$C:$C,QUERY!AC:AC)</f>
        <v>46056</v>
      </c>
      <c r="GC19" s="3">
        <f>_xlfn.XLOOKUP(B19,QUERY!$C:$C,QUERY!AD:AD)</f>
        <v>0</v>
      </c>
      <c r="GD19" s="4">
        <f>_xlfn.XLOOKUP(B19,QUERY!$C:$C,QUERY!AE:AE)</f>
        <v>46056</v>
      </c>
      <c r="GE19" s="3">
        <f>_xlfn.XLOOKUP(B19,QUERY!$C:$C,QUERY!AF:AF)</f>
        <v>1</v>
      </c>
      <c r="GF19" s="4" t="str">
        <f>_xlfn.XLOOKUP(B19,QUERY!$C:$C,QUERY!AG:AG)</f>
        <v>Es anterior</v>
      </c>
      <c r="GG19" s="3" t="str">
        <f>_xlfn.XLOOKUP(B19,QUERY!$C:$C,QUERY!AH:AH)</f>
        <v>A1</v>
      </c>
      <c r="GH19" s="3" t="str">
        <f>_xlfn.XLOOKUP(B19,QUERY!$C:$C,QUERY!AI:AI)</f>
        <v>ZULEIMA PEREZ RUIZ</v>
      </c>
      <c r="GI19" s="3" t="str">
        <f>_xlfn.XLOOKUP(B19,QUERY!$C:$C,QUERY!AJ:AJ)</f>
        <v>HLCUANR251210340</v>
      </c>
      <c r="GJ19" s="3" t="str">
        <f>_xlfn.XLOOKUP(B19,QUERY!$C:$C,QUERY!AK:AK)</f>
        <v>NULL</v>
      </c>
      <c r="GK19" s="3">
        <f>_xlfn.XLOOKUP(B19,QUERY!$C:$C,QUERY!AL:AL)</f>
        <v>6000095</v>
      </c>
      <c r="GL19" s="3" t="str">
        <f>_xlfn.XLOOKUP(B19,QUERY!$C:$C,QUERY!AM:AM)</f>
        <v>Importación</v>
      </c>
      <c r="GM19" s="3" t="str">
        <f>_xlfn.XLOOKUP(B19,QUERY!$C:$C,QUERY!AN:AN)</f>
        <v>IMPLEMAX (MEDICAMENTO DOSIFICADO DE USO VETERINARIO)</v>
      </c>
      <c r="GN19" s="3" t="str">
        <f>_xlfn.XLOOKUP(B19,QUERY!$C:$C,QUERY!AO:AO)</f>
        <v>SIN CLASIFICACION</v>
      </c>
      <c r="GO19" s="3">
        <f>_xlfn.XLOOKUP(B19,QUERY!$C:$C,QUERY!AP:AP)</f>
        <v>0</v>
      </c>
      <c r="GP19" s="3" t="str">
        <f>_xlfn.XLOOKUP(B19,QUERY!$C:$C,QUERY!AQ:AQ)</f>
        <v>Cargas de Importación</v>
      </c>
      <c r="GQ19" s="3" t="str">
        <f>_xlfn.XLOOKUP(B19,QUERY!$C:$C,QUERY!AR:AR)</f>
        <v>INTERVET MEXICO SA DE CV</v>
      </c>
      <c r="GR19" s="3">
        <f>_xlfn.XLOOKUP(B19,QUERY!$C:$C,QUERY!AS:AS)</f>
        <v>0</v>
      </c>
      <c r="GS19" s="3">
        <f>_xlfn.XLOOKUP(B19,QUERY!$C:$C,QUERY!AT:AT)</f>
        <v>0</v>
      </c>
      <c r="GT19" s="3">
        <f>_xlfn.XLOOKUP(B19,QUERY!$C:$C,QUERY!AU:AU)</f>
        <v>0</v>
      </c>
      <c r="GU19" s="3">
        <f>_xlfn.XLOOKUP(B19,QUERY!$C:$C,QUERY!AV:AV)</f>
        <v>0</v>
      </c>
      <c r="GV19" s="3" t="str">
        <f>_xlfn.XLOOKUP(B19,QUERY!$C:$C,QUERY!AW:AW)</f>
        <v>PRODUCTO TERMINADO</v>
      </c>
      <c r="GW19" s="3" t="str">
        <f>_xlfn.XLOOKUP(B19,QUERY!$C:$C,QUERY!AX:AX)</f>
        <v>Verde</v>
      </c>
      <c r="GX19" s="3" t="str">
        <f>_xlfn.XLOOKUP(B19,QUERY!$C:$C,QUERY!AY:AY)</f>
        <v xml:space="preserve"> SUPER EXPRESS DE CARGA FEDERAL S.A. DE C.V.</v>
      </c>
      <c r="GY19" s="3">
        <f>_xlfn.XLOOKUP(B19,QUERY!$C:$C,QUERY!AZ:AZ)</f>
        <v>0</v>
      </c>
      <c r="GZ19" s="3" t="str">
        <f>_xlfn.XLOOKUP(B19,QUERY!$C:$C,QUERY!BA:BA)</f>
        <v>IME-T005</v>
      </c>
      <c r="HA19" s="3" t="str">
        <f>_xlfn.XLOOKUP(B19,QUERY!$C:$C,QUERY!BB:BB)</f>
        <v>IME850329RH2</v>
      </c>
      <c r="HB19" s="3">
        <f>_xlfn.XLOOKUP(B19,QUERY!$C:$C,QUERY!BC:BC)</f>
        <v>0</v>
      </c>
      <c r="HC19" s="3">
        <f>_xlfn.XLOOKUP(B19,QUERY!$C:$C,QUERY!BD:BD)</f>
        <v>0.99</v>
      </c>
      <c r="HD19" s="3" t="str">
        <f>_xlfn.XLOOKUP(B19,QUERY!$C:$C,QUERY!BE:BE)</f>
        <v>LOTE: A669T01,LOTE: 25E4006C01,LOTE: 25N4017A02,LOTE: 25N3005A08,LOTE: 25N1002A12,LOTE: 5732106,LOTE: 5660103</v>
      </c>
      <c r="HE19" s="3">
        <f>_xlfn.XLOOKUP(B19,QUERY!$C:$C,QUERY!BF:BF)</f>
        <v>90</v>
      </c>
      <c r="HF19" s="3" t="str">
        <f>_xlfn.XLOOKUP(B19,QUERY!$C:$C,QUERY!BG:BG)</f>
        <v xml:space="preserve"> 5475856.92, 466125.84</v>
      </c>
      <c r="HG19" s="3" t="str">
        <f>_xlfn.XLOOKUP(B19,QUERY!$C:$C,QUERY!BH:BH)</f>
        <v>KILO,KILO,KILO,KILO,KILO,KILO,KILO</v>
      </c>
      <c r="HH19" s="3">
        <f>_xlfn.XLOOKUP(B19,QUERY!$C:$C,QUERY!BI:BI)</f>
        <v>0</v>
      </c>
      <c r="HI19" s="3" t="str">
        <f>_xlfn.XLOOKUP(B19,QUERY!$C:$C,QUERY!BJ:BJ)</f>
        <v>ALEMANIA (REPUBLICA FEDERAL DE),AUSTRIA (REPUBLICA DE)</v>
      </c>
      <c r="HJ19" s="3" t="str">
        <f>_xlfn.XLOOKUP(B19,QUERY!$C:$C,QUERY!BK:BK)</f>
        <v>PAISES BAJOS (REINO DE LOS) (HOLANDA)</v>
      </c>
      <c r="HK19" s="3" t="str">
        <f>_xlfn.XLOOKUP(B19,QUERY!$C:$C,QUERY!BL:BL)</f>
        <v>AUT,DEU</v>
      </c>
      <c r="HL19" s="3" t="str">
        <f>_xlfn.XLOOKUP(B19,QUERY!$C:$C,QUERY!BM:BM)</f>
        <v>ZYA</v>
      </c>
      <c r="HM19" s="3">
        <f>_xlfn.XLOOKUP(B19,QUERY!$C:$C,QUERY!BN:BN)</f>
        <v>5941983</v>
      </c>
      <c r="HN19" s="3" t="str">
        <f>_xlfn.XLOOKUP(B19,QUERY!$C:$C,QUERY!BO:BO)</f>
        <v>27166.00</v>
      </c>
      <c r="HO19" s="3" t="str">
        <f>_xlfn.XLOOKUP(B19,QUERY!$C:$C,QUERY!BP:BP)</f>
        <v>NULL</v>
      </c>
      <c r="HP19" s="3" t="str">
        <f>_xlfn.XLOOKUP(B19,QUERY!$C:$C,QUERY!BQ:BQ)</f>
        <v>339570.00</v>
      </c>
      <c r="HQ19" s="3" t="str">
        <f>_xlfn.XLOOKUP(B19,QUERY!$C:$C,QUERY!BR:BR)</f>
        <v>130942.87</v>
      </c>
      <c r="HR19" s="3">
        <f>_xlfn.XLOOKUP(B19,QUERY!$C:$C,QUERY!BS:BS)</f>
        <v>0</v>
      </c>
      <c r="HS19" s="3">
        <f>_xlfn.XLOOKUP(B19,QUERY!$C:$C,QUERY!BT:BT)</f>
        <v>0</v>
      </c>
      <c r="HT19" s="3" t="str">
        <f>_xlfn.XLOOKUP(B19,QUERY!$C:$C,QUERY!A:A)</f>
        <v>VERACRUZ</v>
      </c>
      <c r="HU19" s="3" t="str">
        <f>_xlfn.XLOOKUP(B19,QUERY!$C:$C,QUERY!B:B)</f>
        <v>MARÍTIMO VERACRUZ</v>
      </c>
    </row>
    <row r="20" spans="1:229" x14ac:dyDescent="0.25">
      <c r="A20" s="3" t="s">
        <v>90</v>
      </c>
      <c r="B20" s="8" t="s">
        <v>128</v>
      </c>
      <c r="C20" s="3">
        <v>3942</v>
      </c>
      <c r="D20" s="3">
        <v>6000095</v>
      </c>
      <c r="E20" s="3"/>
      <c r="F20" s="3" t="s">
        <v>92</v>
      </c>
      <c r="G20" s="3" t="s">
        <v>93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430</v>
      </c>
      <c r="S20" s="3" t="s">
        <v>129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138</v>
      </c>
      <c r="AB20" s="3"/>
      <c r="AC20" s="3">
        <v>302355</v>
      </c>
      <c r="AD20" s="3">
        <v>956.81961999999999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/>
      <c r="AP20" s="3" t="s">
        <v>98</v>
      </c>
      <c r="AQ20" s="3">
        <v>210360279</v>
      </c>
      <c r="AR20" s="3" t="s">
        <v>99</v>
      </c>
      <c r="AS20" s="3" t="s">
        <v>100</v>
      </c>
      <c r="AT20" s="3">
        <v>0</v>
      </c>
      <c r="AU20" s="3">
        <v>0</v>
      </c>
      <c r="AV20" s="3">
        <v>0</v>
      </c>
      <c r="AW20" s="3">
        <v>30049099</v>
      </c>
      <c r="AX20" s="3">
        <v>99</v>
      </c>
      <c r="AY20" s="3">
        <v>316</v>
      </c>
      <c r="AZ20" s="3">
        <v>316</v>
      </c>
      <c r="BA20" s="3" t="s">
        <v>103</v>
      </c>
      <c r="BB20" s="3"/>
      <c r="BC20" s="3" t="s">
        <v>133</v>
      </c>
      <c r="BD20" s="3" t="s">
        <v>105</v>
      </c>
      <c r="BE20" s="3"/>
      <c r="BF20" s="3"/>
      <c r="BG20" s="5"/>
      <c r="BH20" s="3"/>
      <c r="BI20" s="3"/>
      <c r="BJ20" s="3"/>
      <c r="BK20" s="3" t="s">
        <v>134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 t="s">
        <v>111</v>
      </c>
      <c r="CF20" s="3">
        <v>0</v>
      </c>
      <c r="CG20" s="3">
        <v>0</v>
      </c>
      <c r="CH20" s="3">
        <v>0</v>
      </c>
      <c r="CI20" s="3" t="s">
        <v>112</v>
      </c>
      <c r="CJ20" s="3" t="s">
        <v>112</v>
      </c>
      <c r="CK20" s="3">
        <f>_xlfn.XLOOKUP($B$2,'BASE DE EXCEL'!C:C,'BASE DE EXCEL'!D:D,"NO HAY REFERENCIA")</f>
        <v>470</v>
      </c>
      <c r="CL20" s="5">
        <f>_xlfn.XLOOKUP($B$2,'BASE DE EXCEL'!$C:$C,'BASE DE EXCEL'!F:F,"NO HAY REFERENCIA")</f>
        <v>3</v>
      </c>
      <c r="CM20" s="4">
        <f>_xlfn.XLOOKUP($B$2,'BASE DE EXCEL'!$C:$C,'BASE DE EXCEL'!G:G,"NO HAY REFERENCIA")</f>
        <v>46080</v>
      </c>
      <c r="CN20" s="4">
        <f>_xlfn.XLOOKUP($B$2,'BASE DE EXCEL'!$C:$C,'BASE DE EXCEL'!H:H,"NO HAY REFERENCIA")</f>
        <v>46086</v>
      </c>
      <c r="CO20" s="3">
        <f>_xlfn.XLOOKUP($B$2,'BASE DE EXCEL'!$C:$C,'BASE DE EXCEL'!I:I,"NO HAY REFERENCIA")</f>
        <v>4</v>
      </c>
      <c r="CP20" s="3" t="str">
        <f>_xlfn.XLOOKUP($B$2,'BASE DE EXCEL'!$C:$C,'BASE DE EXCEL'!J:J,"NO HAY REFERENCIA")</f>
        <v>4 a 5 días</v>
      </c>
      <c r="CQ20" s="4">
        <f>_xlfn.XLOOKUP($B$2,'BASE DE EXCEL'!$C:$C,'BASE DE EXCEL'!K:K,"NO HAY REFERENCIA")</f>
        <v>46087</v>
      </c>
      <c r="CR20" s="3">
        <f>_xlfn.XLOOKUP($B$2,'BASE DE EXCEL'!$C:$C,'BASE DE EXCEL'!L:L,"NO HAY REFERENCIA")</f>
        <v>5</v>
      </c>
      <c r="CS20" s="3">
        <f>_xlfn.XLOOKUP($B$2,'BASE DE EXCEL'!$C:$C,'BASE DE EXCEL'!M:M,"NO HAY REFERENCIA")</f>
        <v>6</v>
      </c>
      <c r="CT20" s="3" t="str">
        <f>_xlfn.XLOOKUP($B$2,'BASE DE EXCEL'!$C:$C,'BASE DE EXCEL'!N:N,"NO HAY REFERENCIA")</f>
        <v>6 a 10 días</v>
      </c>
      <c r="CU20" s="3" t="str">
        <f>_xlfn.XLOOKUP($B$2,'BASE DE EXCEL'!$C:$C,'BASE DE EXCEL'!O:O,"NO HAY REFERENCIA")</f>
        <v>On Time</v>
      </c>
      <c r="CV20" s="3" t="str">
        <f>_xlfn.XLOOKUP(B20,'BASE DE EXCEL'!$C:$C,'BASE DE EXCEL'!P:P,"NO HAY REFERENCIA")</f>
        <v>2 a 3 días</v>
      </c>
      <c r="CW20" s="4">
        <f>_xlfn.XLOOKUP(B20,'BASE DE EXCEL'!$C:$C,'BASE DE EXCEL'!Q:Q,"NO HAY REFERENCIA")</f>
        <v>46048</v>
      </c>
      <c r="CX20" s="3">
        <f>_xlfn.XLOOKUP(B20,'BASE DE EXCEL'!$C:$C,'BASE DE EXCEL'!R:R,"NO HAY REFERENCIA")</f>
        <v>4</v>
      </c>
      <c r="CY20" s="3" t="str">
        <f>_xlfn.XLOOKUP(B20,'BASE DE EXCEL'!$C:$C,'BASE DE EXCEL'!S:S,"NO HAY REFERENCIA")</f>
        <v>4 a 5 días</v>
      </c>
      <c r="CZ20" s="3" t="str">
        <f>_xlfn.XLOOKUP(B20,'BASE DE EXCEL'!$C:$C,'BASE DE EXCEL'!T:T,"NO HAY REFERENCIA")</f>
        <v>On Time</v>
      </c>
      <c r="DA20" s="3">
        <f>_xlfn.XLOOKUP(B20,'BASE DE EXCEL'!$C:$C,'BASE DE EXCEL'!U:U,"NO HAY REFERENCIA")</f>
        <v>5</v>
      </c>
      <c r="DB20" s="3" t="str">
        <f>_xlfn.XLOOKUP(B20,'BASE DE EXCEL'!$C:$C,'BASE DE EXCEL'!V:V,"NO HAY REFERENCIA")</f>
        <v>2 a 3 días</v>
      </c>
      <c r="DC20" s="3">
        <f>_xlfn.XLOOKUP(B20,'BASE DE EXCEL'!$C:$C,'BASE DE EXCEL'!W:W,"NO HAY REFERENCIA")</f>
        <v>9</v>
      </c>
      <c r="DD20" s="3" t="str">
        <f>_xlfn.XLOOKUP(B20,'BASE DE EXCEL'!$C:$C,'BASE DE EXCEL'!X:X,"NO HAY REFERENCIA")</f>
        <v>6 a 10 días</v>
      </c>
      <c r="DE20" s="3">
        <f>_xlfn.XLOOKUP(B20,'BASE DE EXCEL'!$C:$C,'BASE DE EXCEL'!Y:Y,"NO HAY REFERENCIA")</f>
        <v>1</v>
      </c>
      <c r="DF20" s="3" t="str">
        <f>_xlfn.XLOOKUP(B20,'BASE DE EXCEL'!$C:$C,'BASE DE EXCEL'!Z:Z,"NO HAY REFERENCIA")</f>
        <v>1 día o menos</v>
      </c>
      <c r="DG20" s="3">
        <f>_xlfn.XLOOKUP(B20,'BASE DE EXCEL'!$C:$C,'BASE DE EXCEL'!AA:AA,"NO HAY REFERENCIA")</f>
        <v>2</v>
      </c>
      <c r="DH20" s="3">
        <f>_xlfn.XLOOKUP(B20,'BASE DE EXCEL'!$C:$C,'BASE DE EXCEL'!AB:AB,"NO HAY REFERENCIA")</f>
        <v>2</v>
      </c>
      <c r="DI20" s="3" t="str">
        <f>_xlfn.XLOOKUP(B20,'BASE DE EXCEL'!$C:$C,'BASE DE EXCEL'!AC:AC,"NO HAY REFERENCIA")</f>
        <v>2 a 3 días</v>
      </c>
      <c r="DJ20" s="4">
        <f>_xlfn.XLOOKUP(B20,'BASE DE EXCEL'!$C:$C,'BASE DE EXCEL'!AD:AD,"NO HAY REFERENCIA")</f>
        <v>46056</v>
      </c>
      <c r="DK20" s="3">
        <f>_xlfn.XLOOKUP(B20,'BASE DE EXCEL'!$C:$C,'BASE DE EXCEL'!AE:AE,"NO HAY REFERENCIA")</f>
        <v>8</v>
      </c>
      <c r="DL20" s="3">
        <f>_xlfn.XLOOKUP(B20,'BASE DE EXCEL'!$C:$C,'BASE DE EXCEL'!AF:AF,"NO HAY REFERENCIA")</f>
        <v>6</v>
      </c>
      <c r="DM20" s="4">
        <f>_xlfn.XLOOKUP(B20,'BASE DE EXCEL'!$C:$C,'BASE DE EXCEL'!AG:AG,"NO HAY REFERENCIA")</f>
        <v>46056</v>
      </c>
      <c r="DN20" s="4">
        <f>_xlfn.XLOOKUP(B20,'BASE DE EXCEL'!$C:$C,'BASE DE EXCEL'!AH:AH,"NO HAY REFERENCIA")</f>
        <v>46056</v>
      </c>
      <c r="DO20" s="3">
        <f>_xlfn.XLOOKUP(B20,'BASE DE EXCEL'!$C:$C,'BASE DE EXCEL'!AI:AI,"NO HAY REFERENCIA")</f>
        <v>0</v>
      </c>
      <c r="DP20" s="4" t="str">
        <f>_xlfn.XLOOKUP(B20,'BASE DE EXCEL'!$C:$C,'BASE DE EXCEL'!AJ:AJ,"NO HAY REFERENCIA")</f>
        <v>6 a 10 días</v>
      </c>
      <c r="DQ20" s="4">
        <f>_xlfn.XLOOKUP(B20,'BASE DE EXCEL'!$C:$C,'BASE DE EXCEL'!AK:AK,"NO HAY REFERENCIA")</f>
        <v>46056</v>
      </c>
      <c r="DR20" s="3">
        <f>_xlfn.XLOOKUP(B20,'BASE DE EXCEL'!$C:$C,'BASE DE EXCEL'!AL:AL,"NO HAY REFERENCIA")</f>
        <v>6</v>
      </c>
      <c r="DS20" s="3" t="str">
        <f>_xlfn.XLOOKUP(B20,'BASE DE EXCEL'!$C:$C,'BASE DE EXCEL'!AM:AM,"NO HAY REFERENCIA")</f>
        <v>6 a 10 días</v>
      </c>
      <c r="DT20" s="3" t="str">
        <f>_xlfn.XLOOKUP(B20,'BASE DE EXCEL'!$C:$C,'BASE DE EXCEL'!AN:AN,"NO HAY REFERENCIA")</f>
        <v>On Time</v>
      </c>
      <c r="DU20" s="3">
        <f>_xlfn.XLOOKUP(B20,'BASE DE EXCEL'!$C:$C,'BASE DE EXCEL'!AO:AO,"NO HAY REFERENCIA")</f>
        <v>1</v>
      </c>
      <c r="DV20" s="3" t="str">
        <f>_xlfn.XLOOKUP(B20,'BASE DE EXCEL'!$C:$C,'BASE DE EXCEL'!AP:AP,"NO HAY REFERENCIA")</f>
        <v>Es anterior</v>
      </c>
      <c r="DW20" s="3" t="str">
        <f>_xlfn.XLOOKUP(B20,'BASE DE EXCEL'!$C:$C,'BASE DE EXCEL'!AQ:AQ,"NO HAY REFERENCIA")</f>
        <v>A1</v>
      </c>
      <c r="DX20" s="3" t="str">
        <f>_xlfn.XLOOKUP(B20,'BASE DE EXCEL'!$C:$C,'BASE DE EXCEL'!AR:AR,"NO HAY REFERENCIA")</f>
        <v>ZULEIMA PEREZ RUIZ</v>
      </c>
      <c r="DY20" s="3" t="str">
        <f>_xlfn.XLOOKUP(B20,'BASE DE EXCEL'!$C:$C,'BASE DE EXCEL'!AS:AS,"NO HAY REFERENCIA")</f>
        <v>HLCUANR251210340</v>
      </c>
      <c r="DZ20" s="3" t="str">
        <f>_xlfn.XLOOKUP(B20,'BASE DE EXCEL'!$C:$C,'BASE DE EXCEL'!AT:AT,"NO HAY REFERENCIA")</f>
        <v>NULL</v>
      </c>
      <c r="EA20" s="3">
        <f>_xlfn.XLOOKUP(B20,'BASE DE EXCEL'!$C:$C,'BASE DE EXCEL'!AU:AU,"NO HAY REFERENCIA")</f>
        <v>6000095</v>
      </c>
      <c r="EB20" s="3" t="str">
        <f>_xlfn.XLOOKUP(B20,'BASE DE EXCEL'!$C:$C,'BASE DE EXCEL'!AV:AV,"NO HAY REFERENCIA")</f>
        <v>Importación</v>
      </c>
      <c r="EC20" s="3" t="str">
        <f>_xlfn.XLOOKUP(B20,'BASE DE EXCEL'!$C:$C,'BASE DE EXCEL'!AW:AW,"NO HAY REFERENCIA")</f>
        <v>IMPLEMAX (MEDICAMENTO DOSIFICADO DE USO VETERINARIO)</v>
      </c>
      <c r="ED20" s="3" t="str">
        <f>_xlfn.XLOOKUP(B20,'BASE DE EXCEL'!$C:$C,'BASE DE EXCEL'!AX:AX,"NO HAY REFERENCIA")</f>
        <v>SIN CLASIFICACION</v>
      </c>
      <c r="EE20" s="3">
        <f>_xlfn.XLOOKUP(B20,'BASE DE EXCEL'!$C:$C,'BASE DE EXCEL'!AY:AY,"NO HAY REFERENCIA")</f>
        <v>0</v>
      </c>
      <c r="EF20" s="3" t="str">
        <f>_xlfn.XLOOKUP(B20,'BASE DE EXCEL'!$C:$C,'BASE DE EXCEL'!AZ:AZ,"NO HAY REFERENCIA")</f>
        <v>Cargas de Importación</v>
      </c>
      <c r="EG20" s="3" t="str">
        <f>_xlfn.XLOOKUP(B20,'BASE DE EXCEL'!$C:$C,'BASE DE EXCEL'!BA:BA,"NO HAY REFERENCIA")</f>
        <v>INTERVET MEXICO SA DE CV</v>
      </c>
      <c r="EH20" s="3">
        <f>_xlfn.XLOOKUP(B20,'BASE DE EXCEL'!$C:$C,'BASE DE EXCEL'!BB:BB,"NO HAY REFERENCIA")</f>
        <v>0</v>
      </c>
      <c r="EI20" s="3">
        <f>_xlfn.XLOOKUP(B20,'BASE DE EXCEL'!$C:$C,'BASE DE EXCEL'!BC:BC,"NO HAY REFERENCIA")</f>
        <v>0</v>
      </c>
      <c r="EJ20" s="3">
        <f>_xlfn.XLOOKUP(B20,'BASE DE EXCEL'!$C:$C,'BASE DE EXCEL'!BD:BD,"NO HAY REFERENCIA")</f>
        <v>0</v>
      </c>
      <c r="EK20" s="3">
        <f>_xlfn.XLOOKUP(B20,'BASE DE EXCEL'!$C:$C,'BASE DE EXCEL'!BE:BE,"NO HAY REFERENCIA")</f>
        <v>0</v>
      </c>
      <c r="EL20" s="3" t="str">
        <f>_xlfn.XLOOKUP(B20,'BASE DE EXCEL'!$C:$C,'BASE DE EXCEL'!BF:BF,"NO HAY REFERENCIA")</f>
        <v>PRODUCTO TERMINADO</v>
      </c>
      <c r="EM20" s="3" t="str">
        <f>_xlfn.XLOOKUP(B20,'BASE DE EXCEL'!$C:$C,'BASE DE EXCEL'!BG:BG,"NO HAY REFERENCIA")</f>
        <v>Verde</v>
      </c>
      <c r="EN20" s="3" t="str">
        <f>_xlfn.XLOOKUP(B20,'BASE DE EXCEL'!$C:$C,'BASE DE EXCEL'!BH:BH,"NO HAY REFERENCIA")</f>
        <v xml:space="preserve"> SUPER EXPRESS DE CARGA FEDERAL S.A. DE C.V.</v>
      </c>
      <c r="EO20" s="3">
        <f>_xlfn.XLOOKUP(B20,'BASE DE EXCEL'!$C:$C,'BASE DE EXCEL'!BI:BI,"NO HAY REFERENCIA")</f>
        <v>0</v>
      </c>
      <c r="EP20" s="3" t="str">
        <f>_xlfn.XLOOKUP(B20,'BASE DE EXCEL'!$C:$C,'BASE DE EXCEL'!BJ:BJ,"NO HAY REFERENCIA")</f>
        <v>IME-T005</v>
      </c>
      <c r="EQ20" s="3" t="str">
        <f>_xlfn.XLOOKUP(B20,'BASE DE EXCEL'!$C:$C,'BASE DE EXCEL'!BK:BK,"NO HAY REFERENCIA")</f>
        <v>IME850329RH2</v>
      </c>
      <c r="ER20" s="3">
        <f>_xlfn.XLOOKUP(B20,'BASE DE EXCEL'!$C:$C,'BASE DE EXCEL'!BL:BL,"NO HAY REFERENCIA")</f>
        <v>0</v>
      </c>
      <c r="ES20" s="3" t="str">
        <f>_xlfn.XLOOKUP(B20,'BASE DE EXCEL'!$C:$C,'BASE DE EXCEL'!BM:BM,"NO HAY REFERENCIA")</f>
        <v>00,99</v>
      </c>
      <c r="ET20" s="3" t="str">
        <f>_xlfn.XLOOKUP(B20,'BASE DE EXCEL'!$C:$C,'BASE DE EXCEL'!BN:BN,"NO HAY REFERENCIA")</f>
        <v>LOTE: A669T01,LOTE: 25E4006C01,LOTE: 25N4017A02,LOTE: 25N3005A08,LOTE: 25N1002A12,LOTE: 5732106,LOTE: 5660103</v>
      </c>
      <c r="EU20" s="3">
        <f>_xlfn.XLOOKUP(B20,'BASE DE EXCEL'!$C:$C,'BASE DE EXCEL'!BO:BO,"NO HAY REFERENCIA")</f>
        <v>90</v>
      </c>
      <c r="EV20" s="3" t="str">
        <f>_xlfn.XLOOKUP(B20,'BASE DE EXCEL'!$C:$C,'BASE DE EXCEL'!BP:BP,"NO HAY REFERENCIA")</f>
        <v xml:space="preserve"> 5475856.92, 466125.84</v>
      </c>
      <c r="EW20" s="3" t="str">
        <f>_xlfn.XLOOKUP(B20,'BASE DE EXCEL'!$C:$C,'BASE DE EXCEL'!BQ:BQ,"NO HAY REFERENCIA")</f>
        <v>KILO,KILO,KILO,KILO,KILO,KILO,KILO</v>
      </c>
      <c r="EX20" s="3">
        <f>_xlfn.XLOOKUP(B20,'BASE DE EXCEL'!$C:$C,'BASE DE EXCEL'!BR:BR,"NO HAY REFERENCIA")</f>
        <v>0</v>
      </c>
      <c r="EY20" s="3" t="str">
        <f>_xlfn.XLOOKUP(B20,'BASE DE EXCEL'!$C:$C,'BASE DE EXCEL'!BS:BS,"NO HAY REFERENCIA")</f>
        <v>ALEMANIA (REPUBLICA FEDERAL DE),AUSTRIA (REPUBLICA DE)</v>
      </c>
      <c r="EZ20" s="3" t="str">
        <f>_xlfn.XLOOKUP(B20,'BASE DE EXCEL'!$C:$C,'BASE DE EXCEL'!BT:BT,"NO HAY REFERENCIA")</f>
        <v>PAISES BAJOS (REINO DE LOS) (HOLANDA)</v>
      </c>
      <c r="FA20" s="3" t="str">
        <f>_xlfn.XLOOKUP(B20,'BASE DE EXCEL'!$C:$C,'BASE DE EXCEL'!BU:BU,"NO HAY REFERENCIA")</f>
        <v>AUT,DEU</v>
      </c>
      <c r="FB20" s="3" t="str">
        <f>_xlfn.XLOOKUP(B20,'BASE DE EXCEL'!$C:$C,'BASE DE EXCEL'!BV:BV,"NO HAY REFERENCIA")</f>
        <v>ZYA</v>
      </c>
      <c r="FC20" s="3">
        <f>_xlfn.XLOOKUP(B20,QUERY!$C:$C,QUERY!D:D)</f>
        <v>430</v>
      </c>
      <c r="FD20" s="4">
        <f>_xlfn.XLOOKUP(B20,QUERY!$C:$C,QUERY!E:E)</f>
        <v>46045</v>
      </c>
      <c r="FE20" s="3">
        <f>_xlfn.XLOOKUP(B20,QUERY!$C:$C,QUERY!F:F)</f>
        <v>1</v>
      </c>
      <c r="FF20" s="4">
        <f>_xlfn.XLOOKUP(B20,QUERY!$C:$C,QUERY!G:G)</f>
        <v>46043</v>
      </c>
      <c r="FG20" s="4">
        <f>_xlfn.XLOOKUP(B20,QUERY!$C:$C,QUERY!H:H)</f>
        <v>46045</v>
      </c>
      <c r="FH20" s="3">
        <f>_xlfn.XLOOKUP(B20,QUERY!$C:$C,QUERY!I:I)</f>
        <v>2</v>
      </c>
      <c r="FI20" s="3" t="str">
        <f>_xlfn.XLOOKUP(B20,QUERY!$C:$C,QUERY!J:J)</f>
        <v>2 a 3 días</v>
      </c>
      <c r="FJ20" s="4">
        <f>_xlfn.XLOOKUP(B20,QUERY!$C:$C,QUERY!K:K)</f>
        <v>46046</v>
      </c>
      <c r="FK20" s="3">
        <f>_xlfn.XLOOKUP(B20,QUERY!$C:$C,QUERY!L:L)</f>
        <v>2</v>
      </c>
      <c r="FL20" s="3" t="str">
        <f>_xlfn.XLOOKUP(B20,QUERY!$C:$C,QUERY!M:M)</f>
        <v>2 a 3 días</v>
      </c>
      <c r="FM20" s="3">
        <f>_xlfn.XLOOKUP(B20,QUERY!$C:$C,QUERY!N:N)</f>
        <v>1</v>
      </c>
      <c r="FN20" s="3" t="str">
        <f>_xlfn.XLOOKUP(B20,QUERY!$C:$C,QUERY!O:O)</f>
        <v>1 día o menos</v>
      </c>
      <c r="FO20" s="3">
        <f>_xlfn.XLOOKUP(B20,QUERY!$C:$C,QUERY!P:P)</f>
        <v>1</v>
      </c>
      <c r="FP20" s="3">
        <f>_xlfn.XLOOKUP(B20,QUERY!$C:$C,QUERY!Q:Q)</f>
        <v>2</v>
      </c>
      <c r="FQ20" s="3" t="str">
        <f>_xlfn.XLOOKUP(B20,QUERY!$C:$C,QUERY!R:R)</f>
        <v>2 a 3 días</v>
      </c>
      <c r="FR20" s="4">
        <f>_xlfn.XLOOKUP(B20,QUERY!$C:$C,QUERY!S:S)</f>
        <v>46048</v>
      </c>
      <c r="FS20" s="3">
        <f>_xlfn.XLOOKUP(B20,QUERY!$C:$C,QUERY!T:T)</f>
        <v>3</v>
      </c>
      <c r="FT20" s="3" t="str">
        <f>_xlfn.XLOOKUP(B20,QUERY!$C:$C,QUERY!U:U)</f>
        <v>2 a 3 días</v>
      </c>
      <c r="FU20" s="3">
        <f>_xlfn.XLOOKUP(B20,QUERY!$C:$C,QUERY!V:V)</f>
        <v>9</v>
      </c>
      <c r="FV20" s="3" t="str">
        <f>_xlfn.XLOOKUP(B20,QUERY!$C:$C,QUERY!W:W)</f>
        <v>6 a 10 días</v>
      </c>
      <c r="FW20" s="4">
        <f>_xlfn.XLOOKUP(B20,QUERY!$C:$C,QUERY!X:X)</f>
        <v>46056</v>
      </c>
      <c r="FX20" s="3">
        <f>_xlfn.XLOOKUP(B20,QUERY!$C:$C,QUERY!Y:Y)</f>
        <v>6</v>
      </c>
      <c r="FY20" s="3">
        <f>_xlfn.XLOOKUP(B20,QUERY!$C:$C,QUERY!Z:Z)</f>
        <v>6</v>
      </c>
      <c r="FZ20" s="4" t="str">
        <f>_xlfn.XLOOKUP(B20,QUERY!$C:$C,QUERY!AA:AA)</f>
        <v>6 a 10 días</v>
      </c>
      <c r="GA20" s="4">
        <f>_xlfn.XLOOKUP(B20,QUERY!$C:$C,QUERY!AB:AB)</f>
        <v>46056</v>
      </c>
      <c r="GB20" s="4">
        <f>_xlfn.XLOOKUP(B20,QUERY!$C:$C,QUERY!AC:AC)</f>
        <v>46056</v>
      </c>
      <c r="GC20" s="3">
        <f>_xlfn.XLOOKUP(B20,QUERY!$C:$C,QUERY!AD:AD)</f>
        <v>0</v>
      </c>
      <c r="GD20" s="4">
        <f>_xlfn.XLOOKUP(B20,QUERY!$C:$C,QUERY!AE:AE)</f>
        <v>46056</v>
      </c>
      <c r="GE20" s="3">
        <f>_xlfn.XLOOKUP(B20,QUERY!$C:$C,QUERY!AF:AF)</f>
        <v>1</v>
      </c>
      <c r="GF20" s="4" t="str">
        <f>_xlfn.XLOOKUP(B20,QUERY!$C:$C,QUERY!AG:AG)</f>
        <v>Es anterior</v>
      </c>
      <c r="GG20" s="3" t="str">
        <f>_xlfn.XLOOKUP(B20,QUERY!$C:$C,QUERY!AH:AH)</f>
        <v>A1</v>
      </c>
      <c r="GH20" s="3" t="str">
        <f>_xlfn.XLOOKUP(B20,QUERY!$C:$C,QUERY!AI:AI)</f>
        <v>ZULEIMA PEREZ RUIZ</v>
      </c>
      <c r="GI20" s="3" t="str">
        <f>_xlfn.XLOOKUP(B20,QUERY!$C:$C,QUERY!AJ:AJ)</f>
        <v>HLCUANR251210340</v>
      </c>
      <c r="GJ20" s="3" t="str">
        <f>_xlfn.XLOOKUP(B20,QUERY!$C:$C,QUERY!AK:AK)</f>
        <v>NULL</v>
      </c>
      <c r="GK20" s="3">
        <f>_xlfn.XLOOKUP(B20,QUERY!$C:$C,QUERY!AL:AL)</f>
        <v>6000095</v>
      </c>
      <c r="GL20" s="3" t="str">
        <f>_xlfn.XLOOKUP(B20,QUERY!$C:$C,QUERY!AM:AM)</f>
        <v>Importación</v>
      </c>
      <c r="GM20" s="3" t="str">
        <f>_xlfn.XLOOKUP(B20,QUERY!$C:$C,QUERY!AN:AN)</f>
        <v>IMPLEMAX (MEDICAMENTO DOSIFICADO DE USO VETERINARIO)</v>
      </c>
      <c r="GN20" s="3" t="str">
        <f>_xlfn.XLOOKUP(B20,QUERY!$C:$C,QUERY!AO:AO)</f>
        <v>SIN CLASIFICACION</v>
      </c>
      <c r="GO20" s="3">
        <f>_xlfn.XLOOKUP(B20,QUERY!$C:$C,QUERY!AP:AP)</f>
        <v>0</v>
      </c>
      <c r="GP20" s="3" t="str">
        <f>_xlfn.XLOOKUP(B20,QUERY!$C:$C,QUERY!AQ:AQ)</f>
        <v>Cargas de Importación</v>
      </c>
      <c r="GQ20" s="3" t="str">
        <f>_xlfn.XLOOKUP(B20,QUERY!$C:$C,QUERY!AR:AR)</f>
        <v>INTERVET MEXICO SA DE CV</v>
      </c>
      <c r="GR20" s="3">
        <f>_xlfn.XLOOKUP(B20,QUERY!$C:$C,QUERY!AS:AS)</f>
        <v>0</v>
      </c>
      <c r="GS20" s="3">
        <f>_xlfn.XLOOKUP(B20,QUERY!$C:$C,QUERY!AT:AT)</f>
        <v>0</v>
      </c>
      <c r="GT20" s="3">
        <f>_xlfn.XLOOKUP(B20,QUERY!$C:$C,QUERY!AU:AU)</f>
        <v>0</v>
      </c>
      <c r="GU20" s="3">
        <f>_xlfn.XLOOKUP(B20,QUERY!$C:$C,QUERY!AV:AV)</f>
        <v>0</v>
      </c>
      <c r="GV20" s="3" t="str">
        <f>_xlfn.XLOOKUP(B20,QUERY!$C:$C,QUERY!AW:AW)</f>
        <v>PRODUCTO TERMINADO</v>
      </c>
      <c r="GW20" s="3" t="str">
        <f>_xlfn.XLOOKUP(B20,QUERY!$C:$C,QUERY!AX:AX)</f>
        <v>Verde</v>
      </c>
      <c r="GX20" s="3" t="str">
        <f>_xlfn.XLOOKUP(B20,QUERY!$C:$C,QUERY!AY:AY)</f>
        <v xml:space="preserve"> SUPER EXPRESS DE CARGA FEDERAL S.A. DE C.V.</v>
      </c>
      <c r="GY20" s="3">
        <f>_xlfn.XLOOKUP(B20,QUERY!$C:$C,QUERY!AZ:AZ)</f>
        <v>0</v>
      </c>
      <c r="GZ20" s="3" t="str">
        <f>_xlfn.XLOOKUP(B20,QUERY!$C:$C,QUERY!BA:BA)</f>
        <v>IME-T005</v>
      </c>
      <c r="HA20" s="3" t="str">
        <f>_xlfn.XLOOKUP(B20,QUERY!$C:$C,QUERY!BB:BB)</f>
        <v>IME850329RH2</v>
      </c>
      <c r="HB20" s="3">
        <f>_xlfn.XLOOKUP(B20,QUERY!$C:$C,QUERY!BC:BC)</f>
        <v>0</v>
      </c>
      <c r="HC20" s="3">
        <f>_xlfn.XLOOKUP(B20,QUERY!$C:$C,QUERY!BD:BD)</f>
        <v>0.99</v>
      </c>
      <c r="HD20" s="3" t="str">
        <f>_xlfn.XLOOKUP(B20,QUERY!$C:$C,QUERY!BE:BE)</f>
        <v>LOTE: A669T01,LOTE: 25E4006C01,LOTE: 25N4017A02,LOTE: 25N3005A08,LOTE: 25N1002A12,LOTE: 5732106,LOTE: 5660103</v>
      </c>
      <c r="HE20" s="3">
        <f>_xlfn.XLOOKUP(B20,QUERY!$C:$C,QUERY!BF:BF)</f>
        <v>90</v>
      </c>
      <c r="HF20" s="3" t="str">
        <f>_xlfn.XLOOKUP(B20,QUERY!$C:$C,QUERY!BG:BG)</f>
        <v xml:space="preserve"> 5475856.92, 466125.84</v>
      </c>
      <c r="HG20" s="3" t="str">
        <f>_xlfn.XLOOKUP(B20,QUERY!$C:$C,QUERY!BH:BH)</f>
        <v>KILO,KILO,KILO,KILO,KILO,KILO,KILO</v>
      </c>
      <c r="HH20" s="3">
        <f>_xlfn.XLOOKUP(B20,QUERY!$C:$C,QUERY!BI:BI)</f>
        <v>0</v>
      </c>
      <c r="HI20" s="3" t="str">
        <f>_xlfn.XLOOKUP(B20,QUERY!$C:$C,QUERY!BJ:BJ)</f>
        <v>ALEMANIA (REPUBLICA FEDERAL DE),AUSTRIA (REPUBLICA DE)</v>
      </c>
      <c r="HJ20" s="3" t="str">
        <f>_xlfn.XLOOKUP(B20,QUERY!$C:$C,QUERY!BK:BK)</f>
        <v>PAISES BAJOS (REINO DE LOS) (HOLANDA)</v>
      </c>
      <c r="HK20" s="3" t="str">
        <f>_xlfn.XLOOKUP(B20,QUERY!$C:$C,QUERY!BL:BL)</f>
        <v>AUT,DEU</v>
      </c>
      <c r="HL20" s="3" t="str">
        <f>_xlfn.XLOOKUP(B20,QUERY!$C:$C,QUERY!BM:BM)</f>
        <v>ZYA</v>
      </c>
      <c r="HM20" s="3">
        <f>_xlfn.XLOOKUP(B20,QUERY!$C:$C,QUERY!BN:BN)</f>
        <v>5941983</v>
      </c>
      <c r="HN20" s="3" t="str">
        <f>_xlfn.XLOOKUP(B20,QUERY!$C:$C,QUERY!BO:BO)</f>
        <v>27166.00</v>
      </c>
      <c r="HO20" s="3" t="str">
        <f>_xlfn.XLOOKUP(B20,QUERY!$C:$C,QUERY!BP:BP)</f>
        <v>NULL</v>
      </c>
      <c r="HP20" s="3" t="str">
        <f>_xlfn.XLOOKUP(B20,QUERY!$C:$C,QUERY!BQ:BQ)</f>
        <v>339570.00</v>
      </c>
      <c r="HQ20" s="3" t="str">
        <f>_xlfn.XLOOKUP(B20,QUERY!$C:$C,QUERY!BR:BR)</f>
        <v>130942.87</v>
      </c>
      <c r="HR20" s="3">
        <f>_xlfn.XLOOKUP(B20,QUERY!$C:$C,QUERY!BS:BS)</f>
        <v>0</v>
      </c>
      <c r="HS20" s="3">
        <f>_xlfn.XLOOKUP(B20,QUERY!$C:$C,QUERY!BT:BT)</f>
        <v>0</v>
      </c>
      <c r="HT20" s="3" t="str">
        <f>_xlfn.XLOOKUP(B20,QUERY!$C:$C,QUERY!A:A)</f>
        <v>VERACRUZ</v>
      </c>
      <c r="HU20" s="3" t="str">
        <f>_xlfn.XLOOKUP(B20,QUERY!$C:$C,QUERY!B:B)</f>
        <v>MARÍTIMO VERACRUZ</v>
      </c>
    </row>
    <row r="21" spans="1:229" x14ac:dyDescent="0.25">
      <c r="A21" s="3" t="s">
        <v>90</v>
      </c>
      <c r="B21" s="8" t="s">
        <v>128</v>
      </c>
      <c r="C21" s="3">
        <v>3942</v>
      </c>
      <c r="D21" s="3">
        <v>6000095</v>
      </c>
      <c r="E21" s="3"/>
      <c r="F21" s="3" t="s">
        <v>92</v>
      </c>
      <c r="G21" s="3" t="s">
        <v>93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430</v>
      </c>
      <c r="S21" s="3" t="s">
        <v>129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 t="s">
        <v>139</v>
      </c>
      <c r="AB21" s="3"/>
      <c r="AC21" s="3">
        <v>64996</v>
      </c>
      <c r="AD21" s="3">
        <v>112.84028000000001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/>
      <c r="AP21" s="3" t="s">
        <v>98</v>
      </c>
      <c r="AQ21" s="3">
        <v>210361015</v>
      </c>
      <c r="AR21" s="3" t="s">
        <v>99</v>
      </c>
      <c r="AS21" s="3" t="s">
        <v>100</v>
      </c>
      <c r="AT21" s="3">
        <v>0</v>
      </c>
      <c r="AU21" s="3">
        <v>0</v>
      </c>
      <c r="AV21" s="3">
        <v>0</v>
      </c>
      <c r="AW21" s="3">
        <v>30043299</v>
      </c>
      <c r="AX21" s="3">
        <v>0</v>
      </c>
      <c r="AY21" s="3">
        <v>576</v>
      </c>
      <c r="AZ21" s="3">
        <v>576</v>
      </c>
      <c r="BA21" s="3" t="s">
        <v>103</v>
      </c>
      <c r="BB21" s="3"/>
      <c r="BC21" s="3" t="s">
        <v>126</v>
      </c>
      <c r="BD21" s="3" t="s">
        <v>105</v>
      </c>
      <c r="BE21" s="3"/>
      <c r="BF21" s="3"/>
      <c r="BG21" s="5"/>
      <c r="BH21" s="3"/>
      <c r="BI21" s="3"/>
      <c r="BJ21" s="3"/>
      <c r="BK21" s="3" t="s">
        <v>140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 t="s">
        <v>111</v>
      </c>
      <c r="CF21" s="3">
        <v>0</v>
      </c>
      <c r="CG21" s="3">
        <v>0</v>
      </c>
      <c r="CH21" s="3">
        <v>0</v>
      </c>
      <c r="CI21" s="3" t="s">
        <v>112</v>
      </c>
      <c r="CJ21" s="3" t="s">
        <v>112</v>
      </c>
      <c r="CK21" s="3">
        <f>_xlfn.XLOOKUP($B$2,'BASE DE EXCEL'!C:C,'BASE DE EXCEL'!D:D,"NO HAY REFERENCIA")</f>
        <v>470</v>
      </c>
      <c r="CL21" s="5">
        <f>_xlfn.XLOOKUP($B$2,'BASE DE EXCEL'!$C:$C,'BASE DE EXCEL'!F:F,"NO HAY REFERENCIA")</f>
        <v>3</v>
      </c>
      <c r="CM21" s="4">
        <f>_xlfn.XLOOKUP($B$2,'BASE DE EXCEL'!$C:$C,'BASE DE EXCEL'!G:G,"NO HAY REFERENCIA")</f>
        <v>46080</v>
      </c>
      <c r="CN21" s="4">
        <f>_xlfn.XLOOKUP($B$2,'BASE DE EXCEL'!$C:$C,'BASE DE EXCEL'!H:H,"NO HAY REFERENCIA")</f>
        <v>46086</v>
      </c>
      <c r="CO21" s="3">
        <f>_xlfn.XLOOKUP($B$2,'BASE DE EXCEL'!$C:$C,'BASE DE EXCEL'!I:I,"NO HAY REFERENCIA")</f>
        <v>4</v>
      </c>
      <c r="CP21" s="3" t="str">
        <f>_xlfn.XLOOKUP($B$2,'BASE DE EXCEL'!$C:$C,'BASE DE EXCEL'!J:J,"NO HAY REFERENCIA")</f>
        <v>4 a 5 días</v>
      </c>
      <c r="CQ21" s="4">
        <f>_xlfn.XLOOKUP($B$2,'BASE DE EXCEL'!$C:$C,'BASE DE EXCEL'!K:K,"NO HAY REFERENCIA")</f>
        <v>46087</v>
      </c>
      <c r="CR21" s="3">
        <f>_xlfn.XLOOKUP($B$2,'BASE DE EXCEL'!$C:$C,'BASE DE EXCEL'!L:L,"NO HAY REFERENCIA")</f>
        <v>5</v>
      </c>
      <c r="CS21" s="3">
        <f>_xlfn.XLOOKUP($B$2,'BASE DE EXCEL'!$C:$C,'BASE DE EXCEL'!M:M,"NO HAY REFERENCIA")</f>
        <v>6</v>
      </c>
      <c r="CT21" s="3" t="str">
        <f>_xlfn.XLOOKUP($B$2,'BASE DE EXCEL'!$C:$C,'BASE DE EXCEL'!N:N,"NO HAY REFERENCIA")</f>
        <v>6 a 10 días</v>
      </c>
      <c r="CU21" s="3" t="str">
        <f>_xlfn.XLOOKUP($B$2,'BASE DE EXCEL'!$C:$C,'BASE DE EXCEL'!O:O,"NO HAY REFERENCIA")</f>
        <v>On Time</v>
      </c>
      <c r="CV21" s="3" t="str">
        <f>_xlfn.XLOOKUP(B21,'BASE DE EXCEL'!$C:$C,'BASE DE EXCEL'!P:P,"NO HAY REFERENCIA")</f>
        <v>2 a 3 días</v>
      </c>
      <c r="CW21" s="4">
        <f>_xlfn.XLOOKUP(B21,'BASE DE EXCEL'!$C:$C,'BASE DE EXCEL'!Q:Q,"NO HAY REFERENCIA")</f>
        <v>46048</v>
      </c>
      <c r="CX21" s="3">
        <f>_xlfn.XLOOKUP(B21,'BASE DE EXCEL'!$C:$C,'BASE DE EXCEL'!R:R,"NO HAY REFERENCIA")</f>
        <v>4</v>
      </c>
      <c r="CY21" s="3" t="str">
        <f>_xlfn.XLOOKUP(B21,'BASE DE EXCEL'!$C:$C,'BASE DE EXCEL'!S:S,"NO HAY REFERENCIA")</f>
        <v>4 a 5 días</v>
      </c>
      <c r="CZ21" s="3" t="str">
        <f>_xlfn.XLOOKUP(B21,'BASE DE EXCEL'!$C:$C,'BASE DE EXCEL'!T:T,"NO HAY REFERENCIA")</f>
        <v>On Time</v>
      </c>
      <c r="DA21" s="3">
        <f>_xlfn.XLOOKUP(B21,'BASE DE EXCEL'!$C:$C,'BASE DE EXCEL'!U:U,"NO HAY REFERENCIA")</f>
        <v>5</v>
      </c>
      <c r="DB21" s="3" t="str">
        <f>_xlfn.XLOOKUP(B21,'BASE DE EXCEL'!$C:$C,'BASE DE EXCEL'!V:V,"NO HAY REFERENCIA")</f>
        <v>2 a 3 días</v>
      </c>
      <c r="DC21" s="3">
        <f>_xlfn.XLOOKUP(B21,'BASE DE EXCEL'!$C:$C,'BASE DE EXCEL'!W:W,"NO HAY REFERENCIA")</f>
        <v>9</v>
      </c>
      <c r="DD21" s="3" t="str">
        <f>_xlfn.XLOOKUP(B21,'BASE DE EXCEL'!$C:$C,'BASE DE EXCEL'!X:X,"NO HAY REFERENCIA")</f>
        <v>6 a 10 días</v>
      </c>
      <c r="DE21" s="3">
        <f>_xlfn.XLOOKUP(B21,'BASE DE EXCEL'!$C:$C,'BASE DE EXCEL'!Y:Y,"NO HAY REFERENCIA")</f>
        <v>1</v>
      </c>
      <c r="DF21" s="3" t="str">
        <f>_xlfn.XLOOKUP(B21,'BASE DE EXCEL'!$C:$C,'BASE DE EXCEL'!Z:Z,"NO HAY REFERENCIA")</f>
        <v>1 día o menos</v>
      </c>
      <c r="DG21" s="3">
        <f>_xlfn.XLOOKUP(B21,'BASE DE EXCEL'!$C:$C,'BASE DE EXCEL'!AA:AA,"NO HAY REFERENCIA")</f>
        <v>2</v>
      </c>
      <c r="DH21" s="3">
        <f>_xlfn.XLOOKUP(B21,'BASE DE EXCEL'!$C:$C,'BASE DE EXCEL'!AB:AB,"NO HAY REFERENCIA")</f>
        <v>2</v>
      </c>
      <c r="DI21" s="3" t="str">
        <f>_xlfn.XLOOKUP(B21,'BASE DE EXCEL'!$C:$C,'BASE DE EXCEL'!AC:AC,"NO HAY REFERENCIA")</f>
        <v>2 a 3 días</v>
      </c>
      <c r="DJ21" s="4">
        <f>_xlfn.XLOOKUP(B21,'BASE DE EXCEL'!$C:$C,'BASE DE EXCEL'!AD:AD,"NO HAY REFERENCIA")</f>
        <v>46056</v>
      </c>
      <c r="DK21" s="3">
        <f>_xlfn.XLOOKUP(B21,'BASE DE EXCEL'!$C:$C,'BASE DE EXCEL'!AE:AE,"NO HAY REFERENCIA")</f>
        <v>8</v>
      </c>
      <c r="DL21" s="3">
        <f>_xlfn.XLOOKUP(B21,'BASE DE EXCEL'!$C:$C,'BASE DE EXCEL'!AF:AF,"NO HAY REFERENCIA")</f>
        <v>6</v>
      </c>
      <c r="DM21" s="4">
        <f>_xlfn.XLOOKUP(B21,'BASE DE EXCEL'!$C:$C,'BASE DE EXCEL'!AG:AG,"NO HAY REFERENCIA")</f>
        <v>46056</v>
      </c>
      <c r="DN21" s="4">
        <f>_xlfn.XLOOKUP(B21,'BASE DE EXCEL'!$C:$C,'BASE DE EXCEL'!AH:AH,"NO HAY REFERENCIA")</f>
        <v>46056</v>
      </c>
      <c r="DO21" s="3">
        <f>_xlfn.XLOOKUP(B21,'BASE DE EXCEL'!$C:$C,'BASE DE EXCEL'!AI:AI,"NO HAY REFERENCIA")</f>
        <v>0</v>
      </c>
      <c r="DP21" s="4" t="str">
        <f>_xlfn.XLOOKUP(B21,'BASE DE EXCEL'!$C:$C,'BASE DE EXCEL'!AJ:AJ,"NO HAY REFERENCIA")</f>
        <v>6 a 10 días</v>
      </c>
      <c r="DQ21" s="4">
        <f>_xlfn.XLOOKUP(B21,'BASE DE EXCEL'!$C:$C,'BASE DE EXCEL'!AK:AK,"NO HAY REFERENCIA")</f>
        <v>46056</v>
      </c>
      <c r="DR21" s="3">
        <f>_xlfn.XLOOKUP(B21,'BASE DE EXCEL'!$C:$C,'BASE DE EXCEL'!AL:AL,"NO HAY REFERENCIA")</f>
        <v>6</v>
      </c>
      <c r="DS21" s="3" t="str">
        <f>_xlfn.XLOOKUP(B21,'BASE DE EXCEL'!$C:$C,'BASE DE EXCEL'!AM:AM,"NO HAY REFERENCIA")</f>
        <v>6 a 10 días</v>
      </c>
      <c r="DT21" s="3" t="str">
        <f>_xlfn.XLOOKUP(B21,'BASE DE EXCEL'!$C:$C,'BASE DE EXCEL'!AN:AN,"NO HAY REFERENCIA")</f>
        <v>On Time</v>
      </c>
      <c r="DU21" s="3">
        <f>_xlfn.XLOOKUP(B21,'BASE DE EXCEL'!$C:$C,'BASE DE EXCEL'!AO:AO,"NO HAY REFERENCIA")</f>
        <v>1</v>
      </c>
      <c r="DV21" s="3" t="str">
        <f>_xlfn.XLOOKUP(B21,'BASE DE EXCEL'!$C:$C,'BASE DE EXCEL'!AP:AP,"NO HAY REFERENCIA")</f>
        <v>Es anterior</v>
      </c>
      <c r="DW21" s="3" t="str">
        <f>_xlfn.XLOOKUP(B21,'BASE DE EXCEL'!$C:$C,'BASE DE EXCEL'!AQ:AQ,"NO HAY REFERENCIA")</f>
        <v>A1</v>
      </c>
      <c r="DX21" s="3" t="str">
        <f>_xlfn.XLOOKUP(B21,'BASE DE EXCEL'!$C:$C,'BASE DE EXCEL'!AR:AR,"NO HAY REFERENCIA")</f>
        <v>ZULEIMA PEREZ RUIZ</v>
      </c>
      <c r="DY21" s="3" t="str">
        <f>_xlfn.XLOOKUP(B21,'BASE DE EXCEL'!$C:$C,'BASE DE EXCEL'!AS:AS,"NO HAY REFERENCIA")</f>
        <v>HLCUANR251210340</v>
      </c>
      <c r="DZ21" s="3" t="str">
        <f>_xlfn.XLOOKUP(B21,'BASE DE EXCEL'!$C:$C,'BASE DE EXCEL'!AT:AT,"NO HAY REFERENCIA")</f>
        <v>NULL</v>
      </c>
      <c r="EA21" s="3">
        <f>_xlfn.XLOOKUP(B21,'BASE DE EXCEL'!$C:$C,'BASE DE EXCEL'!AU:AU,"NO HAY REFERENCIA")</f>
        <v>6000095</v>
      </c>
      <c r="EB21" s="3" t="str">
        <f>_xlfn.XLOOKUP(B21,'BASE DE EXCEL'!$C:$C,'BASE DE EXCEL'!AV:AV,"NO HAY REFERENCIA")</f>
        <v>Importación</v>
      </c>
      <c r="EC21" s="3" t="str">
        <f>_xlfn.XLOOKUP(B21,'BASE DE EXCEL'!$C:$C,'BASE DE EXCEL'!AW:AW,"NO HAY REFERENCIA")</f>
        <v>IMPLEMAX (MEDICAMENTO DOSIFICADO DE USO VETERINARIO)</v>
      </c>
      <c r="ED21" s="3" t="str">
        <f>_xlfn.XLOOKUP(B21,'BASE DE EXCEL'!$C:$C,'BASE DE EXCEL'!AX:AX,"NO HAY REFERENCIA")</f>
        <v>SIN CLASIFICACION</v>
      </c>
      <c r="EE21" s="3">
        <f>_xlfn.XLOOKUP(B21,'BASE DE EXCEL'!$C:$C,'BASE DE EXCEL'!AY:AY,"NO HAY REFERENCIA")</f>
        <v>0</v>
      </c>
      <c r="EF21" s="3" t="str">
        <f>_xlfn.XLOOKUP(B21,'BASE DE EXCEL'!$C:$C,'BASE DE EXCEL'!AZ:AZ,"NO HAY REFERENCIA")</f>
        <v>Cargas de Importación</v>
      </c>
      <c r="EG21" s="3" t="str">
        <f>_xlfn.XLOOKUP(B21,'BASE DE EXCEL'!$C:$C,'BASE DE EXCEL'!BA:BA,"NO HAY REFERENCIA")</f>
        <v>INTERVET MEXICO SA DE CV</v>
      </c>
      <c r="EH21" s="3">
        <f>_xlfn.XLOOKUP(B21,'BASE DE EXCEL'!$C:$C,'BASE DE EXCEL'!BB:BB,"NO HAY REFERENCIA")</f>
        <v>0</v>
      </c>
      <c r="EI21" s="3">
        <f>_xlfn.XLOOKUP(B21,'BASE DE EXCEL'!$C:$C,'BASE DE EXCEL'!BC:BC,"NO HAY REFERENCIA")</f>
        <v>0</v>
      </c>
      <c r="EJ21" s="3">
        <f>_xlfn.XLOOKUP(B21,'BASE DE EXCEL'!$C:$C,'BASE DE EXCEL'!BD:BD,"NO HAY REFERENCIA")</f>
        <v>0</v>
      </c>
      <c r="EK21" s="3">
        <f>_xlfn.XLOOKUP(B21,'BASE DE EXCEL'!$C:$C,'BASE DE EXCEL'!BE:BE,"NO HAY REFERENCIA")</f>
        <v>0</v>
      </c>
      <c r="EL21" s="3" t="str">
        <f>_xlfn.XLOOKUP(B21,'BASE DE EXCEL'!$C:$C,'BASE DE EXCEL'!BF:BF,"NO HAY REFERENCIA")</f>
        <v>PRODUCTO TERMINADO</v>
      </c>
      <c r="EM21" s="3" t="str">
        <f>_xlfn.XLOOKUP(B21,'BASE DE EXCEL'!$C:$C,'BASE DE EXCEL'!BG:BG,"NO HAY REFERENCIA")</f>
        <v>Verde</v>
      </c>
      <c r="EN21" s="3" t="str">
        <f>_xlfn.XLOOKUP(B21,'BASE DE EXCEL'!$C:$C,'BASE DE EXCEL'!BH:BH,"NO HAY REFERENCIA")</f>
        <v xml:space="preserve"> SUPER EXPRESS DE CARGA FEDERAL S.A. DE C.V.</v>
      </c>
      <c r="EO21" s="3">
        <f>_xlfn.XLOOKUP(B21,'BASE DE EXCEL'!$C:$C,'BASE DE EXCEL'!BI:BI,"NO HAY REFERENCIA")</f>
        <v>0</v>
      </c>
      <c r="EP21" s="3" t="str">
        <f>_xlfn.XLOOKUP(B21,'BASE DE EXCEL'!$C:$C,'BASE DE EXCEL'!BJ:BJ,"NO HAY REFERENCIA")</f>
        <v>IME-T005</v>
      </c>
      <c r="EQ21" s="3" t="str">
        <f>_xlfn.XLOOKUP(B21,'BASE DE EXCEL'!$C:$C,'BASE DE EXCEL'!BK:BK,"NO HAY REFERENCIA")</f>
        <v>IME850329RH2</v>
      </c>
      <c r="ER21" s="3">
        <f>_xlfn.XLOOKUP(B21,'BASE DE EXCEL'!$C:$C,'BASE DE EXCEL'!BL:BL,"NO HAY REFERENCIA")</f>
        <v>0</v>
      </c>
      <c r="ES21" s="3" t="str">
        <f>_xlfn.XLOOKUP(B21,'BASE DE EXCEL'!$C:$C,'BASE DE EXCEL'!BM:BM,"NO HAY REFERENCIA")</f>
        <v>00,99</v>
      </c>
      <c r="ET21" s="3" t="str">
        <f>_xlfn.XLOOKUP(B21,'BASE DE EXCEL'!$C:$C,'BASE DE EXCEL'!BN:BN,"NO HAY REFERENCIA")</f>
        <v>LOTE: A669T01,LOTE: 25E4006C01,LOTE: 25N4017A02,LOTE: 25N3005A08,LOTE: 25N1002A12,LOTE: 5732106,LOTE: 5660103</v>
      </c>
      <c r="EU21" s="3">
        <f>_xlfn.XLOOKUP(B21,'BASE DE EXCEL'!$C:$C,'BASE DE EXCEL'!BO:BO,"NO HAY REFERENCIA")</f>
        <v>90</v>
      </c>
      <c r="EV21" s="3" t="str">
        <f>_xlfn.XLOOKUP(B21,'BASE DE EXCEL'!$C:$C,'BASE DE EXCEL'!BP:BP,"NO HAY REFERENCIA")</f>
        <v xml:space="preserve"> 5475856.92, 466125.84</v>
      </c>
      <c r="EW21" s="3" t="str">
        <f>_xlfn.XLOOKUP(B21,'BASE DE EXCEL'!$C:$C,'BASE DE EXCEL'!BQ:BQ,"NO HAY REFERENCIA")</f>
        <v>KILO,KILO,KILO,KILO,KILO,KILO,KILO</v>
      </c>
      <c r="EX21" s="3">
        <f>_xlfn.XLOOKUP(B21,'BASE DE EXCEL'!$C:$C,'BASE DE EXCEL'!BR:BR,"NO HAY REFERENCIA")</f>
        <v>0</v>
      </c>
      <c r="EY21" s="3" t="str">
        <f>_xlfn.XLOOKUP(B21,'BASE DE EXCEL'!$C:$C,'BASE DE EXCEL'!BS:BS,"NO HAY REFERENCIA")</f>
        <v>ALEMANIA (REPUBLICA FEDERAL DE),AUSTRIA (REPUBLICA DE)</v>
      </c>
      <c r="EZ21" s="3" t="str">
        <f>_xlfn.XLOOKUP(B21,'BASE DE EXCEL'!$C:$C,'BASE DE EXCEL'!BT:BT,"NO HAY REFERENCIA")</f>
        <v>PAISES BAJOS (REINO DE LOS) (HOLANDA)</v>
      </c>
      <c r="FA21" s="3" t="str">
        <f>_xlfn.XLOOKUP(B21,'BASE DE EXCEL'!$C:$C,'BASE DE EXCEL'!BU:BU,"NO HAY REFERENCIA")</f>
        <v>AUT,DEU</v>
      </c>
      <c r="FB21" s="3" t="str">
        <f>_xlfn.XLOOKUP(B21,'BASE DE EXCEL'!$C:$C,'BASE DE EXCEL'!BV:BV,"NO HAY REFERENCIA")</f>
        <v>ZYA</v>
      </c>
      <c r="FC21" s="3">
        <f>_xlfn.XLOOKUP(B21,QUERY!$C:$C,QUERY!D:D)</f>
        <v>430</v>
      </c>
      <c r="FD21" s="4">
        <f>_xlfn.XLOOKUP(B21,QUERY!$C:$C,QUERY!E:E)</f>
        <v>46045</v>
      </c>
      <c r="FE21" s="3">
        <f>_xlfn.XLOOKUP(B21,QUERY!$C:$C,QUERY!F:F)</f>
        <v>1</v>
      </c>
      <c r="FF21" s="4">
        <f>_xlfn.XLOOKUP(B21,QUERY!$C:$C,QUERY!G:G)</f>
        <v>46043</v>
      </c>
      <c r="FG21" s="4">
        <f>_xlfn.XLOOKUP(B21,QUERY!$C:$C,QUERY!H:H)</f>
        <v>46045</v>
      </c>
      <c r="FH21" s="3">
        <f>_xlfn.XLOOKUP(B21,QUERY!$C:$C,QUERY!I:I)</f>
        <v>2</v>
      </c>
      <c r="FI21" s="3" t="str">
        <f>_xlfn.XLOOKUP(B21,QUERY!$C:$C,QUERY!J:J)</f>
        <v>2 a 3 días</v>
      </c>
      <c r="FJ21" s="4">
        <f>_xlfn.XLOOKUP(B21,QUERY!$C:$C,QUERY!K:K)</f>
        <v>46046</v>
      </c>
      <c r="FK21" s="3">
        <f>_xlfn.XLOOKUP(B21,QUERY!$C:$C,QUERY!L:L)</f>
        <v>2</v>
      </c>
      <c r="FL21" s="3" t="str">
        <f>_xlfn.XLOOKUP(B21,QUERY!$C:$C,QUERY!M:M)</f>
        <v>2 a 3 días</v>
      </c>
      <c r="FM21" s="3">
        <f>_xlfn.XLOOKUP(B21,QUERY!$C:$C,QUERY!N:N)</f>
        <v>1</v>
      </c>
      <c r="FN21" s="3" t="str">
        <f>_xlfn.XLOOKUP(B21,QUERY!$C:$C,QUERY!O:O)</f>
        <v>1 día o menos</v>
      </c>
      <c r="FO21" s="3">
        <f>_xlfn.XLOOKUP(B21,QUERY!$C:$C,QUERY!P:P)</f>
        <v>1</v>
      </c>
      <c r="FP21" s="3">
        <f>_xlfn.XLOOKUP(B21,QUERY!$C:$C,QUERY!Q:Q)</f>
        <v>2</v>
      </c>
      <c r="FQ21" s="3" t="str">
        <f>_xlfn.XLOOKUP(B21,QUERY!$C:$C,QUERY!R:R)</f>
        <v>2 a 3 días</v>
      </c>
      <c r="FR21" s="4">
        <f>_xlfn.XLOOKUP(B21,QUERY!$C:$C,QUERY!S:S)</f>
        <v>46048</v>
      </c>
      <c r="FS21" s="3">
        <f>_xlfn.XLOOKUP(B21,QUERY!$C:$C,QUERY!T:T)</f>
        <v>3</v>
      </c>
      <c r="FT21" s="3" t="str">
        <f>_xlfn.XLOOKUP(B21,QUERY!$C:$C,QUERY!U:U)</f>
        <v>2 a 3 días</v>
      </c>
      <c r="FU21" s="3">
        <f>_xlfn.XLOOKUP(B21,QUERY!$C:$C,QUERY!V:V)</f>
        <v>9</v>
      </c>
      <c r="FV21" s="3" t="str">
        <f>_xlfn.XLOOKUP(B21,QUERY!$C:$C,QUERY!W:W)</f>
        <v>6 a 10 días</v>
      </c>
      <c r="FW21" s="4">
        <f>_xlfn.XLOOKUP(B21,QUERY!$C:$C,QUERY!X:X)</f>
        <v>46056</v>
      </c>
      <c r="FX21" s="3">
        <f>_xlfn.XLOOKUP(B21,QUERY!$C:$C,QUERY!Y:Y)</f>
        <v>6</v>
      </c>
      <c r="FY21" s="3">
        <f>_xlfn.XLOOKUP(B21,QUERY!$C:$C,QUERY!Z:Z)</f>
        <v>6</v>
      </c>
      <c r="FZ21" s="4" t="str">
        <f>_xlfn.XLOOKUP(B21,QUERY!$C:$C,QUERY!AA:AA)</f>
        <v>6 a 10 días</v>
      </c>
      <c r="GA21" s="4">
        <f>_xlfn.XLOOKUP(B21,QUERY!$C:$C,QUERY!AB:AB)</f>
        <v>46056</v>
      </c>
      <c r="GB21" s="4">
        <f>_xlfn.XLOOKUP(B21,QUERY!$C:$C,QUERY!AC:AC)</f>
        <v>46056</v>
      </c>
      <c r="GC21" s="3">
        <f>_xlfn.XLOOKUP(B21,QUERY!$C:$C,QUERY!AD:AD)</f>
        <v>0</v>
      </c>
      <c r="GD21" s="4">
        <f>_xlfn.XLOOKUP(B21,QUERY!$C:$C,QUERY!AE:AE)</f>
        <v>46056</v>
      </c>
      <c r="GE21" s="3">
        <f>_xlfn.XLOOKUP(B21,QUERY!$C:$C,QUERY!AF:AF)</f>
        <v>1</v>
      </c>
      <c r="GF21" s="4" t="str">
        <f>_xlfn.XLOOKUP(B21,QUERY!$C:$C,QUERY!AG:AG)</f>
        <v>Es anterior</v>
      </c>
      <c r="GG21" s="3" t="str">
        <f>_xlfn.XLOOKUP(B21,QUERY!$C:$C,QUERY!AH:AH)</f>
        <v>A1</v>
      </c>
      <c r="GH21" s="3" t="str">
        <f>_xlfn.XLOOKUP(B21,QUERY!$C:$C,QUERY!AI:AI)</f>
        <v>ZULEIMA PEREZ RUIZ</v>
      </c>
      <c r="GI21" s="3" t="str">
        <f>_xlfn.XLOOKUP(B21,QUERY!$C:$C,QUERY!AJ:AJ)</f>
        <v>HLCUANR251210340</v>
      </c>
      <c r="GJ21" s="3" t="str">
        <f>_xlfn.XLOOKUP(B21,QUERY!$C:$C,QUERY!AK:AK)</f>
        <v>NULL</v>
      </c>
      <c r="GK21" s="3">
        <f>_xlfn.XLOOKUP(B21,QUERY!$C:$C,QUERY!AL:AL)</f>
        <v>6000095</v>
      </c>
      <c r="GL21" s="3" t="str">
        <f>_xlfn.XLOOKUP(B21,QUERY!$C:$C,QUERY!AM:AM)</f>
        <v>Importación</v>
      </c>
      <c r="GM21" s="3" t="str">
        <f>_xlfn.XLOOKUP(B21,QUERY!$C:$C,QUERY!AN:AN)</f>
        <v>IMPLEMAX (MEDICAMENTO DOSIFICADO DE USO VETERINARIO)</v>
      </c>
      <c r="GN21" s="3" t="str">
        <f>_xlfn.XLOOKUP(B21,QUERY!$C:$C,QUERY!AO:AO)</f>
        <v>SIN CLASIFICACION</v>
      </c>
      <c r="GO21" s="3">
        <f>_xlfn.XLOOKUP(B21,QUERY!$C:$C,QUERY!AP:AP)</f>
        <v>0</v>
      </c>
      <c r="GP21" s="3" t="str">
        <f>_xlfn.XLOOKUP(B21,QUERY!$C:$C,QUERY!AQ:AQ)</f>
        <v>Cargas de Importación</v>
      </c>
      <c r="GQ21" s="3" t="str">
        <f>_xlfn.XLOOKUP(B21,QUERY!$C:$C,QUERY!AR:AR)</f>
        <v>INTERVET MEXICO SA DE CV</v>
      </c>
      <c r="GR21" s="3">
        <f>_xlfn.XLOOKUP(B21,QUERY!$C:$C,QUERY!AS:AS)</f>
        <v>0</v>
      </c>
      <c r="GS21" s="3">
        <f>_xlfn.XLOOKUP(B21,QUERY!$C:$C,QUERY!AT:AT)</f>
        <v>0</v>
      </c>
      <c r="GT21" s="3">
        <f>_xlfn.XLOOKUP(B21,QUERY!$C:$C,QUERY!AU:AU)</f>
        <v>0</v>
      </c>
      <c r="GU21" s="3">
        <f>_xlfn.XLOOKUP(B21,QUERY!$C:$C,QUERY!AV:AV)</f>
        <v>0</v>
      </c>
      <c r="GV21" s="3" t="str">
        <f>_xlfn.XLOOKUP(B21,QUERY!$C:$C,QUERY!AW:AW)</f>
        <v>PRODUCTO TERMINADO</v>
      </c>
      <c r="GW21" s="3" t="str">
        <f>_xlfn.XLOOKUP(B21,QUERY!$C:$C,QUERY!AX:AX)</f>
        <v>Verde</v>
      </c>
      <c r="GX21" s="3" t="str">
        <f>_xlfn.XLOOKUP(B21,QUERY!$C:$C,QUERY!AY:AY)</f>
        <v xml:space="preserve"> SUPER EXPRESS DE CARGA FEDERAL S.A. DE C.V.</v>
      </c>
      <c r="GY21" s="3">
        <f>_xlfn.XLOOKUP(B21,QUERY!$C:$C,QUERY!AZ:AZ)</f>
        <v>0</v>
      </c>
      <c r="GZ21" s="3" t="str">
        <f>_xlfn.XLOOKUP(B21,QUERY!$C:$C,QUERY!BA:BA)</f>
        <v>IME-T005</v>
      </c>
      <c r="HA21" s="3" t="str">
        <f>_xlfn.XLOOKUP(B21,QUERY!$C:$C,QUERY!BB:BB)</f>
        <v>IME850329RH2</v>
      </c>
      <c r="HB21" s="3">
        <f>_xlfn.XLOOKUP(B21,QUERY!$C:$C,QUERY!BC:BC)</f>
        <v>0</v>
      </c>
      <c r="HC21" s="3">
        <f>_xlfn.XLOOKUP(B21,QUERY!$C:$C,QUERY!BD:BD)</f>
        <v>0.99</v>
      </c>
      <c r="HD21" s="3" t="str">
        <f>_xlfn.XLOOKUP(B21,QUERY!$C:$C,QUERY!BE:BE)</f>
        <v>LOTE: A669T01,LOTE: 25E4006C01,LOTE: 25N4017A02,LOTE: 25N3005A08,LOTE: 25N1002A12,LOTE: 5732106,LOTE: 5660103</v>
      </c>
      <c r="HE21" s="3">
        <f>_xlfn.XLOOKUP(B21,QUERY!$C:$C,QUERY!BF:BF)</f>
        <v>90</v>
      </c>
      <c r="HF21" s="3" t="str">
        <f>_xlfn.XLOOKUP(B21,QUERY!$C:$C,QUERY!BG:BG)</f>
        <v xml:space="preserve"> 5475856.92, 466125.84</v>
      </c>
      <c r="HG21" s="3" t="str">
        <f>_xlfn.XLOOKUP(B21,QUERY!$C:$C,QUERY!BH:BH)</f>
        <v>KILO,KILO,KILO,KILO,KILO,KILO,KILO</v>
      </c>
      <c r="HH21" s="3">
        <f>_xlfn.XLOOKUP(B21,QUERY!$C:$C,QUERY!BI:BI)</f>
        <v>0</v>
      </c>
      <c r="HI21" s="3" t="str">
        <f>_xlfn.XLOOKUP(B21,QUERY!$C:$C,QUERY!BJ:BJ)</f>
        <v>ALEMANIA (REPUBLICA FEDERAL DE),AUSTRIA (REPUBLICA DE)</v>
      </c>
      <c r="HJ21" s="3" t="str">
        <f>_xlfn.XLOOKUP(B21,QUERY!$C:$C,QUERY!BK:BK)</f>
        <v>PAISES BAJOS (REINO DE LOS) (HOLANDA)</v>
      </c>
      <c r="HK21" s="3" t="str">
        <f>_xlfn.XLOOKUP(B21,QUERY!$C:$C,QUERY!BL:BL)</f>
        <v>AUT,DEU</v>
      </c>
      <c r="HL21" s="3" t="str">
        <f>_xlfn.XLOOKUP(B21,QUERY!$C:$C,QUERY!BM:BM)</f>
        <v>ZYA</v>
      </c>
      <c r="HM21" s="3">
        <f>_xlfn.XLOOKUP(B21,QUERY!$C:$C,QUERY!BN:BN)</f>
        <v>5941983</v>
      </c>
      <c r="HN21" s="3" t="str">
        <f>_xlfn.XLOOKUP(B21,QUERY!$C:$C,QUERY!BO:BO)</f>
        <v>27166.00</v>
      </c>
      <c r="HO21" s="3" t="str">
        <f>_xlfn.XLOOKUP(B21,QUERY!$C:$C,QUERY!BP:BP)</f>
        <v>NULL</v>
      </c>
      <c r="HP21" s="3" t="str">
        <f>_xlfn.XLOOKUP(B21,QUERY!$C:$C,QUERY!BQ:BQ)</f>
        <v>339570.00</v>
      </c>
      <c r="HQ21" s="3" t="str">
        <f>_xlfn.XLOOKUP(B21,QUERY!$C:$C,QUERY!BR:BR)</f>
        <v>130942.87</v>
      </c>
      <c r="HR21" s="3">
        <f>_xlfn.XLOOKUP(B21,QUERY!$C:$C,QUERY!BS:BS)</f>
        <v>0</v>
      </c>
      <c r="HS21" s="3">
        <f>_xlfn.XLOOKUP(B21,QUERY!$C:$C,QUERY!BT:BT)</f>
        <v>0</v>
      </c>
      <c r="HT21" s="3" t="str">
        <f>_xlfn.XLOOKUP(B21,QUERY!$C:$C,QUERY!A:A)</f>
        <v>VERACRUZ</v>
      </c>
      <c r="HU21" s="3" t="str">
        <f>_xlfn.XLOOKUP(B21,QUERY!$C:$C,QUERY!B:B)</f>
        <v>MARÍTIMO VERACRUZ</v>
      </c>
    </row>
    <row r="22" spans="1:229" x14ac:dyDescent="0.25">
      <c r="A22" s="3" t="s">
        <v>90</v>
      </c>
      <c r="B22" s="8" t="s">
        <v>128</v>
      </c>
      <c r="C22" s="3">
        <v>3942</v>
      </c>
      <c r="D22" s="3">
        <v>6000095</v>
      </c>
      <c r="E22" s="3"/>
      <c r="F22" s="3" t="s">
        <v>92</v>
      </c>
      <c r="G22" s="3" t="s">
        <v>93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430</v>
      </c>
      <c r="S22" s="3" t="s">
        <v>129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125</v>
      </c>
      <c r="AB22" s="3"/>
      <c r="AC22" s="3">
        <v>401130</v>
      </c>
      <c r="AD22" s="3">
        <v>133.71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/>
      <c r="AP22" s="3" t="s">
        <v>98</v>
      </c>
      <c r="AQ22" s="3">
        <v>210361015</v>
      </c>
      <c r="AR22" s="3" t="s">
        <v>99</v>
      </c>
      <c r="AS22" s="3" t="s">
        <v>100</v>
      </c>
      <c r="AT22" s="3">
        <v>0</v>
      </c>
      <c r="AU22" s="3">
        <v>0</v>
      </c>
      <c r="AV22" s="3">
        <v>0</v>
      </c>
      <c r="AW22" s="3">
        <v>30043999</v>
      </c>
      <c r="AX22" s="3">
        <v>99</v>
      </c>
      <c r="AY22" s="3">
        <v>3000</v>
      </c>
      <c r="AZ22" s="3">
        <v>3000</v>
      </c>
      <c r="BA22" s="3" t="s">
        <v>103</v>
      </c>
      <c r="BB22" s="3"/>
      <c r="BC22" s="3" t="s">
        <v>126</v>
      </c>
      <c r="BD22" s="3" t="s">
        <v>105</v>
      </c>
      <c r="BE22" s="3"/>
      <c r="BF22" s="3"/>
      <c r="BG22" s="5"/>
      <c r="BH22" s="3"/>
      <c r="BI22" s="3"/>
      <c r="BJ22" s="3"/>
      <c r="BK22" s="3" t="s">
        <v>140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 t="s">
        <v>111</v>
      </c>
      <c r="CF22" s="3">
        <v>0</v>
      </c>
      <c r="CG22" s="3">
        <v>0</v>
      </c>
      <c r="CH22" s="3">
        <v>0</v>
      </c>
      <c r="CI22" s="3" t="s">
        <v>112</v>
      </c>
      <c r="CJ22" s="3" t="s">
        <v>112</v>
      </c>
      <c r="CK22" s="3">
        <f>_xlfn.XLOOKUP($B$2,'BASE DE EXCEL'!C:C,'BASE DE EXCEL'!D:D,"NO HAY REFERENCIA")</f>
        <v>470</v>
      </c>
      <c r="CL22" s="5">
        <f>_xlfn.XLOOKUP($B$2,'BASE DE EXCEL'!$C:$C,'BASE DE EXCEL'!F:F,"NO HAY REFERENCIA")</f>
        <v>3</v>
      </c>
      <c r="CM22" s="4">
        <f>_xlfn.XLOOKUP($B$2,'BASE DE EXCEL'!$C:$C,'BASE DE EXCEL'!G:G,"NO HAY REFERENCIA")</f>
        <v>46080</v>
      </c>
      <c r="CN22" s="4">
        <f>_xlfn.XLOOKUP($B$2,'BASE DE EXCEL'!$C:$C,'BASE DE EXCEL'!H:H,"NO HAY REFERENCIA")</f>
        <v>46086</v>
      </c>
      <c r="CO22" s="3">
        <f>_xlfn.XLOOKUP($B$2,'BASE DE EXCEL'!$C:$C,'BASE DE EXCEL'!I:I,"NO HAY REFERENCIA")</f>
        <v>4</v>
      </c>
      <c r="CP22" s="3" t="str">
        <f>_xlfn.XLOOKUP($B$2,'BASE DE EXCEL'!$C:$C,'BASE DE EXCEL'!J:J,"NO HAY REFERENCIA")</f>
        <v>4 a 5 días</v>
      </c>
      <c r="CQ22" s="4">
        <f>_xlfn.XLOOKUP($B$2,'BASE DE EXCEL'!$C:$C,'BASE DE EXCEL'!K:K,"NO HAY REFERENCIA")</f>
        <v>46087</v>
      </c>
      <c r="CR22" s="3">
        <f>_xlfn.XLOOKUP($B$2,'BASE DE EXCEL'!$C:$C,'BASE DE EXCEL'!L:L,"NO HAY REFERENCIA")</f>
        <v>5</v>
      </c>
      <c r="CS22" s="3">
        <f>_xlfn.XLOOKUP($B$2,'BASE DE EXCEL'!$C:$C,'BASE DE EXCEL'!M:M,"NO HAY REFERENCIA")</f>
        <v>6</v>
      </c>
      <c r="CT22" s="3" t="str">
        <f>_xlfn.XLOOKUP($B$2,'BASE DE EXCEL'!$C:$C,'BASE DE EXCEL'!N:N,"NO HAY REFERENCIA")</f>
        <v>6 a 10 días</v>
      </c>
      <c r="CU22" s="3" t="str">
        <f>_xlfn.XLOOKUP($B$2,'BASE DE EXCEL'!$C:$C,'BASE DE EXCEL'!O:O,"NO HAY REFERENCIA")</f>
        <v>On Time</v>
      </c>
      <c r="CV22" s="3" t="str">
        <f>_xlfn.XLOOKUP(B22,'BASE DE EXCEL'!$C:$C,'BASE DE EXCEL'!P:P,"NO HAY REFERENCIA")</f>
        <v>2 a 3 días</v>
      </c>
      <c r="CW22" s="4">
        <f>_xlfn.XLOOKUP(B22,'BASE DE EXCEL'!$C:$C,'BASE DE EXCEL'!Q:Q,"NO HAY REFERENCIA")</f>
        <v>46048</v>
      </c>
      <c r="CX22" s="3">
        <f>_xlfn.XLOOKUP(B22,'BASE DE EXCEL'!$C:$C,'BASE DE EXCEL'!R:R,"NO HAY REFERENCIA")</f>
        <v>4</v>
      </c>
      <c r="CY22" s="3" t="str">
        <f>_xlfn.XLOOKUP(B22,'BASE DE EXCEL'!$C:$C,'BASE DE EXCEL'!S:S,"NO HAY REFERENCIA")</f>
        <v>4 a 5 días</v>
      </c>
      <c r="CZ22" s="3" t="str">
        <f>_xlfn.XLOOKUP(B22,'BASE DE EXCEL'!$C:$C,'BASE DE EXCEL'!T:T,"NO HAY REFERENCIA")</f>
        <v>On Time</v>
      </c>
      <c r="DA22" s="3">
        <f>_xlfn.XLOOKUP(B22,'BASE DE EXCEL'!$C:$C,'BASE DE EXCEL'!U:U,"NO HAY REFERENCIA")</f>
        <v>5</v>
      </c>
      <c r="DB22" s="3" t="str">
        <f>_xlfn.XLOOKUP(B22,'BASE DE EXCEL'!$C:$C,'BASE DE EXCEL'!V:V,"NO HAY REFERENCIA")</f>
        <v>2 a 3 días</v>
      </c>
      <c r="DC22" s="3">
        <f>_xlfn.XLOOKUP(B22,'BASE DE EXCEL'!$C:$C,'BASE DE EXCEL'!W:W,"NO HAY REFERENCIA")</f>
        <v>9</v>
      </c>
      <c r="DD22" s="3" t="str">
        <f>_xlfn.XLOOKUP(B22,'BASE DE EXCEL'!$C:$C,'BASE DE EXCEL'!X:X,"NO HAY REFERENCIA")</f>
        <v>6 a 10 días</v>
      </c>
      <c r="DE22" s="3">
        <f>_xlfn.XLOOKUP(B22,'BASE DE EXCEL'!$C:$C,'BASE DE EXCEL'!Y:Y,"NO HAY REFERENCIA")</f>
        <v>1</v>
      </c>
      <c r="DF22" s="3" t="str">
        <f>_xlfn.XLOOKUP(B22,'BASE DE EXCEL'!$C:$C,'BASE DE EXCEL'!Z:Z,"NO HAY REFERENCIA")</f>
        <v>1 día o menos</v>
      </c>
      <c r="DG22" s="3">
        <f>_xlfn.XLOOKUP(B22,'BASE DE EXCEL'!$C:$C,'BASE DE EXCEL'!AA:AA,"NO HAY REFERENCIA")</f>
        <v>2</v>
      </c>
      <c r="DH22" s="3">
        <f>_xlfn.XLOOKUP(B22,'BASE DE EXCEL'!$C:$C,'BASE DE EXCEL'!AB:AB,"NO HAY REFERENCIA")</f>
        <v>2</v>
      </c>
      <c r="DI22" s="3" t="str">
        <f>_xlfn.XLOOKUP(B22,'BASE DE EXCEL'!$C:$C,'BASE DE EXCEL'!AC:AC,"NO HAY REFERENCIA")</f>
        <v>2 a 3 días</v>
      </c>
      <c r="DJ22" s="4">
        <f>_xlfn.XLOOKUP(B22,'BASE DE EXCEL'!$C:$C,'BASE DE EXCEL'!AD:AD,"NO HAY REFERENCIA")</f>
        <v>46056</v>
      </c>
      <c r="DK22" s="3">
        <f>_xlfn.XLOOKUP(B22,'BASE DE EXCEL'!$C:$C,'BASE DE EXCEL'!AE:AE,"NO HAY REFERENCIA")</f>
        <v>8</v>
      </c>
      <c r="DL22" s="3">
        <f>_xlfn.XLOOKUP(B22,'BASE DE EXCEL'!$C:$C,'BASE DE EXCEL'!AF:AF,"NO HAY REFERENCIA")</f>
        <v>6</v>
      </c>
      <c r="DM22" s="4">
        <f>_xlfn.XLOOKUP(B22,'BASE DE EXCEL'!$C:$C,'BASE DE EXCEL'!AG:AG,"NO HAY REFERENCIA")</f>
        <v>46056</v>
      </c>
      <c r="DN22" s="4">
        <f>_xlfn.XLOOKUP(B22,'BASE DE EXCEL'!$C:$C,'BASE DE EXCEL'!AH:AH,"NO HAY REFERENCIA")</f>
        <v>46056</v>
      </c>
      <c r="DO22" s="3">
        <f>_xlfn.XLOOKUP(B22,'BASE DE EXCEL'!$C:$C,'BASE DE EXCEL'!AI:AI,"NO HAY REFERENCIA")</f>
        <v>0</v>
      </c>
      <c r="DP22" s="4" t="str">
        <f>_xlfn.XLOOKUP(B22,'BASE DE EXCEL'!$C:$C,'BASE DE EXCEL'!AJ:AJ,"NO HAY REFERENCIA")</f>
        <v>6 a 10 días</v>
      </c>
      <c r="DQ22" s="4">
        <f>_xlfn.XLOOKUP(B22,'BASE DE EXCEL'!$C:$C,'BASE DE EXCEL'!AK:AK,"NO HAY REFERENCIA")</f>
        <v>46056</v>
      </c>
      <c r="DR22" s="3">
        <f>_xlfn.XLOOKUP(B22,'BASE DE EXCEL'!$C:$C,'BASE DE EXCEL'!AL:AL,"NO HAY REFERENCIA")</f>
        <v>6</v>
      </c>
      <c r="DS22" s="3" t="str">
        <f>_xlfn.XLOOKUP(B22,'BASE DE EXCEL'!$C:$C,'BASE DE EXCEL'!AM:AM,"NO HAY REFERENCIA")</f>
        <v>6 a 10 días</v>
      </c>
      <c r="DT22" s="3" t="str">
        <f>_xlfn.XLOOKUP(B22,'BASE DE EXCEL'!$C:$C,'BASE DE EXCEL'!AN:AN,"NO HAY REFERENCIA")</f>
        <v>On Time</v>
      </c>
      <c r="DU22" s="3">
        <f>_xlfn.XLOOKUP(B22,'BASE DE EXCEL'!$C:$C,'BASE DE EXCEL'!AO:AO,"NO HAY REFERENCIA")</f>
        <v>1</v>
      </c>
      <c r="DV22" s="3" t="str">
        <f>_xlfn.XLOOKUP(B22,'BASE DE EXCEL'!$C:$C,'BASE DE EXCEL'!AP:AP,"NO HAY REFERENCIA")</f>
        <v>Es anterior</v>
      </c>
      <c r="DW22" s="3" t="str">
        <f>_xlfn.XLOOKUP(B22,'BASE DE EXCEL'!$C:$C,'BASE DE EXCEL'!AQ:AQ,"NO HAY REFERENCIA")</f>
        <v>A1</v>
      </c>
      <c r="DX22" s="3" t="str">
        <f>_xlfn.XLOOKUP(B22,'BASE DE EXCEL'!$C:$C,'BASE DE EXCEL'!AR:AR,"NO HAY REFERENCIA")</f>
        <v>ZULEIMA PEREZ RUIZ</v>
      </c>
      <c r="DY22" s="3" t="str">
        <f>_xlfn.XLOOKUP(B22,'BASE DE EXCEL'!$C:$C,'BASE DE EXCEL'!AS:AS,"NO HAY REFERENCIA")</f>
        <v>HLCUANR251210340</v>
      </c>
      <c r="DZ22" s="3" t="str">
        <f>_xlfn.XLOOKUP(B22,'BASE DE EXCEL'!$C:$C,'BASE DE EXCEL'!AT:AT,"NO HAY REFERENCIA")</f>
        <v>NULL</v>
      </c>
      <c r="EA22" s="3">
        <f>_xlfn.XLOOKUP(B22,'BASE DE EXCEL'!$C:$C,'BASE DE EXCEL'!AU:AU,"NO HAY REFERENCIA")</f>
        <v>6000095</v>
      </c>
      <c r="EB22" s="3" t="str">
        <f>_xlfn.XLOOKUP(B22,'BASE DE EXCEL'!$C:$C,'BASE DE EXCEL'!AV:AV,"NO HAY REFERENCIA")</f>
        <v>Importación</v>
      </c>
      <c r="EC22" s="3" t="str">
        <f>_xlfn.XLOOKUP(B22,'BASE DE EXCEL'!$C:$C,'BASE DE EXCEL'!AW:AW,"NO HAY REFERENCIA")</f>
        <v>IMPLEMAX (MEDICAMENTO DOSIFICADO DE USO VETERINARIO)</v>
      </c>
      <c r="ED22" s="3" t="str">
        <f>_xlfn.XLOOKUP(B22,'BASE DE EXCEL'!$C:$C,'BASE DE EXCEL'!AX:AX,"NO HAY REFERENCIA")</f>
        <v>SIN CLASIFICACION</v>
      </c>
      <c r="EE22" s="3">
        <f>_xlfn.XLOOKUP(B22,'BASE DE EXCEL'!$C:$C,'BASE DE EXCEL'!AY:AY,"NO HAY REFERENCIA")</f>
        <v>0</v>
      </c>
      <c r="EF22" s="3" t="str">
        <f>_xlfn.XLOOKUP(B22,'BASE DE EXCEL'!$C:$C,'BASE DE EXCEL'!AZ:AZ,"NO HAY REFERENCIA")</f>
        <v>Cargas de Importación</v>
      </c>
      <c r="EG22" s="3" t="str">
        <f>_xlfn.XLOOKUP(B22,'BASE DE EXCEL'!$C:$C,'BASE DE EXCEL'!BA:BA,"NO HAY REFERENCIA")</f>
        <v>INTERVET MEXICO SA DE CV</v>
      </c>
      <c r="EH22" s="3">
        <f>_xlfn.XLOOKUP(B22,'BASE DE EXCEL'!$C:$C,'BASE DE EXCEL'!BB:BB,"NO HAY REFERENCIA")</f>
        <v>0</v>
      </c>
      <c r="EI22" s="3">
        <f>_xlfn.XLOOKUP(B22,'BASE DE EXCEL'!$C:$C,'BASE DE EXCEL'!BC:BC,"NO HAY REFERENCIA")</f>
        <v>0</v>
      </c>
      <c r="EJ22" s="3">
        <f>_xlfn.XLOOKUP(B22,'BASE DE EXCEL'!$C:$C,'BASE DE EXCEL'!BD:BD,"NO HAY REFERENCIA")</f>
        <v>0</v>
      </c>
      <c r="EK22" s="3">
        <f>_xlfn.XLOOKUP(B22,'BASE DE EXCEL'!$C:$C,'BASE DE EXCEL'!BE:BE,"NO HAY REFERENCIA")</f>
        <v>0</v>
      </c>
      <c r="EL22" s="3" t="str">
        <f>_xlfn.XLOOKUP(B22,'BASE DE EXCEL'!$C:$C,'BASE DE EXCEL'!BF:BF,"NO HAY REFERENCIA")</f>
        <v>PRODUCTO TERMINADO</v>
      </c>
      <c r="EM22" s="3" t="str">
        <f>_xlfn.XLOOKUP(B22,'BASE DE EXCEL'!$C:$C,'BASE DE EXCEL'!BG:BG,"NO HAY REFERENCIA")</f>
        <v>Verde</v>
      </c>
      <c r="EN22" s="3" t="str">
        <f>_xlfn.XLOOKUP(B22,'BASE DE EXCEL'!$C:$C,'BASE DE EXCEL'!BH:BH,"NO HAY REFERENCIA")</f>
        <v xml:space="preserve"> SUPER EXPRESS DE CARGA FEDERAL S.A. DE C.V.</v>
      </c>
      <c r="EO22" s="3">
        <f>_xlfn.XLOOKUP(B22,'BASE DE EXCEL'!$C:$C,'BASE DE EXCEL'!BI:BI,"NO HAY REFERENCIA")</f>
        <v>0</v>
      </c>
      <c r="EP22" s="3" t="str">
        <f>_xlfn.XLOOKUP(B22,'BASE DE EXCEL'!$C:$C,'BASE DE EXCEL'!BJ:BJ,"NO HAY REFERENCIA")</f>
        <v>IME-T005</v>
      </c>
      <c r="EQ22" s="3" t="str">
        <f>_xlfn.XLOOKUP(B22,'BASE DE EXCEL'!$C:$C,'BASE DE EXCEL'!BK:BK,"NO HAY REFERENCIA")</f>
        <v>IME850329RH2</v>
      </c>
      <c r="ER22" s="3">
        <f>_xlfn.XLOOKUP(B22,'BASE DE EXCEL'!$C:$C,'BASE DE EXCEL'!BL:BL,"NO HAY REFERENCIA")</f>
        <v>0</v>
      </c>
      <c r="ES22" s="3" t="str">
        <f>_xlfn.XLOOKUP(B22,'BASE DE EXCEL'!$C:$C,'BASE DE EXCEL'!BM:BM,"NO HAY REFERENCIA")</f>
        <v>00,99</v>
      </c>
      <c r="ET22" s="3" t="str">
        <f>_xlfn.XLOOKUP(B22,'BASE DE EXCEL'!$C:$C,'BASE DE EXCEL'!BN:BN,"NO HAY REFERENCIA")</f>
        <v>LOTE: A669T01,LOTE: 25E4006C01,LOTE: 25N4017A02,LOTE: 25N3005A08,LOTE: 25N1002A12,LOTE: 5732106,LOTE: 5660103</v>
      </c>
      <c r="EU22" s="3">
        <f>_xlfn.XLOOKUP(B22,'BASE DE EXCEL'!$C:$C,'BASE DE EXCEL'!BO:BO,"NO HAY REFERENCIA")</f>
        <v>90</v>
      </c>
      <c r="EV22" s="3" t="str">
        <f>_xlfn.XLOOKUP(B22,'BASE DE EXCEL'!$C:$C,'BASE DE EXCEL'!BP:BP,"NO HAY REFERENCIA")</f>
        <v xml:space="preserve"> 5475856.92, 466125.84</v>
      </c>
      <c r="EW22" s="3" t="str">
        <f>_xlfn.XLOOKUP(B22,'BASE DE EXCEL'!$C:$C,'BASE DE EXCEL'!BQ:BQ,"NO HAY REFERENCIA")</f>
        <v>KILO,KILO,KILO,KILO,KILO,KILO,KILO</v>
      </c>
      <c r="EX22" s="3">
        <f>_xlfn.XLOOKUP(B22,'BASE DE EXCEL'!$C:$C,'BASE DE EXCEL'!BR:BR,"NO HAY REFERENCIA")</f>
        <v>0</v>
      </c>
      <c r="EY22" s="3" t="str">
        <f>_xlfn.XLOOKUP(B22,'BASE DE EXCEL'!$C:$C,'BASE DE EXCEL'!BS:BS,"NO HAY REFERENCIA")</f>
        <v>ALEMANIA (REPUBLICA FEDERAL DE),AUSTRIA (REPUBLICA DE)</v>
      </c>
      <c r="EZ22" s="3" t="str">
        <f>_xlfn.XLOOKUP(B22,'BASE DE EXCEL'!$C:$C,'BASE DE EXCEL'!BT:BT,"NO HAY REFERENCIA")</f>
        <v>PAISES BAJOS (REINO DE LOS) (HOLANDA)</v>
      </c>
      <c r="FA22" s="3" t="str">
        <f>_xlfn.XLOOKUP(B22,'BASE DE EXCEL'!$C:$C,'BASE DE EXCEL'!BU:BU,"NO HAY REFERENCIA")</f>
        <v>AUT,DEU</v>
      </c>
      <c r="FB22" s="3" t="str">
        <f>_xlfn.XLOOKUP(B22,'BASE DE EXCEL'!$C:$C,'BASE DE EXCEL'!BV:BV,"NO HAY REFERENCIA")</f>
        <v>ZYA</v>
      </c>
      <c r="FC22" s="3">
        <f>_xlfn.XLOOKUP(B22,QUERY!$C:$C,QUERY!D:D)</f>
        <v>430</v>
      </c>
      <c r="FD22" s="4">
        <f>_xlfn.XLOOKUP(B22,QUERY!$C:$C,QUERY!E:E)</f>
        <v>46045</v>
      </c>
      <c r="FE22" s="3">
        <f>_xlfn.XLOOKUP(B22,QUERY!$C:$C,QUERY!F:F)</f>
        <v>1</v>
      </c>
      <c r="FF22" s="4">
        <f>_xlfn.XLOOKUP(B22,QUERY!$C:$C,QUERY!G:G)</f>
        <v>46043</v>
      </c>
      <c r="FG22" s="4">
        <f>_xlfn.XLOOKUP(B22,QUERY!$C:$C,QUERY!H:H)</f>
        <v>46045</v>
      </c>
      <c r="FH22" s="3">
        <f>_xlfn.XLOOKUP(B22,QUERY!$C:$C,QUERY!I:I)</f>
        <v>2</v>
      </c>
      <c r="FI22" s="3" t="str">
        <f>_xlfn.XLOOKUP(B22,QUERY!$C:$C,QUERY!J:J)</f>
        <v>2 a 3 días</v>
      </c>
      <c r="FJ22" s="4">
        <f>_xlfn.XLOOKUP(B22,QUERY!$C:$C,QUERY!K:K)</f>
        <v>46046</v>
      </c>
      <c r="FK22" s="3">
        <f>_xlfn.XLOOKUP(B22,QUERY!$C:$C,QUERY!L:L)</f>
        <v>2</v>
      </c>
      <c r="FL22" s="3" t="str">
        <f>_xlfn.XLOOKUP(B22,QUERY!$C:$C,QUERY!M:M)</f>
        <v>2 a 3 días</v>
      </c>
      <c r="FM22" s="3">
        <f>_xlfn.XLOOKUP(B22,QUERY!$C:$C,QUERY!N:N)</f>
        <v>1</v>
      </c>
      <c r="FN22" s="3" t="str">
        <f>_xlfn.XLOOKUP(B22,QUERY!$C:$C,QUERY!O:O)</f>
        <v>1 día o menos</v>
      </c>
      <c r="FO22" s="3">
        <f>_xlfn.XLOOKUP(B22,QUERY!$C:$C,QUERY!P:P)</f>
        <v>1</v>
      </c>
      <c r="FP22" s="3">
        <f>_xlfn.XLOOKUP(B22,QUERY!$C:$C,QUERY!Q:Q)</f>
        <v>2</v>
      </c>
      <c r="FQ22" s="3" t="str">
        <f>_xlfn.XLOOKUP(B22,QUERY!$C:$C,QUERY!R:R)</f>
        <v>2 a 3 días</v>
      </c>
      <c r="FR22" s="4">
        <f>_xlfn.XLOOKUP(B22,QUERY!$C:$C,QUERY!S:S)</f>
        <v>46048</v>
      </c>
      <c r="FS22" s="3">
        <f>_xlfn.XLOOKUP(B22,QUERY!$C:$C,QUERY!T:T)</f>
        <v>3</v>
      </c>
      <c r="FT22" s="3" t="str">
        <f>_xlfn.XLOOKUP(B22,QUERY!$C:$C,QUERY!U:U)</f>
        <v>2 a 3 días</v>
      </c>
      <c r="FU22" s="3">
        <f>_xlfn.XLOOKUP(B22,QUERY!$C:$C,QUERY!V:V)</f>
        <v>9</v>
      </c>
      <c r="FV22" s="3" t="str">
        <f>_xlfn.XLOOKUP(B22,QUERY!$C:$C,QUERY!W:W)</f>
        <v>6 a 10 días</v>
      </c>
      <c r="FW22" s="4">
        <f>_xlfn.XLOOKUP(B22,QUERY!$C:$C,QUERY!X:X)</f>
        <v>46056</v>
      </c>
      <c r="FX22" s="3">
        <f>_xlfn.XLOOKUP(B22,QUERY!$C:$C,QUERY!Y:Y)</f>
        <v>6</v>
      </c>
      <c r="FY22" s="3">
        <f>_xlfn.XLOOKUP(B22,QUERY!$C:$C,QUERY!Z:Z)</f>
        <v>6</v>
      </c>
      <c r="FZ22" s="4" t="str">
        <f>_xlfn.XLOOKUP(B22,QUERY!$C:$C,QUERY!AA:AA)</f>
        <v>6 a 10 días</v>
      </c>
      <c r="GA22" s="4">
        <f>_xlfn.XLOOKUP(B22,QUERY!$C:$C,QUERY!AB:AB)</f>
        <v>46056</v>
      </c>
      <c r="GB22" s="4">
        <f>_xlfn.XLOOKUP(B22,QUERY!$C:$C,QUERY!AC:AC)</f>
        <v>46056</v>
      </c>
      <c r="GC22" s="3">
        <f>_xlfn.XLOOKUP(B22,QUERY!$C:$C,QUERY!AD:AD)</f>
        <v>0</v>
      </c>
      <c r="GD22" s="4">
        <f>_xlfn.XLOOKUP(B22,QUERY!$C:$C,QUERY!AE:AE)</f>
        <v>46056</v>
      </c>
      <c r="GE22" s="3">
        <f>_xlfn.XLOOKUP(B22,QUERY!$C:$C,QUERY!AF:AF)</f>
        <v>1</v>
      </c>
      <c r="GF22" s="4" t="str">
        <f>_xlfn.XLOOKUP(B22,QUERY!$C:$C,QUERY!AG:AG)</f>
        <v>Es anterior</v>
      </c>
      <c r="GG22" s="3" t="str">
        <f>_xlfn.XLOOKUP(B22,QUERY!$C:$C,QUERY!AH:AH)</f>
        <v>A1</v>
      </c>
      <c r="GH22" s="3" t="str">
        <f>_xlfn.XLOOKUP(B22,QUERY!$C:$C,QUERY!AI:AI)</f>
        <v>ZULEIMA PEREZ RUIZ</v>
      </c>
      <c r="GI22" s="3" t="str">
        <f>_xlfn.XLOOKUP(B22,QUERY!$C:$C,QUERY!AJ:AJ)</f>
        <v>HLCUANR251210340</v>
      </c>
      <c r="GJ22" s="3" t="str">
        <f>_xlfn.XLOOKUP(B22,QUERY!$C:$C,QUERY!AK:AK)</f>
        <v>NULL</v>
      </c>
      <c r="GK22" s="3">
        <f>_xlfn.XLOOKUP(B22,QUERY!$C:$C,QUERY!AL:AL)</f>
        <v>6000095</v>
      </c>
      <c r="GL22" s="3" t="str">
        <f>_xlfn.XLOOKUP(B22,QUERY!$C:$C,QUERY!AM:AM)</f>
        <v>Importación</v>
      </c>
      <c r="GM22" s="3" t="str">
        <f>_xlfn.XLOOKUP(B22,QUERY!$C:$C,QUERY!AN:AN)</f>
        <v>IMPLEMAX (MEDICAMENTO DOSIFICADO DE USO VETERINARIO)</v>
      </c>
      <c r="GN22" s="3" t="str">
        <f>_xlfn.XLOOKUP(B22,QUERY!$C:$C,QUERY!AO:AO)</f>
        <v>SIN CLASIFICACION</v>
      </c>
      <c r="GO22" s="3">
        <f>_xlfn.XLOOKUP(B22,QUERY!$C:$C,QUERY!AP:AP)</f>
        <v>0</v>
      </c>
      <c r="GP22" s="3" t="str">
        <f>_xlfn.XLOOKUP(B22,QUERY!$C:$C,QUERY!AQ:AQ)</f>
        <v>Cargas de Importación</v>
      </c>
      <c r="GQ22" s="3" t="str">
        <f>_xlfn.XLOOKUP(B22,QUERY!$C:$C,QUERY!AR:AR)</f>
        <v>INTERVET MEXICO SA DE CV</v>
      </c>
      <c r="GR22" s="3">
        <f>_xlfn.XLOOKUP(B22,QUERY!$C:$C,QUERY!AS:AS)</f>
        <v>0</v>
      </c>
      <c r="GS22" s="3">
        <f>_xlfn.XLOOKUP(B22,QUERY!$C:$C,QUERY!AT:AT)</f>
        <v>0</v>
      </c>
      <c r="GT22" s="3">
        <f>_xlfn.XLOOKUP(B22,QUERY!$C:$C,QUERY!AU:AU)</f>
        <v>0</v>
      </c>
      <c r="GU22" s="3">
        <f>_xlfn.XLOOKUP(B22,QUERY!$C:$C,QUERY!AV:AV)</f>
        <v>0</v>
      </c>
      <c r="GV22" s="3" t="str">
        <f>_xlfn.XLOOKUP(B22,QUERY!$C:$C,QUERY!AW:AW)</f>
        <v>PRODUCTO TERMINADO</v>
      </c>
      <c r="GW22" s="3" t="str">
        <f>_xlfn.XLOOKUP(B22,QUERY!$C:$C,QUERY!AX:AX)</f>
        <v>Verde</v>
      </c>
      <c r="GX22" s="3" t="str">
        <f>_xlfn.XLOOKUP(B22,QUERY!$C:$C,QUERY!AY:AY)</f>
        <v xml:space="preserve"> SUPER EXPRESS DE CARGA FEDERAL S.A. DE C.V.</v>
      </c>
      <c r="GY22" s="3">
        <f>_xlfn.XLOOKUP(B22,QUERY!$C:$C,QUERY!AZ:AZ)</f>
        <v>0</v>
      </c>
      <c r="GZ22" s="3" t="str">
        <f>_xlfn.XLOOKUP(B22,QUERY!$C:$C,QUERY!BA:BA)</f>
        <v>IME-T005</v>
      </c>
      <c r="HA22" s="3" t="str">
        <f>_xlfn.XLOOKUP(B22,QUERY!$C:$C,QUERY!BB:BB)</f>
        <v>IME850329RH2</v>
      </c>
      <c r="HB22" s="3">
        <f>_xlfn.XLOOKUP(B22,QUERY!$C:$C,QUERY!BC:BC)</f>
        <v>0</v>
      </c>
      <c r="HC22" s="3">
        <f>_xlfn.XLOOKUP(B22,QUERY!$C:$C,QUERY!BD:BD)</f>
        <v>0.99</v>
      </c>
      <c r="HD22" s="3" t="str">
        <f>_xlfn.XLOOKUP(B22,QUERY!$C:$C,QUERY!BE:BE)</f>
        <v>LOTE: A669T01,LOTE: 25E4006C01,LOTE: 25N4017A02,LOTE: 25N3005A08,LOTE: 25N1002A12,LOTE: 5732106,LOTE: 5660103</v>
      </c>
      <c r="HE22" s="3">
        <f>_xlfn.XLOOKUP(B22,QUERY!$C:$C,QUERY!BF:BF)</f>
        <v>90</v>
      </c>
      <c r="HF22" s="3" t="str">
        <f>_xlfn.XLOOKUP(B22,QUERY!$C:$C,QUERY!BG:BG)</f>
        <v xml:space="preserve"> 5475856.92, 466125.84</v>
      </c>
      <c r="HG22" s="3" t="str">
        <f>_xlfn.XLOOKUP(B22,QUERY!$C:$C,QUERY!BH:BH)</f>
        <v>KILO,KILO,KILO,KILO,KILO,KILO,KILO</v>
      </c>
      <c r="HH22" s="3">
        <f>_xlfn.XLOOKUP(B22,QUERY!$C:$C,QUERY!BI:BI)</f>
        <v>0</v>
      </c>
      <c r="HI22" s="3" t="str">
        <f>_xlfn.XLOOKUP(B22,QUERY!$C:$C,QUERY!BJ:BJ)</f>
        <v>ALEMANIA (REPUBLICA FEDERAL DE),AUSTRIA (REPUBLICA DE)</v>
      </c>
      <c r="HJ22" s="3" t="str">
        <f>_xlfn.XLOOKUP(B22,QUERY!$C:$C,QUERY!BK:BK)</f>
        <v>PAISES BAJOS (REINO DE LOS) (HOLANDA)</v>
      </c>
      <c r="HK22" s="3" t="str">
        <f>_xlfn.XLOOKUP(B22,QUERY!$C:$C,QUERY!BL:BL)</f>
        <v>AUT,DEU</v>
      </c>
      <c r="HL22" s="3" t="str">
        <f>_xlfn.XLOOKUP(B22,QUERY!$C:$C,QUERY!BM:BM)</f>
        <v>ZYA</v>
      </c>
      <c r="HM22" s="3">
        <f>_xlfn.XLOOKUP(B22,QUERY!$C:$C,QUERY!BN:BN)</f>
        <v>5941983</v>
      </c>
      <c r="HN22" s="3" t="str">
        <f>_xlfn.XLOOKUP(B22,QUERY!$C:$C,QUERY!BO:BO)</f>
        <v>27166.00</v>
      </c>
      <c r="HO22" s="3" t="str">
        <f>_xlfn.XLOOKUP(B22,QUERY!$C:$C,QUERY!BP:BP)</f>
        <v>NULL</v>
      </c>
      <c r="HP22" s="3" t="str">
        <f>_xlfn.XLOOKUP(B22,QUERY!$C:$C,QUERY!BQ:BQ)</f>
        <v>339570.00</v>
      </c>
      <c r="HQ22" s="3" t="str">
        <f>_xlfn.XLOOKUP(B22,QUERY!$C:$C,QUERY!BR:BR)</f>
        <v>130942.87</v>
      </c>
      <c r="HR22" s="3">
        <f>_xlfn.XLOOKUP(B22,QUERY!$C:$C,QUERY!BS:BS)</f>
        <v>0</v>
      </c>
      <c r="HS22" s="3">
        <f>_xlfn.XLOOKUP(B22,QUERY!$C:$C,QUERY!BT:BT)</f>
        <v>0</v>
      </c>
      <c r="HT22" s="3" t="str">
        <f>_xlfn.XLOOKUP(B22,QUERY!$C:$C,QUERY!A:A)</f>
        <v>VERACRUZ</v>
      </c>
      <c r="HU22" s="3" t="str">
        <f>_xlfn.XLOOKUP(B22,QUERY!$C:$C,QUERY!B:B)</f>
        <v>MARÍTIMO VERACRUZ</v>
      </c>
    </row>
    <row r="23" spans="1:229" x14ac:dyDescent="0.25">
      <c r="A23" s="3" t="s">
        <v>90</v>
      </c>
      <c r="B23" s="9" t="s">
        <v>141</v>
      </c>
      <c r="C23" s="3">
        <v>3942</v>
      </c>
      <c r="D23" s="3">
        <v>6000096</v>
      </c>
      <c r="E23" s="3"/>
      <c r="F23" s="3" t="s">
        <v>92</v>
      </c>
      <c r="G23" s="3" t="s">
        <v>93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17.599</v>
      </c>
      <c r="Q23" s="3">
        <v>10775</v>
      </c>
      <c r="R23" s="3">
        <v>430</v>
      </c>
      <c r="S23" s="3" t="s">
        <v>142</v>
      </c>
      <c r="T23" s="3" t="s">
        <v>143</v>
      </c>
      <c r="U23" s="3">
        <v>22156123</v>
      </c>
      <c r="V23" s="3">
        <v>22156123</v>
      </c>
      <c r="W23" s="3">
        <v>0</v>
      </c>
      <c r="X23" s="3">
        <v>0</v>
      </c>
      <c r="Y23" s="3">
        <v>0</v>
      </c>
      <c r="Z23" s="3">
        <v>0</v>
      </c>
      <c r="AA23" s="3" t="s">
        <v>144</v>
      </c>
      <c r="AB23" s="3"/>
      <c r="AC23" s="3">
        <v>167501</v>
      </c>
      <c r="AD23" s="3">
        <v>485.51013999999998</v>
      </c>
      <c r="AE23" s="3">
        <v>808</v>
      </c>
      <c r="AF23" s="3">
        <v>0</v>
      </c>
      <c r="AG23" s="3">
        <v>0</v>
      </c>
      <c r="AH23" s="3">
        <v>0</v>
      </c>
      <c r="AI23" s="3">
        <v>53</v>
      </c>
      <c r="AJ23" s="3">
        <v>462</v>
      </c>
      <c r="AK23" s="3">
        <v>0</v>
      </c>
      <c r="AL23" s="3">
        <v>0</v>
      </c>
      <c r="AM23" s="3">
        <v>330</v>
      </c>
      <c r="AN23" s="3">
        <v>845</v>
      </c>
      <c r="AO23" s="3" t="s">
        <v>97</v>
      </c>
      <c r="AP23" s="3" t="s">
        <v>98</v>
      </c>
      <c r="AQ23" s="3">
        <v>210359412</v>
      </c>
      <c r="AR23" s="3" t="s">
        <v>99</v>
      </c>
      <c r="AS23" s="3" t="s">
        <v>100</v>
      </c>
      <c r="AT23" s="3" t="s">
        <v>145</v>
      </c>
      <c r="AU23" s="3"/>
      <c r="AV23" s="3" t="s">
        <v>146</v>
      </c>
      <c r="AW23" s="3">
        <v>30024201</v>
      </c>
      <c r="AX23" s="3">
        <v>99</v>
      </c>
      <c r="AY23" s="3">
        <v>345</v>
      </c>
      <c r="AZ23" s="3">
        <v>345</v>
      </c>
      <c r="BA23" s="3" t="s">
        <v>103</v>
      </c>
      <c r="BB23" s="3"/>
      <c r="BC23" s="3" t="s">
        <v>105</v>
      </c>
      <c r="BD23" s="3" t="s">
        <v>105</v>
      </c>
      <c r="BE23" s="3" t="s">
        <v>106</v>
      </c>
      <c r="BF23" s="3" t="s">
        <v>117</v>
      </c>
      <c r="BG23" s="5" t="s">
        <v>147</v>
      </c>
      <c r="BH23" s="3" t="s">
        <v>148</v>
      </c>
      <c r="BI23" s="3"/>
      <c r="BJ23" s="3" t="s">
        <v>109</v>
      </c>
      <c r="BK23" s="3" t="s">
        <v>149</v>
      </c>
      <c r="BL23" s="3">
        <v>42138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44379.18</v>
      </c>
      <c r="BY23" s="3">
        <v>0</v>
      </c>
      <c r="BZ23" s="3">
        <v>0</v>
      </c>
      <c r="CA23" s="3">
        <v>51824.160000000003</v>
      </c>
      <c r="CB23" s="3">
        <v>36000</v>
      </c>
      <c r="CC23" s="3">
        <v>6542.4</v>
      </c>
      <c r="CD23" s="3">
        <v>350419.46</v>
      </c>
      <c r="CE23" s="3" t="s">
        <v>111</v>
      </c>
      <c r="CF23" s="3">
        <v>350419.46</v>
      </c>
      <c r="CG23" s="3">
        <v>350419.46</v>
      </c>
      <c r="CH23" s="3">
        <v>0</v>
      </c>
      <c r="CI23" s="3" t="s">
        <v>112</v>
      </c>
      <c r="CJ23" s="3" t="s">
        <v>112</v>
      </c>
      <c r="CK23" s="3">
        <f>_xlfn.XLOOKUP($B$2,'BASE DE EXCEL'!C:C,'BASE DE EXCEL'!D:D,"NO HAY REFERENCIA")</f>
        <v>470</v>
      </c>
      <c r="CL23" s="5">
        <f>_xlfn.XLOOKUP($B$2,'BASE DE EXCEL'!$C:$C,'BASE DE EXCEL'!F:F,"NO HAY REFERENCIA")</f>
        <v>3</v>
      </c>
      <c r="CM23" s="4">
        <f>_xlfn.XLOOKUP($B$2,'BASE DE EXCEL'!$C:$C,'BASE DE EXCEL'!G:G,"NO HAY REFERENCIA")</f>
        <v>46080</v>
      </c>
      <c r="CN23" s="4">
        <f>_xlfn.XLOOKUP($B$2,'BASE DE EXCEL'!$C:$C,'BASE DE EXCEL'!H:H,"NO HAY REFERENCIA")</f>
        <v>46086</v>
      </c>
      <c r="CO23" s="3">
        <f>_xlfn.XLOOKUP($B$2,'BASE DE EXCEL'!$C:$C,'BASE DE EXCEL'!I:I,"NO HAY REFERENCIA")</f>
        <v>4</v>
      </c>
      <c r="CP23" s="3" t="str">
        <f>_xlfn.XLOOKUP($B$2,'BASE DE EXCEL'!$C:$C,'BASE DE EXCEL'!J:J,"NO HAY REFERENCIA")</f>
        <v>4 a 5 días</v>
      </c>
      <c r="CQ23" s="4">
        <f>_xlfn.XLOOKUP($B$2,'BASE DE EXCEL'!$C:$C,'BASE DE EXCEL'!K:K,"NO HAY REFERENCIA")</f>
        <v>46087</v>
      </c>
      <c r="CR23" s="3">
        <f>_xlfn.XLOOKUP($B$2,'BASE DE EXCEL'!$C:$C,'BASE DE EXCEL'!L:L,"NO HAY REFERENCIA")</f>
        <v>5</v>
      </c>
      <c r="CS23" s="3">
        <f>_xlfn.XLOOKUP($B$2,'BASE DE EXCEL'!$C:$C,'BASE DE EXCEL'!M:M,"NO HAY REFERENCIA")</f>
        <v>6</v>
      </c>
      <c r="CT23" s="3" t="str">
        <f>_xlfn.XLOOKUP($B$2,'BASE DE EXCEL'!$C:$C,'BASE DE EXCEL'!N:N,"NO HAY REFERENCIA")</f>
        <v>6 a 10 días</v>
      </c>
      <c r="CU23" s="3" t="str">
        <f>_xlfn.XLOOKUP($B$2,'BASE DE EXCEL'!$C:$C,'BASE DE EXCEL'!O:O,"NO HAY REFERENCIA")</f>
        <v>On Time</v>
      </c>
      <c r="CV23" s="3" t="str">
        <f>_xlfn.XLOOKUP(B23,'BASE DE EXCEL'!$C:$C,'BASE DE EXCEL'!P:P,"NO HAY REFERENCIA")</f>
        <v>4 a 5 días</v>
      </c>
      <c r="CW23" s="4">
        <f>_xlfn.XLOOKUP(B23,'BASE DE EXCEL'!$C:$C,'BASE DE EXCEL'!Q:Q,"NO HAY REFERENCIA")</f>
        <v>46049</v>
      </c>
      <c r="CX23" s="3">
        <f>_xlfn.XLOOKUP(B23,'BASE DE EXCEL'!$C:$C,'BASE DE EXCEL'!R:R,"NO HAY REFERENCIA")</f>
        <v>5</v>
      </c>
      <c r="CY23" s="3" t="str">
        <f>_xlfn.XLOOKUP(B23,'BASE DE EXCEL'!$C:$C,'BASE DE EXCEL'!S:S,"NO HAY REFERENCIA")</f>
        <v>4 a 5 días</v>
      </c>
      <c r="CZ23" s="3" t="str">
        <f>_xlfn.XLOOKUP(B23,'BASE DE EXCEL'!$C:$C,'BASE DE EXCEL'!T:T,"NO HAY REFERENCIA")</f>
        <v>On Time</v>
      </c>
      <c r="DA23" s="3">
        <f>_xlfn.XLOOKUP(B23,'BASE DE EXCEL'!$C:$C,'BASE DE EXCEL'!U:U,"NO HAY REFERENCIA")</f>
        <v>6</v>
      </c>
      <c r="DB23" s="3" t="str">
        <f>_xlfn.XLOOKUP(B23,'BASE DE EXCEL'!$C:$C,'BASE DE EXCEL'!V:V,"NO HAY REFERENCIA")</f>
        <v>4 a 5 días</v>
      </c>
      <c r="DC23" s="3">
        <f>_xlfn.XLOOKUP(B23,'BASE DE EXCEL'!$C:$C,'BASE DE EXCEL'!W:W,"NO HAY REFERENCIA")</f>
        <v>7</v>
      </c>
      <c r="DD23" s="3" t="str">
        <f>_xlfn.XLOOKUP(B23,'BASE DE EXCEL'!$C:$C,'BASE DE EXCEL'!X:X,"NO HAY REFERENCIA")</f>
        <v>6 a 10 días</v>
      </c>
      <c r="DE23" s="3">
        <f>_xlfn.XLOOKUP(B23,'BASE DE EXCEL'!$C:$C,'BASE DE EXCEL'!Y:Y,"NO HAY REFERENCIA")</f>
        <v>1</v>
      </c>
      <c r="DF23" s="3" t="str">
        <f>_xlfn.XLOOKUP(B23,'BASE DE EXCEL'!$C:$C,'BASE DE EXCEL'!Z:Z,"NO HAY REFERENCIA")</f>
        <v>1 día o menos</v>
      </c>
      <c r="DG23" s="3">
        <f>_xlfn.XLOOKUP(B23,'BASE DE EXCEL'!$C:$C,'BASE DE EXCEL'!AA:AA,"NO HAY REFERENCIA")</f>
        <v>2</v>
      </c>
      <c r="DH23" s="3">
        <f>_xlfn.XLOOKUP(B23,'BASE DE EXCEL'!$C:$C,'BASE DE EXCEL'!AB:AB,"NO HAY REFERENCIA")</f>
        <v>1</v>
      </c>
      <c r="DI23" s="3" t="str">
        <f>_xlfn.XLOOKUP(B23,'BASE DE EXCEL'!$C:$C,'BASE DE EXCEL'!AC:AC,"NO HAY REFERENCIA")</f>
        <v>1 día o menos</v>
      </c>
      <c r="DJ23" s="4">
        <f>_xlfn.XLOOKUP(B23,'BASE DE EXCEL'!$C:$C,'BASE DE EXCEL'!AD:AD,"NO HAY REFERENCIA")</f>
        <v>46052</v>
      </c>
      <c r="DK23" s="3">
        <f>_xlfn.XLOOKUP(B23,'BASE DE EXCEL'!$C:$C,'BASE DE EXCEL'!AE:AE,"NO HAY REFERENCIA")</f>
        <v>3</v>
      </c>
      <c r="DL23" s="3">
        <f>_xlfn.XLOOKUP(B23,'BASE DE EXCEL'!$C:$C,'BASE DE EXCEL'!AF:AF,"NO HAY REFERENCIA")</f>
        <v>3</v>
      </c>
      <c r="DM23" s="4">
        <f>_xlfn.XLOOKUP(B23,'BASE DE EXCEL'!$C:$C,'BASE DE EXCEL'!AG:AG,"NO HAY REFERENCIA")</f>
        <v>46052</v>
      </c>
      <c r="DN23" s="4">
        <f>_xlfn.XLOOKUP(B23,'BASE DE EXCEL'!$C:$C,'BASE DE EXCEL'!AH:AH,"NO HAY REFERENCIA")</f>
        <v>46052</v>
      </c>
      <c r="DO23" s="3">
        <f>_xlfn.XLOOKUP(B23,'BASE DE EXCEL'!$C:$C,'BASE DE EXCEL'!AI:AI,"NO HAY REFERENCIA")</f>
        <v>0</v>
      </c>
      <c r="DP23" s="4" t="str">
        <f>_xlfn.XLOOKUP(B23,'BASE DE EXCEL'!$C:$C,'BASE DE EXCEL'!AJ:AJ,"NO HAY REFERENCIA")</f>
        <v>2 a 3 días</v>
      </c>
      <c r="DQ23" s="4">
        <f>_xlfn.XLOOKUP(B23,'BASE DE EXCEL'!$C:$C,'BASE DE EXCEL'!AK:AK,"NO HAY REFERENCIA")</f>
        <v>46052</v>
      </c>
      <c r="DR23" s="3">
        <f>_xlfn.XLOOKUP(B23,'BASE DE EXCEL'!$C:$C,'BASE DE EXCEL'!AL:AL,"NO HAY REFERENCIA")</f>
        <v>4</v>
      </c>
      <c r="DS23" s="3" t="str">
        <f>_xlfn.XLOOKUP(B23,'BASE DE EXCEL'!$C:$C,'BASE DE EXCEL'!AM:AM,"NO HAY REFERENCIA")</f>
        <v>4 a 5 días</v>
      </c>
      <c r="DT23" s="3" t="str">
        <f>_xlfn.XLOOKUP(B23,'BASE DE EXCEL'!$C:$C,'BASE DE EXCEL'!AN:AN,"NO HAY REFERENCIA")</f>
        <v>On Time</v>
      </c>
      <c r="DU23" s="3">
        <f>_xlfn.XLOOKUP(B23,'BASE DE EXCEL'!$C:$C,'BASE DE EXCEL'!AO:AO,"NO HAY REFERENCIA")</f>
        <v>1</v>
      </c>
      <c r="DV23" s="3" t="str">
        <f>_xlfn.XLOOKUP(B23,'BASE DE EXCEL'!$C:$C,'BASE DE EXCEL'!AP:AP,"NO HAY REFERENCIA")</f>
        <v>Es anterior</v>
      </c>
      <c r="DW23" s="3" t="str">
        <f>_xlfn.XLOOKUP(B23,'BASE DE EXCEL'!$C:$C,'BASE DE EXCEL'!AQ:AQ,"NO HAY REFERENCIA")</f>
        <v>A1</v>
      </c>
      <c r="DX23" s="3" t="str">
        <f>_xlfn.XLOOKUP(B23,'BASE DE EXCEL'!$C:$C,'BASE DE EXCEL'!AR:AR,"NO HAY REFERENCIA")</f>
        <v>ZULEIMA PEREZ RUIZ</v>
      </c>
      <c r="DY23" s="3" t="str">
        <f>_xlfn.XLOOKUP(B23,'BASE DE EXCEL'!$C:$C,'BASE DE EXCEL'!AS:AS,"NO HAY REFERENCIA")</f>
        <v>HLCURTM251230364</v>
      </c>
      <c r="DZ23" s="3" t="str">
        <f>_xlfn.XLOOKUP(B23,'BASE DE EXCEL'!$C:$C,'BASE DE EXCEL'!AT:AT,"NO HAY REFERENCIA")</f>
        <v>NULL</v>
      </c>
      <c r="EA23" s="3">
        <f>_xlfn.XLOOKUP(B23,'BASE DE EXCEL'!$C:$C,'BASE DE EXCEL'!AU:AU,"NO HAY REFERENCIA")</f>
        <v>6000096</v>
      </c>
      <c r="EB23" s="3" t="str">
        <f>_xlfn.XLOOKUP(B23,'BASE DE EXCEL'!$C:$C,'BASE DE EXCEL'!AV:AV,"NO HAY REFERENCIA")</f>
        <v>Importación</v>
      </c>
      <c r="EC23" s="3" t="str">
        <f>_xlfn.XLOOKUP(B23,'BASE DE EXCEL'!$C:$C,'BASE DE EXCEL'!AW:AW,"NO HAY REFERENCIA")</f>
        <v>NOBILIS IB MA5 (VACUNA DE USO VETERINARIO)</v>
      </c>
      <c r="ED23" s="3" t="str">
        <f>_xlfn.XLOOKUP(B23,'BASE DE EXCEL'!$C:$C,'BASE DE EXCEL'!AX:AX,"NO HAY REFERENCIA")</f>
        <v>SIN CLASIFICACION</v>
      </c>
      <c r="EE23" s="3">
        <f>_xlfn.XLOOKUP(B23,'BASE DE EXCEL'!$C:$C,'BASE DE EXCEL'!AY:AY,"NO HAY REFERENCIA")</f>
        <v>0</v>
      </c>
      <c r="EF23" s="3" t="str">
        <f>_xlfn.XLOOKUP(B23,'BASE DE EXCEL'!$C:$C,'BASE DE EXCEL'!AZ:AZ,"NO HAY REFERENCIA")</f>
        <v>Cargas de Importación</v>
      </c>
      <c r="EG23" s="3" t="str">
        <f>_xlfn.XLOOKUP(B23,'BASE DE EXCEL'!$C:$C,'BASE DE EXCEL'!BA:BA,"NO HAY REFERENCIA")</f>
        <v>INTERVET MEXICO SA DE CV</v>
      </c>
      <c r="EH23" s="3">
        <f>_xlfn.XLOOKUP(B23,'BASE DE EXCEL'!$C:$C,'BASE DE EXCEL'!BB:BB,"NO HAY REFERENCIA")</f>
        <v>0</v>
      </c>
      <c r="EI23" s="3" t="str">
        <f>_xlfn.XLOOKUP(B23,'BASE DE EXCEL'!$C:$C,'BASE DE EXCEL'!BC:BC,"NO HAY REFERENCIA")</f>
        <v>NINGUNO</v>
      </c>
      <c r="EJ23" s="3">
        <f>_xlfn.XLOOKUP(B23,'BASE DE EXCEL'!$C:$C,'BASE DE EXCEL'!BD:BD,"NO HAY REFERENCIA")</f>
        <v>0</v>
      </c>
      <c r="EK23" s="3" t="str">
        <f>_xlfn.XLOOKUP(B23,'BASE DE EXCEL'!$C:$C,'BASE DE EXCEL'!BE:BE,"NO HAY REFERENCIA")</f>
        <v>NINGUNO</v>
      </c>
      <c r="EL23" s="3" t="str">
        <f>_xlfn.XLOOKUP(B23,'BASE DE EXCEL'!$C:$C,'BASE DE EXCEL'!BF:BF,"NO HAY REFERENCIA")</f>
        <v>PRODUCTO TERMINADO</v>
      </c>
      <c r="EM23" s="3" t="str">
        <f>_xlfn.XLOOKUP(B23,'BASE DE EXCEL'!$C:$C,'BASE DE EXCEL'!BG:BG,"NO HAY REFERENCIA")</f>
        <v>Verde</v>
      </c>
      <c r="EN23" s="3" t="str">
        <f>_xlfn.XLOOKUP(B23,'BASE DE EXCEL'!$C:$C,'BASE DE EXCEL'!BH:BH,"NO HAY REFERENCIA")</f>
        <v xml:space="preserve"> SUPER EXPRESS DE CARGA FEDERAL S.A. DE C.V.</v>
      </c>
      <c r="EO23" s="3">
        <f>_xlfn.XLOOKUP(B23,'BASE DE EXCEL'!$C:$C,'BASE DE EXCEL'!BI:BI,"NO HAY REFERENCIA")</f>
        <v>0</v>
      </c>
      <c r="EP23" s="3" t="str">
        <f>_xlfn.XLOOKUP(B23,'BASE DE EXCEL'!$C:$C,'BASE DE EXCEL'!BJ:BJ,"NO HAY REFERENCIA")</f>
        <v>IME-T003</v>
      </c>
      <c r="EQ23" s="3" t="str">
        <f>_xlfn.XLOOKUP(B23,'BASE DE EXCEL'!$C:$C,'BASE DE EXCEL'!BK:BK,"NO HAY REFERENCIA")</f>
        <v>IME850329RH2</v>
      </c>
      <c r="ER23" s="3">
        <f>_xlfn.XLOOKUP(B23,'BASE DE EXCEL'!$C:$C,'BASE DE EXCEL'!BL:BL,"NO HAY REFERENCIA")</f>
        <v>0</v>
      </c>
      <c r="ES23" s="3" t="str">
        <f>_xlfn.XLOOKUP(B23,'BASE DE EXCEL'!$C:$C,'BASE DE EXCEL'!BM:BM,"NO HAY REFERENCIA")</f>
        <v>00,99</v>
      </c>
      <c r="ET23" s="3" t="str">
        <f>_xlfn.XLOOKUP(B23,'BASE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23" s="3">
        <f>_xlfn.XLOOKUP(B23,'BASE DE EXCEL'!$C:$C,'BASE DE EXCEL'!BO:BO,"NO HAY REFERENCIA")</f>
        <v>90</v>
      </c>
      <c r="EV23" s="3" t="str">
        <f>_xlfn.XLOOKUP(B23,'BASE DE EXCEL'!$C:$C,'BASE DE EXCEL'!BP:BP,"NO HAY REFERENCIA")</f>
        <v xml:space="preserve"> 167500.95, 3481449.92, 1040102.50, 9912953.44, 7554117.00</v>
      </c>
      <c r="EW23" s="3" t="str">
        <f>_xlfn.XLOOKUP(B23,'BASE DE EXCEL'!$C:$C,'BASE DE EXCEL'!BQ:BQ,"NO HAY REFERENCIA")</f>
        <v>KILO,KILO,KILO,KILO,KILO,KILO,KILO,KILO,KILO,KILO,KILO,KILO,KILO</v>
      </c>
      <c r="EX23" s="3">
        <f>_xlfn.XLOOKUP(B23,'BASE DE EXCEL'!$C:$C,'BASE DE EXCEL'!BR:BR,"NO HAY REFERENCIA")</f>
        <v>0</v>
      </c>
      <c r="EY23" s="3" t="str">
        <f>_xlfn.XLOOKUP(B23,'BASE DE EXCEL'!$C:$C,'BASE DE EXCEL'!BS:BS,"NO HAY REFERENCIA")</f>
        <v>PAISES BAJOS (REINO DE LOS) (HOLANDA)</v>
      </c>
      <c r="EZ23" s="3" t="str">
        <f>_xlfn.XLOOKUP(B23,'BASE DE EXCEL'!$C:$C,'BASE DE EXCEL'!BT:BT,"NO HAY REFERENCIA")</f>
        <v>PAISES BAJOS (REINO DE LOS) (HOLANDA)</v>
      </c>
      <c r="FA23" s="3" t="str">
        <f>_xlfn.XLOOKUP(B23,'BASE DE EXCEL'!$C:$C,'BASE DE EXCEL'!BU:BU,"NO HAY REFERENCIA")</f>
        <v>ZYA</v>
      </c>
      <c r="FB23" s="3" t="str">
        <f>_xlfn.XLOOKUP(B23,'BASE DE EXCEL'!$C:$C,'BASE DE EXCEL'!BV:BV,"NO HAY REFERENCIA")</f>
        <v>ZYA</v>
      </c>
      <c r="FC23" s="3">
        <f>_xlfn.XLOOKUP(B23,QUERY!$C:$C,QUERY!D:D)</f>
        <v>430</v>
      </c>
      <c r="FD23" s="4">
        <f>_xlfn.XLOOKUP(B23,QUERY!$C:$C,QUERY!E:E)</f>
        <v>46045</v>
      </c>
      <c r="FE23" s="3">
        <f>_xlfn.XLOOKUP(B23,QUERY!$C:$C,QUERY!F:F)</f>
        <v>1</v>
      </c>
      <c r="FF23" s="4">
        <f>_xlfn.XLOOKUP(B23,QUERY!$C:$C,QUERY!G:G)</f>
        <v>46043</v>
      </c>
      <c r="FG23" s="4">
        <f>_xlfn.XLOOKUP(B23,QUERY!$C:$C,QUERY!H:H)</f>
        <v>46045</v>
      </c>
      <c r="FH23" s="3">
        <f>_xlfn.XLOOKUP(B23,QUERY!$C:$C,QUERY!I:I)</f>
        <v>2</v>
      </c>
      <c r="FI23" s="3" t="str">
        <f>_xlfn.XLOOKUP(B23,QUERY!$C:$C,QUERY!J:J)</f>
        <v>2 a 3 días</v>
      </c>
      <c r="FJ23" s="4">
        <f>_xlfn.XLOOKUP(B23,QUERY!$C:$C,QUERY!K:K)</f>
        <v>46048</v>
      </c>
      <c r="FK23" s="3">
        <f>_xlfn.XLOOKUP(B23,QUERY!$C:$C,QUERY!L:L)</f>
        <v>3</v>
      </c>
      <c r="FL23" s="3" t="str">
        <f>_xlfn.XLOOKUP(B23,QUERY!$C:$C,QUERY!M:M)</f>
        <v>2 a 3 días</v>
      </c>
      <c r="FM23" s="3">
        <f>_xlfn.XLOOKUP(B23,QUERY!$C:$C,QUERY!N:N)</f>
        <v>1</v>
      </c>
      <c r="FN23" s="3" t="str">
        <f>_xlfn.XLOOKUP(B23,QUERY!$C:$C,QUERY!O:O)</f>
        <v>1 día o menos</v>
      </c>
      <c r="FO23" s="3">
        <f>_xlfn.XLOOKUP(B23,QUERY!$C:$C,QUERY!P:P)</f>
        <v>1</v>
      </c>
      <c r="FP23" s="3">
        <f>_xlfn.XLOOKUP(B23,QUERY!$C:$C,QUERY!Q:Q)</f>
        <v>1</v>
      </c>
      <c r="FQ23" s="3" t="str">
        <f>_xlfn.XLOOKUP(B23,QUERY!$C:$C,QUERY!R:R)</f>
        <v>1 día o menos</v>
      </c>
      <c r="FR23" s="4">
        <f>_xlfn.XLOOKUP(B23,QUERY!$C:$C,QUERY!S:S)</f>
        <v>46049</v>
      </c>
      <c r="FS23" s="3">
        <f>_xlfn.XLOOKUP(B23,QUERY!$C:$C,QUERY!T:T)</f>
        <v>4</v>
      </c>
      <c r="FT23" s="3" t="str">
        <f>_xlfn.XLOOKUP(B23,QUERY!$C:$C,QUERY!U:U)</f>
        <v>4 a 5 días</v>
      </c>
      <c r="FU23" s="3">
        <f>_xlfn.XLOOKUP(B23,QUERY!$C:$C,QUERY!V:V)</f>
        <v>7</v>
      </c>
      <c r="FV23" s="3" t="str">
        <f>_xlfn.XLOOKUP(B23,QUERY!$C:$C,QUERY!W:W)</f>
        <v>6 a 10 días</v>
      </c>
      <c r="FW23" s="4">
        <f>_xlfn.XLOOKUP(B23,QUERY!$C:$C,QUERY!X:X)</f>
        <v>46052</v>
      </c>
      <c r="FX23" s="3">
        <f>_xlfn.XLOOKUP(B23,QUERY!$C:$C,QUERY!Y:Y)</f>
        <v>3</v>
      </c>
      <c r="FY23" s="3">
        <f>_xlfn.XLOOKUP(B23,QUERY!$C:$C,QUERY!Z:Z)</f>
        <v>3</v>
      </c>
      <c r="FZ23" s="4" t="str">
        <f>_xlfn.XLOOKUP(B23,QUERY!$C:$C,QUERY!AA:AA)</f>
        <v>2 a 3 días</v>
      </c>
      <c r="GA23" s="4">
        <f>_xlfn.XLOOKUP(B23,QUERY!$C:$C,QUERY!AB:AB)</f>
        <v>46052</v>
      </c>
      <c r="GB23" s="4">
        <f>_xlfn.XLOOKUP(B23,QUERY!$C:$C,QUERY!AC:AC)</f>
        <v>46052</v>
      </c>
      <c r="GC23" s="3">
        <f>_xlfn.XLOOKUP(B23,QUERY!$C:$C,QUERY!AD:AD)</f>
        <v>0</v>
      </c>
      <c r="GD23" s="4">
        <f>_xlfn.XLOOKUP(B23,QUERY!$C:$C,QUERY!AE:AE)</f>
        <v>46052</v>
      </c>
      <c r="GE23" s="3">
        <f>_xlfn.XLOOKUP(B23,QUERY!$C:$C,QUERY!AF:AF)</f>
        <v>1</v>
      </c>
      <c r="GF23" s="4" t="str">
        <f>_xlfn.XLOOKUP(B23,QUERY!$C:$C,QUERY!AG:AG)</f>
        <v>Es anterior</v>
      </c>
      <c r="GG23" s="3" t="str">
        <f>_xlfn.XLOOKUP(B23,QUERY!$C:$C,QUERY!AH:AH)</f>
        <v>A1</v>
      </c>
      <c r="GH23" s="3" t="str">
        <f>_xlfn.XLOOKUP(B23,QUERY!$C:$C,QUERY!AI:AI)</f>
        <v>ZULEIMA PEREZ RUIZ</v>
      </c>
      <c r="GI23" s="3" t="str">
        <f>_xlfn.XLOOKUP(B23,QUERY!$C:$C,QUERY!AJ:AJ)</f>
        <v>HLCURTM251230364</v>
      </c>
      <c r="GJ23" s="3" t="str">
        <f>_xlfn.XLOOKUP(B23,QUERY!$C:$C,QUERY!AK:AK)</f>
        <v>NULL</v>
      </c>
      <c r="GK23" s="3">
        <f>_xlfn.XLOOKUP(B23,QUERY!$C:$C,QUERY!AL:AL)</f>
        <v>6000096</v>
      </c>
      <c r="GL23" s="3" t="str">
        <f>_xlfn.XLOOKUP(B23,QUERY!$C:$C,QUERY!AM:AM)</f>
        <v>Importación</v>
      </c>
      <c r="GM23" s="3" t="str">
        <f>_xlfn.XLOOKUP(B23,QUERY!$C:$C,QUERY!AN:AN)</f>
        <v>NOBILIS IB MA5 (VACUNA DE USO VETERINARIO)</v>
      </c>
      <c r="GN23" s="3" t="str">
        <f>_xlfn.XLOOKUP(B23,QUERY!$C:$C,QUERY!AO:AO)</f>
        <v>SIN CLASIFICACION</v>
      </c>
      <c r="GO23" s="3">
        <f>_xlfn.XLOOKUP(B23,QUERY!$C:$C,QUERY!AP:AP)</f>
        <v>0</v>
      </c>
      <c r="GP23" s="3" t="str">
        <f>_xlfn.XLOOKUP(B23,QUERY!$C:$C,QUERY!AQ:AQ)</f>
        <v>Cargas de Importación</v>
      </c>
      <c r="GQ23" s="3" t="str">
        <f>_xlfn.XLOOKUP(B23,QUERY!$C:$C,QUERY!AR:AR)</f>
        <v>INTERVET MEXICO SA DE CV</v>
      </c>
      <c r="GR23" s="3">
        <f>_xlfn.XLOOKUP(B23,QUERY!$C:$C,QUERY!AS:AS)</f>
        <v>0</v>
      </c>
      <c r="GS23" s="3" t="str">
        <f>_xlfn.XLOOKUP(B23,QUERY!$C:$C,QUERY!AT:AT)</f>
        <v>NINGUNO</v>
      </c>
      <c r="GT23" s="3">
        <f>_xlfn.XLOOKUP(B23,QUERY!$C:$C,QUERY!AU:AU)</f>
        <v>0</v>
      </c>
      <c r="GU23" s="3" t="str">
        <f>_xlfn.XLOOKUP(B23,QUERY!$C:$C,QUERY!AV:AV)</f>
        <v>NINGUNO</v>
      </c>
      <c r="GV23" s="3" t="str">
        <f>_xlfn.XLOOKUP(B23,QUERY!$C:$C,QUERY!AW:AW)</f>
        <v>PRODUCTO TERMINADO</v>
      </c>
      <c r="GW23" s="3" t="str">
        <f>_xlfn.XLOOKUP(B23,QUERY!$C:$C,QUERY!AX:AX)</f>
        <v>Verde</v>
      </c>
      <c r="GX23" s="3" t="str">
        <f>_xlfn.XLOOKUP(B23,QUERY!$C:$C,QUERY!AY:AY)</f>
        <v xml:space="preserve"> SUPER EXPRESS DE CARGA FEDERAL S.A. DE C.V.</v>
      </c>
      <c r="GY23" s="3">
        <f>_xlfn.XLOOKUP(B23,QUERY!$C:$C,QUERY!AZ:AZ)</f>
        <v>0</v>
      </c>
      <c r="GZ23" s="3" t="str">
        <f>_xlfn.XLOOKUP(B23,QUERY!$C:$C,QUERY!BA:BA)</f>
        <v>IME-T003</v>
      </c>
      <c r="HA23" s="3" t="str">
        <f>_xlfn.XLOOKUP(B23,QUERY!$C:$C,QUERY!BB:BB)</f>
        <v>IME850329RH2</v>
      </c>
      <c r="HB23" s="3">
        <f>_xlfn.XLOOKUP(B23,QUERY!$C:$C,QUERY!BC:BC)</f>
        <v>0</v>
      </c>
      <c r="HC23" s="3">
        <f>_xlfn.XLOOKUP(B23,QUERY!$C:$C,QUERY!BD:BD)</f>
        <v>0.99</v>
      </c>
      <c r="HD23" s="3" t="str">
        <f>_xlfn.XLOOKUP(B23,QUERY!$C:$C,QUERY!BE:BE)</f>
        <v>LOTE: SA536AA38,LOTE: J654A01,LOTE: A449A02,LOTE: 2408467J03,LOTE: A372B02,LOTE: A179B01,LOTE: A264A02,LOTE: A218A01,LOTE: A197A01,LOTE: B277A01,LOTE: B274A01,LOTE: A414A01,LOTES: A462A03, A463A01</v>
      </c>
      <c r="HE23" s="3">
        <f>_xlfn.XLOOKUP(B23,QUERY!$C:$C,QUERY!BF:BF)</f>
        <v>90</v>
      </c>
      <c r="HF23" s="3" t="str">
        <f>_xlfn.XLOOKUP(B23,QUERY!$C:$C,QUERY!BG:BG)</f>
        <v xml:space="preserve"> 167500.95, 3481449.92, 1040102.50, 9912953.44, 7554117.00</v>
      </c>
      <c r="HG23" s="3" t="str">
        <f>_xlfn.XLOOKUP(B23,QUERY!$C:$C,QUERY!BH:BH)</f>
        <v>KILO,KILO,KILO,KILO,KILO,KILO,KILO,KILO,KILO,KILO,KILO,KILO,KILO</v>
      </c>
      <c r="HH23" s="3">
        <f>_xlfn.XLOOKUP(B23,QUERY!$C:$C,QUERY!BI:BI)</f>
        <v>0</v>
      </c>
      <c r="HI23" s="3" t="str">
        <f>_xlfn.XLOOKUP(B23,QUERY!$C:$C,QUERY!BJ:BJ)</f>
        <v>PAISES BAJOS (REINO DE LOS) (HOLANDA)</v>
      </c>
      <c r="HJ23" s="3" t="str">
        <f>_xlfn.XLOOKUP(B23,QUERY!$C:$C,QUERY!BK:BK)</f>
        <v>PAISES BAJOS (REINO DE LOS) (HOLANDA)</v>
      </c>
      <c r="HK23" s="3" t="str">
        <f>_xlfn.XLOOKUP(B23,QUERY!$C:$C,QUERY!BL:BL)</f>
        <v>ZYA</v>
      </c>
      <c r="HL23" s="3" t="str">
        <f>_xlfn.XLOOKUP(B23,QUERY!$C:$C,QUERY!BM:BM)</f>
        <v>ZYA</v>
      </c>
      <c r="HM23" s="3">
        <f>_xlfn.XLOOKUP(B23,QUERY!$C:$C,QUERY!BN:BN)</f>
        <v>22156123</v>
      </c>
      <c r="HN23" s="3" t="str">
        <f>_xlfn.XLOOKUP(B23,QUERY!$C:$C,QUERY!BO:BO)</f>
        <v>462.00</v>
      </c>
      <c r="HO23" s="3" t="str">
        <f>_xlfn.XLOOKUP(B23,QUERY!$C:$C,QUERY!BP:BP)</f>
        <v>NULL</v>
      </c>
      <c r="HP23" s="3" t="str">
        <f>_xlfn.XLOOKUP(B23,QUERY!$C:$C,QUERY!BQ:BQ)</f>
        <v>NULL</v>
      </c>
      <c r="HQ23" s="3" t="str">
        <f>_xlfn.XLOOKUP(B23,QUERY!$C:$C,QUERY!BR:BR)</f>
        <v>350419.46</v>
      </c>
      <c r="HR23" s="3">
        <f>_xlfn.XLOOKUP(B23,QUERY!$C:$C,QUERY!BS:BS)</f>
        <v>0</v>
      </c>
      <c r="HS23" s="3">
        <f>_xlfn.XLOOKUP(B23,QUERY!$C:$C,QUERY!BT:BT)</f>
        <v>0</v>
      </c>
      <c r="HT23" s="3" t="str">
        <f>_xlfn.XLOOKUP(B23,QUERY!$C:$C,QUERY!A:A)</f>
        <v>VERACRUZ</v>
      </c>
      <c r="HU23" s="3" t="str">
        <f>_xlfn.XLOOKUP(B23,QUERY!$C:$C,QUERY!B:B)</f>
        <v>MARÍTIMO VERACRUZ</v>
      </c>
    </row>
    <row r="24" spans="1:229" x14ac:dyDescent="0.25">
      <c r="A24" s="3" t="s">
        <v>90</v>
      </c>
      <c r="B24" s="9" t="s">
        <v>141</v>
      </c>
      <c r="C24" s="3">
        <v>3942</v>
      </c>
      <c r="D24" s="3">
        <v>6000096</v>
      </c>
      <c r="E24" s="3"/>
      <c r="F24" s="3" t="s">
        <v>92</v>
      </c>
      <c r="G24" s="3" t="s">
        <v>93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430</v>
      </c>
      <c r="S24" s="3" t="s">
        <v>142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150</v>
      </c>
      <c r="AB24" s="3"/>
      <c r="AC24" s="3">
        <v>3481450</v>
      </c>
      <c r="AD24" s="3">
        <v>8368.8701899999996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/>
      <c r="AP24" s="3" t="s">
        <v>98</v>
      </c>
      <c r="AQ24" s="3">
        <v>210361195</v>
      </c>
      <c r="AR24" s="3" t="s">
        <v>99</v>
      </c>
      <c r="AS24" s="3" t="s">
        <v>100</v>
      </c>
      <c r="AT24" s="3">
        <v>0</v>
      </c>
      <c r="AU24" s="3">
        <v>0</v>
      </c>
      <c r="AV24" s="3">
        <v>0</v>
      </c>
      <c r="AW24" s="3">
        <v>30024201</v>
      </c>
      <c r="AX24" s="3">
        <v>99</v>
      </c>
      <c r="AY24" s="3">
        <v>416</v>
      </c>
      <c r="AZ24" s="3">
        <v>416</v>
      </c>
      <c r="BA24" s="3" t="s">
        <v>121</v>
      </c>
      <c r="BB24" s="3"/>
      <c r="BC24" s="3" t="s">
        <v>105</v>
      </c>
      <c r="BD24" s="3" t="s">
        <v>105</v>
      </c>
      <c r="BE24" s="3"/>
      <c r="BF24" s="3"/>
      <c r="BG24" s="5"/>
      <c r="BH24" s="3"/>
      <c r="BI24" s="3"/>
      <c r="BJ24" s="3"/>
      <c r="BK24" s="3" t="s">
        <v>151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 t="s">
        <v>111</v>
      </c>
      <c r="CF24" s="3">
        <v>0</v>
      </c>
      <c r="CG24" s="3">
        <v>0</v>
      </c>
      <c r="CH24" s="3">
        <v>0</v>
      </c>
      <c r="CI24" s="3" t="s">
        <v>112</v>
      </c>
      <c r="CJ24" s="3" t="s">
        <v>112</v>
      </c>
      <c r="CK24" s="3">
        <f>_xlfn.XLOOKUP($B$2,'BASE DE EXCEL'!C:C,'BASE DE EXCEL'!D:D,"NO HAY REFERENCIA")</f>
        <v>470</v>
      </c>
      <c r="CL24" s="5">
        <f>_xlfn.XLOOKUP($B$2,'BASE DE EXCEL'!$C:$C,'BASE DE EXCEL'!F:F,"NO HAY REFERENCIA")</f>
        <v>3</v>
      </c>
      <c r="CM24" s="4">
        <f>_xlfn.XLOOKUP($B$2,'BASE DE EXCEL'!$C:$C,'BASE DE EXCEL'!G:G,"NO HAY REFERENCIA")</f>
        <v>46080</v>
      </c>
      <c r="CN24" s="4">
        <f>_xlfn.XLOOKUP($B$2,'BASE DE EXCEL'!$C:$C,'BASE DE EXCEL'!H:H,"NO HAY REFERENCIA")</f>
        <v>46086</v>
      </c>
      <c r="CO24" s="3">
        <f>_xlfn.XLOOKUP($B$2,'BASE DE EXCEL'!$C:$C,'BASE DE EXCEL'!I:I,"NO HAY REFERENCIA")</f>
        <v>4</v>
      </c>
      <c r="CP24" s="3" t="str">
        <f>_xlfn.XLOOKUP($B$2,'BASE DE EXCEL'!$C:$C,'BASE DE EXCEL'!J:J,"NO HAY REFERENCIA")</f>
        <v>4 a 5 días</v>
      </c>
      <c r="CQ24" s="4">
        <f>_xlfn.XLOOKUP($B$2,'BASE DE EXCEL'!$C:$C,'BASE DE EXCEL'!K:K,"NO HAY REFERENCIA")</f>
        <v>46087</v>
      </c>
      <c r="CR24" s="3">
        <f>_xlfn.XLOOKUP($B$2,'BASE DE EXCEL'!$C:$C,'BASE DE EXCEL'!L:L,"NO HAY REFERENCIA")</f>
        <v>5</v>
      </c>
      <c r="CS24" s="3">
        <f>_xlfn.XLOOKUP($B$2,'BASE DE EXCEL'!$C:$C,'BASE DE EXCEL'!M:M,"NO HAY REFERENCIA")</f>
        <v>6</v>
      </c>
      <c r="CT24" s="3" t="str">
        <f>_xlfn.XLOOKUP($B$2,'BASE DE EXCEL'!$C:$C,'BASE DE EXCEL'!N:N,"NO HAY REFERENCIA")</f>
        <v>6 a 10 días</v>
      </c>
      <c r="CU24" s="3" t="str">
        <f>_xlfn.XLOOKUP($B$2,'BASE DE EXCEL'!$C:$C,'BASE DE EXCEL'!O:O,"NO HAY REFERENCIA")</f>
        <v>On Time</v>
      </c>
      <c r="CV24" s="3" t="str">
        <f>_xlfn.XLOOKUP(B24,'BASE DE EXCEL'!$C:$C,'BASE DE EXCEL'!P:P,"NO HAY REFERENCIA")</f>
        <v>4 a 5 días</v>
      </c>
      <c r="CW24" s="4">
        <f>_xlfn.XLOOKUP(B24,'BASE DE EXCEL'!$C:$C,'BASE DE EXCEL'!Q:Q,"NO HAY REFERENCIA")</f>
        <v>46049</v>
      </c>
      <c r="CX24" s="3">
        <f>_xlfn.XLOOKUP(B24,'BASE DE EXCEL'!$C:$C,'BASE DE EXCEL'!R:R,"NO HAY REFERENCIA")</f>
        <v>5</v>
      </c>
      <c r="CY24" s="3" t="str">
        <f>_xlfn.XLOOKUP(B24,'BASE DE EXCEL'!$C:$C,'BASE DE EXCEL'!S:S,"NO HAY REFERENCIA")</f>
        <v>4 a 5 días</v>
      </c>
      <c r="CZ24" s="3" t="str">
        <f>_xlfn.XLOOKUP(B24,'BASE DE EXCEL'!$C:$C,'BASE DE EXCEL'!T:T,"NO HAY REFERENCIA")</f>
        <v>On Time</v>
      </c>
      <c r="DA24" s="3">
        <f>_xlfn.XLOOKUP(B24,'BASE DE EXCEL'!$C:$C,'BASE DE EXCEL'!U:U,"NO HAY REFERENCIA")</f>
        <v>6</v>
      </c>
      <c r="DB24" s="3" t="str">
        <f>_xlfn.XLOOKUP(B24,'BASE DE EXCEL'!$C:$C,'BASE DE EXCEL'!V:V,"NO HAY REFERENCIA")</f>
        <v>4 a 5 días</v>
      </c>
      <c r="DC24" s="3">
        <f>_xlfn.XLOOKUP(B24,'BASE DE EXCEL'!$C:$C,'BASE DE EXCEL'!W:W,"NO HAY REFERENCIA")</f>
        <v>7</v>
      </c>
      <c r="DD24" s="3" t="str">
        <f>_xlfn.XLOOKUP(B24,'BASE DE EXCEL'!$C:$C,'BASE DE EXCEL'!X:X,"NO HAY REFERENCIA")</f>
        <v>6 a 10 días</v>
      </c>
      <c r="DE24" s="3">
        <f>_xlfn.XLOOKUP(B24,'BASE DE EXCEL'!$C:$C,'BASE DE EXCEL'!Y:Y,"NO HAY REFERENCIA")</f>
        <v>1</v>
      </c>
      <c r="DF24" s="3" t="str">
        <f>_xlfn.XLOOKUP(B24,'BASE DE EXCEL'!$C:$C,'BASE DE EXCEL'!Z:Z,"NO HAY REFERENCIA")</f>
        <v>1 día o menos</v>
      </c>
      <c r="DG24" s="3">
        <f>_xlfn.XLOOKUP(B24,'BASE DE EXCEL'!$C:$C,'BASE DE EXCEL'!AA:AA,"NO HAY REFERENCIA")</f>
        <v>2</v>
      </c>
      <c r="DH24" s="3">
        <f>_xlfn.XLOOKUP(B24,'BASE DE EXCEL'!$C:$C,'BASE DE EXCEL'!AB:AB,"NO HAY REFERENCIA")</f>
        <v>1</v>
      </c>
      <c r="DI24" s="3" t="str">
        <f>_xlfn.XLOOKUP(B24,'BASE DE EXCEL'!$C:$C,'BASE DE EXCEL'!AC:AC,"NO HAY REFERENCIA")</f>
        <v>1 día o menos</v>
      </c>
      <c r="DJ24" s="4">
        <f>_xlfn.XLOOKUP(B24,'BASE DE EXCEL'!$C:$C,'BASE DE EXCEL'!AD:AD,"NO HAY REFERENCIA")</f>
        <v>46052</v>
      </c>
      <c r="DK24" s="3">
        <f>_xlfn.XLOOKUP(B24,'BASE DE EXCEL'!$C:$C,'BASE DE EXCEL'!AE:AE,"NO HAY REFERENCIA")</f>
        <v>3</v>
      </c>
      <c r="DL24" s="3">
        <f>_xlfn.XLOOKUP(B24,'BASE DE EXCEL'!$C:$C,'BASE DE EXCEL'!AF:AF,"NO HAY REFERENCIA")</f>
        <v>3</v>
      </c>
      <c r="DM24" s="4">
        <f>_xlfn.XLOOKUP(B24,'BASE DE EXCEL'!$C:$C,'BASE DE EXCEL'!AG:AG,"NO HAY REFERENCIA")</f>
        <v>46052</v>
      </c>
      <c r="DN24" s="4">
        <f>_xlfn.XLOOKUP(B24,'BASE DE EXCEL'!$C:$C,'BASE DE EXCEL'!AH:AH,"NO HAY REFERENCIA")</f>
        <v>46052</v>
      </c>
      <c r="DO24" s="3">
        <f>_xlfn.XLOOKUP(B24,'BASE DE EXCEL'!$C:$C,'BASE DE EXCEL'!AI:AI,"NO HAY REFERENCIA")</f>
        <v>0</v>
      </c>
      <c r="DP24" s="4" t="str">
        <f>_xlfn.XLOOKUP(B24,'BASE DE EXCEL'!$C:$C,'BASE DE EXCEL'!AJ:AJ,"NO HAY REFERENCIA")</f>
        <v>2 a 3 días</v>
      </c>
      <c r="DQ24" s="4">
        <f>_xlfn.XLOOKUP(B24,'BASE DE EXCEL'!$C:$C,'BASE DE EXCEL'!AK:AK,"NO HAY REFERENCIA")</f>
        <v>46052</v>
      </c>
      <c r="DR24" s="3">
        <f>_xlfn.XLOOKUP(B24,'BASE DE EXCEL'!$C:$C,'BASE DE EXCEL'!AL:AL,"NO HAY REFERENCIA")</f>
        <v>4</v>
      </c>
      <c r="DS24" s="3" t="str">
        <f>_xlfn.XLOOKUP(B24,'BASE DE EXCEL'!$C:$C,'BASE DE EXCEL'!AM:AM,"NO HAY REFERENCIA")</f>
        <v>4 a 5 días</v>
      </c>
      <c r="DT24" s="3" t="str">
        <f>_xlfn.XLOOKUP(B24,'BASE DE EXCEL'!$C:$C,'BASE DE EXCEL'!AN:AN,"NO HAY REFERENCIA")</f>
        <v>On Time</v>
      </c>
      <c r="DU24" s="3">
        <f>_xlfn.XLOOKUP(B24,'BASE DE EXCEL'!$C:$C,'BASE DE EXCEL'!AO:AO,"NO HAY REFERENCIA")</f>
        <v>1</v>
      </c>
      <c r="DV24" s="3" t="str">
        <f>_xlfn.XLOOKUP(B24,'BASE DE EXCEL'!$C:$C,'BASE DE EXCEL'!AP:AP,"NO HAY REFERENCIA")</f>
        <v>Es anterior</v>
      </c>
      <c r="DW24" s="3" t="str">
        <f>_xlfn.XLOOKUP(B24,'BASE DE EXCEL'!$C:$C,'BASE DE EXCEL'!AQ:AQ,"NO HAY REFERENCIA")</f>
        <v>A1</v>
      </c>
      <c r="DX24" s="3" t="str">
        <f>_xlfn.XLOOKUP(B24,'BASE DE EXCEL'!$C:$C,'BASE DE EXCEL'!AR:AR,"NO HAY REFERENCIA")</f>
        <v>ZULEIMA PEREZ RUIZ</v>
      </c>
      <c r="DY24" s="3" t="str">
        <f>_xlfn.XLOOKUP(B24,'BASE DE EXCEL'!$C:$C,'BASE DE EXCEL'!AS:AS,"NO HAY REFERENCIA")</f>
        <v>HLCURTM251230364</v>
      </c>
      <c r="DZ24" s="3" t="str">
        <f>_xlfn.XLOOKUP(B24,'BASE DE EXCEL'!$C:$C,'BASE DE EXCEL'!AT:AT,"NO HAY REFERENCIA")</f>
        <v>NULL</v>
      </c>
      <c r="EA24" s="3">
        <f>_xlfn.XLOOKUP(B24,'BASE DE EXCEL'!$C:$C,'BASE DE EXCEL'!AU:AU,"NO HAY REFERENCIA")</f>
        <v>6000096</v>
      </c>
      <c r="EB24" s="3" t="str">
        <f>_xlfn.XLOOKUP(B24,'BASE DE EXCEL'!$C:$C,'BASE DE EXCEL'!AV:AV,"NO HAY REFERENCIA")</f>
        <v>Importación</v>
      </c>
      <c r="EC24" s="3" t="str">
        <f>_xlfn.XLOOKUP(B24,'BASE DE EXCEL'!$C:$C,'BASE DE EXCEL'!AW:AW,"NO HAY REFERENCIA")</f>
        <v>NOBILIS IB MA5 (VACUNA DE USO VETERINARIO)</v>
      </c>
      <c r="ED24" s="3" t="str">
        <f>_xlfn.XLOOKUP(B24,'BASE DE EXCEL'!$C:$C,'BASE DE EXCEL'!AX:AX,"NO HAY REFERENCIA")</f>
        <v>SIN CLASIFICACION</v>
      </c>
      <c r="EE24" s="3">
        <f>_xlfn.XLOOKUP(B24,'BASE DE EXCEL'!$C:$C,'BASE DE EXCEL'!AY:AY,"NO HAY REFERENCIA")</f>
        <v>0</v>
      </c>
      <c r="EF24" s="3" t="str">
        <f>_xlfn.XLOOKUP(B24,'BASE DE EXCEL'!$C:$C,'BASE DE EXCEL'!AZ:AZ,"NO HAY REFERENCIA")</f>
        <v>Cargas de Importación</v>
      </c>
      <c r="EG24" s="3" t="str">
        <f>_xlfn.XLOOKUP(B24,'BASE DE EXCEL'!$C:$C,'BASE DE EXCEL'!BA:BA,"NO HAY REFERENCIA")</f>
        <v>INTERVET MEXICO SA DE CV</v>
      </c>
      <c r="EH24" s="3">
        <f>_xlfn.XLOOKUP(B24,'BASE DE EXCEL'!$C:$C,'BASE DE EXCEL'!BB:BB,"NO HAY REFERENCIA")</f>
        <v>0</v>
      </c>
      <c r="EI24" s="3" t="str">
        <f>_xlfn.XLOOKUP(B24,'BASE DE EXCEL'!$C:$C,'BASE DE EXCEL'!BC:BC,"NO HAY REFERENCIA")</f>
        <v>NINGUNO</v>
      </c>
      <c r="EJ24" s="3">
        <f>_xlfn.XLOOKUP(B24,'BASE DE EXCEL'!$C:$C,'BASE DE EXCEL'!BD:BD,"NO HAY REFERENCIA")</f>
        <v>0</v>
      </c>
      <c r="EK24" s="3" t="str">
        <f>_xlfn.XLOOKUP(B24,'BASE DE EXCEL'!$C:$C,'BASE DE EXCEL'!BE:BE,"NO HAY REFERENCIA")</f>
        <v>NINGUNO</v>
      </c>
      <c r="EL24" s="3" t="str">
        <f>_xlfn.XLOOKUP(B24,'BASE DE EXCEL'!$C:$C,'BASE DE EXCEL'!BF:BF,"NO HAY REFERENCIA")</f>
        <v>PRODUCTO TERMINADO</v>
      </c>
      <c r="EM24" s="3" t="str">
        <f>_xlfn.XLOOKUP(B24,'BASE DE EXCEL'!$C:$C,'BASE DE EXCEL'!BG:BG,"NO HAY REFERENCIA")</f>
        <v>Verde</v>
      </c>
      <c r="EN24" s="3" t="str">
        <f>_xlfn.XLOOKUP(B24,'BASE DE EXCEL'!$C:$C,'BASE DE EXCEL'!BH:BH,"NO HAY REFERENCIA")</f>
        <v xml:space="preserve"> SUPER EXPRESS DE CARGA FEDERAL S.A. DE C.V.</v>
      </c>
      <c r="EO24" s="3">
        <f>_xlfn.XLOOKUP(B24,'BASE DE EXCEL'!$C:$C,'BASE DE EXCEL'!BI:BI,"NO HAY REFERENCIA")</f>
        <v>0</v>
      </c>
      <c r="EP24" s="3" t="str">
        <f>_xlfn.XLOOKUP(B24,'BASE DE EXCEL'!$C:$C,'BASE DE EXCEL'!BJ:BJ,"NO HAY REFERENCIA")</f>
        <v>IME-T003</v>
      </c>
      <c r="EQ24" s="3" t="str">
        <f>_xlfn.XLOOKUP(B24,'BASE DE EXCEL'!$C:$C,'BASE DE EXCEL'!BK:BK,"NO HAY REFERENCIA")</f>
        <v>IME850329RH2</v>
      </c>
      <c r="ER24" s="3">
        <f>_xlfn.XLOOKUP(B24,'BASE DE EXCEL'!$C:$C,'BASE DE EXCEL'!BL:BL,"NO HAY REFERENCIA")</f>
        <v>0</v>
      </c>
      <c r="ES24" s="3" t="str">
        <f>_xlfn.XLOOKUP(B24,'BASE DE EXCEL'!$C:$C,'BASE DE EXCEL'!BM:BM,"NO HAY REFERENCIA")</f>
        <v>00,99</v>
      </c>
      <c r="ET24" s="3" t="str">
        <f>_xlfn.XLOOKUP(B24,'BASE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24" s="3">
        <f>_xlfn.XLOOKUP(B24,'BASE DE EXCEL'!$C:$C,'BASE DE EXCEL'!BO:BO,"NO HAY REFERENCIA")</f>
        <v>90</v>
      </c>
      <c r="EV24" s="3" t="str">
        <f>_xlfn.XLOOKUP(B24,'BASE DE EXCEL'!$C:$C,'BASE DE EXCEL'!BP:BP,"NO HAY REFERENCIA")</f>
        <v xml:space="preserve"> 167500.95, 3481449.92, 1040102.50, 9912953.44, 7554117.00</v>
      </c>
      <c r="EW24" s="3" t="str">
        <f>_xlfn.XLOOKUP(B24,'BASE DE EXCEL'!$C:$C,'BASE DE EXCEL'!BQ:BQ,"NO HAY REFERENCIA")</f>
        <v>KILO,KILO,KILO,KILO,KILO,KILO,KILO,KILO,KILO,KILO,KILO,KILO,KILO</v>
      </c>
      <c r="EX24" s="3">
        <f>_xlfn.XLOOKUP(B24,'BASE DE EXCEL'!$C:$C,'BASE DE EXCEL'!BR:BR,"NO HAY REFERENCIA")</f>
        <v>0</v>
      </c>
      <c r="EY24" s="3" t="str">
        <f>_xlfn.XLOOKUP(B24,'BASE DE EXCEL'!$C:$C,'BASE DE EXCEL'!BS:BS,"NO HAY REFERENCIA")</f>
        <v>PAISES BAJOS (REINO DE LOS) (HOLANDA)</v>
      </c>
      <c r="EZ24" s="3" t="str">
        <f>_xlfn.XLOOKUP(B24,'BASE DE EXCEL'!$C:$C,'BASE DE EXCEL'!BT:BT,"NO HAY REFERENCIA")</f>
        <v>PAISES BAJOS (REINO DE LOS) (HOLANDA)</v>
      </c>
      <c r="FA24" s="3" t="str">
        <f>_xlfn.XLOOKUP(B24,'BASE DE EXCEL'!$C:$C,'BASE DE EXCEL'!BU:BU,"NO HAY REFERENCIA")</f>
        <v>ZYA</v>
      </c>
      <c r="FB24" s="3" t="str">
        <f>_xlfn.XLOOKUP(B24,'BASE DE EXCEL'!$C:$C,'BASE DE EXCEL'!BV:BV,"NO HAY REFERENCIA")</f>
        <v>ZYA</v>
      </c>
      <c r="FC24" s="3">
        <f>_xlfn.XLOOKUP(B24,QUERY!$C:$C,QUERY!D:D)</f>
        <v>430</v>
      </c>
      <c r="FD24" s="4">
        <f>_xlfn.XLOOKUP(B24,QUERY!$C:$C,QUERY!E:E)</f>
        <v>46045</v>
      </c>
      <c r="FE24" s="3">
        <f>_xlfn.XLOOKUP(B24,QUERY!$C:$C,QUERY!F:F)</f>
        <v>1</v>
      </c>
      <c r="FF24" s="4">
        <f>_xlfn.XLOOKUP(B24,QUERY!$C:$C,QUERY!G:G)</f>
        <v>46043</v>
      </c>
      <c r="FG24" s="4">
        <f>_xlfn.XLOOKUP(B24,QUERY!$C:$C,QUERY!H:H)</f>
        <v>46045</v>
      </c>
      <c r="FH24" s="3">
        <f>_xlfn.XLOOKUP(B24,QUERY!$C:$C,QUERY!I:I)</f>
        <v>2</v>
      </c>
      <c r="FI24" s="3" t="str">
        <f>_xlfn.XLOOKUP(B24,QUERY!$C:$C,QUERY!J:J)</f>
        <v>2 a 3 días</v>
      </c>
      <c r="FJ24" s="4">
        <f>_xlfn.XLOOKUP(B24,QUERY!$C:$C,QUERY!K:K)</f>
        <v>46048</v>
      </c>
      <c r="FK24" s="3">
        <f>_xlfn.XLOOKUP(B24,QUERY!$C:$C,QUERY!L:L)</f>
        <v>3</v>
      </c>
      <c r="FL24" s="3" t="str">
        <f>_xlfn.XLOOKUP(B24,QUERY!$C:$C,QUERY!M:M)</f>
        <v>2 a 3 días</v>
      </c>
      <c r="FM24" s="3">
        <f>_xlfn.XLOOKUP(B24,QUERY!$C:$C,QUERY!N:N)</f>
        <v>1</v>
      </c>
      <c r="FN24" s="3" t="str">
        <f>_xlfn.XLOOKUP(B24,QUERY!$C:$C,QUERY!O:O)</f>
        <v>1 día o menos</v>
      </c>
      <c r="FO24" s="3">
        <f>_xlfn.XLOOKUP(B24,QUERY!$C:$C,QUERY!P:P)</f>
        <v>1</v>
      </c>
      <c r="FP24" s="3">
        <f>_xlfn.XLOOKUP(B24,QUERY!$C:$C,QUERY!Q:Q)</f>
        <v>1</v>
      </c>
      <c r="FQ24" s="3" t="str">
        <f>_xlfn.XLOOKUP(B24,QUERY!$C:$C,QUERY!R:R)</f>
        <v>1 día o menos</v>
      </c>
      <c r="FR24" s="4">
        <f>_xlfn.XLOOKUP(B24,QUERY!$C:$C,QUERY!S:S)</f>
        <v>46049</v>
      </c>
      <c r="FS24" s="3">
        <f>_xlfn.XLOOKUP(B24,QUERY!$C:$C,QUERY!T:T)</f>
        <v>4</v>
      </c>
      <c r="FT24" s="3" t="str">
        <f>_xlfn.XLOOKUP(B24,QUERY!$C:$C,QUERY!U:U)</f>
        <v>4 a 5 días</v>
      </c>
      <c r="FU24" s="3">
        <f>_xlfn.XLOOKUP(B24,QUERY!$C:$C,QUERY!V:V)</f>
        <v>7</v>
      </c>
      <c r="FV24" s="3" t="str">
        <f>_xlfn.XLOOKUP(B24,QUERY!$C:$C,QUERY!W:W)</f>
        <v>6 a 10 días</v>
      </c>
      <c r="FW24" s="4">
        <f>_xlfn.XLOOKUP(B24,QUERY!$C:$C,QUERY!X:X)</f>
        <v>46052</v>
      </c>
      <c r="FX24" s="3">
        <f>_xlfn.XLOOKUP(B24,QUERY!$C:$C,QUERY!Y:Y)</f>
        <v>3</v>
      </c>
      <c r="FY24" s="3">
        <f>_xlfn.XLOOKUP(B24,QUERY!$C:$C,QUERY!Z:Z)</f>
        <v>3</v>
      </c>
      <c r="FZ24" s="4" t="str">
        <f>_xlfn.XLOOKUP(B24,QUERY!$C:$C,QUERY!AA:AA)</f>
        <v>2 a 3 días</v>
      </c>
      <c r="GA24" s="4">
        <f>_xlfn.XLOOKUP(B24,QUERY!$C:$C,QUERY!AB:AB)</f>
        <v>46052</v>
      </c>
      <c r="GB24" s="4">
        <f>_xlfn.XLOOKUP(B24,QUERY!$C:$C,QUERY!AC:AC)</f>
        <v>46052</v>
      </c>
      <c r="GC24" s="3">
        <f>_xlfn.XLOOKUP(B24,QUERY!$C:$C,QUERY!AD:AD)</f>
        <v>0</v>
      </c>
      <c r="GD24" s="4">
        <f>_xlfn.XLOOKUP(B24,QUERY!$C:$C,QUERY!AE:AE)</f>
        <v>46052</v>
      </c>
      <c r="GE24" s="3">
        <f>_xlfn.XLOOKUP(B24,QUERY!$C:$C,QUERY!AF:AF)</f>
        <v>1</v>
      </c>
      <c r="GF24" s="4" t="str">
        <f>_xlfn.XLOOKUP(B24,QUERY!$C:$C,QUERY!AG:AG)</f>
        <v>Es anterior</v>
      </c>
      <c r="GG24" s="3" t="str">
        <f>_xlfn.XLOOKUP(B24,QUERY!$C:$C,QUERY!AH:AH)</f>
        <v>A1</v>
      </c>
      <c r="GH24" s="3" t="str">
        <f>_xlfn.XLOOKUP(B24,QUERY!$C:$C,QUERY!AI:AI)</f>
        <v>ZULEIMA PEREZ RUIZ</v>
      </c>
      <c r="GI24" s="3" t="str">
        <f>_xlfn.XLOOKUP(B24,QUERY!$C:$C,QUERY!AJ:AJ)</f>
        <v>HLCURTM251230364</v>
      </c>
      <c r="GJ24" s="3" t="str">
        <f>_xlfn.XLOOKUP(B24,QUERY!$C:$C,QUERY!AK:AK)</f>
        <v>NULL</v>
      </c>
      <c r="GK24" s="3">
        <f>_xlfn.XLOOKUP(B24,QUERY!$C:$C,QUERY!AL:AL)</f>
        <v>6000096</v>
      </c>
      <c r="GL24" s="3" t="str">
        <f>_xlfn.XLOOKUP(B24,QUERY!$C:$C,QUERY!AM:AM)</f>
        <v>Importación</v>
      </c>
      <c r="GM24" s="3" t="str">
        <f>_xlfn.XLOOKUP(B24,QUERY!$C:$C,QUERY!AN:AN)</f>
        <v>NOBILIS IB MA5 (VACUNA DE USO VETERINARIO)</v>
      </c>
      <c r="GN24" s="3" t="str">
        <f>_xlfn.XLOOKUP(B24,QUERY!$C:$C,QUERY!AO:AO)</f>
        <v>SIN CLASIFICACION</v>
      </c>
      <c r="GO24" s="3">
        <f>_xlfn.XLOOKUP(B24,QUERY!$C:$C,QUERY!AP:AP)</f>
        <v>0</v>
      </c>
      <c r="GP24" s="3" t="str">
        <f>_xlfn.XLOOKUP(B24,QUERY!$C:$C,QUERY!AQ:AQ)</f>
        <v>Cargas de Importación</v>
      </c>
      <c r="GQ24" s="3" t="str">
        <f>_xlfn.XLOOKUP(B24,QUERY!$C:$C,QUERY!AR:AR)</f>
        <v>INTERVET MEXICO SA DE CV</v>
      </c>
      <c r="GR24" s="3">
        <f>_xlfn.XLOOKUP(B24,QUERY!$C:$C,QUERY!AS:AS)</f>
        <v>0</v>
      </c>
      <c r="GS24" s="3" t="str">
        <f>_xlfn.XLOOKUP(B24,QUERY!$C:$C,QUERY!AT:AT)</f>
        <v>NINGUNO</v>
      </c>
      <c r="GT24" s="3">
        <f>_xlfn.XLOOKUP(B24,QUERY!$C:$C,QUERY!AU:AU)</f>
        <v>0</v>
      </c>
      <c r="GU24" s="3" t="str">
        <f>_xlfn.XLOOKUP(B24,QUERY!$C:$C,QUERY!AV:AV)</f>
        <v>NINGUNO</v>
      </c>
      <c r="GV24" s="3" t="str">
        <f>_xlfn.XLOOKUP(B24,QUERY!$C:$C,QUERY!AW:AW)</f>
        <v>PRODUCTO TERMINADO</v>
      </c>
      <c r="GW24" s="3" t="str">
        <f>_xlfn.XLOOKUP(B24,QUERY!$C:$C,QUERY!AX:AX)</f>
        <v>Verde</v>
      </c>
      <c r="GX24" s="3" t="str">
        <f>_xlfn.XLOOKUP(B24,QUERY!$C:$C,QUERY!AY:AY)</f>
        <v xml:space="preserve"> SUPER EXPRESS DE CARGA FEDERAL S.A. DE C.V.</v>
      </c>
      <c r="GY24" s="3">
        <f>_xlfn.XLOOKUP(B24,QUERY!$C:$C,QUERY!AZ:AZ)</f>
        <v>0</v>
      </c>
      <c r="GZ24" s="3" t="str">
        <f>_xlfn.XLOOKUP(B24,QUERY!$C:$C,QUERY!BA:BA)</f>
        <v>IME-T003</v>
      </c>
      <c r="HA24" s="3" t="str">
        <f>_xlfn.XLOOKUP(B24,QUERY!$C:$C,QUERY!BB:BB)</f>
        <v>IME850329RH2</v>
      </c>
      <c r="HB24" s="3">
        <f>_xlfn.XLOOKUP(B24,QUERY!$C:$C,QUERY!BC:BC)</f>
        <v>0</v>
      </c>
      <c r="HC24" s="3">
        <f>_xlfn.XLOOKUP(B24,QUERY!$C:$C,QUERY!BD:BD)</f>
        <v>0.99</v>
      </c>
      <c r="HD24" s="3" t="str">
        <f>_xlfn.XLOOKUP(B24,QUERY!$C:$C,QUERY!BE:BE)</f>
        <v>LOTE: SA536AA38,LOTE: J654A01,LOTE: A449A02,LOTE: 2408467J03,LOTE: A372B02,LOTE: A179B01,LOTE: A264A02,LOTE: A218A01,LOTE: A197A01,LOTE: B277A01,LOTE: B274A01,LOTE: A414A01,LOTES: A462A03, A463A01</v>
      </c>
      <c r="HE24" s="3">
        <f>_xlfn.XLOOKUP(B24,QUERY!$C:$C,QUERY!BF:BF)</f>
        <v>90</v>
      </c>
      <c r="HF24" s="3" t="str">
        <f>_xlfn.XLOOKUP(B24,QUERY!$C:$C,QUERY!BG:BG)</f>
        <v xml:space="preserve"> 167500.95, 3481449.92, 1040102.50, 9912953.44, 7554117.00</v>
      </c>
      <c r="HG24" s="3" t="str">
        <f>_xlfn.XLOOKUP(B24,QUERY!$C:$C,QUERY!BH:BH)</f>
        <v>KILO,KILO,KILO,KILO,KILO,KILO,KILO,KILO,KILO,KILO,KILO,KILO,KILO</v>
      </c>
      <c r="HH24" s="3">
        <f>_xlfn.XLOOKUP(B24,QUERY!$C:$C,QUERY!BI:BI)</f>
        <v>0</v>
      </c>
      <c r="HI24" s="3" t="str">
        <f>_xlfn.XLOOKUP(B24,QUERY!$C:$C,QUERY!BJ:BJ)</f>
        <v>PAISES BAJOS (REINO DE LOS) (HOLANDA)</v>
      </c>
      <c r="HJ24" s="3" t="str">
        <f>_xlfn.XLOOKUP(B24,QUERY!$C:$C,QUERY!BK:BK)</f>
        <v>PAISES BAJOS (REINO DE LOS) (HOLANDA)</v>
      </c>
      <c r="HK24" s="3" t="str">
        <f>_xlfn.XLOOKUP(B24,QUERY!$C:$C,QUERY!BL:BL)</f>
        <v>ZYA</v>
      </c>
      <c r="HL24" s="3" t="str">
        <f>_xlfn.XLOOKUP(B24,QUERY!$C:$C,QUERY!BM:BM)</f>
        <v>ZYA</v>
      </c>
      <c r="HM24" s="3">
        <f>_xlfn.XLOOKUP(B24,QUERY!$C:$C,QUERY!BN:BN)</f>
        <v>22156123</v>
      </c>
      <c r="HN24" s="3" t="str">
        <f>_xlfn.XLOOKUP(B24,QUERY!$C:$C,QUERY!BO:BO)</f>
        <v>462.00</v>
      </c>
      <c r="HO24" s="3" t="str">
        <f>_xlfn.XLOOKUP(B24,QUERY!$C:$C,QUERY!BP:BP)</f>
        <v>NULL</v>
      </c>
      <c r="HP24" s="3" t="str">
        <f>_xlfn.XLOOKUP(B24,QUERY!$C:$C,QUERY!BQ:BQ)</f>
        <v>NULL</v>
      </c>
      <c r="HQ24" s="3" t="str">
        <f>_xlfn.XLOOKUP(B24,QUERY!$C:$C,QUERY!BR:BR)</f>
        <v>350419.46</v>
      </c>
      <c r="HR24" s="3">
        <f>_xlfn.XLOOKUP(B24,QUERY!$C:$C,QUERY!BS:BS)</f>
        <v>0</v>
      </c>
      <c r="HS24" s="3">
        <f>_xlfn.XLOOKUP(B24,QUERY!$C:$C,QUERY!BT:BT)</f>
        <v>0</v>
      </c>
      <c r="HT24" s="3" t="str">
        <f>_xlfn.XLOOKUP(B24,QUERY!$C:$C,QUERY!A:A)</f>
        <v>VERACRUZ</v>
      </c>
      <c r="HU24" s="3" t="str">
        <f>_xlfn.XLOOKUP(B24,QUERY!$C:$C,QUERY!B:B)</f>
        <v>MARÍTIMO VERACRUZ</v>
      </c>
    </row>
    <row r="25" spans="1:229" x14ac:dyDescent="0.25">
      <c r="A25" s="3" t="s">
        <v>90</v>
      </c>
      <c r="B25" s="9" t="s">
        <v>141</v>
      </c>
      <c r="C25" s="3">
        <v>3942</v>
      </c>
      <c r="D25" s="3">
        <v>6000096</v>
      </c>
      <c r="E25" s="3"/>
      <c r="F25" s="3" t="s">
        <v>92</v>
      </c>
      <c r="G25" s="3" t="s">
        <v>93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430</v>
      </c>
      <c r="S25" s="3" t="s">
        <v>142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 t="s">
        <v>152</v>
      </c>
      <c r="AB25" s="3"/>
      <c r="AC25" s="3">
        <v>158598</v>
      </c>
      <c r="AD25" s="3">
        <v>247.80938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/>
      <c r="AP25" s="3" t="s">
        <v>98</v>
      </c>
      <c r="AQ25" s="3">
        <v>210361686</v>
      </c>
      <c r="AR25" s="3" t="s">
        <v>99</v>
      </c>
      <c r="AS25" s="3" t="s">
        <v>100</v>
      </c>
      <c r="AT25" s="3">
        <v>0</v>
      </c>
      <c r="AU25" s="3">
        <v>0</v>
      </c>
      <c r="AV25" s="3">
        <v>0</v>
      </c>
      <c r="AW25" s="3">
        <v>30024201</v>
      </c>
      <c r="AX25" s="3">
        <v>99</v>
      </c>
      <c r="AY25" s="3">
        <v>640</v>
      </c>
      <c r="AZ25" s="3">
        <v>640</v>
      </c>
      <c r="BA25" s="3" t="s">
        <v>103</v>
      </c>
      <c r="BB25" s="3"/>
      <c r="BC25" s="3" t="s">
        <v>105</v>
      </c>
      <c r="BD25" s="3" t="s">
        <v>105</v>
      </c>
      <c r="BE25" s="3"/>
      <c r="BF25" s="3"/>
      <c r="BG25" s="5"/>
      <c r="BH25" s="3"/>
      <c r="BI25" s="3"/>
      <c r="BJ25" s="3"/>
      <c r="BK25" s="3" t="s">
        <v>153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111</v>
      </c>
      <c r="CF25" s="3">
        <v>0</v>
      </c>
      <c r="CG25" s="3">
        <v>0</v>
      </c>
      <c r="CH25" s="3">
        <v>0</v>
      </c>
      <c r="CI25" s="3" t="s">
        <v>112</v>
      </c>
      <c r="CJ25" s="3" t="s">
        <v>112</v>
      </c>
      <c r="CK25" s="3">
        <f>_xlfn.XLOOKUP($B$2,'BASE DE EXCEL'!C:C,'BASE DE EXCEL'!D:D,"NO HAY REFERENCIA")</f>
        <v>470</v>
      </c>
      <c r="CL25" s="5">
        <f>_xlfn.XLOOKUP($B$2,'BASE DE EXCEL'!$C:$C,'BASE DE EXCEL'!F:F,"NO HAY REFERENCIA")</f>
        <v>3</v>
      </c>
      <c r="CM25" s="4">
        <f>_xlfn.XLOOKUP($B$2,'BASE DE EXCEL'!$C:$C,'BASE DE EXCEL'!G:G,"NO HAY REFERENCIA")</f>
        <v>46080</v>
      </c>
      <c r="CN25" s="4">
        <f>_xlfn.XLOOKUP($B$2,'BASE DE EXCEL'!$C:$C,'BASE DE EXCEL'!H:H,"NO HAY REFERENCIA")</f>
        <v>46086</v>
      </c>
      <c r="CO25" s="3">
        <f>_xlfn.XLOOKUP($B$2,'BASE DE EXCEL'!$C:$C,'BASE DE EXCEL'!I:I,"NO HAY REFERENCIA")</f>
        <v>4</v>
      </c>
      <c r="CP25" s="3" t="str">
        <f>_xlfn.XLOOKUP($B$2,'BASE DE EXCEL'!$C:$C,'BASE DE EXCEL'!J:J,"NO HAY REFERENCIA")</f>
        <v>4 a 5 días</v>
      </c>
      <c r="CQ25" s="4">
        <f>_xlfn.XLOOKUP($B$2,'BASE DE EXCEL'!$C:$C,'BASE DE EXCEL'!K:K,"NO HAY REFERENCIA")</f>
        <v>46087</v>
      </c>
      <c r="CR25" s="3">
        <f>_xlfn.XLOOKUP($B$2,'BASE DE EXCEL'!$C:$C,'BASE DE EXCEL'!L:L,"NO HAY REFERENCIA")</f>
        <v>5</v>
      </c>
      <c r="CS25" s="3">
        <f>_xlfn.XLOOKUP($B$2,'BASE DE EXCEL'!$C:$C,'BASE DE EXCEL'!M:M,"NO HAY REFERENCIA")</f>
        <v>6</v>
      </c>
      <c r="CT25" s="3" t="str">
        <f>_xlfn.XLOOKUP($B$2,'BASE DE EXCEL'!$C:$C,'BASE DE EXCEL'!N:N,"NO HAY REFERENCIA")</f>
        <v>6 a 10 días</v>
      </c>
      <c r="CU25" s="3" t="str">
        <f>_xlfn.XLOOKUP($B$2,'BASE DE EXCEL'!$C:$C,'BASE DE EXCEL'!O:O,"NO HAY REFERENCIA")</f>
        <v>On Time</v>
      </c>
      <c r="CV25" s="3" t="str">
        <f>_xlfn.XLOOKUP(B25,'BASE DE EXCEL'!$C:$C,'BASE DE EXCEL'!P:P,"NO HAY REFERENCIA")</f>
        <v>4 a 5 días</v>
      </c>
      <c r="CW25" s="4">
        <f>_xlfn.XLOOKUP(B25,'BASE DE EXCEL'!$C:$C,'BASE DE EXCEL'!Q:Q,"NO HAY REFERENCIA")</f>
        <v>46049</v>
      </c>
      <c r="CX25" s="3">
        <f>_xlfn.XLOOKUP(B25,'BASE DE EXCEL'!$C:$C,'BASE DE EXCEL'!R:R,"NO HAY REFERENCIA")</f>
        <v>5</v>
      </c>
      <c r="CY25" s="3" t="str">
        <f>_xlfn.XLOOKUP(B25,'BASE DE EXCEL'!$C:$C,'BASE DE EXCEL'!S:S,"NO HAY REFERENCIA")</f>
        <v>4 a 5 días</v>
      </c>
      <c r="CZ25" s="3" t="str">
        <f>_xlfn.XLOOKUP(B25,'BASE DE EXCEL'!$C:$C,'BASE DE EXCEL'!T:T,"NO HAY REFERENCIA")</f>
        <v>On Time</v>
      </c>
      <c r="DA25" s="3">
        <f>_xlfn.XLOOKUP(B25,'BASE DE EXCEL'!$C:$C,'BASE DE EXCEL'!U:U,"NO HAY REFERENCIA")</f>
        <v>6</v>
      </c>
      <c r="DB25" s="3" t="str">
        <f>_xlfn.XLOOKUP(B25,'BASE DE EXCEL'!$C:$C,'BASE DE EXCEL'!V:V,"NO HAY REFERENCIA")</f>
        <v>4 a 5 días</v>
      </c>
      <c r="DC25" s="3">
        <f>_xlfn.XLOOKUP(B25,'BASE DE EXCEL'!$C:$C,'BASE DE EXCEL'!W:W,"NO HAY REFERENCIA")</f>
        <v>7</v>
      </c>
      <c r="DD25" s="3" t="str">
        <f>_xlfn.XLOOKUP(B25,'BASE DE EXCEL'!$C:$C,'BASE DE EXCEL'!X:X,"NO HAY REFERENCIA")</f>
        <v>6 a 10 días</v>
      </c>
      <c r="DE25" s="3">
        <f>_xlfn.XLOOKUP(B25,'BASE DE EXCEL'!$C:$C,'BASE DE EXCEL'!Y:Y,"NO HAY REFERENCIA")</f>
        <v>1</v>
      </c>
      <c r="DF25" s="3" t="str">
        <f>_xlfn.XLOOKUP(B25,'BASE DE EXCEL'!$C:$C,'BASE DE EXCEL'!Z:Z,"NO HAY REFERENCIA")</f>
        <v>1 día o menos</v>
      </c>
      <c r="DG25" s="3">
        <f>_xlfn.XLOOKUP(B25,'BASE DE EXCEL'!$C:$C,'BASE DE EXCEL'!AA:AA,"NO HAY REFERENCIA")</f>
        <v>2</v>
      </c>
      <c r="DH25" s="3">
        <f>_xlfn.XLOOKUP(B25,'BASE DE EXCEL'!$C:$C,'BASE DE EXCEL'!AB:AB,"NO HAY REFERENCIA")</f>
        <v>1</v>
      </c>
      <c r="DI25" s="3" t="str">
        <f>_xlfn.XLOOKUP(B25,'BASE DE EXCEL'!$C:$C,'BASE DE EXCEL'!AC:AC,"NO HAY REFERENCIA")</f>
        <v>1 día o menos</v>
      </c>
      <c r="DJ25" s="4">
        <f>_xlfn.XLOOKUP(B25,'BASE DE EXCEL'!$C:$C,'BASE DE EXCEL'!AD:AD,"NO HAY REFERENCIA")</f>
        <v>46052</v>
      </c>
      <c r="DK25" s="3">
        <f>_xlfn.XLOOKUP(B25,'BASE DE EXCEL'!$C:$C,'BASE DE EXCEL'!AE:AE,"NO HAY REFERENCIA")</f>
        <v>3</v>
      </c>
      <c r="DL25" s="3">
        <f>_xlfn.XLOOKUP(B25,'BASE DE EXCEL'!$C:$C,'BASE DE EXCEL'!AF:AF,"NO HAY REFERENCIA")</f>
        <v>3</v>
      </c>
      <c r="DM25" s="4">
        <f>_xlfn.XLOOKUP(B25,'BASE DE EXCEL'!$C:$C,'BASE DE EXCEL'!AG:AG,"NO HAY REFERENCIA")</f>
        <v>46052</v>
      </c>
      <c r="DN25" s="4">
        <f>_xlfn.XLOOKUP(B25,'BASE DE EXCEL'!$C:$C,'BASE DE EXCEL'!AH:AH,"NO HAY REFERENCIA")</f>
        <v>46052</v>
      </c>
      <c r="DO25" s="3">
        <f>_xlfn.XLOOKUP(B25,'BASE DE EXCEL'!$C:$C,'BASE DE EXCEL'!AI:AI,"NO HAY REFERENCIA")</f>
        <v>0</v>
      </c>
      <c r="DP25" s="4" t="str">
        <f>_xlfn.XLOOKUP(B25,'BASE DE EXCEL'!$C:$C,'BASE DE EXCEL'!AJ:AJ,"NO HAY REFERENCIA")</f>
        <v>2 a 3 días</v>
      </c>
      <c r="DQ25" s="4">
        <f>_xlfn.XLOOKUP(B25,'BASE DE EXCEL'!$C:$C,'BASE DE EXCEL'!AK:AK,"NO HAY REFERENCIA")</f>
        <v>46052</v>
      </c>
      <c r="DR25" s="3">
        <f>_xlfn.XLOOKUP(B25,'BASE DE EXCEL'!$C:$C,'BASE DE EXCEL'!AL:AL,"NO HAY REFERENCIA")</f>
        <v>4</v>
      </c>
      <c r="DS25" s="3" t="str">
        <f>_xlfn.XLOOKUP(B25,'BASE DE EXCEL'!$C:$C,'BASE DE EXCEL'!AM:AM,"NO HAY REFERENCIA")</f>
        <v>4 a 5 días</v>
      </c>
      <c r="DT25" s="3" t="str">
        <f>_xlfn.XLOOKUP(B25,'BASE DE EXCEL'!$C:$C,'BASE DE EXCEL'!AN:AN,"NO HAY REFERENCIA")</f>
        <v>On Time</v>
      </c>
      <c r="DU25" s="3">
        <f>_xlfn.XLOOKUP(B25,'BASE DE EXCEL'!$C:$C,'BASE DE EXCEL'!AO:AO,"NO HAY REFERENCIA")</f>
        <v>1</v>
      </c>
      <c r="DV25" s="3" t="str">
        <f>_xlfn.XLOOKUP(B25,'BASE DE EXCEL'!$C:$C,'BASE DE EXCEL'!AP:AP,"NO HAY REFERENCIA")</f>
        <v>Es anterior</v>
      </c>
      <c r="DW25" s="3" t="str">
        <f>_xlfn.XLOOKUP(B25,'BASE DE EXCEL'!$C:$C,'BASE DE EXCEL'!AQ:AQ,"NO HAY REFERENCIA")</f>
        <v>A1</v>
      </c>
      <c r="DX25" s="3" t="str">
        <f>_xlfn.XLOOKUP(B25,'BASE DE EXCEL'!$C:$C,'BASE DE EXCEL'!AR:AR,"NO HAY REFERENCIA")</f>
        <v>ZULEIMA PEREZ RUIZ</v>
      </c>
      <c r="DY25" s="3" t="str">
        <f>_xlfn.XLOOKUP(B25,'BASE DE EXCEL'!$C:$C,'BASE DE EXCEL'!AS:AS,"NO HAY REFERENCIA")</f>
        <v>HLCURTM251230364</v>
      </c>
      <c r="DZ25" s="3" t="str">
        <f>_xlfn.XLOOKUP(B25,'BASE DE EXCEL'!$C:$C,'BASE DE EXCEL'!AT:AT,"NO HAY REFERENCIA")</f>
        <v>NULL</v>
      </c>
      <c r="EA25" s="3">
        <f>_xlfn.XLOOKUP(B25,'BASE DE EXCEL'!$C:$C,'BASE DE EXCEL'!AU:AU,"NO HAY REFERENCIA")</f>
        <v>6000096</v>
      </c>
      <c r="EB25" s="3" t="str">
        <f>_xlfn.XLOOKUP(B25,'BASE DE EXCEL'!$C:$C,'BASE DE EXCEL'!AV:AV,"NO HAY REFERENCIA")</f>
        <v>Importación</v>
      </c>
      <c r="EC25" s="3" t="str">
        <f>_xlfn.XLOOKUP(B25,'BASE DE EXCEL'!$C:$C,'BASE DE EXCEL'!AW:AW,"NO HAY REFERENCIA")</f>
        <v>NOBILIS IB MA5 (VACUNA DE USO VETERINARIO)</v>
      </c>
      <c r="ED25" s="3" t="str">
        <f>_xlfn.XLOOKUP(B25,'BASE DE EXCEL'!$C:$C,'BASE DE EXCEL'!AX:AX,"NO HAY REFERENCIA")</f>
        <v>SIN CLASIFICACION</v>
      </c>
      <c r="EE25" s="3">
        <f>_xlfn.XLOOKUP(B25,'BASE DE EXCEL'!$C:$C,'BASE DE EXCEL'!AY:AY,"NO HAY REFERENCIA")</f>
        <v>0</v>
      </c>
      <c r="EF25" s="3" t="str">
        <f>_xlfn.XLOOKUP(B25,'BASE DE EXCEL'!$C:$C,'BASE DE EXCEL'!AZ:AZ,"NO HAY REFERENCIA")</f>
        <v>Cargas de Importación</v>
      </c>
      <c r="EG25" s="3" t="str">
        <f>_xlfn.XLOOKUP(B25,'BASE DE EXCEL'!$C:$C,'BASE DE EXCEL'!BA:BA,"NO HAY REFERENCIA")</f>
        <v>INTERVET MEXICO SA DE CV</v>
      </c>
      <c r="EH25" s="3">
        <f>_xlfn.XLOOKUP(B25,'BASE DE EXCEL'!$C:$C,'BASE DE EXCEL'!BB:BB,"NO HAY REFERENCIA")</f>
        <v>0</v>
      </c>
      <c r="EI25" s="3" t="str">
        <f>_xlfn.XLOOKUP(B25,'BASE DE EXCEL'!$C:$C,'BASE DE EXCEL'!BC:BC,"NO HAY REFERENCIA")</f>
        <v>NINGUNO</v>
      </c>
      <c r="EJ25" s="3">
        <f>_xlfn.XLOOKUP(B25,'BASE DE EXCEL'!$C:$C,'BASE DE EXCEL'!BD:BD,"NO HAY REFERENCIA")</f>
        <v>0</v>
      </c>
      <c r="EK25" s="3" t="str">
        <f>_xlfn.XLOOKUP(B25,'BASE DE EXCEL'!$C:$C,'BASE DE EXCEL'!BE:BE,"NO HAY REFERENCIA")</f>
        <v>NINGUNO</v>
      </c>
      <c r="EL25" s="3" t="str">
        <f>_xlfn.XLOOKUP(B25,'BASE DE EXCEL'!$C:$C,'BASE DE EXCEL'!BF:BF,"NO HAY REFERENCIA")</f>
        <v>PRODUCTO TERMINADO</v>
      </c>
      <c r="EM25" s="3" t="str">
        <f>_xlfn.XLOOKUP(B25,'BASE DE EXCEL'!$C:$C,'BASE DE EXCEL'!BG:BG,"NO HAY REFERENCIA")</f>
        <v>Verde</v>
      </c>
      <c r="EN25" s="3" t="str">
        <f>_xlfn.XLOOKUP(B25,'BASE DE EXCEL'!$C:$C,'BASE DE EXCEL'!BH:BH,"NO HAY REFERENCIA")</f>
        <v xml:space="preserve"> SUPER EXPRESS DE CARGA FEDERAL S.A. DE C.V.</v>
      </c>
      <c r="EO25" s="3">
        <f>_xlfn.XLOOKUP(B25,'BASE DE EXCEL'!$C:$C,'BASE DE EXCEL'!BI:BI,"NO HAY REFERENCIA")</f>
        <v>0</v>
      </c>
      <c r="EP25" s="3" t="str">
        <f>_xlfn.XLOOKUP(B25,'BASE DE EXCEL'!$C:$C,'BASE DE EXCEL'!BJ:BJ,"NO HAY REFERENCIA")</f>
        <v>IME-T003</v>
      </c>
      <c r="EQ25" s="3" t="str">
        <f>_xlfn.XLOOKUP(B25,'BASE DE EXCEL'!$C:$C,'BASE DE EXCEL'!BK:BK,"NO HAY REFERENCIA")</f>
        <v>IME850329RH2</v>
      </c>
      <c r="ER25" s="3">
        <f>_xlfn.XLOOKUP(B25,'BASE DE EXCEL'!$C:$C,'BASE DE EXCEL'!BL:BL,"NO HAY REFERENCIA")</f>
        <v>0</v>
      </c>
      <c r="ES25" s="3" t="str">
        <f>_xlfn.XLOOKUP(B25,'BASE DE EXCEL'!$C:$C,'BASE DE EXCEL'!BM:BM,"NO HAY REFERENCIA")</f>
        <v>00,99</v>
      </c>
      <c r="ET25" s="3" t="str">
        <f>_xlfn.XLOOKUP(B25,'BASE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25" s="3">
        <f>_xlfn.XLOOKUP(B25,'BASE DE EXCEL'!$C:$C,'BASE DE EXCEL'!BO:BO,"NO HAY REFERENCIA")</f>
        <v>90</v>
      </c>
      <c r="EV25" s="3" t="str">
        <f>_xlfn.XLOOKUP(B25,'BASE DE EXCEL'!$C:$C,'BASE DE EXCEL'!BP:BP,"NO HAY REFERENCIA")</f>
        <v xml:space="preserve"> 167500.95, 3481449.92, 1040102.50, 9912953.44, 7554117.00</v>
      </c>
      <c r="EW25" s="3" t="str">
        <f>_xlfn.XLOOKUP(B25,'BASE DE EXCEL'!$C:$C,'BASE DE EXCEL'!BQ:BQ,"NO HAY REFERENCIA")</f>
        <v>KILO,KILO,KILO,KILO,KILO,KILO,KILO,KILO,KILO,KILO,KILO,KILO,KILO</v>
      </c>
      <c r="EX25" s="3">
        <f>_xlfn.XLOOKUP(B25,'BASE DE EXCEL'!$C:$C,'BASE DE EXCEL'!BR:BR,"NO HAY REFERENCIA")</f>
        <v>0</v>
      </c>
      <c r="EY25" s="3" t="str">
        <f>_xlfn.XLOOKUP(B25,'BASE DE EXCEL'!$C:$C,'BASE DE EXCEL'!BS:BS,"NO HAY REFERENCIA")</f>
        <v>PAISES BAJOS (REINO DE LOS) (HOLANDA)</v>
      </c>
      <c r="EZ25" s="3" t="str">
        <f>_xlfn.XLOOKUP(B25,'BASE DE EXCEL'!$C:$C,'BASE DE EXCEL'!BT:BT,"NO HAY REFERENCIA")</f>
        <v>PAISES BAJOS (REINO DE LOS) (HOLANDA)</v>
      </c>
      <c r="FA25" s="3" t="str">
        <f>_xlfn.XLOOKUP(B25,'BASE DE EXCEL'!$C:$C,'BASE DE EXCEL'!BU:BU,"NO HAY REFERENCIA")</f>
        <v>ZYA</v>
      </c>
      <c r="FB25" s="3" t="str">
        <f>_xlfn.XLOOKUP(B25,'BASE DE EXCEL'!$C:$C,'BASE DE EXCEL'!BV:BV,"NO HAY REFERENCIA")</f>
        <v>ZYA</v>
      </c>
      <c r="FC25" s="3">
        <f>_xlfn.XLOOKUP(B25,QUERY!$C:$C,QUERY!D:D)</f>
        <v>430</v>
      </c>
      <c r="FD25" s="4">
        <f>_xlfn.XLOOKUP(B25,QUERY!$C:$C,QUERY!E:E)</f>
        <v>46045</v>
      </c>
      <c r="FE25" s="3">
        <f>_xlfn.XLOOKUP(B25,QUERY!$C:$C,QUERY!F:F)</f>
        <v>1</v>
      </c>
      <c r="FF25" s="4">
        <f>_xlfn.XLOOKUP(B25,QUERY!$C:$C,QUERY!G:G)</f>
        <v>46043</v>
      </c>
      <c r="FG25" s="4">
        <f>_xlfn.XLOOKUP(B25,QUERY!$C:$C,QUERY!H:H)</f>
        <v>46045</v>
      </c>
      <c r="FH25" s="3">
        <f>_xlfn.XLOOKUP(B25,QUERY!$C:$C,QUERY!I:I)</f>
        <v>2</v>
      </c>
      <c r="FI25" s="3" t="str">
        <f>_xlfn.XLOOKUP(B25,QUERY!$C:$C,QUERY!J:J)</f>
        <v>2 a 3 días</v>
      </c>
      <c r="FJ25" s="4">
        <f>_xlfn.XLOOKUP(B25,QUERY!$C:$C,QUERY!K:K)</f>
        <v>46048</v>
      </c>
      <c r="FK25" s="3">
        <f>_xlfn.XLOOKUP(B25,QUERY!$C:$C,QUERY!L:L)</f>
        <v>3</v>
      </c>
      <c r="FL25" s="3" t="str">
        <f>_xlfn.XLOOKUP(B25,QUERY!$C:$C,QUERY!M:M)</f>
        <v>2 a 3 días</v>
      </c>
      <c r="FM25" s="3">
        <f>_xlfn.XLOOKUP(B25,QUERY!$C:$C,QUERY!N:N)</f>
        <v>1</v>
      </c>
      <c r="FN25" s="3" t="str">
        <f>_xlfn.XLOOKUP(B25,QUERY!$C:$C,QUERY!O:O)</f>
        <v>1 día o menos</v>
      </c>
      <c r="FO25" s="3">
        <f>_xlfn.XLOOKUP(B25,QUERY!$C:$C,QUERY!P:P)</f>
        <v>1</v>
      </c>
      <c r="FP25" s="3">
        <f>_xlfn.XLOOKUP(B25,QUERY!$C:$C,QUERY!Q:Q)</f>
        <v>1</v>
      </c>
      <c r="FQ25" s="3" t="str">
        <f>_xlfn.XLOOKUP(B25,QUERY!$C:$C,QUERY!R:R)</f>
        <v>1 día o menos</v>
      </c>
      <c r="FR25" s="4">
        <f>_xlfn.XLOOKUP(B25,QUERY!$C:$C,QUERY!S:S)</f>
        <v>46049</v>
      </c>
      <c r="FS25" s="3">
        <f>_xlfn.XLOOKUP(B25,QUERY!$C:$C,QUERY!T:T)</f>
        <v>4</v>
      </c>
      <c r="FT25" s="3" t="str">
        <f>_xlfn.XLOOKUP(B25,QUERY!$C:$C,QUERY!U:U)</f>
        <v>4 a 5 días</v>
      </c>
      <c r="FU25" s="3">
        <f>_xlfn.XLOOKUP(B25,QUERY!$C:$C,QUERY!V:V)</f>
        <v>7</v>
      </c>
      <c r="FV25" s="3" t="str">
        <f>_xlfn.XLOOKUP(B25,QUERY!$C:$C,QUERY!W:W)</f>
        <v>6 a 10 días</v>
      </c>
      <c r="FW25" s="4">
        <f>_xlfn.XLOOKUP(B25,QUERY!$C:$C,QUERY!X:X)</f>
        <v>46052</v>
      </c>
      <c r="FX25" s="3">
        <f>_xlfn.XLOOKUP(B25,QUERY!$C:$C,QUERY!Y:Y)</f>
        <v>3</v>
      </c>
      <c r="FY25" s="3">
        <f>_xlfn.XLOOKUP(B25,QUERY!$C:$C,QUERY!Z:Z)</f>
        <v>3</v>
      </c>
      <c r="FZ25" s="4" t="str">
        <f>_xlfn.XLOOKUP(B25,QUERY!$C:$C,QUERY!AA:AA)</f>
        <v>2 a 3 días</v>
      </c>
      <c r="GA25" s="4">
        <f>_xlfn.XLOOKUP(B25,QUERY!$C:$C,QUERY!AB:AB)</f>
        <v>46052</v>
      </c>
      <c r="GB25" s="4">
        <f>_xlfn.XLOOKUP(B25,QUERY!$C:$C,QUERY!AC:AC)</f>
        <v>46052</v>
      </c>
      <c r="GC25" s="3">
        <f>_xlfn.XLOOKUP(B25,QUERY!$C:$C,QUERY!AD:AD)</f>
        <v>0</v>
      </c>
      <c r="GD25" s="4">
        <f>_xlfn.XLOOKUP(B25,QUERY!$C:$C,QUERY!AE:AE)</f>
        <v>46052</v>
      </c>
      <c r="GE25" s="3">
        <f>_xlfn.XLOOKUP(B25,QUERY!$C:$C,QUERY!AF:AF)</f>
        <v>1</v>
      </c>
      <c r="GF25" s="4" t="str">
        <f>_xlfn.XLOOKUP(B25,QUERY!$C:$C,QUERY!AG:AG)</f>
        <v>Es anterior</v>
      </c>
      <c r="GG25" s="3" t="str">
        <f>_xlfn.XLOOKUP(B25,QUERY!$C:$C,QUERY!AH:AH)</f>
        <v>A1</v>
      </c>
      <c r="GH25" s="3" t="str">
        <f>_xlfn.XLOOKUP(B25,QUERY!$C:$C,QUERY!AI:AI)</f>
        <v>ZULEIMA PEREZ RUIZ</v>
      </c>
      <c r="GI25" s="3" t="str">
        <f>_xlfn.XLOOKUP(B25,QUERY!$C:$C,QUERY!AJ:AJ)</f>
        <v>HLCURTM251230364</v>
      </c>
      <c r="GJ25" s="3" t="str">
        <f>_xlfn.XLOOKUP(B25,QUERY!$C:$C,QUERY!AK:AK)</f>
        <v>NULL</v>
      </c>
      <c r="GK25" s="3">
        <f>_xlfn.XLOOKUP(B25,QUERY!$C:$C,QUERY!AL:AL)</f>
        <v>6000096</v>
      </c>
      <c r="GL25" s="3" t="str">
        <f>_xlfn.XLOOKUP(B25,QUERY!$C:$C,QUERY!AM:AM)</f>
        <v>Importación</v>
      </c>
      <c r="GM25" s="3" t="str">
        <f>_xlfn.XLOOKUP(B25,QUERY!$C:$C,QUERY!AN:AN)</f>
        <v>NOBILIS IB MA5 (VACUNA DE USO VETERINARIO)</v>
      </c>
      <c r="GN25" s="3" t="str">
        <f>_xlfn.XLOOKUP(B25,QUERY!$C:$C,QUERY!AO:AO)</f>
        <v>SIN CLASIFICACION</v>
      </c>
      <c r="GO25" s="3">
        <f>_xlfn.XLOOKUP(B25,QUERY!$C:$C,QUERY!AP:AP)</f>
        <v>0</v>
      </c>
      <c r="GP25" s="3" t="str">
        <f>_xlfn.XLOOKUP(B25,QUERY!$C:$C,QUERY!AQ:AQ)</f>
        <v>Cargas de Importación</v>
      </c>
      <c r="GQ25" s="3" t="str">
        <f>_xlfn.XLOOKUP(B25,QUERY!$C:$C,QUERY!AR:AR)</f>
        <v>INTERVET MEXICO SA DE CV</v>
      </c>
      <c r="GR25" s="3">
        <f>_xlfn.XLOOKUP(B25,QUERY!$C:$C,QUERY!AS:AS)</f>
        <v>0</v>
      </c>
      <c r="GS25" s="3" t="str">
        <f>_xlfn.XLOOKUP(B25,QUERY!$C:$C,QUERY!AT:AT)</f>
        <v>NINGUNO</v>
      </c>
      <c r="GT25" s="3">
        <f>_xlfn.XLOOKUP(B25,QUERY!$C:$C,QUERY!AU:AU)</f>
        <v>0</v>
      </c>
      <c r="GU25" s="3" t="str">
        <f>_xlfn.XLOOKUP(B25,QUERY!$C:$C,QUERY!AV:AV)</f>
        <v>NINGUNO</v>
      </c>
      <c r="GV25" s="3" t="str">
        <f>_xlfn.XLOOKUP(B25,QUERY!$C:$C,QUERY!AW:AW)</f>
        <v>PRODUCTO TERMINADO</v>
      </c>
      <c r="GW25" s="3" t="str">
        <f>_xlfn.XLOOKUP(B25,QUERY!$C:$C,QUERY!AX:AX)</f>
        <v>Verde</v>
      </c>
      <c r="GX25" s="3" t="str">
        <f>_xlfn.XLOOKUP(B25,QUERY!$C:$C,QUERY!AY:AY)</f>
        <v xml:space="preserve"> SUPER EXPRESS DE CARGA FEDERAL S.A. DE C.V.</v>
      </c>
      <c r="GY25" s="3">
        <f>_xlfn.XLOOKUP(B25,QUERY!$C:$C,QUERY!AZ:AZ)</f>
        <v>0</v>
      </c>
      <c r="GZ25" s="3" t="str">
        <f>_xlfn.XLOOKUP(B25,QUERY!$C:$C,QUERY!BA:BA)</f>
        <v>IME-T003</v>
      </c>
      <c r="HA25" s="3" t="str">
        <f>_xlfn.XLOOKUP(B25,QUERY!$C:$C,QUERY!BB:BB)</f>
        <v>IME850329RH2</v>
      </c>
      <c r="HB25" s="3">
        <f>_xlfn.XLOOKUP(B25,QUERY!$C:$C,QUERY!BC:BC)</f>
        <v>0</v>
      </c>
      <c r="HC25" s="3">
        <f>_xlfn.XLOOKUP(B25,QUERY!$C:$C,QUERY!BD:BD)</f>
        <v>0.99</v>
      </c>
      <c r="HD25" s="3" t="str">
        <f>_xlfn.XLOOKUP(B25,QUERY!$C:$C,QUERY!BE:BE)</f>
        <v>LOTE: SA536AA38,LOTE: J654A01,LOTE: A449A02,LOTE: 2408467J03,LOTE: A372B02,LOTE: A179B01,LOTE: A264A02,LOTE: A218A01,LOTE: A197A01,LOTE: B277A01,LOTE: B274A01,LOTE: A414A01,LOTES: A462A03, A463A01</v>
      </c>
      <c r="HE25" s="3">
        <f>_xlfn.XLOOKUP(B25,QUERY!$C:$C,QUERY!BF:BF)</f>
        <v>90</v>
      </c>
      <c r="HF25" s="3" t="str">
        <f>_xlfn.XLOOKUP(B25,QUERY!$C:$C,QUERY!BG:BG)</f>
        <v xml:space="preserve"> 167500.95, 3481449.92, 1040102.50, 9912953.44, 7554117.00</v>
      </c>
      <c r="HG25" s="3" t="str">
        <f>_xlfn.XLOOKUP(B25,QUERY!$C:$C,QUERY!BH:BH)</f>
        <v>KILO,KILO,KILO,KILO,KILO,KILO,KILO,KILO,KILO,KILO,KILO,KILO,KILO</v>
      </c>
      <c r="HH25" s="3">
        <f>_xlfn.XLOOKUP(B25,QUERY!$C:$C,QUERY!BI:BI)</f>
        <v>0</v>
      </c>
      <c r="HI25" s="3" t="str">
        <f>_xlfn.XLOOKUP(B25,QUERY!$C:$C,QUERY!BJ:BJ)</f>
        <v>PAISES BAJOS (REINO DE LOS) (HOLANDA)</v>
      </c>
      <c r="HJ25" s="3" t="str">
        <f>_xlfn.XLOOKUP(B25,QUERY!$C:$C,QUERY!BK:BK)</f>
        <v>PAISES BAJOS (REINO DE LOS) (HOLANDA)</v>
      </c>
      <c r="HK25" s="3" t="str">
        <f>_xlfn.XLOOKUP(B25,QUERY!$C:$C,QUERY!BL:BL)</f>
        <v>ZYA</v>
      </c>
      <c r="HL25" s="3" t="str">
        <f>_xlfn.XLOOKUP(B25,QUERY!$C:$C,QUERY!BM:BM)</f>
        <v>ZYA</v>
      </c>
      <c r="HM25" s="3">
        <f>_xlfn.XLOOKUP(B25,QUERY!$C:$C,QUERY!BN:BN)</f>
        <v>22156123</v>
      </c>
      <c r="HN25" s="3" t="str">
        <f>_xlfn.XLOOKUP(B25,QUERY!$C:$C,QUERY!BO:BO)</f>
        <v>462.00</v>
      </c>
      <c r="HO25" s="3" t="str">
        <f>_xlfn.XLOOKUP(B25,QUERY!$C:$C,QUERY!BP:BP)</f>
        <v>NULL</v>
      </c>
      <c r="HP25" s="3" t="str">
        <f>_xlfn.XLOOKUP(B25,QUERY!$C:$C,QUERY!BQ:BQ)</f>
        <v>NULL</v>
      </c>
      <c r="HQ25" s="3" t="str">
        <f>_xlfn.XLOOKUP(B25,QUERY!$C:$C,QUERY!BR:BR)</f>
        <v>350419.46</v>
      </c>
      <c r="HR25" s="3">
        <f>_xlfn.XLOOKUP(B25,QUERY!$C:$C,QUERY!BS:BS)</f>
        <v>0</v>
      </c>
      <c r="HS25" s="3">
        <f>_xlfn.XLOOKUP(B25,QUERY!$C:$C,QUERY!BT:BT)</f>
        <v>0</v>
      </c>
      <c r="HT25" s="3" t="str">
        <f>_xlfn.XLOOKUP(B25,QUERY!$C:$C,QUERY!A:A)</f>
        <v>VERACRUZ</v>
      </c>
      <c r="HU25" s="3" t="str">
        <f>_xlfn.XLOOKUP(B25,QUERY!$C:$C,QUERY!B:B)</f>
        <v>MARÍTIMO VERACRUZ</v>
      </c>
    </row>
    <row r="26" spans="1:229" x14ac:dyDescent="0.25">
      <c r="A26" s="3" t="s">
        <v>90</v>
      </c>
      <c r="B26" s="9" t="s">
        <v>141</v>
      </c>
      <c r="C26" s="3">
        <v>3942</v>
      </c>
      <c r="D26" s="3">
        <v>6000096</v>
      </c>
      <c r="E26" s="3"/>
      <c r="F26" s="3" t="s">
        <v>92</v>
      </c>
      <c r="G26" s="3" t="s">
        <v>93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430</v>
      </c>
      <c r="S26" s="3" t="s">
        <v>142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154</v>
      </c>
      <c r="AB26" s="3"/>
      <c r="AC26" s="3">
        <v>252720</v>
      </c>
      <c r="AD26" s="3">
        <v>702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/>
      <c r="AP26" s="3" t="s">
        <v>98</v>
      </c>
      <c r="AQ26" s="3">
        <v>210361686</v>
      </c>
      <c r="AR26" s="3" t="s">
        <v>99</v>
      </c>
      <c r="AS26" s="3" t="s">
        <v>100</v>
      </c>
      <c r="AT26" s="3">
        <v>0</v>
      </c>
      <c r="AU26" s="3">
        <v>0</v>
      </c>
      <c r="AV26" s="3">
        <v>0</v>
      </c>
      <c r="AW26" s="3">
        <v>30024201</v>
      </c>
      <c r="AX26" s="3">
        <v>99</v>
      </c>
      <c r="AY26" s="3">
        <v>360</v>
      </c>
      <c r="AZ26" s="3">
        <v>360</v>
      </c>
      <c r="BA26" s="3" t="s">
        <v>103</v>
      </c>
      <c r="BB26" s="3"/>
      <c r="BC26" s="3" t="s">
        <v>105</v>
      </c>
      <c r="BD26" s="3" t="s">
        <v>105</v>
      </c>
      <c r="BE26" s="3"/>
      <c r="BF26" s="3"/>
      <c r="BG26" s="5"/>
      <c r="BH26" s="3"/>
      <c r="BI26" s="3"/>
      <c r="BJ26" s="3"/>
      <c r="BK26" s="3" t="s">
        <v>153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 t="s">
        <v>111</v>
      </c>
      <c r="CF26" s="3">
        <v>0</v>
      </c>
      <c r="CG26" s="3">
        <v>0</v>
      </c>
      <c r="CH26" s="3">
        <v>0</v>
      </c>
      <c r="CI26" s="3" t="s">
        <v>112</v>
      </c>
      <c r="CJ26" s="3" t="s">
        <v>112</v>
      </c>
      <c r="CK26" s="3">
        <f>_xlfn.XLOOKUP($B$2,'BASE DE EXCEL'!C:C,'BASE DE EXCEL'!D:D,"NO HAY REFERENCIA")</f>
        <v>470</v>
      </c>
      <c r="CL26" s="5">
        <f>_xlfn.XLOOKUP($B$2,'BASE DE EXCEL'!$C:$C,'BASE DE EXCEL'!F:F,"NO HAY REFERENCIA")</f>
        <v>3</v>
      </c>
      <c r="CM26" s="4">
        <f>_xlfn.XLOOKUP($B$2,'BASE DE EXCEL'!$C:$C,'BASE DE EXCEL'!G:G,"NO HAY REFERENCIA")</f>
        <v>46080</v>
      </c>
      <c r="CN26" s="4">
        <f>_xlfn.XLOOKUP($B$2,'BASE DE EXCEL'!$C:$C,'BASE DE EXCEL'!H:H,"NO HAY REFERENCIA")</f>
        <v>46086</v>
      </c>
      <c r="CO26" s="3">
        <f>_xlfn.XLOOKUP($B$2,'BASE DE EXCEL'!$C:$C,'BASE DE EXCEL'!I:I,"NO HAY REFERENCIA")</f>
        <v>4</v>
      </c>
      <c r="CP26" s="3" t="str">
        <f>_xlfn.XLOOKUP($B$2,'BASE DE EXCEL'!$C:$C,'BASE DE EXCEL'!J:J,"NO HAY REFERENCIA")</f>
        <v>4 a 5 días</v>
      </c>
      <c r="CQ26" s="4">
        <f>_xlfn.XLOOKUP($B$2,'BASE DE EXCEL'!$C:$C,'BASE DE EXCEL'!K:K,"NO HAY REFERENCIA")</f>
        <v>46087</v>
      </c>
      <c r="CR26" s="3">
        <f>_xlfn.XLOOKUP($B$2,'BASE DE EXCEL'!$C:$C,'BASE DE EXCEL'!L:L,"NO HAY REFERENCIA")</f>
        <v>5</v>
      </c>
      <c r="CS26" s="3">
        <f>_xlfn.XLOOKUP($B$2,'BASE DE EXCEL'!$C:$C,'BASE DE EXCEL'!M:M,"NO HAY REFERENCIA")</f>
        <v>6</v>
      </c>
      <c r="CT26" s="3" t="str">
        <f>_xlfn.XLOOKUP($B$2,'BASE DE EXCEL'!$C:$C,'BASE DE EXCEL'!N:N,"NO HAY REFERENCIA")</f>
        <v>6 a 10 días</v>
      </c>
      <c r="CU26" s="3" t="str">
        <f>_xlfn.XLOOKUP($B$2,'BASE DE EXCEL'!$C:$C,'BASE DE EXCEL'!O:O,"NO HAY REFERENCIA")</f>
        <v>On Time</v>
      </c>
      <c r="CV26" s="3" t="str">
        <f>_xlfn.XLOOKUP(B26,'BASE DE EXCEL'!$C:$C,'BASE DE EXCEL'!P:P,"NO HAY REFERENCIA")</f>
        <v>4 a 5 días</v>
      </c>
      <c r="CW26" s="4">
        <f>_xlfn.XLOOKUP(B26,'BASE DE EXCEL'!$C:$C,'BASE DE EXCEL'!Q:Q,"NO HAY REFERENCIA")</f>
        <v>46049</v>
      </c>
      <c r="CX26" s="3">
        <f>_xlfn.XLOOKUP(B26,'BASE DE EXCEL'!$C:$C,'BASE DE EXCEL'!R:R,"NO HAY REFERENCIA")</f>
        <v>5</v>
      </c>
      <c r="CY26" s="3" t="str">
        <f>_xlfn.XLOOKUP(B26,'BASE DE EXCEL'!$C:$C,'BASE DE EXCEL'!S:S,"NO HAY REFERENCIA")</f>
        <v>4 a 5 días</v>
      </c>
      <c r="CZ26" s="3" t="str">
        <f>_xlfn.XLOOKUP(B26,'BASE DE EXCEL'!$C:$C,'BASE DE EXCEL'!T:T,"NO HAY REFERENCIA")</f>
        <v>On Time</v>
      </c>
      <c r="DA26" s="3">
        <f>_xlfn.XLOOKUP(B26,'BASE DE EXCEL'!$C:$C,'BASE DE EXCEL'!U:U,"NO HAY REFERENCIA")</f>
        <v>6</v>
      </c>
      <c r="DB26" s="3" t="str">
        <f>_xlfn.XLOOKUP(B26,'BASE DE EXCEL'!$C:$C,'BASE DE EXCEL'!V:V,"NO HAY REFERENCIA")</f>
        <v>4 a 5 días</v>
      </c>
      <c r="DC26" s="3">
        <f>_xlfn.XLOOKUP(B26,'BASE DE EXCEL'!$C:$C,'BASE DE EXCEL'!W:W,"NO HAY REFERENCIA")</f>
        <v>7</v>
      </c>
      <c r="DD26" s="3" t="str">
        <f>_xlfn.XLOOKUP(B26,'BASE DE EXCEL'!$C:$C,'BASE DE EXCEL'!X:X,"NO HAY REFERENCIA")</f>
        <v>6 a 10 días</v>
      </c>
      <c r="DE26" s="3">
        <f>_xlfn.XLOOKUP(B26,'BASE DE EXCEL'!$C:$C,'BASE DE EXCEL'!Y:Y,"NO HAY REFERENCIA")</f>
        <v>1</v>
      </c>
      <c r="DF26" s="3" t="str">
        <f>_xlfn.XLOOKUP(B26,'BASE DE EXCEL'!$C:$C,'BASE DE EXCEL'!Z:Z,"NO HAY REFERENCIA")</f>
        <v>1 día o menos</v>
      </c>
      <c r="DG26" s="3">
        <f>_xlfn.XLOOKUP(B26,'BASE DE EXCEL'!$C:$C,'BASE DE EXCEL'!AA:AA,"NO HAY REFERENCIA")</f>
        <v>2</v>
      </c>
      <c r="DH26" s="3">
        <f>_xlfn.XLOOKUP(B26,'BASE DE EXCEL'!$C:$C,'BASE DE EXCEL'!AB:AB,"NO HAY REFERENCIA")</f>
        <v>1</v>
      </c>
      <c r="DI26" s="3" t="str">
        <f>_xlfn.XLOOKUP(B26,'BASE DE EXCEL'!$C:$C,'BASE DE EXCEL'!AC:AC,"NO HAY REFERENCIA")</f>
        <v>1 día o menos</v>
      </c>
      <c r="DJ26" s="4">
        <f>_xlfn.XLOOKUP(B26,'BASE DE EXCEL'!$C:$C,'BASE DE EXCEL'!AD:AD,"NO HAY REFERENCIA")</f>
        <v>46052</v>
      </c>
      <c r="DK26" s="3">
        <f>_xlfn.XLOOKUP(B26,'BASE DE EXCEL'!$C:$C,'BASE DE EXCEL'!AE:AE,"NO HAY REFERENCIA")</f>
        <v>3</v>
      </c>
      <c r="DL26" s="3">
        <f>_xlfn.XLOOKUP(B26,'BASE DE EXCEL'!$C:$C,'BASE DE EXCEL'!AF:AF,"NO HAY REFERENCIA")</f>
        <v>3</v>
      </c>
      <c r="DM26" s="4">
        <f>_xlfn.XLOOKUP(B26,'BASE DE EXCEL'!$C:$C,'BASE DE EXCEL'!AG:AG,"NO HAY REFERENCIA")</f>
        <v>46052</v>
      </c>
      <c r="DN26" s="4">
        <f>_xlfn.XLOOKUP(B26,'BASE DE EXCEL'!$C:$C,'BASE DE EXCEL'!AH:AH,"NO HAY REFERENCIA")</f>
        <v>46052</v>
      </c>
      <c r="DO26" s="3">
        <f>_xlfn.XLOOKUP(B26,'BASE DE EXCEL'!$C:$C,'BASE DE EXCEL'!AI:AI,"NO HAY REFERENCIA")</f>
        <v>0</v>
      </c>
      <c r="DP26" s="4" t="str">
        <f>_xlfn.XLOOKUP(B26,'BASE DE EXCEL'!$C:$C,'BASE DE EXCEL'!AJ:AJ,"NO HAY REFERENCIA")</f>
        <v>2 a 3 días</v>
      </c>
      <c r="DQ26" s="4">
        <f>_xlfn.XLOOKUP(B26,'BASE DE EXCEL'!$C:$C,'BASE DE EXCEL'!AK:AK,"NO HAY REFERENCIA")</f>
        <v>46052</v>
      </c>
      <c r="DR26" s="3">
        <f>_xlfn.XLOOKUP(B26,'BASE DE EXCEL'!$C:$C,'BASE DE EXCEL'!AL:AL,"NO HAY REFERENCIA")</f>
        <v>4</v>
      </c>
      <c r="DS26" s="3" t="str">
        <f>_xlfn.XLOOKUP(B26,'BASE DE EXCEL'!$C:$C,'BASE DE EXCEL'!AM:AM,"NO HAY REFERENCIA")</f>
        <v>4 a 5 días</v>
      </c>
      <c r="DT26" s="3" t="str">
        <f>_xlfn.XLOOKUP(B26,'BASE DE EXCEL'!$C:$C,'BASE DE EXCEL'!AN:AN,"NO HAY REFERENCIA")</f>
        <v>On Time</v>
      </c>
      <c r="DU26" s="3">
        <f>_xlfn.XLOOKUP(B26,'BASE DE EXCEL'!$C:$C,'BASE DE EXCEL'!AO:AO,"NO HAY REFERENCIA")</f>
        <v>1</v>
      </c>
      <c r="DV26" s="3" t="str">
        <f>_xlfn.XLOOKUP(B26,'BASE DE EXCEL'!$C:$C,'BASE DE EXCEL'!AP:AP,"NO HAY REFERENCIA")</f>
        <v>Es anterior</v>
      </c>
      <c r="DW26" s="3" t="str">
        <f>_xlfn.XLOOKUP(B26,'BASE DE EXCEL'!$C:$C,'BASE DE EXCEL'!AQ:AQ,"NO HAY REFERENCIA")</f>
        <v>A1</v>
      </c>
      <c r="DX26" s="3" t="str">
        <f>_xlfn.XLOOKUP(B26,'BASE DE EXCEL'!$C:$C,'BASE DE EXCEL'!AR:AR,"NO HAY REFERENCIA")</f>
        <v>ZULEIMA PEREZ RUIZ</v>
      </c>
      <c r="DY26" s="3" t="str">
        <f>_xlfn.XLOOKUP(B26,'BASE DE EXCEL'!$C:$C,'BASE DE EXCEL'!AS:AS,"NO HAY REFERENCIA")</f>
        <v>HLCURTM251230364</v>
      </c>
      <c r="DZ26" s="3" t="str">
        <f>_xlfn.XLOOKUP(B26,'BASE DE EXCEL'!$C:$C,'BASE DE EXCEL'!AT:AT,"NO HAY REFERENCIA")</f>
        <v>NULL</v>
      </c>
      <c r="EA26" s="3">
        <f>_xlfn.XLOOKUP(B26,'BASE DE EXCEL'!$C:$C,'BASE DE EXCEL'!AU:AU,"NO HAY REFERENCIA")</f>
        <v>6000096</v>
      </c>
      <c r="EB26" s="3" t="str">
        <f>_xlfn.XLOOKUP(B26,'BASE DE EXCEL'!$C:$C,'BASE DE EXCEL'!AV:AV,"NO HAY REFERENCIA")</f>
        <v>Importación</v>
      </c>
      <c r="EC26" s="3" t="str">
        <f>_xlfn.XLOOKUP(B26,'BASE DE EXCEL'!$C:$C,'BASE DE EXCEL'!AW:AW,"NO HAY REFERENCIA")</f>
        <v>NOBILIS IB MA5 (VACUNA DE USO VETERINARIO)</v>
      </c>
      <c r="ED26" s="3" t="str">
        <f>_xlfn.XLOOKUP(B26,'BASE DE EXCEL'!$C:$C,'BASE DE EXCEL'!AX:AX,"NO HAY REFERENCIA")</f>
        <v>SIN CLASIFICACION</v>
      </c>
      <c r="EE26" s="3">
        <f>_xlfn.XLOOKUP(B26,'BASE DE EXCEL'!$C:$C,'BASE DE EXCEL'!AY:AY,"NO HAY REFERENCIA")</f>
        <v>0</v>
      </c>
      <c r="EF26" s="3" t="str">
        <f>_xlfn.XLOOKUP(B26,'BASE DE EXCEL'!$C:$C,'BASE DE EXCEL'!AZ:AZ,"NO HAY REFERENCIA")</f>
        <v>Cargas de Importación</v>
      </c>
      <c r="EG26" s="3" t="str">
        <f>_xlfn.XLOOKUP(B26,'BASE DE EXCEL'!$C:$C,'BASE DE EXCEL'!BA:BA,"NO HAY REFERENCIA")</f>
        <v>INTERVET MEXICO SA DE CV</v>
      </c>
      <c r="EH26" s="3">
        <f>_xlfn.XLOOKUP(B26,'BASE DE EXCEL'!$C:$C,'BASE DE EXCEL'!BB:BB,"NO HAY REFERENCIA")</f>
        <v>0</v>
      </c>
      <c r="EI26" s="3" t="str">
        <f>_xlfn.XLOOKUP(B26,'BASE DE EXCEL'!$C:$C,'BASE DE EXCEL'!BC:BC,"NO HAY REFERENCIA")</f>
        <v>NINGUNO</v>
      </c>
      <c r="EJ26" s="3">
        <f>_xlfn.XLOOKUP(B26,'BASE DE EXCEL'!$C:$C,'BASE DE EXCEL'!BD:BD,"NO HAY REFERENCIA")</f>
        <v>0</v>
      </c>
      <c r="EK26" s="3" t="str">
        <f>_xlfn.XLOOKUP(B26,'BASE DE EXCEL'!$C:$C,'BASE DE EXCEL'!BE:BE,"NO HAY REFERENCIA")</f>
        <v>NINGUNO</v>
      </c>
      <c r="EL26" s="3" t="str">
        <f>_xlfn.XLOOKUP(B26,'BASE DE EXCEL'!$C:$C,'BASE DE EXCEL'!BF:BF,"NO HAY REFERENCIA")</f>
        <v>PRODUCTO TERMINADO</v>
      </c>
      <c r="EM26" s="3" t="str">
        <f>_xlfn.XLOOKUP(B26,'BASE DE EXCEL'!$C:$C,'BASE DE EXCEL'!BG:BG,"NO HAY REFERENCIA")</f>
        <v>Verde</v>
      </c>
      <c r="EN26" s="3" t="str">
        <f>_xlfn.XLOOKUP(B26,'BASE DE EXCEL'!$C:$C,'BASE DE EXCEL'!BH:BH,"NO HAY REFERENCIA")</f>
        <v xml:space="preserve"> SUPER EXPRESS DE CARGA FEDERAL S.A. DE C.V.</v>
      </c>
      <c r="EO26" s="3">
        <f>_xlfn.XLOOKUP(B26,'BASE DE EXCEL'!$C:$C,'BASE DE EXCEL'!BI:BI,"NO HAY REFERENCIA")</f>
        <v>0</v>
      </c>
      <c r="EP26" s="3" t="str">
        <f>_xlfn.XLOOKUP(B26,'BASE DE EXCEL'!$C:$C,'BASE DE EXCEL'!BJ:BJ,"NO HAY REFERENCIA")</f>
        <v>IME-T003</v>
      </c>
      <c r="EQ26" s="3" t="str">
        <f>_xlfn.XLOOKUP(B26,'BASE DE EXCEL'!$C:$C,'BASE DE EXCEL'!BK:BK,"NO HAY REFERENCIA")</f>
        <v>IME850329RH2</v>
      </c>
      <c r="ER26" s="3">
        <f>_xlfn.XLOOKUP(B26,'BASE DE EXCEL'!$C:$C,'BASE DE EXCEL'!BL:BL,"NO HAY REFERENCIA")</f>
        <v>0</v>
      </c>
      <c r="ES26" s="3" t="str">
        <f>_xlfn.XLOOKUP(B26,'BASE DE EXCEL'!$C:$C,'BASE DE EXCEL'!BM:BM,"NO HAY REFERENCIA")</f>
        <v>00,99</v>
      </c>
      <c r="ET26" s="3" t="str">
        <f>_xlfn.XLOOKUP(B26,'BASE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26" s="3">
        <f>_xlfn.XLOOKUP(B26,'BASE DE EXCEL'!$C:$C,'BASE DE EXCEL'!BO:BO,"NO HAY REFERENCIA")</f>
        <v>90</v>
      </c>
      <c r="EV26" s="3" t="str">
        <f>_xlfn.XLOOKUP(B26,'BASE DE EXCEL'!$C:$C,'BASE DE EXCEL'!BP:BP,"NO HAY REFERENCIA")</f>
        <v xml:space="preserve"> 167500.95, 3481449.92, 1040102.50, 9912953.44, 7554117.00</v>
      </c>
      <c r="EW26" s="3" t="str">
        <f>_xlfn.XLOOKUP(B26,'BASE DE EXCEL'!$C:$C,'BASE DE EXCEL'!BQ:BQ,"NO HAY REFERENCIA")</f>
        <v>KILO,KILO,KILO,KILO,KILO,KILO,KILO,KILO,KILO,KILO,KILO,KILO,KILO</v>
      </c>
      <c r="EX26" s="3">
        <f>_xlfn.XLOOKUP(B26,'BASE DE EXCEL'!$C:$C,'BASE DE EXCEL'!BR:BR,"NO HAY REFERENCIA")</f>
        <v>0</v>
      </c>
      <c r="EY26" s="3" t="str">
        <f>_xlfn.XLOOKUP(B26,'BASE DE EXCEL'!$C:$C,'BASE DE EXCEL'!BS:BS,"NO HAY REFERENCIA")</f>
        <v>PAISES BAJOS (REINO DE LOS) (HOLANDA)</v>
      </c>
      <c r="EZ26" s="3" t="str">
        <f>_xlfn.XLOOKUP(B26,'BASE DE EXCEL'!$C:$C,'BASE DE EXCEL'!BT:BT,"NO HAY REFERENCIA")</f>
        <v>PAISES BAJOS (REINO DE LOS) (HOLANDA)</v>
      </c>
      <c r="FA26" s="3" t="str">
        <f>_xlfn.XLOOKUP(B26,'BASE DE EXCEL'!$C:$C,'BASE DE EXCEL'!BU:BU,"NO HAY REFERENCIA")</f>
        <v>ZYA</v>
      </c>
      <c r="FB26" s="3" t="str">
        <f>_xlfn.XLOOKUP(B26,'BASE DE EXCEL'!$C:$C,'BASE DE EXCEL'!BV:BV,"NO HAY REFERENCIA")</f>
        <v>ZYA</v>
      </c>
      <c r="FC26" s="3">
        <f>_xlfn.XLOOKUP(B26,QUERY!$C:$C,QUERY!D:D)</f>
        <v>430</v>
      </c>
      <c r="FD26" s="4">
        <f>_xlfn.XLOOKUP(B26,QUERY!$C:$C,QUERY!E:E)</f>
        <v>46045</v>
      </c>
      <c r="FE26" s="3">
        <f>_xlfn.XLOOKUP(B26,QUERY!$C:$C,QUERY!F:F)</f>
        <v>1</v>
      </c>
      <c r="FF26" s="4">
        <f>_xlfn.XLOOKUP(B26,QUERY!$C:$C,QUERY!G:G)</f>
        <v>46043</v>
      </c>
      <c r="FG26" s="4">
        <f>_xlfn.XLOOKUP(B26,QUERY!$C:$C,QUERY!H:H)</f>
        <v>46045</v>
      </c>
      <c r="FH26" s="3">
        <f>_xlfn.XLOOKUP(B26,QUERY!$C:$C,QUERY!I:I)</f>
        <v>2</v>
      </c>
      <c r="FI26" s="3" t="str">
        <f>_xlfn.XLOOKUP(B26,QUERY!$C:$C,QUERY!J:J)</f>
        <v>2 a 3 días</v>
      </c>
      <c r="FJ26" s="4">
        <f>_xlfn.XLOOKUP(B26,QUERY!$C:$C,QUERY!K:K)</f>
        <v>46048</v>
      </c>
      <c r="FK26" s="3">
        <f>_xlfn.XLOOKUP(B26,QUERY!$C:$C,QUERY!L:L)</f>
        <v>3</v>
      </c>
      <c r="FL26" s="3" t="str">
        <f>_xlfn.XLOOKUP(B26,QUERY!$C:$C,QUERY!M:M)</f>
        <v>2 a 3 días</v>
      </c>
      <c r="FM26" s="3">
        <f>_xlfn.XLOOKUP(B26,QUERY!$C:$C,QUERY!N:N)</f>
        <v>1</v>
      </c>
      <c r="FN26" s="3" t="str">
        <f>_xlfn.XLOOKUP(B26,QUERY!$C:$C,QUERY!O:O)</f>
        <v>1 día o menos</v>
      </c>
      <c r="FO26" s="3">
        <f>_xlfn.XLOOKUP(B26,QUERY!$C:$C,QUERY!P:P)</f>
        <v>1</v>
      </c>
      <c r="FP26" s="3">
        <f>_xlfn.XLOOKUP(B26,QUERY!$C:$C,QUERY!Q:Q)</f>
        <v>1</v>
      </c>
      <c r="FQ26" s="3" t="str">
        <f>_xlfn.XLOOKUP(B26,QUERY!$C:$C,QUERY!R:R)</f>
        <v>1 día o menos</v>
      </c>
      <c r="FR26" s="4">
        <f>_xlfn.XLOOKUP(B26,QUERY!$C:$C,QUERY!S:S)</f>
        <v>46049</v>
      </c>
      <c r="FS26" s="3">
        <f>_xlfn.XLOOKUP(B26,QUERY!$C:$C,QUERY!T:T)</f>
        <v>4</v>
      </c>
      <c r="FT26" s="3" t="str">
        <f>_xlfn.XLOOKUP(B26,QUERY!$C:$C,QUERY!U:U)</f>
        <v>4 a 5 días</v>
      </c>
      <c r="FU26" s="3">
        <f>_xlfn.XLOOKUP(B26,QUERY!$C:$C,QUERY!V:V)</f>
        <v>7</v>
      </c>
      <c r="FV26" s="3" t="str">
        <f>_xlfn.XLOOKUP(B26,QUERY!$C:$C,QUERY!W:W)</f>
        <v>6 a 10 días</v>
      </c>
      <c r="FW26" s="4">
        <f>_xlfn.XLOOKUP(B26,QUERY!$C:$C,QUERY!X:X)</f>
        <v>46052</v>
      </c>
      <c r="FX26" s="3">
        <f>_xlfn.XLOOKUP(B26,QUERY!$C:$C,QUERY!Y:Y)</f>
        <v>3</v>
      </c>
      <c r="FY26" s="3">
        <f>_xlfn.XLOOKUP(B26,QUERY!$C:$C,QUERY!Z:Z)</f>
        <v>3</v>
      </c>
      <c r="FZ26" s="4" t="str">
        <f>_xlfn.XLOOKUP(B26,QUERY!$C:$C,QUERY!AA:AA)</f>
        <v>2 a 3 días</v>
      </c>
      <c r="GA26" s="4">
        <f>_xlfn.XLOOKUP(B26,QUERY!$C:$C,QUERY!AB:AB)</f>
        <v>46052</v>
      </c>
      <c r="GB26" s="4">
        <f>_xlfn.XLOOKUP(B26,QUERY!$C:$C,QUERY!AC:AC)</f>
        <v>46052</v>
      </c>
      <c r="GC26" s="3">
        <f>_xlfn.XLOOKUP(B26,QUERY!$C:$C,QUERY!AD:AD)</f>
        <v>0</v>
      </c>
      <c r="GD26" s="4">
        <f>_xlfn.XLOOKUP(B26,QUERY!$C:$C,QUERY!AE:AE)</f>
        <v>46052</v>
      </c>
      <c r="GE26" s="3">
        <f>_xlfn.XLOOKUP(B26,QUERY!$C:$C,QUERY!AF:AF)</f>
        <v>1</v>
      </c>
      <c r="GF26" s="4" t="str">
        <f>_xlfn.XLOOKUP(B26,QUERY!$C:$C,QUERY!AG:AG)</f>
        <v>Es anterior</v>
      </c>
      <c r="GG26" s="3" t="str">
        <f>_xlfn.XLOOKUP(B26,QUERY!$C:$C,QUERY!AH:AH)</f>
        <v>A1</v>
      </c>
      <c r="GH26" s="3" t="str">
        <f>_xlfn.XLOOKUP(B26,QUERY!$C:$C,QUERY!AI:AI)</f>
        <v>ZULEIMA PEREZ RUIZ</v>
      </c>
      <c r="GI26" s="3" t="str">
        <f>_xlfn.XLOOKUP(B26,QUERY!$C:$C,QUERY!AJ:AJ)</f>
        <v>HLCURTM251230364</v>
      </c>
      <c r="GJ26" s="3" t="str">
        <f>_xlfn.XLOOKUP(B26,QUERY!$C:$C,QUERY!AK:AK)</f>
        <v>NULL</v>
      </c>
      <c r="GK26" s="3">
        <f>_xlfn.XLOOKUP(B26,QUERY!$C:$C,QUERY!AL:AL)</f>
        <v>6000096</v>
      </c>
      <c r="GL26" s="3" t="str">
        <f>_xlfn.XLOOKUP(B26,QUERY!$C:$C,QUERY!AM:AM)</f>
        <v>Importación</v>
      </c>
      <c r="GM26" s="3" t="str">
        <f>_xlfn.XLOOKUP(B26,QUERY!$C:$C,QUERY!AN:AN)</f>
        <v>NOBILIS IB MA5 (VACUNA DE USO VETERINARIO)</v>
      </c>
      <c r="GN26" s="3" t="str">
        <f>_xlfn.XLOOKUP(B26,QUERY!$C:$C,QUERY!AO:AO)</f>
        <v>SIN CLASIFICACION</v>
      </c>
      <c r="GO26" s="3">
        <f>_xlfn.XLOOKUP(B26,QUERY!$C:$C,QUERY!AP:AP)</f>
        <v>0</v>
      </c>
      <c r="GP26" s="3" t="str">
        <f>_xlfn.XLOOKUP(B26,QUERY!$C:$C,QUERY!AQ:AQ)</f>
        <v>Cargas de Importación</v>
      </c>
      <c r="GQ26" s="3" t="str">
        <f>_xlfn.XLOOKUP(B26,QUERY!$C:$C,QUERY!AR:AR)</f>
        <v>INTERVET MEXICO SA DE CV</v>
      </c>
      <c r="GR26" s="3">
        <f>_xlfn.XLOOKUP(B26,QUERY!$C:$C,QUERY!AS:AS)</f>
        <v>0</v>
      </c>
      <c r="GS26" s="3" t="str">
        <f>_xlfn.XLOOKUP(B26,QUERY!$C:$C,QUERY!AT:AT)</f>
        <v>NINGUNO</v>
      </c>
      <c r="GT26" s="3">
        <f>_xlfn.XLOOKUP(B26,QUERY!$C:$C,QUERY!AU:AU)</f>
        <v>0</v>
      </c>
      <c r="GU26" s="3" t="str">
        <f>_xlfn.XLOOKUP(B26,QUERY!$C:$C,QUERY!AV:AV)</f>
        <v>NINGUNO</v>
      </c>
      <c r="GV26" s="3" t="str">
        <f>_xlfn.XLOOKUP(B26,QUERY!$C:$C,QUERY!AW:AW)</f>
        <v>PRODUCTO TERMINADO</v>
      </c>
      <c r="GW26" s="3" t="str">
        <f>_xlfn.XLOOKUP(B26,QUERY!$C:$C,QUERY!AX:AX)</f>
        <v>Verde</v>
      </c>
      <c r="GX26" s="3" t="str">
        <f>_xlfn.XLOOKUP(B26,QUERY!$C:$C,QUERY!AY:AY)</f>
        <v xml:space="preserve"> SUPER EXPRESS DE CARGA FEDERAL S.A. DE C.V.</v>
      </c>
      <c r="GY26" s="3">
        <f>_xlfn.XLOOKUP(B26,QUERY!$C:$C,QUERY!AZ:AZ)</f>
        <v>0</v>
      </c>
      <c r="GZ26" s="3" t="str">
        <f>_xlfn.XLOOKUP(B26,QUERY!$C:$C,QUERY!BA:BA)</f>
        <v>IME-T003</v>
      </c>
      <c r="HA26" s="3" t="str">
        <f>_xlfn.XLOOKUP(B26,QUERY!$C:$C,QUERY!BB:BB)</f>
        <v>IME850329RH2</v>
      </c>
      <c r="HB26" s="3">
        <f>_xlfn.XLOOKUP(B26,QUERY!$C:$C,QUERY!BC:BC)</f>
        <v>0</v>
      </c>
      <c r="HC26" s="3">
        <f>_xlfn.XLOOKUP(B26,QUERY!$C:$C,QUERY!BD:BD)</f>
        <v>0.99</v>
      </c>
      <c r="HD26" s="3" t="str">
        <f>_xlfn.XLOOKUP(B26,QUERY!$C:$C,QUERY!BE:BE)</f>
        <v>LOTE: SA536AA38,LOTE: J654A01,LOTE: A449A02,LOTE: 2408467J03,LOTE: A372B02,LOTE: A179B01,LOTE: A264A02,LOTE: A218A01,LOTE: A197A01,LOTE: B277A01,LOTE: B274A01,LOTE: A414A01,LOTES: A462A03, A463A01</v>
      </c>
      <c r="HE26" s="3">
        <f>_xlfn.XLOOKUP(B26,QUERY!$C:$C,QUERY!BF:BF)</f>
        <v>90</v>
      </c>
      <c r="HF26" s="3" t="str">
        <f>_xlfn.XLOOKUP(B26,QUERY!$C:$C,QUERY!BG:BG)</f>
        <v xml:space="preserve"> 167500.95, 3481449.92, 1040102.50, 9912953.44, 7554117.00</v>
      </c>
      <c r="HG26" s="3" t="str">
        <f>_xlfn.XLOOKUP(B26,QUERY!$C:$C,QUERY!BH:BH)</f>
        <v>KILO,KILO,KILO,KILO,KILO,KILO,KILO,KILO,KILO,KILO,KILO,KILO,KILO</v>
      </c>
      <c r="HH26" s="3">
        <f>_xlfn.XLOOKUP(B26,QUERY!$C:$C,QUERY!BI:BI)</f>
        <v>0</v>
      </c>
      <c r="HI26" s="3" t="str">
        <f>_xlfn.XLOOKUP(B26,QUERY!$C:$C,QUERY!BJ:BJ)</f>
        <v>PAISES BAJOS (REINO DE LOS) (HOLANDA)</v>
      </c>
      <c r="HJ26" s="3" t="str">
        <f>_xlfn.XLOOKUP(B26,QUERY!$C:$C,QUERY!BK:BK)</f>
        <v>PAISES BAJOS (REINO DE LOS) (HOLANDA)</v>
      </c>
      <c r="HK26" s="3" t="str">
        <f>_xlfn.XLOOKUP(B26,QUERY!$C:$C,QUERY!BL:BL)</f>
        <v>ZYA</v>
      </c>
      <c r="HL26" s="3" t="str">
        <f>_xlfn.XLOOKUP(B26,QUERY!$C:$C,QUERY!BM:BM)</f>
        <v>ZYA</v>
      </c>
      <c r="HM26" s="3">
        <f>_xlfn.XLOOKUP(B26,QUERY!$C:$C,QUERY!BN:BN)</f>
        <v>22156123</v>
      </c>
      <c r="HN26" s="3" t="str">
        <f>_xlfn.XLOOKUP(B26,QUERY!$C:$C,QUERY!BO:BO)</f>
        <v>462.00</v>
      </c>
      <c r="HO26" s="3" t="str">
        <f>_xlfn.XLOOKUP(B26,QUERY!$C:$C,QUERY!BP:BP)</f>
        <v>NULL</v>
      </c>
      <c r="HP26" s="3" t="str">
        <f>_xlfn.XLOOKUP(B26,QUERY!$C:$C,QUERY!BQ:BQ)</f>
        <v>NULL</v>
      </c>
      <c r="HQ26" s="3" t="str">
        <f>_xlfn.XLOOKUP(B26,QUERY!$C:$C,QUERY!BR:BR)</f>
        <v>350419.46</v>
      </c>
      <c r="HR26" s="3">
        <f>_xlfn.XLOOKUP(B26,QUERY!$C:$C,QUERY!BS:BS)</f>
        <v>0</v>
      </c>
      <c r="HS26" s="3">
        <f>_xlfn.XLOOKUP(B26,QUERY!$C:$C,QUERY!BT:BT)</f>
        <v>0</v>
      </c>
      <c r="HT26" s="3" t="str">
        <f>_xlfn.XLOOKUP(B26,QUERY!$C:$C,QUERY!A:A)</f>
        <v>VERACRUZ</v>
      </c>
      <c r="HU26" s="3" t="str">
        <f>_xlfn.XLOOKUP(B26,QUERY!$C:$C,QUERY!B:B)</f>
        <v>MARÍTIMO VERACRUZ</v>
      </c>
    </row>
    <row r="27" spans="1:229" x14ac:dyDescent="0.25">
      <c r="A27" s="3" t="s">
        <v>90</v>
      </c>
      <c r="B27" s="9" t="s">
        <v>141</v>
      </c>
      <c r="C27" s="3">
        <v>3942</v>
      </c>
      <c r="D27" s="3">
        <v>6000096</v>
      </c>
      <c r="E27" s="3"/>
      <c r="F27" s="3" t="s">
        <v>92</v>
      </c>
      <c r="G27" s="3" t="s">
        <v>93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430</v>
      </c>
      <c r="S27" s="3" t="s">
        <v>142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 t="s">
        <v>155</v>
      </c>
      <c r="AB27" s="3"/>
      <c r="AC27" s="3">
        <v>628784</v>
      </c>
      <c r="AD27" s="3">
        <v>136.98998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/>
      <c r="AP27" s="3" t="s">
        <v>98</v>
      </c>
      <c r="AQ27" s="3">
        <v>210361686</v>
      </c>
      <c r="AR27" s="3" t="s">
        <v>99</v>
      </c>
      <c r="AS27" s="3" t="s">
        <v>100</v>
      </c>
      <c r="AT27" s="3">
        <v>0</v>
      </c>
      <c r="AU27" s="3">
        <v>0</v>
      </c>
      <c r="AV27" s="3">
        <v>0</v>
      </c>
      <c r="AW27" s="3">
        <v>30024201</v>
      </c>
      <c r="AX27" s="3">
        <v>99</v>
      </c>
      <c r="AY27" s="3">
        <v>4590</v>
      </c>
      <c r="AZ27" s="3">
        <v>4590</v>
      </c>
      <c r="BA27" s="3" t="s">
        <v>103</v>
      </c>
      <c r="BB27" s="3"/>
      <c r="BC27" s="3" t="s">
        <v>105</v>
      </c>
      <c r="BD27" s="3" t="s">
        <v>105</v>
      </c>
      <c r="BE27" s="3"/>
      <c r="BF27" s="3"/>
      <c r="BG27" s="5"/>
      <c r="BH27" s="3"/>
      <c r="BI27" s="3"/>
      <c r="BJ27" s="3"/>
      <c r="BK27" s="3" t="s">
        <v>153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 t="s">
        <v>111</v>
      </c>
      <c r="CF27" s="3">
        <v>0</v>
      </c>
      <c r="CG27" s="3">
        <v>0</v>
      </c>
      <c r="CH27" s="3">
        <v>0</v>
      </c>
      <c r="CI27" s="3" t="s">
        <v>112</v>
      </c>
      <c r="CJ27" s="3" t="s">
        <v>112</v>
      </c>
      <c r="CK27" s="3">
        <f>_xlfn.XLOOKUP($B$2,'BASE DE EXCEL'!C:C,'BASE DE EXCEL'!D:D,"NO HAY REFERENCIA")</f>
        <v>470</v>
      </c>
      <c r="CL27" s="5">
        <f>_xlfn.XLOOKUP($B$2,'BASE DE EXCEL'!$C:$C,'BASE DE EXCEL'!F:F,"NO HAY REFERENCIA")</f>
        <v>3</v>
      </c>
      <c r="CM27" s="4">
        <f>_xlfn.XLOOKUP($B$2,'BASE DE EXCEL'!$C:$C,'BASE DE EXCEL'!G:G,"NO HAY REFERENCIA")</f>
        <v>46080</v>
      </c>
      <c r="CN27" s="4">
        <f>_xlfn.XLOOKUP($B$2,'BASE DE EXCEL'!$C:$C,'BASE DE EXCEL'!H:H,"NO HAY REFERENCIA")</f>
        <v>46086</v>
      </c>
      <c r="CO27" s="3">
        <f>_xlfn.XLOOKUP($B$2,'BASE DE EXCEL'!$C:$C,'BASE DE EXCEL'!I:I,"NO HAY REFERENCIA")</f>
        <v>4</v>
      </c>
      <c r="CP27" s="3" t="str">
        <f>_xlfn.XLOOKUP($B$2,'BASE DE EXCEL'!$C:$C,'BASE DE EXCEL'!J:J,"NO HAY REFERENCIA")</f>
        <v>4 a 5 días</v>
      </c>
      <c r="CQ27" s="4">
        <f>_xlfn.XLOOKUP($B$2,'BASE DE EXCEL'!$C:$C,'BASE DE EXCEL'!K:K,"NO HAY REFERENCIA")</f>
        <v>46087</v>
      </c>
      <c r="CR27" s="3">
        <f>_xlfn.XLOOKUP($B$2,'BASE DE EXCEL'!$C:$C,'BASE DE EXCEL'!L:L,"NO HAY REFERENCIA")</f>
        <v>5</v>
      </c>
      <c r="CS27" s="3">
        <f>_xlfn.XLOOKUP($B$2,'BASE DE EXCEL'!$C:$C,'BASE DE EXCEL'!M:M,"NO HAY REFERENCIA")</f>
        <v>6</v>
      </c>
      <c r="CT27" s="3" t="str">
        <f>_xlfn.XLOOKUP($B$2,'BASE DE EXCEL'!$C:$C,'BASE DE EXCEL'!N:N,"NO HAY REFERENCIA")</f>
        <v>6 a 10 días</v>
      </c>
      <c r="CU27" s="3" t="str">
        <f>_xlfn.XLOOKUP($B$2,'BASE DE EXCEL'!$C:$C,'BASE DE EXCEL'!O:O,"NO HAY REFERENCIA")</f>
        <v>On Time</v>
      </c>
      <c r="CV27" s="3" t="str">
        <f>_xlfn.XLOOKUP(B27,'BASE DE EXCEL'!$C:$C,'BASE DE EXCEL'!P:P,"NO HAY REFERENCIA")</f>
        <v>4 a 5 días</v>
      </c>
      <c r="CW27" s="4">
        <f>_xlfn.XLOOKUP(B27,'BASE DE EXCEL'!$C:$C,'BASE DE EXCEL'!Q:Q,"NO HAY REFERENCIA")</f>
        <v>46049</v>
      </c>
      <c r="CX27" s="3">
        <f>_xlfn.XLOOKUP(B27,'BASE DE EXCEL'!$C:$C,'BASE DE EXCEL'!R:R,"NO HAY REFERENCIA")</f>
        <v>5</v>
      </c>
      <c r="CY27" s="3" t="str">
        <f>_xlfn.XLOOKUP(B27,'BASE DE EXCEL'!$C:$C,'BASE DE EXCEL'!S:S,"NO HAY REFERENCIA")</f>
        <v>4 a 5 días</v>
      </c>
      <c r="CZ27" s="3" t="str">
        <f>_xlfn.XLOOKUP(B27,'BASE DE EXCEL'!$C:$C,'BASE DE EXCEL'!T:T,"NO HAY REFERENCIA")</f>
        <v>On Time</v>
      </c>
      <c r="DA27" s="3">
        <f>_xlfn.XLOOKUP(B27,'BASE DE EXCEL'!$C:$C,'BASE DE EXCEL'!U:U,"NO HAY REFERENCIA")</f>
        <v>6</v>
      </c>
      <c r="DB27" s="3" t="str">
        <f>_xlfn.XLOOKUP(B27,'BASE DE EXCEL'!$C:$C,'BASE DE EXCEL'!V:V,"NO HAY REFERENCIA")</f>
        <v>4 a 5 días</v>
      </c>
      <c r="DC27" s="3">
        <f>_xlfn.XLOOKUP(B27,'BASE DE EXCEL'!$C:$C,'BASE DE EXCEL'!W:W,"NO HAY REFERENCIA")</f>
        <v>7</v>
      </c>
      <c r="DD27" s="3" t="str">
        <f>_xlfn.XLOOKUP(B27,'BASE DE EXCEL'!$C:$C,'BASE DE EXCEL'!X:X,"NO HAY REFERENCIA")</f>
        <v>6 a 10 días</v>
      </c>
      <c r="DE27" s="3">
        <f>_xlfn.XLOOKUP(B27,'BASE DE EXCEL'!$C:$C,'BASE DE EXCEL'!Y:Y,"NO HAY REFERENCIA")</f>
        <v>1</v>
      </c>
      <c r="DF27" s="3" t="str">
        <f>_xlfn.XLOOKUP(B27,'BASE DE EXCEL'!$C:$C,'BASE DE EXCEL'!Z:Z,"NO HAY REFERENCIA")</f>
        <v>1 día o menos</v>
      </c>
      <c r="DG27" s="3">
        <f>_xlfn.XLOOKUP(B27,'BASE DE EXCEL'!$C:$C,'BASE DE EXCEL'!AA:AA,"NO HAY REFERENCIA")</f>
        <v>2</v>
      </c>
      <c r="DH27" s="3">
        <f>_xlfn.XLOOKUP(B27,'BASE DE EXCEL'!$C:$C,'BASE DE EXCEL'!AB:AB,"NO HAY REFERENCIA")</f>
        <v>1</v>
      </c>
      <c r="DI27" s="3" t="str">
        <f>_xlfn.XLOOKUP(B27,'BASE DE EXCEL'!$C:$C,'BASE DE EXCEL'!AC:AC,"NO HAY REFERENCIA")</f>
        <v>1 día o menos</v>
      </c>
      <c r="DJ27" s="4">
        <f>_xlfn.XLOOKUP(B27,'BASE DE EXCEL'!$C:$C,'BASE DE EXCEL'!AD:AD,"NO HAY REFERENCIA")</f>
        <v>46052</v>
      </c>
      <c r="DK27" s="3">
        <f>_xlfn.XLOOKUP(B27,'BASE DE EXCEL'!$C:$C,'BASE DE EXCEL'!AE:AE,"NO HAY REFERENCIA")</f>
        <v>3</v>
      </c>
      <c r="DL27" s="3">
        <f>_xlfn.XLOOKUP(B27,'BASE DE EXCEL'!$C:$C,'BASE DE EXCEL'!AF:AF,"NO HAY REFERENCIA")</f>
        <v>3</v>
      </c>
      <c r="DM27" s="4">
        <f>_xlfn.XLOOKUP(B27,'BASE DE EXCEL'!$C:$C,'BASE DE EXCEL'!AG:AG,"NO HAY REFERENCIA")</f>
        <v>46052</v>
      </c>
      <c r="DN27" s="4">
        <f>_xlfn.XLOOKUP(B27,'BASE DE EXCEL'!$C:$C,'BASE DE EXCEL'!AH:AH,"NO HAY REFERENCIA")</f>
        <v>46052</v>
      </c>
      <c r="DO27" s="3">
        <f>_xlfn.XLOOKUP(B27,'BASE DE EXCEL'!$C:$C,'BASE DE EXCEL'!AI:AI,"NO HAY REFERENCIA")</f>
        <v>0</v>
      </c>
      <c r="DP27" s="4" t="str">
        <f>_xlfn.XLOOKUP(B27,'BASE DE EXCEL'!$C:$C,'BASE DE EXCEL'!AJ:AJ,"NO HAY REFERENCIA")</f>
        <v>2 a 3 días</v>
      </c>
      <c r="DQ27" s="4">
        <f>_xlfn.XLOOKUP(B27,'BASE DE EXCEL'!$C:$C,'BASE DE EXCEL'!AK:AK,"NO HAY REFERENCIA")</f>
        <v>46052</v>
      </c>
      <c r="DR27" s="3">
        <f>_xlfn.XLOOKUP(B27,'BASE DE EXCEL'!$C:$C,'BASE DE EXCEL'!AL:AL,"NO HAY REFERENCIA")</f>
        <v>4</v>
      </c>
      <c r="DS27" s="3" t="str">
        <f>_xlfn.XLOOKUP(B27,'BASE DE EXCEL'!$C:$C,'BASE DE EXCEL'!AM:AM,"NO HAY REFERENCIA")</f>
        <v>4 a 5 días</v>
      </c>
      <c r="DT27" s="3" t="str">
        <f>_xlfn.XLOOKUP(B27,'BASE DE EXCEL'!$C:$C,'BASE DE EXCEL'!AN:AN,"NO HAY REFERENCIA")</f>
        <v>On Time</v>
      </c>
      <c r="DU27" s="3">
        <f>_xlfn.XLOOKUP(B27,'BASE DE EXCEL'!$C:$C,'BASE DE EXCEL'!AO:AO,"NO HAY REFERENCIA")</f>
        <v>1</v>
      </c>
      <c r="DV27" s="3" t="str">
        <f>_xlfn.XLOOKUP(B27,'BASE DE EXCEL'!$C:$C,'BASE DE EXCEL'!AP:AP,"NO HAY REFERENCIA")</f>
        <v>Es anterior</v>
      </c>
      <c r="DW27" s="3" t="str">
        <f>_xlfn.XLOOKUP(B27,'BASE DE EXCEL'!$C:$C,'BASE DE EXCEL'!AQ:AQ,"NO HAY REFERENCIA")</f>
        <v>A1</v>
      </c>
      <c r="DX27" s="3" t="str">
        <f>_xlfn.XLOOKUP(B27,'BASE DE EXCEL'!$C:$C,'BASE DE EXCEL'!AR:AR,"NO HAY REFERENCIA")</f>
        <v>ZULEIMA PEREZ RUIZ</v>
      </c>
      <c r="DY27" s="3" t="str">
        <f>_xlfn.XLOOKUP(B27,'BASE DE EXCEL'!$C:$C,'BASE DE EXCEL'!AS:AS,"NO HAY REFERENCIA")</f>
        <v>HLCURTM251230364</v>
      </c>
      <c r="DZ27" s="3" t="str">
        <f>_xlfn.XLOOKUP(B27,'BASE DE EXCEL'!$C:$C,'BASE DE EXCEL'!AT:AT,"NO HAY REFERENCIA")</f>
        <v>NULL</v>
      </c>
      <c r="EA27" s="3">
        <f>_xlfn.XLOOKUP(B27,'BASE DE EXCEL'!$C:$C,'BASE DE EXCEL'!AU:AU,"NO HAY REFERENCIA")</f>
        <v>6000096</v>
      </c>
      <c r="EB27" s="3" t="str">
        <f>_xlfn.XLOOKUP(B27,'BASE DE EXCEL'!$C:$C,'BASE DE EXCEL'!AV:AV,"NO HAY REFERENCIA")</f>
        <v>Importación</v>
      </c>
      <c r="EC27" s="3" t="str">
        <f>_xlfn.XLOOKUP(B27,'BASE DE EXCEL'!$C:$C,'BASE DE EXCEL'!AW:AW,"NO HAY REFERENCIA")</f>
        <v>NOBILIS IB MA5 (VACUNA DE USO VETERINARIO)</v>
      </c>
      <c r="ED27" s="3" t="str">
        <f>_xlfn.XLOOKUP(B27,'BASE DE EXCEL'!$C:$C,'BASE DE EXCEL'!AX:AX,"NO HAY REFERENCIA")</f>
        <v>SIN CLASIFICACION</v>
      </c>
      <c r="EE27" s="3">
        <f>_xlfn.XLOOKUP(B27,'BASE DE EXCEL'!$C:$C,'BASE DE EXCEL'!AY:AY,"NO HAY REFERENCIA")</f>
        <v>0</v>
      </c>
      <c r="EF27" s="3" t="str">
        <f>_xlfn.XLOOKUP(B27,'BASE DE EXCEL'!$C:$C,'BASE DE EXCEL'!AZ:AZ,"NO HAY REFERENCIA")</f>
        <v>Cargas de Importación</v>
      </c>
      <c r="EG27" s="3" t="str">
        <f>_xlfn.XLOOKUP(B27,'BASE DE EXCEL'!$C:$C,'BASE DE EXCEL'!BA:BA,"NO HAY REFERENCIA")</f>
        <v>INTERVET MEXICO SA DE CV</v>
      </c>
      <c r="EH27" s="3">
        <f>_xlfn.XLOOKUP(B27,'BASE DE EXCEL'!$C:$C,'BASE DE EXCEL'!BB:BB,"NO HAY REFERENCIA")</f>
        <v>0</v>
      </c>
      <c r="EI27" s="3" t="str">
        <f>_xlfn.XLOOKUP(B27,'BASE DE EXCEL'!$C:$C,'BASE DE EXCEL'!BC:BC,"NO HAY REFERENCIA")</f>
        <v>NINGUNO</v>
      </c>
      <c r="EJ27" s="3">
        <f>_xlfn.XLOOKUP(B27,'BASE DE EXCEL'!$C:$C,'BASE DE EXCEL'!BD:BD,"NO HAY REFERENCIA")</f>
        <v>0</v>
      </c>
      <c r="EK27" s="3" t="str">
        <f>_xlfn.XLOOKUP(B27,'BASE DE EXCEL'!$C:$C,'BASE DE EXCEL'!BE:BE,"NO HAY REFERENCIA")</f>
        <v>NINGUNO</v>
      </c>
      <c r="EL27" s="3" t="str">
        <f>_xlfn.XLOOKUP(B27,'BASE DE EXCEL'!$C:$C,'BASE DE EXCEL'!BF:BF,"NO HAY REFERENCIA")</f>
        <v>PRODUCTO TERMINADO</v>
      </c>
      <c r="EM27" s="3" t="str">
        <f>_xlfn.XLOOKUP(B27,'BASE DE EXCEL'!$C:$C,'BASE DE EXCEL'!BG:BG,"NO HAY REFERENCIA")</f>
        <v>Verde</v>
      </c>
      <c r="EN27" s="3" t="str">
        <f>_xlfn.XLOOKUP(B27,'BASE DE EXCEL'!$C:$C,'BASE DE EXCEL'!BH:BH,"NO HAY REFERENCIA")</f>
        <v xml:space="preserve"> SUPER EXPRESS DE CARGA FEDERAL S.A. DE C.V.</v>
      </c>
      <c r="EO27" s="3">
        <f>_xlfn.XLOOKUP(B27,'BASE DE EXCEL'!$C:$C,'BASE DE EXCEL'!BI:BI,"NO HAY REFERENCIA")</f>
        <v>0</v>
      </c>
      <c r="EP27" s="3" t="str">
        <f>_xlfn.XLOOKUP(B27,'BASE DE EXCEL'!$C:$C,'BASE DE EXCEL'!BJ:BJ,"NO HAY REFERENCIA")</f>
        <v>IME-T003</v>
      </c>
      <c r="EQ27" s="3" t="str">
        <f>_xlfn.XLOOKUP(B27,'BASE DE EXCEL'!$C:$C,'BASE DE EXCEL'!BK:BK,"NO HAY REFERENCIA")</f>
        <v>IME850329RH2</v>
      </c>
      <c r="ER27" s="3">
        <f>_xlfn.XLOOKUP(B27,'BASE DE EXCEL'!$C:$C,'BASE DE EXCEL'!BL:BL,"NO HAY REFERENCIA")</f>
        <v>0</v>
      </c>
      <c r="ES27" s="3" t="str">
        <f>_xlfn.XLOOKUP(B27,'BASE DE EXCEL'!$C:$C,'BASE DE EXCEL'!BM:BM,"NO HAY REFERENCIA")</f>
        <v>00,99</v>
      </c>
      <c r="ET27" s="3" t="str">
        <f>_xlfn.XLOOKUP(B27,'BASE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27" s="3">
        <f>_xlfn.XLOOKUP(B27,'BASE DE EXCEL'!$C:$C,'BASE DE EXCEL'!BO:BO,"NO HAY REFERENCIA")</f>
        <v>90</v>
      </c>
      <c r="EV27" s="3" t="str">
        <f>_xlfn.XLOOKUP(B27,'BASE DE EXCEL'!$C:$C,'BASE DE EXCEL'!BP:BP,"NO HAY REFERENCIA")</f>
        <v xml:space="preserve"> 167500.95, 3481449.92, 1040102.50, 9912953.44, 7554117.00</v>
      </c>
      <c r="EW27" s="3" t="str">
        <f>_xlfn.XLOOKUP(B27,'BASE DE EXCEL'!$C:$C,'BASE DE EXCEL'!BQ:BQ,"NO HAY REFERENCIA")</f>
        <v>KILO,KILO,KILO,KILO,KILO,KILO,KILO,KILO,KILO,KILO,KILO,KILO,KILO</v>
      </c>
      <c r="EX27" s="3">
        <f>_xlfn.XLOOKUP(B27,'BASE DE EXCEL'!$C:$C,'BASE DE EXCEL'!BR:BR,"NO HAY REFERENCIA")</f>
        <v>0</v>
      </c>
      <c r="EY27" s="3" t="str">
        <f>_xlfn.XLOOKUP(B27,'BASE DE EXCEL'!$C:$C,'BASE DE EXCEL'!BS:BS,"NO HAY REFERENCIA")</f>
        <v>PAISES BAJOS (REINO DE LOS) (HOLANDA)</v>
      </c>
      <c r="EZ27" s="3" t="str">
        <f>_xlfn.XLOOKUP(B27,'BASE DE EXCEL'!$C:$C,'BASE DE EXCEL'!BT:BT,"NO HAY REFERENCIA")</f>
        <v>PAISES BAJOS (REINO DE LOS) (HOLANDA)</v>
      </c>
      <c r="FA27" s="3" t="str">
        <f>_xlfn.XLOOKUP(B27,'BASE DE EXCEL'!$C:$C,'BASE DE EXCEL'!BU:BU,"NO HAY REFERENCIA")</f>
        <v>ZYA</v>
      </c>
      <c r="FB27" s="3" t="str">
        <f>_xlfn.XLOOKUP(B27,'BASE DE EXCEL'!$C:$C,'BASE DE EXCEL'!BV:BV,"NO HAY REFERENCIA")</f>
        <v>ZYA</v>
      </c>
      <c r="FC27" s="3">
        <f>_xlfn.XLOOKUP(B27,QUERY!$C:$C,QUERY!D:D)</f>
        <v>430</v>
      </c>
      <c r="FD27" s="4">
        <f>_xlfn.XLOOKUP(B27,QUERY!$C:$C,QUERY!E:E)</f>
        <v>46045</v>
      </c>
      <c r="FE27" s="3">
        <f>_xlfn.XLOOKUP(B27,QUERY!$C:$C,QUERY!F:F)</f>
        <v>1</v>
      </c>
      <c r="FF27" s="4">
        <f>_xlfn.XLOOKUP(B27,QUERY!$C:$C,QUERY!G:G)</f>
        <v>46043</v>
      </c>
      <c r="FG27" s="4">
        <f>_xlfn.XLOOKUP(B27,QUERY!$C:$C,QUERY!H:H)</f>
        <v>46045</v>
      </c>
      <c r="FH27" s="3">
        <f>_xlfn.XLOOKUP(B27,QUERY!$C:$C,QUERY!I:I)</f>
        <v>2</v>
      </c>
      <c r="FI27" s="3" t="str">
        <f>_xlfn.XLOOKUP(B27,QUERY!$C:$C,QUERY!J:J)</f>
        <v>2 a 3 días</v>
      </c>
      <c r="FJ27" s="4">
        <f>_xlfn.XLOOKUP(B27,QUERY!$C:$C,QUERY!K:K)</f>
        <v>46048</v>
      </c>
      <c r="FK27" s="3">
        <f>_xlfn.XLOOKUP(B27,QUERY!$C:$C,QUERY!L:L)</f>
        <v>3</v>
      </c>
      <c r="FL27" s="3" t="str">
        <f>_xlfn.XLOOKUP(B27,QUERY!$C:$C,QUERY!M:M)</f>
        <v>2 a 3 días</v>
      </c>
      <c r="FM27" s="3">
        <f>_xlfn.XLOOKUP(B27,QUERY!$C:$C,QUERY!N:N)</f>
        <v>1</v>
      </c>
      <c r="FN27" s="3" t="str">
        <f>_xlfn.XLOOKUP(B27,QUERY!$C:$C,QUERY!O:O)</f>
        <v>1 día o menos</v>
      </c>
      <c r="FO27" s="3">
        <f>_xlfn.XLOOKUP(B27,QUERY!$C:$C,QUERY!P:P)</f>
        <v>1</v>
      </c>
      <c r="FP27" s="3">
        <f>_xlfn.XLOOKUP(B27,QUERY!$C:$C,QUERY!Q:Q)</f>
        <v>1</v>
      </c>
      <c r="FQ27" s="3" t="str">
        <f>_xlfn.XLOOKUP(B27,QUERY!$C:$C,QUERY!R:R)</f>
        <v>1 día o menos</v>
      </c>
      <c r="FR27" s="4">
        <f>_xlfn.XLOOKUP(B27,QUERY!$C:$C,QUERY!S:S)</f>
        <v>46049</v>
      </c>
      <c r="FS27" s="3">
        <f>_xlfn.XLOOKUP(B27,QUERY!$C:$C,QUERY!T:T)</f>
        <v>4</v>
      </c>
      <c r="FT27" s="3" t="str">
        <f>_xlfn.XLOOKUP(B27,QUERY!$C:$C,QUERY!U:U)</f>
        <v>4 a 5 días</v>
      </c>
      <c r="FU27" s="3">
        <f>_xlfn.XLOOKUP(B27,QUERY!$C:$C,QUERY!V:V)</f>
        <v>7</v>
      </c>
      <c r="FV27" s="3" t="str">
        <f>_xlfn.XLOOKUP(B27,QUERY!$C:$C,QUERY!W:W)</f>
        <v>6 a 10 días</v>
      </c>
      <c r="FW27" s="4">
        <f>_xlfn.XLOOKUP(B27,QUERY!$C:$C,QUERY!X:X)</f>
        <v>46052</v>
      </c>
      <c r="FX27" s="3">
        <f>_xlfn.XLOOKUP(B27,QUERY!$C:$C,QUERY!Y:Y)</f>
        <v>3</v>
      </c>
      <c r="FY27" s="3">
        <f>_xlfn.XLOOKUP(B27,QUERY!$C:$C,QUERY!Z:Z)</f>
        <v>3</v>
      </c>
      <c r="FZ27" s="4" t="str">
        <f>_xlfn.XLOOKUP(B27,QUERY!$C:$C,QUERY!AA:AA)</f>
        <v>2 a 3 días</v>
      </c>
      <c r="GA27" s="4">
        <f>_xlfn.XLOOKUP(B27,QUERY!$C:$C,QUERY!AB:AB)</f>
        <v>46052</v>
      </c>
      <c r="GB27" s="4">
        <f>_xlfn.XLOOKUP(B27,QUERY!$C:$C,QUERY!AC:AC)</f>
        <v>46052</v>
      </c>
      <c r="GC27" s="3">
        <f>_xlfn.XLOOKUP(B27,QUERY!$C:$C,QUERY!AD:AD)</f>
        <v>0</v>
      </c>
      <c r="GD27" s="4">
        <f>_xlfn.XLOOKUP(B27,QUERY!$C:$C,QUERY!AE:AE)</f>
        <v>46052</v>
      </c>
      <c r="GE27" s="3">
        <f>_xlfn.XLOOKUP(B27,QUERY!$C:$C,QUERY!AF:AF)</f>
        <v>1</v>
      </c>
      <c r="GF27" s="4" t="str">
        <f>_xlfn.XLOOKUP(B27,QUERY!$C:$C,QUERY!AG:AG)</f>
        <v>Es anterior</v>
      </c>
      <c r="GG27" s="3" t="str">
        <f>_xlfn.XLOOKUP(B27,QUERY!$C:$C,QUERY!AH:AH)</f>
        <v>A1</v>
      </c>
      <c r="GH27" s="3" t="str">
        <f>_xlfn.XLOOKUP(B27,QUERY!$C:$C,QUERY!AI:AI)</f>
        <v>ZULEIMA PEREZ RUIZ</v>
      </c>
      <c r="GI27" s="3" t="str">
        <f>_xlfn.XLOOKUP(B27,QUERY!$C:$C,QUERY!AJ:AJ)</f>
        <v>HLCURTM251230364</v>
      </c>
      <c r="GJ27" s="3" t="str">
        <f>_xlfn.XLOOKUP(B27,QUERY!$C:$C,QUERY!AK:AK)</f>
        <v>NULL</v>
      </c>
      <c r="GK27" s="3">
        <f>_xlfn.XLOOKUP(B27,QUERY!$C:$C,QUERY!AL:AL)</f>
        <v>6000096</v>
      </c>
      <c r="GL27" s="3" t="str">
        <f>_xlfn.XLOOKUP(B27,QUERY!$C:$C,QUERY!AM:AM)</f>
        <v>Importación</v>
      </c>
      <c r="GM27" s="3" t="str">
        <f>_xlfn.XLOOKUP(B27,QUERY!$C:$C,QUERY!AN:AN)</f>
        <v>NOBILIS IB MA5 (VACUNA DE USO VETERINARIO)</v>
      </c>
      <c r="GN27" s="3" t="str">
        <f>_xlfn.XLOOKUP(B27,QUERY!$C:$C,QUERY!AO:AO)</f>
        <v>SIN CLASIFICACION</v>
      </c>
      <c r="GO27" s="3">
        <f>_xlfn.XLOOKUP(B27,QUERY!$C:$C,QUERY!AP:AP)</f>
        <v>0</v>
      </c>
      <c r="GP27" s="3" t="str">
        <f>_xlfn.XLOOKUP(B27,QUERY!$C:$C,QUERY!AQ:AQ)</f>
        <v>Cargas de Importación</v>
      </c>
      <c r="GQ27" s="3" t="str">
        <f>_xlfn.XLOOKUP(B27,QUERY!$C:$C,QUERY!AR:AR)</f>
        <v>INTERVET MEXICO SA DE CV</v>
      </c>
      <c r="GR27" s="3">
        <f>_xlfn.XLOOKUP(B27,QUERY!$C:$C,QUERY!AS:AS)</f>
        <v>0</v>
      </c>
      <c r="GS27" s="3" t="str">
        <f>_xlfn.XLOOKUP(B27,QUERY!$C:$C,QUERY!AT:AT)</f>
        <v>NINGUNO</v>
      </c>
      <c r="GT27" s="3">
        <f>_xlfn.XLOOKUP(B27,QUERY!$C:$C,QUERY!AU:AU)</f>
        <v>0</v>
      </c>
      <c r="GU27" s="3" t="str">
        <f>_xlfn.XLOOKUP(B27,QUERY!$C:$C,QUERY!AV:AV)</f>
        <v>NINGUNO</v>
      </c>
      <c r="GV27" s="3" t="str">
        <f>_xlfn.XLOOKUP(B27,QUERY!$C:$C,QUERY!AW:AW)</f>
        <v>PRODUCTO TERMINADO</v>
      </c>
      <c r="GW27" s="3" t="str">
        <f>_xlfn.XLOOKUP(B27,QUERY!$C:$C,QUERY!AX:AX)</f>
        <v>Verde</v>
      </c>
      <c r="GX27" s="3" t="str">
        <f>_xlfn.XLOOKUP(B27,QUERY!$C:$C,QUERY!AY:AY)</f>
        <v xml:space="preserve"> SUPER EXPRESS DE CARGA FEDERAL S.A. DE C.V.</v>
      </c>
      <c r="GY27" s="3">
        <f>_xlfn.XLOOKUP(B27,QUERY!$C:$C,QUERY!AZ:AZ)</f>
        <v>0</v>
      </c>
      <c r="GZ27" s="3" t="str">
        <f>_xlfn.XLOOKUP(B27,QUERY!$C:$C,QUERY!BA:BA)</f>
        <v>IME-T003</v>
      </c>
      <c r="HA27" s="3" t="str">
        <f>_xlfn.XLOOKUP(B27,QUERY!$C:$C,QUERY!BB:BB)</f>
        <v>IME850329RH2</v>
      </c>
      <c r="HB27" s="3">
        <f>_xlfn.XLOOKUP(B27,QUERY!$C:$C,QUERY!BC:BC)</f>
        <v>0</v>
      </c>
      <c r="HC27" s="3">
        <f>_xlfn.XLOOKUP(B27,QUERY!$C:$C,QUERY!BD:BD)</f>
        <v>0.99</v>
      </c>
      <c r="HD27" s="3" t="str">
        <f>_xlfn.XLOOKUP(B27,QUERY!$C:$C,QUERY!BE:BE)</f>
        <v>LOTE: SA536AA38,LOTE: J654A01,LOTE: A449A02,LOTE: 2408467J03,LOTE: A372B02,LOTE: A179B01,LOTE: A264A02,LOTE: A218A01,LOTE: A197A01,LOTE: B277A01,LOTE: B274A01,LOTE: A414A01,LOTES: A462A03, A463A01</v>
      </c>
      <c r="HE27" s="3">
        <f>_xlfn.XLOOKUP(B27,QUERY!$C:$C,QUERY!BF:BF)</f>
        <v>90</v>
      </c>
      <c r="HF27" s="3" t="str">
        <f>_xlfn.XLOOKUP(B27,QUERY!$C:$C,QUERY!BG:BG)</f>
        <v xml:space="preserve"> 167500.95, 3481449.92, 1040102.50, 9912953.44, 7554117.00</v>
      </c>
      <c r="HG27" s="3" t="str">
        <f>_xlfn.XLOOKUP(B27,QUERY!$C:$C,QUERY!BH:BH)</f>
        <v>KILO,KILO,KILO,KILO,KILO,KILO,KILO,KILO,KILO,KILO,KILO,KILO,KILO</v>
      </c>
      <c r="HH27" s="3">
        <f>_xlfn.XLOOKUP(B27,QUERY!$C:$C,QUERY!BI:BI)</f>
        <v>0</v>
      </c>
      <c r="HI27" s="3" t="str">
        <f>_xlfn.XLOOKUP(B27,QUERY!$C:$C,QUERY!BJ:BJ)</f>
        <v>PAISES BAJOS (REINO DE LOS) (HOLANDA)</v>
      </c>
      <c r="HJ27" s="3" t="str">
        <f>_xlfn.XLOOKUP(B27,QUERY!$C:$C,QUERY!BK:BK)</f>
        <v>PAISES BAJOS (REINO DE LOS) (HOLANDA)</v>
      </c>
      <c r="HK27" s="3" t="str">
        <f>_xlfn.XLOOKUP(B27,QUERY!$C:$C,QUERY!BL:BL)</f>
        <v>ZYA</v>
      </c>
      <c r="HL27" s="3" t="str">
        <f>_xlfn.XLOOKUP(B27,QUERY!$C:$C,QUERY!BM:BM)</f>
        <v>ZYA</v>
      </c>
      <c r="HM27" s="3">
        <f>_xlfn.XLOOKUP(B27,QUERY!$C:$C,QUERY!BN:BN)</f>
        <v>22156123</v>
      </c>
      <c r="HN27" s="3" t="str">
        <f>_xlfn.XLOOKUP(B27,QUERY!$C:$C,QUERY!BO:BO)</f>
        <v>462.00</v>
      </c>
      <c r="HO27" s="3" t="str">
        <f>_xlfn.XLOOKUP(B27,QUERY!$C:$C,QUERY!BP:BP)</f>
        <v>NULL</v>
      </c>
      <c r="HP27" s="3" t="str">
        <f>_xlfn.XLOOKUP(B27,QUERY!$C:$C,QUERY!BQ:BQ)</f>
        <v>NULL</v>
      </c>
      <c r="HQ27" s="3" t="str">
        <f>_xlfn.XLOOKUP(B27,QUERY!$C:$C,QUERY!BR:BR)</f>
        <v>350419.46</v>
      </c>
      <c r="HR27" s="3">
        <f>_xlfn.XLOOKUP(B27,QUERY!$C:$C,QUERY!BS:BS)</f>
        <v>0</v>
      </c>
      <c r="HS27" s="3">
        <f>_xlfn.XLOOKUP(B27,QUERY!$C:$C,QUERY!BT:BT)</f>
        <v>0</v>
      </c>
      <c r="HT27" s="3" t="str">
        <f>_xlfn.XLOOKUP(B27,QUERY!$C:$C,QUERY!A:A)</f>
        <v>VERACRUZ</v>
      </c>
      <c r="HU27" s="3" t="str">
        <f>_xlfn.XLOOKUP(B27,QUERY!$C:$C,QUERY!B:B)</f>
        <v>MARÍTIMO VERACRUZ</v>
      </c>
    </row>
    <row r="28" spans="1:229" x14ac:dyDescent="0.25">
      <c r="A28" s="3" t="s">
        <v>90</v>
      </c>
      <c r="B28" s="9" t="s">
        <v>141</v>
      </c>
      <c r="C28" s="3">
        <v>3942</v>
      </c>
      <c r="D28" s="3">
        <v>6000096</v>
      </c>
      <c r="E28" s="3"/>
      <c r="F28" s="3" t="s">
        <v>92</v>
      </c>
      <c r="G28" s="3" t="s">
        <v>93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430</v>
      </c>
      <c r="S28" s="3" t="s">
        <v>142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 t="s">
        <v>156</v>
      </c>
      <c r="AB28" s="3"/>
      <c r="AC28" s="3">
        <v>755468</v>
      </c>
      <c r="AD28" s="3">
        <v>269.81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/>
      <c r="AP28" s="3" t="s">
        <v>98</v>
      </c>
      <c r="AQ28" s="3">
        <v>210361687</v>
      </c>
      <c r="AR28" s="3" t="s">
        <v>99</v>
      </c>
      <c r="AS28" s="3" t="s">
        <v>100</v>
      </c>
      <c r="AT28" s="3">
        <v>0</v>
      </c>
      <c r="AU28" s="3">
        <v>0</v>
      </c>
      <c r="AV28" s="3">
        <v>0</v>
      </c>
      <c r="AW28" s="3">
        <v>30024201</v>
      </c>
      <c r="AX28" s="3">
        <v>99</v>
      </c>
      <c r="AY28" s="3">
        <v>2800</v>
      </c>
      <c r="AZ28" s="3">
        <v>2800</v>
      </c>
      <c r="BA28" s="3" t="s">
        <v>103</v>
      </c>
      <c r="BB28" s="3"/>
      <c r="BC28" s="3" t="s">
        <v>105</v>
      </c>
      <c r="BD28" s="3" t="s">
        <v>105</v>
      </c>
      <c r="BE28" s="3"/>
      <c r="BF28" s="3"/>
      <c r="BG28" s="5"/>
      <c r="BH28" s="3"/>
      <c r="BI28" s="3"/>
      <c r="BJ28" s="3"/>
      <c r="BK28" s="3" t="s">
        <v>157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 t="s">
        <v>111</v>
      </c>
      <c r="CF28" s="3">
        <v>0</v>
      </c>
      <c r="CG28" s="3">
        <v>0</v>
      </c>
      <c r="CH28" s="3">
        <v>0</v>
      </c>
      <c r="CI28" s="3" t="s">
        <v>112</v>
      </c>
      <c r="CJ28" s="3" t="s">
        <v>112</v>
      </c>
      <c r="CK28" s="3">
        <f>_xlfn.XLOOKUP($B$2,'BASE DE EXCEL'!C:C,'BASE DE EXCEL'!D:D,"NO HAY REFERENCIA")</f>
        <v>470</v>
      </c>
      <c r="CL28" s="5">
        <f>_xlfn.XLOOKUP($B$2,'BASE DE EXCEL'!$C:$C,'BASE DE EXCEL'!F:F,"NO HAY REFERENCIA")</f>
        <v>3</v>
      </c>
      <c r="CM28" s="4">
        <f>_xlfn.XLOOKUP($B$2,'BASE DE EXCEL'!$C:$C,'BASE DE EXCEL'!G:G,"NO HAY REFERENCIA")</f>
        <v>46080</v>
      </c>
      <c r="CN28" s="4">
        <f>_xlfn.XLOOKUP($B$2,'BASE DE EXCEL'!$C:$C,'BASE DE EXCEL'!H:H,"NO HAY REFERENCIA")</f>
        <v>46086</v>
      </c>
      <c r="CO28" s="3">
        <f>_xlfn.XLOOKUP($B$2,'BASE DE EXCEL'!$C:$C,'BASE DE EXCEL'!I:I,"NO HAY REFERENCIA")</f>
        <v>4</v>
      </c>
      <c r="CP28" s="3" t="str">
        <f>_xlfn.XLOOKUP($B$2,'BASE DE EXCEL'!$C:$C,'BASE DE EXCEL'!J:J,"NO HAY REFERENCIA")</f>
        <v>4 a 5 días</v>
      </c>
      <c r="CQ28" s="4">
        <f>_xlfn.XLOOKUP($B$2,'BASE DE EXCEL'!$C:$C,'BASE DE EXCEL'!K:K,"NO HAY REFERENCIA")</f>
        <v>46087</v>
      </c>
      <c r="CR28" s="3">
        <f>_xlfn.XLOOKUP($B$2,'BASE DE EXCEL'!$C:$C,'BASE DE EXCEL'!L:L,"NO HAY REFERENCIA")</f>
        <v>5</v>
      </c>
      <c r="CS28" s="3">
        <f>_xlfn.XLOOKUP($B$2,'BASE DE EXCEL'!$C:$C,'BASE DE EXCEL'!M:M,"NO HAY REFERENCIA")</f>
        <v>6</v>
      </c>
      <c r="CT28" s="3" t="str">
        <f>_xlfn.XLOOKUP($B$2,'BASE DE EXCEL'!$C:$C,'BASE DE EXCEL'!N:N,"NO HAY REFERENCIA")</f>
        <v>6 a 10 días</v>
      </c>
      <c r="CU28" s="3" t="str">
        <f>_xlfn.XLOOKUP($B$2,'BASE DE EXCEL'!$C:$C,'BASE DE EXCEL'!O:O,"NO HAY REFERENCIA")</f>
        <v>On Time</v>
      </c>
      <c r="CV28" s="3" t="str">
        <f>_xlfn.XLOOKUP(B28,'BASE DE EXCEL'!$C:$C,'BASE DE EXCEL'!P:P,"NO HAY REFERENCIA")</f>
        <v>4 a 5 días</v>
      </c>
      <c r="CW28" s="4">
        <f>_xlfn.XLOOKUP(B28,'BASE DE EXCEL'!$C:$C,'BASE DE EXCEL'!Q:Q,"NO HAY REFERENCIA")</f>
        <v>46049</v>
      </c>
      <c r="CX28" s="3">
        <f>_xlfn.XLOOKUP(B28,'BASE DE EXCEL'!$C:$C,'BASE DE EXCEL'!R:R,"NO HAY REFERENCIA")</f>
        <v>5</v>
      </c>
      <c r="CY28" s="3" t="str">
        <f>_xlfn.XLOOKUP(B28,'BASE DE EXCEL'!$C:$C,'BASE DE EXCEL'!S:S,"NO HAY REFERENCIA")</f>
        <v>4 a 5 días</v>
      </c>
      <c r="CZ28" s="3" t="str">
        <f>_xlfn.XLOOKUP(B28,'BASE DE EXCEL'!$C:$C,'BASE DE EXCEL'!T:T,"NO HAY REFERENCIA")</f>
        <v>On Time</v>
      </c>
      <c r="DA28" s="3">
        <f>_xlfn.XLOOKUP(B28,'BASE DE EXCEL'!$C:$C,'BASE DE EXCEL'!U:U,"NO HAY REFERENCIA")</f>
        <v>6</v>
      </c>
      <c r="DB28" s="3" t="str">
        <f>_xlfn.XLOOKUP(B28,'BASE DE EXCEL'!$C:$C,'BASE DE EXCEL'!V:V,"NO HAY REFERENCIA")</f>
        <v>4 a 5 días</v>
      </c>
      <c r="DC28" s="3">
        <f>_xlfn.XLOOKUP(B28,'BASE DE EXCEL'!$C:$C,'BASE DE EXCEL'!W:W,"NO HAY REFERENCIA")</f>
        <v>7</v>
      </c>
      <c r="DD28" s="3" t="str">
        <f>_xlfn.XLOOKUP(B28,'BASE DE EXCEL'!$C:$C,'BASE DE EXCEL'!X:X,"NO HAY REFERENCIA")</f>
        <v>6 a 10 días</v>
      </c>
      <c r="DE28" s="3">
        <f>_xlfn.XLOOKUP(B28,'BASE DE EXCEL'!$C:$C,'BASE DE EXCEL'!Y:Y,"NO HAY REFERENCIA")</f>
        <v>1</v>
      </c>
      <c r="DF28" s="3" t="str">
        <f>_xlfn.XLOOKUP(B28,'BASE DE EXCEL'!$C:$C,'BASE DE EXCEL'!Z:Z,"NO HAY REFERENCIA")</f>
        <v>1 día o menos</v>
      </c>
      <c r="DG28" s="3">
        <f>_xlfn.XLOOKUP(B28,'BASE DE EXCEL'!$C:$C,'BASE DE EXCEL'!AA:AA,"NO HAY REFERENCIA")</f>
        <v>2</v>
      </c>
      <c r="DH28" s="3">
        <f>_xlfn.XLOOKUP(B28,'BASE DE EXCEL'!$C:$C,'BASE DE EXCEL'!AB:AB,"NO HAY REFERENCIA")</f>
        <v>1</v>
      </c>
      <c r="DI28" s="3" t="str">
        <f>_xlfn.XLOOKUP(B28,'BASE DE EXCEL'!$C:$C,'BASE DE EXCEL'!AC:AC,"NO HAY REFERENCIA")</f>
        <v>1 día o menos</v>
      </c>
      <c r="DJ28" s="4">
        <f>_xlfn.XLOOKUP(B28,'BASE DE EXCEL'!$C:$C,'BASE DE EXCEL'!AD:AD,"NO HAY REFERENCIA")</f>
        <v>46052</v>
      </c>
      <c r="DK28" s="3">
        <f>_xlfn.XLOOKUP(B28,'BASE DE EXCEL'!$C:$C,'BASE DE EXCEL'!AE:AE,"NO HAY REFERENCIA")</f>
        <v>3</v>
      </c>
      <c r="DL28" s="3">
        <f>_xlfn.XLOOKUP(B28,'BASE DE EXCEL'!$C:$C,'BASE DE EXCEL'!AF:AF,"NO HAY REFERENCIA")</f>
        <v>3</v>
      </c>
      <c r="DM28" s="4">
        <f>_xlfn.XLOOKUP(B28,'BASE DE EXCEL'!$C:$C,'BASE DE EXCEL'!AG:AG,"NO HAY REFERENCIA")</f>
        <v>46052</v>
      </c>
      <c r="DN28" s="4">
        <f>_xlfn.XLOOKUP(B28,'BASE DE EXCEL'!$C:$C,'BASE DE EXCEL'!AH:AH,"NO HAY REFERENCIA")</f>
        <v>46052</v>
      </c>
      <c r="DO28" s="3">
        <f>_xlfn.XLOOKUP(B28,'BASE DE EXCEL'!$C:$C,'BASE DE EXCEL'!AI:AI,"NO HAY REFERENCIA")</f>
        <v>0</v>
      </c>
      <c r="DP28" s="4" t="str">
        <f>_xlfn.XLOOKUP(B28,'BASE DE EXCEL'!$C:$C,'BASE DE EXCEL'!AJ:AJ,"NO HAY REFERENCIA")</f>
        <v>2 a 3 días</v>
      </c>
      <c r="DQ28" s="4">
        <f>_xlfn.XLOOKUP(B28,'BASE DE EXCEL'!$C:$C,'BASE DE EXCEL'!AK:AK,"NO HAY REFERENCIA")</f>
        <v>46052</v>
      </c>
      <c r="DR28" s="3">
        <f>_xlfn.XLOOKUP(B28,'BASE DE EXCEL'!$C:$C,'BASE DE EXCEL'!AL:AL,"NO HAY REFERENCIA")</f>
        <v>4</v>
      </c>
      <c r="DS28" s="3" t="str">
        <f>_xlfn.XLOOKUP(B28,'BASE DE EXCEL'!$C:$C,'BASE DE EXCEL'!AM:AM,"NO HAY REFERENCIA")</f>
        <v>4 a 5 días</v>
      </c>
      <c r="DT28" s="3" t="str">
        <f>_xlfn.XLOOKUP(B28,'BASE DE EXCEL'!$C:$C,'BASE DE EXCEL'!AN:AN,"NO HAY REFERENCIA")</f>
        <v>On Time</v>
      </c>
      <c r="DU28" s="3">
        <f>_xlfn.XLOOKUP(B28,'BASE DE EXCEL'!$C:$C,'BASE DE EXCEL'!AO:AO,"NO HAY REFERENCIA")</f>
        <v>1</v>
      </c>
      <c r="DV28" s="3" t="str">
        <f>_xlfn.XLOOKUP(B28,'BASE DE EXCEL'!$C:$C,'BASE DE EXCEL'!AP:AP,"NO HAY REFERENCIA")</f>
        <v>Es anterior</v>
      </c>
      <c r="DW28" s="3" t="str">
        <f>_xlfn.XLOOKUP(B28,'BASE DE EXCEL'!$C:$C,'BASE DE EXCEL'!AQ:AQ,"NO HAY REFERENCIA")</f>
        <v>A1</v>
      </c>
      <c r="DX28" s="3" t="str">
        <f>_xlfn.XLOOKUP(B28,'BASE DE EXCEL'!$C:$C,'BASE DE EXCEL'!AR:AR,"NO HAY REFERENCIA")</f>
        <v>ZULEIMA PEREZ RUIZ</v>
      </c>
      <c r="DY28" s="3" t="str">
        <f>_xlfn.XLOOKUP(B28,'BASE DE EXCEL'!$C:$C,'BASE DE EXCEL'!AS:AS,"NO HAY REFERENCIA")</f>
        <v>HLCURTM251230364</v>
      </c>
      <c r="DZ28" s="3" t="str">
        <f>_xlfn.XLOOKUP(B28,'BASE DE EXCEL'!$C:$C,'BASE DE EXCEL'!AT:AT,"NO HAY REFERENCIA")</f>
        <v>NULL</v>
      </c>
      <c r="EA28" s="3">
        <f>_xlfn.XLOOKUP(B28,'BASE DE EXCEL'!$C:$C,'BASE DE EXCEL'!AU:AU,"NO HAY REFERENCIA")</f>
        <v>6000096</v>
      </c>
      <c r="EB28" s="3" t="str">
        <f>_xlfn.XLOOKUP(B28,'BASE DE EXCEL'!$C:$C,'BASE DE EXCEL'!AV:AV,"NO HAY REFERENCIA")</f>
        <v>Importación</v>
      </c>
      <c r="EC28" s="3" t="str">
        <f>_xlfn.XLOOKUP(B28,'BASE DE EXCEL'!$C:$C,'BASE DE EXCEL'!AW:AW,"NO HAY REFERENCIA")</f>
        <v>NOBILIS IB MA5 (VACUNA DE USO VETERINARIO)</v>
      </c>
      <c r="ED28" s="3" t="str">
        <f>_xlfn.XLOOKUP(B28,'BASE DE EXCEL'!$C:$C,'BASE DE EXCEL'!AX:AX,"NO HAY REFERENCIA")</f>
        <v>SIN CLASIFICACION</v>
      </c>
      <c r="EE28" s="3">
        <f>_xlfn.XLOOKUP(B28,'BASE DE EXCEL'!$C:$C,'BASE DE EXCEL'!AY:AY,"NO HAY REFERENCIA")</f>
        <v>0</v>
      </c>
      <c r="EF28" s="3" t="str">
        <f>_xlfn.XLOOKUP(B28,'BASE DE EXCEL'!$C:$C,'BASE DE EXCEL'!AZ:AZ,"NO HAY REFERENCIA")</f>
        <v>Cargas de Importación</v>
      </c>
      <c r="EG28" s="3" t="str">
        <f>_xlfn.XLOOKUP(B28,'BASE DE EXCEL'!$C:$C,'BASE DE EXCEL'!BA:BA,"NO HAY REFERENCIA")</f>
        <v>INTERVET MEXICO SA DE CV</v>
      </c>
      <c r="EH28" s="3">
        <f>_xlfn.XLOOKUP(B28,'BASE DE EXCEL'!$C:$C,'BASE DE EXCEL'!BB:BB,"NO HAY REFERENCIA")</f>
        <v>0</v>
      </c>
      <c r="EI28" s="3" t="str">
        <f>_xlfn.XLOOKUP(B28,'BASE DE EXCEL'!$C:$C,'BASE DE EXCEL'!BC:BC,"NO HAY REFERENCIA")</f>
        <v>NINGUNO</v>
      </c>
      <c r="EJ28" s="3">
        <f>_xlfn.XLOOKUP(B28,'BASE DE EXCEL'!$C:$C,'BASE DE EXCEL'!BD:BD,"NO HAY REFERENCIA")</f>
        <v>0</v>
      </c>
      <c r="EK28" s="3" t="str">
        <f>_xlfn.XLOOKUP(B28,'BASE DE EXCEL'!$C:$C,'BASE DE EXCEL'!BE:BE,"NO HAY REFERENCIA")</f>
        <v>NINGUNO</v>
      </c>
      <c r="EL28" s="3" t="str">
        <f>_xlfn.XLOOKUP(B28,'BASE DE EXCEL'!$C:$C,'BASE DE EXCEL'!BF:BF,"NO HAY REFERENCIA")</f>
        <v>PRODUCTO TERMINADO</v>
      </c>
      <c r="EM28" s="3" t="str">
        <f>_xlfn.XLOOKUP(B28,'BASE DE EXCEL'!$C:$C,'BASE DE EXCEL'!BG:BG,"NO HAY REFERENCIA")</f>
        <v>Verde</v>
      </c>
      <c r="EN28" s="3" t="str">
        <f>_xlfn.XLOOKUP(B28,'BASE DE EXCEL'!$C:$C,'BASE DE EXCEL'!BH:BH,"NO HAY REFERENCIA")</f>
        <v xml:space="preserve"> SUPER EXPRESS DE CARGA FEDERAL S.A. DE C.V.</v>
      </c>
      <c r="EO28" s="3">
        <f>_xlfn.XLOOKUP(B28,'BASE DE EXCEL'!$C:$C,'BASE DE EXCEL'!BI:BI,"NO HAY REFERENCIA")</f>
        <v>0</v>
      </c>
      <c r="EP28" s="3" t="str">
        <f>_xlfn.XLOOKUP(B28,'BASE DE EXCEL'!$C:$C,'BASE DE EXCEL'!BJ:BJ,"NO HAY REFERENCIA")</f>
        <v>IME-T003</v>
      </c>
      <c r="EQ28" s="3" t="str">
        <f>_xlfn.XLOOKUP(B28,'BASE DE EXCEL'!$C:$C,'BASE DE EXCEL'!BK:BK,"NO HAY REFERENCIA")</f>
        <v>IME850329RH2</v>
      </c>
      <c r="ER28" s="3">
        <f>_xlfn.XLOOKUP(B28,'BASE DE EXCEL'!$C:$C,'BASE DE EXCEL'!BL:BL,"NO HAY REFERENCIA")</f>
        <v>0</v>
      </c>
      <c r="ES28" s="3" t="str">
        <f>_xlfn.XLOOKUP(B28,'BASE DE EXCEL'!$C:$C,'BASE DE EXCEL'!BM:BM,"NO HAY REFERENCIA")</f>
        <v>00,99</v>
      </c>
      <c r="ET28" s="3" t="str">
        <f>_xlfn.XLOOKUP(B28,'BASE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28" s="3">
        <f>_xlfn.XLOOKUP(B28,'BASE DE EXCEL'!$C:$C,'BASE DE EXCEL'!BO:BO,"NO HAY REFERENCIA")</f>
        <v>90</v>
      </c>
      <c r="EV28" s="3" t="str">
        <f>_xlfn.XLOOKUP(B28,'BASE DE EXCEL'!$C:$C,'BASE DE EXCEL'!BP:BP,"NO HAY REFERENCIA")</f>
        <v xml:space="preserve"> 167500.95, 3481449.92, 1040102.50, 9912953.44, 7554117.00</v>
      </c>
      <c r="EW28" s="3" t="str">
        <f>_xlfn.XLOOKUP(B28,'BASE DE EXCEL'!$C:$C,'BASE DE EXCEL'!BQ:BQ,"NO HAY REFERENCIA")</f>
        <v>KILO,KILO,KILO,KILO,KILO,KILO,KILO,KILO,KILO,KILO,KILO,KILO,KILO</v>
      </c>
      <c r="EX28" s="3">
        <f>_xlfn.XLOOKUP(B28,'BASE DE EXCEL'!$C:$C,'BASE DE EXCEL'!BR:BR,"NO HAY REFERENCIA")</f>
        <v>0</v>
      </c>
      <c r="EY28" s="3" t="str">
        <f>_xlfn.XLOOKUP(B28,'BASE DE EXCEL'!$C:$C,'BASE DE EXCEL'!BS:BS,"NO HAY REFERENCIA")</f>
        <v>PAISES BAJOS (REINO DE LOS) (HOLANDA)</v>
      </c>
      <c r="EZ28" s="3" t="str">
        <f>_xlfn.XLOOKUP(B28,'BASE DE EXCEL'!$C:$C,'BASE DE EXCEL'!BT:BT,"NO HAY REFERENCIA")</f>
        <v>PAISES BAJOS (REINO DE LOS) (HOLANDA)</v>
      </c>
      <c r="FA28" s="3" t="str">
        <f>_xlfn.XLOOKUP(B28,'BASE DE EXCEL'!$C:$C,'BASE DE EXCEL'!BU:BU,"NO HAY REFERENCIA")</f>
        <v>ZYA</v>
      </c>
      <c r="FB28" s="3" t="str">
        <f>_xlfn.XLOOKUP(B28,'BASE DE EXCEL'!$C:$C,'BASE DE EXCEL'!BV:BV,"NO HAY REFERENCIA")</f>
        <v>ZYA</v>
      </c>
      <c r="FC28" s="3">
        <f>_xlfn.XLOOKUP(B28,QUERY!$C:$C,QUERY!D:D)</f>
        <v>430</v>
      </c>
      <c r="FD28" s="4">
        <f>_xlfn.XLOOKUP(B28,QUERY!$C:$C,QUERY!E:E)</f>
        <v>46045</v>
      </c>
      <c r="FE28" s="3">
        <f>_xlfn.XLOOKUP(B28,QUERY!$C:$C,QUERY!F:F)</f>
        <v>1</v>
      </c>
      <c r="FF28" s="4">
        <f>_xlfn.XLOOKUP(B28,QUERY!$C:$C,QUERY!G:G)</f>
        <v>46043</v>
      </c>
      <c r="FG28" s="4">
        <f>_xlfn.XLOOKUP(B28,QUERY!$C:$C,QUERY!H:H)</f>
        <v>46045</v>
      </c>
      <c r="FH28" s="3">
        <f>_xlfn.XLOOKUP(B28,QUERY!$C:$C,QUERY!I:I)</f>
        <v>2</v>
      </c>
      <c r="FI28" s="3" t="str">
        <f>_xlfn.XLOOKUP(B28,QUERY!$C:$C,QUERY!J:J)</f>
        <v>2 a 3 días</v>
      </c>
      <c r="FJ28" s="4">
        <f>_xlfn.XLOOKUP(B28,QUERY!$C:$C,QUERY!K:K)</f>
        <v>46048</v>
      </c>
      <c r="FK28" s="3">
        <f>_xlfn.XLOOKUP(B28,QUERY!$C:$C,QUERY!L:L)</f>
        <v>3</v>
      </c>
      <c r="FL28" s="3" t="str">
        <f>_xlfn.XLOOKUP(B28,QUERY!$C:$C,QUERY!M:M)</f>
        <v>2 a 3 días</v>
      </c>
      <c r="FM28" s="3">
        <f>_xlfn.XLOOKUP(B28,QUERY!$C:$C,QUERY!N:N)</f>
        <v>1</v>
      </c>
      <c r="FN28" s="3" t="str">
        <f>_xlfn.XLOOKUP(B28,QUERY!$C:$C,QUERY!O:O)</f>
        <v>1 día o menos</v>
      </c>
      <c r="FO28" s="3">
        <f>_xlfn.XLOOKUP(B28,QUERY!$C:$C,QUERY!P:P)</f>
        <v>1</v>
      </c>
      <c r="FP28" s="3">
        <f>_xlfn.XLOOKUP(B28,QUERY!$C:$C,QUERY!Q:Q)</f>
        <v>1</v>
      </c>
      <c r="FQ28" s="3" t="str">
        <f>_xlfn.XLOOKUP(B28,QUERY!$C:$C,QUERY!R:R)</f>
        <v>1 día o menos</v>
      </c>
      <c r="FR28" s="4">
        <f>_xlfn.XLOOKUP(B28,QUERY!$C:$C,QUERY!S:S)</f>
        <v>46049</v>
      </c>
      <c r="FS28" s="3">
        <f>_xlfn.XLOOKUP(B28,QUERY!$C:$C,QUERY!T:T)</f>
        <v>4</v>
      </c>
      <c r="FT28" s="3" t="str">
        <f>_xlfn.XLOOKUP(B28,QUERY!$C:$C,QUERY!U:U)</f>
        <v>4 a 5 días</v>
      </c>
      <c r="FU28" s="3">
        <f>_xlfn.XLOOKUP(B28,QUERY!$C:$C,QUERY!V:V)</f>
        <v>7</v>
      </c>
      <c r="FV28" s="3" t="str">
        <f>_xlfn.XLOOKUP(B28,QUERY!$C:$C,QUERY!W:W)</f>
        <v>6 a 10 días</v>
      </c>
      <c r="FW28" s="4">
        <f>_xlfn.XLOOKUP(B28,QUERY!$C:$C,QUERY!X:X)</f>
        <v>46052</v>
      </c>
      <c r="FX28" s="3">
        <f>_xlfn.XLOOKUP(B28,QUERY!$C:$C,QUERY!Y:Y)</f>
        <v>3</v>
      </c>
      <c r="FY28" s="3">
        <f>_xlfn.XLOOKUP(B28,QUERY!$C:$C,QUERY!Z:Z)</f>
        <v>3</v>
      </c>
      <c r="FZ28" s="4" t="str">
        <f>_xlfn.XLOOKUP(B28,QUERY!$C:$C,QUERY!AA:AA)</f>
        <v>2 a 3 días</v>
      </c>
      <c r="GA28" s="4">
        <f>_xlfn.XLOOKUP(B28,QUERY!$C:$C,QUERY!AB:AB)</f>
        <v>46052</v>
      </c>
      <c r="GB28" s="4">
        <f>_xlfn.XLOOKUP(B28,QUERY!$C:$C,QUERY!AC:AC)</f>
        <v>46052</v>
      </c>
      <c r="GC28" s="3">
        <f>_xlfn.XLOOKUP(B28,QUERY!$C:$C,QUERY!AD:AD)</f>
        <v>0</v>
      </c>
      <c r="GD28" s="4">
        <f>_xlfn.XLOOKUP(B28,QUERY!$C:$C,QUERY!AE:AE)</f>
        <v>46052</v>
      </c>
      <c r="GE28" s="3">
        <f>_xlfn.XLOOKUP(B28,QUERY!$C:$C,QUERY!AF:AF)</f>
        <v>1</v>
      </c>
      <c r="GF28" s="4" t="str">
        <f>_xlfn.XLOOKUP(B28,QUERY!$C:$C,QUERY!AG:AG)</f>
        <v>Es anterior</v>
      </c>
      <c r="GG28" s="3" t="str">
        <f>_xlfn.XLOOKUP(B28,QUERY!$C:$C,QUERY!AH:AH)</f>
        <v>A1</v>
      </c>
      <c r="GH28" s="3" t="str">
        <f>_xlfn.XLOOKUP(B28,QUERY!$C:$C,QUERY!AI:AI)</f>
        <v>ZULEIMA PEREZ RUIZ</v>
      </c>
      <c r="GI28" s="3" t="str">
        <f>_xlfn.XLOOKUP(B28,QUERY!$C:$C,QUERY!AJ:AJ)</f>
        <v>HLCURTM251230364</v>
      </c>
      <c r="GJ28" s="3" t="str">
        <f>_xlfn.XLOOKUP(B28,QUERY!$C:$C,QUERY!AK:AK)</f>
        <v>NULL</v>
      </c>
      <c r="GK28" s="3">
        <f>_xlfn.XLOOKUP(B28,QUERY!$C:$C,QUERY!AL:AL)</f>
        <v>6000096</v>
      </c>
      <c r="GL28" s="3" t="str">
        <f>_xlfn.XLOOKUP(B28,QUERY!$C:$C,QUERY!AM:AM)</f>
        <v>Importación</v>
      </c>
      <c r="GM28" s="3" t="str">
        <f>_xlfn.XLOOKUP(B28,QUERY!$C:$C,QUERY!AN:AN)</f>
        <v>NOBILIS IB MA5 (VACUNA DE USO VETERINARIO)</v>
      </c>
      <c r="GN28" s="3" t="str">
        <f>_xlfn.XLOOKUP(B28,QUERY!$C:$C,QUERY!AO:AO)</f>
        <v>SIN CLASIFICACION</v>
      </c>
      <c r="GO28" s="3">
        <f>_xlfn.XLOOKUP(B28,QUERY!$C:$C,QUERY!AP:AP)</f>
        <v>0</v>
      </c>
      <c r="GP28" s="3" t="str">
        <f>_xlfn.XLOOKUP(B28,QUERY!$C:$C,QUERY!AQ:AQ)</f>
        <v>Cargas de Importación</v>
      </c>
      <c r="GQ28" s="3" t="str">
        <f>_xlfn.XLOOKUP(B28,QUERY!$C:$C,QUERY!AR:AR)</f>
        <v>INTERVET MEXICO SA DE CV</v>
      </c>
      <c r="GR28" s="3">
        <f>_xlfn.XLOOKUP(B28,QUERY!$C:$C,QUERY!AS:AS)</f>
        <v>0</v>
      </c>
      <c r="GS28" s="3" t="str">
        <f>_xlfn.XLOOKUP(B28,QUERY!$C:$C,QUERY!AT:AT)</f>
        <v>NINGUNO</v>
      </c>
      <c r="GT28" s="3">
        <f>_xlfn.XLOOKUP(B28,QUERY!$C:$C,QUERY!AU:AU)</f>
        <v>0</v>
      </c>
      <c r="GU28" s="3" t="str">
        <f>_xlfn.XLOOKUP(B28,QUERY!$C:$C,QUERY!AV:AV)</f>
        <v>NINGUNO</v>
      </c>
      <c r="GV28" s="3" t="str">
        <f>_xlfn.XLOOKUP(B28,QUERY!$C:$C,QUERY!AW:AW)</f>
        <v>PRODUCTO TERMINADO</v>
      </c>
      <c r="GW28" s="3" t="str">
        <f>_xlfn.XLOOKUP(B28,QUERY!$C:$C,QUERY!AX:AX)</f>
        <v>Verde</v>
      </c>
      <c r="GX28" s="3" t="str">
        <f>_xlfn.XLOOKUP(B28,QUERY!$C:$C,QUERY!AY:AY)</f>
        <v xml:space="preserve"> SUPER EXPRESS DE CARGA FEDERAL S.A. DE C.V.</v>
      </c>
      <c r="GY28" s="3">
        <f>_xlfn.XLOOKUP(B28,QUERY!$C:$C,QUERY!AZ:AZ)</f>
        <v>0</v>
      </c>
      <c r="GZ28" s="3" t="str">
        <f>_xlfn.XLOOKUP(B28,QUERY!$C:$C,QUERY!BA:BA)</f>
        <v>IME-T003</v>
      </c>
      <c r="HA28" s="3" t="str">
        <f>_xlfn.XLOOKUP(B28,QUERY!$C:$C,QUERY!BB:BB)</f>
        <v>IME850329RH2</v>
      </c>
      <c r="HB28" s="3">
        <f>_xlfn.XLOOKUP(B28,QUERY!$C:$C,QUERY!BC:BC)</f>
        <v>0</v>
      </c>
      <c r="HC28" s="3">
        <f>_xlfn.XLOOKUP(B28,QUERY!$C:$C,QUERY!BD:BD)</f>
        <v>0.99</v>
      </c>
      <c r="HD28" s="3" t="str">
        <f>_xlfn.XLOOKUP(B28,QUERY!$C:$C,QUERY!BE:BE)</f>
        <v>LOTE: SA536AA38,LOTE: J654A01,LOTE: A449A02,LOTE: 2408467J03,LOTE: A372B02,LOTE: A179B01,LOTE: A264A02,LOTE: A218A01,LOTE: A197A01,LOTE: B277A01,LOTE: B274A01,LOTE: A414A01,LOTES: A462A03, A463A01</v>
      </c>
      <c r="HE28" s="3">
        <f>_xlfn.XLOOKUP(B28,QUERY!$C:$C,QUERY!BF:BF)</f>
        <v>90</v>
      </c>
      <c r="HF28" s="3" t="str">
        <f>_xlfn.XLOOKUP(B28,QUERY!$C:$C,QUERY!BG:BG)</f>
        <v xml:space="preserve"> 167500.95, 3481449.92, 1040102.50, 9912953.44, 7554117.00</v>
      </c>
      <c r="HG28" s="3" t="str">
        <f>_xlfn.XLOOKUP(B28,QUERY!$C:$C,QUERY!BH:BH)</f>
        <v>KILO,KILO,KILO,KILO,KILO,KILO,KILO,KILO,KILO,KILO,KILO,KILO,KILO</v>
      </c>
      <c r="HH28" s="3">
        <f>_xlfn.XLOOKUP(B28,QUERY!$C:$C,QUERY!BI:BI)</f>
        <v>0</v>
      </c>
      <c r="HI28" s="3" t="str">
        <f>_xlfn.XLOOKUP(B28,QUERY!$C:$C,QUERY!BJ:BJ)</f>
        <v>PAISES BAJOS (REINO DE LOS) (HOLANDA)</v>
      </c>
      <c r="HJ28" s="3" t="str">
        <f>_xlfn.XLOOKUP(B28,QUERY!$C:$C,QUERY!BK:BK)</f>
        <v>PAISES BAJOS (REINO DE LOS) (HOLANDA)</v>
      </c>
      <c r="HK28" s="3" t="str">
        <f>_xlfn.XLOOKUP(B28,QUERY!$C:$C,QUERY!BL:BL)</f>
        <v>ZYA</v>
      </c>
      <c r="HL28" s="3" t="str">
        <f>_xlfn.XLOOKUP(B28,QUERY!$C:$C,QUERY!BM:BM)</f>
        <v>ZYA</v>
      </c>
      <c r="HM28" s="3">
        <f>_xlfn.XLOOKUP(B28,QUERY!$C:$C,QUERY!BN:BN)</f>
        <v>22156123</v>
      </c>
      <c r="HN28" s="3" t="str">
        <f>_xlfn.XLOOKUP(B28,QUERY!$C:$C,QUERY!BO:BO)</f>
        <v>462.00</v>
      </c>
      <c r="HO28" s="3" t="str">
        <f>_xlfn.XLOOKUP(B28,QUERY!$C:$C,QUERY!BP:BP)</f>
        <v>NULL</v>
      </c>
      <c r="HP28" s="3" t="str">
        <f>_xlfn.XLOOKUP(B28,QUERY!$C:$C,QUERY!BQ:BQ)</f>
        <v>NULL</v>
      </c>
      <c r="HQ28" s="3" t="str">
        <f>_xlfn.XLOOKUP(B28,QUERY!$C:$C,QUERY!BR:BR)</f>
        <v>350419.46</v>
      </c>
      <c r="HR28" s="3">
        <f>_xlfn.XLOOKUP(B28,QUERY!$C:$C,QUERY!BS:BS)</f>
        <v>0</v>
      </c>
      <c r="HS28" s="3">
        <f>_xlfn.XLOOKUP(B28,QUERY!$C:$C,QUERY!BT:BT)</f>
        <v>0</v>
      </c>
      <c r="HT28" s="3" t="str">
        <f>_xlfn.XLOOKUP(B28,QUERY!$C:$C,QUERY!A:A)</f>
        <v>VERACRUZ</v>
      </c>
      <c r="HU28" s="3" t="str">
        <f>_xlfn.XLOOKUP(B28,QUERY!$C:$C,QUERY!B:B)</f>
        <v>MARÍTIMO VERACRUZ</v>
      </c>
    </row>
    <row r="29" spans="1:229" x14ac:dyDescent="0.25">
      <c r="A29" s="3" t="s">
        <v>90</v>
      </c>
      <c r="B29" s="9" t="s">
        <v>141</v>
      </c>
      <c r="C29" s="3">
        <v>3942</v>
      </c>
      <c r="D29" s="3">
        <v>6000096</v>
      </c>
      <c r="E29" s="3"/>
      <c r="F29" s="3" t="s">
        <v>92</v>
      </c>
      <c r="G29" s="3" t="s">
        <v>93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430</v>
      </c>
      <c r="S29" s="3" t="s">
        <v>142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158</v>
      </c>
      <c r="AB29" s="3"/>
      <c r="AC29" s="3">
        <v>3863217</v>
      </c>
      <c r="AD29" s="3">
        <v>306.40998000000002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/>
      <c r="AP29" s="3" t="s">
        <v>98</v>
      </c>
      <c r="AQ29" s="3">
        <v>210361687</v>
      </c>
      <c r="AR29" s="3" t="s">
        <v>99</v>
      </c>
      <c r="AS29" s="3" t="s">
        <v>100</v>
      </c>
      <c r="AT29" s="3">
        <v>0</v>
      </c>
      <c r="AU29" s="3">
        <v>0</v>
      </c>
      <c r="AV29" s="3">
        <v>0</v>
      </c>
      <c r="AW29" s="3">
        <v>30024201</v>
      </c>
      <c r="AX29" s="3">
        <v>99</v>
      </c>
      <c r="AY29" s="3">
        <v>12608</v>
      </c>
      <c r="AZ29" s="3">
        <v>12608</v>
      </c>
      <c r="BA29" s="3" t="s">
        <v>103</v>
      </c>
      <c r="BB29" s="3"/>
      <c r="BC29" s="3" t="s">
        <v>105</v>
      </c>
      <c r="BD29" s="3" t="s">
        <v>105</v>
      </c>
      <c r="BE29" s="3"/>
      <c r="BF29" s="3"/>
      <c r="BG29" s="5"/>
      <c r="BH29" s="3"/>
      <c r="BI29" s="3"/>
      <c r="BJ29" s="3"/>
      <c r="BK29" s="3" t="s">
        <v>157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 t="s">
        <v>111</v>
      </c>
      <c r="CF29" s="3">
        <v>0</v>
      </c>
      <c r="CG29" s="3">
        <v>0</v>
      </c>
      <c r="CH29" s="3">
        <v>0</v>
      </c>
      <c r="CI29" s="3" t="s">
        <v>112</v>
      </c>
      <c r="CJ29" s="3" t="s">
        <v>112</v>
      </c>
      <c r="CK29" s="3">
        <f>_xlfn.XLOOKUP($B$2,'BASE DE EXCEL'!C:C,'BASE DE EXCEL'!D:D,"NO HAY REFERENCIA")</f>
        <v>470</v>
      </c>
      <c r="CL29" s="5">
        <f>_xlfn.XLOOKUP($B$2,'BASE DE EXCEL'!$C:$C,'BASE DE EXCEL'!F:F,"NO HAY REFERENCIA")</f>
        <v>3</v>
      </c>
      <c r="CM29" s="4">
        <f>_xlfn.XLOOKUP($B$2,'BASE DE EXCEL'!$C:$C,'BASE DE EXCEL'!G:G,"NO HAY REFERENCIA")</f>
        <v>46080</v>
      </c>
      <c r="CN29" s="4">
        <f>_xlfn.XLOOKUP($B$2,'BASE DE EXCEL'!$C:$C,'BASE DE EXCEL'!H:H,"NO HAY REFERENCIA")</f>
        <v>46086</v>
      </c>
      <c r="CO29" s="3">
        <f>_xlfn.XLOOKUP($B$2,'BASE DE EXCEL'!$C:$C,'BASE DE EXCEL'!I:I,"NO HAY REFERENCIA")</f>
        <v>4</v>
      </c>
      <c r="CP29" s="3" t="str">
        <f>_xlfn.XLOOKUP($B$2,'BASE DE EXCEL'!$C:$C,'BASE DE EXCEL'!J:J,"NO HAY REFERENCIA")</f>
        <v>4 a 5 días</v>
      </c>
      <c r="CQ29" s="4">
        <f>_xlfn.XLOOKUP($B$2,'BASE DE EXCEL'!$C:$C,'BASE DE EXCEL'!K:K,"NO HAY REFERENCIA")</f>
        <v>46087</v>
      </c>
      <c r="CR29" s="3">
        <f>_xlfn.XLOOKUP($B$2,'BASE DE EXCEL'!$C:$C,'BASE DE EXCEL'!L:L,"NO HAY REFERENCIA")</f>
        <v>5</v>
      </c>
      <c r="CS29" s="3">
        <f>_xlfn.XLOOKUP($B$2,'BASE DE EXCEL'!$C:$C,'BASE DE EXCEL'!M:M,"NO HAY REFERENCIA")</f>
        <v>6</v>
      </c>
      <c r="CT29" s="3" t="str">
        <f>_xlfn.XLOOKUP($B$2,'BASE DE EXCEL'!$C:$C,'BASE DE EXCEL'!N:N,"NO HAY REFERENCIA")</f>
        <v>6 a 10 días</v>
      </c>
      <c r="CU29" s="3" t="str">
        <f>_xlfn.XLOOKUP($B$2,'BASE DE EXCEL'!$C:$C,'BASE DE EXCEL'!O:O,"NO HAY REFERENCIA")</f>
        <v>On Time</v>
      </c>
      <c r="CV29" s="3" t="str">
        <f>_xlfn.XLOOKUP(B29,'BASE DE EXCEL'!$C:$C,'BASE DE EXCEL'!P:P,"NO HAY REFERENCIA")</f>
        <v>4 a 5 días</v>
      </c>
      <c r="CW29" s="4">
        <f>_xlfn.XLOOKUP(B29,'BASE DE EXCEL'!$C:$C,'BASE DE EXCEL'!Q:Q,"NO HAY REFERENCIA")</f>
        <v>46049</v>
      </c>
      <c r="CX29" s="3">
        <f>_xlfn.XLOOKUP(B29,'BASE DE EXCEL'!$C:$C,'BASE DE EXCEL'!R:R,"NO HAY REFERENCIA")</f>
        <v>5</v>
      </c>
      <c r="CY29" s="3" t="str">
        <f>_xlfn.XLOOKUP(B29,'BASE DE EXCEL'!$C:$C,'BASE DE EXCEL'!S:S,"NO HAY REFERENCIA")</f>
        <v>4 a 5 días</v>
      </c>
      <c r="CZ29" s="3" t="str">
        <f>_xlfn.XLOOKUP(B29,'BASE DE EXCEL'!$C:$C,'BASE DE EXCEL'!T:T,"NO HAY REFERENCIA")</f>
        <v>On Time</v>
      </c>
      <c r="DA29" s="3">
        <f>_xlfn.XLOOKUP(B29,'BASE DE EXCEL'!$C:$C,'BASE DE EXCEL'!U:U,"NO HAY REFERENCIA")</f>
        <v>6</v>
      </c>
      <c r="DB29" s="3" t="str">
        <f>_xlfn.XLOOKUP(B29,'BASE DE EXCEL'!$C:$C,'BASE DE EXCEL'!V:V,"NO HAY REFERENCIA")</f>
        <v>4 a 5 días</v>
      </c>
      <c r="DC29" s="3">
        <f>_xlfn.XLOOKUP(B29,'BASE DE EXCEL'!$C:$C,'BASE DE EXCEL'!W:W,"NO HAY REFERENCIA")</f>
        <v>7</v>
      </c>
      <c r="DD29" s="3" t="str">
        <f>_xlfn.XLOOKUP(B29,'BASE DE EXCEL'!$C:$C,'BASE DE EXCEL'!X:X,"NO HAY REFERENCIA")</f>
        <v>6 a 10 días</v>
      </c>
      <c r="DE29" s="3">
        <f>_xlfn.XLOOKUP(B29,'BASE DE EXCEL'!$C:$C,'BASE DE EXCEL'!Y:Y,"NO HAY REFERENCIA")</f>
        <v>1</v>
      </c>
      <c r="DF29" s="3" t="str">
        <f>_xlfn.XLOOKUP(B29,'BASE DE EXCEL'!$C:$C,'BASE DE EXCEL'!Z:Z,"NO HAY REFERENCIA")</f>
        <v>1 día o menos</v>
      </c>
      <c r="DG29" s="3">
        <f>_xlfn.XLOOKUP(B29,'BASE DE EXCEL'!$C:$C,'BASE DE EXCEL'!AA:AA,"NO HAY REFERENCIA")</f>
        <v>2</v>
      </c>
      <c r="DH29" s="3">
        <f>_xlfn.XLOOKUP(B29,'BASE DE EXCEL'!$C:$C,'BASE DE EXCEL'!AB:AB,"NO HAY REFERENCIA")</f>
        <v>1</v>
      </c>
      <c r="DI29" s="3" t="str">
        <f>_xlfn.XLOOKUP(B29,'BASE DE EXCEL'!$C:$C,'BASE DE EXCEL'!AC:AC,"NO HAY REFERENCIA")</f>
        <v>1 día o menos</v>
      </c>
      <c r="DJ29" s="4">
        <f>_xlfn.XLOOKUP(B29,'BASE DE EXCEL'!$C:$C,'BASE DE EXCEL'!AD:AD,"NO HAY REFERENCIA")</f>
        <v>46052</v>
      </c>
      <c r="DK29" s="3">
        <f>_xlfn.XLOOKUP(B29,'BASE DE EXCEL'!$C:$C,'BASE DE EXCEL'!AE:AE,"NO HAY REFERENCIA")</f>
        <v>3</v>
      </c>
      <c r="DL29" s="3">
        <f>_xlfn.XLOOKUP(B29,'BASE DE EXCEL'!$C:$C,'BASE DE EXCEL'!AF:AF,"NO HAY REFERENCIA")</f>
        <v>3</v>
      </c>
      <c r="DM29" s="4">
        <f>_xlfn.XLOOKUP(B29,'BASE DE EXCEL'!$C:$C,'BASE DE EXCEL'!AG:AG,"NO HAY REFERENCIA")</f>
        <v>46052</v>
      </c>
      <c r="DN29" s="4">
        <f>_xlfn.XLOOKUP(B29,'BASE DE EXCEL'!$C:$C,'BASE DE EXCEL'!AH:AH,"NO HAY REFERENCIA")</f>
        <v>46052</v>
      </c>
      <c r="DO29" s="3">
        <f>_xlfn.XLOOKUP(B29,'BASE DE EXCEL'!$C:$C,'BASE DE EXCEL'!AI:AI,"NO HAY REFERENCIA")</f>
        <v>0</v>
      </c>
      <c r="DP29" s="4" t="str">
        <f>_xlfn.XLOOKUP(B29,'BASE DE EXCEL'!$C:$C,'BASE DE EXCEL'!AJ:AJ,"NO HAY REFERENCIA")</f>
        <v>2 a 3 días</v>
      </c>
      <c r="DQ29" s="4">
        <f>_xlfn.XLOOKUP(B29,'BASE DE EXCEL'!$C:$C,'BASE DE EXCEL'!AK:AK,"NO HAY REFERENCIA")</f>
        <v>46052</v>
      </c>
      <c r="DR29" s="3">
        <f>_xlfn.XLOOKUP(B29,'BASE DE EXCEL'!$C:$C,'BASE DE EXCEL'!AL:AL,"NO HAY REFERENCIA")</f>
        <v>4</v>
      </c>
      <c r="DS29" s="3" t="str">
        <f>_xlfn.XLOOKUP(B29,'BASE DE EXCEL'!$C:$C,'BASE DE EXCEL'!AM:AM,"NO HAY REFERENCIA")</f>
        <v>4 a 5 días</v>
      </c>
      <c r="DT29" s="3" t="str">
        <f>_xlfn.XLOOKUP(B29,'BASE DE EXCEL'!$C:$C,'BASE DE EXCEL'!AN:AN,"NO HAY REFERENCIA")</f>
        <v>On Time</v>
      </c>
      <c r="DU29" s="3">
        <f>_xlfn.XLOOKUP(B29,'BASE DE EXCEL'!$C:$C,'BASE DE EXCEL'!AO:AO,"NO HAY REFERENCIA")</f>
        <v>1</v>
      </c>
      <c r="DV29" s="3" t="str">
        <f>_xlfn.XLOOKUP(B29,'BASE DE EXCEL'!$C:$C,'BASE DE EXCEL'!AP:AP,"NO HAY REFERENCIA")</f>
        <v>Es anterior</v>
      </c>
      <c r="DW29" s="3" t="str">
        <f>_xlfn.XLOOKUP(B29,'BASE DE EXCEL'!$C:$C,'BASE DE EXCEL'!AQ:AQ,"NO HAY REFERENCIA")</f>
        <v>A1</v>
      </c>
      <c r="DX29" s="3" t="str">
        <f>_xlfn.XLOOKUP(B29,'BASE DE EXCEL'!$C:$C,'BASE DE EXCEL'!AR:AR,"NO HAY REFERENCIA")</f>
        <v>ZULEIMA PEREZ RUIZ</v>
      </c>
      <c r="DY29" s="3" t="str">
        <f>_xlfn.XLOOKUP(B29,'BASE DE EXCEL'!$C:$C,'BASE DE EXCEL'!AS:AS,"NO HAY REFERENCIA")</f>
        <v>HLCURTM251230364</v>
      </c>
      <c r="DZ29" s="3" t="str">
        <f>_xlfn.XLOOKUP(B29,'BASE DE EXCEL'!$C:$C,'BASE DE EXCEL'!AT:AT,"NO HAY REFERENCIA")</f>
        <v>NULL</v>
      </c>
      <c r="EA29" s="3">
        <f>_xlfn.XLOOKUP(B29,'BASE DE EXCEL'!$C:$C,'BASE DE EXCEL'!AU:AU,"NO HAY REFERENCIA")</f>
        <v>6000096</v>
      </c>
      <c r="EB29" s="3" t="str">
        <f>_xlfn.XLOOKUP(B29,'BASE DE EXCEL'!$C:$C,'BASE DE EXCEL'!AV:AV,"NO HAY REFERENCIA")</f>
        <v>Importación</v>
      </c>
      <c r="EC29" s="3" t="str">
        <f>_xlfn.XLOOKUP(B29,'BASE DE EXCEL'!$C:$C,'BASE DE EXCEL'!AW:AW,"NO HAY REFERENCIA")</f>
        <v>NOBILIS IB MA5 (VACUNA DE USO VETERINARIO)</v>
      </c>
      <c r="ED29" s="3" t="str">
        <f>_xlfn.XLOOKUP(B29,'BASE DE EXCEL'!$C:$C,'BASE DE EXCEL'!AX:AX,"NO HAY REFERENCIA")</f>
        <v>SIN CLASIFICACION</v>
      </c>
      <c r="EE29" s="3">
        <f>_xlfn.XLOOKUP(B29,'BASE DE EXCEL'!$C:$C,'BASE DE EXCEL'!AY:AY,"NO HAY REFERENCIA")</f>
        <v>0</v>
      </c>
      <c r="EF29" s="3" t="str">
        <f>_xlfn.XLOOKUP(B29,'BASE DE EXCEL'!$C:$C,'BASE DE EXCEL'!AZ:AZ,"NO HAY REFERENCIA")</f>
        <v>Cargas de Importación</v>
      </c>
      <c r="EG29" s="3" t="str">
        <f>_xlfn.XLOOKUP(B29,'BASE DE EXCEL'!$C:$C,'BASE DE EXCEL'!BA:BA,"NO HAY REFERENCIA")</f>
        <v>INTERVET MEXICO SA DE CV</v>
      </c>
      <c r="EH29" s="3">
        <f>_xlfn.XLOOKUP(B29,'BASE DE EXCEL'!$C:$C,'BASE DE EXCEL'!BB:BB,"NO HAY REFERENCIA")</f>
        <v>0</v>
      </c>
      <c r="EI29" s="3" t="str">
        <f>_xlfn.XLOOKUP(B29,'BASE DE EXCEL'!$C:$C,'BASE DE EXCEL'!BC:BC,"NO HAY REFERENCIA")</f>
        <v>NINGUNO</v>
      </c>
      <c r="EJ29" s="3">
        <f>_xlfn.XLOOKUP(B29,'BASE DE EXCEL'!$C:$C,'BASE DE EXCEL'!BD:BD,"NO HAY REFERENCIA")</f>
        <v>0</v>
      </c>
      <c r="EK29" s="3" t="str">
        <f>_xlfn.XLOOKUP(B29,'BASE DE EXCEL'!$C:$C,'BASE DE EXCEL'!BE:BE,"NO HAY REFERENCIA")</f>
        <v>NINGUNO</v>
      </c>
      <c r="EL29" s="3" t="str">
        <f>_xlfn.XLOOKUP(B29,'BASE DE EXCEL'!$C:$C,'BASE DE EXCEL'!BF:BF,"NO HAY REFERENCIA")</f>
        <v>PRODUCTO TERMINADO</v>
      </c>
      <c r="EM29" s="3" t="str">
        <f>_xlfn.XLOOKUP(B29,'BASE DE EXCEL'!$C:$C,'BASE DE EXCEL'!BG:BG,"NO HAY REFERENCIA")</f>
        <v>Verde</v>
      </c>
      <c r="EN29" s="3" t="str">
        <f>_xlfn.XLOOKUP(B29,'BASE DE EXCEL'!$C:$C,'BASE DE EXCEL'!BH:BH,"NO HAY REFERENCIA")</f>
        <v xml:space="preserve"> SUPER EXPRESS DE CARGA FEDERAL S.A. DE C.V.</v>
      </c>
      <c r="EO29" s="3">
        <f>_xlfn.XLOOKUP(B29,'BASE DE EXCEL'!$C:$C,'BASE DE EXCEL'!BI:BI,"NO HAY REFERENCIA")</f>
        <v>0</v>
      </c>
      <c r="EP29" s="3" t="str">
        <f>_xlfn.XLOOKUP(B29,'BASE DE EXCEL'!$C:$C,'BASE DE EXCEL'!BJ:BJ,"NO HAY REFERENCIA")</f>
        <v>IME-T003</v>
      </c>
      <c r="EQ29" s="3" t="str">
        <f>_xlfn.XLOOKUP(B29,'BASE DE EXCEL'!$C:$C,'BASE DE EXCEL'!BK:BK,"NO HAY REFERENCIA")</f>
        <v>IME850329RH2</v>
      </c>
      <c r="ER29" s="3">
        <f>_xlfn.XLOOKUP(B29,'BASE DE EXCEL'!$C:$C,'BASE DE EXCEL'!BL:BL,"NO HAY REFERENCIA")</f>
        <v>0</v>
      </c>
      <c r="ES29" s="3" t="str">
        <f>_xlfn.XLOOKUP(B29,'BASE DE EXCEL'!$C:$C,'BASE DE EXCEL'!BM:BM,"NO HAY REFERENCIA")</f>
        <v>00,99</v>
      </c>
      <c r="ET29" s="3" t="str">
        <f>_xlfn.XLOOKUP(B29,'BASE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29" s="3">
        <f>_xlfn.XLOOKUP(B29,'BASE DE EXCEL'!$C:$C,'BASE DE EXCEL'!BO:BO,"NO HAY REFERENCIA")</f>
        <v>90</v>
      </c>
      <c r="EV29" s="3" t="str">
        <f>_xlfn.XLOOKUP(B29,'BASE DE EXCEL'!$C:$C,'BASE DE EXCEL'!BP:BP,"NO HAY REFERENCIA")</f>
        <v xml:space="preserve"> 167500.95, 3481449.92, 1040102.50, 9912953.44, 7554117.00</v>
      </c>
      <c r="EW29" s="3" t="str">
        <f>_xlfn.XLOOKUP(B29,'BASE DE EXCEL'!$C:$C,'BASE DE EXCEL'!BQ:BQ,"NO HAY REFERENCIA")</f>
        <v>KILO,KILO,KILO,KILO,KILO,KILO,KILO,KILO,KILO,KILO,KILO,KILO,KILO</v>
      </c>
      <c r="EX29" s="3">
        <f>_xlfn.XLOOKUP(B29,'BASE DE EXCEL'!$C:$C,'BASE DE EXCEL'!BR:BR,"NO HAY REFERENCIA")</f>
        <v>0</v>
      </c>
      <c r="EY29" s="3" t="str">
        <f>_xlfn.XLOOKUP(B29,'BASE DE EXCEL'!$C:$C,'BASE DE EXCEL'!BS:BS,"NO HAY REFERENCIA")</f>
        <v>PAISES BAJOS (REINO DE LOS) (HOLANDA)</v>
      </c>
      <c r="EZ29" s="3" t="str">
        <f>_xlfn.XLOOKUP(B29,'BASE DE EXCEL'!$C:$C,'BASE DE EXCEL'!BT:BT,"NO HAY REFERENCIA")</f>
        <v>PAISES BAJOS (REINO DE LOS) (HOLANDA)</v>
      </c>
      <c r="FA29" s="3" t="str">
        <f>_xlfn.XLOOKUP(B29,'BASE DE EXCEL'!$C:$C,'BASE DE EXCEL'!BU:BU,"NO HAY REFERENCIA")</f>
        <v>ZYA</v>
      </c>
      <c r="FB29" s="3" t="str">
        <f>_xlfn.XLOOKUP(B29,'BASE DE EXCEL'!$C:$C,'BASE DE EXCEL'!BV:BV,"NO HAY REFERENCIA")</f>
        <v>ZYA</v>
      </c>
      <c r="FC29" s="3">
        <f>_xlfn.XLOOKUP(B29,QUERY!$C:$C,QUERY!D:D)</f>
        <v>430</v>
      </c>
      <c r="FD29" s="4">
        <f>_xlfn.XLOOKUP(B29,QUERY!$C:$C,QUERY!E:E)</f>
        <v>46045</v>
      </c>
      <c r="FE29" s="3">
        <f>_xlfn.XLOOKUP(B29,QUERY!$C:$C,QUERY!F:F)</f>
        <v>1</v>
      </c>
      <c r="FF29" s="4">
        <f>_xlfn.XLOOKUP(B29,QUERY!$C:$C,QUERY!G:G)</f>
        <v>46043</v>
      </c>
      <c r="FG29" s="4">
        <f>_xlfn.XLOOKUP(B29,QUERY!$C:$C,QUERY!H:H)</f>
        <v>46045</v>
      </c>
      <c r="FH29" s="3">
        <f>_xlfn.XLOOKUP(B29,QUERY!$C:$C,QUERY!I:I)</f>
        <v>2</v>
      </c>
      <c r="FI29" s="3" t="str">
        <f>_xlfn.XLOOKUP(B29,QUERY!$C:$C,QUERY!J:J)</f>
        <v>2 a 3 días</v>
      </c>
      <c r="FJ29" s="4">
        <f>_xlfn.XLOOKUP(B29,QUERY!$C:$C,QUERY!K:K)</f>
        <v>46048</v>
      </c>
      <c r="FK29" s="3">
        <f>_xlfn.XLOOKUP(B29,QUERY!$C:$C,QUERY!L:L)</f>
        <v>3</v>
      </c>
      <c r="FL29" s="3" t="str">
        <f>_xlfn.XLOOKUP(B29,QUERY!$C:$C,QUERY!M:M)</f>
        <v>2 a 3 días</v>
      </c>
      <c r="FM29" s="3">
        <f>_xlfn.XLOOKUP(B29,QUERY!$C:$C,QUERY!N:N)</f>
        <v>1</v>
      </c>
      <c r="FN29" s="3" t="str">
        <f>_xlfn.XLOOKUP(B29,QUERY!$C:$C,QUERY!O:O)</f>
        <v>1 día o menos</v>
      </c>
      <c r="FO29" s="3">
        <f>_xlfn.XLOOKUP(B29,QUERY!$C:$C,QUERY!P:P)</f>
        <v>1</v>
      </c>
      <c r="FP29" s="3">
        <f>_xlfn.XLOOKUP(B29,QUERY!$C:$C,QUERY!Q:Q)</f>
        <v>1</v>
      </c>
      <c r="FQ29" s="3" t="str">
        <f>_xlfn.XLOOKUP(B29,QUERY!$C:$C,QUERY!R:R)</f>
        <v>1 día o menos</v>
      </c>
      <c r="FR29" s="4">
        <f>_xlfn.XLOOKUP(B29,QUERY!$C:$C,QUERY!S:S)</f>
        <v>46049</v>
      </c>
      <c r="FS29" s="3">
        <f>_xlfn.XLOOKUP(B29,QUERY!$C:$C,QUERY!T:T)</f>
        <v>4</v>
      </c>
      <c r="FT29" s="3" t="str">
        <f>_xlfn.XLOOKUP(B29,QUERY!$C:$C,QUERY!U:U)</f>
        <v>4 a 5 días</v>
      </c>
      <c r="FU29" s="3">
        <f>_xlfn.XLOOKUP(B29,QUERY!$C:$C,QUERY!V:V)</f>
        <v>7</v>
      </c>
      <c r="FV29" s="3" t="str">
        <f>_xlfn.XLOOKUP(B29,QUERY!$C:$C,QUERY!W:W)</f>
        <v>6 a 10 días</v>
      </c>
      <c r="FW29" s="4">
        <f>_xlfn.XLOOKUP(B29,QUERY!$C:$C,QUERY!X:X)</f>
        <v>46052</v>
      </c>
      <c r="FX29" s="3">
        <f>_xlfn.XLOOKUP(B29,QUERY!$C:$C,QUERY!Y:Y)</f>
        <v>3</v>
      </c>
      <c r="FY29" s="3">
        <f>_xlfn.XLOOKUP(B29,QUERY!$C:$C,QUERY!Z:Z)</f>
        <v>3</v>
      </c>
      <c r="FZ29" s="4" t="str">
        <f>_xlfn.XLOOKUP(B29,QUERY!$C:$C,QUERY!AA:AA)</f>
        <v>2 a 3 días</v>
      </c>
      <c r="GA29" s="4">
        <f>_xlfn.XLOOKUP(B29,QUERY!$C:$C,QUERY!AB:AB)</f>
        <v>46052</v>
      </c>
      <c r="GB29" s="4">
        <f>_xlfn.XLOOKUP(B29,QUERY!$C:$C,QUERY!AC:AC)</f>
        <v>46052</v>
      </c>
      <c r="GC29" s="3">
        <f>_xlfn.XLOOKUP(B29,QUERY!$C:$C,QUERY!AD:AD)</f>
        <v>0</v>
      </c>
      <c r="GD29" s="4">
        <f>_xlfn.XLOOKUP(B29,QUERY!$C:$C,QUERY!AE:AE)</f>
        <v>46052</v>
      </c>
      <c r="GE29" s="3">
        <f>_xlfn.XLOOKUP(B29,QUERY!$C:$C,QUERY!AF:AF)</f>
        <v>1</v>
      </c>
      <c r="GF29" s="4" t="str">
        <f>_xlfn.XLOOKUP(B29,QUERY!$C:$C,QUERY!AG:AG)</f>
        <v>Es anterior</v>
      </c>
      <c r="GG29" s="3" t="str">
        <f>_xlfn.XLOOKUP(B29,QUERY!$C:$C,QUERY!AH:AH)</f>
        <v>A1</v>
      </c>
      <c r="GH29" s="3" t="str">
        <f>_xlfn.XLOOKUP(B29,QUERY!$C:$C,QUERY!AI:AI)</f>
        <v>ZULEIMA PEREZ RUIZ</v>
      </c>
      <c r="GI29" s="3" t="str">
        <f>_xlfn.XLOOKUP(B29,QUERY!$C:$C,QUERY!AJ:AJ)</f>
        <v>HLCURTM251230364</v>
      </c>
      <c r="GJ29" s="3" t="str">
        <f>_xlfn.XLOOKUP(B29,QUERY!$C:$C,QUERY!AK:AK)</f>
        <v>NULL</v>
      </c>
      <c r="GK29" s="3">
        <f>_xlfn.XLOOKUP(B29,QUERY!$C:$C,QUERY!AL:AL)</f>
        <v>6000096</v>
      </c>
      <c r="GL29" s="3" t="str">
        <f>_xlfn.XLOOKUP(B29,QUERY!$C:$C,QUERY!AM:AM)</f>
        <v>Importación</v>
      </c>
      <c r="GM29" s="3" t="str">
        <f>_xlfn.XLOOKUP(B29,QUERY!$C:$C,QUERY!AN:AN)</f>
        <v>NOBILIS IB MA5 (VACUNA DE USO VETERINARIO)</v>
      </c>
      <c r="GN29" s="3" t="str">
        <f>_xlfn.XLOOKUP(B29,QUERY!$C:$C,QUERY!AO:AO)</f>
        <v>SIN CLASIFICACION</v>
      </c>
      <c r="GO29" s="3">
        <f>_xlfn.XLOOKUP(B29,QUERY!$C:$C,QUERY!AP:AP)</f>
        <v>0</v>
      </c>
      <c r="GP29" s="3" t="str">
        <f>_xlfn.XLOOKUP(B29,QUERY!$C:$C,QUERY!AQ:AQ)</f>
        <v>Cargas de Importación</v>
      </c>
      <c r="GQ29" s="3" t="str">
        <f>_xlfn.XLOOKUP(B29,QUERY!$C:$C,QUERY!AR:AR)</f>
        <v>INTERVET MEXICO SA DE CV</v>
      </c>
      <c r="GR29" s="3">
        <f>_xlfn.XLOOKUP(B29,QUERY!$C:$C,QUERY!AS:AS)</f>
        <v>0</v>
      </c>
      <c r="GS29" s="3" t="str">
        <f>_xlfn.XLOOKUP(B29,QUERY!$C:$C,QUERY!AT:AT)</f>
        <v>NINGUNO</v>
      </c>
      <c r="GT29" s="3">
        <f>_xlfn.XLOOKUP(B29,QUERY!$C:$C,QUERY!AU:AU)</f>
        <v>0</v>
      </c>
      <c r="GU29" s="3" t="str">
        <f>_xlfn.XLOOKUP(B29,QUERY!$C:$C,QUERY!AV:AV)</f>
        <v>NINGUNO</v>
      </c>
      <c r="GV29" s="3" t="str">
        <f>_xlfn.XLOOKUP(B29,QUERY!$C:$C,QUERY!AW:AW)</f>
        <v>PRODUCTO TERMINADO</v>
      </c>
      <c r="GW29" s="3" t="str">
        <f>_xlfn.XLOOKUP(B29,QUERY!$C:$C,QUERY!AX:AX)</f>
        <v>Verde</v>
      </c>
      <c r="GX29" s="3" t="str">
        <f>_xlfn.XLOOKUP(B29,QUERY!$C:$C,QUERY!AY:AY)</f>
        <v xml:space="preserve"> SUPER EXPRESS DE CARGA FEDERAL S.A. DE C.V.</v>
      </c>
      <c r="GY29" s="3">
        <f>_xlfn.XLOOKUP(B29,QUERY!$C:$C,QUERY!AZ:AZ)</f>
        <v>0</v>
      </c>
      <c r="GZ29" s="3" t="str">
        <f>_xlfn.XLOOKUP(B29,QUERY!$C:$C,QUERY!BA:BA)</f>
        <v>IME-T003</v>
      </c>
      <c r="HA29" s="3" t="str">
        <f>_xlfn.XLOOKUP(B29,QUERY!$C:$C,QUERY!BB:BB)</f>
        <v>IME850329RH2</v>
      </c>
      <c r="HB29" s="3">
        <f>_xlfn.XLOOKUP(B29,QUERY!$C:$C,QUERY!BC:BC)</f>
        <v>0</v>
      </c>
      <c r="HC29" s="3">
        <f>_xlfn.XLOOKUP(B29,QUERY!$C:$C,QUERY!BD:BD)</f>
        <v>0.99</v>
      </c>
      <c r="HD29" s="3" t="str">
        <f>_xlfn.XLOOKUP(B29,QUERY!$C:$C,QUERY!BE:BE)</f>
        <v>LOTE: SA536AA38,LOTE: J654A01,LOTE: A449A02,LOTE: 2408467J03,LOTE: A372B02,LOTE: A179B01,LOTE: A264A02,LOTE: A218A01,LOTE: A197A01,LOTE: B277A01,LOTE: B274A01,LOTE: A414A01,LOTES: A462A03, A463A01</v>
      </c>
      <c r="HE29" s="3">
        <f>_xlfn.XLOOKUP(B29,QUERY!$C:$C,QUERY!BF:BF)</f>
        <v>90</v>
      </c>
      <c r="HF29" s="3" t="str">
        <f>_xlfn.XLOOKUP(B29,QUERY!$C:$C,QUERY!BG:BG)</f>
        <v xml:space="preserve"> 167500.95, 3481449.92, 1040102.50, 9912953.44, 7554117.00</v>
      </c>
      <c r="HG29" s="3" t="str">
        <f>_xlfn.XLOOKUP(B29,QUERY!$C:$C,QUERY!BH:BH)</f>
        <v>KILO,KILO,KILO,KILO,KILO,KILO,KILO,KILO,KILO,KILO,KILO,KILO,KILO</v>
      </c>
      <c r="HH29" s="3">
        <f>_xlfn.XLOOKUP(B29,QUERY!$C:$C,QUERY!BI:BI)</f>
        <v>0</v>
      </c>
      <c r="HI29" s="3" t="str">
        <f>_xlfn.XLOOKUP(B29,QUERY!$C:$C,QUERY!BJ:BJ)</f>
        <v>PAISES BAJOS (REINO DE LOS) (HOLANDA)</v>
      </c>
      <c r="HJ29" s="3" t="str">
        <f>_xlfn.XLOOKUP(B29,QUERY!$C:$C,QUERY!BK:BK)</f>
        <v>PAISES BAJOS (REINO DE LOS) (HOLANDA)</v>
      </c>
      <c r="HK29" s="3" t="str">
        <f>_xlfn.XLOOKUP(B29,QUERY!$C:$C,QUERY!BL:BL)</f>
        <v>ZYA</v>
      </c>
      <c r="HL29" s="3" t="str">
        <f>_xlfn.XLOOKUP(B29,QUERY!$C:$C,QUERY!BM:BM)</f>
        <v>ZYA</v>
      </c>
      <c r="HM29" s="3">
        <f>_xlfn.XLOOKUP(B29,QUERY!$C:$C,QUERY!BN:BN)</f>
        <v>22156123</v>
      </c>
      <c r="HN29" s="3" t="str">
        <f>_xlfn.XLOOKUP(B29,QUERY!$C:$C,QUERY!BO:BO)</f>
        <v>462.00</v>
      </c>
      <c r="HO29" s="3" t="str">
        <f>_xlfn.XLOOKUP(B29,QUERY!$C:$C,QUERY!BP:BP)</f>
        <v>NULL</v>
      </c>
      <c r="HP29" s="3" t="str">
        <f>_xlfn.XLOOKUP(B29,QUERY!$C:$C,QUERY!BQ:BQ)</f>
        <v>NULL</v>
      </c>
      <c r="HQ29" s="3" t="str">
        <f>_xlfn.XLOOKUP(B29,QUERY!$C:$C,QUERY!BR:BR)</f>
        <v>350419.46</v>
      </c>
      <c r="HR29" s="3">
        <f>_xlfn.XLOOKUP(B29,QUERY!$C:$C,QUERY!BS:BS)</f>
        <v>0</v>
      </c>
      <c r="HS29" s="3">
        <f>_xlfn.XLOOKUP(B29,QUERY!$C:$C,QUERY!BT:BT)</f>
        <v>0</v>
      </c>
      <c r="HT29" s="3" t="str">
        <f>_xlfn.XLOOKUP(B29,QUERY!$C:$C,QUERY!A:A)</f>
        <v>VERACRUZ</v>
      </c>
      <c r="HU29" s="3" t="str">
        <f>_xlfn.XLOOKUP(B29,QUERY!$C:$C,QUERY!B:B)</f>
        <v>MARÍTIMO VERACRUZ</v>
      </c>
    </row>
    <row r="30" spans="1:229" x14ac:dyDescent="0.25">
      <c r="A30" s="3" t="s">
        <v>90</v>
      </c>
      <c r="B30" s="9" t="s">
        <v>141</v>
      </c>
      <c r="C30" s="3">
        <v>3942</v>
      </c>
      <c r="D30" s="3">
        <v>6000096</v>
      </c>
      <c r="E30" s="3"/>
      <c r="F30" s="3" t="s">
        <v>92</v>
      </c>
      <c r="G30" s="3" t="s">
        <v>93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430</v>
      </c>
      <c r="S30" s="3" t="s">
        <v>142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 t="s">
        <v>159</v>
      </c>
      <c r="AB30" s="3"/>
      <c r="AC30" s="3">
        <v>728467</v>
      </c>
      <c r="AD30" s="3">
        <v>505.87986000000001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/>
      <c r="AP30" s="3" t="s">
        <v>98</v>
      </c>
      <c r="AQ30" s="3">
        <v>210361687</v>
      </c>
      <c r="AR30" s="3" t="s">
        <v>99</v>
      </c>
      <c r="AS30" s="3" t="s">
        <v>100</v>
      </c>
      <c r="AT30" s="3">
        <v>0</v>
      </c>
      <c r="AU30" s="3">
        <v>0</v>
      </c>
      <c r="AV30" s="3">
        <v>0</v>
      </c>
      <c r="AW30" s="3">
        <v>30024201</v>
      </c>
      <c r="AX30" s="3">
        <v>99</v>
      </c>
      <c r="AY30" s="3">
        <v>1440</v>
      </c>
      <c r="AZ30" s="3">
        <v>1440</v>
      </c>
      <c r="BA30" s="3" t="s">
        <v>103</v>
      </c>
      <c r="BB30" s="3"/>
      <c r="BC30" s="3" t="s">
        <v>105</v>
      </c>
      <c r="BD30" s="3" t="s">
        <v>105</v>
      </c>
      <c r="BE30" s="3"/>
      <c r="BF30" s="3"/>
      <c r="BG30" s="5"/>
      <c r="BH30" s="3"/>
      <c r="BI30" s="3"/>
      <c r="BJ30" s="3"/>
      <c r="BK30" s="3" t="s">
        <v>157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 t="s">
        <v>111</v>
      </c>
      <c r="CF30" s="3">
        <v>0</v>
      </c>
      <c r="CG30" s="3">
        <v>0</v>
      </c>
      <c r="CH30" s="3">
        <v>0</v>
      </c>
      <c r="CI30" s="3" t="s">
        <v>112</v>
      </c>
      <c r="CJ30" s="3" t="s">
        <v>112</v>
      </c>
      <c r="CK30" s="3">
        <f>_xlfn.XLOOKUP($B$2,'BASE DE EXCEL'!C:C,'BASE DE EXCEL'!D:D,"NO HAY REFERENCIA")</f>
        <v>470</v>
      </c>
      <c r="CL30" s="5">
        <f>_xlfn.XLOOKUP($B$2,'BASE DE EXCEL'!$C:$C,'BASE DE EXCEL'!F:F,"NO HAY REFERENCIA")</f>
        <v>3</v>
      </c>
      <c r="CM30" s="4">
        <f>_xlfn.XLOOKUP($B$2,'BASE DE EXCEL'!$C:$C,'BASE DE EXCEL'!G:G,"NO HAY REFERENCIA")</f>
        <v>46080</v>
      </c>
      <c r="CN30" s="4">
        <f>_xlfn.XLOOKUP($B$2,'BASE DE EXCEL'!$C:$C,'BASE DE EXCEL'!H:H,"NO HAY REFERENCIA")</f>
        <v>46086</v>
      </c>
      <c r="CO30" s="3">
        <f>_xlfn.XLOOKUP($B$2,'BASE DE EXCEL'!$C:$C,'BASE DE EXCEL'!I:I,"NO HAY REFERENCIA")</f>
        <v>4</v>
      </c>
      <c r="CP30" s="3" t="str">
        <f>_xlfn.XLOOKUP($B$2,'BASE DE EXCEL'!$C:$C,'BASE DE EXCEL'!J:J,"NO HAY REFERENCIA")</f>
        <v>4 a 5 días</v>
      </c>
      <c r="CQ30" s="4">
        <f>_xlfn.XLOOKUP($B$2,'BASE DE EXCEL'!$C:$C,'BASE DE EXCEL'!K:K,"NO HAY REFERENCIA")</f>
        <v>46087</v>
      </c>
      <c r="CR30" s="3">
        <f>_xlfn.XLOOKUP($B$2,'BASE DE EXCEL'!$C:$C,'BASE DE EXCEL'!L:L,"NO HAY REFERENCIA")</f>
        <v>5</v>
      </c>
      <c r="CS30" s="3">
        <f>_xlfn.XLOOKUP($B$2,'BASE DE EXCEL'!$C:$C,'BASE DE EXCEL'!M:M,"NO HAY REFERENCIA")</f>
        <v>6</v>
      </c>
      <c r="CT30" s="3" t="str">
        <f>_xlfn.XLOOKUP($B$2,'BASE DE EXCEL'!$C:$C,'BASE DE EXCEL'!N:N,"NO HAY REFERENCIA")</f>
        <v>6 a 10 días</v>
      </c>
      <c r="CU30" s="3" t="str">
        <f>_xlfn.XLOOKUP($B$2,'BASE DE EXCEL'!$C:$C,'BASE DE EXCEL'!O:O,"NO HAY REFERENCIA")</f>
        <v>On Time</v>
      </c>
      <c r="CV30" s="3" t="str">
        <f>_xlfn.XLOOKUP(B30,'BASE DE EXCEL'!$C:$C,'BASE DE EXCEL'!P:P,"NO HAY REFERENCIA")</f>
        <v>4 a 5 días</v>
      </c>
      <c r="CW30" s="4">
        <f>_xlfn.XLOOKUP(B30,'BASE DE EXCEL'!$C:$C,'BASE DE EXCEL'!Q:Q,"NO HAY REFERENCIA")</f>
        <v>46049</v>
      </c>
      <c r="CX30" s="3">
        <f>_xlfn.XLOOKUP(B30,'BASE DE EXCEL'!$C:$C,'BASE DE EXCEL'!R:R,"NO HAY REFERENCIA")</f>
        <v>5</v>
      </c>
      <c r="CY30" s="3" t="str">
        <f>_xlfn.XLOOKUP(B30,'BASE DE EXCEL'!$C:$C,'BASE DE EXCEL'!S:S,"NO HAY REFERENCIA")</f>
        <v>4 a 5 días</v>
      </c>
      <c r="CZ30" s="3" t="str">
        <f>_xlfn.XLOOKUP(B30,'BASE DE EXCEL'!$C:$C,'BASE DE EXCEL'!T:T,"NO HAY REFERENCIA")</f>
        <v>On Time</v>
      </c>
      <c r="DA30" s="3">
        <f>_xlfn.XLOOKUP(B30,'BASE DE EXCEL'!$C:$C,'BASE DE EXCEL'!U:U,"NO HAY REFERENCIA")</f>
        <v>6</v>
      </c>
      <c r="DB30" s="3" t="str">
        <f>_xlfn.XLOOKUP(B30,'BASE DE EXCEL'!$C:$C,'BASE DE EXCEL'!V:V,"NO HAY REFERENCIA")</f>
        <v>4 a 5 días</v>
      </c>
      <c r="DC30" s="3">
        <f>_xlfn.XLOOKUP(B30,'BASE DE EXCEL'!$C:$C,'BASE DE EXCEL'!W:W,"NO HAY REFERENCIA")</f>
        <v>7</v>
      </c>
      <c r="DD30" s="3" t="str">
        <f>_xlfn.XLOOKUP(B30,'BASE DE EXCEL'!$C:$C,'BASE DE EXCEL'!X:X,"NO HAY REFERENCIA")</f>
        <v>6 a 10 días</v>
      </c>
      <c r="DE30" s="3">
        <f>_xlfn.XLOOKUP(B30,'BASE DE EXCEL'!$C:$C,'BASE DE EXCEL'!Y:Y,"NO HAY REFERENCIA")</f>
        <v>1</v>
      </c>
      <c r="DF30" s="3" t="str">
        <f>_xlfn.XLOOKUP(B30,'BASE DE EXCEL'!$C:$C,'BASE DE EXCEL'!Z:Z,"NO HAY REFERENCIA")</f>
        <v>1 día o menos</v>
      </c>
      <c r="DG30" s="3">
        <f>_xlfn.XLOOKUP(B30,'BASE DE EXCEL'!$C:$C,'BASE DE EXCEL'!AA:AA,"NO HAY REFERENCIA")</f>
        <v>2</v>
      </c>
      <c r="DH30" s="3">
        <f>_xlfn.XLOOKUP(B30,'BASE DE EXCEL'!$C:$C,'BASE DE EXCEL'!AB:AB,"NO HAY REFERENCIA")</f>
        <v>1</v>
      </c>
      <c r="DI30" s="3" t="str">
        <f>_xlfn.XLOOKUP(B30,'BASE DE EXCEL'!$C:$C,'BASE DE EXCEL'!AC:AC,"NO HAY REFERENCIA")</f>
        <v>1 día o menos</v>
      </c>
      <c r="DJ30" s="4">
        <f>_xlfn.XLOOKUP(B30,'BASE DE EXCEL'!$C:$C,'BASE DE EXCEL'!AD:AD,"NO HAY REFERENCIA")</f>
        <v>46052</v>
      </c>
      <c r="DK30" s="3">
        <f>_xlfn.XLOOKUP(B30,'BASE DE EXCEL'!$C:$C,'BASE DE EXCEL'!AE:AE,"NO HAY REFERENCIA")</f>
        <v>3</v>
      </c>
      <c r="DL30" s="3">
        <f>_xlfn.XLOOKUP(B30,'BASE DE EXCEL'!$C:$C,'BASE DE EXCEL'!AF:AF,"NO HAY REFERENCIA")</f>
        <v>3</v>
      </c>
      <c r="DM30" s="4">
        <f>_xlfn.XLOOKUP(B30,'BASE DE EXCEL'!$C:$C,'BASE DE EXCEL'!AG:AG,"NO HAY REFERENCIA")</f>
        <v>46052</v>
      </c>
      <c r="DN30" s="4">
        <f>_xlfn.XLOOKUP(B30,'BASE DE EXCEL'!$C:$C,'BASE DE EXCEL'!AH:AH,"NO HAY REFERENCIA")</f>
        <v>46052</v>
      </c>
      <c r="DO30" s="3">
        <f>_xlfn.XLOOKUP(B30,'BASE DE EXCEL'!$C:$C,'BASE DE EXCEL'!AI:AI,"NO HAY REFERENCIA")</f>
        <v>0</v>
      </c>
      <c r="DP30" s="4" t="str">
        <f>_xlfn.XLOOKUP(B30,'BASE DE EXCEL'!$C:$C,'BASE DE EXCEL'!AJ:AJ,"NO HAY REFERENCIA")</f>
        <v>2 a 3 días</v>
      </c>
      <c r="DQ30" s="4">
        <f>_xlfn.XLOOKUP(B30,'BASE DE EXCEL'!$C:$C,'BASE DE EXCEL'!AK:AK,"NO HAY REFERENCIA")</f>
        <v>46052</v>
      </c>
      <c r="DR30" s="3">
        <f>_xlfn.XLOOKUP(B30,'BASE DE EXCEL'!$C:$C,'BASE DE EXCEL'!AL:AL,"NO HAY REFERENCIA")</f>
        <v>4</v>
      </c>
      <c r="DS30" s="3" t="str">
        <f>_xlfn.XLOOKUP(B30,'BASE DE EXCEL'!$C:$C,'BASE DE EXCEL'!AM:AM,"NO HAY REFERENCIA")</f>
        <v>4 a 5 días</v>
      </c>
      <c r="DT30" s="3" t="str">
        <f>_xlfn.XLOOKUP(B30,'BASE DE EXCEL'!$C:$C,'BASE DE EXCEL'!AN:AN,"NO HAY REFERENCIA")</f>
        <v>On Time</v>
      </c>
      <c r="DU30" s="3">
        <f>_xlfn.XLOOKUP(B30,'BASE DE EXCEL'!$C:$C,'BASE DE EXCEL'!AO:AO,"NO HAY REFERENCIA")</f>
        <v>1</v>
      </c>
      <c r="DV30" s="3" t="str">
        <f>_xlfn.XLOOKUP(B30,'BASE DE EXCEL'!$C:$C,'BASE DE EXCEL'!AP:AP,"NO HAY REFERENCIA")</f>
        <v>Es anterior</v>
      </c>
      <c r="DW30" s="3" t="str">
        <f>_xlfn.XLOOKUP(B30,'BASE DE EXCEL'!$C:$C,'BASE DE EXCEL'!AQ:AQ,"NO HAY REFERENCIA")</f>
        <v>A1</v>
      </c>
      <c r="DX30" s="3" t="str">
        <f>_xlfn.XLOOKUP(B30,'BASE DE EXCEL'!$C:$C,'BASE DE EXCEL'!AR:AR,"NO HAY REFERENCIA")</f>
        <v>ZULEIMA PEREZ RUIZ</v>
      </c>
      <c r="DY30" s="3" t="str">
        <f>_xlfn.XLOOKUP(B30,'BASE DE EXCEL'!$C:$C,'BASE DE EXCEL'!AS:AS,"NO HAY REFERENCIA")</f>
        <v>HLCURTM251230364</v>
      </c>
      <c r="DZ30" s="3" t="str">
        <f>_xlfn.XLOOKUP(B30,'BASE DE EXCEL'!$C:$C,'BASE DE EXCEL'!AT:AT,"NO HAY REFERENCIA")</f>
        <v>NULL</v>
      </c>
      <c r="EA30" s="3">
        <f>_xlfn.XLOOKUP(B30,'BASE DE EXCEL'!$C:$C,'BASE DE EXCEL'!AU:AU,"NO HAY REFERENCIA")</f>
        <v>6000096</v>
      </c>
      <c r="EB30" s="3" t="str">
        <f>_xlfn.XLOOKUP(B30,'BASE DE EXCEL'!$C:$C,'BASE DE EXCEL'!AV:AV,"NO HAY REFERENCIA")</f>
        <v>Importación</v>
      </c>
      <c r="EC30" s="3" t="str">
        <f>_xlfn.XLOOKUP(B30,'BASE DE EXCEL'!$C:$C,'BASE DE EXCEL'!AW:AW,"NO HAY REFERENCIA")</f>
        <v>NOBILIS IB MA5 (VACUNA DE USO VETERINARIO)</v>
      </c>
      <c r="ED30" s="3" t="str">
        <f>_xlfn.XLOOKUP(B30,'BASE DE EXCEL'!$C:$C,'BASE DE EXCEL'!AX:AX,"NO HAY REFERENCIA")</f>
        <v>SIN CLASIFICACION</v>
      </c>
      <c r="EE30" s="3">
        <f>_xlfn.XLOOKUP(B30,'BASE DE EXCEL'!$C:$C,'BASE DE EXCEL'!AY:AY,"NO HAY REFERENCIA")</f>
        <v>0</v>
      </c>
      <c r="EF30" s="3" t="str">
        <f>_xlfn.XLOOKUP(B30,'BASE DE EXCEL'!$C:$C,'BASE DE EXCEL'!AZ:AZ,"NO HAY REFERENCIA")</f>
        <v>Cargas de Importación</v>
      </c>
      <c r="EG30" s="3" t="str">
        <f>_xlfn.XLOOKUP(B30,'BASE DE EXCEL'!$C:$C,'BASE DE EXCEL'!BA:BA,"NO HAY REFERENCIA")</f>
        <v>INTERVET MEXICO SA DE CV</v>
      </c>
      <c r="EH30" s="3">
        <f>_xlfn.XLOOKUP(B30,'BASE DE EXCEL'!$C:$C,'BASE DE EXCEL'!BB:BB,"NO HAY REFERENCIA")</f>
        <v>0</v>
      </c>
      <c r="EI30" s="3" t="str">
        <f>_xlfn.XLOOKUP(B30,'BASE DE EXCEL'!$C:$C,'BASE DE EXCEL'!BC:BC,"NO HAY REFERENCIA")</f>
        <v>NINGUNO</v>
      </c>
      <c r="EJ30" s="3">
        <f>_xlfn.XLOOKUP(B30,'BASE DE EXCEL'!$C:$C,'BASE DE EXCEL'!BD:BD,"NO HAY REFERENCIA")</f>
        <v>0</v>
      </c>
      <c r="EK30" s="3" t="str">
        <f>_xlfn.XLOOKUP(B30,'BASE DE EXCEL'!$C:$C,'BASE DE EXCEL'!BE:BE,"NO HAY REFERENCIA")</f>
        <v>NINGUNO</v>
      </c>
      <c r="EL30" s="3" t="str">
        <f>_xlfn.XLOOKUP(B30,'BASE DE EXCEL'!$C:$C,'BASE DE EXCEL'!BF:BF,"NO HAY REFERENCIA")</f>
        <v>PRODUCTO TERMINADO</v>
      </c>
      <c r="EM30" s="3" t="str">
        <f>_xlfn.XLOOKUP(B30,'BASE DE EXCEL'!$C:$C,'BASE DE EXCEL'!BG:BG,"NO HAY REFERENCIA")</f>
        <v>Verde</v>
      </c>
      <c r="EN30" s="3" t="str">
        <f>_xlfn.XLOOKUP(B30,'BASE DE EXCEL'!$C:$C,'BASE DE EXCEL'!BH:BH,"NO HAY REFERENCIA")</f>
        <v xml:space="preserve"> SUPER EXPRESS DE CARGA FEDERAL S.A. DE C.V.</v>
      </c>
      <c r="EO30" s="3">
        <f>_xlfn.XLOOKUP(B30,'BASE DE EXCEL'!$C:$C,'BASE DE EXCEL'!BI:BI,"NO HAY REFERENCIA")</f>
        <v>0</v>
      </c>
      <c r="EP30" s="3" t="str">
        <f>_xlfn.XLOOKUP(B30,'BASE DE EXCEL'!$C:$C,'BASE DE EXCEL'!BJ:BJ,"NO HAY REFERENCIA")</f>
        <v>IME-T003</v>
      </c>
      <c r="EQ30" s="3" t="str">
        <f>_xlfn.XLOOKUP(B30,'BASE DE EXCEL'!$C:$C,'BASE DE EXCEL'!BK:BK,"NO HAY REFERENCIA")</f>
        <v>IME850329RH2</v>
      </c>
      <c r="ER30" s="3">
        <f>_xlfn.XLOOKUP(B30,'BASE DE EXCEL'!$C:$C,'BASE DE EXCEL'!BL:BL,"NO HAY REFERENCIA")</f>
        <v>0</v>
      </c>
      <c r="ES30" s="3" t="str">
        <f>_xlfn.XLOOKUP(B30,'BASE DE EXCEL'!$C:$C,'BASE DE EXCEL'!BM:BM,"NO HAY REFERENCIA")</f>
        <v>00,99</v>
      </c>
      <c r="ET30" s="3" t="str">
        <f>_xlfn.XLOOKUP(B30,'BASE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30" s="3">
        <f>_xlfn.XLOOKUP(B30,'BASE DE EXCEL'!$C:$C,'BASE DE EXCEL'!BO:BO,"NO HAY REFERENCIA")</f>
        <v>90</v>
      </c>
      <c r="EV30" s="3" t="str">
        <f>_xlfn.XLOOKUP(B30,'BASE DE EXCEL'!$C:$C,'BASE DE EXCEL'!BP:BP,"NO HAY REFERENCIA")</f>
        <v xml:space="preserve"> 167500.95, 3481449.92, 1040102.50, 9912953.44, 7554117.00</v>
      </c>
      <c r="EW30" s="3" t="str">
        <f>_xlfn.XLOOKUP(B30,'BASE DE EXCEL'!$C:$C,'BASE DE EXCEL'!BQ:BQ,"NO HAY REFERENCIA")</f>
        <v>KILO,KILO,KILO,KILO,KILO,KILO,KILO,KILO,KILO,KILO,KILO,KILO,KILO</v>
      </c>
      <c r="EX30" s="3">
        <f>_xlfn.XLOOKUP(B30,'BASE DE EXCEL'!$C:$C,'BASE DE EXCEL'!BR:BR,"NO HAY REFERENCIA")</f>
        <v>0</v>
      </c>
      <c r="EY30" s="3" t="str">
        <f>_xlfn.XLOOKUP(B30,'BASE DE EXCEL'!$C:$C,'BASE DE EXCEL'!BS:BS,"NO HAY REFERENCIA")</f>
        <v>PAISES BAJOS (REINO DE LOS) (HOLANDA)</v>
      </c>
      <c r="EZ30" s="3" t="str">
        <f>_xlfn.XLOOKUP(B30,'BASE DE EXCEL'!$C:$C,'BASE DE EXCEL'!BT:BT,"NO HAY REFERENCIA")</f>
        <v>PAISES BAJOS (REINO DE LOS) (HOLANDA)</v>
      </c>
      <c r="FA30" s="3" t="str">
        <f>_xlfn.XLOOKUP(B30,'BASE DE EXCEL'!$C:$C,'BASE DE EXCEL'!BU:BU,"NO HAY REFERENCIA")</f>
        <v>ZYA</v>
      </c>
      <c r="FB30" s="3" t="str">
        <f>_xlfn.XLOOKUP(B30,'BASE DE EXCEL'!$C:$C,'BASE DE EXCEL'!BV:BV,"NO HAY REFERENCIA")</f>
        <v>ZYA</v>
      </c>
      <c r="FC30" s="3">
        <f>_xlfn.XLOOKUP(B30,QUERY!$C:$C,QUERY!D:D)</f>
        <v>430</v>
      </c>
      <c r="FD30" s="4">
        <f>_xlfn.XLOOKUP(B30,QUERY!$C:$C,QUERY!E:E)</f>
        <v>46045</v>
      </c>
      <c r="FE30" s="3">
        <f>_xlfn.XLOOKUP(B30,QUERY!$C:$C,QUERY!F:F)</f>
        <v>1</v>
      </c>
      <c r="FF30" s="4">
        <f>_xlfn.XLOOKUP(B30,QUERY!$C:$C,QUERY!G:G)</f>
        <v>46043</v>
      </c>
      <c r="FG30" s="4">
        <f>_xlfn.XLOOKUP(B30,QUERY!$C:$C,QUERY!H:H)</f>
        <v>46045</v>
      </c>
      <c r="FH30" s="3">
        <f>_xlfn.XLOOKUP(B30,QUERY!$C:$C,QUERY!I:I)</f>
        <v>2</v>
      </c>
      <c r="FI30" s="3" t="str">
        <f>_xlfn.XLOOKUP(B30,QUERY!$C:$C,QUERY!J:J)</f>
        <v>2 a 3 días</v>
      </c>
      <c r="FJ30" s="4">
        <f>_xlfn.XLOOKUP(B30,QUERY!$C:$C,QUERY!K:K)</f>
        <v>46048</v>
      </c>
      <c r="FK30" s="3">
        <f>_xlfn.XLOOKUP(B30,QUERY!$C:$C,QUERY!L:L)</f>
        <v>3</v>
      </c>
      <c r="FL30" s="3" t="str">
        <f>_xlfn.XLOOKUP(B30,QUERY!$C:$C,QUERY!M:M)</f>
        <v>2 a 3 días</v>
      </c>
      <c r="FM30" s="3">
        <f>_xlfn.XLOOKUP(B30,QUERY!$C:$C,QUERY!N:N)</f>
        <v>1</v>
      </c>
      <c r="FN30" s="3" t="str">
        <f>_xlfn.XLOOKUP(B30,QUERY!$C:$C,QUERY!O:O)</f>
        <v>1 día o menos</v>
      </c>
      <c r="FO30" s="3">
        <f>_xlfn.XLOOKUP(B30,QUERY!$C:$C,QUERY!P:P)</f>
        <v>1</v>
      </c>
      <c r="FP30" s="3">
        <f>_xlfn.XLOOKUP(B30,QUERY!$C:$C,QUERY!Q:Q)</f>
        <v>1</v>
      </c>
      <c r="FQ30" s="3" t="str">
        <f>_xlfn.XLOOKUP(B30,QUERY!$C:$C,QUERY!R:R)</f>
        <v>1 día o menos</v>
      </c>
      <c r="FR30" s="4">
        <f>_xlfn.XLOOKUP(B30,QUERY!$C:$C,QUERY!S:S)</f>
        <v>46049</v>
      </c>
      <c r="FS30" s="3">
        <f>_xlfn.XLOOKUP(B30,QUERY!$C:$C,QUERY!T:T)</f>
        <v>4</v>
      </c>
      <c r="FT30" s="3" t="str">
        <f>_xlfn.XLOOKUP(B30,QUERY!$C:$C,QUERY!U:U)</f>
        <v>4 a 5 días</v>
      </c>
      <c r="FU30" s="3">
        <f>_xlfn.XLOOKUP(B30,QUERY!$C:$C,QUERY!V:V)</f>
        <v>7</v>
      </c>
      <c r="FV30" s="3" t="str">
        <f>_xlfn.XLOOKUP(B30,QUERY!$C:$C,QUERY!W:W)</f>
        <v>6 a 10 días</v>
      </c>
      <c r="FW30" s="4">
        <f>_xlfn.XLOOKUP(B30,QUERY!$C:$C,QUERY!X:X)</f>
        <v>46052</v>
      </c>
      <c r="FX30" s="3">
        <f>_xlfn.XLOOKUP(B30,QUERY!$C:$C,QUERY!Y:Y)</f>
        <v>3</v>
      </c>
      <c r="FY30" s="3">
        <f>_xlfn.XLOOKUP(B30,QUERY!$C:$C,QUERY!Z:Z)</f>
        <v>3</v>
      </c>
      <c r="FZ30" s="4" t="str">
        <f>_xlfn.XLOOKUP(B30,QUERY!$C:$C,QUERY!AA:AA)</f>
        <v>2 a 3 días</v>
      </c>
      <c r="GA30" s="4">
        <f>_xlfn.XLOOKUP(B30,QUERY!$C:$C,QUERY!AB:AB)</f>
        <v>46052</v>
      </c>
      <c r="GB30" s="4">
        <f>_xlfn.XLOOKUP(B30,QUERY!$C:$C,QUERY!AC:AC)</f>
        <v>46052</v>
      </c>
      <c r="GC30" s="3">
        <f>_xlfn.XLOOKUP(B30,QUERY!$C:$C,QUERY!AD:AD)</f>
        <v>0</v>
      </c>
      <c r="GD30" s="4">
        <f>_xlfn.XLOOKUP(B30,QUERY!$C:$C,QUERY!AE:AE)</f>
        <v>46052</v>
      </c>
      <c r="GE30" s="3">
        <f>_xlfn.XLOOKUP(B30,QUERY!$C:$C,QUERY!AF:AF)</f>
        <v>1</v>
      </c>
      <c r="GF30" s="4" t="str">
        <f>_xlfn.XLOOKUP(B30,QUERY!$C:$C,QUERY!AG:AG)</f>
        <v>Es anterior</v>
      </c>
      <c r="GG30" s="3" t="str">
        <f>_xlfn.XLOOKUP(B30,QUERY!$C:$C,QUERY!AH:AH)</f>
        <v>A1</v>
      </c>
      <c r="GH30" s="3" t="str">
        <f>_xlfn.XLOOKUP(B30,QUERY!$C:$C,QUERY!AI:AI)</f>
        <v>ZULEIMA PEREZ RUIZ</v>
      </c>
      <c r="GI30" s="3" t="str">
        <f>_xlfn.XLOOKUP(B30,QUERY!$C:$C,QUERY!AJ:AJ)</f>
        <v>HLCURTM251230364</v>
      </c>
      <c r="GJ30" s="3" t="str">
        <f>_xlfn.XLOOKUP(B30,QUERY!$C:$C,QUERY!AK:AK)</f>
        <v>NULL</v>
      </c>
      <c r="GK30" s="3">
        <f>_xlfn.XLOOKUP(B30,QUERY!$C:$C,QUERY!AL:AL)</f>
        <v>6000096</v>
      </c>
      <c r="GL30" s="3" t="str">
        <f>_xlfn.XLOOKUP(B30,QUERY!$C:$C,QUERY!AM:AM)</f>
        <v>Importación</v>
      </c>
      <c r="GM30" s="3" t="str">
        <f>_xlfn.XLOOKUP(B30,QUERY!$C:$C,QUERY!AN:AN)</f>
        <v>NOBILIS IB MA5 (VACUNA DE USO VETERINARIO)</v>
      </c>
      <c r="GN30" s="3" t="str">
        <f>_xlfn.XLOOKUP(B30,QUERY!$C:$C,QUERY!AO:AO)</f>
        <v>SIN CLASIFICACION</v>
      </c>
      <c r="GO30" s="3">
        <f>_xlfn.XLOOKUP(B30,QUERY!$C:$C,QUERY!AP:AP)</f>
        <v>0</v>
      </c>
      <c r="GP30" s="3" t="str">
        <f>_xlfn.XLOOKUP(B30,QUERY!$C:$C,QUERY!AQ:AQ)</f>
        <v>Cargas de Importación</v>
      </c>
      <c r="GQ30" s="3" t="str">
        <f>_xlfn.XLOOKUP(B30,QUERY!$C:$C,QUERY!AR:AR)</f>
        <v>INTERVET MEXICO SA DE CV</v>
      </c>
      <c r="GR30" s="3">
        <f>_xlfn.XLOOKUP(B30,QUERY!$C:$C,QUERY!AS:AS)</f>
        <v>0</v>
      </c>
      <c r="GS30" s="3" t="str">
        <f>_xlfn.XLOOKUP(B30,QUERY!$C:$C,QUERY!AT:AT)</f>
        <v>NINGUNO</v>
      </c>
      <c r="GT30" s="3">
        <f>_xlfn.XLOOKUP(B30,QUERY!$C:$C,QUERY!AU:AU)</f>
        <v>0</v>
      </c>
      <c r="GU30" s="3" t="str">
        <f>_xlfn.XLOOKUP(B30,QUERY!$C:$C,QUERY!AV:AV)</f>
        <v>NINGUNO</v>
      </c>
      <c r="GV30" s="3" t="str">
        <f>_xlfn.XLOOKUP(B30,QUERY!$C:$C,QUERY!AW:AW)</f>
        <v>PRODUCTO TERMINADO</v>
      </c>
      <c r="GW30" s="3" t="str">
        <f>_xlfn.XLOOKUP(B30,QUERY!$C:$C,QUERY!AX:AX)</f>
        <v>Verde</v>
      </c>
      <c r="GX30" s="3" t="str">
        <f>_xlfn.XLOOKUP(B30,QUERY!$C:$C,QUERY!AY:AY)</f>
        <v xml:space="preserve"> SUPER EXPRESS DE CARGA FEDERAL S.A. DE C.V.</v>
      </c>
      <c r="GY30" s="3">
        <f>_xlfn.XLOOKUP(B30,QUERY!$C:$C,QUERY!AZ:AZ)</f>
        <v>0</v>
      </c>
      <c r="GZ30" s="3" t="str">
        <f>_xlfn.XLOOKUP(B30,QUERY!$C:$C,QUERY!BA:BA)</f>
        <v>IME-T003</v>
      </c>
      <c r="HA30" s="3" t="str">
        <f>_xlfn.XLOOKUP(B30,QUERY!$C:$C,QUERY!BB:BB)</f>
        <v>IME850329RH2</v>
      </c>
      <c r="HB30" s="3">
        <f>_xlfn.XLOOKUP(B30,QUERY!$C:$C,QUERY!BC:BC)</f>
        <v>0</v>
      </c>
      <c r="HC30" s="3">
        <f>_xlfn.XLOOKUP(B30,QUERY!$C:$C,QUERY!BD:BD)</f>
        <v>0.99</v>
      </c>
      <c r="HD30" s="3" t="str">
        <f>_xlfn.XLOOKUP(B30,QUERY!$C:$C,QUERY!BE:BE)</f>
        <v>LOTE: SA536AA38,LOTE: J654A01,LOTE: A449A02,LOTE: 2408467J03,LOTE: A372B02,LOTE: A179B01,LOTE: A264A02,LOTE: A218A01,LOTE: A197A01,LOTE: B277A01,LOTE: B274A01,LOTE: A414A01,LOTES: A462A03, A463A01</v>
      </c>
      <c r="HE30" s="3">
        <f>_xlfn.XLOOKUP(B30,QUERY!$C:$C,QUERY!BF:BF)</f>
        <v>90</v>
      </c>
      <c r="HF30" s="3" t="str">
        <f>_xlfn.XLOOKUP(B30,QUERY!$C:$C,QUERY!BG:BG)</f>
        <v xml:space="preserve"> 167500.95, 3481449.92, 1040102.50, 9912953.44, 7554117.00</v>
      </c>
      <c r="HG30" s="3" t="str">
        <f>_xlfn.XLOOKUP(B30,QUERY!$C:$C,QUERY!BH:BH)</f>
        <v>KILO,KILO,KILO,KILO,KILO,KILO,KILO,KILO,KILO,KILO,KILO,KILO,KILO</v>
      </c>
      <c r="HH30" s="3">
        <f>_xlfn.XLOOKUP(B30,QUERY!$C:$C,QUERY!BI:BI)</f>
        <v>0</v>
      </c>
      <c r="HI30" s="3" t="str">
        <f>_xlfn.XLOOKUP(B30,QUERY!$C:$C,QUERY!BJ:BJ)</f>
        <v>PAISES BAJOS (REINO DE LOS) (HOLANDA)</v>
      </c>
      <c r="HJ30" s="3" t="str">
        <f>_xlfn.XLOOKUP(B30,QUERY!$C:$C,QUERY!BK:BK)</f>
        <v>PAISES BAJOS (REINO DE LOS) (HOLANDA)</v>
      </c>
      <c r="HK30" s="3" t="str">
        <f>_xlfn.XLOOKUP(B30,QUERY!$C:$C,QUERY!BL:BL)</f>
        <v>ZYA</v>
      </c>
      <c r="HL30" s="3" t="str">
        <f>_xlfn.XLOOKUP(B30,QUERY!$C:$C,QUERY!BM:BM)</f>
        <v>ZYA</v>
      </c>
      <c r="HM30" s="3">
        <f>_xlfn.XLOOKUP(B30,QUERY!$C:$C,QUERY!BN:BN)</f>
        <v>22156123</v>
      </c>
      <c r="HN30" s="3" t="str">
        <f>_xlfn.XLOOKUP(B30,QUERY!$C:$C,QUERY!BO:BO)</f>
        <v>462.00</v>
      </c>
      <c r="HO30" s="3" t="str">
        <f>_xlfn.XLOOKUP(B30,QUERY!$C:$C,QUERY!BP:BP)</f>
        <v>NULL</v>
      </c>
      <c r="HP30" s="3" t="str">
        <f>_xlfn.XLOOKUP(B30,QUERY!$C:$C,QUERY!BQ:BQ)</f>
        <v>NULL</v>
      </c>
      <c r="HQ30" s="3" t="str">
        <f>_xlfn.XLOOKUP(B30,QUERY!$C:$C,QUERY!BR:BR)</f>
        <v>350419.46</v>
      </c>
      <c r="HR30" s="3">
        <f>_xlfn.XLOOKUP(B30,QUERY!$C:$C,QUERY!BS:BS)</f>
        <v>0</v>
      </c>
      <c r="HS30" s="3">
        <f>_xlfn.XLOOKUP(B30,QUERY!$C:$C,QUERY!BT:BT)</f>
        <v>0</v>
      </c>
      <c r="HT30" s="3" t="str">
        <f>_xlfn.XLOOKUP(B30,QUERY!$C:$C,QUERY!A:A)</f>
        <v>VERACRUZ</v>
      </c>
      <c r="HU30" s="3" t="str">
        <f>_xlfn.XLOOKUP(B30,QUERY!$C:$C,QUERY!B:B)</f>
        <v>MARÍTIMO VERACRUZ</v>
      </c>
    </row>
    <row r="31" spans="1:229" x14ac:dyDescent="0.25">
      <c r="A31" s="3" t="s">
        <v>90</v>
      </c>
      <c r="B31" s="9" t="s">
        <v>141</v>
      </c>
      <c r="C31" s="3">
        <v>3942</v>
      </c>
      <c r="D31" s="3">
        <v>6000096</v>
      </c>
      <c r="E31" s="3"/>
      <c r="F31" s="3" t="s">
        <v>92</v>
      </c>
      <c r="G31" s="3" t="s">
        <v>93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430</v>
      </c>
      <c r="S31" s="3" t="s">
        <v>142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 t="s">
        <v>160</v>
      </c>
      <c r="AB31" s="3"/>
      <c r="AC31" s="3">
        <v>1769021</v>
      </c>
      <c r="AD31" s="3">
        <v>2839.5200599999998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/>
      <c r="AP31" s="3" t="s">
        <v>98</v>
      </c>
      <c r="AQ31" s="3">
        <v>210361687</v>
      </c>
      <c r="AR31" s="3" t="s">
        <v>99</v>
      </c>
      <c r="AS31" s="3" t="s">
        <v>100</v>
      </c>
      <c r="AT31" s="3">
        <v>0</v>
      </c>
      <c r="AU31" s="3">
        <v>0</v>
      </c>
      <c r="AV31" s="3">
        <v>0</v>
      </c>
      <c r="AW31" s="3">
        <v>30042099</v>
      </c>
      <c r="AX31" s="3">
        <v>0</v>
      </c>
      <c r="AY31" s="3">
        <v>623</v>
      </c>
      <c r="AZ31" s="3">
        <v>623</v>
      </c>
      <c r="BA31" s="3" t="s">
        <v>121</v>
      </c>
      <c r="BB31" s="3"/>
      <c r="BC31" s="3" t="s">
        <v>105</v>
      </c>
      <c r="BD31" s="3" t="s">
        <v>105</v>
      </c>
      <c r="BE31" s="3"/>
      <c r="BF31" s="3"/>
      <c r="BG31" s="5"/>
      <c r="BH31" s="3"/>
      <c r="BI31" s="3"/>
      <c r="BJ31" s="3"/>
      <c r="BK31" s="3" t="s">
        <v>157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 t="s">
        <v>111</v>
      </c>
      <c r="CF31" s="3">
        <v>0</v>
      </c>
      <c r="CG31" s="3">
        <v>0</v>
      </c>
      <c r="CH31" s="3">
        <v>0</v>
      </c>
      <c r="CI31" s="3" t="s">
        <v>112</v>
      </c>
      <c r="CJ31" s="3" t="s">
        <v>112</v>
      </c>
      <c r="CK31" s="3">
        <f>_xlfn.XLOOKUP($B$2,'BASE DE EXCEL'!C:C,'BASE DE EXCEL'!D:D,"NO HAY REFERENCIA")</f>
        <v>470</v>
      </c>
      <c r="CL31" s="5">
        <f>_xlfn.XLOOKUP($B$2,'BASE DE EXCEL'!$C:$C,'BASE DE EXCEL'!F:F,"NO HAY REFERENCIA")</f>
        <v>3</v>
      </c>
      <c r="CM31" s="4">
        <f>_xlfn.XLOOKUP($B$2,'BASE DE EXCEL'!$C:$C,'BASE DE EXCEL'!G:G,"NO HAY REFERENCIA")</f>
        <v>46080</v>
      </c>
      <c r="CN31" s="4">
        <f>_xlfn.XLOOKUP($B$2,'BASE DE EXCEL'!$C:$C,'BASE DE EXCEL'!H:H,"NO HAY REFERENCIA")</f>
        <v>46086</v>
      </c>
      <c r="CO31" s="3">
        <f>_xlfn.XLOOKUP($B$2,'BASE DE EXCEL'!$C:$C,'BASE DE EXCEL'!I:I,"NO HAY REFERENCIA")</f>
        <v>4</v>
      </c>
      <c r="CP31" s="3" t="str">
        <f>_xlfn.XLOOKUP($B$2,'BASE DE EXCEL'!$C:$C,'BASE DE EXCEL'!J:J,"NO HAY REFERENCIA")</f>
        <v>4 a 5 días</v>
      </c>
      <c r="CQ31" s="4">
        <f>_xlfn.XLOOKUP($B$2,'BASE DE EXCEL'!$C:$C,'BASE DE EXCEL'!K:K,"NO HAY REFERENCIA")</f>
        <v>46087</v>
      </c>
      <c r="CR31" s="3">
        <f>_xlfn.XLOOKUP($B$2,'BASE DE EXCEL'!$C:$C,'BASE DE EXCEL'!L:L,"NO HAY REFERENCIA")</f>
        <v>5</v>
      </c>
      <c r="CS31" s="3">
        <f>_xlfn.XLOOKUP($B$2,'BASE DE EXCEL'!$C:$C,'BASE DE EXCEL'!M:M,"NO HAY REFERENCIA")</f>
        <v>6</v>
      </c>
      <c r="CT31" s="3" t="str">
        <f>_xlfn.XLOOKUP($B$2,'BASE DE EXCEL'!$C:$C,'BASE DE EXCEL'!N:N,"NO HAY REFERENCIA")</f>
        <v>6 a 10 días</v>
      </c>
      <c r="CU31" s="3" t="str">
        <f>_xlfn.XLOOKUP($B$2,'BASE DE EXCEL'!$C:$C,'BASE DE EXCEL'!O:O,"NO HAY REFERENCIA")</f>
        <v>On Time</v>
      </c>
      <c r="CV31" s="3" t="str">
        <f>_xlfn.XLOOKUP(B31,'BASE DE EXCEL'!$C:$C,'BASE DE EXCEL'!P:P,"NO HAY REFERENCIA")</f>
        <v>4 a 5 días</v>
      </c>
      <c r="CW31" s="4">
        <f>_xlfn.XLOOKUP(B31,'BASE DE EXCEL'!$C:$C,'BASE DE EXCEL'!Q:Q,"NO HAY REFERENCIA")</f>
        <v>46049</v>
      </c>
      <c r="CX31" s="3">
        <f>_xlfn.XLOOKUP(B31,'BASE DE EXCEL'!$C:$C,'BASE DE EXCEL'!R:R,"NO HAY REFERENCIA")</f>
        <v>5</v>
      </c>
      <c r="CY31" s="3" t="str">
        <f>_xlfn.XLOOKUP(B31,'BASE DE EXCEL'!$C:$C,'BASE DE EXCEL'!S:S,"NO HAY REFERENCIA")</f>
        <v>4 a 5 días</v>
      </c>
      <c r="CZ31" s="3" t="str">
        <f>_xlfn.XLOOKUP(B31,'BASE DE EXCEL'!$C:$C,'BASE DE EXCEL'!T:T,"NO HAY REFERENCIA")</f>
        <v>On Time</v>
      </c>
      <c r="DA31" s="3">
        <f>_xlfn.XLOOKUP(B31,'BASE DE EXCEL'!$C:$C,'BASE DE EXCEL'!U:U,"NO HAY REFERENCIA")</f>
        <v>6</v>
      </c>
      <c r="DB31" s="3" t="str">
        <f>_xlfn.XLOOKUP(B31,'BASE DE EXCEL'!$C:$C,'BASE DE EXCEL'!V:V,"NO HAY REFERENCIA")</f>
        <v>4 a 5 días</v>
      </c>
      <c r="DC31" s="3">
        <f>_xlfn.XLOOKUP(B31,'BASE DE EXCEL'!$C:$C,'BASE DE EXCEL'!W:W,"NO HAY REFERENCIA")</f>
        <v>7</v>
      </c>
      <c r="DD31" s="3" t="str">
        <f>_xlfn.XLOOKUP(B31,'BASE DE EXCEL'!$C:$C,'BASE DE EXCEL'!X:X,"NO HAY REFERENCIA")</f>
        <v>6 a 10 días</v>
      </c>
      <c r="DE31" s="3">
        <f>_xlfn.XLOOKUP(B31,'BASE DE EXCEL'!$C:$C,'BASE DE EXCEL'!Y:Y,"NO HAY REFERENCIA")</f>
        <v>1</v>
      </c>
      <c r="DF31" s="3" t="str">
        <f>_xlfn.XLOOKUP(B31,'BASE DE EXCEL'!$C:$C,'BASE DE EXCEL'!Z:Z,"NO HAY REFERENCIA")</f>
        <v>1 día o menos</v>
      </c>
      <c r="DG31" s="3">
        <f>_xlfn.XLOOKUP(B31,'BASE DE EXCEL'!$C:$C,'BASE DE EXCEL'!AA:AA,"NO HAY REFERENCIA")</f>
        <v>2</v>
      </c>
      <c r="DH31" s="3">
        <f>_xlfn.XLOOKUP(B31,'BASE DE EXCEL'!$C:$C,'BASE DE EXCEL'!AB:AB,"NO HAY REFERENCIA")</f>
        <v>1</v>
      </c>
      <c r="DI31" s="3" t="str">
        <f>_xlfn.XLOOKUP(B31,'BASE DE EXCEL'!$C:$C,'BASE DE EXCEL'!AC:AC,"NO HAY REFERENCIA")</f>
        <v>1 día o menos</v>
      </c>
      <c r="DJ31" s="4">
        <f>_xlfn.XLOOKUP(B31,'BASE DE EXCEL'!$C:$C,'BASE DE EXCEL'!AD:AD,"NO HAY REFERENCIA")</f>
        <v>46052</v>
      </c>
      <c r="DK31" s="3">
        <f>_xlfn.XLOOKUP(B31,'BASE DE EXCEL'!$C:$C,'BASE DE EXCEL'!AE:AE,"NO HAY REFERENCIA")</f>
        <v>3</v>
      </c>
      <c r="DL31" s="3">
        <f>_xlfn.XLOOKUP(B31,'BASE DE EXCEL'!$C:$C,'BASE DE EXCEL'!AF:AF,"NO HAY REFERENCIA")</f>
        <v>3</v>
      </c>
      <c r="DM31" s="4">
        <f>_xlfn.XLOOKUP(B31,'BASE DE EXCEL'!$C:$C,'BASE DE EXCEL'!AG:AG,"NO HAY REFERENCIA")</f>
        <v>46052</v>
      </c>
      <c r="DN31" s="4">
        <f>_xlfn.XLOOKUP(B31,'BASE DE EXCEL'!$C:$C,'BASE DE EXCEL'!AH:AH,"NO HAY REFERENCIA")</f>
        <v>46052</v>
      </c>
      <c r="DO31" s="3">
        <f>_xlfn.XLOOKUP(B31,'BASE DE EXCEL'!$C:$C,'BASE DE EXCEL'!AI:AI,"NO HAY REFERENCIA")</f>
        <v>0</v>
      </c>
      <c r="DP31" s="4" t="str">
        <f>_xlfn.XLOOKUP(B31,'BASE DE EXCEL'!$C:$C,'BASE DE EXCEL'!AJ:AJ,"NO HAY REFERENCIA")</f>
        <v>2 a 3 días</v>
      </c>
      <c r="DQ31" s="4">
        <f>_xlfn.XLOOKUP(B31,'BASE DE EXCEL'!$C:$C,'BASE DE EXCEL'!AK:AK,"NO HAY REFERENCIA")</f>
        <v>46052</v>
      </c>
      <c r="DR31" s="3">
        <f>_xlfn.XLOOKUP(B31,'BASE DE EXCEL'!$C:$C,'BASE DE EXCEL'!AL:AL,"NO HAY REFERENCIA")</f>
        <v>4</v>
      </c>
      <c r="DS31" s="3" t="str">
        <f>_xlfn.XLOOKUP(B31,'BASE DE EXCEL'!$C:$C,'BASE DE EXCEL'!AM:AM,"NO HAY REFERENCIA")</f>
        <v>4 a 5 días</v>
      </c>
      <c r="DT31" s="3" t="str">
        <f>_xlfn.XLOOKUP(B31,'BASE DE EXCEL'!$C:$C,'BASE DE EXCEL'!AN:AN,"NO HAY REFERENCIA")</f>
        <v>On Time</v>
      </c>
      <c r="DU31" s="3">
        <f>_xlfn.XLOOKUP(B31,'BASE DE EXCEL'!$C:$C,'BASE DE EXCEL'!AO:AO,"NO HAY REFERENCIA")</f>
        <v>1</v>
      </c>
      <c r="DV31" s="3" t="str">
        <f>_xlfn.XLOOKUP(B31,'BASE DE EXCEL'!$C:$C,'BASE DE EXCEL'!AP:AP,"NO HAY REFERENCIA")</f>
        <v>Es anterior</v>
      </c>
      <c r="DW31" s="3" t="str">
        <f>_xlfn.XLOOKUP(B31,'BASE DE EXCEL'!$C:$C,'BASE DE EXCEL'!AQ:AQ,"NO HAY REFERENCIA")</f>
        <v>A1</v>
      </c>
      <c r="DX31" s="3" t="str">
        <f>_xlfn.XLOOKUP(B31,'BASE DE EXCEL'!$C:$C,'BASE DE EXCEL'!AR:AR,"NO HAY REFERENCIA")</f>
        <v>ZULEIMA PEREZ RUIZ</v>
      </c>
      <c r="DY31" s="3" t="str">
        <f>_xlfn.XLOOKUP(B31,'BASE DE EXCEL'!$C:$C,'BASE DE EXCEL'!AS:AS,"NO HAY REFERENCIA")</f>
        <v>HLCURTM251230364</v>
      </c>
      <c r="DZ31" s="3" t="str">
        <f>_xlfn.XLOOKUP(B31,'BASE DE EXCEL'!$C:$C,'BASE DE EXCEL'!AT:AT,"NO HAY REFERENCIA")</f>
        <v>NULL</v>
      </c>
      <c r="EA31" s="3">
        <f>_xlfn.XLOOKUP(B31,'BASE DE EXCEL'!$C:$C,'BASE DE EXCEL'!AU:AU,"NO HAY REFERENCIA")</f>
        <v>6000096</v>
      </c>
      <c r="EB31" s="3" t="str">
        <f>_xlfn.XLOOKUP(B31,'BASE DE EXCEL'!$C:$C,'BASE DE EXCEL'!AV:AV,"NO HAY REFERENCIA")</f>
        <v>Importación</v>
      </c>
      <c r="EC31" s="3" t="str">
        <f>_xlfn.XLOOKUP(B31,'BASE DE EXCEL'!$C:$C,'BASE DE EXCEL'!AW:AW,"NO HAY REFERENCIA")</f>
        <v>NOBILIS IB MA5 (VACUNA DE USO VETERINARIO)</v>
      </c>
      <c r="ED31" s="3" t="str">
        <f>_xlfn.XLOOKUP(B31,'BASE DE EXCEL'!$C:$C,'BASE DE EXCEL'!AX:AX,"NO HAY REFERENCIA")</f>
        <v>SIN CLASIFICACION</v>
      </c>
      <c r="EE31" s="3">
        <f>_xlfn.XLOOKUP(B31,'BASE DE EXCEL'!$C:$C,'BASE DE EXCEL'!AY:AY,"NO HAY REFERENCIA")</f>
        <v>0</v>
      </c>
      <c r="EF31" s="3" t="str">
        <f>_xlfn.XLOOKUP(B31,'BASE DE EXCEL'!$C:$C,'BASE DE EXCEL'!AZ:AZ,"NO HAY REFERENCIA")</f>
        <v>Cargas de Importación</v>
      </c>
      <c r="EG31" s="3" t="str">
        <f>_xlfn.XLOOKUP(B31,'BASE DE EXCEL'!$C:$C,'BASE DE EXCEL'!BA:BA,"NO HAY REFERENCIA")</f>
        <v>INTERVET MEXICO SA DE CV</v>
      </c>
      <c r="EH31" s="3">
        <f>_xlfn.XLOOKUP(B31,'BASE DE EXCEL'!$C:$C,'BASE DE EXCEL'!BB:BB,"NO HAY REFERENCIA")</f>
        <v>0</v>
      </c>
      <c r="EI31" s="3" t="str">
        <f>_xlfn.XLOOKUP(B31,'BASE DE EXCEL'!$C:$C,'BASE DE EXCEL'!BC:BC,"NO HAY REFERENCIA")</f>
        <v>NINGUNO</v>
      </c>
      <c r="EJ31" s="3">
        <f>_xlfn.XLOOKUP(B31,'BASE DE EXCEL'!$C:$C,'BASE DE EXCEL'!BD:BD,"NO HAY REFERENCIA")</f>
        <v>0</v>
      </c>
      <c r="EK31" s="3" t="str">
        <f>_xlfn.XLOOKUP(B31,'BASE DE EXCEL'!$C:$C,'BASE DE EXCEL'!BE:BE,"NO HAY REFERENCIA")</f>
        <v>NINGUNO</v>
      </c>
      <c r="EL31" s="3" t="str">
        <f>_xlfn.XLOOKUP(B31,'BASE DE EXCEL'!$C:$C,'BASE DE EXCEL'!BF:BF,"NO HAY REFERENCIA")</f>
        <v>PRODUCTO TERMINADO</v>
      </c>
      <c r="EM31" s="3" t="str">
        <f>_xlfn.XLOOKUP(B31,'BASE DE EXCEL'!$C:$C,'BASE DE EXCEL'!BG:BG,"NO HAY REFERENCIA")</f>
        <v>Verde</v>
      </c>
      <c r="EN31" s="3" t="str">
        <f>_xlfn.XLOOKUP(B31,'BASE DE EXCEL'!$C:$C,'BASE DE EXCEL'!BH:BH,"NO HAY REFERENCIA")</f>
        <v xml:space="preserve"> SUPER EXPRESS DE CARGA FEDERAL S.A. DE C.V.</v>
      </c>
      <c r="EO31" s="3">
        <f>_xlfn.XLOOKUP(B31,'BASE DE EXCEL'!$C:$C,'BASE DE EXCEL'!BI:BI,"NO HAY REFERENCIA")</f>
        <v>0</v>
      </c>
      <c r="EP31" s="3" t="str">
        <f>_xlfn.XLOOKUP(B31,'BASE DE EXCEL'!$C:$C,'BASE DE EXCEL'!BJ:BJ,"NO HAY REFERENCIA")</f>
        <v>IME-T003</v>
      </c>
      <c r="EQ31" s="3" t="str">
        <f>_xlfn.XLOOKUP(B31,'BASE DE EXCEL'!$C:$C,'BASE DE EXCEL'!BK:BK,"NO HAY REFERENCIA")</f>
        <v>IME850329RH2</v>
      </c>
      <c r="ER31" s="3">
        <f>_xlfn.XLOOKUP(B31,'BASE DE EXCEL'!$C:$C,'BASE DE EXCEL'!BL:BL,"NO HAY REFERENCIA")</f>
        <v>0</v>
      </c>
      <c r="ES31" s="3" t="str">
        <f>_xlfn.XLOOKUP(B31,'BASE DE EXCEL'!$C:$C,'BASE DE EXCEL'!BM:BM,"NO HAY REFERENCIA")</f>
        <v>00,99</v>
      </c>
      <c r="ET31" s="3" t="str">
        <f>_xlfn.XLOOKUP(B31,'BASE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31" s="3">
        <f>_xlfn.XLOOKUP(B31,'BASE DE EXCEL'!$C:$C,'BASE DE EXCEL'!BO:BO,"NO HAY REFERENCIA")</f>
        <v>90</v>
      </c>
      <c r="EV31" s="3" t="str">
        <f>_xlfn.XLOOKUP(B31,'BASE DE EXCEL'!$C:$C,'BASE DE EXCEL'!BP:BP,"NO HAY REFERENCIA")</f>
        <v xml:space="preserve"> 167500.95, 3481449.92, 1040102.50, 9912953.44, 7554117.00</v>
      </c>
      <c r="EW31" s="3" t="str">
        <f>_xlfn.XLOOKUP(B31,'BASE DE EXCEL'!$C:$C,'BASE DE EXCEL'!BQ:BQ,"NO HAY REFERENCIA")</f>
        <v>KILO,KILO,KILO,KILO,KILO,KILO,KILO,KILO,KILO,KILO,KILO,KILO,KILO</v>
      </c>
      <c r="EX31" s="3">
        <f>_xlfn.XLOOKUP(B31,'BASE DE EXCEL'!$C:$C,'BASE DE EXCEL'!BR:BR,"NO HAY REFERENCIA")</f>
        <v>0</v>
      </c>
      <c r="EY31" s="3" t="str">
        <f>_xlfn.XLOOKUP(B31,'BASE DE EXCEL'!$C:$C,'BASE DE EXCEL'!BS:BS,"NO HAY REFERENCIA")</f>
        <v>PAISES BAJOS (REINO DE LOS) (HOLANDA)</v>
      </c>
      <c r="EZ31" s="3" t="str">
        <f>_xlfn.XLOOKUP(B31,'BASE DE EXCEL'!$C:$C,'BASE DE EXCEL'!BT:BT,"NO HAY REFERENCIA")</f>
        <v>PAISES BAJOS (REINO DE LOS) (HOLANDA)</v>
      </c>
      <c r="FA31" s="3" t="str">
        <f>_xlfn.XLOOKUP(B31,'BASE DE EXCEL'!$C:$C,'BASE DE EXCEL'!BU:BU,"NO HAY REFERENCIA")</f>
        <v>ZYA</v>
      </c>
      <c r="FB31" s="3" t="str">
        <f>_xlfn.XLOOKUP(B31,'BASE DE EXCEL'!$C:$C,'BASE DE EXCEL'!BV:BV,"NO HAY REFERENCIA")</f>
        <v>ZYA</v>
      </c>
      <c r="FC31" s="3">
        <f>_xlfn.XLOOKUP(B31,QUERY!$C:$C,QUERY!D:D)</f>
        <v>430</v>
      </c>
      <c r="FD31" s="4">
        <f>_xlfn.XLOOKUP(B31,QUERY!$C:$C,QUERY!E:E)</f>
        <v>46045</v>
      </c>
      <c r="FE31" s="3">
        <f>_xlfn.XLOOKUP(B31,QUERY!$C:$C,QUERY!F:F)</f>
        <v>1</v>
      </c>
      <c r="FF31" s="4">
        <f>_xlfn.XLOOKUP(B31,QUERY!$C:$C,QUERY!G:G)</f>
        <v>46043</v>
      </c>
      <c r="FG31" s="4">
        <f>_xlfn.XLOOKUP(B31,QUERY!$C:$C,QUERY!H:H)</f>
        <v>46045</v>
      </c>
      <c r="FH31" s="3">
        <f>_xlfn.XLOOKUP(B31,QUERY!$C:$C,QUERY!I:I)</f>
        <v>2</v>
      </c>
      <c r="FI31" s="3" t="str">
        <f>_xlfn.XLOOKUP(B31,QUERY!$C:$C,QUERY!J:J)</f>
        <v>2 a 3 días</v>
      </c>
      <c r="FJ31" s="4">
        <f>_xlfn.XLOOKUP(B31,QUERY!$C:$C,QUERY!K:K)</f>
        <v>46048</v>
      </c>
      <c r="FK31" s="3">
        <f>_xlfn.XLOOKUP(B31,QUERY!$C:$C,QUERY!L:L)</f>
        <v>3</v>
      </c>
      <c r="FL31" s="3" t="str">
        <f>_xlfn.XLOOKUP(B31,QUERY!$C:$C,QUERY!M:M)</f>
        <v>2 a 3 días</v>
      </c>
      <c r="FM31" s="3">
        <f>_xlfn.XLOOKUP(B31,QUERY!$C:$C,QUERY!N:N)</f>
        <v>1</v>
      </c>
      <c r="FN31" s="3" t="str">
        <f>_xlfn.XLOOKUP(B31,QUERY!$C:$C,QUERY!O:O)</f>
        <v>1 día o menos</v>
      </c>
      <c r="FO31" s="3">
        <f>_xlfn.XLOOKUP(B31,QUERY!$C:$C,QUERY!P:P)</f>
        <v>1</v>
      </c>
      <c r="FP31" s="3">
        <f>_xlfn.XLOOKUP(B31,QUERY!$C:$C,QUERY!Q:Q)</f>
        <v>1</v>
      </c>
      <c r="FQ31" s="3" t="str">
        <f>_xlfn.XLOOKUP(B31,QUERY!$C:$C,QUERY!R:R)</f>
        <v>1 día o menos</v>
      </c>
      <c r="FR31" s="4">
        <f>_xlfn.XLOOKUP(B31,QUERY!$C:$C,QUERY!S:S)</f>
        <v>46049</v>
      </c>
      <c r="FS31" s="3">
        <f>_xlfn.XLOOKUP(B31,QUERY!$C:$C,QUERY!T:T)</f>
        <v>4</v>
      </c>
      <c r="FT31" s="3" t="str">
        <f>_xlfn.XLOOKUP(B31,QUERY!$C:$C,QUERY!U:U)</f>
        <v>4 a 5 días</v>
      </c>
      <c r="FU31" s="3">
        <f>_xlfn.XLOOKUP(B31,QUERY!$C:$C,QUERY!V:V)</f>
        <v>7</v>
      </c>
      <c r="FV31" s="3" t="str">
        <f>_xlfn.XLOOKUP(B31,QUERY!$C:$C,QUERY!W:W)</f>
        <v>6 a 10 días</v>
      </c>
      <c r="FW31" s="4">
        <f>_xlfn.XLOOKUP(B31,QUERY!$C:$C,QUERY!X:X)</f>
        <v>46052</v>
      </c>
      <c r="FX31" s="3">
        <f>_xlfn.XLOOKUP(B31,QUERY!$C:$C,QUERY!Y:Y)</f>
        <v>3</v>
      </c>
      <c r="FY31" s="3">
        <f>_xlfn.XLOOKUP(B31,QUERY!$C:$C,QUERY!Z:Z)</f>
        <v>3</v>
      </c>
      <c r="FZ31" s="4" t="str">
        <f>_xlfn.XLOOKUP(B31,QUERY!$C:$C,QUERY!AA:AA)</f>
        <v>2 a 3 días</v>
      </c>
      <c r="GA31" s="4">
        <f>_xlfn.XLOOKUP(B31,QUERY!$C:$C,QUERY!AB:AB)</f>
        <v>46052</v>
      </c>
      <c r="GB31" s="4">
        <f>_xlfn.XLOOKUP(B31,QUERY!$C:$C,QUERY!AC:AC)</f>
        <v>46052</v>
      </c>
      <c r="GC31" s="3">
        <f>_xlfn.XLOOKUP(B31,QUERY!$C:$C,QUERY!AD:AD)</f>
        <v>0</v>
      </c>
      <c r="GD31" s="4">
        <f>_xlfn.XLOOKUP(B31,QUERY!$C:$C,QUERY!AE:AE)</f>
        <v>46052</v>
      </c>
      <c r="GE31" s="3">
        <f>_xlfn.XLOOKUP(B31,QUERY!$C:$C,QUERY!AF:AF)</f>
        <v>1</v>
      </c>
      <c r="GF31" s="4" t="str">
        <f>_xlfn.XLOOKUP(B31,QUERY!$C:$C,QUERY!AG:AG)</f>
        <v>Es anterior</v>
      </c>
      <c r="GG31" s="3" t="str">
        <f>_xlfn.XLOOKUP(B31,QUERY!$C:$C,QUERY!AH:AH)</f>
        <v>A1</v>
      </c>
      <c r="GH31" s="3" t="str">
        <f>_xlfn.XLOOKUP(B31,QUERY!$C:$C,QUERY!AI:AI)</f>
        <v>ZULEIMA PEREZ RUIZ</v>
      </c>
      <c r="GI31" s="3" t="str">
        <f>_xlfn.XLOOKUP(B31,QUERY!$C:$C,QUERY!AJ:AJ)</f>
        <v>HLCURTM251230364</v>
      </c>
      <c r="GJ31" s="3" t="str">
        <f>_xlfn.XLOOKUP(B31,QUERY!$C:$C,QUERY!AK:AK)</f>
        <v>NULL</v>
      </c>
      <c r="GK31" s="3">
        <f>_xlfn.XLOOKUP(B31,QUERY!$C:$C,QUERY!AL:AL)</f>
        <v>6000096</v>
      </c>
      <c r="GL31" s="3" t="str">
        <f>_xlfn.XLOOKUP(B31,QUERY!$C:$C,QUERY!AM:AM)</f>
        <v>Importación</v>
      </c>
      <c r="GM31" s="3" t="str">
        <f>_xlfn.XLOOKUP(B31,QUERY!$C:$C,QUERY!AN:AN)</f>
        <v>NOBILIS IB MA5 (VACUNA DE USO VETERINARIO)</v>
      </c>
      <c r="GN31" s="3" t="str">
        <f>_xlfn.XLOOKUP(B31,QUERY!$C:$C,QUERY!AO:AO)</f>
        <v>SIN CLASIFICACION</v>
      </c>
      <c r="GO31" s="3">
        <f>_xlfn.XLOOKUP(B31,QUERY!$C:$C,QUERY!AP:AP)</f>
        <v>0</v>
      </c>
      <c r="GP31" s="3" t="str">
        <f>_xlfn.XLOOKUP(B31,QUERY!$C:$C,QUERY!AQ:AQ)</f>
        <v>Cargas de Importación</v>
      </c>
      <c r="GQ31" s="3" t="str">
        <f>_xlfn.XLOOKUP(B31,QUERY!$C:$C,QUERY!AR:AR)</f>
        <v>INTERVET MEXICO SA DE CV</v>
      </c>
      <c r="GR31" s="3">
        <f>_xlfn.XLOOKUP(B31,QUERY!$C:$C,QUERY!AS:AS)</f>
        <v>0</v>
      </c>
      <c r="GS31" s="3" t="str">
        <f>_xlfn.XLOOKUP(B31,QUERY!$C:$C,QUERY!AT:AT)</f>
        <v>NINGUNO</v>
      </c>
      <c r="GT31" s="3">
        <f>_xlfn.XLOOKUP(B31,QUERY!$C:$C,QUERY!AU:AU)</f>
        <v>0</v>
      </c>
      <c r="GU31" s="3" t="str">
        <f>_xlfn.XLOOKUP(B31,QUERY!$C:$C,QUERY!AV:AV)</f>
        <v>NINGUNO</v>
      </c>
      <c r="GV31" s="3" t="str">
        <f>_xlfn.XLOOKUP(B31,QUERY!$C:$C,QUERY!AW:AW)</f>
        <v>PRODUCTO TERMINADO</v>
      </c>
      <c r="GW31" s="3" t="str">
        <f>_xlfn.XLOOKUP(B31,QUERY!$C:$C,QUERY!AX:AX)</f>
        <v>Verde</v>
      </c>
      <c r="GX31" s="3" t="str">
        <f>_xlfn.XLOOKUP(B31,QUERY!$C:$C,QUERY!AY:AY)</f>
        <v xml:space="preserve"> SUPER EXPRESS DE CARGA FEDERAL S.A. DE C.V.</v>
      </c>
      <c r="GY31" s="3">
        <f>_xlfn.XLOOKUP(B31,QUERY!$C:$C,QUERY!AZ:AZ)</f>
        <v>0</v>
      </c>
      <c r="GZ31" s="3" t="str">
        <f>_xlfn.XLOOKUP(B31,QUERY!$C:$C,QUERY!BA:BA)</f>
        <v>IME-T003</v>
      </c>
      <c r="HA31" s="3" t="str">
        <f>_xlfn.XLOOKUP(B31,QUERY!$C:$C,QUERY!BB:BB)</f>
        <v>IME850329RH2</v>
      </c>
      <c r="HB31" s="3">
        <f>_xlfn.XLOOKUP(B31,QUERY!$C:$C,QUERY!BC:BC)</f>
        <v>0</v>
      </c>
      <c r="HC31" s="3">
        <f>_xlfn.XLOOKUP(B31,QUERY!$C:$C,QUERY!BD:BD)</f>
        <v>0.99</v>
      </c>
      <c r="HD31" s="3" t="str">
        <f>_xlfn.XLOOKUP(B31,QUERY!$C:$C,QUERY!BE:BE)</f>
        <v>LOTE: SA536AA38,LOTE: J654A01,LOTE: A449A02,LOTE: 2408467J03,LOTE: A372B02,LOTE: A179B01,LOTE: A264A02,LOTE: A218A01,LOTE: A197A01,LOTE: B277A01,LOTE: B274A01,LOTE: A414A01,LOTES: A462A03, A463A01</v>
      </c>
      <c r="HE31" s="3">
        <f>_xlfn.XLOOKUP(B31,QUERY!$C:$C,QUERY!BF:BF)</f>
        <v>90</v>
      </c>
      <c r="HF31" s="3" t="str">
        <f>_xlfn.XLOOKUP(B31,QUERY!$C:$C,QUERY!BG:BG)</f>
        <v xml:space="preserve"> 167500.95, 3481449.92, 1040102.50, 9912953.44, 7554117.00</v>
      </c>
      <c r="HG31" s="3" t="str">
        <f>_xlfn.XLOOKUP(B31,QUERY!$C:$C,QUERY!BH:BH)</f>
        <v>KILO,KILO,KILO,KILO,KILO,KILO,KILO,KILO,KILO,KILO,KILO,KILO,KILO</v>
      </c>
      <c r="HH31" s="3">
        <f>_xlfn.XLOOKUP(B31,QUERY!$C:$C,QUERY!BI:BI)</f>
        <v>0</v>
      </c>
      <c r="HI31" s="3" t="str">
        <f>_xlfn.XLOOKUP(B31,QUERY!$C:$C,QUERY!BJ:BJ)</f>
        <v>PAISES BAJOS (REINO DE LOS) (HOLANDA)</v>
      </c>
      <c r="HJ31" s="3" t="str">
        <f>_xlfn.XLOOKUP(B31,QUERY!$C:$C,QUERY!BK:BK)</f>
        <v>PAISES BAJOS (REINO DE LOS) (HOLANDA)</v>
      </c>
      <c r="HK31" s="3" t="str">
        <f>_xlfn.XLOOKUP(B31,QUERY!$C:$C,QUERY!BL:BL)</f>
        <v>ZYA</v>
      </c>
      <c r="HL31" s="3" t="str">
        <f>_xlfn.XLOOKUP(B31,QUERY!$C:$C,QUERY!BM:BM)</f>
        <v>ZYA</v>
      </c>
      <c r="HM31" s="3">
        <f>_xlfn.XLOOKUP(B31,QUERY!$C:$C,QUERY!BN:BN)</f>
        <v>22156123</v>
      </c>
      <c r="HN31" s="3" t="str">
        <f>_xlfn.XLOOKUP(B31,QUERY!$C:$C,QUERY!BO:BO)</f>
        <v>462.00</v>
      </c>
      <c r="HO31" s="3" t="str">
        <f>_xlfn.XLOOKUP(B31,QUERY!$C:$C,QUERY!BP:BP)</f>
        <v>NULL</v>
      </c>
      <c r="HP31" s="3" t="str">
        <f>_xlfn.XLOOKUP(B31,QUERY!$C:$C,QUERY!BQ:BQ)</f>
        <v>NULL</v>
      </c>
      <c r="HQ31" s="3" t="str">
        <f>_xlfn.XLOOKUP(B31,QUERY!$C:$C,QUERY!BR:BR)</f>
        <v>350419.46</v>
      </c>
      <c r="HR31" s="3">
        <f>_xlfn.XLOOKUP(B31,QUERY!$C:$C,QUERY!BS:BS)</f>
        <v>0</v>
      </c>
      <c r="HS31" s="3">
        <f>_xlfn.XLOOKUP(B31,QUERY!$C:$C,QUERY!BT:BT)</f>
        <v>0</v>
      </c>
      <c r="HT31" s="3" t="str">
        <f>_xlfn.XLOOKUP(B31,QUERY!$C:$C,QUERY!A:A)</f>
        <v>VERACRUZ</v>
      </c>
      <c r="HU31" s="3" t="str">
        <f>_xlfn.XLOOKUP(B31,QUERY!$C:$C,QUERY!B:B)</f>
        <v>MARÍTIMO VERACRUZ</v>
      </c>
    </row>
    <row r="32" spans="1:229" x14ac:dyDescent="0.25">
      <c r="A32" s="3" t="s">
        <v>90</v>
      </c>
      <c r="B32" s="9" t="s">
        <v>141</v>
      </c>
      <c r="C32" s="3">
        <v>3942</v>
      </c>
      <c r="D32" s="3">
        <v>6000096</v>
      </c>
      <c r="E32" s="3"/>
      <c r="F32" s="3" t="s">
        <v>92</v>
      </c>
      <c r="G32" s="3" t="s">
        <v>93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430</v>
      </c>
      <c r="S32" s="3" t="s">
        <v>142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161</v>
      </c>
      <c r="AB32" s="3"/>
      <c r="AC32" s="3">
        <v>2796780</v>
      </c>
      <c r="AD32" s="3">
        <v>420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/>
      <c r="AP32" s="3" t="s">
        <v>98</v>
      </c>
      <c r="AQ32" s="3">
        <v>210361687</v>
      </c>
      <c r="AR32" s="3" t="s">
        <v>99</v>
      </c>
      <c r="AS32" s="3" t="s">
        <v>100</v>
      </c>
      <c r="AT32" s="3">
        <v>0</v>
      </c>
      <c r="AU32" s="3">
        <v>0</v>
      </c>
      <c r="AV32" s="3">
        <v>0</v>
      </c>
      <c r="AW32" s="3">
        <v>30024201</v>
      </c>
      <c r="AX32" s="3">
        <v>99</v>
      </c>
      <c r="AY32" s="3">
        <v>6659</v>
      </c>
      <c r="AZ32" s="3">
        <v>6659</v>
      </c>
      <c r="BA32" s="3" t="s">
        <v>103</v>
      </c>
      <c r="BB32" s="3"/>
      <c r="BC32" s="3" t="s">
        <v>105</v>
      </c>
      <c r="BD32" s="3" t="s">
        <v>105</v>
      </c>
      <c r="BE32" s="3"/>
      <c r="BF32" s="3"/>
      <c r="BG32" s="5"/>
      <c r="BH32" s="3"/>
      <c r="BI32" s="3"/>
      <c r="BJ32" s="3"/>
      <c r="BK32" s="3" t="s">
        <v>157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 t="s">
        <v>111</v>
      </c>
      <c r="CF32" s="3">
        <v>0</v>
      </c>
      <c r="CG32" s="3">
        <v>0</v>
      </c>
      <c r="CH32" s="3">
        <v>0</v>
      </c>
      <c r="CI32" s="3" t="s">
        <v>112</v>
      </c>
      <c r="CJ32" s="3" t="s">
        <v>112</v>
      </c>
      <c r="CK32" s="3">
        <f>_xlfn.XLOOKUP($B$2,'BASE DE EXCEL'!C:C,'BASE DE EXCEL'!D:D,"NO HAY REFERENCIA")</f>
        <v>470</v>
      </c>
      <c r="CL32" s="5">
        <f>_xlfn.XLOOKUP($B$2,'BASE DE EXCEL'!$C:$C,'BASE DE EXCEL'!F:F,"NO HAY REFERENCIA")</f>
        <v>3</v>
      </c>
      <c r="CM32" s="4">
        <f>_xlfn.XLOOKUP($B$2,'BASE DE EXCEL'!$C:$C,'BASE DE EXCEL'!G:G,"NO HAY REFERENCIA")</f>
        <v>46080</v>
      </c>
      <c r="CN32" s="4">
        <f>_xlfn.XLOOKUP($B$2,'BASE DE EXCEL'!$C:$C,'BASE DE EXCEL'!H:H,"NO HAY REFERENCIA")</f>
        <v>46086</v>
      </c>
      <c r="CO32" s="3">
        <f>_xlfn.XLOOKUP($B$2,'BASE DE EXCEL'!$C:$C,'BASE DE EXCEL'!I:I,"NO HAY REFERENCIA")</f>
        <v>4</v>
      </c>
      <c r="CP32" s="3" t="str">
        <f>_xlfn.XLOOKUP($B$2,'BASE DE EXCEL'!$C:$C,'BASE DE EXCEL'!J:J,"NO HAY REFERENCIA")</f>
        <v>4 a 5 días</v>
      </c>
      <c r="CQ32" s="4">
        <f>_xlfn.XLOOKUP($B$2,'BASE DE EXCEL'!$C:$C,'BASE DE EXCEL'!K:K,"NO HAY REFERENCIA")</f>
        <v>46087</v>
      </c>
      <c r="CR32" s="3">
        <f>_xlfn.XLOOKUP($B$2,'BASE DE EXCEL'!$C:$C,'BASE DE EXCEL'!L:L,"NO HAY REFERENCIA")</f>
        <v>5</v>
      </c>
      <c r="CS32" s="3">
        <f>_xlfn.XLOOKUP($B$2,'BASE DE EXCEL'!$C:$C,'BASE DE EXCEL'!M:M,"NO HAY REFERENCIA")</f>
        <v>6</v>
      </c>
      <c r="CT32" s="3" t="str">
        <f>_xlfn.XLOOKUP($B$2,'BASE DE EXCEL'!$C:$C,'BASE DE EXCEL'!N:N,"NO HAY REFERENCIA")</f>
        <v>6 a 10 días</v>
      </c>
      <c r="CU32" s="3" t="str">
        <f>_xlfn.XLOOKUP($B$2,'BASE DE EXCEL'!$C:$C,'BASE DE EXCEL'!O:O,"NO HAY REFERENCIA")</f>
        <v>On Time</v>
      </c>
      <c r="CV32" s="3" t="str">
        <f>_xlfn.XLOOKUP(B32,'BASE DE EXCEL'!$C:$C,'BASE DE EXCEL'!P:P,"NO HAY REFERENCIA")</f>
        <v>4 a 5 días</v>
      </c>
      <c r="CW32" s="4">
        <f>_xlfn.XLOOKUP(B32,'BASE DE EXCEL'!$C:$C,'BASE DE EXCEL'!Q:Q,"NO HAY REFERENCIA")</f>
        <v>46049</v>
      </c>
      <c r="CX32" s="3">
        <f>_xlfn.XLOOKUP(B32,'BASE DE EXCEL'!$C:$C,'BASE DE EXCEL'!R:R,"NO HAY REFERENCIA")</f>
        <v>5</v>
      </c>
      <c r="CY32" s="3" t="str">
        <f>_xlfn.XLOOKUP(B32,'BASE DE EXCEL'!$C:$C,'BASE DE EXCEL'!S:S,"NO HAY REFERENCIA")</f>
        <v>4 a 5 días</v>
      </c>
      <c r="CZ32" s="3" t="str">
        <f>_xlfn.XLOOKUP(B32,'BASE DE EXCEL'!$C:$C,'BASE DE EXCEL'!T:T,"NO HAY REFERENCIA")</f>
        <v>On Time</v>
      </c>
      <c r="DA32" s="3">
        <f>_xlfn.XLOOKUP(B32,'BASE DE EXCEL'!$C:$C,'BASE DE EXCEL'!U:U,"NO HAY REFERENCIA")</f>
        <v>6</v>
      </c>
      <c r="DB32" s="3" t="str">
        <f>_xlfn.XLOOKUP(B32,'BASE DE EXCEL'!$C:$C,'BASE DE EXCEL'!V:V,"NO HAY REFERENCIA")</f>
        <v>4 a 5 días</v>
      </c>
      <c r="DC32" s="3">
        <f>_xlfn.XLOOKUP(B32,'BASE DE EXCEL'!$C:$C,'BASE DE EXCEL'!W:W,"NO HAY REFERENCIA")</f>
        <v>7</v>
      </c>
      <c r="DD32" s="3" t="str">
        <f>_xlfn.XLOOKUP(B32,'BASE DE EXCEL'!$C:$C,'BASE DE EXCEL'!X:X,"NO HAY REFERENCIA")</f>
        <v>6 a 10 días</v>
      </c>
      <c r="DE32" s="3">
        <f>_xlfn.XLOOKUP(B32,'BASE DE EXCEL'!$C:$C,'BASE DE EXCEL'!Y:Y,"NO HAY REFERENCIA")</f>
        <v>1</v>
      </c>
      <c r="DF32" s="3" t="str">
        <f>_xlfn.XLOOKUP(B32,'BASE DE EXCEL'!$C:$C,'BASE DE EXCEL'!Z:Z,"NO HAY REFERENCIA")</f>
        <v>1 día o menos</v>
      </c>
      <c r="DG32" s="3">
        <f>_xlfn.XLOOKUP(B32,'BASE DE EXCEL'!$C:$C,'BASE DE EXCEL'!AA:AA,"NO HAY REFERENCIA")</f>
        <v>2</v>
      </c>
      <c r="DH32" s="3">
        <f>_xlfn.XLOOKUP(B32,'BASE DE EXCEL'!$C:$C,'BASE DE EXCEL'!AB:AB,"NO HAY REFERENCIA")</f>
        <v>1</v>
      </c>
      <c r="DI32" s="3" t="str">
        <f>_xlfn.XLOOKUP(B32,'BASE DE EXCEL'!$C:$C,'BASE DE EXCEL'!AC:AC,"NO HAY REFERENCIA")</f>
        <v>1 día o menos</v>
      </c>
      <c r="DJ32" s="4">
        <f>_xlfn.XLOOKUP(B32,'BASE DE EXCEL'!$C:$C,'BASE DE EXCEL'!AD:AD,"NO HAY REFERENCIA")</f>
        <v>46052</v>
      </c>
      <c r="DK32" s="3">
        <f>_xlfn.XLOOKUP(B32,'BASE DE EXCEL'!$C:$C,'BASE DE EXCEL'!AE:AE,"NO HAY REFERENCIA")</f>
        <v>3</v>
      </c>
      <c r="DL32" s="3">
        <f>_xlfn.XLOOKUP(B32,'BASE DE EXCEL'!$C:$C,'BASE DE EXCEL'!AF:AF,"NO HAY REFERENCIA")</f>
        <v>3</v>
      </c>
      <c r="DM32" s="4">
        <f>_xlfn.XLOOKUP(B32,'BASE DE EXCEL'!$C:$C,'BASE DE EXCEL'!AG:AG,"NO HAY REFERENCIA")</f>
        <v>46052</v>
      </c>
      <c r="DN32" s="4">
        <f>_xlfn.XLOOKUP(B32,'BASE DE EXCEL'!$C:$C,'BASE DE EXCEL'!AH:AH,"NO HAY REFERENCIA")</f>
        <v>46052</v>
      </c>
      <c r="DO32" s="3">
        <f>_xlfn.XLOOKUP(B32,'BASE DE EXCEL'!$C:$C,'BASE DE EXCEL'!AI:AI,"NO HAY REFERENCIA")</f>
        <v>0</v>
      </c>
      <c r="DP32" s="4" t="str">
        <f>_xlfn.XLOOKUP(B32,'BASE DE EXCEL'!$C:$C,'BASE DE EXCEL'!AJ:AJ,"NO HAY REFERENCIA")</f>
        <v>2 a 3 días</v>
      </c>
      <c r="DQ32" s="4">
        <f>_xlfn.XLOOKUP(B32,'BASE DE EXCEL'!$C:$C,'BASE DE EXCEL'!AK:AK,"NO HAY REFERENCIA")</f>
        <v>46052</v>
      </c>
      <c r="DR32" s="3">
        <f>_xlfn.XLOOKUP(B32,'BASE DE EXCEL'!$C:$C,'BASE DE EXCEL'!AL:AL,"NO HAY REFERENCIA")</f>
        <v>4</v>
      </c>
      <c r="DS32" s="3" t="str">
        <f>_xlfn.XLOOKUP(B32,'BASE DE EXCEL'!$C:$C,'BASE DE EXCEL'!AM:AM,"NO HAY REFERENCIA")</f>
        <v>4 a 5 días</v>
      </c>
      <c r="DT32" s="3" t="str">
        <f>_xlfn.XLOOKUP(B32,'BASE DE EXCEL'!$C:$C,'BASE DE EXCEL'!AN:AN,"NO HAY REFERENCIA")</f>
        <v>On Time</v>
      </c>
      <c r="DU32" s="3">
        <f>_xlfn.XLOOKUP(B32,'BASE DE EXCEL'!$C:$C,'BASE DE EXCEL'!AO:AO,"NO HAY REFERENCIA")</f>
        <v>1</v>
      </c>
      <c r="DV32" s="3" t="str">
        <f>_xlfn.XLOOKUP(B32,'BASE DE EXCEL'!$C:$C,'BASE DE EXCEL'!AP:AP,"NO HAY REFERENCIA")</f>
        <v>Es anterior</v>
      </c>
      <c r="DW32" s="3" t="str">
        <f>_xlfn.XLOOKUP(B32,'BASE DE EXCEL'!$C:$C,'BASE DE EXCEL'!AQ:AQ,"NO HAY REFERENCIA")</f>
        <v>A1</v>
      </c>
      <c r="DX32" s="3" t="str">
        <f>_xlfn.XLOOKUP(B32,'BASE DE EXCEL'!$C:$C,'BASE DE EXCEL'!AR:AR,"NO HAY REFERENCIA")</f>
        <v>ZULEIMA PEREZ RUIZ</v>
      </c>
      <c r="DY32" s="3" t="str">
        <f>_xlfn.XLOOKUP(B32,'BASE DE EXCEL'!$C:$C,'BASE DE EXCEL'!AS:AS,"NO HAY REFERENCIA")</f>
        <v>HLCURTM251230364</v>
      </c>
      <c r="DZ32" s="3" t="str">
        <f>_xlfn.XLOOKUP(B32,'BASE DE EXCEL'!$C:$C,'BASE DE EXCEL'!AT:AT,"NO HAY REFERENCIA")</f>
        <v>NULL</v>
      </c>
      <c r="EA32" s="3">
        <f>_xlfn.XLOOKUP(B32,'BASE DE EXCEL'!$C:$C,'BASE DE EXCEL'!AU:AU,"NO HAY REFERENCIA")</f>
        <v>6000096</v>
      </c>
      <c r="EB32" s="3" t="str">
        <f>_xlfn.XLOOKUP(B32,'BASE DE EXCEL'!$C:$C,'BASE DE EXCEL'!AV:AV,"NO HAY REFERENCIA")</f>
        <v>Importación</v>
      </c>
      <c r="EC32" s="3" t="str">
        <f>_xlfn.XLOOKUP(B32,'BASE DE EXCEL'!$C:$C,'BASE DE EXCEL'!AW:AW,"NO HAY REFERENCIA")</f>
        <v>NOBILIS IB MA5 (VACUNA DE USO VETERINARIO)</v>
      </c>
      <c r="ED32" s="3" t="str">
        <f>_xlfn.XLOOKUP(B32,'BASE DE EXCEL'!$C:$C,'BASE DE EXCEL'!AX:AX,"NO HAY REFERENCIA")</f>
        <v>SIN CLASIFICACION</v>
      </c>
      <c r="EE32" s="3">
        <f>_xlfn.XLOOKUP(B32,'BASE DE EXCEL'!$C:$C,'BASE DE EXCEL'!AY:AY,"NO HAY REFERENCIA")</f>
        <v>0</v>
      </c>
      <c r="EF32" s="3" t="str">
        <f>_xlfn.XLOOKUP(B32,'BASE DE EXCEL'!$C:$C,'BASE DE EXCEL'!AZ:AZ,"NO HAY REFERENCIA")</f>
        <v>Cargas de Importación</v>
      </c>
      <c r="EG32" s="3" t="str">
        <f>_xlfn.XLOOKUP(B32,'BASE DE EXCEL'!$C:$C,'BASE DE EXCEL'!BA:BA,"NO HAY REFERENCIA")</f>
        <v>INTERVET MEXICO SA DE CV</v>
      </c>
      <c r="EH32" s="3">
        <f>_xlfn.XLOOKUP(B32,'BASE DE EXCEL'!$C:$C,'BASE DE EXCEL'!BB:BB,"NO HAY REFERENCIA")</f>
        <v>0</v>
      </c>
      <c r="EI32" s="3" t="str">
        <f>_xlfn.XLOOKUP(B32,'BASE DE EXCEL'!$C:$C,'BASE DE EXCEL'!BC:BC,"NO HAY REFERENCIA")</f>
        <v>NINGUNO</v>
      </c>
      <c r="EJ32" s="3">
        <f>_xlfn.XLOOKUP(B32,'BASE DE EXCEL'!$C:$C,'BASE DE EXCEL'!BD:BD,"NO HAY REFERENCIA")</f>
        <v>0</v>
      </c>
      <c r="EK32" s="3" t="str">
        <f>_xlfn.XLOOKUP(B32,'BASE DE EXCEL'!$C:$C,'BASE DE EXCEL'!BE:BE,"NO HAY REFERENCIA")</f>
        <v>NINGUNO</v>
      </c>
      <c r="EL32" s="3" t="str">
        <f>_xlfn.XLOOKUP(B32,'BASE DE EXCEL'!$C:$C,'BASE DE EXCEL'!BF:BF,"NO HAY REFERENCIA")</f>
        <v>PRODUCTO TERMINADO</v>
      </c>
      <c r="EM32" s="3" t="str">
        <f>_xlfn.XLOOKUP(B32,'BASE DE EXCEL'!$C:$C,'BASE DE EXCEL'!BG:BG,"NO HAY REFERENCIA")</f>
        <v>Verde</v>
      </c>
      <c r="EN32" s="3" t="str">
        <f>_xlfn.XLOOKUP(B32,'BASE DE EXCEL'!$C:$C,'BASE DE EXCEL'!BH:BH,"NO HAY REFERENCIA")</f>
        <v xml:space="preserve"> SUPER EXPRESS DE CARGA FEDERAL S.A. DE C.V.</v>
      </c>
      <c r="EO32" s="3">
        <f>_xlfn.XLOOKUP(B32,'BASE DE EXCEL'!$C:$C,'BASE DE EXCEL'!BI:BI,"NO HAY REFERENCIA")</f>
        <v>0</v>
      </c>
      <c r="EP32" s="3" t="str">
        <f>_xlfn.XLOOKUP(B32,'BASE DE EXCEL'!$C:$C,'BASE DE EXCEL'!BJ:BJ,"NO HAY REFERENCIA")</f>
        <v>IME-T003</v>
      </c>
      <c r="EQ32" s="3" t="str">
        <f>_xlfn.XLOOKUP(B32,'BASE DE EXCEL'!$C:$C,'BASE DE EXCEL'!BK:BK,"NO HAY REFERENCIA")</f>
        <v>IME850329RH2</v>
      </c>
      <c r="ER32" s="3">
        <f>_xlfn.XLOOKUP(B32,'BASE DE EXCEL'!$C:$C,'BASE DE EXCEL'!BL:BL,"NO HAY REFERENCIA")</f>
        <v>0</v>
      </c>
      <c r="ES32" s="3" t="str">
        <f>_xlfn.XLOOKUP(B32,'BASE DE EXCEL'!$C:$C,'BASE DE EXCEL'!BM:BM,"NO HAY REFERENCIA")</f>
        <v>00,99</v>
      </c>
      <c r="ET32" s="3" t="str">
        <f>_xlfn.XLOOKUP(B32,'BASE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32" s="3">
        <f>_xlfn.XLOOKUP(B32,'BASE DE EXCEL'!$C:$C,'BASE DE EXCEL'!BO:BO,"NO HAY REFERENCIA")</f>
        <v>90</v>
      </c>
      <c r="EV32" s="3" t="str">
        <f>_xlfn.XLOOKUP(B32,'BASE DE EXCEL'!$C:$C,'BASE DE EXCEL'!BP:BP,"NO HAY REFERENCIA")</f>
        <v xml:space="preserve"> 167500.95, 3481449.92, 1040102.50, 9912953.44, 7554117.00</v>
      </c>
      <c r="EW32" s="3" t="str">
        <f>_xlfn.XLOOKUP(B32,'BASE DE EXCEL'!$C:$C,'BASE DE EXCEL'!BQ:BQ,"NO HAY REFERENCIA")</f>
        <v>KILO,KILO,KILO,KILO,KILO,KILO,KILO,KILO,KILO,KILO,KILO,KILO,KILO</v>
      </c>
      <c r="EX32" s="3">
        <f>_xlfn.XLOOKUP(B32,'BASE DE EXCEL'!$C:$C,'BASE DE EXCEL'!BR:BR,"NO HAY REFERENCIA")</f>
        <v>0</v>
      </c>
      <c r="EY32" s="3" t="str">
        <f>_xlfn.XLOOKUP(B32,'BASE DE EXCEL'!$C:$C,'BASE DE EXCEL'!BS:BS,"NO HAY REFERENCIA")</f>
        <v>PAISES BAJOS (REINO DE LOS) (HOLANDA)</v>
      </c>
      <c r="EZ32" s="3" t="str">
        <f>_xlfn.XLOOKUP(B32,'BASE DE EXCEL'!$C:$C,'BASE DE EXCEL'!BT:BT,"NO HAY REFERENCIA")</f>
        <v>PAISES BAJOS (REINO DE LOS) (HOLANDA)</v>
      </c>
      <c r="FA32" s="3" t="str">
        <f>_xlfn.XLOOKUP(B32,'BASE DE EXCEL'!$C:$C,'BASE DE EXCEL'!BU:BU,"NO HAY REFERENCIA")</f>
        <v>ZYA</v>
      </c>
      <c r="FB32" s="3" t="str">
        <f>_xlfn.XLOOKUP(B32,'BASE DE EXCEL'!$C:$C,'BASE DE EXCEL'!BV:BV,"NO HAY REFERENCIA")</f>
        <v>ZYA</v>
      </c>
      <c r="FC32" s="3">
        <f>_xlfn.XLOOKUP(B32,QUERY!$C:$C,QUERY!D:D)</f>
        <v>430</v>
      </c>
      <c r="FD32" s="4">
        <f>_xlfn.XLOOKUP(B32,QUERY!$C:$C,QUERY!E:E)</f>
        <v>46045</v>
      </c>
      <c r="FE32" s="3">
        <f>_xlfn.XLOOKUP(B32,QUERY!$C:$C,QUERY!F:F)</f>
        <v>1</v>
      </c>
      <c r="FF32" s="4">
        <f>_xlfn.XLOOKUP(B32,QUERY!$C:$C,QUERY!G:G)</f>
        <v>46043</v>
      </c>
      <c r="FG32" s="4">
        <f>_xlfn.XLOOKUP(B32,QUERY!$C:$C,QUERY!H:H)</f>
        <v>46045</v>
      </c>
      <c r="FH32" s="3">
        <f>_xlfn.XLOOKUP(B32,QUERY!$C:$C,QUERY!I:I)</f>
        <v>2</v>
      </c>
      <c r="FI32" s="3" t="str">
        <f>_xlfn.XLOOKUP(B32,QUERY!$C:$C,QUERY!J:J)</f>
        <v>2 a 3 días</v>
      </c>
      <c r="FJ32" s="4">
        <f>_xlfn.XLOOKUP(B32,QUERY!$C:$C,QUERY!K:K)</f>
        <v>46048</v>
      </c>
      <c r="FK32" s="3">
        <f>_xlfn.XLOOKUP(B32,QUERY!$C:$C,QUERY!L:L)</f>
        <v>3</v>
      </c>
      <c r="FL32" s="3" t="str">
        <f>_xlfn.XLOOKUP(B32,QUERY!$C:$C,QUERY!M:M)</f>
        <v>2 a 3 días</v>
      </c>
      <c r="FM32" s="3">
        <f>_xlfn.XLOOKUP(B32,QUERY!$C:$C,QUERY!N:N)</f>
        <v>1</v>
      </c>
      <c r="FN32" s="3" t="str">
        <f>_xlfn.XLOOKUP(B32,QUERY!$C:$C,QUERY!O:O)</f>
        <v>1 día o menos</v>
      </c>
      <c r="FO32" s="3">
        <f>_xlfn.XLOOKUP(B32,QUERY!$C:$C,QUERY!P:P)</f>
        <v>1</v>
      </c>
      <c r="FP32" s="3">
        <f>_xlfn.XLOOKUP(B32,QUERY!$C:$C,QUERY!Q:Q)</f>
        <v>1</v>
      </c>
      <c r="FQ32" s="3" t="str">
        <f>_xlfn.XLOOKUP(B32,QUERY!$C:$C,QUERY!R:R)</f>
        <v>1 día o menos</v>
      </c>
      <c r="FR32" s="4">
        <f>_xlfn.XLOOKUP(B32,QUERY!$C:$C,QUERY!S:S)</f>
        <v>46049</v>
      </c>
      <c r="FS32" s="3">
        <f>_xlfn.XLOOKUP(B32,QUERY!$C:$C,QUERY!T:T)</f>
        <v>4</v>
      </c>
      <c r="FT32" s="3" t="str">
        <f>_xlfn.XLOOKUP(B32,QUERY!$C:$C,QUERY!U:U)</f>
        <v>4 a 5 días</v>
      </c>
      <c r="FU32" s="3">
        <f>_xlfn.XLOOKUP(B32,QUERY!$C:$C,QUERY!V:V)</f>
        <v>7</v>
      </c>
      <c r="FV32" s="3" t="str">
        <f>_xlfn.XLOOKUP(B32,QUERY!$C:$C,QUERY!W:W)</f>
        <v>6 a 10 días</v>
      </c>
      <c r="FW32" s="4">
        <f>_xlfn.XLOOKUP(B32,QUERY!$C:$C,QUERY!X:X)</f>
        <v>46052</v>
      </c>
      <c r="FX32" s="3">
        <f>_xlfn.XLOOKUP(B32,QUERY!$C:$C,QUERY!Y:Y)</f>
        <v>3</v>
      </c>
      <c r="FY32" s="3">
        <f>_xlfn.XLOOKUP(B32,QUERY!$C:$C,QUERY!Z:Z)</f>
        <v>3</v>
      </c>
      <c r="FZ32" s="4" t="str">
        <f>_xlfn.XLOOKUP(B32,QUERY!$C:$C,QUERY!AA:AA)</f>
        <v>2 a 3 días</v>
      </c>
      <c r="GA32" s="4">
        <f>_xlfn.XLOOKUP(B32,QUERY!$C:$C,QUERY!AB:AB)</f>
        <v>46052</v>
      </c>
      <c r="GB32" s="4">
        <f>_xlfn.XLOOKUP(B32,QUERY!$C:$C,QUERY!AC:AC)</f>
        <v>46052</v>
      </c>
      <c r="GC32" s="3">
        <f>_xlfn.XLOOKUP(B32,QUERY!$C:$C,QUERY!AD:AD)</f>
        <v>0</v>
      </c>
      <c r="GD32" s="4">
        <f>_xlfn.XLOOKUP(B32,QUERY!$C:$C,QUERY!AE:AE)</f>
        <v>46052</v>
      </c>
      <c r="GE32" s="3">
        <f>_xlfn.XLOOKUP(B32,QUERY!$C:$C,QUERY!AF:AF)</f>
        <v>1</v>
      </c>
      <c r="GF32" s="4" t="str">
        <f>_xlfn.XLOOKUP(B32,QUERY!$C:$C,QUERY!AG:AG)</f>
        <v>Es anterior</v>
      </c>
      <c r="GG32" s="3" t="str">
        <f>_xlfn.XLOOKUP(B32,QUERY!$C:$C,QUERY!AH:AH)</f>
        <v>A1</v>
      </c>
      <c r="GH32" s="3" t="str">
        <f>_xlfn.XLOOKUP(B32,QUERY!$C:$C,QUERY!AI:AI)</f>
        <v>ZULEIMA PEREZ RUIZ</v>
      </c>
      <c r="GI32" s="3" t="str">
        <f>_xlfn.XLOOKUP(B32,QUERY!$C:$C,QUERY!AJ:AJ)</f>
        <v>HLCURTM251230364</v>
      </c>
      <c r="GJ32" s="3" t="str">
        <f>_xlfn.XLOOKUP(B32,QUERY!$C:$C,QUERY!AK:AK)</f>
        <v>NULL</v>
      </c>
      <c r="GK32" s="3">
        <f>_xlfn.XLOOKUP(B32,QUERY!$C:$C,QUERY!AL:AL)</f>
        <v>6000096</v>
      </c>
      <c r="GL32" s="3" t="str">
        <f>_xlfn.XLOOKUP(B32,QUERY!$C:$C,QUERY!AM:AM)</f>
        <v>Importación</v>
      </c>
      <c r="GM32" s="3" t="str">
        <f>_xlfn.XLOOKUP(B32,QUERY!$C:$C,QUERY!AN:AN)</f>
        <v>NOBILIS IB MA5 (VACUNA DE USO VETERINARIO)</v>
      </c>
      <c r="GN32" s="3" t="str">
        <f>_xlfn.XLOOKUP(B32,QUERY!$C:$C,QUERY!AO:AO)</f>
        <v>SIN CLASIFICACION</v>
      </c>
      <c r="GO32" s="3">
        <f>_xlfn.XLOOKUP(B32,QUERY!$C:$C,QUERY!AP:AP)</f>
        <v>0</v>
      </c>
      <c r="GP32" s="3" t="str">
        <f>_xlfn.XLOOKUP(B32,QUERY!$C:$C,QUERY!AQ:AQ)</f>
        <v>Cargas de Importación</v>
      </c>
      <c r="GQ32" s="3" t="str">
        <f>_xlfn.XLOOKUP(B32,QUERY!$C:$C,QUERY!AR:AR)</f>
        <v>INTERVET MEXICO SA DE CV</v>
      </c>
      <c r="GR32" s="3">
        <f>_xlfn.XLOOKUP(B32,QUERY!$C:$C,QUERY!AS:AS)</f>
        <v>0</v>
      </c>
      <c r="GS32" s="3" t="str">
        <f>_xlfn.XLOOKUP(B32,QUERY!$C:$C,QUERY!AT:AT)</f>
        <v>NINGUNO</v>
      </c>
      <c r="GT32" s="3">
        <f>_xlfn.XLOOKUP(B32,QUERY!$C:$C,QUERY!AU:AU)</f>
        <v>0</v>
      </c>
      <c r="GU32" s="3" t="str">
        <f>_xlfn.XLOOKUP(B32,QUERY!$C:$C,QUERY!AV:AV)</f>
        <v>NINGUNO</v>
      </c>
      <c r="GV32" s="3" t="str">
        <f>_xlfn.XLOOKUP(B32,QUERY!$C:$C,QUERY!AW:AW)</f>
        <v>PRODUCTO TERMINADO</v>
      </c>
      <c r="GW32" s="3" t="str">
        <f>_xlfn.XLOOKUP(B32,QUERY!$C:$C,QUERY!AX:AX)</f>
        <v>Verde</v>
      </c>
      <c r="GX32" s="3" t="str">
        <f>_xlfn.XLOOKUP(B32,QUERY!$C:$C,QUERY!AY:AY)</f>
        <v xml:space="preserve"> SUPER EXPRESS DE CARGA FEDERAL S.A. DE C.V.</v>
      </c>
      <c r="GY32" s="3">
        <f>_xlfn.XLOOKUP(B32,QUERY!$C:$C,QUERY!AZ:AZ)</f>
        <v>0</v>
      </c>
      <c r="GZ32" s="3" t="str">
        <f>_xlfn.XLOOKUP(B32,QUERY!$C:$C,QUERY!BA:BA)</f>
        <v>IME-T003</v>
      </c>
      <c r="HA32" s="3" t="str">
        <f>_xlfn.XLOOKUP(B32,QUERY!$C:$C,QUERY!BB:BB)</f>
        <v>IME850329RH2</v>
      </c>
      <c r="HB32" s="3">
        <f>_xlfn.XLOOKUP(B32,QUERY!$C:$C,QUERY!BC:BC)</f>
        <v>0</v>
      </c>
      <c r="HC32" s="3">
        <f>_xlfn.XLOOKUP(B32,QUERY!$C:$C,QUERY!BD:BD)</f>
        <v>0.99</v>
      </c>
      <c r="HD32" s="3" t="str">
        <f>_xlfn.XLOOKUP(B32,QUERY!$C:$C,QUERY!BE:BE)</f>
        <v>LOTE: SA536AA38,LOTE: J654A01,LOTE: A449A02,LOTE: 2408467J03,LOTE: A372B02,LOTE: A179B01,LOTE: A264A02,LOTE: A218A01,LOTE: A197A01,LOTE: B277A01,LOTE: B274A01,LOTE: A414A01,LOTES: A462A03, A463A01</v>
      </c>
      <c r="HE32" s="3">
        <f>_xlfn.XLOOKUP(B32,QUERY!$C:$C,QUERY!BF:BF)</f>
        <v>90</v>
      </c>
      <c r="HF32" s="3" t="str">
        <f>_xlfn.XLOOKUP(B32,QUERY!$C:$C,QUERY!BG:BG)</f>
        <v xml:space="preserve"> 167500.95, 3481449.92, 1040102.50, 9912953.44, 7554117.00</v>
      </c>
      <c r="HG32" s="3" t="str">
        <f>_xlfn.XLOOKUP(B32,QUERY!$C:$C,QUERY!BH:BH)</f>
        <v>KILO,KILO,KILO,KILO,KILO,KILO,KILO,KILO,KILO,KILO,KILO,KILO,KILO</v>
      </c>
      <c r="HH32" s="3">
        <f>_xlfn.XLOOKUP(B32,QUERY!$C:$C,QUERY!BI:BI)</f>
        <v>0</v>
      </c>
      <c r="HI32" s="3" t="str">
        <f>_xlfn.XLOOKUP(B32,QUERY!$C:$C,QUERY!BJ:BJ)</f>
        <v>PAISES BAJOS (REINO DE LOS) (HOLANDA)</v>
      </c>
      <c r="HJ32" s="3" t="str">
        <f>_xlfn.XLOOKUP(B32,QUERY!$C:$C,QUERY!BK:BK)</f>
        <v>PAISES BAJOS (REINO DE LOS) (HOLANDA)</v>
      </c>
      <c r="HK32" s="3" t="str">
        <f>_xlfn.XLOOKUP(B32,QUERY!$C:$C,QUERY!BL:BL)</f>
        <v>ZYA</v>
      </c>
      <c r="HL32" s="3" t="str">
        <f>_xlfn.XLOOKUP(B32,QUERY!$C:$C,QUERY!BM:BM)</f>
        <v>ZYA</v>
      </c>
      <c r="HM32" s="3">
        <f>_xlfn.XLOOKUP(B32,QUERY!$C:$C,QUERY!BN:BN)</f>
        <v>22156123</v>
      </c>
      <c r="HN32" s="3" t="str">
        <f>_xlfn.XLOOKUP(B32,QUERY!$C:$C,QUERY!BO:BO)</f>
        <v>462.00</v>
      </c>
      <c r="HO32" s="3" t="str">
        <f>_xlfn.XLOOKUP(B32,QUERY!$C:$C,QUERY!BP:BP)</f>
        <v>NULL</v>
      </c>
      <c r="HP32" s="3" t="str">
        <f>_xlfn.XLOOKUP(B32,QUERY!$C:$C,QUERY!BQ:BQ)</f>
        <v>NULL</v>
      </c>
      <c r="HQ32" s="3" t="str">
        <f>_xlfn.XLOOKUP(B32,QUERY!$C:$C,QUERY!BR:BR)</f>
        <v>350419.46</v>
      </c>
      <c r="HR32" s="3">
        <f>_xlfn.XLOOKUP(B32,QUERY!$C:$C,QUERY!BS:BS)</f>
        <v>0</v>
      </c>
      <c r="HS32" s="3">
        <f>_xlfn.XLOOKUP(B32,QUERY!$C:$C,QUERY!BT:BT)</f>
        <v>0</v>
      </c>
      <c r="HT32" s="3" t="str">
        <f>_xlfn.XLOOKUP(B32,QUERY!$C:$C,QUERY!A:A)</f>
        <v>VERACRUZ</v>
      </c>
      <c r="HU32" s="3" t="str">
        <f>_xlfn.XLOOKUP(B32,QUERY!$C:$C,QUERY!B:B)</f>
        <v>MARÍTIMO VERACRUZ</v>
      </c>
    </row>
    <row r="33" spans="1:229" x14ac:dyDescent="0.25">
      <c r="A33" s="3" t="s">
        <v>90</v>
      </c>
      <c r="B33" s="9" t="s">
        <v>141</v>
      </c>
      <c r="C33" s="3">
        <v>3942</v>
      </c>
      <c r="D33" s="3">
        <v>6000096</v>
      </c>
      <c r="E33" s="3"/>
      <c r="F33" s="3" t="s">
        <v>92</v>
      </c>
      <c r="G33" s="3" t="s">
        <v>93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430</v>
      </c>
      <c r="S33" s="3" t="s">
        <v>142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 t="s">
        <v>161</v>
      </c>
      <c r="AB33" s="3"/>
      <c r="AC33" s="3">
        <v>5035380</v>
      </c>
      <c r="AD33" s="3">
        <v>420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/>
      <c r="AP33" s="3" t="s">
        <v>98</v>
      </c>
      <c r="AQ33" s="3">
        <v>210361691</v>
      </c>
      <c r="AR33" s="3" t="s">
        <v>99</v>
      </c>
      <c r="AS33" s="3" t="s">
        <v>100</v>
      </c>
      <c r="AT33" s="3">
        <v>0</v>
      </c>
      <c r="AU33" s="3">
        <v>0</v>
      </c>
      <c r="AV33" s="3">
        <v>0</v>
      </c>
      <c r="AW33" s="3">
        <v>30024201</v>
      </c>
      <c r="AX33" s="3">
        <v>99</v>
      </c>
      <c r="AY33" s="3">
        <v>11989</v>
      </c>
      <c r="AZ33" s="3">
        <v>11989</v>
      </c>
      <c r="BA33" s="3" t="s">
        <v>103</v>
      </c>
      <c r="BB33" s="3"/>
      <c r="BC33" s="3" t="s">
        <v>105</v>
      </c>
      <c r="BD33" s="3" t="s">
        <v>105</v>
      </c>
      <c r="BE33" s="3"/>
      <c r="BF33" s="3"/>
      <c r="BG33" s="5"/>
      <c r="BH33" s="3"/>
      <c r="BI33" s="3"/>
      <c r="BJ33" s="3"/>
      <c r="BK33" s="3" t="s">
        <v>162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 t="s">
        <v>111</v>
      </c>
      <c r="CF33" s="3">
        <v>0</v>
      </c>
      <c r="CG33" s="3">
        <v>0</v>
      </c>
      <c r="CH33" s="3">
        <v>0</v>
      </c>
      <c r="CI33" s="3" t="s">
        <v>112</v>
      </c>
      <c r="CJ33" s="3" t="s">
        <v>112</v>
      </c>
      <c r="CK33" s="3">
        <f>_xlfn.XLOOKUP($B$2,'BASE DE EXCEL'!C:C,'BASE DE EXCEL'!D:D,"NO HAY REFERENCIA")</f>
        <v>470</v>
      </c>
      <c r="CL33" s="5">
        <f>_xlfn.XLOOKUP($B$2,'BASE DE EXCEL'!$C:$C,'BASE DE EXCEL'!F:F,"NO HAY REFERENCIA")</f>
        <v>3</v>
      </c>
      <c r="CM33" s="4">
        <f>_xlfn.XLOOKUP($B$2,'BASE DE EXCEL'!$C:$C,'BASE DE EXCEL'!G:G,"NO HAY REFERENCIA")</f>
        <v>46080</v>
      </c>
      <c r="CN33" s="4">
        <f>_xlfn.XLOOKUP($B$2,'BASE DE EXCEL'!$C:$C,'BASE DE EXCEL'!H:H,"NO HAY REFERENCIA")</f>
        <v>46086</v>
      </c>
      <c r="CO33" s="3">
        <f>_xlfn.XLOOKUP($B$2,'BASE DE EXCEL'!$C:$C,'BASE DE EXCEL'!I:I,"NO HAY REFERENCIA")</f>
        <v>4</v>
      </c>
      <c r="CP33" s="3" t="str">
        <f>_xlfn.XLOOKUP($B$2,'BASE DE EXCEL'!$C:$C,'BASE DE EXCEL'!J:J,"NO HAY REFERENCIA")</f>
        <v>4 a 5 días</v>
      </c>
      <c r="CQ33" s="4">
        <f>_xlfn.XLOOKUP($B$2,'BASE DE EXCEL'!$C:$C,'BASE DE EXCEL'!K:K,"NO HAY REFERENCIA")</f>
        <v>46087</v>
      </c>
      <c r="CR33" s="3">
        <f>_xlfn.XLOOKUP($B$2,'BASE DE EXCEL'!$C:$C,'BASE DE EXCEL'!L:L,"NO HAY REFERENCIA")</f>
        <v>5</v>
      </c>
      <c r="CS33" s="3">
        <f>_xlfn.XLOOKUP($B$2,'BASE DE EXCEL'!$C:$C,'BASE DE EXCEL'!M:M,"NO HAY REFERENCIA")</f>
        <v>6</v>
      </c>
      <c r="CT33" s="3" t="str">
        <f>_xlfn.XLOOKUP($B$2,'BASE DE EXCEL'!$C:$C,'BASE DE EXCEL'!N:N,"NO HAY REFERENCIA")</f>
        <v>6 a 10 días</v>
      </c>
      <c r="CU33" s="3" t="str">
        <f>_xlfn.XLOOKUP($B$2,'BASE DE EXCEL'!$C:$C,'BASE DE EXCEL'!O:O,"NO HAY REFERENCIA")</f>
        <v>On Time</v>
      </c>
      <c r="CV33" s="3" t="str">
        <f>_xlfn.XLOOKUP(B33,'BASE DE EXCEL'!$C:$C,'BASE DE EXCEL'!P:P,"NO HAY REFERENCIA")</f>
        <v>4 a 5 días</v>
      </c>
      <c r="CW33" s="4">
        <f>_xlfn.XLOOKUP(B33,'BASE DE EXCEL'!$C:$C,'BASE DE EXCEL'!Q:Q,"NO HAY REFERENCIA")</f>
        <v>46049</v>
      </c>
      <c r="CX33" s="3">
        <f>_xlfn.XLOOKUP(B33,'BASE DE EXCEL'!$C:$C,'BASE DE EXCEL'!R:R,"NO HAY REFERENCIA")</f>
        <v>5</v>
      </c>
      <c r="CY33" s="3" t="str">
        <f>_xlfn.XLOOKUP(B33,'BASE DE EXCEL'!$C:$C,'BASE DE EXCEL'!S:S,"NO HAY REFERENCIA")</f>
        <v>4 a 5 días</v>
      </c>
      <c r="CZ33" s="3" t="str">
        <f>_xlfn.XLOOKUP(B33,'BASE DE EXCEL'!$C:$C,'BASE DE EXCEL'!T:T,"NO HAY REFERENCIA")</f>
        <v>On Time</v>
      </c>
      <c r="DA33" s="3">
        <f>_xlfn.XLOOKUP(B33,'BASE DE EXCEL'!$C:$C,'BASE DE EXCEL'!U:U,"NO HAY REFERENCIA")</f>
        <v>6</v>
      </c>
      <c r="DB33" s="3" t="str">
        <f>_xlfn.XLOOKUP(B33,'BASE DE EXCEL'!$C:$C,'BASE DE EXCEL'!V:V,"NO HAY REFERENCIA")</f>
        <v>4 a 5 días</v>
      </c>
      <c r="DC33" s="3">
        <f>_xlfn.XLOOKUP(B33,'BASE DE EXCEL'!$C:$C,'BASE DE EXCEL'!W:W,"NO HAY REFERENCIA")</f>
        <v>7</v>
      </c>
      <c r="DD33" s="3" t="str">
        <f>_xlfn.XLOOKUP(B33,'BASE DE EXCEL'!$C:$C,'BASE DE EXCEL'!X:X,"NO HAY REFERENCIA")</f>
        <v>6 a 10 días</v>
      </c>
      <c r="DE33" s="3">
        <f>_xlfn.XLOOKUP(B33,'BASE DE EXCEL'!$C:$C,'BASE DE EXCEL'!Y:Y,"NO HAY REFERENCIA")</f>
        <v>1</v>
      </c>
      <c r="DF33" s="3" t="str">
        <f>_xlfn.XLOOKUP(B33,'BASE DE EXCEL'!$C:$C,'BASE DE EXCEL'!Z:Z,"NO HAY REFERENCIA")</f>
        <v>1 día o menos</v>
      </c>
      <c r="DG33" s="3">
        <f>_xlfn.XLOOKUP(B33,'BASE DE EXCEL'!$C:$C,'BASE DE EXCEL'!AA:AA,"NO HAY REFERENCIA")</f>
        <v>2</v>
      </c>
      <c r="DH33" s="3">
        <f>_xlfn.XLOOKUP(B33,'BASE DE EXCEL'!$C:$C,'BASE DE EXCEL'!AB:AB,"NO HAY REFERENCIA")</f>
        <v>1</v>
      </c>
      <c r="DI33" s="3" t="str">
        <f>_xlfn.XLOOKUP(B33,'BASE DE EXCEL'!$C:$C,'BASE DE EXCEL'!AC:AC,"NO HAY REFERENCIA")</f>
        <v>1 día o menos</v>
      </c>
      <c r="DJ33" s="4">
        <f>_xlfn.XLOOKUP(B33,'BASE DE EXCEL'!$C:$C,'BASE DE EXCEL'!AD:AD,"NO HAY REFERENCIA")</f>
        <v>46052</v>
      </c>
      <c r="DK33" s="3">
        <f>_xlfn.XLOOKUP(B33,'BASE DE EXCEL'!$C:$C,'BASE DE EXCEL'!AE:AE,"NO HAY REFERENCIA")</f>
        <v>3</v>
      </c>
      <c r="DL33" s="3">
        <f>_xlfn.XLOOKUP(B33,'BASE DE EXCEL'!$C:$C,'BASE DE EXCEL'!AF:AF,"NO HAY REFERENCIA")</f>
        <v>3</v>
      </c>
      <c r="DM33" s="4">
        <f>_xlfn.XLOOKUP(B33,'BASE DE EXCEL'!$C:$C,'BASE DE EXCEL'!AG:AG,"NO HAY REFERENCIA")</f>
        <v>46052</v>
      </c>
      <c r="DN33" s="4">
        <f>_xlfn.XLOOKUP(B33,'BASE DE EXCEL'!$C:$C,'BASE DE EXCEL'!AH:AH,"NO HAY REFERENCIA")</f>
        <v>46052</v>
      </c>
      <c r="DO33" s="3">
        <f>_xlfn.XLOOKUP(B33,'BASE DE EXCEL'!$C:$C,'BASE DE EXCEL'!AI:AI,"NO HAY REFERENCIA")</f>
        <v>0</v>
      </c>
      <c r="DP33" s="4" t="str">
        <f>_xlfn.XLOOKUP(B33,'BASE DE EXCEL'!$C:$C,'BASE DE EXCEL'!AJ:AJ,"NO HAY REFERENCIA")</f>
        <v>2 a 3 días</v>
      </c>
      <c r="DQ33" s="4">
        <f>_xlfn.XLOOKUP(B33,'BASE DE EXCEL'!$C:$C,'BASE DE EXCEL'!AK:AK,"NO HAY REFERENCIA")</f>
        <v>46052</v>
      </c>
      <c r="DR33" s="3">
        <f>_xlfn.XLOOKUP(B33,'BASE DE EXCEL'!$C:$C,'BASE DE EXCEL'!AL:AL,"NO HAY REFERENCIA")</f>
        <v>4</v>
      </c>
      <c r="DS33" s="3" t="str">
        <f>_xlfn.XLOOKUP(B33,'BASE DE EXCEL'!$C:$C,'BASE DE EXCEL'!AM:AM,"NO HAY REFERENCIA")</f>
        <v>4 a 5 días</v>
      </c>
      <c r="DT33" s="3" t="str">
        <f>_xlfn.XLOOKUP(B33,'BASE DE EXCEL'!$C:$C,'BASE DE EXCEL'!AN:AN,"NO HAY REFERENCIA")</f>
        <v>On Time</v>
      </c>
      <c r="DU33" s="3">
        <f>_xlfn.XLOOKUP(B33,'BASE DE EXCEL'!$C:$C,'BASE DE EXCEL'!AO:AO,"NO HAY REFERENCIA")</f>
        <v>1</v>
      </c>
      <c r="DV33" s="3" t="str">
        <f>_xlfn.XLOOKUP(B33,'BASE DE EXCEL'!$C:$C,'BASE DE EXCEL'!AP:AP,"NO HAY REFERENCIA")</f>
        <v>Es anterior</v>
      </c>
      <c r="DW33" s="3" t="str">
        <f>_xlfn.XLOOKUP(B33,'BASE DE EXCEL'!$C:$C,'BASE DE EXCEL'!AQ:AQ,"NO HAY REFERENCIA")</f>
        <v>A1</v>
      </c>
      <c r="DX33" s="3" t="str">
        <f>_xlfn.XLOOKUP(B33,'BASE DE EXCEL'!$C:$C,'BASE DE EXCEL'!AR:AR,"NO HAY REFERENCIA")</f>
        <v>ZULEIMA PEREZ RUIZ</v>
      </c>
      <c r="DY33" s="3" t="str">
        <f>_xlfn.XLOOKUP(B33,'BASE DE EXCEL'!$C:$C,'BASE DE EXCEL'!AS:AS,"NO HAY REFERENCIA")</f>
        <v>HLCURTM251230364</v>
      </c>
      <c r="DZ33" s="3" t="str">
        <f>_xlfn.XLOOKUP(B33,'BASE DE EXCEL'!$C:$C,'BASE DE EXCEL'!AT:AT,"NO HAY REFERENCIA")</f>
        <v>NULL</v>
      </c>
      <c r="EA33" s="3">
        <f>_xlfn.XLOOKUP(B33,'BASE DE EXCEL'!$C:$C,'BASE DE EXCEL'!AU:AU,"NO HAY REFERENCIA")</f>
        <v>6000096</v>
      </c>
      <c r="EB33" s="3" t="str">
        <f>_xlfn.XLOOKUP(B33,'BASE DE EXCEL'!$C:$C,'BASE DE EXCEL'!AV:AV,"NO HAY REFERENCIA")</f>
        <v>Importación</v>
      </c>
      <c r="EC33" s="3" t="str">
        <f>_xlfn.XLOOKUP(B33,'BASE DE EXCEL'!$C:$C,'BASE DE EXCEL'!AW:AW,"NO HAY REFERENCIA")</f>
        <v>NOBILIS IB MA5 (VACUNA DE USO VETERINARIO)</v>
      </c>
      <c r="ED33" s="3" t="str">
        <f>_xlfn.XLOOKUP(B33,'BASE DE EXCEL'!$C:$C,'BASE DE EXCEL'!AX:AX,"NO HAY REFERENCIA")</f>
        <v>SIN CLASIFICACION</v>
      </c>
      <c r="EE33" s="3">
        <f>_xlfn.XLOOKUP(B33,'BASE DE EXCEL'!$C:$C,'BASE DE EXCEL'!AY:AY,"NO HAY REFERENCIA")</f>
        <v>0</v>
      </c>
      <c r="EF33" s="3" t="str">
        <f>_xlfn.XLOOKUP(B33,'BASE DE EXCEL'!$C:$C,'BASE DE EXCEL'!AZ:AZ,"NO HAY REFERENCIA")</f>
        <v>Cargas de Importación</v>
      </c>
      <c r="EG33" s="3" t="str">
        <f>_xlfn.XLOOKUP(B33,'BASE DE EXCEL'!$C:$C,'BASE DE EXCEL'!BA:BA,"NO HAY REFERENCIA")</f>
        <v>INTERVET MEXICO SA DE CV</v>
      </c>
      <c r="EH33" s="3">
        <f>_xlfn.XLOOKUP(B33,'BASE DE EXCEL'!$C:$C,'BASE DE EXCEL'!BB:BB,"NO HAY REFERENCIA")</f>
        <v>0</v>
      </c>
      <c r="EI33" s="3" t="str">
        <f>_xlfn.XLOOKUP(B33,'BASE DE EXCEL'!$C:$C,'BASE DE EXCEL'!BC:BC,"NO HAY REFERENCIA")</f>
        <v>NINGUNO</v>
      </c>
      <c r="EJ33" s="3">
        <f>_xlfn.XLOOKUP(B33,'BASE DE EXCEL'!$C:$C,'BASE DE EXCEL'!BD:BD,"NO HAY REFERENCIA")</f>
        <v>0</v>
      </c>
      <c r="EK33" s="3" t="str">
        <f>_xlfn.XLOOKUP(B33,'BASE DE EXCEL'!$C:$C,'BASE DE EXCEL'!BE:BE,"NO HAY REFERENCIA")</f>
        <v>NINGUNO</v>
      </c>
      <c r="EL33" s="3" t="str">
        <f>_xlfn.XLOOKUP(B33,'BASE DE EXCEL'!$C:$C,'BASE DE EXCEL'!BF:BF,"NO HAY REFERENCIA")</f>
        <v>PRODUCTO TERMINADO</v>
      </c>
      <c r="EM33" s="3" t="str">
        <f>_xlfn.XLOOKUP(B33,'BASE DE EXCEL'!$C:$C,'BASE DE EXCEL'!BG:BG,"NO HAY REFERENCIA")</f>
        <v>Verde</v>
      </c>
      <c r="EN33" s="3" t="str">
        <f>_xlfn.XLOOKUP(B33,'BASE DE EXCEL'!$C:$C,'BASE DE EXCEL'!BH:BH,"NO HAY REFERENCIA")</f>
        <v xml:space="preserve"> SUPER EXPRESS DE CARGA FEDERAL S.A. DE C.V.</v>
      </c>
      <c r="EO33" s="3">
        <f>_xlfn.XLOOKUP(B33,'BASE DE EXCEL'!$C:$C,'BASE DE EXCEL'!BI:BI,"NO HAY REFERENCIA")</f>
        <v>0</v>
      </c>
      <c r="EP33" s="3" t="str">
        <f>_xlfn.XLOOKUP(B33,'BASE DE EXCEL'!$C:$C,'BASE DE EXCEL'!BJ:BJ,"NO HAY REFERENCIA")</f>
        <v>IME-T003</v>
      </c>
      <c r="EQ33" s="3" t="str">
        <f>_xlfn.XLOOKUP(B33,'BASE DE EXCEL'!$C:$C,'BASE DE EXCEL'!BK:BK,"NO HAY REFERENCIA")</f>
        <v>IME850329RH2</v>
      </c>
      <c r="ER33" s="3">
        <f>_xlfn.XLOOKUP(B33,'BASE DE EXCEL'!$C:$C,'BASE DE EXCEL'!BL:BL,"NO HAY REFERENCIA")</f>
        <v>0</v>
      </c>
      <c r="ES33" s="3" t="str">
        <f>_xlfn.XLOOKUP(B33,'BASE DE EXCEL'!$C:$C,'BASE DE EXCEL'!BM:BM,"NO HAY REFERENCIA")</f>
        <v>00,99</v>
      </c>
      <c r="ET33" s="3" t="str">
        <f>_xlfn.XLOOKUP(B33,'BASE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33" s="3">
        <f>_xlfn.XLOOKUP(B33,'BASE DE EXCEL'!$C:$C,'BASE DE EXCEL'!BO:BO,"NO HAY REFERENCIA")</f>
        <v>90</v>
      </c>
      <c r="EV33" s="3" t="str">
        <f>_xlfn.XLOOKUP(B33,'BASE DE EXCEL'!$C:$C,'BASE DE EXCEL'!BP:BP,"NO HAY REFERENCIA")</f>
        <v xml:space="preserve"> 167500.95, 3481449.92, 1040102.50, 9912953.44, 7554117.00</v>
      </c>
      <c r="EW33" s="3" t="str">
        <f>_xlfn.XLOOKUP(B33,'BASE DE EXCEL'!$C:$C,'BASE DE EXCEL'!BQ:BQ,"NO HAY REFERENCIA")</f>
        <v>KILO,KILO,KILO,KILO,KILO,KILO,KILO,KILO,KILO,KILO,KILO,KILO,KILO</v>
      </c>
      <c r="EX33" s="3">
        <f>_xlfn.XLOOKUP(B33,'BASE DE EXCEL'!$C:$C,'BASE DE EXCEL'!BR:BR,"NO HAY REFERENCIA")</f>
        <v>0</v>
      </c>
      <c r="EY33" s="3" t="str">
        <f>_xlfn.XLOOKUP(B33,'BASE DE EXCEL'!$C:$C,'BASE DE EXCEL'!BS:BS,"NO HAY REFERENCIA")</f>
        <v>PAISES BAJOS (REINO DE LOS) (HOLANDA)</v>
      </c>
      <c r="EZ33" s="3" t="str">
        <f>_xlfn.XLOOKUP(B33,'BASE DE EXCEL'!$C:$C,'BASE DE EXCEL'!BT:BT,"NO HAY REFERENCIA")</f>
        <v>PAISES BAJOS (REINO DE LOS) (HOLANDA)</v>
      </c>
      <c r="FA33" s="3" t="str">
        <f>_xlfn.XLOOKUP(B33,'BASE DE EXCEL'!$C:$C,'BASE DE EXCEL'!BU:BU,"NO HAY REFERENCIA")</f>
        <v>ZYA</v>
      </c>
      <c r="FB33" s="3" t="str">
        <f>_xlfn.XLOOKUP(B33,'BASE DE EXCEL'!$C:$C,'BASE DE EXCEL'!BV:BV,"NO HAY REFERENCIA")</f>
        <v>ZYA</v>
      </c>
      <c r="FC33" s="3">
        <f>_xlfn.XLOOKUP(B33,QUERY!$C:$C,QUERY!D:D)</f>
        <v>430</v>
      </c>
      <c r="FD33" s="4">
        <f>_xlfn.XLOOKUP(B33,QUERY!$C:$C,QUERY!E:E)</f>
        <v>46045</v>
      </c>
      <c r="FE33" s="3">
        <f>_xlfn.XLOOKUP(B33,QUERY!$C:$C,QUERY!F:F)</f>
        <v>1</v>
      </c>
      <c r="FF33" s="4">
        <f>_xlfn.XLOOKUP(B33,QUERY!$C:$C,QUERY!G:G)</f>
        <v>46043</v>
      </c>
      <c r="FG33" s="4">
        <f>_xlfn.XLOOKUP(B33,QUERY!$C:$C,QUERY!H:H)</f>
        <v>46045</v>
      </c>
      <c r="FH33" s="3">
        <f>_xlfn.XLOOKUP(B33,QUERY!$C:$C,QUERY!I:I)</f>
        <v>2</v>
      </c>
      <c r="FI33" s="3" t="str">
        <f>_xlfn.XLOOKUP(B33,QUERY!$C:$C,QUERY!J:J)</f>
        <v>2 a 3 días</v>
      </c>
      <c r="FJ33" s="4">
        <f>_xlfn.XLOOKUP(B33,QUERY!$C:$C,QUERY!K:K)</f>
        <v>46048</v>
      </c>
      <c r="FK33" s="3">
        <f>_xlfn.XLOOKUP(B33,QUERY!$C:$C,QUERY!L:L)</f>
        <v>3</v>
      </c>
      <c r="FL33" s="3" t="str">
        <f>_xlfn.XLOOKUP(B33,QUERY!$C:$C,QUERY!M:M)</f>
        <v>2 a 3 días</v>
      </c>
      <c r="FM33" s="3">
        <f>_xlfn.XLOOKUP(B33,QUERY!$C:$C,QUERY!N:N)</f>
        <v>1</v>
      </c>
      <c r="FN33" s="3" t="str">
        <f>_xlfn.XLOOKUP(B33,QUERY!$C:$C,QUERY!O:O)</f>
        <v>1 día o menos</v>
      </c>
      <c r="FO33" s="3">
        <f>_xlfn.XLOOKUP(B33,QUERY!$C:$C,QUERY!P:P)</f>
        <v>1</v>
      </c>
      <c r="FP33" s="3">
        <f>_xlfn.XLOOKUP(B33,QUERY!$C:$C,QUERY!Q:Q)</f>
        <v>1</v>
      </c>
      <c r="FQ33" s="3" t="str">
        <f>_xlfn.XLOOKUP(B33,QUERY!$C:$C,QUERY!R:R)</f>
        <v>1 día o menos</v>
      </c>
      <c r="FR33" s="4">
        <f>_xlfn.XLOOKUP(B33,QUERY!$C:$C,QUERY!S:S)</f>
        <v>46049</v>
      </c>
      <c r="FS33" s="3">
        <f>_xlfn.XLOOKUP(B33,QUERY!$C:$C,QUERY!T:T)</f>
        <v>4</v>
      </c>
      <c r="FT33" s="3" t="str">
        <f>_xlfn.XLOOKUP(B33,QUERY!$C:$C,QUERY!U:U)</f>
        <v>4 a 5 días</v>
      </c>
      <c r="FU33" s="3">
        <f>_xlfn.XLOOKUP(B33,QUERY!$C:$C,QUERY!V:V)</f>
        <v>7</v>
      </c>
      <c r="FV33" s="3" t="str">
        <f>_xlfn.XLOOKUP(B33,QUERY!$C:$C,QUERY!W:W)</f>
        <v>6 a 10 días</v>
      </c>
      <c r="FW33" s="4">
        <f>_xlfn.XLOOKUP(B33,QUERY!$C:$C,QUERY!X:X)</f>
        <v>46052</v>
      </c>
      <c r="FX33" s="3">
        <f>_xlfn.XLOOKUP(B33,QUERY!$C:$C,QUERY!Y:Y)</f>
        <v>3</v>
      </c>
      <c r="FY33" s="3">
        <f>_xlfn.XLOOKUP(B33,QUERY!$C:$C,QUERY!Z:Z)</f>
        <v>3</v>
      </c>
      <c r="FZ33" s="4" t="str">
        <f>_xlfn.XLOOKUP(B33,QUERY!$C:$C,QUERY!AA:AA)</f>
        <v>2 a 3 días</v>
      </c>
      <c r="GA33" s="4">
        <f>_xlfn.XLOOKUP(B33,QUERY!$C:$C,QUERY!AB:AB)</f>
        <v>46052</v>
      </c>
      <c r="GB33" s="4">
        <f>_xlfn.XLOOKUP(B33,QUERY!$C:$C,QUERY!AC:AC)</f>
        <v>46052</v>
      </c>
      <c r="GC33" s="3">
        <f>_xlfn.XLOOKUP(B33,QUERY!$C:$C,QUERY!AD:AD)</f>
        <v>0</v>
      </c>
      <c r="GD33" s="4">
        <f>_xlfn.XLOOKUP(B33,QUERY!$C:$C,QUERY!AE:AE)</f>
        <v>46052</v>
      </c>
      <c r="GE33" s="3">
        <f>_xlfn.XLOOKUP(B33,QUERY!$C:$C,QUERY!AF:AF)</f>
        <v>1</v>
      </c>
      <c r="GF33" s="4" t="str">
        <f>_xlfn.XLOOKUP(B33,QUERY!$C:$C,QUERY!AG:AG)</f>
        <v>Es anterior</v>
      </c>
      <c r="GG33" s="3" t="str">
        <f>_xlfn.XLOOKUP(B33,QUERY!$C:$C,QUERY!AH:AH)</f>
        <v>A1</v>
      </c>
      <c r="GH33" s="3" t="str">
        <f>_xlfn.XLOOKUP(B33,QUERY!$C:$C,QUERY!AI:AI)</f>
        <v>ZULEIMA PEREZ RUIZ</v>
      </c>
      <c r="GI33" s="3" t="str">
        <f>_xlfn.XLOOKUP(B33,QUERY!$C:$C,QUERY!AJ:AJ)</f>
        <v>HLCURTM251230364</v>
      </c>
      <c r="GJ33" s="3" t="str">
        <f>_xlfn.XLOOKUP(B33,QUERY!$C:$C,QUERY!AK:AK)</f>
        <v>NULL</v>
      </c>
      <c r="GK33" s="3">
        <f>_xlfn.XLOOKUP(B33,QUERY!$C:$C,QUERY!AL:AL)</f>
        <v>6000096</v>
      </c>
      <c r="GL33" s="3" t="str">
        <f>_xlfn.XLOOKUP(B33,QUERY!$C:$C,QUERY!AM:AM)</f>
        <v>Importación</v>
      </c>
      <c r="GM33" s="3" t="str">
        <f>_xlfn.XLOOKUP(B33,QUERY!$C:$C,QUERY!AN:AN)</f>
        <v>NOBILIS IB MA5 (VACUNA DE USO VETERINARIO)</v>
      </c>
      <c r="GN33" s="3" t="str">
        <f>_xlfn.XLOOKUP(B33,QUERY!$C:$C,QUERY!AO:AO)</f>
        <v>SIN CLASIFICACION</v>
      </c>
      <c r="GO33" s="3">
        <f>_xlfn.XLOOKUP(B33,QUERY!$C:$C,QUERY!AP:AP)</f>
        <v>0</v>
      </c>
      <c r="GP33" s="3" t="str">
        <f>_xlfn.XLOOKUP(B33,QUERY!$C:$C,QUERY!AQ:AQ)</f>
        <v>Cargas de Importación</v>
      </c>
      <c r="GQ33" s="3" t="str">
        <f>_xlfn.XLOOKUP(B33,QUERY!$C:$C,QUERY!AR:AR)</f>
        <v>INTERVET MEXICO SA DE CV</v>
      </c>
      <c r="GR33" s="3">
        <f>_xlfn.XLOOKUP(B33,QUERY!$C:$C,QUERY!AS:AS)</f>
        <v>0</v>
      </c>
      <c r="GS33" s="3" t="str">
        <f>_xlfn.XLOOKUP(B33,QUERY!$C:$C,QUERY!AT:AT)</f>
        <v>NINGUNO</v>
      </c>
      <c r="GT33" s="3">
        <f>_xlfn.XLOOKUP(B33,QUERY!$C:$C,QUERY!AU:AU)</f>
        <v>0</v>
      </c>
      <c r="GU33" s="3" t="str">
        <f>_xlfn.XLOOKUP(B33,QUERY!$C:$C,QUERY!AV:AV)</f>
        <v>NINGUNO</v>
      </c>
      <c r="GV33" s="3" t="str">
        <f>_xlfn.XLOOKUP(B33,QUERY!$C:$C,QUERY!AW:AW)</f>
        <v>PRODUCTO TERMINADO</v>
      </c>
      <c r="GW33" s="3" t="str">
        <f>_xlfn.XLOOKUP(B33,QUERY!$C:$C,QUERY!AX:AX)</f>
        <v>Verde</v>
      </c>
      <c r="GX33" s="3" t="str">
        <f>_xlfn.XLOOKUP(B33,QUERY!$C:$C,QUERY!AY:AY)</f>
        <v xml:space="preserve"> SUPER EXPRESS DE CARGA FEDERAL S.A. DE C.V.</v>
      </c>
      <c r="GY33" s="3">
        <f>_xlfn.XLOOKUP(B33,QUERY!$C:$C,QUERY!AZ:AZ)</f>
        <v>0</v>
      </c>
      <c r="GZ33" s="3" t="str">
        <f>_xlfn.XLOOKUP(B33,QUERY!$C:$C,QUERY!BA:BA)</f>
        <v>IME-T003</v>
      </c>
      <c r="HA33" s="3" t="str">
        <f>_xlfn.XLOOKUP(B33,QUERY!$C:$C,QUERY!BB:BB)</f>
        <v>IME850329RH2</v>
      </c>
      <c r="HB33" s="3">
        <f>_xlfn.XLOOKUP(B33,QUERY!$C:$C,QUERY!BC:BC)</f>
        <v>0</v>
      </c>
      <c r="HC33" s="3">
        <f>_xlfn.XLOOKUP(B33,QUERY!$C:$C,QUERY!BD:BD)</f>
        <v>0.99</v>
      </c>
      <c r="HD33" s="3" t="str">
        <f>_xlfn.XLOOKUP(B33,QUERY!$C:$C,QUERY!BE:BE)</f>
        <v>LOTE: SA536AA38,LOTE: J654A01,LOTE: A449A02,LOTE: 2408467J03,LOTE: A372B02,LOTE: A179B01,LOTE: A264A02,LOTE: A218A01,LOTE: A197A01,LOTE: B277A01,LOTE: B274A01,LOTE: A414A01,LOTES: A462A03, A463A01</v>
      </c>
      <c r="HE33" s="3">
        <f>_xlfn.XLOOKUP(B33,QUERY!$C:$C,QUERY!BF:BF)</f>
        <v>90</v>
      </c>
      <c r="HF33" s="3" t="str">
        <f>_xlfn.XLOOKUP(B33,QUERY!$C:$C,QUERY!BG:BG)</f>
        <v xml:space="preserve"> 167500.95, 3481449.92, 1040102.50, 9912953.44, 7554117.00</v>
      </c>
      <c r="HG33" s="3" t="str">
        <f>_xlfn.XLOOKUP(B33,QUERY!$C:$C,QUERY!BH:BH)</f>
        <v>KILO,KILO,KILO,KILO,KILO,KILO,KILO,KILO,KILO,KILO,KILO,KILO,KILO</v>
      </c>
      <c r="HH33" s="3">
        <f>_xlfn.XLOOKUP(B33,QUERY!$C:$C,QUERY!BI:BI)</f>
        <v>0</v>
      </c>
      <c r="HI33" s="3" t="str">
        <f>_xlfn.XLOOKUP(B33,QUERY!$C:$C,QUERY!BJ:BJ)</f>
        <v>PAISES BAJOS (REINO DE LOS) (HOLANDA)</v>
      </c>
      <c r="HJ33" s="3" t="str">
        <f>_xlfn.XLOOKUP(B33,QUERY!$C:$C,QUERY!BK:BK)</f>
        <v>PAISES BAJOS (REINO DE LOS) (HOLANDA)</v>
      </c>
      <c r="HK33" s="3" t="str">
        <f>_xlfn.XLOOKUP(B33,QUERY!$C:$C,QUERY!BL:BL)</f>
        <v>ZYA</v>
      </c>
      <c r="HL33" s="3" t="str">
        <f>_xlfn.XLOOKUP(B33,QUERY!$C:$C,QUERY!BM:BM)</f>
        <v>ZYA</v>
      </c>
      <c r="HM33" s="3">
        <f>_xlfn.XLOOKUP(B33,QUERY!$C:$C,QUERY!BN:BN)</f>
        <v>22156123</v>
      </c>
      <c r="HN33" s="3" t="str">
        <f>_xlfn.XLOOKUP(B33,QUERY!$C:$C,QUERY!BO:BO)</f>
        <v>462.00</v>
      </c>
      <c r="HO33" s="3" t="str">
        <f>_xlfn.XLOOKUP(B33,QUERY!$C:$C,QUERY!BP:BP)</f>
        <v>NULL</v>
      </c>
      <c r="HP33" s="3" t="str">
        <f>_xlfn.XLOOKUP(B33,QUERY!$C:$C,QUERY!BQ:BQ)</f>
        <v>NULL</v>
      </c>
      <c r="HQ33" s="3" t="str">
        <f>_xlfn.XLOOKUP(B33,QUERY!$C:$C,QUERY!BR:BR)</f>
        <v>350419.46</v>
      </c>
      <c r="HR33" s="3">
        <f>_xlfn.XLOOKUP(B33,QUERY!$C:$C,QUERY!BS:BS)</f>
        <v>0</v>
      </c>
      <c r="HS33" s="3">
        <f>_xlfn.XLOOKUP(B33,QUERY!$C:$C,QUERY!BT:BT)</f>
        <v>0</v>
      </c>
      <c r="HT33" s="3" t="str">
        <f>_xlfn.XLOOKUP(B33,QUERY!$C:$C,QUERY!A:A)</f>
        <v>VERACRUZ</v>
      </c>
      <c r="HU33" s="3" t="str">
        <f>_xlfn.XLOOKUP(B33,QUERY!$C:$C,QUERY!B:B)</f>
        <v>MARÍTIMO VERACRUZ</v>
      </c>
    </row>
    <row r="34" spans="1:229" x14ac:dyDescent="0.25">
      <c r="A34" s="3" t="s">
        <v>90</v>
      </c>
      <c r="B34" s="9" t="s">
        <v>141</v>
      </c>
      <c r="C34" s="3">
        <v>3942</v>
      </c>
      <c r="D34" s="3">
        <v>6000096</v>
      </c>
      <c r="E34" s="3"/>
      <c r="F34" s="3" t="s">
        <v>92</v>
      </c>
      <c r="G34" s="3" t="s">
        <v>93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430</v>
      </c>
      <c r="S34" s="3" t="s">
        <v>142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 t="s">
        <v>163</v>
      </c>
      <c r="AB34" s="3"/>
      <c r="AC34" s="3">
        <v>1573929</v>
      </c>
      <c r="AD34" s="3">
        <v>522.9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/>
      <c r="AP34" s="3" t="s">
        <v>98</v>
      </c>
      <c r="AQ34" s="3">
        <v>210361691</v>
      </c>
      <c r="AR34" s="3" t="s">
        <v>99</v>
      </c>
      <c r="AS34" s="3" t="s">
        <v>100</v>
      </c>
      <c r="AT34" s="3">
        <v>0</v>
      </c>
      <c r="AU34" s="3">
        <v>0</v>
      </c>
      <c r="AV34" s="3">
        <v>0</v>
      </c>
      <c r="AW34" s="3">
        <v>30043999</v>
      </c>
      <c r="AX34" s="3">
        <v>99</v>
      </c>
      <c r="AY34" s="3">
        <v>3010</v>
      </c>
      <c r="AZ34" s="3">
        <v>3010</v>
      </c>
      <c r="BA34" s="3" t="s">
        <v>103</v>
      </c>
      <c r="BB34" s="3"/>
      <c r="BC34" s="3" t="s">
        <v>105</v>
      </c>
      <c r="BD34" s="3" t="s">
        <v>105</v>
      </c>
      <c r="BE34" s="3"/>
      <c r="BF34" s="3"/>
      <c r="BG34" s="5"/>
      <c r="BH34" s="3"/>
      <c r="BI34" s="3"/>
      <c r="BJ34" s="3"/>
      <c r="BK34" s="3" t="s">
        <v>162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 t="s">
        <v>111</v>
      </c>
      <c r="CF34" s="3">
        <v>0</v>
      </c>
      <c r="CG34" s="3">
        <v>0</v>
      </c>
      <c r="CH34" s="3">
        <v>0</v>
      </c>
      <c r="CI34" s="3" t="s">
        <v>112</v>
      </c>
      <c r="CJ34" s="3" t="s">
        <v>112</v>
      </c>
      <c r="CK34" s="3">
        <f>_xlfn.XLOOKUP($B$2,'BASE DE EXCEL'!C:C,'BASE DE EXCEL'!D:D,"NO HAY REFERENCIA")</f>
        <v>470</v>
      </c>
      <c r="CL34" s="5">
        <f>_xlfn.XLOOKUP($B$2,'BASE DE EXCEL'!$C:$C,'BASE DE EXCEL'!F:F,"NO HAY REFERENCIA")</f>
        <v>3</v>
      </c>
      <c r="CM34" s="4">
        <f>_xlfn.XLOOKUP($B$2,'BASE DE EXCEL'!$C:$C,'BASE DE EXCEL'!G:G,"NO HAY REFERENCIA")</f>
        <v>46080</v>
      </c>
      <c r="CN34" s="4">
        <f>_xlfn.XLOOKUP($B$2,'BASE DE EXCEL'!$C:$C,'BASE DE EXCEL'!H:H,"NO HAY REFERENCIA")</f>
        <v>46086</v>
      </c>
      <c r="CO34" s="3">
        <f>_xlfn.XLOOKUP($B$2,'BASE DE EXCEL'!$C:$C,'BASE DE EXCEL'!I:I,"NO HAY REFERENCIA")</f>
        <v>4</v>
      </c>
      <c r="CP34" s="3" t="str">
        <f>_xlfn.XLOOKUP($B$2,'BASE DE EXCEL'!$C:$C,'BASE DE EXCEL'!J:J,"NO HAY REFERENCIA")</f>
        <v>4 a 5 días</v>
      </c>
      <c r="CQ34" s="4">
        <f>_xlfn.XLOOKUP($B$2,'BASE DE EXCEL'!$C:$C,'BASE DE EXCEL'!K:K,"NO HAY REFERENCIA")</f>
        <v>46087</v>
      </c>
      <c r="CR34" s="3">
        <f>_xlfn.XLOOKUP($B$2,'BASE DE EXCEL'!$C:$C,'BASE DE EXCEL'!L:L,"NO HAY REFERENCIA")</f>
        <v>5</v>
      </c>
      <c r="CS34" s="3">
        <f>_xlfn.XLOOKUP($B$2,'BASE DE EXCEL'!$C:$C,'BASE DE EXCEL'!M:M,"NO HAY REFERENCIA")</f>
        <v>6</v>
      </c>
      <c r="CT34" s="3" t="str">
        <f>_xlfn.XLOOKUP($B$2,'BASE DE EXCEL'!$C:$C,'BASE DE EXCEL'!N:N,"NO HAY REFERENCIA")</f>
        <v>6 a 10 días</v>
      </c>
      <c r="CU34" s="3" t="str">
        <f>_xlfn.XLOOKUP($B$2,'BASE DE EXCEL'!$C:$C,'BASE DE EXCEL'!O:O,"NO HAY REFERENCIA")</f>
        <v>On Time</v>
      </c>
      <c r="CV34" s="3" t="str">
        <f>_xlfn.XLOOKUP(B34,'BASE DE EXCEL'!$C:$C,'BASE DE EXCEL'!P:P,"NO HAY REFERENCIA")</f>
        <v>4 a 5 días</v>
      </c>
      <c r="CW34" s="4">
        <f>_xlfn.XLOOKUP(B34,'BASE DE EXCEL'!$C:$C,'BASE DE EXCEL'!Q:Q,"NO HAY REFERENCIA")</f>
        <v>46049</v>
      </c>
      <c r="CX34" s="3">
        <f>_xlfn.XLOOKUP(B34,'BASE DE EXCEL'!$C:$C,'BASE DE EXCEL'!R:R,"NO HAY REFERENCIA")</f>
        <v>5</v>
      </c>
      <c r="CY34" s="3" t="str">
        <f>_xlfn.XLOOKUP(B34,'BASE DE EXCEL'!$C:$C,'BASE DE EXCEL'!S:S,"NO HAY REFERENCIA")</f>
        <v>4 a 5 días</v>
      </c>
      <c r="CZ34" s="3" t="str">
        <f>_xlfn.XLOOKUP(B34,'BASE DE EXCEL'!$C:$C,'BASE DE EXCEL'!T:T,"NO HAY REFERENCIA")</f>
        <v>On Time</v>
      </c>
      <c r="DA34" s="3">
        <f>_xlfn.XLOOKUP(B34,'BASE DE EXCEL'!$C:$C,'BASE DE EXCEL'!U:U,"NO HAY REFERENCIA")</f>
        <v>6</v>
      </c>
      <c r="DB34" s="3" t="str">
        <f>_xlfn.XLOOKUP(B34,'BASE DE EXCEL'!$C:$C,'BASE DE EXCEL'!V:V,"NO HAY REFERENCIA")</f>
        <v>4 a 5 días</v>
      </c>
      <c r="DC34" s="3">
        <f>_xlfn.XLOOKUP(B34,'BASE DE EXCEL'!$C:$C,'BASE DE EXCEL'!W:W,"NO HAY REFERENCIA")</f>
        <v>7</v>
      </c>
      <c r="DD34" s="3" t="str">
        <f>_xlfn.XLOOKUP(B34,'BASE DE EXCEL'!$C:$C,'BASE DE EXCEL'!X:X,"NO HAY REFERENCIA")</f>
        <v>6 a 10 días</v>
      </c>
      <c r="DE34" s="3">
        <f>_xlfn.XLOOKUP(B34,'BASE DE EXCEL'!$C:$C,'BASE DE EXCEL'!Y:Y,"NO HAY REFERENCIA")</f>
        <v>1</v>
      </c>
      <c r="DF34" s="3" t="str">
        <f>_xlfn.XLOOKUP(B34,'BASE DE EXCEL'!$C:$C,'BASE DE EXCEL'!Z:Z,"NO HAY REFERENCIA")</f>
        <v>1 día o menos</v>
      </c>
      <c r="DG34" s="3">
        <f>_xlfn.XLOOKUP(B34,'BASE DE EXCEL'!$C:$C,'BASE DE EXCEL'!AA:AA,"NO HAY REFERENCIA")</f>
        <v>2</v>
      </c>
      <c r="DH34" s="3">
        <f>_xlfn.XLOOKUP(B34,'BASE DE EXCEL'!$C:$C,'BASE DE EXCEL'!AB:AB,"NO HAY REFERENCIA")</f>
        <v>1</v>
      </c>
      <c r="DI34" s="3" t="str">
        <f>_xlfn.XLOOKUP(B34,'BASE DE EXCEL'!$C:$C,'BASE DE EXCEL'!AC:AC,"NO HAY REFERENCIA")</f>
        <v>1 día o menos</v>
      </c>
      <c r="DJ34" s="4">
        <f>_xlfn.XLOOKUP(B34,'BASE DE EXCEL'!$C:$C,'BASE DE EXCEL'!AD:AD,"NO HAY REFERENCIA")</f>
        <v>46052</v>
      </c>
      <c r="DK34" s="3">
        <f>_xlfn.XLOOKUP(B34,'BASE DE EXCEL'!$C:$C,'BASE DE EXCEL'!AE:AE,"NO HAY REFERENCIA")</f>
        <v>3</v>
      </c>
      <c r="DL34" s="3">
        <f>_xlfn.XLOOKUP(B34,'BASE DE EXCEL'!$C:$C,'BASE DE EXCEL'!AF:AF,"NO HAY REFERENCIA")</f>
        <v>3</v>
      </c>
      <c r="DM34" s="4">
        <f>_xlfn.XLOOKUP(B34,'BASE DE EXCEL'!$C:$C,'BASE DE EXCEL'!AG:AG,"NO HAY REFERENCIA")</f>
        <v>46052</v>
      </c>
      <c r="DN34" s="4">
        <f>_xlfn.XLOOKUP(B34,'BASE DE EXCEL'!$C:$C,'BASE DE EXCEL'!AH:AH,"NO HAY REFERENCIA")</f>
        <v>46052</v>
      </c>
      <c r="DO34" s="3">
        <f>_xlfn.XLOOKUP(B34,'BASE DE EXCEL'!$C:$C,'BASE DE EXCEL'!AI:AI,"NO HAY REFERENCIA")</f>
        <v>0</v>
      </c>
      <c r="DP34" s="4" t="str">
        <f>_xlfn.XLOOKUP(B34,'BASE DE EXCEL'!$C:$C,'BASE DE EXCEL'!AJ:AJ,"NO HAY REFERENCIA")</f>
        <v>2 a 3 días</v>
      </c>
      <c r="DQ34" s="4">
        <f>_xlfn.XLOOKUP(B34,'BASE DE EXCEL'!$C:$C,'BASE DE EXCEL'!AK:AK,"NO HAY REFERENCIA")</f>
        <v>46052</v>
      </c>
      <c r="DR34" s="3">
        <f>_xlfn.XLOOKUP(B34,'BASE DE EXCEL'!$C:$C,'BASE DE EXCEL'!AL:AL,"NO HAY REFERENCIA")</f>
        <v>4</v>
      </c>
      <c r="DS34" s="3" t="str">
        <f>_xlfn.XLOOKUP(B34,'BASE DE EXCEL'!$C:$C,'BASE DE EXCEL'!AM:AM,"NO HAY REFERENCIA")</f>
        <v>4 a 5 días</v>
      </c>
      <c r="DT34" s="3" t="str">
        <f>_xlfn.XLOOKUP(B34,'BASE DE EXCEL'!$C:$C,'BASE DE EXCEL'!AN:AN,"NO HAY REFERENCIA")</f>
        <v>On Time</v>
      </c>
      <c r="DU34" s="3">
        <f>_xlfn.XLOOKUP(B34,'BASE DE EXCEL'!$C:$C,'BASE DE EXCEL'!AO:AO,"NO HAY REFERENCIA")</f>
        <v>1</v>
      </c>
      <c r="DV34" s="3" t="str">
        <f>_xlfn.XLOOKUP(B34,'BASE DE EXCEL'!$C:$C,'BASE DE EXCEL'!AP:AP,"NO HAY REFERENCIA")</f>
        <v>Es anterior</v>
      </c>
      <c r="DW34" s="3" t="str">
        <f>_xlfn.XLOOKUP(B34,'BASE DE EXCEL'!$C:$C,'BASE DE EXCEL'!AQ:AQ,"NO HAY REFERENCIA")</f>
        <v>A1</v>
      </c>
      <c r="DX34" s="3" t="str">
        <f>_xlfn.XLOOKUP(B34,'BASE DE EXCEL'!$C:$C,'BASE DE EXCEL'!AR:AR,"NO HAY REFERENCIA")</f>
        <v>ZULEIMA PEREZ RUIZ</v>
      </c>
      <c r="DY34" s="3" t="str">
        <f>_xlfn.XLOOKUP(B34,'BASE DE EXCEL'!$C:$C,'BASE DE EXCEL'!AS:AS,"NO HAY REFERENCIA")</f>
        <v>HLCURTM251230364</v>
      </c>
      <c r="DZ34" s="3" t="str">
        <f>_xlfn.XLOOKUP(B34,'BASE DE EXCEL'!$C:$C,'BASE DE EXCEL'!AT:AT,"NO HAY REFERENCIA")</f>
        <v>NULL</v>
      </c>
      <c r="EA34" s="3">
        <f>_xlfn.XLOOKUP(B34,'BASE DE EXCEL'!$C:$C,'BASE DE EXCEL'!AU:AU,"NO HAY REFERENCIA")</f>
        <v>6000096</v>
      </c>
      <c r="EB34" s="3" t="str">
        <f>_xlfn.XLOOKUP(B34,'BASE DE EXCEL'!$C:$C,'BASE DE EXCEL'!AV:AV,"NO HAY REFERENCIA")</f>
        <v>Importación</v>
      </c>
      <c r="EC34" s="3" t="str">
        <f>_xlfn.XLOOKUP(B34,'BASE DE EXCEL'!$C:$C,'BASE DE EXCEL'!AW:AW,"NO HAY REFERENCIA")</f>
        <v>NOBILIS IB MA5 (VACUNA DE USO VETERINARIO)</v>
      </c>
      <c r="ED34" s="3" t="str">
        <f>_xlfn.XLOOKUP(B34,'BASE DE EXCEL'!$C:$C,'BASE DE EXCEL'!AX:AX,"NO HAY REFERENCIA")</f>
        <v>SIN CLASIFICACION</v>
      </c>
      <c r="EE34" s="3">
        <f>_xlfn.XLOOKUP(B34,'BASE DE EXCEL'!$C:$C,'BASE DE EXCEL'!AY:AY,"NO HAY REFERENCIA")</f>
        <v>0</v>
      </c>
      <c r="EF34" s="3" t="str">
        <f>_xlfn.XLOOKUP(B34,'BASE DE EXCEL'!$C:$C,'BASE DE EXCEL'!AZ:AZ,"NO HAY REFERENCIA")</f>
        <v>Cargas de Importación</v>
      </c>
      <c r="EG34" s="3" t="str">
        <f>_xlfn.XLOOKUP(B34,'BASE DE EXCEL'!$C:$C,'BASE DE EXCEL'!BA:BA,"NO HAY REFERENCIA")</f>
        <v>INTERVET MEXICO SA DE CV</v>
      </c>
      <c r="EH34" s="3">
        <f>_xlfn.XLOOKUP(B34,'BASE DE EXCEL'!$C:$C,'BASE DE EXCEL'!BB:BB,"NO HAY REFERENCIA")</f>
        <v>0</v>
      </c>
      <c r="EI34" s="3" t="str">
        <f>_xlfn.XLOOKUP(B34,'BASE DE EXCEL'!$C:$C,'BASE DE EXCEL'!BC:BC,"NO HAY REFERENCIA")</f>
        <v>NINGUNO</v>
      </c>
      <c r="EJ34" s="3">
        <f>_xlfn.XLOOKUP(B34,'BASE DE EXCEL'!$C:$C,'BASE DE EXCEL'!BD:BD,"NO HAY REFERENCIA")</f>
        <v>0</v>
      </c>
      <c r="EK34" s="3" t="str">
        <f>_xlfn.XLOOKUP(B34,'BASE DE EXCEL'!$C:$C,'BASE DE EXCEL'!BE:BE,"NO HAY REFERENCIA")</f>
        <v>NINGUNO</v>
      </c>
      <c r="EL34" s="3" t="str">
        <f>_xlfn.XLOOKUP(B34,'BASE DE EXCEL'!$C:$C,'BASE DE EXCEL'!BF:BF,"NO HAY REFERENCIA")</f>
        <v>PRODUCTO TERMINADO</v>
      </c>
      <c r="EM34" s="3" t="str">
        <f>_xlfn.XLOOKUP(B34,'BASE DE EXCEL'!$C:$C,'BASE DE EXCEL'!BG:BG,"NO HAY REFERENCIA")</f>
        <v>Verde</v>
      </c>
      <c r="EN34" s="3" t="str">
        <f>_xlfn.XLOOKUP(B34,'BASE DE EXCEL'!$C:$C,'BASE DE EXCEL'!BH:BH,"NO HAY REFERENCIA")</f>
        <v xml:space="preserve"> SUPER EXPRESS DE CARGA FEDERAL S.A. DE C.V.</v>
      </c>
      <c r="EO34" s="3">
        <f>_xlfn.XLOOKUP(B34,'BASE DE EXCEL'!$C:$C,'BASE DE EXCEL'!BI:BI,"NO HAY REFERENCIA")</f>
        <v>0</v>
      </c>
      <c r="EP34" s="3" t="str">
        <f>_xlfn.XLOOKUP(B34,'BASE DE EXCEL'!$C:$C,'BASE DE EXCEL'!BJ:BJ,"NO HAY REFERENCIA")</f>
        <v>IME-T003</v>
      </c>
      <c r="EQ34" s="3" t="str">
        <f>_xlfn.XLOOKUP(B34,'BASE DE EXCEL'!$C:$C,'BASE DE EXCEL'!BK:BK,"NO HAY REFERENCIA")</f>
        <v>IME850329RH2</v>
      </c>
      <c r="ER34" s="3">
        <f>_xlfn.XLOOKUP(B34,'BASE DE EXCEL'!$C:$C,'BASE DE EXCEL'!BL:BL,"NO HAY REFERENCIA")</f>
        <v>0</v>
      </c>
      <c r="ES34" s="3" t="str">
        <f>_xlfn.XLOOKUP(B34,'BASE DE EXCEL'!$C:$C,'BASE DE EXCEL'!BM:BM,"NO HAY REFERENCIA")</f>
        <v>00,99</v>
      </c>
      <c r="ET34" s="3" t="str">
        <f>_xlfn.XLOOKUP(B34,'BASE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34" s="3">
        <f>_xlfn.XLOOKUP(B34,'BASE DE EXCEL'!$C:$C,'BASE DE EXCEL'!BO:BO,"NO HAY REFERENCIA")</f>
        <v>90</v>
      </c>
      <c r="EV34" s="3" t="str">
        <f>_xlfn.XLOOKUP(B34,'BASE DE EXCEL'!$C:$C,'BASE DE EXCEL'!BP:BP,"NO HAY REFERENCIA")</f>
        <v xml:space="preserve"> 167500.95, 3481449.92, 1040102.50, 9912953.44, 7554117.00</v>
      </c>
      <c r="EW34" s="3" t="str">
        <f>_xlfn.XLOOKUP(B34,'BASE DE EXCEL'!$C:$C,'BASE DE EXCEL'!BQ:BQ,"NO HAY REFERENCIA")</f>
        <v>KILO,KILO,KILO,KILO,KILO,KILO,KILO,KILO,KILO,KILO,KILO,KILO,KILO</v>
      </c>
      <c r="EX34" s="3">
        <f>_xlfn.XLOOKUP(B34,'BASE DE EXCEL'!$C:$C,'BASE DE EXCEL'!BR:BR,"NO HAY REFERENCIA")</f>
        <v>0</v>
      </c>
      <c r="EY34" s="3" t="str">
        <f>_xlfn.XLOOKUP(B34,'BASE DE EXCEL'!$C:$C,'BASE DE EXCEL'!BS:BS,"NO HAY REFERENCIA")</f>
        <v>PAISES BAJOS (REINO DE LOS) (HOLANDA)</v>
      </c>
      <c r="EZ34" s="3" t="str">
        <f>_xlfn.XLOOKUP(B34,'BASE DE EXCEL'!$C:$C,'BASE DE EXCEL'!BT:BT,"NO HAY REFERENCIA")</f>
        <v>PAISES BAJOS (REINO DE LOS) (HOLANDA)</v>
      </c>
      <c r="FA34" s="3" t="str">
        <f>_xlfn.XLOOKUP(B34,'BASE DE EXCEL'!$C:$C,'BASE DE EXCEL'!BU:BU,"NO HAY REFERENCIA")</f>
        <v>ZYA</v>
      </c>
      <c r="FB34" s="3" t="str">
        <f>_xlfn.XLOOKUP(B34,'BASE DE EXCEL'!$C:$C,'BASE DE EXCEL'!BV:BV,"NO HAY REFERENCIA")</f>
        <v>ZYA</v>
      </c>
      <c r="FC34" s="3">
        <f>_xlfn.XLOOKUP(B34,QUERY!$C:$C,QUERY!D:D)</f>
        <v>430</v>
      </c>
      <c r="FD34" s="4">
        <f>_xlfn.XLOOKUP(B34,QUERY!$C:$C,QUERY!E:E)</f>
        <v>46045</v>
      </c>
      <c r="FE34" s="3">
        <f>_xlfn.XLOOKUP(B34,QUERY!$C:$C,QUERY!F:F)</f>
        <v>1</v>
      </c>
      <c r="FF34" s="4">
        <f>_xlfn.XLOOKUP(B34,QUERY!$C:$C,QUERY!G:G)</f>
        <v>46043</v>
      </c>
      <c r="FG34" s="4">
        <f>_xlfn.XLOOKUP(B34,QUERY!$C:$C,QUERY!H:H)</f>
        <v>46045</v>
      </c>
      <c r="FH34" s="3">
        <f>_xlfn.XLOOKUP(B34,QUERY!$C:$C,QUERY!I:I)</f>
        <v>2</v>
      </c>
      <c r="FI34" s="3" t="str">
        <f>_xlfn.XLOOKUP(B34,QUERY!$C:$C,QUERY!J:J)</f>
        <v>2 a 3 días</v>
      </c>
      <c r="FJ34" s="4">
        <f>_xlfn.XLOOKUP(B34,QUERY!$C:$C,QUERY!K:K)</f>
        <v>46048</v>
      </c>
      <c r="FK34" s="3">
        <f>_xlfn.XLOOKUP(B34,QUERY!$C:$C,QUERY!L:L)</f>
        <v>3</v>
      </c>
      <c r="FL34" s="3" t="str">
        <f>_xlfn.XLOOKUP(B34,QUERY!$C:$C,QUERY!M:M)</f>
        <v>2 a 3 días</v>
      </c>
      <c r="FM34" s="3">
        <f>_xlfn.XLOOKUP(B34,QUERY!$C:$C,QUERY!N:N)</f>
        <v>1</v>
      </c>
      <c r="FN34" s="3" t="str">
        <f>_xlfn.XLOOKUP(B34,QUERY!$C:$C,QUERY!O:O)</f>
        <v>1 día o menos</v>
      </c>
      <c r="FO34" s="3">
        <f>_xlfn.XLOOKUP(B34,QUERY!$C:$C,QUERY!P:P)</f>
        <v>1</v>
      </c>
      <c r="FP34" s="3">
        <f>_xlfn.XLOOKUP(B34,QUERY!$C:$C,QUERY!Q:Q)</f>
        <v>1</v>
      </c>
      <c r="FQ34" s="3" t="str">
        <f>_xlfn.XLOOKUP(B34,QUERY!$C:$C,QUERY!R:R)</f>
        <v>1 día o menos</v>
      </c>
      <c r="FR34" s="4">
        <f>_xlfn.XLOOKUP(B34,QUERY!$C:$C,QUERY!S:S)</f>
        <v>46049</v>
      </c>
      <c r="FS34" s="3">
        <f>_xlfn.XLOOKUP(B34,QUERY!$C:$C,QUERY!T:T)</f>
        <v>4</v>
      </c>
      <c r="FT34" s="3" t="str">
        <f>_xlfn.XLOOKUP(B34,QUERY!$C:$C,QUERY!U:U)</f>
        <v>4 a 5 días</v>
      </c>
      <c r="FU34" s="3">
        <f>_xlfn.XLOOKUP(B34,QUERY!$C:$C,QUERY!V:V)</f>
        <v>7</v>
      </c>
      <c r="FV34" s="3" t="str">
        <f>_xlfn.XLOOKUP(B34,QUERY!$C:$C,QUERY!W:W)</f>
        <v>6 a 10 días</v>
      </c>
      <c r="FW34" s="4">
        <f>_xlfn.XLOOKUP(B34,QUERY!$C:$C,QUERY!X:X)</f>
        <v>46052</v>
      </c>
      <c r="FX34" s="3">
        <f>_xlfn.XLOOKUP(B34,QUERY!$C:$C,QUERY!Y:Y)</f>
        <v>3</v>
      </c>
      <c r="FY34" s="3">
        <f>_xlfn.XLOOKUP(B34,QUERY!$C:$C,QUERY!Z:Z)</f>
        <v>3</v>
      </c>
      <c r="FZ34" s="4" t="str">
        <f>_xlfn.XLOOKUP(B34,QUERY!$C:$C,QUERY!AA:AA)</f>
        <v>2 a 3 días</v>
      </c>
      <c r="GA34" s="4">
        <f>_xlfn.XLOOKUP(B34,QUERY!$C:$C,QUERY!AB:AB)</f>
        <v>46052</v>
      </c>
      <c r="GB34" s="4">
        <f>_xlfn.XLOOKUP(B34,QUERY!$C:$C,QUERY!AC:AC)</f>
        <v>46052</v>
      </c>
      <c r="GC34" s="3">
        <f>_xlfn.XLOOKUP(B34,QUERY!$C:$C,QUERY!AD:AD)</f>
        <v>0</v>
      </c>
      <c r="GD34" s="4">
        <f>_xlfn.XLOOKUP(B34,QUERY!$C:$C,QUERY!AE:AE)</f>
        <v>46052</v>
      </c>
      <c r="GE34" s="3">
        <f>_xlfn.XLOOKUP(B34,QUERY!$C:$C,QUERY!AF:AF)</f>
        <v>1</v>
      </c>
      <c r="GF34" s="4" t="str">
        <f>_xlfn.XLOOKUP(B34,QUERY!$C:$C,QUERY!AG:AG)</f>
        <v>Es anterior</v>
      </c>
      <c r="GG34" s="3" t="str">
        <f>_xlfn.XLOOKUP(B34,QUERY!$C:$C,QUERY!AH:AH)</f>
        <v>A1</v>
      </c>
      <c r="GH34" s="3" t="str">
        <f>_xlfn.XLOOKUP(B34,QUERY!$C:$C,QUERY!AI:AI)</f>
        <v>ZULEIMA PEREZ RUIZ</v>
      </c>
      <c r="GI34" s="3" t="str">
        <f>_xlfn.XLOOKUP(B34,QUERY!$C:$C,QUERY!AJ:AJ)</f>
        <v>HLCURTM251230364</v>
      </c>
      <c r="GJ34" s="3" t="str">
        <f>_xlfn.XLOOKUP(B34,QUERY!$C:$C,QUERY!AK:AK)</f>
        <v>NULL</v>
      </c>
      <c r="GK34" s="3">
        <f>_xlfn.XLOOKUP(B34,QUERY!$C:$C,QUERY!AL:AL)</f>
        <v>6000096</v>
      </c>
      <c r="GL34" s="3" t="str">
        <f>_xlfn.XLOOKUP(B34,QUERY!$C:$C,QUERY!AM:AM)</f>
        <v>Importación</v>
      </c>
      <c r="GM34" s="3" t="str">
        <f>_xlfn.XLOOKUP(B34,QUERY!$C:$C,QUERY!AN:AN)</f>
        <v>NOBILIS IB MA5 (VACUNA DE USO VETERINARIO)</v>
      </c>
      <c r="GN34" s="3" t="str">
        <f>_xlfn.XLOOKUP(B34,QUERY!$C:$C,QUERY!AO:AO)</f>
        <v>SIN CLASIFICACION</v>
      </c>
      <c r="GO34" s="3">
        <f>_xlfn.XLOOKUP(B34,QUERY!$C:$C,QUERY!AP:AP)</f>
        <v>0</v>
      </c>
      <c r="GP34" s="3" t="str">
        <f>_xlfn.XLOOKUP(B34,QUERY!$C:$C,QUERY!AQ:AQ)</f>
        <v>Cargas de Importación</v>
      </c>
      <c r="GQ34" s="3" t="str">
        <f>_xlfn.XLOOKUP(B34,QUERY!$C:$C,QUERY!AR:AR)</f>
        <v>INTERVET MEXICO SA DE CV</v>
      </c>
      <c r="GR34" s="3">
        <f>_xlfn.XLOOKUP(B34,QUERY!$C:$C,QUERY!AS:AS)</f>
        <v>0</v>
      </c>
      <c r="GS34" s="3" t="str">
        <f>_xlfn.XLOOKUP(B34,QUERY!$C:$C,QUERY!AT:AT)</f>
        <v>NINGUNO</v>
      </c>
      <c r="GT34" s="3">
        <f>_xlfn.XLOOKUP(B34,QUERY!$C:$C,QUERY!AU:AU)</f>
        <v>0</v>
      </c>
      <c r="GU34" s="3" t="str">
        <f>_xlfn.XLOOKUP(B34,QUERY!$C:$C,QUERY!AV:AV)</f>
        <v>NINGUNO</v>
      </c>
      <c r="GV34" s="3" t="str">
        <f>_xlfn.XLOOKUP(B34,QUERY!$C:$C,QUERY!AW:AW)</f>
        <v>PRODUCTO TERMINADO</v>
      </c>
      <c r="GW34" s="3" t="str">
        <f>_xlfn.XLOOKUP(B34,QUERY!$C:$C,QUERY!AX:AX)</f>
        <v>Verde</v>
      </c>
      <c r="GX34" s="3" t="str">
        <f>_xlfn.XLOOKUP(B34,QUERY!$C:$C,QUERY!AY:AY)</f>
        <v xml:space="preserve"> SUPER EXPRESS DE CARGA FEDERAL S.A. DE C.V.</v>
      </c>
      <c r="GY34" s="3">
        <f>_xlfn.XLOOKUP(B34,QUERY!$C:$C,QUERY!AZ:AZ)</f>
        <v>0</v>
      </c>
      <c r="GZ34" s="3" t="str">
        <f>_xlfn.XLOOKUP(B34,QUERY!$C:$C,QUERY!BA:BA)</f>
        <v>IME-T003</v>
      </c>
      <c r="HA34" s="3" t="str">
        <f>_xlfn.XLOOKUP(B34,QUERY!$C:$C,QUERY!BB:BB)</f>
        <v>IME850329RH2</v>
      </c>
      <c r="HB34" s="3">
        <f>_xlfn.XLOOKUP(B34,QUERY!$C:$C,QUERY!BC:BC)</f>
        <v>0</v>
      </c>
      <c r="HC34" s="3">
        <f>_xlfn.XLOOKUP(B34,QUERY!$C:$C,QUERY!BD:BD)</f>
        <v>0.99</v>
      </c>
      <c r="HD34" s="3" t="str">
        <f>_xlfn.XLOOKUP(B34,QUERY!$C:$C,QUERY!BE:BE)</f>
        <v>LOTE: SA536AA38,LOTE: J654A01,LOTE: A449A02,LOTE: 2408467J03,LOTE: A372B02,LOTE: A179B01,LOTE: A264A02,LOTE: A218A01,LOTE: A197A01,LOTE: B277A01,LOTE: B274A01,LOTE: A414A01,LOTES: A462A03, A463A01</v>
      </c>
      <c r="HE34" s="3">
        <f>_xlfn.XLOOKUP(B34,QUERY!$C:$C,QUERY!BF:BF)</f>
        <v>90</v>
      </c>
      <c r="HF34" s="3" t="str">
        <f>_xlfn.XLOOKUP(B34,QUERY!$C:$C,QUERY!BG:BG)</f>
        <v xml:space="preserve"> 167500.95, 3481449.92, 1040102.50, 9912953.44, 7554117.00</v>
      </c>
      <c r="HG34" s="3" t="str">
        <f>_xlfn.XLOOKUP(B34,QUERY!$C:$C,QUERY!BH:BH)</f>
        <v>KILO,KILO,KILO,KILO,KILO,KILO,KILO,KILO,KILO,KILO,KILO,KILO,KILO</v>
      </c>
      <c r="HH34" s="3">
        <f>_xlfn.XLOOKUP(B34,QUERY!$C:$C,QUERY!BI:BI)</f>
        <v>0</v>
      </c>
      <c r="HI34" s="3" t="str">
        <f>_xlfn.XLOOKUP(B34,QUERY!$C:$C,QUERY!BJ:BJ)</f>
        <v>PAISES BAJOS (REINO DE LOS) (HOLANDA)</v>
      </c>
      <c r="HJ34" s="3" t="str">
        <f>_xlfn.XLOOKUP(B34,QUERY!$C:$C,QUERY!BK:BK)</f>
        <v>PAISES BAJOS (REINO DE LOS) (HOLANDA)</v>
      </c>
      <c r="HK34" s="3" t="str">
        <f>_xlfn.XLOOKUP(B34,QUERY!$C:$C,QUERY!BL:BL)</f>
        <v>ZYA</v>
      </c>
      <c r="HL34" s="3" t="str">
        <f>_xlfn.XLOOKUP(B34,QUERY!$C:$C,QUERY!BM:BM)</f>
        <v>ZYA</v>
      </c>
      <c r="HM34" s="3">
        <f>_xlfn.XLOOKUP(B34,QUERY!$C:$C,QUERY!BN:BN)</f>
        <v>22156123</v>
      </c>
      <c r="HN34" s="3" t="str">
        <f>_xlfn.XLOOKUP(B34,QUERY!$C:$C,QUERY!BO:BO)</f>
        <v>462.00</v>
      </c>
      <c r="HO34" s="3" t="str">
        <f>_xlfn.XLOOKUP(B34,QUERY!$C:$C,QUERY!BP:BP)</f>
        <v>NULL</v>
      </c>
      <c r="HP34" s="3" t="str">
        <f>_xlfn.XLOOKUP(B34,QUERY!$C:$C,QUERY!BQ:BQ)</f>
        <v>NULL</v>
      </c>
      <c r="HQ34" s="3" t="str">
        <f>_xlfn.XLOOKUP(B34,QUERY!$C:$C,QUERY!BR:BR)</f>
        <v>350419.46</v>
      </c>
      <c r="HR34" s="3">
        <f>_xlfn.XLOOKUP(B34,QUERY!$C:$C,QUERY!BS:BS)</f>
        <v>0</v>
      </c>
      <c r="HS34" s="3">
        <f>_xlfn.XLOOKUP(B34,QUERY!$C:$C,QUERY!BT:BT)</f>
        <v>0</v>
      </c>
      <c r="HT34" s="3" t="str">
        <f>_xlfn.XLOOKUP(B34,QUERY!$C:$C,QUERY!A:A)</f>
        <v>VERACRUZ</v>
      </c>
      <c r="HU34" s="3" t="str">
        <f>_xlfn.XLOOKUP(B34,QUERY!$C:$C,QUERY!B:B)</f>
        <v>MARÍTIMO VERACRUZ</v>
      </c>
    </row>
    <row r="35" spans="1:229" x14ac:dyDescent="0.25">
      <c r="A35" s="3" t="s">
        <v>90</v>
      </c>
      <c r="B35" s="9" t="s">
        <v>141</v>
      </c>
      <c r="C35" s="3">
        <v>3942</v>
      </c>
      <c r="D35" s="3">
        <v>6000096</v>
      </c>
      <c r="E35" s="3"/>
      <c r="F35" s="3" t="s">
        <v>92</v>
      </c>
      <c r="G35" s="3" t="s">
        <v>93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430</v>
      </c>
      <c r="S35" s="3" t="s">
        <v>142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 t="s">
        <v>164</v>
      </c>
      <c r="AB35" s="3"/>
      <c r="AC35" s="3">
        <v>944808</v>
      </c>
      <c r="AD35" s="3">
        <v>393.67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/>
      <c r="AP35" s="3" t="s">
        <v>98</v>
      </c>
      <c r="AQ35" s="3">
        <v>210361691</v>
      </c>
      <c r="AR35" s="3" t="s">
        <v>99</v>
      </c>
      <c r="AS35" s="3" t="s">
        <v>100</v>
      </c>
      <c r="AT35" s="3">
        <v>0</v>
      </c>
      <c r="AU35" s="3">
        <v>0</v>
      </c>
      <c r="AV35" s="3">
        <v>0</v>
      </c>
      <c r="AW35" s="3">
        <v>30024201</v>
      </c>
      <c r="AX35" s="3">
        <v>99</v>
      </c>
      <c r="AY35" s="3">
        <v>2400</v>
      </c>
      <c r="AZ35" s="3">
        <v>2400</v>
      </c>
      <c r="BA35" s="3" t="s">
        <v>103</v>
      </c>
      <c r="BB35" s="3"/>
      <c r="BC35" s="3" t="s">
        <v>105</v>
      </c>
      <c r="BD35" s="3" t="s">
        <v>105</v>
      </c>
      <c r="BE35" s="3"/>
      <c r="BF35" s="3"/>
      <c r="BG35" s="5"/>
      <c r="BH35" s="3"/>
      <c r="BI35" s="3"/>
      <c r="BJ35" s="3"/>
      <c r="BK35" s="3" t="s">
        <v>162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 t="s">
        <v>111</v>
      </c>
      <c r="CF35" s="3">
        <v>0</v>
      </c>
      <c r="CG35" s="3">
        <v>0</v>
      </c>
      <c r="CH35" s="3">
        <v>0</v>
      </c>
      <c r="CI35" s="3" t="s">
        <v>112</v>
      </c>
      <c r="CJ35" s="3" t="s">
        <v>112</v>
      </c>
      <c r="CK35" s="3">
        <f>_xlfn.XLOOKUP($B$2,'BASE DE EXCEL'!C:C,'BASE DE EXCEL'!D:D,"NO HAY REFERENCIA")</f>
        <v>470</v>
      </c>
      <c r="CL35" s="5">
        <f>_xlfn.XLOOKUP($B$2,'BASE DE EXCEL'!$C:$C,'BASE DE EXCEL'!F:F,"NO HAY REFERENCIA")</f>
        <v>3</v>
      </c>
      <c r="CM35" s="4">
        <f>_xlfn.XLOOKUP($B$2,'BASE DE EXCEL'!$C:$C,'BASE DE EXCEL'!G:G,"NO HAY REFERENCIA")</f>
        <v>46080</v>
      </c>
      <c r="CN35" s="4">
        <f>_xlfn.XLOOKUP($B$2,'BASE DE EXCEL'!$C:$C,'BASE DE EXCEL'!H:H,"NO HAY REFERENCIA")</f>
        <v>46086</v>
      </c>
      <c r="CO35" s="3">
        <f>_xlfn.XLOOKUP($B$2,'BASE DE EXCEL'!$C:$C,'BASE DE EXCEL'!I:I,"NO HAY REFERENCIA")</f>
        <v>4</v>
      </c>
      <c r="CP35" s="3" t="str">
        <f>_xlfn.XLOOKUP($B$2,'BASE DE EXCEL'!$C:$C,'BASE DE EXCEL'!J:J,"NO HAY REFERENCIA")</f>
        <v>4 a 5 días</v>
      </c>
      <c r="CQ35" s="4">
        <f>_xlfn.XLOOKUP($B$2,'BASE DE EXCEL'!$C:$C,'BASE DE EXCEL'!K:K,"NO HAY REFERENCIA")</f>
        <v>46087</v>
      </c>
      <c r="CR35" s="3">
        <f>_xlfn.XLOOKUP($B$2,'BASE DE EXCEL'!$C:$C,'BASE DE EXCEL'!L:L,"NO HAY REFERENCIA")</f>
        <v>5</v>
      </c>
      <c r="CS35" s="3">
        <f>_xlfn.XLOOKUP($B$2,'BASE DE EXCEL'!$C:$C,'BASE DE EXCEL'!M:M,"NO HAY REFERENCIA")</f>
        <v>6</v>
      </c>
      <c r="CT35" s="3" t="str">
        <f>_xlfn.XLOOKUP($B$2,'BASE DE EXCEL'!$C:$C,'BASE DE EXCEL'!N:N,"NO HAY REFERENCIA")</f>
        <v>6 a 10 días</v>
      </c>
      <c r="CU35" s="3" t="str">
        <f>_xlfn.XLOOKUP($B$2,'BASE DE EXCEL'!$C:$C,'BASE DE EXCEL'!O:O,"NO HAY REFERENCIA")</f>
        <v>On Time</v>
      </c>
      <c r="CV35" s="3" t="str">
        <f>_xlfn.XLOOKUP(B35,'BASE DE EXCEL'!$C:$C,'BASE DE EXCEL'!P:P,"NO HAY REFERENCIA")</f>
        <v>4 a 5 días</v>
      </c>
      <c r="CW35" s="4">
        <f>_xlfn.XLOOKUP(B35,'BASE DE EXCEL'!$C:$C,'BASE DE EXCEL'!Q:Q,"NO HAY REFERENCIA")</f>
        <v>46049</v>
      </c>
      <c r="CX35" s="3">
        <f>_xlfn.XLOOKUP(B35,'BASE DE EXCEL'!$C:$C,'BASE DE EXCEL'!R:R,"NO HAY REFERENCIA")</f>
        <v>5</v>
      </c>
      <c r="CY35" s="3" t="str">
        <f>_xlfn.XLOOKUP(B35,'BASE DE EXCEL'!$C:$C,'BASE DE EXCEL'!S:S,"NO HAY REFERENCIA")</f>
        <v>4 a 5 días</v>
      </c>
      <c r="CZ35" s="3" t="str">
        <f>_xlfn.XLOOKUP(B35,'BASE DE EXCEL'!$C:$C,'BASE DE EXCEL'!T:T,"NO HAY REFERENCIA")</f>
        <v>On Time</v>
      </c>
      <c r="DA35" s="3">
        <f>_xlfn.XLOOKUP(B35,'BASE DE EXCEL'!$C:$C,'BASE DE EXCEL'!U:U,"NO HAY REFERENCIA")</f>
        <v>6</v>
      </c>
      <c r="DB35" s="3" t="str">
        <f>_xlfn.XLOOKUP(B35,'BASE DE EXCEL'!$C:$C,'BASE DE EXCEL'!V:V,"NO HAY REFERENCIA")</f>
        <v>4 a 5 días</v>
      </c>
      <c r="DC35" s="3">
        <f>_xlfn.XLOOKUP(B35,'BASE DE EXCEL'!$C:$C,'BASE DE EXCEL'!W:W,"NO HAY REFERENCIA")</f>
        <v>7</v>
      </c>
      <c r="DD35" s="3" t="str">
        <f>_xlfn.XLOOKUP(B35,'BASE DE EXCEL'!$C:$C,'BASE DE EXCEL'!X:X,"NO HAY REFERENCIA")</f>
        <v>6 a 10 días</v>
      </c>
      <c r="DE35" s="3">
        <f>_xlfn.XLOOKUP(B35,'BASE DE EXCEL'!$C:$C,'BASE DE EXCEL'!Y:Y,"NO HAY REFERENCIA")</f>
        <v>1</v>
      </c>
      <c r="DF35" s="3" t="str">
        <f>_xlfn.XLOOKUP(B35,'BASE DE EXCEL'!$C:$C,'BASE DE EXCEL'!Z:Z,"NO HAY REFERENCIA")</f>
        <v>1 día o menos</v>
      </c>
      <c r="DG35" s="3">
        <f>_xlfn.XLOOKUP(B35,'BASE DE EXCEL'!$C:$C,'BASE DE EXCEL'!AA:AA,"NO HAY REFERENCIA")</f>
        <v>2</v>
      </c>
      <c r="DH35" s="3">
        <f>_xlfn.XLOOKUP(B35,'BASE DE EXCEL'!$C:$C,'BASE DE EXCEL'!AB:AB,"NO HAY REFERENCIA")</f>
        <v>1</v>
      </c>
      <c r="DI35" s="3" t="str">
        <f>_xlfn.XLOOKUP(B35,'BASE DE EXCEL'!$C:$C,'BASE DE EXCEL'!AC:AC,"NO HAY REFERENCIA")</f>
        <v>1 día o menos</v>
      </c>
      <c r="DJ35" s="4">
        <f>_xlfn.XLOOKUP(B35,'BASE DE EXCEL'!$C:$C,'BASE DE EXCEL'!AD:AD,"NO HAY REFERENCIA")</f>
        <v>46052</v>
      </c>
      <c r="DK35" s="3">
        <f>_xlfn.XLOOKUP(B35,'BASE DE EXCEL'!$C:$C,'BASE DE EXCEL'!AE:AE,"NO HAY REFERENCIA")</f>
        <v>3</v>
      </c>
      <c r="DL35" s="3">
        <f>_xlfn.XLOOKUP(B35,'BASE DE EXCEL'!$C:$C,'BASE DE EXCEL'!AF:AF,"NO HAY REFERENCIA")</f>
        <v>3</v>
      </c>
      <c r="DM35" s="4">
        <f>_xlfn.XLOOKUP(B35,'BASE DE EXCEL'!$C:$C,'BASE DE EXCEL'!AG:AG,"NO HAY REFERENCIA")</f>
        <v>46052</v>
      </c>
      <c r="DN35" s="4">
        <f>_xlfn.XLOOKUP(B35,'BASE DE EXCEL'!$C:$C,'BASE DE EXCEL'!AH:AH,"NO HAY REFERENCIA")</f>
        <v>46052</v>
      </c>
      <c r="DO35" s="3">
        <f>_xlfn.XLOOKUP(B35,'BASE DE EXCEL'!$C:$C,'BASE DE EXCEL'!AI:AI,"NO HAY REFERENCIA")</f>
        <v>0</v>
      </c>
      <c r="DP35" s="4" t="str">
        <f>_xlfn.XLOOKUP(B35,'BASE DE EXCEL'!$C:$C,'BASE DE EXCEL'!AJ:AJ,"NO HAY REFERENCIA")</f>
        <v>2 a 3 días</v>
      </c>
      <c r="DQ35" s="4">
        <f>_xlfn.XLOOKUP(B35,'BASE DE EXCEL'!$C:$C,'BASE DE EXCEL'!AK:AK,"NO HAY REFERENCIA")</f>
        <v>46052</v>
      </c>
      <c r="DR35" s="3">
        <f>_xlfn.XLOOKUP(B35,'BASE DE EXCEL'!$C:$C,'BASE DE EXCEL'!AL:AL,"NO HAY REFERENCIA")</f>
        <v>4</v>
      </c>
      <c r="DS35" s="3" t="str">
        <f>_xlfn.XLOOKUP(B35,'BASE DE EXCEL'!$C:$C,'BASE DE EXCEL'!AM:AM,"NO HAY REFERENCIA")</f>
        <v>4 a 5 días</v>
      </c>
      <c r="DT35" s="3" t="str">
        <f>_xlfn.XLOOKUP(B35,'BASE DE EXCEL'!$C:$C,'BASE DE EXCEL'!AN:AN,"NO HAY REFERENCIA")</f>
        <v>On Time</v>
      </c>
      <c r="DU35" s="3">
        <f>_xlfn.XLOOKUP(B35,'BASE DE EXCEL'!$C:$C,'BASE DE EXCEL'!AO:AO,"NO HAY REFERENCIA")</f>
        <v>1</v>
      </c>
      <c r="DV35" s="3" t="str">
        <f>_xlfn.XLOOKUP(B35,'BASE DE EXCEL'!$C:$C,'BASE DE EXCEL'!AP:AP,"NO HAY REFERENCIA")</f>
        <v>Es anterior</v>
      </c>
      <c r="DW35" s="3" t="str">
        <f>_xlfn.XLOOKUP(B35,'BASE DE EXCEL'!$C:$C,'BASE DE EXCEL'!AQ:AQ,"NO HAY REFERENCIA")</f>
        <v>A1</v>
      </c>
      <c r="DX35" s="3" t="str">
        <f>_xlfn.XLOOKUP(B35,'BASE DE EXCEL'!$C:$C,'BASE DE EXCEL'!AR:AR,"NO HAY REFERENCIA")</f>
        <v>ZULEIMA PEREZ RUIZ</v>
      </c>
      <c r="DY35" s="3" t="str">
        <f>_xlfn.XLOOKUP(B35,'BASE DE EXCEL'!$C:$C,'BASE DE EXCEL'!AS:AS,"NO HAY REFERENCIA")</f>
        <v>HLCURTM251230364</v>
      </c>
      <c r="DZ35" s="3" t="str">
        <f>_xlfn.XLOOKUP(B35,'BASE DE EXCEL'!$C:$C,'BASE DE EXCEL'!AT:AT,"NO HAY REFERENCIA")</f>
        <v>NULL</v>
      </c>
      <c r="EA35" s="3">
        <f>_xlfn.XLOOKUP(B35,'BASE DE EXCEL'!$C:$C,'BASE DE EXCEL'!AU:AU,"NO HAY REFERENCIA")</f>
        <v>6000096</v>
      </c>
      <c r="EB35" s="3" t="str">
        <f>_xlfn.XLOOKUP(B35,'BASE DE EXCEL'!$C:$C,'BASE DE EXCEL'!AV:AV,"NO HAY REFERENCIA")</f>
        <v>Importación</v>
      </c>
      <c r="EC35" s="3" t="str">
        <f>_xlfn.XLOOKUP(B35,'BASE DE EXCEL'!$C:$C,'BASE DE EXCEL'!AW:AW,"NO HAY REFERENCIA")</f>
        <v>NOBILIS IB MA5 (VACUNA DE USO VETERINARIO)</v>
      </c>
      <c r="ED35" s="3" t="str">
        <f>_xlfn.XLOOKUP(B35,'BASE DE EXCEL'!$C:$C,'BASE DE EXCEL'!AX:AX,"NO HAY REFERENCIA")</f>
        <v>SIN CLASIFICACION</v>
      </c>
      <c r="EE35" s="3">
        <f>_xlfn.XLOOKUP(B35,'BASE DE EXCEL'!$C:$C,'BASE DE EXCEL'!AY:AY,"NO HAY REFERENCIA")</f>
        <v>0</v>
      </c>
      <c r="EF35" s="3" t="str">
        <f>_xlfn.XLOOKUP(B35,'BASE DE EXCEL'!$C:$C,'BASE DE EXCEL'!AZ:AZ,"NO HAY REFERENCIA")</f>
        <v>Cargas de Importación</v>
      </c>
      <c r="EG35" s="3" t="str">
        <f>_xlfn.XLOOKUP(B35,'BASE DE EXCEL'!$C:$C,'BASE DE EXCEL'!BA:BA,"NO HAY REFERENCIA")</f>
        <v>INTERVET MEXICO SA DE CV</v>
      </c>
      <c r="EH35" s="3">
        <f>_xlfn.XLOOKUP(B35,'BASE DE EXCEL'!$C:$C,'BASE DE EXCEL'!BB:BB,"NO HAY REFERENCIA")</f>
        <v>0</v>
      </c>
      <c r="EI35" s="3" t="str">
        <f>_xlfn.XLOOKUP(B35,'BASE DE EXCEL'!$C:$C,'BASE DE EXCEL'!BC:BC,"NO HAY REFERENCIA")</f>
        <v>NINGUNO</v>
      </c>
      <c r="EJ35" s="3">
        <f>_xlfn.XLOOKUP(B35,'BASE DE EXCEL'!$C:$C,'BASE DE EXCEL'!BD:BD,"NO HAY REFERENCIA")</f>
        <v>0</v>
      </c>
      <c r="EK35" s="3" t="str">
        <f>_xlfn.XLOOKUP(B35,'BASE DE EXCEL'!$C:$C,'BASE DE EXCEL'!BE:BE,"NO HAY REFERENCIA")</f>
        <v>NINGUNO</v>
      </c>
      <c r="EL35" s="3" t="str">
        <f>_xlfn.XLOOKUP(B35,'BASE DE EXCEL'!$C:$C,'BASE DE EXCEL'!BF:BF,"NO HAY REFERENCIA")</f>
        <v>PRODUCTO TERMINADO</v>
      </c>
      <c r="EM35" s="3" t="str">
        <f>_xlfn.XLOOKUP(B35,'BASE DE EXCEL'!$C:$C,'BASE DE EXCEL'!BG:BG,"NO HAY REFERENCIA")</f>
        <v>Verde</v>
      </c>
      <c r="EN35" s="3" t="str">
        <f>_xlfn.XLOOKUP(B35,'BASE DE EXCEL'!$C:$C,'BASE DE EXCEL'!BH:BH,"NO HAY REFERENCIA")</f>
        <v xml:space="preserve"> SUPER EXPRESS DE CARGA FEDERAL S.A. DE C.V.</v>
      </c>
      <c r="EO35" s="3">
        <f>_xlfn.XLOOKUP(B35,'BASE DE EXCEL'!$C:$C,'BASE DE EXCEL'!BI:BI,"NO HAY REFERENCIA")</f>
        <v>0</v>
      </c>
      <c r="EP35" s="3" t="str">
        <f>_xlfn.XLOOKUP(B35,'BASE DE EXCEL'!$C:$C,'BASE DE EXCEL'!BJ:BJ,"NO HAY REFERENCIA")</f>
        <v>IME-T003</v>
      </c>
      <c r="EQ35" s="3" t="str">
        <f>_xlfn.XLOOKUP(B35,'BASE DE EXCEL'!$C:$C,'BASE DE EXCEL'!BK:BK,"NO HAY REFERENCIA")</f>
        <v>IME850329RH2</v>
      </c>
      <c r="ER35" s="3">
        <f>_xlfn.XLOOKUP(B35,'BASE DE EXCEL'!$C:$C,'BASE DE EXCEL'!BL:BL,"NO HAY REFERENCIA")</f>
        <v>0</v>
      </c>
      <c r="ES35" s="3" t="str">
        <f>_xlfn.XLOOKUP(B35,'BASE DE EXCEL'!$C:$C,'BASE DE EXCEL'!BM:BM,"NO HAY REFERENCIA")</f>
        <v>00,99</v>
      </c>
      <c r="ET35" s="3" t="str">
        <f>_xlfn.XLOOKUP(B35,'BASE DE EXCEL'!$C:$C,'BASE DE EXCEL'!BN:BN,"NO HAY REFERENCIA")</f>
        <v>LOTE: SA536AA38,LOTE: J654A01,LOTE: A449A02,LOTE: 2408467J03,LOTE: A372B02,LOTE: A179B01,LOTE: A264A02,LOTE: A218A01,LOTE: A197A01,LOTE: B277A01,LOTE: B274A01,LOTE: A414A01,LOTES: A462A03, A463A01</v>
      </c>
      <c r="EU35" s="3">
        <f>_xlfn.XLOOKUP(B35,'BASE DE EXCEL'!$C:$C,'BASE DE EXCEL'!BO:BO,"NO HAY REFERENCIA")</f>
        <v>90</v>
      </c>
      <c r="EV35" s="3" t="str">
        <f>_xlfn.XLOOKUP(B35,'BASE DE EXCEL'!$C:$C,'BASE DE EXCEL'!BP:BP,"NO HAY REFERENCIA")</f>
        <v xml:space="preserve"> 167500.95, 3481449.92, 1040102.50, 9912953.44, 7554117.00</v>
      </c>
      <c r="EW35" s="3" t="str">
        <f>_xlfn.XLOOKUP(B35,'BASE DE EXCEL'!$C:$C,'BASE DE EXCEL'!BQ:BQ,"NO HAY REFERENCIA")</f>
        <v>KILO,KILO,KILO,KILO,KILO,KILO,KILO,KILO,KILO,KILO,KILO,KILO,KILO</v>
      </c>
      <c r="EX35" s="3">
        <f>_xlfn.XLOOKUP(B35,'BASE DE EXCEL'!$C:$C,'BASE DE EXCEL'!BR:BR,"NO HAY REFERENCIA")</f>
        <v>0</v>
      </c>
      <c r="EY35" s="3" t="str">
        <f>_xlfn.XLOOKUP(B35,'BASE DE EXCEL'!$C:$C,'BASE DE EXCEL'!BS:BS,"NO HAY REFERENCIA")</f>
        <v>PAISES BAJOS (REINO DE LOS) (HOLANDA)</v>
      </c>
      <c r="EZ35" s="3" t="str">
        <f>_xlfn.XLOOKUP(B35,'BASE DE EXCEL'!$C:$C,'BASE DE EXCEL'!BT:BT,"NO HAY REFERENCIA")</f>
        <v>PAISES BAJOS (REINO DE LOS) (HOLANDA)</v>
      </c>
      <c r="FA35" s="3" t="str">
        <f>_xlfn.XLOOKUP(B35,'BASE DE EXCEL'!$C:$C,'BASE DE EXCEL'!BU:BU,"NO HAY REFERENCIA")</f>
        <v>ZYA</v>
      </c>
      <c r="FB35" s="3" t="str">
        <f>_xlfn.XLOOKUP(B35,'BASE DE EXCEL'!$C:$C,'BASE DE EXCEL'!BV:BV,"NO HAY REFERENCIA")</f>
        <v>ZYA</v>
      </c>
      <c r="FC35" s="3">
        <f>_xlfn.XLOOKUP(B35,QUERY!$C:$C,QUERY!D:D)</f>
        <v>430</v>
      </c>
      <c r="FD35" s="4">
        <f>_xlfn.XLOOKUP(B35,QUERY!$C:$C,QUERY!E:E)</f>
        <v>46045</v>
      </c>
      <c r="FE35" s="3">
        <f>_xlfn.XLOOKUP(B35,QUERY!$C:$C,QUERY!F:F)</f>
        <v>1</v>
      </c>
      <c r="FF35" s="4">
        <f>_xlfn.XLOOKUP(B35,QUERY!$C:$C,QUERY!G:G)</f>
        <v>46043</v>
      </c>
      <c r="FG35" s="4">
        <f>_xlfn.XLOOKUP(B35,QUERY!$C:$C,QUERY!H:H)</f>
        <v>46045</v>
      </c>
      <c r="FH35" s="3">
        <f>_xlfn.XLOOKUP(B35,QUERY!$C:$C,QUERY!I:I)</f>
        <v>2</v>
      </c>
      <c r="FI35" s="3" t="str">
        <f>_xlfn.XLOOKUP(B35,QUERY!$C:$C,QUERY!J:J)</f>
        <v>2 a 3 días</v>
      </c>
      <c r="FJ35" s="4">
        <f>_xlfn.XLOOKUP(B35,QUERY!$C:$C,QUERY!K:K)</f>
        <v>46048</v>
      </c>
      <c r="FK35" s="3">
        <f>_xlfn.XLOOKUP(B35,QUERY!$C:$C,QUERY!L:L)</f>
        <v>3</v>
      </c>
      <c r="FL35" s="3" t="str">
        <f>_xlfn.XLOOKUP(B35,QUERY!$C:$C,QUERY!M:M)</f>
        <v>2 a 3 días</v>
      </c>
      <c r="FM35" s="3">
        <f>_xlfn.XLOOKUP(B35,QUERY!$C:$C,QUERY!N:N)</f>
        <v>1</v>
      </c>
      <c r="FN35" s="3" t="str">
        <f>_xlfn.XLOOKUP(B35,QUERY!$C:$C,QUERY!O:O)</f>
        <v>1 día o menos</v>
      </c>
      <c r="FO35" s="3">
        <f>_xlfn.XLOOKUP(B35,QUERY!$C:$C,QUERY!P:P)</f>
        <v>1</v>
      </c>
      <c r="FP35" s="3">
        <f>_xlfn.XLOOKUP(B35,QUERY!$C:$C,QUERY!Q:Q)</f>
        <v>1</v>
      </c>
      <c r="FQ35" s="3" t="str">
        <f>_xlfn.XLOOKUP(B35,QUERY!$C:$C,QUERY!R:R)</f>
        <v>1 día o menos</v>
      </c>
      <c r="FR35" s="4">
        <f>_xlfn.XLOOKUP(B35,QUERY!$C:$C,QUERY!S:S)</f>
        <v>46049</v>
      </c>
      <c r="FS35" s="3">
        <f>_xlfn.XLOOKUP(B35,QUERY!$C:$C,QUERY!T:T)</f>
        <v>4</v>
      </c>
      <c r="FT35" s="3" t="str">
        <f>_xlfn.XLOOKUP(B35,QUERY!$C:$C,QUERY!U:U)</f>
        <v>4 a 5 días</v>
      </c>
      <c r="FU35" s="3">
        <f>_xlfn.XLOOKUP(B35,QUERY!$C:$C,QUERY!V:V)</f>
        <v>7</v>
      </c>
      <c r="FV35" s="3" t="str">
        <f>_xlfn.XLOOKUP(B35,QUERY!$C:$C,QUERY!W:W)</f>
        <v>6 a 10 días</v>
      </c>
      <c r="FW35" s="4">
        <f>_xlfn.XLOOKUP(B35,QUERY!$C:$C,QUERY!X:X)</f>
        <v>46052</v>
      </c>
      <c r="FX35" s="3">
        <f>_xlfn.XLOOKUP(B35,QUERY!$C:$C,QUERY!Y:Y)</f>
        <v>3</v>
      </c>
      <c r="FY35" s="3">
        <f>_xlfn.XLOOKUP(B35,QUERY!$C:$C,QUERY!Z:Z)</f>
        <v>3</v>
      </c>
      <c r="FZ35" s="4" t="str">
        <f>_xlfn.XLOOKUP(B35,QUERY!$C:$C,QUERY!AA:AA)</f>
        <v>2 a 3 días</v>
      </c>
      <c r="GA35" s="4">
        <f>_xlfn.XLOOKUP(B35,QUERY!$C:$C,QUERY!AB:AB)</f>
        <v>46052</v>
      </c>
      <c r="GB35" s="4">
        <f>_xlfn.XLOOKUP(B35,QUERY!$C:$C,QUERY!AC:AC)</f>
        <v>46052</v>
      </c>
      <c r="GC35" s="3">
        <f>_xlfn.XLOOKUP(B35,QUERY!$C:$C,QUERY!AD:AD)</f>
        <v>0</v>
      </c>
      <c r="GD35" s="4">
        <f>_xlfn.XLOOKUP(B35,QUERY!$C:$C,QUERY!AE:AE)</f>
        <v>46052</v>
      </c>
      <c r="GE35" s="3">
        <f>_xlfn.XLOOKUP(B35,QUERY!$C:$C,QUERY!AF:AF)</f>
        <v>1</v>
      </c>
      <c r="GF35" s="4" t="str">
        <f>_xlfn.XLOOKUP(B35,QUERY!$C:$C,QUERY!AG:AG)</f>
        <v>Es anterior</v>
      </c>
      <c r="GG35" s="3" t="str">
        <f>_xlfn.XLOOKUP(B35,QUERY!$C:$C,QUERY!AH:AH)</f>
        <v>A1</v>
      </c>
      <c r="GH35" s="3" t="str">
        <f>_xlfn.XLOOKUP(B35,QUERY!$C:$C,QUERY!AI:AI)</f>
        <v>ZULEIMA PEREZ RUIZ</v>
      </c>
      <c r="GI35" s="3" t="str">
        <f>_xlfn.XLOOKUP(B35,QUERY!$C:$C,QUERY!AJ:AJ)</f>
        <v>HLCURTM251230364</v>
      </c>
      <c r="GJ35" s="3" t="str">
        <f>_xlfn.XLOOKUP(B35,QUERY!$C:$C,QUERY!AK:AK)</f>
        <v>NULL</v>
      </c>
      <c r="GK35" s="3">
        <f>_xlfn.XLOOKUP(B35,QUERY!$C:$C,QUERY!AL:AL)</f>
        <v>6000096</v>
      </c>
      <c r="GL35" s="3" t="str">
        <f>_xlfn.XLOOKUP(B35,QUERY!$C:$C,QUERY!AM:AM)</f>
        <v>Importación</v>
      </c>
      <c r="GM35" s="3" t="str">
        <f>_xlfn.XLOOKUP(B35,QUERY!$C:$C,QUERY!AN:AN)</f>
        <v>NOBILIS IB MA5 (VACUNA DE USO VETERINARIO)</v>
      </c>
      <c r="GN35" s="3" t="str">
        <f>_xlfn.XLOOKUP(B35,QUERY!$C:$C,QUERY!AO:AO)</f>
        <v>SIN CLASIFICACION</v>
      </c>
      <c r="GO35" s="3">
        <f>_xlfn.XLOOKUP(B35,QUERY!$C:$C,QUERY!AP:AP)</f>
        <v>0</v>
      </c>
      <c r="GP35" s="3" t="str">
        <f>_xlfn.XLOOKUP(B35,QUERY!$C:$C,QUERY!AQ:AQ)</f>
        <v>Cargas de Importación</v>
      </c>
      <c r="GQ35" s="3" t="str">
        <f>_xlfn.XLOOKUP(B35,QUERY!$C:$C,QUERY!AR:AR)</f>
        <v>INTERVET MEXICO SA DE CV</v>
      </c>
      <c r="GR35" s="3">
        <f>_xlfn.XLOOKUP(B35,QUERY!$C:$C,QUERY!AS:AS)</f>
        <v>0</v>
      </c>
      <c r="GS35" s="3" t="str">
        <f>_xlfn.XLOOKUP(B35,QUERY!$C:$C,QUERY!AT:AT)</f>
        <v>NINGUNO</v>
      </c>
      <c r="GT35" s="3">
        <f>_xlfn.XLOOKUP(B35,QUERY!$C:$C,QUERY!AU:AU)</f>
        <v>0</v>
      </c>
      <c r="GU35" s="3" t="str">
        <f>_xlfn.XLOOKUP(B35,QUERY!$C:$C,QUERY!AV:AV)</f>
        <v>NINGUNO</v>
      </c>
      <c r="GV35" s="3" t="str">
        <f>_xlfn.XLOOKUP(B35,QUERY!$C:$C,QUERY!AW:AW)</f>
        <v>PRODUCTO TERMINADO</v>
      </c>
      <c r="GW35" s="3" t="str">
        <f>_xlfn.XLOOKUP(B35,QUERY!$C:$C,QUERY!AX:AX)</f>
        <v>Verde</v>
      </c>
      <c r="GX35" s="3" t="str">
        <f>_xlfn.XLOOKUP(B35,QUERY!$C:$C,QUERY!AY:AY)</f>
        <v xml:space="preserve"> SUPER EXPRESS DE CARGA FEDERAL S.A. DE C.V.</v>
      </c>
      <c r="GY35" s="3">
        <f>_xlfn.XLOOKUP(B35,QUERY!$C:$C,QUERY!AZ:AZ)</f>
        <v>0</v>
      </c>
      <c r="GZ35" s="3" t="str">
        <f>_xlfn.XLOOKUP(B35,QUERY!$C:$C,QUERY!BA:BA)</f>
        <v>IME-T003</v>
      </c>
      <c r="HA35" s="3" t="str">
        <f>_xlfn.XLOOKUP(B35,QUERY!$C:$C,QUERY!BB:BB)</f>
        <v>IME850329RH2</v>
      </c>
      <c r="HB35" s="3">
        <f>_xlfn.XLOOKUP(B35,QUERY!$C:$C,QUERY!BC:BC)</f>
        <v>0</v>
      </c>
      <c r="HC35" s="3">
        <f>_xlfn.XLOOKUP(B35,QUERY!$C:$C,QUERY!BD:BD)</f>
        <v>0.99</v>
      </c>
      <c r="HD35" s="3" t="str">
        <f>_xlfn.XLOOKUP(B35,QUERY!$C:$C,QUERY!BE:BE)</f>
        <v>LOTE: SA536AA38,LOTE: J654A01,LOTE: A449A02,LOTE: 2408467J03,LOTE: A372B02,LOTE: A179B01,LOTE: A264A02,LOTE: A218A01,LOTE: A197A01,LOTE: B277A01,LOTE: B274A01,LOTE: A414A01,LOTES: A462A03, A463A01</v>
      </c>
      <c r="HE35" s="3">
        <f>_xlfn.XLOOKUP(B35,QUERY!$C:$C,QUERY!BF:BF)</f>
        <v>90</v>
      </c>
      <c r="HF35" s="3" t="str">
        <f>_xlfn.XLOOKUP(B35,QUERY!$C:$C,QUERY!BG:BG)</f>
        <v xml:space="preserve"> 167500.95, 3481449.92, 1040102.50, 9912953.44, 7554117.00</v>
      </c>
      <c r="HG35" s="3" t="str">
        <f>_xlfn.XLOOKUP(B35,QUERY!$C:$C,QUERY!BH:BH)</f>
        <v>KILO,KILO,KILO,KILO,KILO,KILO,KILO,KILO,KILO,KILO,KILO,KILO,KILO</v>
      </c>
      <c r="HH35" s="3">
        <f>_xlfn.XLOOKUP(B35,QUERY!$C:$C,QUERY!BI:BI)</f>
        <v>0</v>
      </c>
      <c r="HI35" s="3" t="str">
        <f>_xlfn.XLOOKUP(B35,QUERY!$C:$C,QUERY!BJ:BJ)</f>
        <v>PAISES BAJOS (REINO DE LOS) (HOLANDA)</v>
      </c>
      <c r="HJ35" s="3" t="str">
        <f>_xlfn.XLOOKUP(B35,QUERY!$C:$C,QUERY!BK:BK)</f>
        <v>PAISES BAJOS (REINO DE LOS) (HOLANDA)</v>
      </c>
      <c r="HK35" s="3" t="str">
        <f>_xlfn.XLOOKUP(B35,QUERY!$C:$C,QUERY!BL:BL)</f>
        <v>ZYA</v>
      </c>
      <c r="HL35" s="3" t="str">
        <f>_xlfn.XLOOKUP(B35,QUERY!$C:$C,QUERY!BM:BM)</f>
        <v>ZYA</v>
      </c>
      <c r="HM35" s="3">
        <f>_xlfn.XLOOKUP(B35,QUERY!$C:$C,QUERY!BN:BN)</f>
        <v>22156123</v>
      </c>
      <c r="HN35" s="3" t="str">
        <f>_xlfn.XLOOKUP(B35,QUERY!$C:$C,QUERY!BO:BO)</f>
        <v>462.00</v>
      </c>
      <c r="HO35" s="3" t="str">
        <f>_xlfn.XLOOKUP(B35,QUERY!$C:$C,QUERY!BP:BP)</f>
        <v>NULL</v>
      </c>
      <c r="HP35" s="3" t="str">
        <f>_xlfn.XLOOKUP(B35,QUERY!$C:$C,QUERY!BQ:BQ)</f>
        <v>NULL</v>
      </c>
      <c r="HQ35" s="3" t="str">
        <f>_xlfn.XLOOKUP(B35,QUERY!$C:$C,QUERY!BR:BR)</f>
        <v>350419.46</v>
      </c>
      <c r="HR35" s="3">
        <f>_xlfn.XLOOKUP(B35,QUERY!$C:$C,QUERY!BS:BS)</f>
        <v>0</v>
      </c>
      <c r="HS35" s="3">
        <f>_xlfn.XLOOKUP(B35,QUERY!$C:$C,QUERY!BT:BT)</f>
        <v>0</v>
      </c>
      <c r="HT35" s="3" t="str">
        <f>_xlfn.XLOOKUP(B35,QUERY!$C:$C,QUERY!A:A)</f>
        <v>VERACRUZ</v>
      </c>
      <c r="HU35" s="3" t="str">
        <f>_xlfn.XLOOKUP(B35,QUERY!$C:$C,QUERY!B:B)</f>
        <v>MARÍTIMO VERACRUZ</v>
      </c>
    </row>
    <row r="36" spans="1:229" x14ac:dyDescent="0.25">
      <c r="A36" s="3" t="s">
        <v>90</v>
      </c>
      <c r="B36" s="10" t="s">
        <v>170</v>
      </c>
      <c r="C36" s="3">
        <v>3942</v>
      </c>
      <c r="D36" s="3">
        <v>6000136</v>
      </c>
      <c r="E36" s="3"/>
      <c r="F36" s="3" t="s">
        <v>92</v>
      </c>
      <c r="G36" s="3" t="s">
        <v>93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17.482800000000001</v>
      </c>
      <c r="Q36" s="3">
        <v>1251.54</v>
      </c>
      <c r="R36" s="3">
        <v>430</v>
      </c>
      <c r="S36" s="3" t="s">
        <v>171</v>
      </c>
      <c r="T36" s="3" t="s">
        <v>130</v>
      </c>
      <c r="U36" s="3">
        <v>7104469</v>
      </c>
      <c r="V36" s="3">
        <v>7104469</v>
      </c>
      <c r="W36" s="3">
        <v>0</v>
      </c>
      <c r="X36" s="3">
        <v>0</v>
      </c>
      <c r="Y36" s="3">
        <v>0</v>
      </c>
      <c r="Z36" s="3">
        <v>0</v>
      </c>
      <c r="AA36" s="3" t="s">
        <v>172</v>
      </c>
      <c r="AB36" s="3"/>
      <c r="AC36" s="3">
        <v>2562085</v>
      </c>
      <c r="AD36" s="3">
        <v>178.17003</v>
      </c>
      <c r="AE36" s="3">
        <v>808</v>
      </c>
      <c r="AF36" s="3">
        <v>0</v>
      </c>
      <c r="AG36" s="3">
        <v>0</v>
      </c>
      <c r="AH36" s="3">
        <v>0</v>
      </c>
      <c r="AI36" s="3">
        <v>53</v>
      </c>
      <c r="AJ36" s="3">
        <v>462</v>
      </c>
      <c r="AK36" s="3">
        <v>0</v>
      </c>
      <c r="AL36" s="3">
        <v>0</v>
      </c>
      <c r="AM36" s="3">
        <v>330</v>
      </c>
      <c r="AN36" s="3">
        <v>845</v>
      </c>
      <c r="AO36" s="3" t="s">
        <v>97</v>
      </c>
      <c r="AP36" s="3" t="s">
        <v>98</v>
      </c>
      <c r="AQ36" s="3">
        <v>210361306</v>
      </c>
      <c r="AR36" s="3" t="s">
        <v>99</v>
      </c>
      <c r="AS36" s="3" t="s">
        <v>100</v>
      </c>
      <c r="AT36" s="3" t="s">
        <v>173</v>
      </c>
      <c r="AU36" s="3"/>
      <c r="AV36" s="3" t="s">
        <v>102</v>
      </c>
      <c r="AW36" s="3">
        <v>30049099</v>
      </c>
      <c r="AX36" s="3">
        <v>99</v>
      </c>
      <c r="AY36" s="3">
        <v>14380</v>
      </c>
      <c r="AZ36" s="3">
        <v>14380</v>
      </c>
      <c r="BA36" s="3" t="s">
        <v>103</v>
      </c>
      <c r="BB36" s="3"/>
      <c r="BC36" s="3" t="s">
        <v>104</v>
      </c>
      <c r="BD36" s="3" t="s">
        <v>105</v>
      </c>
      <c r="BE36" s="3" t="s">
        <v>106</v>
      </c>
      <c r="BF36" s="3" t="s">
        <v>117</v>
      </c>
      <c r="BG36" s="5"/>
      <c r="BH36" s="3"/>
      <c r="BI36" s="3"/>
      <c r="BJ36" s="3" t="s">
        <v>109</v>
      </c>
      <c r="BK36" s="3" t="s">
        <v>174</v>
      </c>
      <c r="BL36" s="3">
        <v>42514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22189.59</v>
      </c>
      <c r="BY36" s="3">
        <v>0</v>
      </c>
      <c r="BZ36" s="3">
        <v>0</v>
      </c>
      <c r="CA36" s="3">
        <v>26222.67</v>
      </c>
      <c r="CB36" s="3">
        <v>10205.02</v>
      </c>
      <c r="CC36" s="3">
        <v>1756</v>
      </c>
      <c r="CD36" s="3">
        <v>196719.85</v>
      </c>
      <c r="CE36" s="3" t="s">
        <v>111</v>
      </c>
      <c r="CF36" s="3">
        <v>196719.85</v>
      </c>
      <c r="CG36" s="3">
        <v>196719.85</v>
      </c>
      <c r="CH36" s="3">
        <v>0</v>
      </c>
      <c r="CI36" s="3" t="s">
        <v>112</v>
      </c>
      <c r="CJ36" s="3" t="s">
        <v>112</v>
      </c>
      <c r="CK36" s="3">
        <f>_xlfn.XLOOKUP($B$2,'BASE DE EXCEL'!C:C,'BASE DE EXCEL'!D:D,"NO HAY REFERENCIA")</f>
        <v>470</v>
      </c>
      <c r="CL36" s="5">
        <f>_xlfn.XLOOKUP($B$2,'BASE DE EXCEL'!$C:$C,'BASE DE EXCEL'!F:F,"NO HAY REFERENCIA")</f>
        <v>3</v>
      </c>
      <c r="CM36" s="4">
        <f>_xlfn.XLOOKUP($B$2,'BASE DE EXCEL'!$C:$C,'BASE DE EXCEL'!G:G,"NO HAY REFERENCIA")</f>
        <v>46080</v>
      </c>
      <c r="CN36" s="4">
        <f>_xlfn.XLOOKUP($B$2,'BASE DE EXCEL'!$C:$C,'BASE DE EXCEL'!H:H,"NO HAY REFERENCIA")</f>
        <v>46086</v>
      </c>
      <c r="CO36" s="3">
        <f>_xlfn.XLOOKUP($B$2,'BASE DE EXCEL'!$C:$C,'BASE DE EXCEL'!I:I,"NO HAY REFERENCIA")</f>
        <v>4</v>
      </c>
      <c r="CP36" s="3" t="str">
        <f>_xlfn.XLOOKUP($B$2,'BASE DE EXCEL'!$C:$C,'BASE DE EXCEL'!J:J,"NO HAY REFERENCIA")</f>
        <v>4 a 5 días</v>
      </c>
      <c r="CQ36" s="4">
        <f>_xlfn.XLOOKUP($B$2,'BASE DE EXCEL'!$C:$C,'BASE DE EXCEL'!K:K,"NO HAY REFERENCIA")</f>
        <v>46087</v>
      </c>
      <c r="CR36" s="3">
        <f>_xlfn.XLOOKUP($B$2,'BASE DE EXCEL'!$C:$C,'BASE DE EXCEL'!L:L,"NO HAY REFERENCIA")</f>
        <v>5</v>
      </c>
      <c r="CS36" s="3">
        <f>_xlfn.XLOOKUP($B$2,'BASE DE EXCEL'!$C:$C,'BASE DE EXCEL'!M:M,"NO HAY REFERENCIA")</f>
        <v>6</v>
      </c>
      <c r="CT36" s="3" t="str">
        <f>_xlfn.XLOOKUP($B$2,'BASE DE EXCEL'!$C:$C,'BASE DE EXCEL'!N:N,"NO HAY REFERENCIA")</f>
        <v>6 a 10 días</v>
      </c>
      <c r="CU36" s="3" t="str">
        <f>_xlfn.XLOOKUP($B$2,'BASE DE EXCEL'!$C:$C,'BASE DE EXCEL'!O:O,"NO HAY REFERENCIA")</f>
        <v>On Time</v>
      </c>
      <c r="CV36" s="3" t="str">
        <f>_xlfn.XLOOKUP(B36,'BASE DE EXCEL'!$C:$C,'BASE DE EXCEL'!P:P,"NO HAY REFERENCIA")</f>
        <v>4 a 5 días</v>
      </c>
      <c r="CW36" s="4">
        <f>_xlfn.XLOOKUP(B36,'BASE DE EXCEL'!$C:$C,'BASE DE EXCEL'!Q:Q,"NO HAY REFERENCIA")</f>
        <v>46052</v>
      </c>
      <c r="CX36" s="3">
        <f>_xlfn.XLOOKUP(B36,'BASE DE EXCEL'!$C:$C,'BASE DE EXCEL'!R:R,"NO HAY REFERENCIA")</f>
        <v>5</v>
      </c>
      <c r="CY36" s="3" t="str">
        <f>_xlfn.XLOOKUP(B36,'BASE DE EXCEL'!$C:$C,'BASE DE EXCEL'!S:S,"NO HAY REFERENCIA")</f>
        <v>4 a 5 días</v>
      </c>
      <c r="CZ36" s="3" t="str">
        <f>_xlfn.XLOOKUP(B36,'BASE DE EXCEL'!$C:$C,'BASE DE EXCEL'!T:T,"NO HAY REFERENCIA")</f>
        <v>On Time</v>
      </c>
      <c r="DA36" s="3">
        <f>_xlfn.XLOOKUP(B36,'BASE DE EXCEL'!$C:$C,'BASE DE EXCEL'!U:U,"NO HAY REFERENCIA")</f>
        <v>6</v>
      </c>
      <c r="DB36" s="3" t="str">
        <f>_xlfn.XLOOKUP(B36,'BASE DE EXCEL'!$C:$C,'BASE DE EXCEL'!V:V,"NO HAY REFERENCIA")</f>
        <v>4 a 5 días</v>
      </c>
      <c r="DC36" s="3">
        <f>_xlfn.XLOOKUP(B36,'BASE DE EXCEL'!$C:$C,'BASE DE EXCEL'!W:W,"NO HAY REFERENCIA")</f>
        <v>12</v>
      </c>
      <c r="DD36" s="3" t="str">
        <f>_xlfn.XLOOKUP(B36,'BASE DE EXCEL'!$C:$C,'BASE DE EXCEL'!X:X,"NO HAY REFERENCIA")</f>
        <v>11 a 15 días</v>
      </c>
      <c r="DE36" s="3">
        <f>_xlfn.XLOOKUP(B36,'BASE DE EXCEL'!$C:$C,'BASE DE EXCEL'!Y:Y,"NO HAY REFERENCIA")</f>
        <v>1</v>
      </c>
      <c r="DF36" s="3" t="str">
        <f>_xlfn.XLOOKUP(B36,'BASE DE EXCEL'!$C:$C,'BASE DE EXCEL'!Z:Z,"NO HAY REFERENCIA")</f>
        <v>1 día o menos</v>
      </c>
      <c r="DG36" s="3">
        <f>_xlfn.XLOOKUP(B36,'BASE DE EXCEL'!$C:$C,'BASE DE EXCEL'!AA:AA,"NO HAY REFERENCIA")</f>
        <v>4</v>
      </c>
      <c r="DH36" s="3">
        <f>_xlfn.XLOOKUP(B36,'BASE DE EXCEL'!$C:$C,'BASE DE EXCEL'!AB:AB,"NO HAY REFERENCIA")</f>
        <v>1</v>
      </c>
      <c r="DI36" s="3" t="str">
        <f>_xlfn.XLOOKUP(B36,'BASE DE EXCEL'!$C:$C,'BASE DE EXCEL'!AC:AC,"NO HAY REFERENCIA")</f>
        <v>1 día o menos</v>
      </c>
      <c r="DJ36" s="4">
        <f>_xlfn.XLOOKUP(B36,'BASE DE EXCEL'!$C:$C,'BASE DE EXCEL'!AD:AD,"NO HAY REFERENCIA")</f>
        <v>46064</v>
      </c>
      <c r="DK36" s="3">
        <f>_xlfn.XLOOKUP(B36,'BASE DE EXCEL'!$C:$C,'BASE DE EXCEL'!AE:AE,"NO HAY REFERENCIA")</f>
        <v>12</v>
      </c>
      <c r="DL36" s="3">
        <f>_xlfn.XLOOKUP(B36,'BASE DE EXCEL'!$C:$C,'BASE DE EXCEL'!AF:AF,"NO HAY REFERENCIA")</f>
        <v>8</v>
      </c>
      <c r="DM36" s="4">
        <f>_xlfn.XLOOKUP(B36,'BASE DE EXCEL'!$C:$C,'BASE DE EXCEL'!AG:AG,"NO HAY REFERENCIA")</f>
        <v>46064</v>
      </c>
      <c r="DN36" s="4">
        <f>_xlfn.XLOOKUP(B36,'BASE DE EXCEL'!$C:$C,'BASE DE EXCEL'!AH:AH,"NO HAY REFERENCIA")</f>
        <v>46064</v>
      </c>
      <c r="DO36" s="3">
        <f>_xlfn.XLOOKUP(B36,'BASE DE EXCEL'!$C:$C,'BASE DE EXCEL'!AI:AI,"NO HAY REFERENCIA")</f>
        <v>0</v>
      </c>
      <c r="DP36" s="4" t="str">
        <f>_xlfn.XLOOKUP(B36,'BASE DE EXCEL'!$C:$C,'BASE DE EXCEL'!AJ:AJ,"NO HAY REFERENCIA")</f>
        <v>11 a 15 días</v>
      </c>
      <c r="DQ36" s="4">
        <f>_xlfn.XLOOKUP(B36,'BASE DE EXCEL'!$C:$C,'BASE DE EXCEL'!AK:AK,"NO HAY REFERENCIA")</f>
        <v>46064</v>
      </c>
      <c r="DR36" s="3">
        <f>_xlfn.XLOOKUP(B36,'BASE DE EXCEL'!$C:$C,'BASE DE EXCEL'!AL:AL,"NO HAY REFERENCIA")</f>
        <v>8</v>
      </c>
      <c r="DS36" s="3" t="str">
        <f>_xlfn.XLOOKUP(B36,'BASE DE EXCEL'!$C:$C,'BASE DE EXCEL'!AM:AM,"NO HAY REFERENCIA")</f>
        <v>6 a 10 días</v>
      </c>
      <c r="DT36" s="3" t="str">
        <f>_xlfn.XLOOKUP(B36,'BASE DE EXCEL'!$C:$C,'BASE DE EXCEL'!AN:AN,"NO HAY REFERENCIA")</f>
        <v>Delayed</v>
      </c>
      <c r="DU36" s="3">
        <f>_xlfn.XLOOKUP(B36,'BASE DE EXCEL'!$C:$C,'BASE DE EXCEL'!AO:AO,"NO HAY REFERENCIA")</f>
        <v>1</v>
      </c>
      <c r="DV36" s="3" t="str">
        <f>_xlfn.XLOOKUP(B36,'BASE DE EXCEL'!$C:$C,'BASE DE EXCEL'!AP:AP,"NO HAY REFERENCIA")</f>
        <v>Es anterior</v>
      </c>
      <c r="DW36" s="3" t="str">
        <f>_xlfn.XLOOKUP(B36,'BASE DE EXCEL'!$C:$C,'BASE DE EXCEL'!AQ:AQ,"NO HAY REFERENCIA")</f>
        <v>A1</v>
      </c>
      <c r="DX36" s="3" t="str">
        <f>_xlfn.XLOOKUP(B36,'BASE DE EXCEL'!$C:$C,'BASE DE EXCEL'!AR:AR,"NO HAY REFERENCIA")</f>
        <v>ZULEIMA PEREZ RUIZ</v>
      </c>
      <c r="DY36" s="3" t="str">
        <f>_xlfn.XLOOKUP(B36,'BASE DE EXCEL'!$C:$C,'BASE DE EXCEL'!AS:AS,"NO HAY REFERENCIA")</f>
        <v>HLCULE1251204061</v>
      </c>
      <c r="DZ36" s="3" t="str">
        <f>_xlfn.XLOOKUP(B36,'BASE DE EXCEL'!$C:$C,'BASE DE EXCEL'!AT:AT,"NO HAY REFERENCIA")</f>
        <v>NULL</v>
      </c>
      <c r="EA36" s="3">
        <f>_xlfn.XLOOKUP(B36,'BASE DE EXCEL'!$C:$C,'BASE DE EXCEL'!AU:AU,"NO HAY REFERENCIA")</f>
        <v>6000136</v>
      </c>
      <c r="EB36" s="3" t="str">
        <f>_xlfn.XLOOKUP(B36,'BASE DE EXCEL'!$C:$C,'BASE DE EXCEL'!AV:AV,"NO HAY REFERENCIA")</f>
        <v>Importación</v>
      </c>
      <c r="EC36" s="3" t="str">
        <f>_xlfn.XLOOKUP(B36,'BASE DE EXCEL'!$C:$C,'BASE DE EXCEL'!AW:AW,"NO HAY REFERENCIA")</f>
        <v>BRAVECTO PLUS FOR CAT 500MG 1X1DS  (MEDICAMENTO DOSIFICADO DE USO VETERINARIO)</v>
      </c>
      <c r="ED36" s="3" t="str">
        <f>_xlfn.XLOOKUP(B36,'BASE DE EXCEL'!$C:$C,'BASE DE EXCEL'!AX:AX,"NO HAY REFERENCIA")</f>
        <v>SIN CLASIFICACION</v>
      </c>
      <c r="EE36" s="3">
        <f>_xlfn.XLOOKUP(B36,'BASE DE EXCEL'!$C:$C,'BASE DE EXCEL'!AY:AY,"NO HAY REFERENCIA")</f>
        <v>0</v>
      </c>
      <c r="EF36" s="3" t="str">
        <f>_xlfn.XLOOKUP(B36,'BASE DE EXCEL'!$C:$C,'BASE DE EXCEL'!AZ:AZ,"NO HAY REFERENCIA")</f>
        <v>Cargas de Importación</v>
      </c>
      <c r="EG36" s="3" t="str">
        <f>_xlfn.XLOOKUP(B36,'BASE DE EXCEL'!$C:$C,'BASE DE EXCEL'!BA:BA,"NO HAY REFERENCIA")</f>
        <v>INTERVET MEXICO SA DE CV</v>
      </c>
      <c r="EH36" s="3">
        <f>_xlfn.XLOOKUP(B36,'BASE DE EXCEL'!$C:$C,'BASE DE EXCEL'!BB:BB,"NO HAY REFERENCIA")</f>
        <v>0</v>
      </c>
      <c r="EI36" s="3" t="str">
        <f>_xlfn.XLOOKUP(B36,'BASE DE EXCEL'!$C:$C,'BASE DE EXCEL'!BC:BC,"NO HAY REFERENCIA")</f>
        <v>NINGUNO</v>
      </c>
      <c r="EJ36" s="3">
        <f>_xlfn.XLOOKUP(B36,'BASE DE EXCEL'!$C:$C,'BASE DE EXCEL'!BD:BD,"NO HAY REFERENCIA")</f>
        <v>0</v>
      </c>
      <c r="EK36" s="3" t="str">
        <f>_xlfn.XLOOKUP(B36,'BASE DE EXCEL'!$C:$C,'BASE DE EXCEL'!BE:BE,"NO HAY REFERENCIA")</f>
        <v>NINGUNO</v>
      </c>
      <c r="EL36" s="3" t="str">
        <f>_xlfn.XLOOKUP(B36,'BASE DE EXCEL'!$C:$C,'BASE DE EXCEL'!BF:BF,"NO HAY REFERENCIA")</f>
        <v>PRODUCTO TERMINADO</v>
      </c>
      <c r="EM36" s="3" t="str">
        <f>_xlfn.XLOOKUP(B36,'BASE DE EXCEL'!$C:$C,'BASE DE EXCEL'!BG:BG,"NO HAY REFERENCIA")</f>
        <v>Verde</v>
      </c>
      <c r="EN36" s="3" t="str">
        <f>_xlfn.XLOOKUP(B36,'BASE DE EXCEL'!$C:$C,'BASE DE EXCEL'!BH:BH,"NO HAY REFERENCIA")</f>
        <v xml:space="preserve"> MLH TRANSPORTE, S.A. DE C.V.</v>
      </c>
      <c r="EO36" s="3" t="str">
        <f>_xlfn.XLOOKUP(B36,'BASE DE EXCEL'!$C:$C,'BASE DE EXCEL'!BI:BI,"NO HAY REFERENCIA")</f>
        <v>TRACTOCAMION ECO 132</v>
      </c>
      <c r="EP36" s="3">
        <f>_xlfn.XLOOKUP(B36,'BASE DE EXCEL'!$C:$C,'BASE DE EXCEL'!BJ:BJ,"NO HAY REFERENCIA")</f>
        <v>0</v>
      </c>
      <c r="EQ36" s="3" t="str">
        <f>_xlfn.XLOOKUP(B36,'BASE DE EXCEL'!$C:$C,'BASE DE EXCEL'!BK:BK,"NO HAY REFERENCIA")</f>
        <v>IME850329RH2</v>
      </c>
      <c r="ER36" s="3">
        <f>_xlfn.XLOOKUP(B36,'BASE DE EXCEL'!$C:$C,'BASE DE EXCEL'!BL:BL,"NO HAY REFERENCIA")</f>
        <v>0</v>
      </c>
      <c r="ES36" s="3">
        <f>_xlfn.XLOOKUP(B36,'BASE DE EXCEL'!$C:$C,'BASE DE EXCEL'!BM:BM,"NO HAY REFERENCIA")</f>
        <v>99</v>
      </c>
      <c r="ET36" s="3" t="str">
        <f>_xlfn.XLOOKUP(B36,'BASE DE EXCEL'!$C:$C,'BASE DE EXCEL'!BN:BN,"NO HAY REFERENCIA")</f>
        <v>LOTE: L45A03,LOTES: L43C04, L45C02</v>
      </c>
      <c r="EU36" s="3">
        <f>_xlfn.XLOOKUP(B36,'BASE DE EXCEL'!$C:$C,'BASE DE EXCEL'!BO:BO,"NO HAY REFERENCIA")</f>
        <v>90</v>
      </c>
      <c r="EV36" s="3" t="str">
        <f>_xlfn.XLOOKUP(B36,'BASE DE EXCEL'!$C:$C,'BASE DE EXCEL'!BP:BP,"NO HAY REFERENCIA")</f>
        <v xml:space="preserve"> 2562084.60, 4542384.00</v>
      </c>
      <c r="EW36" s="3" t="str">
        <f>_xlfn.XLOOKUP(B36,'BASE DE EXCEL'!$C:$C,'BASE DE EXCEL'!BQ:BQ,"NO HAY REFERENCIA")</f>
        <v>KILO,KILO</v>
      </c>
      <c r="EX36" s="3">
        <f>_xlfn.XLOOKUP(B36,'BASE DE EXCEL'!$C:$C,'BASE DE EXCEL'!BR:BR,"NO HAY REFERENCIA")</f>
        <v>0</v>
      </c>
      <c r="EY36" s="3" t="str">
        <f>_xlfn.XLOOKUP(B36,'BASE DE EXCEL'!$C:$C,'BASE DE EXCEL'!BS:BS,"NO HAY REFERENCIA")</f>
        <v>FRANCIA (REPUBLICA FRANCESA)</v>
      </c>
      <c r="EZ36" s="3" t="str">
        <f>_xlfn.XLOOKUP(B36,'BASE DE EXCEL'!$C:$C,'BASE DE EXCEL'!BT:BT,"NO HAY REFERENCIA")</f>
        <v>PAISES BAJOS (REINO DE LOS) (HOLANDA)</v>
      </c>
      <c r="FA36" s="3" t="str">
        <f>_xlfn.XLOOKUP(B36,'BASE DE EXCEL'!$C:$C,'BASE DE EXCEL'!BU:BU,"NO HAY REFERENCIA")</f>
        <v>FRA</v>
      </c>
      <c r="FB36" s="3" t="str">
        <f>_xlfn.XLOOKUP(B36,'BASE DE EXCEL'!$C:$C,'BASE DE EXCEL'!BV:BV,"NO HAY REFERENCIA")</f>
        <v>ZYA</v>
      </c>
      <c r="FC36" s="3">
        <f>_xlfn.XLOOKUP(B36,QUERY!$C:$C,QUERY!D:D)</f>
        <v>430</v>
      </c>
      <c r="FD36" s="4">
        <f>_xlfn.XLOOKUP(B36,QUERY!$C:$C,QUERY!E:E)</f>
        <v>46050</v>
      </c>
      <c r="FE36" s="3">
        <f>_xlfn.XLOOKUP(B36,QUERY!$C:$C,QUERY!F:F)</f>
        <v>1</v>
      </c>
      <c r="FF36" s="4">
        <f>_xlfn.XLOOKUP(B36,QUERY!$C:$C,QUERY!G:G)</f>
        <v>46046</v>
      </c>
      <c r="FG36" s="4">
        <f>_xlfn.XLOOKUP(B36,QUERY!$C:$C,QUERY!H:H)</f>
        <v>46050</v>
      </c>
      <c r="FH36" s="3">
        <f>_xlfn.XLOOKUP(B36,QUERY!$C:$C,QUERY!I:I)</f>
        <v>2</v>
      </c>
      <c r="FI36" s="3" t="str">
        <f>_xlfn.XLOOKUP(B36,QUERY!$C:$C,QUERY!J:J)</f>
        <v>2 a 3 días</v>
      </c>
      <c r="FJ36" s="4">
        <f>_xlfn.XLOOKUP(B36,QUERY!$C:$C,QUERY!K:K)</f>
        <v>46051</v>
      </c>
      <c r="FK36" s="3">
        <f>_xlfn.XLOOKUP(B36,QUERY!$C:$C,QUERY!L:L)</f>
        <v>3</v>
      </c>
      <c r="FL36" s="3" t="str">
        <f>_xlfn.XLOOKUP(B36,QUERY!$C:$C,QUERY!M:M)</f>
        <v>2 a 3 días</v>
      </c>
      <c r="FM36" s="3">
        <f>_xlfn.XLOOKUP(B36,QUERY!$C:$C,QUERY!N:N)</f>
        <v>1</v>
      </c>
      <c r="FN36" s="3" t="str">
        <f>_xlfn.XLOOKUP(B36,QUERY!$C:$C,QUERY!O:O)</f>
        <v>1 día o menos</v>
      </c>
      <c r="FO36" s="3">
        <f>_xlfn.XLOOKUP(B36,QUERY!$C:$C,QUERY!P:P)</f>
        <v>1</v>
      </c>
      <c r="FP36" s="3">
        <f>_xlfn.XLOOKUP(B36,QUERY!$C:$C,QUERY!Q:Q)</f>
        <v>1</v>
      </c>
      <c r="FQ36" s="3" t="str">
        <f>_xlfn.XLOOKUP(B36,QUERY!$C:$C,QUERY!R:R)</f>
        <v>1 día o menos</v>
      </c>
      <c r="FR36" s="4">
        <f>_xlfn.XLOOKUP(B36,QUERY!$C:$C,QUERY!S:S)</f>
        <v>46052</v>
      </c>
      <c r="FS36" s="3">
        <f>_xlfn.XLOOKUP(B36,QUERY!$C:$C,QUERY!T:T)</f>
        <v>4</v>
      </c>
      <c r="FT36" s="3" t="str">
        <f>_xlfn.XLOOKUP(B36,QUERY!$C:$C,QUERY!U:U)</f>
        <v>4 a 5 días</v>
      </c>
      <c r="FU36" s="3">
        <f>_xlfn.XLOOKUP(B36,QUERY!$C:$C,QUERY!V:V)</f>
        <v>12</v>
      </c>
      <c r="FV36" s="3" t="str">
        <f>_xlfn.XLOOKUP(B36,QUERY!$C:$C,QUERY!W:W)</f>
        <v>11 a 15 días</v>
      </c>
      <c r="FW36" s="4">
        <f>_xlfn.XLOOKUP(B36,QUERY!$C:$C,QUERY!X:X)</f>
        <v>46064</v>
      </c>
      <c r="FX36" s="3">
        <f>_xlfn.XLOOKUP(B36,QUERY!$C:$C,QUERY!Y:Y)</f>
        <v>8</v>
      </c>
      <c r="FY36" s="3">
        <f>_xlfn.XLOOKUP(B36,QUERY!$C:$C,QUERY!Z:Z)</f>
        <v>8</v>
      </c>
      <c r="FZ36" s="4" t="str">
        <f>_xlfn.XLOOKUP(B36,QUERY!$C:$C,QUERY!AA:AA)</f>
        <v>11 a 15 días</v>
      </c>
      <c r="GA36" s="4">
        <f>_xlfn.XLOOKUP(B36,QUERY!$C:$C,QUERY!AB:AB)</f>
        <v>46064</v>
      </c>
      <c r="GB36" s="4">
        <f>_xlfn.XLOOKUP(B36,QUERY!$C:$C,QUERY!AC:AC)</f>
        <v>46064</v>
      </c>
      <c r="GC36" s="3">
        <f>_xlfn.XLOOKUP(B36,QUERY!$C:$C,QUERY!AD:AD)</f>
        <v>0</v>
      </c>
      <c r="GD36" s="4">
        <f>_xlfn.XLOOKUP(B36,QUERY!$C:$C,QUERY!AE:AE)</f>
        <v>46064</v>
      </c>
      <c r="GE36" s="3">
        <f>_xlfn.XLOOKUP(B36,QUERY!$C:$C,QUERY!AF:AF)</f>
        <v>1</v>
      </c>
      <c r="GF36" s="4" t="str">
        <f>_xlfn.XLOOKUP(B36,QUERY!$C:$C,QUERY!AG:AG)</f>
        <v>Es anterior</v>
      </c>
      <c r="GG36" s="3" t="str">
        <f>_xlfn.XLOOKUP(B36,QUERY!$C:$C,QUERY!AH:AH)</f>
        <v>A1</v>
      </c>
      <c r="GH36" s="3" t="str">
        <f>_xlfn.XLOOKUP(B36,QUERY!$C:$C,QUERY!AI:AI)</f>
        <v>ZULEIMA PEREZ RUIZ</v>
      </c>
      <c r="GI36" s="3" t="str">
        <f>_xlfn.XLOOKUP(B36,QUERY!$C:$C,QUERY!AJ:AJ)</f>
        <v>HLCULE1251204061</v>
      </c>
      <c r="GJ36" s="3" t="str">
        <f>_xlfn.XLOOKUP(B36,QUERY!$C:$C,QUERY!AK:AK)</f>
        <v>NULL</v>
      </c>
      <c r="GK36" s="3">
        <f>_xlfn.XLOOKUP(B36,QUERY!$C:$C,QUERY!AL:AL)</f>
        <v>6000136</v>
      </c>
      <c r="GL36" s="3" t="str">
        <f>_xlfn.XLOOKUP(B36,QUERY!$C:$C,QUERY!AM:AM)</f>
        <v>Importación</v>
      </c>
      <c r="GM36" s="3" t="str">
        <f>_xlfn.XLOOKUP(B36,QUERY!$C:$C,QUERY!AN:AN)</f>
        <v>BRAVECTO PLUS FOR CAT 500MG 1X1DS  (MEDICAMENTO DOSIFICADO DE USO VETERINARIO)</v>
      </c>
      <c r="GN36" s="3" t="str">
        <f>_xlfn.XLOOKUP(B36,QUERY!$C:$C,QUERY!AO:AO)</f>
        <v>SIN CLASIFICACION</v>
      </c>
      <c r="GO36" s="3">
        <f>_xlfn.XLOOKUP(B36,QUERY!$C:$C,QUERY!AP:AP)</f>
        <v>0</v>
      </c>
      <c r="GP36" s="3" t="str">
        <f>_xlfn.XLOOKUP(B36,QUERY!$C:$C,QUERY!AQ:AQ)</f>
        <v>Cargas de Importación</v>
      </c>
      <c r="GQ36" s="3" t="str">
        <f>_xlfn.XLOOKUP(B36,QUERY!$C:$C,QUERY!AR:AR)</f>
        <v>INTERVET MEXICO SA DE CV</v>
      </c>
      <c r="GR36" s="3">
        <f>_xlfn.XLOOKUP(B36,QUERY!$C:$C,QUERY!AS:AS)</f>
        <v>0</v>
      </c>
      <c r="GS36" s="3" t="str">
        <f>_xlfn.XLOOKUP(B36,QUERY!$C:$C,QUERY!AT:AT)</f>
        <v>NINGUNO</v>
      </c>
      <c r="GT36" s="3">
        <f>_xlfn.XLOOKUP(B36,QUERY!$C:$C,QUERY!AU:AU)</f>
        <v>0</v>
      </c>
      <c r="GU36" s="3" t="str">
        <f>_xlfn.XLOOKUP(B36,QUERY!$C:$C,QUERY!AV:AV)</f>
        <v>NINGUNO</v>
      </c>
      <c r="GV36" s="3" t="str">
        <f>_xlfn.XLOOKUP(B36,QUERY!$C:$C,QUERY!AW:AW)</f>
        <v>PRODUCTO TERMINADO</v>
      </c>
      <c r="GW36" s="3" t="str">
        <f>_xlfn.XLOOKUP(B36,QUERY!$C:$C,QUERY!AX:AX)</f>
        <v>Verde</v>
      </c>
      <c r="GX36" s="3" t="str">
        <f>_xlfn.XLOOKUP(B36,QUERY!$C:$C,QUERY!AY:AY)</f>
        <v xml:space="preserve"> MLH TRANSPORTE, S.A. DE C.V.</v>
      </c>
      <c r="GY36" s="3" t="str">
        <f>_xlfn.XLOOKUP(B36,QUERY!$C:$C,QUERY!AZ:AZ)</f>
        <v>TRACTOCAMION ECO 132</v>
      </c>
      <c r="GZ36" s="3">
        <f>_xlfn.XLOOKUP(B36,QUERY!$C:$C,QUERY!BA:BA)</f>
        <v>0</v>
      </c>
      <c r="HA36" s="3" t="str">
        <f>_xlfn.XLOOKUP(B36,QUERY!$C:$C,QUERY!BB:BB)</f>
        <v>IME850329RH2</v>
      </c>
      <c r="HB36" s="3">
        <f>_xlfn.XLOOKUP(B36,QUERY!$C:$C,QUERY!BC:BC)</f>
        <v>0</v>
      </c>
      <c r="HC36" s="3">
        <f>_xlfn.XLOOKUP(B36,QUERY!$C:$C,QUERY!BD:BD)</f>
        <v>99</v>
      </c>
      <c r="HD36" s="3" t="str">
        <f>_xlfn.XLOOKUP(B36,QUERY!$C:$C,QUERY!BE:BE)</f>
        <v>LOTE: L45A03,LOTES: L43C04, L45C02</v>
      </c>
      <c r="HE36" s="3">
        <f>_xlfn.XLOOKUP(B36,QUERY!$C:$C,QUERY!BF:BF)</f>
        <v>90</v>
      </c>
      <c r="HF36" s="3" t="str">
        <f>_xlfn.XLOOKUP(B36,QUERY!$C:$C,QUERY!BG:BG)</f>
        <v xml:space="preserve"> 2562084.60, 4542384.00</v>
      </c>
      <c r="HG36" s="3" t="str">
        <f>_xlfn.XLOOKUP(B36,QUERY!$C:$C,QUERY!BH:BH)</f>
        <v>KILO,KILO</v>
      </c>
      <c r="HH36" s="3">
        <f>_xlfn.XLOOKUP(B36,QUERY!$C:$C,QUERY!BI:BI)</f>
        <v>0</v>
      </c>
      <c r="HI36" s="3" t="str">
        <f>_xlfn.XLOOKUP(B36,QUERY!$C:$C,QUERY!BJ:BJ)</f>
        <v>FRANCIA (REPUBLICA FRANCESA)</v>
      </c>
      <c r="HJ36" s="3" t="str">
        <f>_xlfn.XLOOKUP(B36,QUERY!$C:$C,QUERY!BK:BK)</f>
        <v>PAISES BAJOS (REINO DE LOS) (HOLANDA)</v>
      </c>
      <c r="HK36" s="3" t="str">
        <f>_xlfn.XLOOKUP(B36,QUERY!$C:$C,QUERY!BL:BL)</f>
        <v>FRA</v>
      </c>
      <c r="HL36" s="3" t="str">
        <f>_xlfn.XLOOKUP(B36,QUERY!$C:$C,QUERY!BM:BM)</f>
        <v>ZYA</v>
      </c>
      <c r="HM36" s="3">
        <f>_xlfn.XLOOKUP(B36,QUERY!$C:$C,QUERY!BN:BN)</f>
        <v>7104469</v>
      </c>
      <c r="HN36" s="3" t="str">
        <f>_xlfn.XLOOKUP(B36,QUERY!$C:$C,QUERY!BO:BO)</f>
        <v>462.00</v>
      </c>
      <c r="HO36" s="3" t="str">
        <f>_xlfn.XLOOKUP(B36,QUERY!$C:$C,QUERY!BP:BP)</f>
        <v>NULL</v>
      </c>
      <c r="HP36" s="3" t="str">
        <f>_xlfn.XLOOKUP(B36,QUERY!$C:$C,QUERY!BQ:BQ)</f>
        <v>NULL</v>
      </c>
      <c r="HQ36" s="3" t="str">
        <f>_xlfn.XLOOKUP(B36,QUERY!$C:$C,QUERY!BR:BR)</f>
        <v>196719.85</v>
      </c>
      <c r="HR36" s="3">
        <f>_xlfn.XLOOKUP(B36,QUERY!$C:$C,QUERY!BS:BS)</f>
        <v>0</v>
      </c>
      <c r="HS36" s="3">
        <f>_xlfn.XLOOKUP(B36,QUERY!$C:$C,QUERY!BT:BT)</f>
        <v>0</v>
      </c>
      <c r="HT36" s="3" t="str">
        <f>_xlfn.XLOOKUP(B36,QUERY!$C:$C,QUERY!A:A)</f>
        <v>VERACRUZ</v>
      </c>
      <c r="HU36" s="3" t="str">
        <f>_xlfn.XLOOKUP(B36,QUERY!$C:$C,QUERY!B:B)</f>
        <v>MARÍTIMO VERACRUZ</v>
      </c>
    </row>
    <row r="37" spans="1:229" x14ac:dyDescent="0.25">
      <c r="A37" s="3" t="s">
        <v>90</v>
      </c>
      <c r="B37" s="10" t="s">
        <v>170</v>
      </c>
      <c r="C37" s="3">
        <v>3942</v>
      </c>
      <c r="D37" s="3">
        <v>6000136</v>
      </c>
      <c r="E37" s="3"/>
      <c r="F37" s="3" t="s">
        <v>92</v>
      </c>
      <c r="G37" s="3" t="s">
        <v>93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430</v>
      </c>
      <c r="S37" s="3" t="s">
        <v>171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 t="s">
        <v>175</v>
      </c>
      <c r="AB37" s="3"/>
      <c r="AC37" s="3">
        <v>4542384</v>
      </c>
      <c r="AD37" s="3">
        <v>172.06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/>
      <c r="AP37" s="3" t="s">
        <v>98</v>
      </c>
      <c r="AQ37" s="3">
        <v>210361307</v>
      </c>
      <c r="AR37" s="3" t="s">
        <v>99</v>
      </c>
      <c r="AS37" s="3" t="s">
        <v>100</v>
      </c>
      <c r="AT37" s="3">
        <v>0</v>
      </c>
      <c r="AU37" s="3">
        <v>0</v>
      </c>
      <c r="AV37" s="3">
        <v>0</v>
      </c>
      <c r="AW37" s="3">
        <v>30049099</v>
      </c>
      <c r="AX37" s="3">
        <v>99</v>
      </c>
      <c r="AY37" s="3">
        <v>26400</v>
      </c>
      <c r="AZ37" s="3">
        <v>26400</v>
      </c>
      <c r="BA37" s="3" t="s">
        <v>103</v>
      </c>
      <c r="BB37" s="3"/>
      <c r="BC37" s="3" t="s">
        <v>104</v>
      </c>
      <c r="BD37" s="3" t="s">
        <v>105</v>
      </c>
      <c r="BE37" s="3"/>
      <c r="BF37" s="3"/>
      <c r="BG37" s="5"/>
      <c r="BH37" s="3"/>
      <c r="BI37" s="3"/>
      <c r="BJ37" s="3"/>
      <c r="BK37" s="3" t="s">
        <v>176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 t="s">
        <v>111</v>
      </c>
      <c r="CF37" s="3">
        <v>0</v>
      </c>
      <c r="CG37" s="3">
        <v>0</v>
      </c>
      <c r="CH37" s="3">
        <v>0</v>
      </c>
      <c r="CI37" s="3" t="s">
        <v>112</v>
      </c>
      <c r="CJ37" s="3" t="s">
        <v>112</v>
      </c>
      <c r="CK37" s="3">
        <f>_xlfn.XLOOKUP($B$2,'BASE DE EXCEL'!C:C,'BASE DE EXCEL'!D:D,"NO HAY REFERENCIA")</f>
        <v>470</v>
      </c>
      <c r="CL37" s="5">
        <f>_xlfn.XLOOKUP($B$2,'BASE DE EXCEL'!$C:$C,'BASE DE EXCEL'!F:F,"NO HAY REFERENCIA")</f>
        <v>3</v>
      </c>
      <c r="CM37" s="4">
        <f>_xlfn.XLOOKUP($B$2,'BASE DE EXCEL'!$C:$C,'BASE DE EXCEL'!G:G,"NO HAY REFERENCIA")</f>
        <v>46080</v>
      </c>
      <c r="CN37" s="4">
        <f>_xlfn.XLOOKUP($B$2,'BASE DE EXCEL'!$C:$C,'BASE DE EXCEL'!H:H,"NO HAY REFERENCIA")</f>
        <v>46086</v>
      </c>
      <c r="CO37" s="3">
        <f>_xlfn.XLOOKUP($B$2,'BASE DE EXCEL'!$C:$C,'BASE DE EXCEL'!I:I,"NO HAY REFERENCIA")</f>
        <v>4</v>
      </c>
      <c r="CP37" s="3" t="str">
        <f>_xlfn.XLOOKUP($B$2,'BASE DE EXCEL'!$C:$C,'BASE DE EXCEL'!J:J,"NO HAY REFERENCIA")</f>
        <v>4 a 5 días</v>
      </c>
      <c r="CQ37" s="4">
        <f>_xlfn.XLOOKUP($B$2,'BASE DE EXCEL'!$C:$C,'BASE DE EXCEL'!K:K,"NO HAY REFERENCIA")</f>
        <v>46087</v>
      </c>
      <c r="CR37" s="3">
        <f>_xlfn.XLOOKUP($B$2,'BASE DE EXCEL'!$C:$C,'BASE DE EXCEL'!L:L,"NO HAY REFERENCIA")</f>
        <v>5</v>
      </c>
      <c r="CS37" s="3">
        <f>_xlfn.XLOOKUP($B$2,'BASE DE EXCEL'!$C:$C,'BASE DE EXCEL'!M:M,"NO HAY REFERENCIA")</f>
        <v>6</v>
      </c>
      <c r="CT37" s="3" t="str">
        <f>_xlfn.XLOOKUP($B$2,'BASE DE EXCEL'!$C:$C,'BASE DE EXCEL'!N:N,"NO HAY REFERENCIA")</f>
        <v>6 a 10 días</v>
      </c>
      <c r="CU37" s="3" t="str">
        <f>_xlfn.XLOOKUP($B$2,'BASE DE EXCEL'!$C:$C,'BASE DE EXCEL'!O:O,"NO HAY REFERENCIA")</f>
        <v>On Time</v>
      </c>
      <c r="CV37" s="3" t="str">
        <f>_xlfn.XLOOKUP(B37,'BASE DE EXCEL'!$C:$C,'BASE DE EXCEL'!P:P,"NO HAY REFERENCIA")</f>
        <v>4 a 5 días</v>
      </c>
      <c r="CW37" s="4">
        <f>_xlfn.XLOOKUP(B37,'BASE DE EXCEL'!$C:$C,'BASE DE EXCEL'!Q:Q,"NO HAY REFERENCIA")</f>
        <v>46052</v>
      </c>
      <c r="CX37" s="3">
        <f>_xlfn.XLOOKUP(B37,'BASE DE EXCEL'!$C:$C,'BASE DE EXCEL'!R:R,"NO HAY REFERENCIA")</f>
        <v>5</v>
      </c>
      <c r="CY37" s="3" t="str">
        <f>_xlfn.XLOOKUP(B37,'BASE DE EXCEL'!$C:$C,'BASE DE EXCEL'!S:S,"NO HAY REFERENCIA")</f>
        <v>4 a 5 días</v>
      </c>
      <c r="CZ37" s="3" t="str">
        <f>_xlfn.XLOOKUP(B37,'BASE DE EXCEL'!$C:$C,'BASE DE EXCEL'!T:T,"NO HAY REFERENCIA")</f>
        <v>On Time</v>
      </c>
      <c r="DA37" s="3">
        <f>_xlfn.XLOOKUP(B37,'BASE DE EXCEL'!$C:$C,'BASE DE EXCEL'!U:U,"NO HAY REFERENCIA")</f>
        <v>6</v>
      </c>
      <c r="DB37" s="3" t="str">
        <f>_xlfn.XLOOKUP(B37,'BASE DE EXCEL'!$C:$C,'BASE DE EXCEL'!V:V,"NO HAY REFERENCIA")</f>
        <v>4 a 5 días</v>
      </c>
      <c r="DC37" s="3">
        <f>_xlfn.XLOOKUP(B37,'BASE DE EXCEL'!$C:$C,'BASE DE EXCEL'!W:W,"NO HAY REFERENCIA")</f>
        <v>12</v>
      </c>
      <c r="DD37" s="3" t="str">
        <f>_xlfn.XLOOKUP(B37,'BASE DE EXCEL'!$C:$C,'BASE DE EXCEL'!X:X,"NO HAY REFERENCIA")</f>
        <v>11 a 15 días</v>
      </c>
      <c r="DE37" s="3">
        <f>_xlfn.XLOOKUP(B37,'BASE DE EXCEL'!$C:$C,'BASE DE EXCEL'!Y:Y,"NO HAY REFERENCIA")</f>
        <v>1</v>
      </c>
      <c r="DF37" s="3" t="str">
        <f>_xlfn.XLOOKUP(B37,'BASE DE EXCEL'!$C:$C,'BASE DE EXCEL'!Z:Z,"NO HAY REFERENCIA")</f>
        <v>1 día o menos</v>
      </c>
      <c r="DG37" s="3">
        <f>_xlfn.XLOOKUP(B37,'BASE DE EXCEL'!$C:$C,'BASE DE EXCEL'!AA:AA,"NO HAY REFERENCIA")</f>
        <v>4</v>
      </c>
      <c r="DH37" s="3">
        <f>_xlfn.XLOOKUP(B37,'BASE DE EXCEL'!$C:$C,'BASE DE EXCEL'!AB:AB,"NO HAY REFERENCIA")</f>
        <v>1</v>
      </c>
      <c r="DI37" s="3" t="str">
        <f>_xlfn.XLOOKUP(B37,'BASE DE EXCEL'!$C:$C,'BASE DE EXCEL'!AC:AC,"NO HAY REFERENCIA")</f>
        <v>1 día o menos</v>
      </c>
      <c r="DJ37" s="4">
        <f>_xlfn.XLOOKUP(B37,'BASE DE EXCEL'!$C:$C,'BASE DE EXCEL'!AD:AD,"NO HAY REFERENCIA")</f>
        <v>46064</v>
      </c>
      <c r="DK37" s="3">
        <f>_xlfn.XLOOKUP(B37,'BASE DE EXCEL'!$C:$C,'BASE DE EXCEL'!AE:AE,"NO HAY REFERENCIA")</f>
        <v>12</v>
      </c>
      <c r="DL37" s="3">
        <f>_xlfn.XLOOKUP(B37,'BASE DE EXCEL'!$C:$C,'BASE DE EXCEL'!AF:AF,"NO HAY REFERENCIA")</f>
        <v>8</v>
      </c>
      <c r="DM37" s="4">
        <f>_xlfn.XLOOKUP(B37,'BASE DE EXCEL'!$C:$C,'BASE DE EXCEL'!AG:AG,"NO HAY REFERENCIA")</f>
        <v>46064</v>
      </c>
      <c r="DN37" s="4">
        <f>_xlfn.XLOOKUP(B37,'BASE DE EXCEL'!$C:$C,'BASE DE EXCEL'!AH:AH,"NO HAY REFERENCIA")</f>
        <v>46064</v>
      </c>
      <c r="DO37" s="3">
        <f>_xlfn.XLOOKUP(B37,'BASE DE EXCEL'!$C:$C,'BASE DE EXCEL'!AI:AI,"NO HAY REFERENCIA")</f>
        <v>0</v>
      </c>
      <c r="DP37" s="4" t="str">
        <f>_xlfn.XLOOKUP(B37,'BASE DE EXCEL'!$C:$C,'BASE DE EXCEL'!AJ:AJ,"NO HAY REFERENCIA")</f>
        <v>11 a 15 días</v>
      </c>
      <c r="DQ37" s="4">
        <f>_xlfn.XLOOKUP(B37,'BASE DE EXCEL'!$C:$C,'BASE DE EXCEL'!AK:AK,"NO HAY REFERENCIA")</f>
        <v>46064</v>
      </c>
      <c r="DR37" s="3">
        <f>_xlfn.XLOOKUP(B37,'BASE DE EXCEL'!$C:$C,'BASE DE EXCEL'!AL:AL,"NO HAY REFERENCIA")</f>
        <v>8</v>
      </c>
      <c r="DS37" s="3" t="str">
        <f>_xlfn.XLOOKUP(B37,'BASE DE EXCEL'!$C:$C,'BASE DE EXCEL'!AM:AM,"NO HAY REFERENCIA")</f>
        <v>6 a 10 días</v>
      </c>
      <c r="DT37" s="3" t="str">
        <f>_xlfn.XLOOKUP(B37,'BASE DE EXCEL'!$C:$C,'BASE DE EXCEL'!AN:AN,"NO HAY REFERENCIA")</f>
        <v>Delayed</v>
      </c>
      <c r="DU37" s="3">
        <f>_xlfn.XLOOKUP(B37,'BASE DE EXCEL'!$C:$C,'BASE DE EXCEL'!AO:AO,"NO HAY REFERENCIA")</f>
        <v>1</v>
      </c>
      <c r="DV37" s="3" t="str">
        <f>_xlfn.XLOOKUP(B37,'BASE DE EXCEL'!$C:$C,'BASE DE EXCEL'!AP:AP,"NO HAY REFERENCIA")</f>
        <v>Es anterior</v>
      </c>
      <c r="DW37" s="3" t="str">
        <f>_xlfn.XLOOKUP(B37,'BASE DE EXCEL'!$C:$C,'BASE DE EXCEL'!AQ:AQ,"NO HAY REFERENCIA")</f>
        <v>A1</v>
      </c>
      <c r="DX37" s="3" t="str">
        <f>_xlfn.XLOOKUP(B37,'BASE DE EXCEL'!$C:$C,'BASE DE EXCEL'!AR:AR,"NO HAY REFERENCIA")</f>
        <v>ZULEIMA PEREZ RUIZ</v>
      </c>
      <c r="DY37" s="3" t="str">
        <f>_xlfn.XLOOKUP(B37,'BASE DE EXCEL'!$C:$C,'BASE DE EXCEL'!AS:AS,"NO HAY REFERENCIA")</f>
        <v>HLCULE1251204061</v>
      </c>
      <c r="DZ37" s="3" t="str">
        <f>_xlfn.XLOOKUP(B37,'BASE DE EXCEL'!$C:$C,'BASE DE EXCEL'!AT:AT,"NO HAY REFERENCIA")</f>
        <v>NULL</v>
      </c>
      <c r="EA37" s="3">
        <f>_xlfn.XLOOKUP(B37,'BASE DE EXCEL'!$C:$C,'BASE DE EXCEL'!AU:AU,"NO HAY REFERENCIA")</f>
        <v>6000136</v>
      </c>
      <c r="EB37" s="3" t="str">
        <f>_xlfn.XLOOKUP(B37,'BASE DE EXCEL'!$C:$C,'BASE DE EXCEL'!AV:AV,"NO HAY REFERENCIA")</f>
        <v>Importación</v>
      </c>
      <c r="EC37" s="3" t="str">
        <f>_xlfn.XLOOKUP(B37,'BASE DE EXCEL'!$C:$C,'BASE DE EXCEL'!AW:AW,"NO HAY REFERENCIA")</f>
        <v>BRAVECTO PLUS FOR CAT 500MG 1X1DS  (MEDICAMENTO DOSIFICADO DE USO VETERINARIO)</v>
      </c>
      <c r="ED37" s="3" t="str">
        <f>_xlfn.XLOOKUP(B37,'BASE DE EXCEL'!$C:$C,'BASE DE EXCEL'!AX:AX,"NO HAY REFERENCIA")</f>
        <v>SIN CLASIFICACION</v>
      </c>
      <c r="EE37" s="3">
        <f>_xlfn.XLOOKUP(B37,'BASE DE EXCEL'!$C:$C,'BASE DE EXCEL'!AY:AY,"NO HAY REFERENCIA")</f>
        <v>0</v>
      </c>
      <c r="EF37" s="3" t="str">
        <f>_xlfn.XLOOKUP(B37,'BASE DE EXCEL'!$C:$C,'BASE DE EXCEL'!AZ:AZ,"NO HAY REFERENCIA")</f>
        <v>Cargas de Importación</v>
      </c>
      <c r="EG37" s="3" t="str">
        <f>_xlfn.XLOOKUP(B37,'BASE DE EXCEL'!$C:$C,'BASE DE EXCEL'!BA:BA,"NO HAY REFERENCIA")</f>
        <v>INTERVET MEXICO SA DE CV</v>
      </c>
      <c r="EH37" s="3">
        <f>_xlfn.XLOOKUP(B37,'BASE DE EXCEL'!$C:$C,'BASE DE EXCEL'!BB:BB,"NO HAY REFERENCIA")</f>
        <v>0</v>
      </c>
      <c r="EI37" s="3" t="str">
        <f>_xlfn.XLOOKUP(B37,'BASE DE EXCEL'!$C:$C,'BASE DE EXCEL'!BC:BC,"NO HAY REFERENCIA")</f>
        <v>NINGUNO</v>
      </c>
      <c r="EJ37" s="3">
        <f>_xlfn.XLOOKUP(B37,'BASE DE EXCEL'!$C:$C,'BASE DE EXCEL'!BD:BD,"NO HAY REFERENCIA")</f>
        <v>0</v>
      </c>
      <c r="EK37" s="3" t="str">
        <f>_xlfn.XLOOKUP(B37,'BASE DE EXCEL'!$C:$C,'BASE DE EXCEL'!BE:BE,"NO HAY REFERENCIA")</f>
        <v>NINGUNO</v>
      </c>
      <c r="EL37" s="3" t="str">
        <f>_xlfn.XLOOKUP(B37,'BASE DE EXCEL'!$C:$C,'BASE DE EXCEL'!BF:BF,"NO HAY REFERENCIA")</f>
        <v>PRODUCTO TERMINADO</v>
      </c>
      <c r="EM37" s="3" t="str">
        <f>_xlfn.XLOOKUP(B37,'BASE DE EXCEL'!$C:$C,'BASE DE EXCEL'!BG:BG,"NO HAY REFERENCIA")</f>
        <v>Verde</v>
      </c>
      <c r="EN37" s="3" t="str">
        <f>_xlfn.XLOOKUP(B37,'BASE DE EXCEL'!$C:$C,'BASE DE EXCEL'!BH:BH,"NO HAY REFERENCIA")</f>
        <v xml:space="preserve"> MLH TRANSPORTE, S.A. DE C.V.</v>
      </c>
      <c r="EO37" s="3" t="str">
        <f>_xlfn.XLOOKUP(B37,'BASE DE EXCEL'!$C:$C,'BASE DE EXCEL'!BI:BI,"NO HAY REFERENCIA")</f>
        <v>TRACTOCAMION ECO 132</v>
      </c>
      <c r="EP37" s="3">
        <f>_xlfn.XLOOKUP(B37,'BASE DE EXCEL'!$C:$C,'BASE DE EXCEL'!BJ:BJ,"NO HAY REFERENCIA")</f>
        <v>0</v>
      </c>
      <c r="EQ37" s="3" t="str">
        <f>_xlfn.XLOOKUP(B37,'BASE DE EXCEL'!$C:$C,'BASE DE EXCEL'!BK:BK,"NO HAY REFERENCIA")</f>
        <v>IME850329RH2</v>
      </c>
      <c r="ER37" s="3">
        <f>_xlfn.XLOOKUP(B37,'BASE DE EXCEL'!$C:$C,'BASE DE EXCEL'!BL:BL,"NO HAY REFERENCIA")</f>
        <v>0</v>
      </c>
      <c r="ES37" s="3">
        <f>_xlfn.XLOOKUP(B37,'BASE DE EXCEL'!$C:$C,'BASE DE EXCEL'!BM:BM,"NO HAY REFERENCIA")</f>
        <v>99</v>
      </c>
      <c r="ET37" s="3" t="str">
        <f>_xlfn.XLOOKUP(B37,'BASE DE EXCEL'!$C:$C,'BASE DE EXCEL'!BN:BN,"NO HAY REFERENCIA")</f>
        <v>LOTE: L45A03,LOTES: L43C04, L45C02</v>
      </c>
      <c r="EU37" s="3">
        <f>_xlfn.XLOOKUP(B37,'BASE DE EXCEL'!$C:$C,'BASE DE EXCEL'!BO:BO,"NO HAY REFERENCIA")</f>
        <v>90</v>
      </c>
      <c r="EV37" s="3" t="str">
        <f>_xlfn.XLOOKUP(B37,'BASE DE EXCEL'!$C:$C,'BASE DE EXCEL'!BP:BP,"NO HAY REFERENCIA")</f>
        <v xml:space="preserve"> 2562084.60, 4542384.00</v>
      </c>
      <c r="EW37" s="3" t="str">
        <f>_xlfn.XLOOKUP(B37,'BASE DE EXCEL'!$C:$C,'BASE DE EXCEL'!BQ:BQ,"NO HAY REFERENCIA")</f>
        <v>KILO,KILO</v>
      </c>
      <c r="EX37" s="3">
        <f>_xlfn.XLOOKUP(B37,'BASE DE EXCEL'!$C:$C,'BASE DE EXCEL'!BR:BR,"NO HAY REFERENCIA")</f>
        <v>0</v>
      </c>
      <c r="EY37" s="3" t="str">
        <f>_xlfn.XLOOKUP(B37,'BASE DE EXCEL'!$C:$C,'BASE DE EXCEL'!BS:BS,"NO HAY REFERENCIA")</f>
        <v>FRANCIA (REPUBLICA FRANCESA)</v>
      </c>
      <c r="EZ37" s="3" t="str">
        <f>_xlfn.XLOOKUP(B37,'BASE DE EXCEL'!$C:$C,'BASE DE EXCEL'!BT:BT,"NO HAY REFERENCIA")</f>
        <v>PAISES BAJOS (REINO DE LOS) (HOLANDA)</v>
      </c>
      <c r="FA37" s="3" t="str">
        <f>_xlfn.XLOOKUP(B37,'BASE DE EXCEL'!$C:$C,'BASE DE EXCEL'!BU:BU,"NO HAY REFERENCIA")</f>
        <v>FRA</v>
      </c>
      <c r="FB37" s="3" t="str">
        <f>_xlfn.XLOOKUP(B37,'BASE DE EXCEL'!$C:$C,'BASE DE EXCEL'!BV:BV,"NO HAY REFERENCIA")</f>
        <v>ZYA</v>
      </c>
      <c r="FC37" s="3">
        <f>_xlfn.XLOOKUP(B37,QUERY!$C:$C,QUERY!D:D)</f>
        <v>430</v>
      </c>
      <c r="FD37" s="4">
        <f>_xlfn.XLOOKUP(B37,QUERY!$C:$C,QUERY!E:E)</f>
        <v>46050</v>
      </c>
      <c r="FE37" s="3">
        <f>_xlfn.XLOOKUP(B37,QUERY!$C:$C,QUERY!F:F)</f>
        <v>1</v>
      </c>
      <c r="FF37" s="4">
        <f>_xlfn.XLOOKUP(B37,QUERY!$C:$C,QUERY!G:G)</f>
        <v>46046</v>
      </c>
      <c r="FG37" s="4">
        <f>_xlfn.XLOOKUP(B37,QUERY!$C:$C,QUERY!H:H)</f>
        <v>46050</v>
      </c>
      <c r="FH37" s="3">
        <f>_xlfn.XLOOKUP(B37,QUERY!$C:$C,QUERY!I:I)</f>
        <v>2</v>
      </c>
      <c r="FI37" s="3" t="str">
        <f>_xlfn.XLOOKUP(B37,QUERY!$C:$C,QUERY!J:J)</f>
        <v>2 a 3 días</v>
      </c>
      <c r="FJ37" s="4">
        <f>_xlfn.XLOOKUP(B37,QUERY!$C:$C,QUERY!K:K)</f>
        <v>46051</v>
      </c>
      <c r="FK37" s="3">
        <f>_xlfn.XLOOKUP(B37,QUERY!$C:$C,QUERY!L:L)</f>
        <v>3</v>
      </c>
      <c r="FL37" s="3" t="str">
        <f>_xlfn.XLOOKUP(B37,QUERY!$C:$C,QUERY!M:M)</f>
        <v>2 a 3 días</v>
      </c>
      <c r="FM37" s="3">
        <f>_xlfn.XLOOKUP(B37,QUERY!$C:$C,QUERY!N:N)</f>
        <v>1</v>
      </c>
      <c r="FN37" s="3" t="str">
        <f>_xlfn.XLOOKUP(B37,QUERY!$C:$C,QUERY!O:O)</f>
        <v>1 día o menos</v>
      </c>
      <c r="FO37" s="3">
        <f>_xlfn.XLOOKUP(B37,QUERY!$C:$C,QUERY!P:P)</f>
        <v>1</v>
      </c>
      <c r="FP37" s="3">
        <f>_xlfn.XLOOKUP(B37,QUERY!$C:$C,QUERY!Q:Q)</f>
        <v>1</v>
      </c>
      <c r="FQ37" s="3" t="str">
        <f>_xlfn.XLOOKUP(B37,QUERY!$C:$C,QUERY!R:R)</f>
        <v>1 día o menos</v>
      </c>
      <c r="FR37" s="4">
        <f>_xlfn.XLOOKUP(B37,QUERY!$C:$C,QUERY!S:S)</f>
        <v>46052</v>
      </c>
      <c r="FS37" s="3">
        <f>_xlfn.XLOOKUP(B37,QUERY!$C:$C,QUERY!T:T)</f>
        <v>4</v>
      </c>
      <c r="FT37" s="3" t="str">
        <f>_xlfn.XLOOKUP(B37,QUERY!$C:$C,QUERY!U:U)</f>
        <v>4 a 5 días</v>
      </c>
      <c r="FU37" s="3">
        <f>_xlfn.XLOOKUP(B37,QUERY!$C:$C,QUERY!V:V)</f>
        <v>12</v>
      </c>
      <c r="FV37" s="3" t="str">
        <f>_xlfn.XLOOKUP(B37,QUERY!$C:$C,QUERY!W:W)</f>
        <v>11 a 15 días</v>
      </c>
      <c r="FW37" s="4">
        <f>_xlfn.XLOOKUP(B37,QUERY!$C:$C,QUERY!X:X)</f>
        <v>46064</v>
      </c>
      <c r="FX37" s="3">
        <f>_xlfn.XLOOKUP(B37,QUERY!$C:$C,QUERY!Y:Y)</f>
        <v>8</v>
      </c>
      <c r="FY37" s="3">
        <f>_xlfn.XLOOKUP(B37,QUERY!$C:$C,QUERY!Z:Z)</f>
        <v>8</v>
      </c>
      <c r="FZ37" s="4" t="str">
        <f>_xlfn.XLOOKUP(B37,QUERY!$C:$C,QUERY!AA:AA)</f>
        <v>11 a 15 días</v>
      </c>
      <c r="GA37" s="4">
        <f>_xlfn.XLOOKUP(B37,QUERY!$C:$C,QUERY!AB:AB)</f>
        <v>46064</v>
      </c>
      <c r="GB37" s="4">
        <f>_xlfn.XLOOKUP(B37,QUERY!$C:$C,QUERY!AC:AC)</f>
        <v>46064</v>
      </c>
      <c r="GC37" s="3">
        <f>_xlfn.XLOOKUP(B37,QUERY!$C:$C,QUERY!AD:AD)</f>
        <v>0</v>
      </c>
      <c r="GD37" s="4">
        <f>_xlfn.XLOOKUP(B37,QUERY!$C:$C,QUERY!AE:AE)</f>
        <v>46064</v>
      </c>
      <c r="GE37" s="3">
        <f>_xlfn.XLOOKUP(B37,QUERY!$C:$C,QUERY!AF:AF)</f>
        <v>1</v>
      </c>
      <c r="GF37" s="4" t="str">
        <f>_xlfn.XLOOKUP(B37,QUERY!$C:$C,QUERY!AG:AG)</f>
        <v>Es anterior</v>
      </c>
      <c r="GG37" s="3" t="str">
        <f>_xlfn.XLOOKUP(B37,QUERY!$C:$C,QUERY!AH:AH)</f>
        <v>A1</v>
      </c>
      <c r="GH37" s="3" t="str">
        <f>_xlfn.XLOOKUP(B37,QUERY!$C:$C,QUERY!AI:AI)</f>
        <v>ZULEIMA PEREZ RUIZ</v>
      </c>
      <c r="GI37" s="3" t="str">
        <f>_xlfn.XLOOKUP(B37,QUERY!$C:$C,QUERY!AJ:AJ)</f>
        <v>HLCULE1251204061</v>
      </c>
      <c r="GJ37" s="3" t="str">
        <f>_xlfn.XLOOKUP(B37,QUERY!$C:$C,QUERY!AK:AK)</f>
        <v>NULL</v>
      </c>
      <c r="GK37" s="3">
        <f>_xlfn.XLOOKUP(B37,QUERY!$C:$C,QUERY!AL:AL)</f>
        <v>6000136</v>
      </c>
      <c r="GL37" s="3" t="str">
        <f>_xlfn.XLOOKUP(B37,QUERY!$C:$C,QUERY!AM:AM)</f>
        <v>Importación</v>
      </c>
      <c r="GM37" s="3" t="str">
        <f>_xlfn.XLOOKUP(B37,QUERY!$C:$C,QUERY!AN:AN)</f>
        <v>BRAVECTO PLUS FOR CAT 500MG 1X1DS  (MEDICAMENTO DOSIFICADO DE USO VETERINARIO)</v>
      </c>
      <c r="GN37" s="3" t="str">
        <f>_xlfn.XLOOKUP(B37,QUERY!$C:$C,QUERY!AO:AO)</f>
        <v>SIN CLASIFICACION</v>
      </c>
      <c r="GO37" s="3">
        <f>_xlfn.XLOOKUP(B37,QUERY!$C:$C,QUERY!AP:AP)</f>
        <v>0</v>
      </c>
      <c r="GP37" s="3" t="str">
        <f>_xlfn.XLOOKUP(B37,QUERY!$C:$C,QUERY!AQ:AQ)</f>
        <v>Cargas de Importación</v>
      </c>
      <c r="GQ37" s="3" t="str">
        <f>_xlfn.XLOOKUP(B37,QUERY!$C:$C,QUERY!AR:AR)</f>
        <v>INTERVET MEXICO SA DE CV</v>
      </c>
      <c r="GR37" s="3">
        <f>_xlfn.XLOOKUP(B37,QUERY!$C:$C,QUERY!AS:AS)</f>
        <v>0</v>
      </c>
      <c r="GS37" s="3" t="str">
        <f>_xlfn.XLOOKUP(B37,QUERY!$C:$C,QUERY!AT:AT)</f>
        <v>NINGUNO</v>
      </c>
      <c r="GT37" s="3">
        <f>_xlfn.XLOOKUP(B37,QUERY!$C:$C,QUERY!AU:AU)</f>
        <v>0</v>
      </c>
      <c r="GU37" s="3" t="str">
        <f>_xlfn.XLOOKUP(B37,QUERY!$C:$C,QUERY!AV:AV)</f>
        <v>NINGUNO</v>
      </c>
      <c r="GV37" s="3" t="str">
        <f>_xlfn.XLOOKUP(B37,QUERY!$C:$C,QUERY!AW:AW)</f>
        <v>PRODUCTO TERMINADO</v>
      </c>
      <c r="GW37" s="3" t="str">
        <f>_xlfn.XLOOKUP(B37,QUERY!$C:$C,QUERY!AX:AX)</f>
        <v>Verde</v>
      </c>
      <c r="GX37" s="3" t="str">
        <f>_xlfn.XLOOKUP(B37,QUERY!$C:$C,QUERY!AY:AY)</f>
        <v xml:space="preserve"> MLH TRANSPORTE, S.A. DE C.V.</v>
      </c>
      <c r="GY37" s="3" t="str">
        <f>_xlfn.XLOOKUP(B37,QUERY!$C:$C,QUERY!AZ:AZ)</f>
        <v>TRACTOCAMION ECO 132</v>
      </c>
      <c r="GZ37" s="3">
        <f>_xlfn.XLOOKUP(B37,QUERY!$C:$C,QUERY!BA:BA)</f>
        <v>0</v>
      </c>
      <c r="HA37" s="3" t="str">
        <f>_xlfn.XLOOKUP(B37,QUERY!$C:$C,QUERY!BB:BB)</f>
        <v>IME850329RH2</v>
      </c>
      <c r="HB37" s="3">
        <f>_xlfn.XLOOKUP(B37,QUERY!$C:$C,QUERY!BC:BC)</f>
        <v>0</v>
      </c>
      <c r="HC37" s="3">
        <f>_xlfn.XLOOKUP(B37,QUERY!$C:$C,QUERY!BD:BD)</f>
        <v>99</v>
      </c>
      <c r="HD37" s="3" t="str">
        <f>_xlfn.XLOOKUP(B37,QUERY!$C:$C,QUERY!BE:BE)</f>
        <v>LOTE: L45A03,LOTES: L43C04, L45C02</v>
      </c>
      <c r="HE37" s="3">
        <f>_xlfn.XLOOKUP(B37,QUERY!$C:$C,QUERY!BF:BF)</f>
        <v>90</v>
      </c>
      <c r="HF37" s="3" t="str">
        <f>_xlfn.XLOOKUP(B37,QUERY!$C:$C,QUERY!BG:BG)</f>
        <v xml:space="preserve"> 2562084.60, 4542384.00</v>
      </c>
      <c r="HG37" s="3" t="str">
        <f>_xlfn.XLOOKUP(B37,QUERY!$C:$C,QUERY!BH:BH)</f>
        <v>KILO,KILO</v>
      </c>
      <c r="HH37" s="3">
        <f>_xlfn.XLOOKUP(B37,QUERY!$C:$C,QUERY!BI:BI)</f>
        <v>0</v>
      </c>
      <c r="HI37" s="3" t="str">
        <f>_xlfn.XLOOKUP(B37,QUERY!$C:$C,QUERY!BJ:BJ)</f>
        <v>FRANCIA (REPUBLICA FRANCESA)</v>
      </c>
      <c r="HJ37" s="3" t="str">
        <f>_xlfn.XLOOKUP(B37,QUERY!$C:$C,QUERY!BK:BK)</f>
        <v>PAISES BAJOS (REINO DE LOS) (HOLANDA)</v>
      </c>
      <c r="HK37" s="3" t="str">
        <f>_xlfn.XLOOKUP(B37,QUERY!$C:$C,QUERY!BL:BL)</f>
        <v>FRA</v>
      </c>
      <c r="HL37" s="3" t="str">
        <f>_xlfn.XLOOKUP(B37,QUERY!$C:$C,QUERY!BM:BM)</f>
        <v>ZYA</v>
      </c>
      <c r="HM37" s="3">
        <f>_xlfn.XLOOKUP(B37,QUERY!$C:$C,QUERY!BN:BN)</f>
        <v>7104469</v>
      </c>
      <c r="HN37" s="3" t="str">
        <f>_xlfn.XLOOKUP(B37,QUERY!$C:$C,QUERY!BO:BO)</f>
        <v>462.00</v>
      </c>
      <c r="HO37" s="3" t="str">
        <f>_xlfn.XLOOKUP(B37,QUERY!$C:$C,QUERY!BP:BP)</f>
        <v>NULL</v>
      </c>
      <c r="HP37" s="3" t="str">
        <f>_xlfn.XLOOKUP(B37,QUERY!$C:$C,QUERY!BQ:BQ)</f>
        <v>NULL</v>
      </c>
      <c r="HQ37" s="3" t="str">
        <f>_xlfn.XLOOKUP(B37,QUERY!$C:$C,QUERY!BR:BR)</f>
        <v>196719.85</v>
      </c>
      <c r="HR37" s="3">
        <f>_xlfn.XLOOKUP(B37,QUERY!$C:$C,QUERY!BS:BS)</f>
        <v>0</v>
      </c>
      <c r="HS37" s="3">
        <f>_xlfn.XLOOKUP(B37,QUERY!$C:$C,QUERY!BT:BT)</f>
        <v>0</v>
      </c>
      <c r="HT37" s="3" t="str">
        <f>_xlfn.XLOOKUP(B37,QUERY!$C:$C,QUERY!A:A)</f>
        <v>VERACRUZ</v>
      </c>
      <c r="HU37" s="3" t="str">
        <f>_xlfn.XLOOKUP(B37,QUERY!$C:$C,QUERY!B:B)</f>
        <v>MARÍTIMO VERACRUZ</v>
      </c>
    </row>
    <row r="38" spans="1:229" x14ac:dyDescent="0.25">
      <c r="A38" s="3" t="s">
        <v>90</v>
      </c>
      <c r="B38" s="11" t="s">
        <v>177</v>
      </c>
      <c r="C38" s="3">
        <v>3942</v>
      </c>
      <c r="D38" s="3">
        <v>6000160</v>
      </c>
      <c r="E38" s="3"/>
      <c r="F38" s="3" t="s">
        <v>92</v>
      </c>
      <c r="G38" s="3" t="s">
        <v>93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10</v>
      </c>
      <c r="O38" s="3">
        <v>557457</v>
      </c>
      <c r="P38" s="3">
        <v>17.407</v>
      </c>
      <c r="Q38" s="3">
        <v>1478</v>
      </c>
      <c r="R38" s="3">
        <v>430</v>
      </c>
      <c r="S38" s="3" t="s">
        <v>178</v>
      </c>
      <c r="T38" s="3" t="s">
        <v>130</v>
      </c>
      <c r="U38" s="3">
        <v>11147127</v>
      </c>
      <c r="V38" s="3">
        <v>11147127</v>
      </c>
      <c r="W38" s="3">
        <v>0</v>
      </c>
      <c r="X38" s="3">
        <v>0</v>
      </c>
      <c r="Y38" s="3">
        <v>0</v>
      </c>
      <c r="Z38" s="3">
        <v>0</v>
      </c>
      <c r="AA38" s="3" t="s">
        <v>179</v>
      </c>
      <c r="AB38" s="3"/>
      <c r="AC38" s="3">
        <v>5574570</v>
      </c>
      <c r="AD38" s="3">
        <v>2012.4801399999999</v>
      </c>
      <c r="AE38" s="3">
        <v>354</v>
      </c>
      <c r="AF38" s="3" t="s">
        <v>180</v>
      </c>
      <c r="AG38" s="3">
        <v>1114713</v>
      </c>
      <c r="AH38" s="3">
        <v>0</v>
      </c>
      <c r="AI38" s="3">
        <v>53</v>
      </c>
      <c r="AJ38" s="3">
        <v>89177</v>
      </c>
      <c r="AK38" s="3">
        <v>0</v>
      </c>
      <c r="AL38" s="3">
        <v>0</v>
      </c>
      <c r="AM38" s="3">
        <v>330</v>
      </c>
      <c r="AN38" s="3">
        <v>1204273</v>
      </c>
      <c r="AO38" s="3" t="s">
        <v>97</v>
      </c>
      <c r="AP38" s="3" t="s">
        <v>98</v>
      </c>
      <c r="AQ38" s="3">
        <v>210361399</v>
      </c>
      <c r="AR38" s="3" t="s">
        <v>99</v>
      </c>
      <c r="AS38" s="3" t="s">
        <v>100</v>
      </c>
      <c r="AT38" s="3" t="s">
        <v>181</v>
      </c>
      <c r="AU38" s="3"/>
      <c r="AV38" s="3" t="s">
        <v>102</v>
      </c>
      <c r="AW38" s="3">
        <v>30043999</v>
      </c>
      <c r="AX38" s="3">
        <v>99</v>
      </c>
      <c r="AY38" s="3">
        <v>2770</v>
      </c>
      <c r="AZ38" s="3">
        <v>2770</v>
      </c>
      <c r="BA38" s="3" t="s">
        <v>103</v>
      </c>
      <c r="BB38" s="3"/>
      <c r="BC38" s="3" t="s">
        <v>133</v>
      </c>
      <c r="BD38" s="3" t="s">
        <v>105</v>
      </c>
      <c r="BE38" s="3" t="s">
        <v>106</v>
      </c>
      <c r="BF38" s="3" t="s">
        <v>117</v>
      </c>
      <c r="BG38" s="5"/>
      <c r="BH38" s="3"/>
      <c r="BI38" s="3"/>
      <c r="BJ38" s="3" t="s">
        <v>109</v>
      </c>
      <c r="BK38" s="3" t="s">
        <v>182</v>
      </c>
      <c r="BL38" s="3">
        <v>42845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22189.59</v>
      </c>
      <c r="BY38" s="3">
        <v>0</v>
      </c>
      <c r="BZ38" s="3">
        <v>0</v>
      </c>
      <c r="CA38" s="3">
        <v>0</v>
      </c>
      <c r="CB38" s="3">
        <v>17451.8</v>
      </c>
      <c r="CC38" s="3">
        <v>2915.49</v>
      </c>
      <c r="CD38" s="3">
        <v>135310.03</v>
      </c>
      <c r="CE38" s="3" t="s">
        <v>111</v>
      </c>
      <c r="CF38" s="3">
        <v>135310.03</v>
      </c>
      <c r="CG38" s="3">
        <v>135310.03</v>
      </c>
      <c r="CH38" s="3">
        <v>0</v>
      </c>
      <c r="CI38" s="3" t="s">
        <v>112</v>
      </c>
      <c r="CJ38" s="3" t="s">
        <v>112</v>
      </c>
      <c r="CK38" s="3">
        <f>_xlfn.XLOOKUP($B$2,'BASE DE EXCEL'!C:C,'BASE DE EXCEL'!D:D,"NO HAY REFERENCIA")</f>
        <v>470</v>
      </c>
      <c r="CL38" s="5">
        <f>_xlfn.XLOOKUP($B$2,'BASE DE EXCEL'!$C:$C,'BASE DE EXCEL'!F:F,"NO HAY REFERENCIA")</f>
        <v>3</v>
      </c>
      <c r="CM38" s="4">
        <f>_xlfn.XLOOKUP($B$2,'BASE DE EXCEL'!$C:$C,'BASE DE EXCEL'!G:G,"NO HAY REFERENCIA")</f>
        <v>46080</v>
      </c>
      <c r="CN38" s="4">
        <f>_xlfn.XLOOKUP($B$2,'BASE DE EXCEL'!$C:$C,'BASE DE EXCEL'!H:H,"NO HAY REFERENCIA")</f>
        <v>46086</v>
      </c>
      <c r="CO38" s="3">
        <f>_xlfn.XLOOKUP($B$2,'BASE DE EXCEL'!$C:$C,'BASE DE EXCEL'!I:I,"NO HAY REFERENCIA")</f>
        <v>4</v>
      </c>
      <c r="CP38" s="3" t="str">
        <f>_xlfn.XLOOKUP($B$2,'BASE DE EXCEL'!$C:$C,'BASE DE EXCEL'!J:J,"NO HAY REFERENCIA")</f>
        <v>4 a 5 días</v>
      </c>
      <c r="CQ38" s="4">
        <f>_xlfn.XLOOKUP($B$2,'BASE DE EXCEL'!$C:$C,'BASE DE EXCEL'!K:K,"NO HAY REFERENCIA")</f>
        <v>46087</v>
      </c>
      <c r="CR38" s="3">
        <f>_xlfn.XLOOKUP($B$2,'BASE DE EXCEL'!$C:$C,'BASE DE EXCEL'!L:L,"NO HAY REFERENCIA")</f>
        <v>5</v>
      </c>
      <c r="CS38" s="3">
        <f>_xlfn.XLOOKUP($B$2,'BASE DE EXCEL'!$C:$C,'BASE DE EXCEL'!M:M,"NO HAY REFERENCIA")</f>
        <v>6</v>
      </c>
      <c r="CT38" s="3" t="str">
        <f>_xlfn.XLOOKUP($B$2,'BASE DE EXCEL'!$C:$C,'BASE DE EXCEL'!N:N,"NO HAY REFERENCIA")</f>
        <v>6 a 10 días</v>
      </c>
      <c r="CU38" s="3" t="str">
        <f>_xlfn.XLOOKUP($B$2,'BASE DE EXCEL'!$C:$C,'BASE DE EXCEL'!O:O,"NO HAY REFERENCIA")</f>
        <v>On Time</v>
      </c>
      <c r="CV38" s="3" t="str">
        <f>_xlfn.XLOOKUP(B38,'BASE DE EXCEL'!$C:$C,'BASE DE EXCEL'!P:P,"NO HAY REFERENCIA")</f>
        <v>4 a 5 días</v>
      </c>
      <c r="CW38" s="4">
        <f>_xlfn.XLOOKUP(B38,'BASE DE EXCEL'!$C:$C,'BASE DE EXCEL'!Q:Q,"NO HAY REFERENCIA")</f>
        <v>46065</v>
      </c>
      <c r="CX38" s="3">
        <f>_xlfn.XLOOKUP(B38,'BASE DE EXCEL'!$C:$C,'BASE DE EXCEL'!R:R,"NO HAY REFERENCIA")</f>
        <v>4</v>
      </c>
      <c r="CY38" s="3" t="str">
        <f>_xlfn.XLOOKUP(B38,'BASE DE EXCEL'!$C:$C,'BASE DE EXCEL'!S:S,"NO HAY REFERENCIA")</f>
        <v>4 a 5 días</v>
      </c>
      <c r="CZ38" s="3" t="str">
        <f>_xlfn.XLOOKUP(B38,'BASE DE EXCEL'!$C:$C,'BASE DE EXCEL'!T:T,"NO HAY REFERENCIA")</f>
        <v>On Time</v>
      </c>
      <c r="DA38" s="3">
        <f>_xlfn.XLOOKUP(B38,'BASE DE EXCEL'!$C:$C,'BASE DE EXCEL'!U:U,"NO HAY REFERENCIA")</f>
        <v>0</v>
      </c>
      <c r="DB38" s="3" t="str">
        <f>_xlfn.XLOOKUP(B38,'BASE DE EXCEL'!$C:$C,'BASE DE EXCEL'!V:V,"NO HAY REFERENCIA")</f>
        <v>Sin Dato</v>
      </c>
      <c r="DC38" s="3">
        <f>_xlfn.XLOOKUP(B38,'BASE DE EXCEL'!$C:$C,'BASE DE EXCEL'!W:W,"NO HAY REFERENCIA")</f>
        <v>9</v>
      </c>
      <c r="DD38" s="3" t="str">
        <f>_xlfn.XLOOKUP(B38,'BASE DE EXCEL'!$C:$C,'BASE DE EXCEL'!X:X,"NO HAY REFERENCIA")</f>
        <v>6 a 10 días</v>
      </c>
      <c r="DE38" s="3">
        <f>_xlfn.XLOOKUP(B38,'BASE DE EXCEL'!$C:$C,'BASE DE EXCEL'!Y:Y,"NO HAY REFERENCIA")</f>
        <v>1</v>
      </c>
      <c r="DF38" s="3" t="str">
        <f>_xlfn.XLOOKUP(B38,'BASE DE EXCEL'!$C:$C,'BASE DE EXCEL'!Z:Z,"NO HAY REFERENCIA")</f>
        <v>1 día o menos</v>
      </c>
      <c r="DG38" s="3">
        <f>_xlfn.XLOOKUP(B38,'BASE DE EXCEL'!$C:$C,'BASE DE EXCEL'!AA:AA,"NO HAY REFERENCIA")</f>
        <v>3</v>
      </c>
      <c r="DH38" s="3">
        <f>_xlfn.XLOOKUP(B38,'BASE DE EXCEL'!$C:$C,'BASE DE EXCEL'!AB:AB,"NO HAY REFERENCIA")</f>
        <v>-46062</v>
      </c>
      <c r="DI38" s="3" t="str">
        <f>_xlfn.XLOOKUP(B38,'BASE DE EXCEL'!$C:$C,'BASE DE EXCEL'!AC:AC,"NO HAY REFERENCIA")</f>
        <v>SIN DATO</v>
      </c>
      <c r="DJ38" s="4">
        <f>_xlfn.XLOOKUP(B38,'BASE DE EXCEL'!$C:$C,'BASE DE EXCEL'!AD:AD,"NO HAY REFERENCIA")</f>
        <v>46073</v>
      </c>
      <c r="DK38" s="3">
        <f>_xlfn.XLOOKUP(B38,'BASE DE EXCEL'!$C:$C,'BASE DE EXCEL'!AE:AE,"NO HAY REFERENCIA")</f>
        <v>46071</v>
      </c>
      <c r="DL38" s="3">
        <f>_xlfn.XLOOKUP(B38,'BASE DE EXCEL'!$C:$C,'BASE DE EXCEL'!AF:AF,"NO HAY REFERENCIA")</f>
        <v>32909</v>
      </c>
      <c r="DM38" s="4">
        <f>_xlfn.XLOOKUP(B38,'BASE DE EXCEL'!$C:$C,'BASE DE EXCEL'!AG:AG,"NO HAY REFERENCIA")</f>
        <v>46073</v>
      </c>
      <c r="DN38" s="4">
        <f>_xlfn.XLOOKUP(B38,'BASE DE EXCEL'!$C:$C,'BASE DE EXCEL'!AH:AH,"NO HAY REFERENCIA")</f>
        <v>46073</v>
      </c>
      <c r="DO38" s="3">
        <f>_xlfn.XLOOKUP(B38,'BASE DE EXCEL'!$C:$C,'BASE DE EXCEL'!AI:AI,"NO HAY REFERENCIA")</f>
        <v>0</v>
      </c>
      <c r="DP38" s="4" t="str">
        <f>_xlfn.XLOOKUP(B38,'BASE DE EXCEL'!$C:$C,'BASE DE EXCEL'!AJ:AJ,"NO HAY REFERENCIA")</f>
        <v>SIN DATO</v>
      </c>
      <c r="DQ38" s="4">
        <f>_xlfn.XLOOKUP(B38,'BASE DE EXCEL'!$C:$C,'BASE DE EXCEL'!AK:AK,"NO HAY REFERENCIA")</f>
        <v>46073</v>
      </c>
      <c r="DR38" s="3">
        <f>_xlfn.XLOOKUP(B38,'BASE DE EXCEL'!$C:$C,'BASE DE EXCEL'!AL:AL,"NO HAY REFERENCIA")</f>
        <v>7</v>
      </c>
      <c r="DS38" s="3" t="str">
        <f>_xlfn.XLOOKUP(B38,'BASE DE EXCEL'!$C:$C,'BASE DE EXCEL'!AM:AM,"NO HAY REFERENCIA")</f>
        <v>6 a 10 días</v>
      </c>
      <c r="DT38" s="3" t="str">
        <f>_xlfn.XLOOKUP(B38,'BASE DE EXCEL'!$C:$C,'BASE DE EXCEL'!AN:AN,"NO HAY REFERENCIA")</f>
        <v>Delayed</v>
      </c>
      <c r="DU38" s="3">
        <f>_xlfn.XLOOKUP(B38,'BASE DE EXCEL'!$C:$C,'BASE DE EXCEL'!AO:AO,"NO HAY REFERENCIA")</f>
        <v>0</v>
      </c>
      <c r="DV38" s="3" t="str">
        <f>_xlfn.XLOOKUP(B38,'BASE DE EXCEL'!$C:$C,'BASE DE EXCEL'!AP:AP,"NO HAY REFERENCIA")</f>
        <v>Es anterior</v>
      </c>
      <c r="DW38" s="3" t="str">
        <f>_xlfn.XLOOKUP(B38,'BASE DE EXCEL'!$C:$C,'BASE DE EXCEL'!AQ:AQ,"NO HAY REFERENCIA")</f>
        <v>A1</v>
      </c>
      <c r="DX38" s="3" t="str">
        <f>_xlfn.XLOOKUP(B38,'BASE DE EXCEL'!$C:$C,'BASE DE EXCEL'!AR:AR,"NO HAY REFERENCIA")</f>
        <v>ZULEIMA PEREZ RUIZ</v>
      </c>
      <c r="DY38" s="3" t="str">
        <f>_xlfn.XLOOKUP(B38,'BASE DE EXCEL'!$C:$C,'BASE DE EXCEL'!AS:AS,"NO HAY REFERENCIA")</f>
        <v>HLCUANR251237871</v>
      </c>
      <c r="DZ38" s="3" t="str">
        <f>_xlfn.XLOOKUP(B38,'BASE DE EXCEL'!$C:$C,'BASE DE EXCEL'!AT:AT,"NO HAY REFERENCIA")</f>
        <v>NULL</v>
      </c>
      <c r="EA38" s="3">
        <f>_xlfn.XLOOKUP(B38,'BASE DE EXCEL'!$C:$C,'BASE DE EXCEL'!AU:AU,"NO HAY REFERENCIA")</f>
        <v>6000160</v>
      </c>
      <c r="EB38" s="3" t="str">
        <f>_xlfn.XLOOKUP(B38,'BASE DE EXCEL'!$C:$C,'BASE DE EXCEL'!AV:AV,"NO HAY REFERENCIA")</f>
        <v>Importación</v>
      </c>
      <c r="EC38" s="3" t="str">
        <f>_xlfn.XLOOKUP(B38,'BASE DE EXCEL'!$C:$C,'BASE DE EXCEL'!AW:AW,"NO HAY REFERENCIA")</f>
        <v>REVALOR H  (MEDICAMENTO DOSIFICADO DE USO VETERINARIO)</v>
      </c>
      <c r="ED38" s="3" t="str">
        <f>_xlfn.XLOOKUP(B38,'BASE DE EXCEL'!$C:$C,'BASE DE EXCEL'!AX:AX,"NO HAY REFERENCIA")</f>
        <v>SIN CLASIFICACION</v>
      </c>
      <c r="EE38" s="3">
        <f>_xlfn.XLOOKUP(B38,'BASE DE EXCEL'!$C:$C,'BASE DE EXCEL'!AY:AY,"NO HAY REFERENCIA")</f>
        <v>0</v>
      </c>
      <c r="EF38" s="3" t="str">
        <f>_xlfn.XLOOKUP(B38,'BASE DE EXCEL'!$C:$C,'BASE DE EXCEL'!AZ:AZ,"NO HAY REFERENCIA")</f>
        <v>Cargas de Importación</v>
      </c>
      <c r="EG38" s="3" t="str">
        <f>_xlfn.XLOOKUP(B38,'BASE DE EXCEL'!$C:$C,'BASE DE EXCEL'!BA:BA,"NO HAY REFERENCIA")</f>
        <v>INTERVET MEXICO SA DE CV</v>
      </c>
      <c r="EH38" s="3">
        <f>_xlfn.XLOOKUP(B38,'BASE DE EXCEL'!$C:$C,'BASE DE EXCEL'!BB:BB,"NO HAY REFERENCIA")</f>
        <v>0</v>
      </c>
      <c r="EI38" s="3" t="str">
        <f>_xlfn.XLOOKUP(B38,'BASE DE EXCEL'!$C:$C,'BASE DE EXCEL'!BC:BC,"NO HAY REFERENCIA")</f>
        <v>NINGUNO</v>
      </c>
      <c r="EJ38" s="3">
        <f>_xlfn.XLOOKUP(B38,'BASE DE EXCEL'!$C:$C,'BASE DE EXCEL'!BD:BD,"NO HAY REFERENCIA")</f>
        <v>0</v>
      </c>
      <c r="EK38" s="3" t="str">
        <f>_xlfn.XLOOKUP(B38,'BASE DE EXCEL'!$C:$C,'BASE DE EXCEL'!BE:BE,"NO HAY REFERENCIA")</f>
        <v>NINGUNO</v>
      </c>
      <c r="EL38" s="3" t="str">
        <f>_xlfn.XLOOKUP(B38,'BASE DE EXCEL'!$C:$C,'BASE DE EXCEL'!BF:BF,"NO HAY REFERENCIA")</f>
        <v>PRODUCTO TERMINADO</v>
      </c>
      <c r="EM38" s="3" t="str">
        <f>_xlfn.XLOOKUP(B38,'BASE DE EXCEL'!$C:$C,'BASE DE EXCEL'!BG:BG,"NO HAY REFERENCIA")</f>
        <v>Verde</v>
      </c>
      <c r="EN38" s="3" t="str">
        <f>_xlfn.XLOOKUP(B38,'BASE DE EXCEL'!$C:$C,'BASE DE EXCEL'!BH:BH,"NO HAY REFERENCIA")</f>
        <v xml:space="preserve"> SUPER EXPRESS DE CARGA FEDERAL S.A. DE C.V.</v>
      </c>
      <c r="EO38" s="3">
        <f>_xlfn.XLOOKUP(B38,'BASE DE EXCEL'!$C:$C,'BASE DE EXCEL'!BI:BI,"NO HAY REFERENCIA")</f>
        <v>0</v>
      </c>
      <c r="EP38" s="3" t="str">
        <f>_xlfn.XLOOKUP(B38,'BASE DE EXCEL'!$C:$C,'BASE DE EXCEL'!BJ:BJ,"NO HAY REFERENCIA")</f>
        <v>IME-T001</v>
      </c>
      <c r="EQ38" s="3" t="str">
        <f>_xlfn.XLOOKUP(B38,'BASE DE EXCEL'!$C:$C,'BASE DE EXCEL'!BK:BK,"NO HAY REFERENCIA")</f>
        <v>IME850329RH2</v>
      </c>
      <c r="ER38" s="3">
        <f>_xlfn.XLOOKUP(B38,'BASE DE EXCEL'!$C:$C,'BASE DE EXCEL'!BL:BL,"NO HAY REFERENCIA")</f>
        <v>0</v>
      </c>
      <c r="ES38" s="3">
        <f>_xlfn.XLOOKUP(B38,'BASE DE EXCEL'!$C:$C,'BASE DE EXCEL'!BM:BM,"NO HAY REFERENCIA")</f>
        <v>99</v>
      </c>
      <c r="ET38" s="3" t="str">
        <f>_xlfn.XLOOKUP(B38,'BASE DE EXCEL'!$C:$C,'BASE DE EXCEL'!BN:BN,"NO HAY REFERENCIA")</f>
        <v>LOTE: B005P01,LOTE: B003P01</v>
      </c>
      <c r="EU38" s="3">
        <f>_xlfn.XLOOKUP(B38,'BASE DE EXCEL'!$C:$C,'BASE DE EXCEL'!BO:BO,"NO HAY REFERENCIA")</f>
        <v>90</v>
      </c>
      <c r="EV38" s="3">
        <f>_xlfn.XLOOKUP(B38,'BASE DE EXCEL'!$C:$C,'BASE DE EXCEL'!BP:BP,"NO HAY REFERENCIA")</f>
        <v>11147126.720000001</v>
      </c>
      <c r="EW38" s="3" t="str">
        <f>_xlfn.XLOOKUP(B38,'BASE DE EXCEL'!$C:$C,'BASE DE EXCEL'!BQ:BQ,"NO HAY REFERENCIA")</f>
        <v>KILO,KILO</v>
      </c>
      <c r="EX38" s="3">
        <f>_xlfn.XLOOKUP(B38,'BASE DE EXCEL'!$C:$C,'BASE DE EXCEL'!BR:BR,"NO HAY REFERENCIA")</f>
        <v>0</v>
      </c>
      <c r="EY38" s="3" t="str">
        <f>_xlfn.XLOOKUP(B38,'BASE DE EXCEL'!$C:$C,'BASE DE EXCEL'!BS:BS,"NO HAY REFERENCIA")</f>
        <v>AUSTRIA (REPUBLICA DE)</v>
      </c>
      <c r="EZ38" s="3" t="str">
        <f>_xlfn.XLOOKUP(B38,'BASE DE EXCEL'!$C:$C,'BASE DE EXCEL'!BT:BT,"NO HAY REFERENCIA")</f>
        <v>PAISES BAJOS (REINO DE LOS) (HOLANDA)</v>
      </c>
      <c r="FA38" s="3" t="str">
        <f>_xlfn.XLOOKUP(B38,'BASE DE EXCEL'!$C:$C,'BASE DE EXCEL'!BU:BU,"NO HAY REFERENCIA")</f>
        <v>AUT</v>
      </c>
      <c r="FB38" s="3" t="str">
        <f>_xlfn.XLOOKUP(B38,'BASE DE EXCEL'!$C:$C,'BASE DE EXCEL'!BV:BV,"NO HAY REFERENCIA")</f>
        <v>ZYA</v>
      </c>
      <c r="FC38" s="3">
        <f>_xlfn.XLOOKUP(B38,QUERY!$C:$C,QUERY!D:D)</f>
        <v>430</v>
      </c>
      <c r="FD38" s="4">
        <f>_xlfn.XLOOKUP(B38,QUERY!$C:$C,QUERY!E:E)</f>
        <v>46063</v>
      </c>
      <c r="FE38" s="3">
        <f>_xlfn.XLOOKUP(B38,QUERY!$C:$C,QUERY!F:F)</f>
        <v>2</v>
      </c>
      <c r="FF38" s="4">
        <f>_xlfn.XLOOKUP(B38,QUERY!$C:$C,QUERY!G:G)</f>
        <v>46060</v>
      </c>
      <c r="FG38" s="4">
        <f>_xlfn.XLOOKUP(B38,QUERY!$C:$C,QUERY!H:H)</f>
        <v>46063</v>
      </c>
      <c r="FH38" s="3">
        <f>_xlfn.XLOOKUP(B38,QUERY!$C:$C,QUERY!I:I)</f>
        <v>1</v>
      </c>
      <c r="FI38" s="3" t="str">
        <f>_xlfn.XLOOKUP(B38,QUERY!$C:$C,QUERY!J:J)</f>
        <v>1 día o menos</v>
      </c>
      <c r="FJ38" s="4">
        <f>_xlfn.XLOOKUP(B38,QUERY!$C:$C,QUERY!K:K)</f>
        <v>46064</v>
      </c>
      <c r="FK38" s="3">
        <f>_xlfn.XLOOKUP(B38,QUERY!$C:$C,QUERY!L:L)</f>
        <v>2</v>
      </c>
      <c r="FL38" s="3" t="str">
        <f>_xlfn.XLOOKUP(B38,QUERY!$C:$C,QUERY!M:M)</f>
        <v>2 a 3 días</v>
      </c>
      <c r="FM38" s="3">
        <f>_xlfn.XLOOKUP(B38,QUERY!$C:$C,QUERY!N:N)</f>
        <v>1</v>
      </c>
      <c r="FN38" s="3" t="str">
        <f>_xlfn.XLOOKUP(B38,QUERY!$C:$C,QUERY!O:O)</f>
        <v>1 día o menos</v>
      </c>
      <c r="FO38" s="3">
        <f>_xlfn.XLOOKUP(B38,QUERY!$C:$C,QUERY!P:P)</f>
        <v>1</v>
      </c>
      <c r="FP38" s="3">
        <f>_xlfn.XLOOKUP(B38,QUERY!$C:$C,QUERY!Q:Q)</f>
        <v>1</v>
      </c>
      <c r="FQ38" s="3" t="str">
        <f>_xlfn.XLOOKUP(B38,QUERY!$C:$C,QUERY!R:R)</f>
        <v>1 día o menos</v>
      </c>
      <c r="FR38" s="4">
        <f>_xlfn.XLOOKUP(B38,QUERY!$C:$C,QUERY!S:S)</f>
        <v>46065</v>
      </c>
      <c r="FS38" s="3">
        <f>_xlfn.XLOOKUP(B38,QUERY!$C:$C,QUERY!T:T)</f>
        <v>3</v>
      </c>
      <c r="FT38" s="3" t="str">
        <f>_xlfn.XLOOKUP(B38,QUERY!$C:$C,QUERY!U:U)</f>
        <v>2 a 3 días</v>
      </c>
      <c r="FU38" s="3">
        <f>_xlfn.XLOOKUP(B38,QUERY!$C:$C,QUERY!V:V)</f>
        <v>9</v>
      </c>
      <c r="FV38" s="3" t="str">
        <f>_xlfn.XLOOKUP(B38,QUERY!$C:$C,QUERY!W:W)</f>
        <v>6 a 10 días</v>
      </c>
      <c r="FW38" s="4">
        <f>_xlfn.XLOOKUP(B38,QUERY!$C:$C,QUERY!X:X)</f>
        <v>46073</v>
      </c>
      <c r="FX38" s="3">
        <f>_xlfn.XLOOKUP(B38,QUERY!$C:$C,QUERY!Y:Y)</f>
        <v>6</v>
      </c>
      <c r="FY38" s="3">
        <f>_xlfn.XLOOKUP(B38,QUERY!$C:$C,QUERY!Z:Z)</f>
        <v>6</v>
      </c>
      <c r="FZ38" s="4" t="str">
        <f>_xlfn.XLOOKUP(B38,QUERY!$C:$C,QUERY!AA:AA)</f>
        <v>6 a 10 días</v>
      </c>
      <c r="GA38" s="4">
        <f>_xlfn.XLOOKUP(B38,QUERY!$C:$C,QUERY!AB:AB)</f>
        <v>46073</v>
      </c>
      <c r="GB38" s="4">
        <f>_xlfn.XLOOKUP(B38,QUERY!$C:$C,QUERY!AC:AC)</f>
        <v>46073</v>
      </c>
      <c r="GC38" s="3">
        <f>_xlfn.XLOOKUP(B38,QUERY!$C:$C,QUERY!AD:AD)</f>
        <v>0</v>
      </c>
      <c r="GD38" s="4">
        <f>_xlfn.XLOOKUP(B38,QUERY!$C:$C,QUERY!AE:AE)</f>
        <v>46073</v>
      </c>
      <c r="GE38" s="3">
        <f>_xlfn.XLOOKUP(B38,QUERY!$C:$C,QUERY!AF:AF)</f>
        <v>1</v>
      </c>
      <c r="GF38" s="4" t="str">
        <f>_xlfn.XLOOKUP(B38,QUERY!$C:$C,QUERY!AG:AG)</f>
        <v>Es anterior</v>
      </c>
      <c r="GG38" s="3" t="str">
        <f>_xlfn.XLOOKUP(B38,QUERY!$C:$C,QUERY!AH:AH)</f>
        <v>A1</v>
      </c>
      <c r="GH38" s="3" t="str">
        <f>_xlfn.XLOOKUP(B38,QUERY!$C:$C,QUERY!AI:AI)</f>
        <v>ZULEIMA PEREZ RUIZ</v>
      </c>
      <c r="GI38" s="3" t="str">
        <f>_xlfn.XLOOKUP(B38,QUERY!$C:$C,QUERY!AJ:AJ)</f>
        <v>HLCUANR251237871</v>
      </c>
      <c r="GJ38" s="3" t="str">
        <f>_xlfn.XLOOKUP(B38,QUERY!$C:$C,QUERY!AK:AK)</f>
        <v>NULL</v>
      </c>
      <c r="GK38" s="3">
        <f>_xlfn.XLOOKUP(B38,QUERY!$C:$C,QUERY!AL:AL)</f>
        <v>6000160</v>
      </c>
      <c r="GL38" s="3" t="str">
        <f>_xlfn.XLOOKUP(B38,QUERY!$C:$C,QUERY!AM:AM)</f>
        <v>Importación</v>
      </c>
      <c r="GM38" s="3" t="str">
        <f>_xlfn.XLOOKUP(B38,QUERY!$C:$C,QUERY!AN:AN)</f>
        <v>REVALOR H  (MEDICAMENTO DOSIFICADO DE USO VETERINARIO)</v>
      </c>
      <c r="GN38" s="3" t="str">
        <f>_xlfn.XLOOKUP(B38,QUERY!$C:$C,QUERY!AO:AO)</f>
        <v>SIN CLASIFICACION</v>
      </c>
      <c r="GO38" s="3">
        <f>_xlfn.XLOOKUP(B38,QUERY!$C:$C,QUERY!AP:AP)</f>
        <v>0</v>
      </c>
      <c r="GP38" s="3" t="str">
        <f>_xlfn.XLOOKUP(B38,QUERY!$C:$C,QUERY!AQ:AQ)</f>
        <v>Cargas de Importación</v>
      </c>
      <c r="GQ38" s="3" t="str">
        <f>_xlfn.XLOOKUP(B38,QUERY!$C:$C,QUERY!AR:AR)</f>
        <v>INTERVET MEXICO SA DE CV</v>
      </c>
      <c r="GR38" s="3">
        <f>_xlfn.XLOOKUP(B38,QUERY!$C:$C,QUERY!AS:AS)</f>
        <v>0</v>
      </c>
      <c r="GS38" s="3" t="str">
        <f>_xlfn.XLOOKUP(B38,QUERY!$C:$C,QUERY!AT:AT)</f>
        <v>NINGUNO</v>
      </c>
      <c r="GT38" s="3">
        <f>_xlfn.XLOOKUP(B38,QUERY!$C:$C,QUERY!AU:AU)</f>
        <v>0</v>
      </c>
      <c r="GU38" s="3" t="str">
        <f>_xlfn.XLOOKUP(B38,QUERY!$C:$C,QUERY!AV:AV)</f>
        <v>NINGUNO</v>
      </c>
      <c r="GV38" s="3" t="str">
        <f>_xlfn.XLOOKUP(B38,QUERY!$C:$C,QUERY!AW:AW)</f>
        <v>PRODUCTO TERMINADO</v>
      </c>
      <c r="GW38" s="3" t="str">
        <f>_xlfn.XLOOKUP(B38,QUERY!$C:$C,QUERY!AX:AX)</f>
        <v>Verde</v>
      </c>
      <c r="GX38" s="3" t="str">
        <f>_xlfn.XLOOKUP(B38,QUERY!$C:$C,QUERY!AY:AY)</f>
        <v xml:space="preserve"> SUPER EXPRESS DE CARGA FEDERAL S.A. DE C.V.</v>
      </c>
      <c r="GY38" s="3">
        <f>_xlfn.XLOOKUP(B38,QUERY!$C:$C,QUERY!AZ:AZ)</f>
        <v>0</v>
      </c>
      <c r="GZ38" s="3" t="str">
        <f>_xlfn.XLOOKUP(B38,QUERY!$C:$C,QUERY!BA:BA)</f>
        <v>IME-T001</v>
      </c>
      <c r="HA38" s="3" t="str">
        <f>_xlfn.XLOOKUP(B38,QUERY!$C:$C,QUERY!BB:BB)</f>
        <v>IME850329RH2</v>
      </c>
      <c r="HB38" s="3">
        <f>_xlfn.XLOOKUP(B38,QUERY!$C:$C,QUERY!BC:BC)</f>
        <v>0</v>
      </c>
      <c r="HC38" s="3">
        <f>_xlfn.XLOOKUP(B38,QUERY!$C:$C,QUERY!BD:BD)</f>
        <v>99</v>
      </c>
      <c r="HD38" s="3" t="str">
        <f>_xlfn.XLOOKUP(B38,QUERY!$C:$C,QUERY!BE:BE)</f>
        <v>LOTE: B005P01,LOTE: B003P01</v>
      </c>
      <c r="HE38" s="3">
        <f>_xlfn.XLOOKUP(B38,QUERY!$C:$C,QUERY!BF:BF)</f>
        <v>90</v>
      </c>
      <c r="HF38" s="3" t="str">
        <f>_xlfn.XLOOKUP(B38,QUERY!$C:$C,QUERY!BG:BG)</f>
        <v xml:space="preserve"> 11147126.72</v>
      </c>
      <c r="HG38" s="3" t="str">
        <f>_xlfn.XLOOKUP(B38,QUERY!$C:$C,QUERY!BH:BH)</f>
        <v>KILO,KILO</v>
      </c>
      <c r="HH38" s="3">
        <f>_xlfn.XLOOKUP(B38,QUERY!$C:$C,QUERY!BI:BI)</f>
        <v>0</v>
      </c>
      <c r="HI38" s="3" t="str">
        <f>_xlfn.XLOOKUP(B38,QUERY!$C:$C,QUERY!BJ:BJ)</f>
        <v>AUSTRIA (REPUBLICA DE)</v>
      </c>
      <c r="HJ38" s="3" t="str">
        <f>_xlfn.XLOOKUP(B38,QUERY!$C:$C,QUERY!BK:BK)</f>
        <v>PAISES BAJOS (REINO DE LOS) (HOLANDA)</v>
      </c>
      <c r="HK38" s="3" t="str">
        <f>_xlfn.XLOOKUP(B38,QUERY!$C:$C,QUERY!BL:BL)</f>
        <v>AUT</v>
      </c>
      <c r="HL38" s="3" t="str">
        <f>_xlfn.XLOOKUP(B38,QUERY!$C:$C,QUERY!BM:BM)</f>
        <v>ZYA</v>
      </c>
      <c r="HM38" s="3">
        <f>_xlfn.XLOOKUP(B38,QUERY!$C:$C,QUERY!BN:BN)</f>
        <v>11147127</v>
      </c>
      <c r="HN38" s="3" t="str">
        <f>_xlfn.XLOOKUP(B38,QUERY!$C:$C,QUERY!BO:BO)</f>
        <v>89177.00</v>
      </c>
      <c r="HO38" s="3" t="str">
        <f>_xlfn.XLOOKUP(B38,QUERY!$C:$C,QUERY!BP:BP)</f>
        <v>NULL</v>
      </c>
      <c r="HP38" s="3" t="str">
        <f>_xlfn.XLOOKUP(B38,QUERY!$C:$C,QUERY!BQ:BQ)</f>
        <v>1114713.00</v>
      </c>
      <c r="HQ38" s="3" t="str">
        <f>_xlfn.XLOOKUP(B38,QUERY!$C:$C,QUERY!BR:BR)</f>
        <v>135310.03</v>
      </c>
      <c r="HR38" s="3">
        <f>_xlfn.XLOOKUP(B38,QUERY!$C:$C,QUERY!BS:BS)</f>
        <v>0</v>
      </c>
      <c r="HS38" s="3">
        <f>_xlfn.XLOOKUP(B38,QUERY!$C:$C,QUERY!BT:BT)</f>
        <v>0</v>
      </c>
      <c r="HT38" s="3" t="str">
        <f>_xlfn.XLOOKUP(B38,QUERY!$C:$C,QUERY!A:A)</f>
        <v>VERACRUZ</v>
      </c>
      <c r="HU38" s="3" t="str">
        <f>_xlfn.XLOOKUP(B38,QUERY!$C:$C,QUERY!B:B)</f>
        <v>MARÍTIMO VERACRUZ</v>
      </c>
    </row>
    <row r="39" spans="1:229" x14ac:dyDescent="0.25">
      <c r="A39" s="3" t="s">
        <v>90</v>
      </c>
      <c r="B39" s="11" t="s">
        <v>177</v>
      </c>
      <c r="C39" s="3">
        <v>3942</v>
      </c>
      <c r="D39" s="3">
        <v>6000160</v>
      </c>
      <c r="E39" s="3"/>
      <c r="F39" s="3" t="s">
        <v>92</v>
      </c>
      <c r="G39" s="3" t="s">
        <v>93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10</v>
      </c>
      <c r="O39" s="3">
        <v>557256</v>
      </c>
      <c r="P39" s="3">
        <v>0</v>
      </c>
      <c r="Q39" s="3">
        <v>0</v>
      </c>
      <c r="R39" s="3">
        <v>430</v>
      </c>
      <c r="S39" s="3" t="s">
        <v>178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 t="s">
        <v>179</v>
      </c>
      <c r="AB39" s="3"/>
      <c r="AC39" s="3">
        <v>5572557</v>
      </c>
      <c r="AD39" s="3">
        <v>2012.4799599999999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/>
      <c r="AP39" s="3" t="s">
        <v>98</v>
      </c>
      <c r="AQ39" s="3">
        <v>210361399</v>
      </c>
      <c r="AR39" s="3" t="s">
        <v>99</v>
      </c>
      <c r="AS39" s="3" t="s">
        <v>100</v>
      </c>
      <c r="AT39" s="3">
        <v>0</v>
      </c>
      <c r="AU39" s="3">
        <v>0</v>
      </c>
      <c r="AV39" s="3">
        <v>0</v>
      </c>
      <c r="AW39" s="3">
        <v>30043999</v>
      </c>
      <c r="AX39" s="3">
        <v>99</v>
      </c>
      <c r="AY39" s="3">
        <v>2769</v>
      </c>
      <c r="AZ39" s="3">
        <v>2769</v>
      </c>
      <c r="BA39" s="3" t="s">
        <v>103</v>
      </c>
      <c r="BB39" s="3"/>
      <c r="BC39" s="3" t="s">
        <v>133</v>
      </c>
      <c r="BD39" s="3" t="s">
        <v>105</v>
      </c>
      <c r="BE39" s="3"/>
      <c r="BF39" s="3"/>
      <c r="BG39" s="5"/>
      <c r="BH39" s="3"/>
      <c r="BI39" s="3"/>
      <c r="BJ39" s="3"/>
      <c r="BK39" s="3" t="s">
        <v>182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 t="s">
        <v>111</v>
      </c>
      <c r="CF39" s="3">
        <v>0</v>
      </c>
      <c r="CG39" s="3">
        <v>0</v>
      </c>
      <c r="CH39" s="3">
        <v>0</v>
      </c>
      <c r="CI39" s="3" t="s">
        <v>112</v>
      </c>
      <c r="CJ39" s="3" t="s">
        <v>112</v>
      </c>
      <c r="CK39" s="3">
        <f>_xlfn.XLOOKUP($B$2,'BASE DE EXCEL'!C:C,'BASE DE EXCEL'!D:D,"NO HAY REFERENCIA")</f>
        <v>470</v>
      </c>
      <c r="CL39" s="5">
        <f>_xlfn.XLOOKUP($B$2,'BASE DE EXCEL'!$C:$C,'BASE DE EXCEL'!F:F,"NO HAY REFERENCIA")</f>
        <v>3</v>
      </c>
      <c r="CM39" s="4">
        <f>_xlfn.XLOOKUP($B$2,'BASE DE EXCEL'!$C:$C,'BASE DE EXCEL'!G:G,"NO HAY REFERENCIA")</f>
        <v>46080</v>
      </c>
      <c r="CN39" s="4">
        <f>_xlfn.XLOOKUP($B$2,'BASE DE EXCEL'!$C:$C,'BASE DE EXCEL'!H:H,"NO HAY REFERENCIA")</f>
        <v>46086</v>
      </c>
      <c r="CO39" s="3">
        <f>_xlfn.XLOOKUP($B$2,'BASE DE EXCEL'!$C:$C,'BASE DE EXCEL'!I:I,"NO HAY REFERENCIA")</f>
        <v>4</v>
      </c>
      <c r="CP39" s="3" t="str">
        <f>_xlfn.XLOOKUP($B$2,'BASE DE EXCEL'!$C:$C,'BASE DE EXCEL'!J:J,"NO HAY REFERENCIA")</f>
        <v>4 a 5 días</v>
      </c>
      <c r="CQ39" s="4">
        <f>_xlfn.XLOOKUP($B$2,'BASE DE EXCEL'!$C:$C,'BASE DE EXCEL'!K:K,"NO HAY REFERENCIA")</f>
        <v>46087</v>
      </c>
      <c r="CR39" s="3">
        <f>_xlfn.XLOOKUP($B$2,'BASE DE EXCEL'!$C:$C,'BASE DE EXCEL'!L:L,"NO HAY REFERENCIA")</f>
        <v>5</v>
      </c>
      <c r="CS39" s="3">
        <f>_xlfn.XLOOKUP($B$2,'BASE DE EXCEL'!$C:$C,'BASE DE EXCEL'!M:M,"NO HAY REFERENCIA")</f>
        <v>6</v>
      </c>
      <c r="CT39" s="3" t="str">
        <f>_xlfn.XLOOKUP($B$2,'BASE DE EXCEL'!$C:$C,'BASE DE EXCEL'!N:N,"NO HAY REFERENCIA")</f>
        <v>6 a 10 días</v>
      </c>
      <c r="CU39" s="3" t="str">
        <f>_xlfn.XLOOKUP($B$2,'BASE DE EXCEL'!$C:$C,'BASE DE EXCEL'!O:O,"NO HAY REFERENCIA")</f>
        <v>On Time</v>
      </c>
      <c r="CV39" s="3" t="str">
        <f>_xlfn.XLOOKUP(B39,'BASE DE EXCEL'!$C:$C,'BASE DE EXCEL'!P:P,"NO HAY REFERENCIA")</f>
        <v>4 a 5 días</v>
      </c>
      <c r="CW39" s="4">
        <f>_xlfn.XLOOKUP(B39,'BASE DE EXCEL'!$C:$C,'BASE DE EXCEL'!Q:Q,"NO HAY REFERENCIA")</f>
        <v>46065</v>
      </c>
      <c r="CX39" s="3">
        <f>_xlfn.XLOOKUP(B39,'BASE DE EXCEL'!$C:$C,'BASE DE EXCEL'!R:R,"NO HAY REFERENCIA")</f>
        <v>4</v>
      </c>
      <c r="CY39" s="3" t="str">
        <f>_xlfn.XLOOKUP(B39,'BASE DE EXCEL'!$C:$C,'BASE DE EXCEL'!S:S,"NO HAY REFERENCIA")</f>
        <v>4 a 5 días</v>
      </c>
      <c r="CZ39" s="3" t="str">
        <f>_xlfn.XLOOKUP(B39,'BASE DE EXCEL'!$C:$C,'BASE DE EXCEL'!T:T,"NO HAY REFERENCIA")</f>
        <v>On Time</v>
      </c>
      <c r="DA39" s="3">
        <f>_xlfn.XLOOKUP(B39,'BASE DE EXCEL'!$C:$C,'BASE DE EXCEL'!U:U,"NO HAY REFERENCIA")</f>
        <v>0</v>
      </c>
      <c r="DB39" s="3" t="str">
        <f>_xlfn.XLOOKUP(B39,'BASE DE EXCEL'!$C:$C,'BASE DE EXCEL'!V:V,"NO HAY REFERENCIA")</f>
        <v>Sin Dato</v>
      </c>
      <c r="DC39" s="3">
        <f>_xlfn.XLOOKUP(B39,'BASE DE EXCEL'!$C:$C,'BASE DE EXCEL'!W:W,"NO HAY REFERENCIA")</f>
        <v>9</v>
      </c>
      <c r="DD39" s="3" t="str">
        <f>_xlfn.XLOOKUP(B39,'BASE DE EXCEL'!$C:$C,'BASE DE EXCEL'!X:X,"NO HAY REFERENCIA")</f>
        <v>6 a 10 días</v>
      </c>
      <c r="DE39" s="3">
        <f>_xlfn.XLOOKUP(B39,'BASE DE EXCEL'!$C:$C,'BASE DE EXCEL'!Y:Y,"NO HAY REFERENCIA")</f>
        <v>1</v>
      </c>
      <c r="DF39" s="3" t="str">
        <f>_xlfn.XLOOKUP(B39,'BASE DE EXCEL'!$C:$C,'BASE DE EXCEL'!Z:Z,"NO HAY REFERENCIA")</f>
        <v>1 día o menos</v>
      </c>
      <c r="DG39" s="3">
        <f>_xlfn.XLOOKUP(B39,'BASE DE EXCEL'!$C:$C,'BASE DE EXCEL'!AA:AA,"NO HAY REFERENCIA")</f>
        <v>3</v>
      </c>
      <c r="DH39" s="3">
        <f>_xlfn.XLOOKUP(B39,'BASE DE EXCEL'!$C:$C,'BASE DE EXCEL'!AB:AB,"NO HAY REFERENCIA")</f>
        <v>-46062</v>
      </c>
      <c r="DI39" s="3" t="str">
        <f>_xlfn.XLOOKUP(B39,'BASE DE EXCEL'!$C:$C,'BASE DE EXCEL'!AC:AC,"NO HAY REFERENCIA")</f>
        <v>SIN DATO</v>
      </c>
      <c r="DJ39" s="4">
        <f>_xlfn.XLOOKUP(B39,'BASE DE EXCEL'!$C:$C,'BASE DE EXCEL'!AD:AD,"NO HAY REFERENCIA")</f>
        <v>46073</v>
      </c>
      <c r="DK39" s="3">
        <f>_xlfn.XLOOKUP(B39,'BASE DE EXCEL'!$C:$C,'BASE DE EXCEL'!AE:AE,"NO HAY REFERENCIA")</f>
        <v>46071</v>
      </c>
      <c r="DL39" s="3">
        <f>_xlfn.XLOOKUP(B39,'BASE DE EXCEL'!$C:$C,'BASE DE EXCEL'!AF:AF,"NO HAY REFERENCIA")</f>
        <v>32909</v>
      </c>
      <c r="DM39" s="4">
        <f>_xlfn.XLOOKUP(B39,'BASE DE EXCEL'!$C:$C,'BASE DE EXCEL'!AG:AG,"NO HAY REFERENCIA")</f>
        <v>46073</v>
      </c>
      <c r="DN39" s="4">
        <f>_xlfn.XLOOKUP(B39,'BASE DE EXCEL'!$C:$C,'BASE DE EXCEL'!AH:AH,"NO HAY REFERENCIA")</f>
        <v>46073</v>
      </c>
      <c r="DO39" s="3">
        <f>_xlfn.XLOOKUP(B39,'BASE DE EXCEL'!$C:$C,'BASE DE EXCEL'!AI:AI,"NO HAY REFERENCIA")</f>
        <v>0</v>
      </c>
      <c r="DP39" s="4" t="str">
        <f>_xlfn.XLOOKUP(B39,'BASE DE EXCEL'!$C:$C,'BASE DE EXCEL'!AJ:AJ,"NO HAY REFERENCIA")</f>
        <v>SIN DATO</v>
      </c>
      <c r="DQ39" s="4">
        <f>_xlfn.XLOOKUP(B39,'BASE DE EXCEL'!$C:$C,'BASE DE EXCEL'!AK:AK,"NO HAY REFERENCIA")</f>
        <v>46073</v>
      </c>
      <c r="DR39" s="3">
        <f>_xlfn.XLOOKUP(B39,'BASE DE EXCEL'!$C:$C,'BASE DE EXCEL'!AL:AL,"NO HAY REFERENCIA")</f>
        <v>7</v>
      </c>
      <c r="DS39" s="3" t="str">
        <f>_xlfn.XLOOKUP(B39,'BASE DE EXCEL'!$C:$C,'BASE DE EXCEL'!AM:AM,"NO HAY REFERENCIA")</f>
        <v>6 a 10 días</v>
      </c>
      <c r="DT39" s="3" t="str">
        <f>_xlfn.XLOOKUP(B39,'BASE DE EXCEL'!$C:$C,'BASE DE EXCEL'!AN:AN,"NO HAY REFERENCIA")</f>
        <v>Delayed</v>
      </c>
      <c r="DU39" s="3">
        <f>_xlfn.XLOOKUP(B39,'BASE DE EXCEL'!$C:$C,'BASE DE EXCEL'!AO:AO,"NO HAY REFERENCIA")</f>
        <v>0</v>
      </c>
      <c r="DV39" s="3" t="str">
        <f>_xlfn.XLOOKUP(B39,'BASE DE EXCEL'!$C:$C,'BASE DE EXCEL'!AP:AP,"NO HAY REFERENCIA")</f>
        <v>Es anterior</v>
      </c>
      <c r="DW39" s="3" t="str">
        <f>_xlfn.XLOOKUP(B39,'BASE DE EXCEL'!$C:$C,'BASE DE EXCEL'!AQ:AQ,"NO HAY REFERENCIA")</f>
        <v>A1</v>
      </c>
      <c r="DX39" s="3" t="str">
        <f>_xlfn.XLOOKUP(B39,'BASE DE EXCEL'!$C:$C,'BASE DE EXCEL'!AR:AR,"NO HAY REFERENCIA")</f>
        <v>ZULEIMA PEREZ RUIZ</v>
      </c>
      <c r="DY39" s="3" t="str">
        <f>_xlfn.XLOOKUP(B39,'BASE DE EXCEL'!$C:$C,'BASE DE EXCEL'!AS:AS,"NO HAY REFERENCIA")</f>
        <v>HLCUANR251237871</v>
      </c>
      <c r="DZ39" s="3" t="str">
        <f>_xlfn.XLOOKUP(B39,'BASE DE EXCEL'!$C:$C,'BASE DE EXCEL'!AT:AT,"NO HAY REFERENCIA")</f>
        <v>NULL</v>
      </c>
      <c r="EA39" s="3">
        <f>_xlfn.XLOOKUP(B39,'BASE DE EXCEL'!$C:$C,'BASE DE EXCEL'!AU:AU,"NO HAY REFERENCIA")</f>
        <v>6000160</v>
      </c>
      <c r="EB39" s="3" t="str">
        <f>_xlfn.XLOOKUP(B39,'BASE DE EXCEL'!$C:$C,'BASE DE EXCEL'!AV:AV,"NO HAY REFERENCIA")</f>
        <v>Importación</v>
      </c>
      <c r="EC39" s="3" t="str">
        <f>_xlfn.XLOOKUP(B39,'BASE DE EXCEL'!$C:$C,'BASE DE EXCEL'!AW:AW,"NO HAY REFERENCIA")</f>
        <v>REVALOR H  (MEDICAMENTO DOSIFICADO DE USO VETERINARIO)</v>
      </c>
      <c r="ED39" s="3" t="str">
        <f>_xlfn.XLOOKUP(B39,'BASE DE EXCEL'!$C:$C,'BASE DE EXCEL'!AX:AX,"NO HAY REFERENCIA")</f>
        <v>SIN CLASIFICACION</v>
      </c>
      <c r="EE39" s="3">
        <f>_xlfn.XLOOKUP(B39,'BASE DE EXCEL'!$C:$C,'BASE DE EXCEL'!AY:AY,"NO HAY REFERENCIA")</f>
        <v>0</v>
      </c>
      <c r="EF39" s="3" t="str">
        <f>_xlfn.XLOOKUP(B39,'BASE DE EXCEL'!$C:$C,'BASE DE EXCEL'!AZ:AZ,"NO HAY REFERENCIA")</f>
        <v>Cargas de Importación</v>
      </c>
      <c r="EG39" s="3" t="str">
        <f>_xlfn.XLOOKUP(B39,'BASE DE EXCEL'!$C:$C,'BASE DE EXCEL'!BA:BA,"NO HAY REFERENCIA")</f>
        <v>INTERVET MEXICO SA DE CV</v>
      </c>
      <c r="EH39" s="3">
        <f>_xlfn.XLOOKUP(B39,'BASE DE EXCEL'!$C:$C,'BASE DE EXCEL'!BB:BB,"NO HAY REFERENCIA")</f>
        <v>0</v>
      </c>
      <c r="EI39" s="3" t="str">
        <f>_xlfn.XLOOKUP(B39,'BASE DE EXCEL'!$C:$C,'BASE DE EXCEL'!BC:BC,"NO HAY REFERENCIA")</f>
        <v>NINGUNO</v>
      </c>
      <c r="EJ39" s="3">
        <f>_xlfn.XLOOKUP(B39,'BASE DE EXCEL'!$C:$C,'BASE DE EXCEL'!BD:BD,"NO HAY REFERENCIA")</f>
        <v>0</v>
      </c>
      <c r="EK39" s="3" t="str">
        <f>_xlfn.XLOOKUP(B39,'BASE DE EXCEL'!$C:$C,'BASE DE EXCEL'!BE:BE,"NO HAY REFERENCIA")</f>
        <v>NINGUNO</v>
      </c>
      <c r="EL39" s="3" t="str">
        <f>_xlfn.XLOOKUP(B39,'BASE DE EXCEL'!$C:$C,'BASE DE EXCEL'!BF:BF,"NO HAY REFERENCIA")</f>
        <v>PRODUCTO TERMINADO</v>
      </c>
      <c r="EM39" s="3" t="str">
        <f>_xlfn.XLOOKUP(B39,'BASE DE EXCEL'!$C:$C,'BASE DE EXCEL'!BG:BG,"NO HAY REFERENCIA")</f>
        <v>Verde</v>
      </c>
      <c r="EN39" s="3" t="str">
        <f>_xlfn.XLOOKUP(B39,'BASE DE EXCEL'!$C:$C,'BASE DE EXCEL'!BH:BH,"NO HAY REFERENCIA")</f>
        <v xml:space="preserve"> SUPER EXPRESS DE CARGA FEDERAL S.A. DE C.V.</v>
      </c>
      <c r="EO39" s="3">
        <f>_xlfn.XLOOKUP(B39,'BASE DE EXCEL'!$C:$C,'BASE DE EXCEL'!BI:BI,"NO HAY REFERENCIA")</f>
        <v>0</v>
      </c>
      <c r="EP39" s="3" t="str">
        <f>_xlfn.XLOOKUP(B39,'BASE DE EXCEL'!$C:$C,'BASE DE EXCEL'!BJ:BJ,"NO HAY REFERENCIA")</f>
        <v>IME-T001</v>
      </c>
      <c r="EQ39" s="3" t="str">
        <f>_xlfn.XLOOKUP(B39,'BASE DE EXCEL'!$C:$C,'BASE DE EXCEL'!BK:BK,"NO HAY REFERENCIA")</f>
        <v>IME850329RH2</v>
      </c>
      <c r="ER39" s="3">
        <f>_xlfn.XLOOKUP(B39,'BASE DE EXCEL'!$C:$C,'BASE DE EXCEL'!BL:BL,"NO HAY REFERENCIA")</f>
        <v>0</v>
      </c>
      <c r="ES39" s="3">
        <f>_xlfn.XLOOKUP(B39,'BASE DE EXCEL'!$C:$C,'BASE DE EXCEL'!BM:BM,"NO HAY REFERENCIA")</f>
        <v>99</v>
      </c>
      <c r="ET39" s="3" t="str">
        <f>_xlfn.XLOOKUP(B39,'BASE DE EXCEL'!$C:$C,'BASE DE EXCEL'!BN:BN,"NO HAY REFERENCIA")</f>
        <v>LOTE: B005P01,LOTE: B003P01</v>
      </c>
      <c r="EU39" s="3">
        <f>_xlfn.XLOOKUP(B39,'BASE DE EXCEL'!$C:$C,'BASE DE EXCEL'!BO:BO,"NO HAY REFERENCIA")</f>
        <v>90</v>
      </c>
      <c r="EV39" s="3">
        <f>_xlfn.XLOOKUP(B39,'BASE DE EXCEL'!$C:$C,'BASE DE EXCEL'!BP:BP,"NO HAY REFERENCIA")</f>
        <v>11147126.720000001</v>
      </c>
      <c r="EW39" s="3" t="str">
        <f>_xlfn.XLOOKUP(B39,'BASE DE EXCEL'!$C:$C,'BASE DE EXCEL'!BQ:BQ,"NO HAY REFERENCIA")</f>
        <v>KILO,KILO</v>
      </c>
      <c r="EX39" s="3">
        <f>_xlfn.XLOOKUP(B39,'BASE DE EXCEL'!$C:$C,'BASE DE EXCEL'!BR:BR,"NO HAY REFERENCIA")</f>
        <v>0</v>
      </c>
      <c r="EY39" s="3" t="str">
        <f>_xlfn.XLOOKUP(B39,'BASE DE EXCEL'!$C:$C,'BASE DE EXCEL'!BS:BS,"NO HAY REFERENCIA")</f>
        <v>AUSTRIA (REPUBLICA DE)</v>
      </c>
      <c r="EZ39" s="3" t="str">
        <f>_xlfn.XLOOKUP(B39,'BASE DE EXCEL'!$C:$C,'BASE DE EXCEL'!BT:BT,"NO HAY REFERENCIA")</f>
        <v>PAISES BAJOS (REINO DE LOS) (HOLANDA)</v>
      </c>
      <c r="FA39" s="3" t="str">
        <f>_xlfn.XLOOKUP(B39,'BASE DE EXCEL'!$C:$C,'BASE DE EXCEL'!BU:BU,"NO HAY REFERENCIA")</f>
        <v>AUT</v>
      </c>
      <c r="FB39" s="3" t="str">
        <f>_xlfn.XLOOKUP(B39,'BASE DE EXCEL'!$C:$C,'BASE DE EXCEL'!BV:BV,"NO HAY REFERENCIA")</f>
        <v>ZYA</v>
      </c>
      <c r="FC39" s="3">
        <f>_xlfn.XLOOKUP(B39,QUERY!$C:$C,QUERY!D:D)</f>
        <v>430</v>
      </c>
      <c r="FD39" s="4">
        <f>_xlfn.XLOOKUP(B39,QUERY!$C:$C,QUERY!E:E)</f>
        <v>46063</v>
      </c>
      <c r="FE39" s="3">
        <f>_xlfn.XLOOKUP(B39,QUERY!$C:$C,QUERY!F:F)</f>
        <v>2</v>
      </c>
      <c r="FF39" s="4">
        <f>_xlfn.XLOOKUP(B39,QUERY!$C:$C,QUERY!G:G)</f>
        <v>46060</v>
      </c>
      <c r="FG39" s="4">
        <f>_xlfn.XLOOKUP(B39,QUERY!$C:$C,QUERY!H:H)</f>
        <v>46063</v>
      </c>
      <c r="FH39" s="3">
        <f>_xlfn.XLOOKUP(B39,QUERY!$C:$C,QUERY!I:I)</f>
        <v>1</v>
      </c>
      <c r="FI39" s="3" t="str">
        <f>_xlfn.XLOOKUP(B39,QUERY!$C:$C,QUERY!J:J)</f>
        <v>1 día o menos</v>
      </c>
      <c r="FJ39" s="4">
        <f>_xlfn.XLOOKUP(B39,QUERY!$C:$C,QUERY!K:K)</f>
        <v>46064</v>
      </c>
      <c r="FK39" s="3">
        <f>_xlfn.XLOOKUP(B39,QUERY!$C:$C,QUERY!L:L)</f>
        <v>2</v>
      </c>
      <c r="FL39" s="3" t="str">
        <f>_xlfn.XLOOKUP(B39,QUERY!$C:$C,QUERY!M:M)</f>
        <v>2 a 3 días</v>
      </c>
      <c r="FM39" s="3">
        <f>_xlfn.XLOOKUP(B39,QUERY!$C:$C,QUERY!N:N)</f>
        <v>1</v>
      </c>
      <c r="FN39" s="3" t="str">
        <f>_xlfn.XLOOKUP(B39,QUERY!$C:$C,QUERY!O:O)</f>
        <v>1 día o menos</v>
      </c>
      <c r="FO39" s="3">
        <f>_xlfn.XLOOKUP(B39,QUERY!$C:$C,QUERY!P:P)</f>
        <v>1</v>
      </c>
      <c r="FP39" s="3">
        <f>_xlfn.XLOOKUP(B39,QUERY!$C:$C,QUERY!Q:Q)</f>
        <v>1</v>
      </c>
      <c r="FQ39" s="3" t="str">
        <f>_xlfn.XLOOKUP(B39,QUERY!$C:$C,QUERY!R:R)</f>
        <v>1 día o menos</v>
      </c>
      <c r="FR39" s="4">
        <f>_xlfn.XLOOKUP(B39,QUERY!$C:$C,QUERY!S:S)</f>
        <v>46065</v>
      </c>
      <c r="FS39" s="3">
        <f>_xlfn.XLOOKUP(B39,QUERY!$C:$C,QUERY!T:T)</f>
        <v>3</v>
      </c>
      <c r="FT39" s="3" t="str">
        <f>_xlfn.XLOOKUP(B39,QUERY!$C:$C,QUERY!U:U)</f>
        <v>2 a 3 días</v>
      </c>
      <c r="FU39" s="3">
        <f>_xlfn.XLOOKUP(B39,QUERY!$C:$C,QUERY!V:V)</f>
        <v>9</v>
      </c>
      <c r="FV39" s="3" t="str">
        <f>_xlfn.XLOOKUP(B39,QUERY!$C:$C,QUERY!W:W)</f>
        <v>6 a 10 días</v>
      </c>
      <c r="FW39" s="4">
        <f>_xlfn.XLOOKUP(B39,QUERY!$C:$C,QUERY!X:X)</f>
        <v>46073</v>
      </c>
      <c r="FX39" s="3">
        <f>_xlfn.XLOOKUP(B39,QUERY!$C:$C,QUERY!Y:Y)</f>
        <v>6</v>
      </c>
      <c r="FY39" s="3">
        <f>_xlfn.XLOOKUP(B39,QUERY!$C:$C,QUERY!Z:Z)</f>
        <v>6</v>
      </c>
      <c r="FZ39" s="4" t="str">
        <f>_xlfn.XLOOKUP(B39,QUERY!$C:$C,QUERY!AA:AA)</f>
        <v>6 a 10 días</v>
      </c>
      <c r="GA39" s="4">
        <f>_xlfn.XLOOKUP(B39,QUERY!$C:$C,QUERY!AB:AB)</f>
        <v>46073</v>
      </c>
      <c r="GB39" s="4">
        <f>_xlfn.XLOOKUP(B39,QUERY!$C:$C,QUERY!AC:AC)</f>
        <v>46073</v>
      </c>
      <c r="GC39" s="3">
        <f>_xlfn.XLOOKUP(B39,QUERY!$C:$C,QUERY!AD:AD)</f>
        <v>0</v>
      </c>
      <c r="GD39" s="4">
        <f>_xlfn.XLOOKUP(B39,QUERY!$C:$C,QUERY!AE:AE)</f>
        <v>46073</v>
      </c>
      <c r="GE39" s="3">
        <f>_xlfn.XLOOKUP(B39,QUERY!$C:$C,QUERY!AF:AF)</f>
        <v>1</v>
      </c>
      <c r="GF39" s="4" t="str">
        <f>_xlfn.XLOOKUP(B39,QUERY!$C:$C,QUERY!AG:AG)</f>
        <v>Es anterior</v>
      </c>
      <c r="GG39" s="3" t="str">
        <f>_xlfn.XLOOKUP(B39,QUERY!$C:$C,QUERY!AH:AH)</f>
        <v>A1</v>
      </c>
      <c r="GH39" s="3" t="str">
        <f>_xlfn.XLOOKUP(B39,QUERY!$C:$C,QUERY!AI:AI)</f>
        <v>ZULEIMA PEREZ RUIZ</v>
      </c>
      <c r="GI39" s="3" t="str">
        <f>_xlfn.XLOOKUP(B39,QUERY!$C:$C,QUERY!AJ:AJ)</f>
        <v>HLCUANR251237871</v>
      </c>
      <c r="GJ39" s="3" t="str">
        <f>_xlfn.XLOOKUP(B39,QUERY!$C:$C,QUERY!AK:AK)</f>
        <v>NULL</v>
      </c>
      <c r="GK39" s="3">
        <f>_xlfn.XLOOKUP(B39,QUERY!$C:$C,QUERY!AL:AL)</f>
        <v>6000160</v>
      </c>
      <c r="GL39" s="3" t="str">
        <f>_xlfn.XLOOKUP(B39,QUERY!$C:$C,QUERY!AM:AM)</f>
        <v>Importación</v>
      </c>
      <c r="GM39" s="3" t="str">
        <f>_xlfn.XLOOKUP(B39,QUERY!$C:$C,QUERY!AN:AN)</f>
        <v>REVALOR H  (MEDICAMENTO DOSIFICADO DE USO VETERINARIO)</v>
      </c>
      <c r="GN39" s="3" t="str">
        <f>_xlfn.XLOOKUP(B39,QUERY!$C:$C,QUERY!AO:AO)</f>
        <v>SIN CLASIFICACION</v>
      </c>
      <c r="GO39" s="3">
        <f>_xlfn.XLOOKUP(B39,QUERY!$C:$C,QUERY!AP:AP)</f>
        <v>0</v>
      </c>
      <c r="GP39" s="3" t="str">
        <f>_xlfn.XLOOKUP(B39,QUERY!$C:$C,QUERY!AQ:AQ)</f>
        <v>Cargas de Importación</v>
      </c>
      <c r="GQ39" s="3" t="str">
        <f>_xlfn.XLOOKUP(B39,QUERY!$C:$C,QUERY!AR:AR)</f>
        <v>INTERVET MEXICO SA DE CV</v>
      </c>
      <c r="GR39" s="3">
        <f>_xlfn.XLOOKUP(B39,QUERY!$C:$C,QUERY!AS:AS)</f>
        <v>0</v>
      </c>
      <c r="GS39" s="3" t="str">
        <f>_xlfn.XLOOKUP(B39,QUERY!$C:$C,QUERY!AT:AT)</f>
        <v>NINGUNO</v>
      </c>
      <c r="GT39" s="3">
        <f>_xlfn.XLOOKUP(B39,QUERY!$C:$C,QUERY!AU:AU)</f>
        <v>0</v>
      </c>
      <c r="GU39" s="3" t="str">
        <f>_xlfn.XLOOKUP(B39,QUERY!$C:$C,QUERY!AV:AV)</f>
        <v>NINGUNO</v>
      </c>
      <c r="GV39" s="3" t="str">
        <f>_xlfn.XLOOKUP(B39,QUERY!$C:$C,QUERY!AW:AW)</f>
        <v>PRODUCTO TERMINADO</v>
      </c>
      <c r="GW39" s="3" t="str">
        <f>_xlfn.XLOOKUP(B39,QUERY!$C:$C,QUERY!AX:AX)</f>
        <v>Verde</v>
      </c>
      <c r="GX39" s="3" t="str">
        <f>_xlfn.XLOOKUP(B39,QUERY!$C:$C,QUERY!AY:AY)</f>
        <v xml:space="preserve"> SUPER EXPRESS DE CARGA FEDERAL S.A. DE C.V.</v>
      </c>
      <c r="GY39" s="3">
        <f>_xlfn.XLOOKUP(B39,QUERY!$C:$C,QUERY!AZ:AZ)</f>
        <v>0</v>
      </c>
      <c r="GZ39" s="3" t="str">
        <f>_xlfn.XLOOKUP(B39,QUERY!$C:$C,QUERY!BA:BA)</f>
        <v>IME-T001</v>
      </c>
      <c r="HA39" s="3" t="str">
        <f>_xlfn.XLOOKUP(B39,QUERY!$C:$C,QUERY!BB:BB)</f>
        <v>IME850329RH2</v>
      </c>
      <c r="HB39" s="3">
        <f>_xlfn.XLOOKUP(B39,QUERY!$C:$C,QUERY!BC:BC)</f>
        <v>0</v>
      </c>
      <c r="HC39" s="3">
        <f>_xlfn.XLOOKUP(B39,QUERY!$C:$C,QUERY!BD:BD)</f>
        <v>99</v>
      </c>
      <c r="HD39" s="3" t="str">
        <f>_xlfn.XLOOKUP(B39,QUERY!$C:$C,QUERY!BE:BE)</f>
        <v>LOTE: B005P01,LOTE: B003P01</v>
      </c>
      <c r="HE39" s="3">
        <f>_xlfn.XLOOKUP(B39,QUERY!$C:$C,QUERY!BF:BF)</f>
        <v>90</v>
      </c>
      <c r="HF39" s="3" t="str">
        <f>_xlfn.XLOOKUP(B39,QUERY!$C:$C,QUERY!BG:BG)</f>
        <v xml:space="preserve"> 11147126.72</v>
      </c>
      <c r="HG39" s="3" t="str">
        <f>_xlfn.XLOOKUP(B39,QUERY!$C:$C,QUERY!BH:BH)</f>
        <v>KILO,KILO</v>
      </c>
      <c r="HH39" s="3">
        <f>_xlfn.XLOOKUP(B39,QUERY!$C:$C,QUERY!BI:BI)</f>
        <v>0</v>
      </c>
      <c r="HI39" s="3" t="str">
        <f>_xlfn.XLOOKUP(B39,QUERY!$C:$C,QUERY!BJ:BJ)</f>
        <v>AUSTRIA (REPUBLICA DE)</v>
      </c>
      <c r="HJ39" s="3" t="str">
        <f>_xlfn.XLOOKUP(B39,QUERY!$C:$C,QUERY!BK:BK)</f>
        <v>PAISES BAJOS (REINO DE LOS) (HOLANDA)</v>
      </c>
      <c r="HK39" s="3" t="str">
        <f>_xlfn.XLOOKUP(B39,QUERY!$C:$C,QUERY!BL:BL)</f>
        <v>AUT</v>
      </c>
      <c r="HL39" s="3" t="str">
        <f>_xlfn.XLOOKUP(B39,QUERY!$C:$C,QUERY!BM:BM)</f>
        <v>ZYA</v>
      </c>
      <c r="HM39" s="3">
        <f>_xlfn.XLOOKUP(B39,QUERY!$C:$C,QUERY!BN:BN)</f>
        <v>11147127</v>
      </c>
      <c r="HN39" s="3" t="str">
        <f>_xlfn.XLOOKUP(B39,QUERY!$C:$C,QUERY!BO:BO)</f>
        <v>89177.00</v>
      </c>
      <c r="HO39" s="3" t="str">
        <f>_xlfn.XLOOKUP(B39,QUERY!$C:$C,QUERY!BP:BP)</f>
        <v>NULL</v>
      </c>
      <c r="HP39" s="3" t="str">
        <f>_xlfn.XLOOKUP(B39,QUERY!$C:$C,QUERY!BQ:BQ)</f>
        <v>1114713.00</v>
      </c>
      <c r="HQ39" s="3" t="str">
        <f>_xlfn.XLOOKUP(B39,QUERY!$C:$C,QUERY!BR:BR)</f>
        <v>135310.03</v>
      </c>
      <c r="HR39" s="3">
        <f>_xlfn.XLOOKUP(B39,QUERY!$C:$C,QUERY!BS:BS)</f>
        <v>0</v>
      </c>
      <c r="HS39" s="3">
        <f>_xlfn.XLOOKUP(B39,QUERY!$C:$C,QUERY!BT:BT)</f>
        <v>0</v>
      </c>
      <c r="HT39" s="3" t="str">
        <f>_xlfn.XLOOKUP(B39,QUERY!$C:$C,QUERY!A:A)</f>
        <v>VERACRUZ</v>
      </c>
      <c r="HU39" s="3" t="str">
        <f>_xlfn.XLOOKUP(B39,QUERY!$C:$C,QUERY!B:B)</f>
        <v>MARÍTIMO VERACRUZ</v>
      </c>
    </row>
    <row r="40" spans="1:229" x14ac:dyDescent="0.25">
      <c r="A40" s="3" t="s">
        <v>90</v>
      </c>
      <c r="B40" s="12" t="s">
        <v>193</v>
      </c>
      <c r="C40" s="3">
        <v>3942</v>
      </c>
      <c r="D40" s="3">
        <v>6000168</v>
      </c>
      <c r="E40" s="3"/>
      <c r="F40" s="3" t="s">
        <v>92</v>
      </c>
      <c r="G40" s="3" t="s">
        <v>93</v>
      </c>
      <c r="H40" s="3">
        <v>16</v>
      </c>
      <c r="I40" s="3">
        <v>8414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17.899799999999999</v>
      </c>
      <c r="Q40" s="3">
        <v>73</v>
      </c>
      <c r="R40" s="3">
        <v>430</v>
      </c>
      <c r="S40" s="3"/>
      <c r="T40" s="3" t="s">
        <v>194</v>
      </c>
      <c r="U40" s="3">
        <v>114376</v>
      </c>
      <c r="V40" s="3">
        <v>114376</v>
      </c>
      <c r="W40" s="3">
        <v>0</v>
      </c>
      <c r="X40" s="3">
        <v>0</v>
      </c>
      <c r="Y40" s="3">
        <v>0</v>
      </c>
      <c r="Z40" s="3">
        <v>0</v>
      </c>
      <c r="AA40" s="3" t="s">
        <v>195</v>
      </c>
      <c r="AB40" s="3"/>
      <c r="AC40" s="3">
        <v>52172</v>
      </c>
      <c r="AD40" s="3">
        <v>434.76666999999998</v>
      </c>
      <c r="AE40" s="3">
        <v>354</v>
      </c>
      <c r="AF40" s="3" t="s">
        <v>196</v>
      </c>
      <c r="AG40" s="3">
        <v>0</v>
      </c>
      <c r="AH40" s="3">
        <v>0</v>
      </c>
      <c r="AI40" s="3">
        <v>53</v>
      </c>
      <c r="AJ40" s="3">
        <v>915</v>
      </c>
      <c r="AK40" s="3">
        <v>0</v>
      </c>
      <c r="AL40" s="3">
        <v>18446</v>
      </c>
      <c r="AM40" s="3">
        <v>330</v>
      </c>
      <c r="AN40" s="3">
        <v>19744</v>
      </c>
      <c r="AO40" s="3" t="s">
        <v>97</v>
      </c>
      <c r="AP40" s="3" t="s">
        <v>98</v>
      </c>
      <c r="AQ40" s="3">
        <v>210363787</v>
      </c>
      <c r="AR40" s="3" t="s">
        <v>99</v>
      </c>
      <c r="AS40" s="3" t="s">
        <v>100</v>
      </c>
      <c r="AT40" s="3">
        <v>265457533</v>
      </c>
      <c r="AU40" s="3"/>
      <c r="AV40" s="3" t="s">
        <v>188</v>
      </c>
      <c r="AW40" s="3">
        <v>85365099</v>
      </c>
      <c r="AX40" s="3">
        <v>1</v>
      </c>
      <c r="AY40" s="3">
        <v>120</v>
      </c>
      <c r="AZ40" s="3">
        <v>120</v>
      </c>
      <c r="BA40" s="3" t="s">
        <v>103</v>
      </c>
      <c r="BB40" s="3"/>
      <c r="BC40" s="3" t="s">
        <v>197</v>
      </c>
      <c r="BD40" s="3" t="s">
        <v>105</v>
      </c>
      <c r="BE40" s="3" t="s">
        <v>106</v>
      </c>
      <c r="BF40" s="3" t="s">
        <v>117</v>
      </c>
      <c r="BG40" s="5"/>
      <c r="BH40" s="3"/>
      <c r="BI40" s="3"/>
      <c r="BJ40" s="3" t="s">
        <v>109</v>
      </c>
      <c r="BK40" s="3" t="s">
        <v>198</v>
      </c>
      <c r="BL40" s="3">
        <v>44645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5600</v>
      </c>
      <c r="CC40" s="3">
        <v>1000</v>
      </c>
      <c r="CD40" s="3">
        <v>50747.92</v>
      </c>
      <c r="CE40" s="3" t="s">
        <v>192</v>
      </c>
      <c r="CF40" s="3">
        <v>50747.92</v>
      </c>
      <c r="CG40" s="3">
        <v>0</v>
      </c>
      <c r="CH40" s="3">
        <v>0</v>
      </c>
      <c r="CI40" s="3" t="s">
        <v>112</v>
      </c>
      <c r="CJ40" s="3" t="s">
        <v>112</v>
      </c>
      <c r="CK40" s="3">
        <f>_xlfn.XLOOKUP($B$2,'BASE DE EXCEL'!C:C,'BASE DE EXCEL'!D:D,"NO HAY REFERENCIA")</f>
        <v>470</v>
      </c>
      <c r="CL40" s="5">
        <f>_xlfn.XLOOKUP($B$2,'BASE DE EXCEL'!$C:$C,'BASE DE EXCEL'!F:F,"NO HAY REFERENCIA")</f>
        <v>3</v>
      </c>
      <c r="CM40" s="4">
        <f>_xlfn.XLOOKUP($B$2,'BASE DE EXCEL'!$C:$C,'BASE DE EXCEL'!G:G,"NO HAY REFERENCIA")</f>
        <v>46080</v>
      </c>
      <c r="CN40" s="4">
        <f>_xlfn.XLOOKUP($B$2,'BASE DE EXCEL'!$C:$C,'BASE DE EXCEL'!H:H,"NO HAY REFERENCIA")</f>
        <v>46086</v>
      </c>
      <c r="CO40" s="3">
        <f>_xlfn.XLOOKUP($B$2,'BASE DE EXCEL'!$C:$C,'BASE DE EXCEL'!I:I,"NO HAY REFERENCIA")</f>
        <v>4</v>
      </c>
      <c r="CP40" s="3" t="str">
        <f>_xlfn.XLOOKUP($B$2,'BASE DE EXCEL'!$C:$C,'BASE DE EXCEL'!J:J,"NO HAY REFERENCIA")</f>
        <v>4 a 5 días</v>
      </c>
      <c r="CQ40" s="4">
        <f>_xlfn.XLOOKUP($B$2,'BASE DE EXCEL'!$C:$C,'BASE DE EXCEL'!K:K,"NO HAY REFERENCIA")</f>
        <v>46087</v>
      </c>
      <c r="CR40" s="3">
        <f>_xlfn.XLOOKUP($B$2,'BASE DE EXCEL'!$C:$C,'BASE DE EXCEL'!L:L,"NO HAY REFERENCIA")</f>
        <v>5</v>
      </c>
      <c r="CS40" s="3">
        <f>_xlfn.XLOOKUP($B$2,'BASE DE EXCEL'!$C:$C,'BASE DE EXCEL'!M:M,"NO HAY REFERENCIA")</f>
        <v>6</v>
      </c>
      <c r="CT40" s="3" t="str">
        <f>_xlfn.XLOOKUP($B$2,'BASE DE EXCEL'!$C:$C,'BASE DE EXCEL'!N:N,"NO HAY REFERENCIA")</f>
        <v>6 a 10 días</v>
      </c>
      <c r="CU40" s="3" t="str">
        <f>_xlfn.XLOOKUP($B$2,'BASE DE EXCEL'!$C:$C,'BASE DE EXCEL'!O:O,"NO HAY REFERENCIA")</f>
        <v>On Time</v>
      </c>
      <c r="CV40" s="3" t="str">
        <f>_xlfn.XLOOKUP(B40,'BASE DE EXCEL'!$C:$C,'BASE DE EXCEL'!P:P,"NO HAY REFERENCIA")</f>
        <v>6 a 10 días</v>
      </c>
      <c r="CW40" s="4">
        <f>_xlfn.XLOOKUP(B40,'BASE DE EXCEL'!$C:$C,'BASE DE EXCEL'!Q:Q,"NO HAY REFERENCIA")</f>
        <v>46113</v>
      </c>
      <c r="CX40" s="3">
        <f>_xlfn.XLOOKUP(B40,'BASE DE EXCEL'!$C:$C,'BASE DE EXCEL'!R:R,"NO HAY REFERENCIA")</f>
        <v>7</v>
      </c>
      <c r="CY40" s="3" t="str">
        <f>_xlfn.XLOOKUP(B40,'BASE DE EXCEL'!$C:$C,'BASE DE EXCEL'!S:S,"NO HAY REFERENCIA")</f>
        <v>6 a 10 días</v>
      </c>
      <c r="CZ40" s="3" t="str">
        <f>_xlfn.XLOOKUP(B40,'BASE DE EXCEL'!$C:$C,'BASE DE EXCEL'!T:T,"NO HAY REFERENCIA")</f>
        <v>Delayed</v>
      </c>
      <c r="DA40" s="3">
        <f>_xlfn.XLOOKUP(B40,'BASE DE EXCEL'!$C:$C,'BASE DE EXCEL'!U:U,"NO HAY REFERENCIA")</f>
        <v>8</v>
      </c>
      <c r="DB40" s="3" t="str">
        <f>_xlfn.XLOOKUP(B40,'BASE DE EXCEL'!$C:$C,'BASE DE EXCEL'!V:V,"NO HAY REFERENCIA")</f>
        <v>6 a 10 días</v>
      </c>
      <c r="DC40" s="3">
        <f>_xlfn.XLOOKUP(B40,'BASE DE EXCEL'!$C:$C,'BASE DE EXCEL'!W:W,"NO HAY REFERENCIA")</f>
        <v>11</v>
      </c>
      <c r="DD40" s="3" t="str">
        <f>_xlfn.XLOOKUP(B40,'BASE DE EXCEL'!$C:$C,'BASE DE EXCEL'!X:X,"NO HAY REFERENCIA")</f>
        <v>11 a 15 días</v>
      </c>
      <c r="DE40" s="3">
        <f>_xlfn.XLOOKUP(B40,'BASE DE EXCEL'!$C:$C,'BASE DE EXCEL'!Y:Y,"NO HAY REFERENCIA")</f>
        <v>1</v>
      </c>
      <c r="DF40" s="3" t="str">
        <f>_xlfn.XLOOKUP(B40,'BASE DE EXCEL'!$C:$C,'BASE DE EXCEL'!Z:Z,"NO HAY REFERENCIA")</f>
        <v>1 día o menos</v>
      </c>
      <c r="DG40" s="3">
        <f>_xlfn.XLOOKUP(B40,'BASE DE EXCEL'!$C:$C,'BASE DE EXCEL'!AA:AA,"NO HAY REFERENCIA")</f>
        <v>6</v>
      </c>
      <c r="DH40" s="3">
        <f>_xlfn.XLOOKUP(B40,'BASE DE EXCEL'!$C:$C,'BASE DE EXCEL'!AB:AB,"NO HAY REFERENCIA")</f>
        <v>1</v>
      </c>
      <c r="DI40" s="3" t="str">
        <f>_xlfn.XLOOKUP(B40,'BASE DE EXCEL'!$C:$C,'BASE DE EXCEL'!AC:AC,"NO HAY REFERENCIA")</f>
        <v>1 día o menos</v>
      </c>
      <c r="DJ40" s="4">
        <f>_xlfn.XLOOKUP(B40,'BASE DE EXCEL'!$C:$C,'BASE DE EXCEL'!AD:AD,"NO HAY REFERENCIA")</f>
        <v>46120</v>
      </c>
      <c r="DK40" s="3">
        <f>_xlfn.XLOOKUP(B40,'BASE DE EXCEL'!$C:$C,'BASE DE EXCEL'!AE:AE,"NO HAY REFERENCIA")</f>
        <v>7</v>
      </c>
      <c r="DL40" s="3">
        <f>_xlfn.XLOOKUP(B40,'BASE DE EXCEL'!$C:$C,'BASE DE EXCEL'!AF:AF,"NO HAY REFERENCIA")</f>
        <v>5</v>
      </c>
      <c r="DM40" s="4">
        <f>_xlfn.XLOOKUP(B40,'BASE DE EXCEL'!$C:$C,'BASE DE EXCEL'!AG:AG,"NO HAY REFERENCIA")</f>
        <v>46120</v>
      </c>
      <c r="DN40" s="4">
        <f>_xlfn.XLOOKUP(B40,'BASE DE EXCEL'!$C:$C,'BASE DE EXCEL'!AH:AH,"NO HAY REFERENCIA")</f>
        <v>46120</v>
      </c>
      <c r="DO40" s="3">
        <f>_xlfn.XLOOKUP(B40,'BASE DE EXCEL'!$C:$C,'BASE DE EXCEL'!AI:AI,"NO HAY REFERENCIA")</f>
        <v>0</v>
      </c>
      <c r="DP40" s="4" t="str">
        <f>_xlfn.XLOOKUP(B40,'BASE DE EXCEL'!$C:$C,'BASE DE EXCEL'!AJ:AJ,"NO HAY REFERENCIA")</f>
        <v>6 a 10 días</v>
      </c>
      <c r="DQ40" s="4">
        <f>_xlfn.XLOOKUP(B40,'BASE DE EXCEL'!$C:$C,'BASE DE EXCEL'!AK:AK,"NO HAY REFERENCIA")</f>
        <v>46120</v>
      </c>
      <c r="DR40" s="3">
        <f>_xlfn.XLOOKUP(B40,'BASE DE EXCEL'!$C:$C,'BASE DE EXCEL'!AL:AL,"NO HAY REFERENCIA")</f>
        <v>4</v>
      </c>
      <c r="DS40" s="3" t="str">
        <f>_xlfn.XLOOKUP(B40,'BASE DE EXCEL'!$C:$C,'BASE DE EXCEL'!AM:AM,"NO HAY REFERENCIA")</f>
        <v>4 a 5 días</v>
      </c>
      <c r="DT40" s="3" t="str">
        <f>_xlfn.XLOOKUP(B40,'BASE DE EXCEL'!$C:$C,'BASE DE EXCEL'!AN:AN,"NO HAY REFERENCIA")</f>
        <v>On Time</v>
      </c>
      <c r="DU40" s="3">
        <f>_xlfn.XLOOKUP(B40,'BASE DE EXCEL'!$C:$C,'BASE DE EXCEL'!AO:AO,"NO HAY REFERENCIA")</f>
        <v>1</v>
      </c>
      <c r="DV40" s="3" t="str">
        <f>_xlfn.XLOOKUP(B40,'BASE DE EXCEL'!$C:$C,'BASE DE EXCEL'!AP:AP,"NO HAY REFERENCIA")</f>
        <v>Es anterior</v>
      </c>
      <c r="DW40" s="3" t="str">
        <f>_xlfn.XLOOKUP(B40,'BASE DE EXCEL'!$C:$C,'BASE DE EXCEL'!AQ:AQ,"NO HAY REFERENCIA")</f>
        <v>A1</v>
      </c>
      <c r="DX40" s="3" t="str">
        <f>_xlfn.XLOOKUP(B40,'BASE DE EXCEL'!$C:$C,'BASE DE EXCEL'!AR:AR,"NO HAY REFERENCIA")</f>
        <v>ZULEIMA PEREZ RUIZ</v>
      </c>
      <c r="DY40" s="3">
        <f>_xlfn.XLOOKUP(B40,'BASE DE EXCEL'!$C:$C,'BASE DE EXCEL'!AS:AS,"NO HAY REFERENCIA")</f>
        <v>265457533</v>
      </c>
      <c r="DZ40" s="3" t="str">
        <f>_xlfn.XLOOKUP(B40,'BASE DE EXCEL'!$C:$C,'BASE DE EXCEL'!AT:AT,"NO HAY REFERENCIA")</f>
        <v>NULL</v>
      </c>
      <c r="EA40" s="3">
        <f>_xlfn.XLOOKUP(B40,'BASE DE EXCEL'!$C:$C,'BASE DE EXCEL'!AU:AU,"NO HAY REFERENCIA")</f>
        <v>6000168</v>
      </c>
      <c r="EB40" s="3" t="str">
        <f>_xlfn.XLOOKUP(B40,'BASE DE EXCEL'!$C:$C,'BASE DE EXCEL'!AV:AV,"NO HAY REFERENCIA")</f>
        <v>Importación</v>
      </c>
      <c r="EC40" s="3" t="str">
        <f>_xlfn.XLOOKUP(B40,'BASE DE EXCEL'!$C:$C,'BASE DE EXCEL'!AW:AW,"NO HAY REFERENCIA")</f>
        <v>INTERRUPTOR ELECTRICO CON ACCESORIOS (PUSHBUTTON PPB30 S+G N.O CABLE_BL 3.5M)</v>
      </c>
      <c r="ED40" s="3" t="str">
        <f>_xlfn.XLOOKUP(B40,'BASE DE EXCEL'!$C:$C,'BASE DE EXCEL'!AX:AX,"NO HAY REFERENCIA")</f>
        <v>SIN CLASIFICACION</v>
      </c>
      <c r="EE40" s="3">
        <f>_xlfn.XLOOKUP(B40,'BASE DE EXCEL'!$C:$C,'BASE DE EXCEL'!AY:AY,"NO HAY REFERENCIA")</f>
        <v>0</v>
      </c>
      <c r="EF40" s="3" t="str">
        <f>_xlfn.XLOOKUP(B40,'BASE DE EXCEL'!$C:$C,'BASE DE EXCEL'!AZ:AZ,"NO HAY REFERENCIA")</f>
        <v>Cargas de Importación</v>
      </c>
      <c r="EG40" s="3" t="str">
        <f>_xlfn.XLOOKUP(B40,'BASE DE EXCEL'!$C:$C,'BASE DE EXCEL'!BA:BA,"NO HAY REFERENCIA")</f>
        <v>INTERVET MEXICO SA DE CV</v>
      </c>
      <c r="EH40" s="3">
        <f>_xlfn.XLOOKUP(B40,'BASE DE EXCEL'!$C:$C,'BASE DE EXCEL'!BB:BB,"NO HAY REFERENCIA")</f>
        <v>0</v>
      </c>
      <c r="EI40" s="3" t="str">
        <f>_xlfn.XLOOKUP(B40,'BASE DE EXCEL'!$C:$C,'BASE DE EXCEL'!BC:BC,"NO HAY REFERENCIA")</f>
        <v>NINGUNO</v>
      </c>
      <c r="EJ40" s="3">
        <f>_xlfn.XLOOKUP(B40,'BASE DE EXCEL'!$C:$C,'BASE DE EXCEL'!BD:BD,"NO HAY REFERENCIA")</f>
        <v>0</v>
      </c>
      <c r="EK40" s="3" t="str">
        <f>_xlfn.XLOOKUP(B40,'BASE DE EXCEL'!$C:$C,'BASE DE EXCEL'!BE:BE,"NO HAY REFERENCIA")</f>
        <v>NINGUNO</v>
      </c>
      <c r="EL40" s="3" t="str">
        <f>_xlfn.XLOOKUP(B40,'BASE DE EXCEL'!$C:$C,'BASE DE EXCEL'!BF:BF,"NO HAY REFERENCIA")</f>
        <v>OTRO</v>
      </c>
      <c r="EM40" s="3" t="str">
        <f>_xlfn.XLOOKUP(B40,'BASE DE EXCEL'!$C:$C,'BASE DE EXCEL'!BG:BG,"NO HAY REFERENCIA")</f>
        <v>Verde</v>
      </c>
      <c r="EN40" s="3" t="str">
        <f>_xlfn.XLOOKUP(B40,'BASE DE EXCEL'!$C:$C,'BASE DE EXCEL'!BH:BH,"NO HAY REFERENCIA")</f>
        <v xml:space="preserve"> MLH TRANSPORTE, S.A. DE C.V.</v>
      </c>
      <c r="EO40" s="3" t="str">
        <f>_xlfn.XLOOKUP(B40,'BASE DE EXCEL'!$C:$C,'BASE DE EXCEL'!BI:BI,"NO HAY REFERENCIA")</f>
        <v>ECONOMICO 143</v>
      </c>
      <c r="EP40" s="3">
        <f>_xlfn.XLOOKUP(B40,'BASE DE EXCEL'!$C:$C,'BASE DE EXCEL'!BJ:BJ,"NO HAY REFERENCIA")</f>
        <v>0</v>
      </c>
      <c r="EQ40" s="3" t="str">
        <f>_xlfn.XLOOKUP(B40,'BASE DE EXCEL'!$C:$C,'BASE DE EXCEL'!BK:BK,"NO HAY REFERENCIA")</f>
        <v>IME850329RH2</v>
      </c>
      <c r="ER40" s="3">
        <f>_xlfn.XLOOKUP(B40,'BASE DE EXCEL'!$C:$C,'BASE DE EXCEL'!BL:BL,"NO HAY REFERENCIA")</f>
        <v>0</v>
      </c>
      <c r="ES40" s="3" t="str">
        <f>_xlfn.XLOOKUP(B40,'BASE DE EXCEL'!$C:$C,'BASE DE EXCEL'!BM:BM,"NO HAY REFERENCIA")</f>
        <v>00,01,99</v>
      </c>
      <c r="ET40" s="3" t="str">
        <f>_xlfn.XLOOKUP(B40,'BASE DE EXCEL'!$C:$C,'BASE DE EXCEL'!BN:BN,"NO HAY REFERENCIA")</f>
        <v>LOTES: IL20250101, IL20260101,LOTE: IL20260101,LOTE: IL20250101</v>
      </c>
      <c r="EU40" s="3">
        <f>_xlfn.XLOOKUP(B40,'BASE DE EXCEL'!$C:$C,'BASE DE EXCEL'!BO:BO,"NO HAY REFERENCIA")</f>
        <v>90</v>
      </c>
      <c r="EV40" s="3">
        <f>_xlfn.XLOOKUP(B40,'BASE DE EXCEL'!$C:$C,'BASE DE EXCEL'!BP:BP,"NO HAY REFERENCIA")</f>
        <v>114377.32</v>
      </c>
      <c r="EW40" s="3" t="str">
        <f>_xlfn.XLOOKUP(B40,'BASE DE EXCEL'!$C:$C,'BASE DE EXCEL'!BQ:BQ,"NO HAY REFERENCIA")</f>
        <v>KILO,KILO,PIEZA</v>
      </c>
      <c r="EX40" s="3">
        <f>_xlfn.XLOOKUP(B40,'BASE DE EXCEL'!$C:$C,'BASE DE EXCEL'!BR:BR,"NO HAY REFERENCIA")</f>
        <v>0</v>
      </c>
      <c r="EY40" s="3" t="str">
        <f>_xlfn.XLOOKUP(B40,'BASE DE EXCEL'!$C:$C,'BASE DE EXCEL'!BS:BS,"NO HAY REFERENCIA")</f>
        <v>ISRAEL (ESTADO DE)</v>
      </c>
      <c r="EZ40" s="3" t="str">
        <f>_xlfn.XLOOKUP(B40,'BASE DE EXCEL'!$C:$C,'BASE DE EXCEL'!BT:BT,"NO HAY REFERENCIA")</f>
        <v>PAISES BAJOS (REINO DE LOS) (HOLANDA)</v>
      </c>
      <c r="FA40" s="3" t="str">
        <f>_xlfn.XLOOKUP(B40,'BASE DE EXCEL'!$C:$C,'BASE DE EXCEL'!BU:BU,"NO HAY REFERENCIA")</f>
        <v>ISR</v>
      </c>
      <c r="FB40" s="3" t="str">
        <f>_xlfn.XLOOKUP(B40,'BASE DE EXCEL'!$C:$C,'BASE DE EXCEL'!BV:BV,"NO HAY REFERENCIA")</f>
        <v>ZYA</v>
      </c>
      <c r="FC40" s="3">
        <f>_xlfn.XLOOKUP(B40,QUERY!$C:$C,QUERY!D:D)</f>
        <v>430</v>
      </c>
      <c r="FD40" s="4">
        <f>_xlfn.XLOOKUP(B40,QUERY!$C:$C,QUERY!E:E)</f>
        <v>46111</v>
      </c>
      <c r="FE40" s="3">
        <f>_xlfn.XLOOKUP(B40,QUERY!$C:$C,QUERY!F:F)</f>
        <v>3</v>
      </c>
      <c r="FF40" s="4">
        <f>_xlfn.XLOOKUP(B40,QUERY!$C:$C,QUERY!G:G)</f>
        <v>46105</v>
      </c>
      <c r="FG40" s="4">
        <f>_xlfn.XLOOKUP(B40,QUERY!$C:$C,QUERY!H:H)</f>
        <v>46111</v>
      </c>
      <c r="FH40" s="3">
        <f>_xlfn.XLOOKUP(B40,QUERY!$C:$C,QUERY!I:I)</f>
        <v>4</v>
      </c>
      <c r="FI40" s="3" t="str">
        <f>_xlfn.XLOOKUP(B40,QUERY!$C:$C,QUERY!J:J)</f>
        <v>4 a 5 días</v>
      </c>
      <c r="FJ40" s="4">
        <f>_xlfn.XLOOKUP(B40,QUERY!$C:$C,QUERY!K:K)</f>
        <v>46112</v>
      </c>
      <c r="FK40" s="3">
        <f>_xlfn.XLOOKUP(B40,QUERY!$C:$C,QUERY!L:L)</f>
        <v>5</v>
      </c>
      <c r="FL40" s="3" t="str">
        <f>_xlfn.XLOOKUP(B40,QUERY!$C:$C,QUERY!M:M)</f>
        <v>4 a 5 días</v>
      </c>
      <c r="FM40" s="3">
        <f>_xlfn.XLOOKUP(B40,QUERY!$C:$C,QUERY!N:N)</f>
        <v>1</v>
      </c>
      <c r="FN40" s="3" t="str">
        <f>_xlfn.XLOOKUP(B40,QUERY!$C:$C,QUERY!O:O)</f>
        <v>1 día o menos</v>
      </c>
      <c r="FO40" s="3">
        <f>_xlfn.XLOOKUP(B40,QUERY!$C:$C,QUERY!P:P)</f>
        <v>1</v>
      </c>
      <c r="FP40" s="3">
        <f>_xlfn.XLOOKUP(B40,QUERY!$C:$C,QUERY!Q:Q)</f>
        <v>1</v>
      </c>
      <c r="FQ40" s="3" t="str">
        <f>_xlfn.XLOOKUP(B40,QUERY!$C:$C,QUERY!R:R)</f>
        <v>1 día o menos</v>
      </c>
      <c r="FR40" s="4">
        <f>_xlfn.XLOOKUP(B40,QUERY!$C:$C,QUERY!S:S)</f>
        <v>46113</v>
      </c>
      <c r="FS40" s="3">
        <f>_xlfn.XLOOKUP(B40,QUERY!$C:$C,QUERY!T:T)</f>
        <v>6</v>
      </c>
      <c r="FT40" s="3" t="str">
        <f>_xlfn.XLOOKUP(B40,QUERY!$C:$C,QUERY!U:U)</f>
        <v>6 a 10 días</v>
      </c>
      <c r="FU40" s="3">
        <f>_xlfn.XLOOKUP(B40,QUERY!$C:$C,QUERY!V:V)</f>
        <v>11</v>
      </c>
      <c r="FV40" s="3" t="str">
        <f>_xlfn.XLOOKUP(B40,QUERY!$C:$C,QUERY!W:W)</f>
        <v>11 a 15 días</v>
      </c>
      <c r="FW40" s="4">
        <f>_xlfn.XLOOKUP(B40,QUERY!$C:$C,QUERY!X:X)</f>
        <v>46120</v>
      </c>
      <c r="FX40" s="3">
        <f>_xlfn.XLOOKUP(B40,QUERY!$C:$C,QUERY!Y:Y)</f>
        <v>5</v>
      </c>
      <c r="FY40" s="3">
        <f>_xlfn.XLOOKUP(B40,QUERY!$C:$C,QUERY!Z:Z)</f>
        <v>5</v>
      </c>
      <c r="FZ40" s="4" t="str">
        <f>_xlfn.XLOOKUP(B40,QUERY!$C:$C,QUERY!AA:AA)</f>
        <v>6 a 10 días</v>
      </c>
      <c r="GA40" s="4">
        <f>_xlfn.XLOOKUP(B40,QUERY!$C:$C,QUERY!AB:AB)</f>
        <v>46120</v>
      </c>
      <c r="GB40" s="4">
        <f>_xlfn.XLOOKUP(B40,QUERY!$C:$C,QUERY!AC:AC)</f>
        <v>46120</v>
      </c>
      <c r="GC40" s="3">
        <f>_xlfn.XLOOKUP(B40,QUERY!$C:$C,QUERY!AD:AD)</f>
        <v>0</v>
      </c>
      <c r="GD40" s="4">
        <f>_xlfn.XLOOKUP(B40,QUERY!$C:$C,QUERY!AE:AE)</f>
        <v>46120</v>
      </c>
      <c r="GE40" s="3">
        <f>_xlfn.XLOOKUP(B40,QUERY!$C:$C,QUERY!AF:AF)</f>
        <v>1</v>
      </c>
      <c r="GF40" s="4" t="str">
        <f>_xlfn.XLOOKUP(B40,QUERY!$C:$C,QUERY!AG:AG)</f>
        <v>Es anterior</v>
      </c>
      <c r="GG40" s="3" t="str">
        <f>_xlfn.XLOOKUP(B40,QUERY!$C:$C,QUERY!AH:AH)</f>
        <v>A1</v>
      </c>
      <c r="GH40" s="3" t="str">
        <f>_xlfn.XLOOKUP(B40,QUERY!$C:$C,QUERY!AI:AI)</f>
        <v>ZULEIMA PEREZ RUIZ</v>
      </c>
      <c r="GI40" s="3">
        <f>_xlfn.XLOOKUP(B40,QUERY!$C:$C,QUERY!AJ:AJ)</f>
        <v>265457533</v>
      </c>
      <c r="GJ40" s="3" t="str">
        <f>_xlfn.XLOOKUP(B40,QUERY!$C:$C,QUERY!AK:AK)</f>
        <v>NULL</v>
      </c>
      <c r="GK40" s="3">
        <f>_xlfn.XLOOKUP(B40,QUERY!$C:$C,QUERY!AL:AL)</f>
        <v>6000168</v>
      </c>
      <c r="GL40" s="3" t="str">
        <f>_xlfn.XLOOKUP(B40,QUERY!$C:$C,QUERY!AM:AM)</f>
        <v>Importación</v>
      </c>
      <c r="GM40" s="3" t="str">
        <f>_xlfn.XLOOKUP(B40,QUERY!$C:$C,QUERY!AN:AN)</f>
        <v>INTERRUPTOR ELECTRICO CON ACCESORIOS (PUSHBUTTON PPB30 S+G N.O CABLE_BL 3.5M)</v>
      </c>
      <c r="GN40" s="3" t="str">
        <f>_xlfn.XLOOKUP(B40,QUERY!$C:$C,QUERY!AO:AO)</f>
        <v>SIN CLASIFICACION</v>
      </c>
      <c r="GO40" s="3">
        <f>_xlfn.XLOOKUP(B40,QUERY!$C:$C,QUERY!AP:AP)</f>
        <v>0</v>
      </c>
      <c r="GP40" s="3" t="str">
        <f>_xlfn.XLOOKUP(B40,QUERY!$C:$C,QUERY!AQ:AQ)</f>
        <v>Cargas de Importación</v>
      </c>
      <c r="GQ40" s="3" t="str">
        <f>_xlfn.XLOOKUP(B40,QUERY!$C:$C,QUERY!AR:AR)</f>
        <v>INTERVET MEXICO SA DE CV</v>
      </c>
      <c r="GR40" s="3">
        <f>_xlfn.XLOOKUP(B40,QUERY!$C:$C,QUERY!AS:AS)</f>
        <v>0</v>
      </c>
      <c r="GS40" s="3" t="str">
        <f>_xlfn.XLOOKUP(B40,QUERY!$C:$C,QUERY!AT:AT)</f>
        <v>NINGUNO</v>
      </c>
      <c r="GT40" s="3">
        <f>_xlfn.XLOOKUP(B40,QUERY!$C:$C,QUERY!AU:AU)</f>
        <v>0</v>
      </c>
      <c r="GU40" s="3" t="str">
        <f>_xlfn.XLOOKUP(B40,QUERY!$C:$C,QUERY!AV:AV)</f>
        <v>NINGUNO</v>
      </c>
      <c r="GV40" s="3" t="str">
        <f>_xlfn.XLOOKUP(B40,QUERY!$C:$C,QUERY!AW:AW)</f>
        <v>OTRO</v>
      </c>
      <c r="GW40" s="3" t="str">
        <f>_xlfn.XLOOKUP(B40,QUERY!$C:$C,QUERY!AX:AX)</f>
        <v>Verde</v>
      </c>
      <c r="GX40" s="3" t="str">
        <f>_xlfn.XLOOKUP(B40,QUERY!$C:$C,QUERY!AY:AY)</f>
        <v xml:space="preserve"> MLH TRANSPORTE, S.A. DE C.V.</v>
      </c>
      <c r="GY40" s="3" t="str">
        <f>_xlfn.XLOOKUP(B40,QUERY!$C:$C,QUERY!AZ:AZ)</f>
        <v>ECONOMICO 143</v>
      </c>
      <c r="GZ40" s="3">
        <f>_xlfn.XLOOKUP(B40,QUERY!$C:$C,QUERY!BA:BA)</f>
        <v>0</v>
      </c>
      <c r="HA40" s="3" t="str">
        <f>_xlfn.XLOOKUP(B40,QUERY!$C:$C,QUERY!BB:BB)</f>
        <v>IME850329RH2</v>
      </c>
      <c r="HB40" s="3">
        <f>_xlfn.XLOOKUP(B40,QUERY!$C:$C,QUERY!BC:BC)</f>
        <v>0</v>
      </c>
      <c r="HC40" s="3" t="str">
        <f>_xlfn.XLOOKUP(B40,QUERY!$C:$C,QUERY!BD:BD)</f>
        <v>00,01,99</v>
      </c>
      <c r="HD40" s="3" t="str">
        <f>_xlfn.XLOOKUP(B40,QUERY!$C:$C,QUERY!BE:BE)</f>
        <v>LOTES: IL20250101, IL20260101,LOTE: IL20260101,LOTE: IL20250101</v>
      </c>
      <c r="HE40" s="3">
        <f>_xlfn.XLOOKUP(B40,QUERY!$C:$C,QUERY!BF:BF)</f>
        <v>90</v>
      </c>
      <c r="HF40" s="3" t="str">
        <f>_xlfn.XLOOKUP(B40,QUERY!$C:$C,QUERY!BG:BG)</f>
        <v xml:space="preserve"> 114377.32</v>
      </c>
      <c r="HG40" s="3" t="str">
        <f>_xlfn.XLOOKUP(B40,QUERY!$C:$C,QUERY!BH:BH)</f>
        <v>KILO,KILO,PIEZA</v>
      </c>
      <c r="HH40" s="3">
        <f>_xlfn.XLOOKUP(B40,QUERY!$C:$C,QUERY!BI:BI)</f>
        <v>0</v>
      </c>
      <c r="HI40" s="3" t="str">
        <f>_xlfn.XLOOKUP(B40,QUERY!$C:$C,QUERY!BJ:BJ)</f>
        <v>ISRAEL (ESTADO DE)</v>
      </c>
      <c r="HJ40" s="3" t="str">
        <f>_xlfn.XLOOKUP(B40,QUERY!$C:$C,QUERY!BK:BK)</f>
        <v>PAISES BAJOS (REINO DE LOS) (HOLANDA)</v>
      </c>
      <c r="HK40" s="3" t="str">
        <f>_xlfn.XLOOKUP(B40,QUERY!$C:$C,QUERY!BL:BL)</f>
        <v>ISR</v>
      </c>
      <c r="HL40" s="3" t="str">
        <f>_xlfn.XLOOKUP(B40,QUERY!$C:$C,QUERY!BM:BM)</f>
        <v>ZYA</v>
      </c>
      <c r="HM40" s="3">
        <f>_xlfn.XLOOKUP(B40,QUERY!$C:$C,QUERY!BN:BN)</f>
        <v>114376</v>
      </c>
      <c r="HN40" s="3" t="str">
        <f>_xlfn.XLOOKUP(B40,QUERY!$C:$C,QUERY!BO:BO)</f>
        <v>915.00</v>
      </c>
      <c r="HO40" s="3" t="str">
        <f>_xlfn.XLOOKUP(B40,QUERY!$C:$C,QUERY!BP:BP)</f>
        <v>18446.00</v>
      </c>
      <c r="HP40" s="3" t="str">
        <f>_xlfn.XLOOKUP(B40,QUERY!$C:$C,QUERY!BQ:BQ)</f>
        <v>NULL</v>
      </c>
      <c r="HQ40" s="3" t="str">
        <f>_xlfn.XLOOKUP(B40,QUERY!$C:$C,QUERY!BR:BR)</f>
        <v>50747.92</v>
      </c>
      <c r="HR40" s="3">
        <f>_xlfn.XLOOKUP(B40,QUERY!$C:$C,QUERY!BS:BS)</f>
        <v>0</v>
      </c>
      <c r="HS40" s="3">
        <f>_xlfn.XLOOKUP(B40,QUERY!$C:$C,QUERY!BT:BT)</f>
        <v>0</v>
      </c>
      <c r="HT40" s="3" t="str">
        <f>_xlfn.XLOOKUP(B40,QUERY!$C:$C,QUERY!A:A)</f>
        <v>VERACRUZ</v>
      </c>
      <c r="HU40" s="3" t="str">
        <f>_xlfn.XLOOKUP(B40,QUERY!$C:$C,QUERY!B:B)</f>
        <v>MARÍTIMO VERACRUZ</v>
      </c>
    </row>
    <row r="41" spans="1:229" x14ac:dyDescent="0.25">
      <c r="A41" s="3" t="s">
        <v>90</v>
      </c>
      <c r="B41" s="12" t="s">
        <v>193</v>
      </c>
      <c r="C41" s="3">
        <v>3942</v>
      </c>
      <c r="D41" s="3">
        <v>6000168</v>
      </c>
      <c r="E41" s="3"/>
      <c r="F41" s="3" t="s">
        <v>92</v>
      </c>
      <c r="G41" s="3" t="s">
        <v>93</v>
      </c>
      <c r="H41" s="3">
        <v>16</v>
      </c>
      <c r="I41" s="3">
        <v>3438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430</v>
      </c>
      <c r="S41" s="3"/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199</v>
      </c>
      <c r="AB41" s="3"/>
      <c r="AC41" s="3">
        <v>21317</v>
      </c>
      <c r="AD41" s="3">
        <v>1332.3125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/>
      <c r="AP41" s="3" t="s">
        <v>98</v>
      </c>
      <c r="AQ41" s="3">
        <v>210363787</v>
      </c>
      <c r="AR41" s="3" t="s">
        <v>99</v>
      </c>
      <c r="AS41" s="3" t="s">
        <v>100</v>
      </c>
      <c r="AT41" s="3">
        <v>0</v>
      </c>
      <c r="AU41" s="3">
        <v>0</v>
      </c>
      <c r="AV41" s="3">
        <v>0</v>
      </c>
      <c r="AW41" s="3">
        <v>90189099</v>
      </c>
      <c r="AX41" s="3">
        <v>99</v>
      </c>
      <c r="AY41" s="3">
        <v>16</v>
      </c>
      <c r="AZ41" s="3">
        <v>16</v>
      </c>
      <c r="BA41" s="3" t="s">
        <v>103</v>
      </c>
      <c r="BB41" s="3"/>
      <c r="BC41" s="3" t="s">
        <v>197</v>
      </c>
      <c r="BD41" s="3" t="s">
        <v>105</v>
      </c>
      <c r="BE41" s="3"/>
      <c r="BF41" s="3"/>
      <c r="BG41" s="5"/>
      <c r="BH41" s="3"/>
      <c r="BI41" s="3"/>
      <c r="BJ41" s="3"/>
      <c r="BK41" s="3" t="s">
        <v>198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 t="s">
        <v>192</v>
      </c>
      <c r="CF41" s="3">
        <v>0</v>
      </c>
      <c r="CG41" s="3">
        <v>0</v>
      </c>
      <c r="CH41" s="3">
        <v>0</v>
      </c>
      <c r="CI41" s="3" t="s">
        <v>112</v>
      </c>
      <c r="CJ41" s="3" t="s">
        <v>112</v>
      </c>
      <c r="CK41" s="3">
        <f>_xlfn.XLOOKUP($B$2,'BASE DE EXCEL'!C:C,'BASE DE EXCEL'!D:D,"NO HAY REFERENCIA")</f>
        <v>470</v>
      </c>
      <c r="CL41" s="5">
        <f>_xlfn.XLOOKUP($B$2,'BASE DE EXCEL'!$C:$C,'BASE DE EXCEL'!F:F,"NO HAY REFERENCIA")</f>
        <v>3</v>
      </c>
      <c r="CM41" s="4">
        <f>_xlfn.XLOOKUP($B$2,'BASE DE EXCEL'!$C:$C,'BASE DE EXCEL'!G:G,"NO HAY REFERENCIA")</f>
        <v>46080</v>
      </c>
      <c r="CN41" s="4">
        <f>_xlfn.XLOOKUP($B$2,'BASE DE EXCEL'!$C:$C,'BASE DE EXCEL'!H:H,"NO HAY REFERENCIA")</f>
        <v>46086</v>
      </c>
      <c r="CO41" s="3">
        <f>_xlfn.XLOOKUP($B$2,'BASE DE EXCEL'!$C:$C,'BASE DE EXCEL'!I:I,"NO HAY REFERENCIA")</f>
        <v>4</v>
      </c>
      <c r="CP41" s="3" t="str">
        <f>_xlfn.XLOOKUP($B$2,'BASE DE EXCEL'!$C:$C,'BASE DE EXCEL'!J:J,"NO HAY REFERENCIA")</f>
        <v>4 a 5 días</v>
      </c>
      <c r="CQ41" s="4">
        <f>_xlfn.XLOOKUP($B$2,'BASE DE EXCEL'!$C:$C,'BASE DE EXCEL'!K:K,"NO HAY REFERENCIA")</f>
        <v>46087</v>
      </c>
      <c r="CR41" s="3">
        <f>_xlfn.XLOOKUP($B$2,'BASE DE EXCEL'!$C:$C,'BASE DE EXCEL'!L:L,"NO HAY REFERENCIA")</f>
        <v>5</v>
      </c>
      <c r="CS41" s="3">
        <f>_xlfn.XLOOKUP($B$2,'BASE DE EXCEL'!$C:$C,'BASE DE EXCEL'!M:M,"NO HAY REFERENCIA")</f>
        <v>6</v>
      </c>
      <c r="CT41" s="3" t="str">
        <f>_xlfn.XLOOKUP($B$2,'BASE DE EXCEL'!$C:$C,'BASE DE EXCEL'!N:N,"NO HAY REFERENCIA")</f>
        <v>6 a 10 días</v>
      </c>
      <c r="CU41" s="3" t="str">
        <f>_xlfn.XLOOKUP($B$2,'BASE DE EXCEL'!$C:$C,'BASE DE EXCEL'!O:O,"NO HAY REFERENCIA")</f>
        <v>On Time</v>
      </c>
      <c r="CV41" s="3" t="str">
        <f>_xlfn.XLOOKUP(B41,'BASE DE EXCEL'!$C:$C,'BASE DE EXCEL'!P:P,"NO HAY REFERENCIA")</f>
        <v>6 a 10 días</v>
      </c>
      <c r="CW41" s="4">
        <f>_xlfn.XLOOKUP(B41,'BASE DE EXCEL'!$C:$C,'BASE DE EXCEL'!Q:Q,"NO HAY REFERENCIA")</f>
        <v>46113</v>
      </c>
      <c r="CX41" s="3">
        <f>_xlfn.XLOOKUP(B41,'BASE DE EXCEL'!$C:$C,'BASE DE EXCEL'!R:R,"NO HAY REFERENCIA")</f>
        <v>7</v>
      </c>
      <c r="CY41" s="3" t="str">
        <f>_xlfn.XLOOKUP(B41,'BASE DE EXCEL'!$C:$C,'BASE DE EXCEL'!S:S,"NO HAY REFERENCIA")</f>
        <v>6 a 10 días</v>
      </c>
      <c r="CZ41" s="3" t="str">
        <f>_xlfn.XLOOKUP(B41,'BASE DE EXCEL'!$C:$C,'BASE DE EXCEL'!T:T,"NO HAY REFERENCIA")</f>
        <v>Delayed</v>
      </c>
      <c r="DA41" s="3">
        <f>_xlfn.XLOOKUP(B41,'BASE DE EXCEL'!$C:$C,'BASE DE EXCEL'!U:U,"NO HAY REFERENCIA")</f>
        <v>8</v>
      </c>
      <c r="DB41" s="3" t="str">
        <f>_xlfn.XLOOKUP(B41,'BASE DE EXCEL'!$C:$C,'BASE DE EXCEL'!V:V,"NO HAY REFERENCIA")</f>
        <v>6 a 10 días</v>
      </c>
      <c r="DC41" s="3">
        <f>_xlfn.XLOOKUP(B41,'BASE DE EXCEL'!$C:$C,'BASE DE EXCEL'!W:W,"NO HAY REFERENCIA")</f>
        <v>11</v>
      </c>
      <c r="DD41" s="3" t="str">
        <f>_xlfn.XLOOKUP(B41,'BASE DE EXCEL'!$C:$C,'BASE DE EXCEL'!X:X,"NO HAY REFERENCIA")</f>
        <v>11 a 15 días</v>
      </c>
      <c r="DE41" s="3">
        <f>_xlfn.XLOOKUP(B41,'BASE DE EXCEL'!$C:$C,'BASE DE EXCEL'!Y:Y,"NO HAY REFERENCIA")</f>
        <v>1</v>
      </c>
      <c r="DF41" s="3" t="str">
        <f>_xlfn.XLOOKUP(B41,'BASE DE EXCEL'!$C:$C,'BASE DE EXCEL'!Z:Z,"NO HAY REFERENCIA")</f>
        <v>1 día o menos</v>
      </c>
      <c r="DG41" s="3">
        <f>_xlfn.XLOOKUP(B41,'BASE DE EXCEL'!$C:$C,'BASE DE EXCEL'!AA:AA,"NO HAY REFERENCIA")</f>
        <v>6</v>
      </c>
      <c r="DH41" s="3">
        <f>_xlfn.XLOOKUP(B41,'BASE DE EXCEL'!$C:$C,'BASE DE EXCEL'!AB:AB,"NO HAY REFERENCIA")</f>
        <v>1</v>
      </c>
      <c r="DI41" s="3" t="str">
        <f>_xlfn.XLOOKUP(B41,'BASE DE EXCEL'!$C:$C,'BASE DE EXCEL'!AC:AC,"NO HAY REFERENCIA")</f>
        <v>1 día o menos</v>
      </c>
      <c r="DJ41" s="4">
        <f>_xlfn.XLOOKUP(B41,'BASE DE EXCEL'!$C:$C,'BASE DE EXCEL'!AD:AD,"NO HAY REFERENCIA")</f>
        <v>46120</v>
      </c>
      <c r="DK41" s="3">
        <f>_xlfn.XLOOKUP(B41,'BASE DE EXCEL'!$C:$C,'BASE DE EXCEL'!AE:AE,"NO HAY REFERENCIA")</f>
        <v>7</v>
      </c>
      <c r="DL41" s="3">
        <f>_xlfn.XLOOKUP(B41,'BASE DE EXCEL'!$C:$C,'BASE DE EXCEL'!AF:AF,"NO HAY REFERENCIA")</f>
        <v>5</v>
      </c>
      <c r="DM41" s="4">
        <f>_xlfn.XLOOKUP(B41,'BASE DE EXCEL'!$C:$C,'BASE DE EXCEL'!AG:AG,"NO HAY REFERENCIA")</f>
        <v>46120</v>
      </c>
      <c r="DN41" s="4">
        <f>_xlfn.XLOOKUP(B41,'BASE DE EXCEL'!$C:$C,'BASE DE EXCEL'!AH:AH,"NO HAY REFERENCIA")</f>
        <v>46120</v>
      </c>
      <c r="DO41" s="3">
        <f>_xlfn.XLOOKUP(B41,'BASE DE EXCEL'!$C:$C,'BASE DE EXCEL'!AI:AI,"NO HAY REFERENCIA")</f>
        <v>0</v>
      </c>
      <c r="DP41" s="4" t="str">
        <f>_xlfn.XLOOKUP(B41,'BASE DE EXCEL'!$C:$C,'BASE DE EXCEL'!AJ:AJ,"NO HAY REFERENCIA")</f>
        <v>6 a 10 días</v>
      </c>
      <c r="DQ41" s="4">
        <f>_xlfn.XLOOKUP(B41,'BASE DE EXCEL'!$C:$C,'BASE DE EXCEL'!AK:AK,"NO HAY REFERENCIA")</f>
        <v>46120</v>
      </c>
      <c r="DR41" s="3">
        <f>_xlfn.XLOOKUP(B41,'BASE DE EXCEL'!$C:$C,'BASE DE EXCEL'!AL:AL,"NO HAY REFERENCIA")</f>
        <v>4</v>
      </c>
      <c r="DS41" s="3" t="str">
        <f>_xlfn.XLOOKUP(B41,'BASE DE EXCEL'!$C:$C,'BASE DE EXCEL'!AM:AM,"NO HAY REFERENCIA")</f>
        <v>4 a 5 días</v>
      </c>
      <c r="DT41" s="3" t="str">
        <f>_xlfn.XLOOKUP(B41,'BASE DE EXCEL'!$C:$C,'BASE DE EXCEL'!AN:AN,"NO HAY REFERENCIA")</f>
        <v>On Time</v>
      </c>
      <c r="DU41" s="3">
        <f>_xlfn.XLOOKUP(B41,'BASE DE EXCEL'!$C:$C,'BASE DE EXCEL'!AO:AO,"NO HAY REFERENCIA")</f>
        <v>1</v>
      </c>
      <c r="DV41" s="3" t="str">
        <f>_xlfn.XLOOKUP(B41,'BASE DE EXCEL'!$C:$C,'BASE DE EXCEL'!AP:AP,"NO HAY REFERENCIA")</f>
        <v>Es anterior</v>
      </c>
      <c r="DW41" s="3" t="str">
        <f>_xlfn.XLOOKUP(B41,'BASE DE EXCEL'!$C:$C,'BASE DE EXCEL'!AQ:AQ,"NO HAY REFERENCIA")</f>
        <v>A1</v>
      </c>
      <c r="DX41" s="3" t="str">
        <f>_xlfn.XLOOKUP(B41,'BASE DE EXCEL'!$C:$C,'BASE DE EXCEL'!AR:AR,"NO HAY REFERENCIA")</f>
        <v>ZULEIMA PEREZ RUIZ</v>
      </c>
      <c r="DY41" s="3">
        <f>_xlfn.XLOOKUP(B41,'BASE DE EXCEL'!$C:$C,'BASE DE EXCEL'!AS:AS,"NO HAY REFERENCIA")</f>
        <v>265457533</v>
      </c>
      <c r="DZ41" s="3" t="str">
        <f>_xlfn.XLOOKUP(B41,'BASE DE EXCEL'!$C:$C,'BASE DE EXCEL'!AT:AT,"NO HAY REFERENCIA")</f>
        <v>NULL</v>
      </c>
      <c r="EA41" s="3">
        <f>_xlfn.XLOOKUP(B41,'BASE DE EXCEL'!$C:$C,'BASE DE EXCEL'!AU:AU,"NO HAY REFERENCIA")</f>
        <v>6000168</v>
      </c>
      <c r="EB41" s="3" t="str">
        <f>_xlfn.XLOOKUP(B41,'BASE DE EXCEL'!$C:$C,'BASE DE EXCEL'!AV:AV,"NO HAY REFERENCIA")</f>
        <v>Importación</v>
      </c>
      <c r="EC41" s="3" t="str">
        <f>_xlfn.XLOOKUP(B41,'BASE DE EXCEL'!$C:$C,'BASE DE EXCEL'!AW:AW,"NO HAY REFERENCIA")</f>
        <v>INTERRUPTOR ELECTRICO CON ACCESORIOS (PUSHBUTTON PPB30 S+G N.O CABLE_BL 3.5M)</v>
      </c>
      <c r="ED41" s="3" t="str">
        <f>_xlfn.XLOOKUP(B41,'BASE DE EXCEL'!$C:$C,'BASE DE EXCEL'!AX:AX,"NO HAY REFERENCIA")</f>
        <v>SIN CLASIFICACION</v>
      </c>
      <c r="EE41" s="3">
        <f>_xlfn.XLOOKUP(B41,'BASE DE EXCEL'!$C:$C,'BASE DE EXCEL'!AY:AY,"NO HAY REFERENCIA")</f>
        <v>0</v>
      </c>
      <c r="EF41" s="3" t="str">
        <f>_xlfn.XLOOKUP(B41,'BASE DE EXCEL'!$C:$C,'BASE DE EXCEL'!AZ:AZ,"NO HAY REFERENCIA")</f>
        <v>Cargas de Importación</v>
      </c>
      <c r="EG41" s="3" t="str">
        <f>_xlfn.XLOOKUP(B41,'BASE DE EXCEL'!$C:$C,'BASE DE EXCEL'!BA:BA,"NO HAY REFERENCIA")</f>
        <v>INTERVET MEXICO SA DE CV</v>
      </c>
      <c r="EH41" s="3">
        <f>_xlfn.XLOOKUP(B41,'BASE DE EXCEL'!$C:$C,'BASE DE EXCEL'!BB:BB,"NO HAY REFERENCIA")</f>
        <v>0</v>
      </c>
      <c r="EI41" s="3" t="str">
        <f>_xlfn.XLOOKUP(B41,'BASE DE EXCEL'!$C:$C,'BASE DE EXCEL'!BC:BC,"NO HAY REFERENCIA")</f>
        <v>NINGUNO</v>
      </c>
      <c r="EJ41" s="3">
        <f>_xlfn.XLOOKUP(B41,'BASE DE EXCEL'!$C:$C,'BASE DE EXCEL'!BD:BD,"NO HAY REFERENCIA")</f>
        <v>0</v>
      </c>
      <c r="EK41" s="3" t="str">
        <f>_xlfn.XLOOKUP(B41,'BASE DE EXCEL'!$C:$C,'BASE DE EXCEL'!BE:BE,"NO HAY REFERENCIA")</f>
        <v>NINGUNO</v>
      </c>
      <c r="EL41" s="3" t="str">
        <f>_xlfn.XLOOKUP(B41,'BASE DE EXCEL'!$C:$C,'BASE DE EXCEL'!BF:BF,"NO HAY REFERENCIA")</f>
        <v>OTRO</v>
      </c>
      <c r="EM41" s="3" t="str">
        <f>_xlfn.XLOOKUP(B41,'BASE DE EXCEL'!$C:$C,'BASE DE EXCEL'!BG:BG,"NO HAY REFERENCIA")</f>
        <v>Verde</v>
      </c>
      <c r="EN41" s="3" t="str">
        <f>_xlfn.XLOOKUP(B41,'BASE DE EXCEL'!$C:$C,'BASE DE EXCEL'!BH:BH,"NO HAY REFERENCIA")</f>
        <v xml:space="preserve"> MLH TRANSPORTE, S.A. DE C.V.</v>
      </c>
      <c r="EO41" s="3" t="str">
        <f>_xlfn.XLOOKUP(B41,'BASE DE EXCEL'!$C:$C,'BASE DE EXCEL'!BI:BI,"NO HAY REFERENCIA")</f>
        <v>ECONOMICO 143</v>
      </c>
      <c r="EP41" s="3">
        <f>_xlfn.XLOOKUP(B41,'BASE DE EXCEL'!$C:$C,'BASE DE EXCEL'!BJ:BJ,"NO HAY REFERENCIA")</f>
        <v>0</v>
      </c>
      <c r="EQ41" s="3" t="str">
        <f>_xlfn.XLOOKUP(B41,'BASE DE EXCEL'!$C:$C,'BASE DE EXCEL'!BK:BK,"NO HAY REFERENCIA")</f>
        <v>IME850329RH2</v>
      </c>
      <c r="ER41" s="3">
        <f>_xlfn.XLOOKUP(B41,'BASE DE EXCEL'!$C:$C,'BASE DE EXCEL'!BL:BL,"NO HAY REFERENCIA")</f>
        <v>0</v>
      </c>
      <c r="ES41" s="3" t="str">
        <f>_xlfn.XLOOKUP(B41,'BASE DE EXCEL'!$C:$C,'BASE DE EXCEL'!BM:BM,"NO HAY REFERENCIA")</f>
        <v>00,01,99</v>
      </c>
      <c r="ET41" s="3" t="str">
        <f>_xlfn.XLOOKUP(B41,'BASE DE EXCEL'!$C:$C,'BASE DE EXCEL'!BN:BN,"NO HAY REFERENCIA")</f>
        <v>LOTES: IL20250101, IL20260101,LOTE: IL20260101,LOTE: IL20250101</v>
      </c>
      <c r="EU41" s="3">
        <f>_xlfn.XLOOKUP(B41,'BASE DE EXCEL'!$C:$C,'BASE DE EXCEL'!BO:BO,"NO HAY REFERENCIA")</f>
        <v>90</v>
      </c>
      <c r="EV41" s="3">
        <f>_xlfn.XLOOKUP(B41,'BASE DE EXCEL'!$C:$C,'BASE DE EXCEL'!BP:BP,"NO HAY REFERENCIA")</f>
        <v>114377.32</v>
      </c>
      <c r="EW41" s="3" t="str">
        <f>_xlfn.XLOOKUP(B41,'BASE DE EXCEL'!$C:$C,'BASE DE EXCEL'!BQ:BQ,"NO HAY REFERENCIA")</f>
        <v>KILO,KILO,PIEZA</v>
      </c>
      <c r="EX41" s="3">
        <f>_xlfn.XLOOKUP(B41,'BASE DE EXCEL'!$C:$C,'BASE DE EXCEL'!BR:BR,"NO HAY REFERENCIA")</f>
        <v>0</v>
      </c>
      <c r="EY41" s="3" t="str">
        <f>_xlfn.XLOOKUP(B41,'BASE DE EXCEL'!$C:$C,'BASE DE EXCEL'!BS:BS,"NO HAY REFERENCIA")</f>
        <v>ISRAEL (ESTADO DE)</v>
      </c>
      <c r="EZ41" s="3" t="str">
        <f>_xlfn.XLOOKUP(B41,'BASE DE EXCEL'!$C:$C,'BASE DE EXCEL'!BT:BT,"NO HAY REFERENCIA")</f>
        <v>PAISES BAJOS (REINO DE LOS) (HOLANDA)</v>
      </c>
      <c r="FA41" s="3" t="str">
        <f>_xlfn.XLOOKUP(B41,'BASE DE EXCEL'!$C:$C,'BASE DE EXCEL'!BU:BU,"NO HAY REFERENCIA")</f>
        <v>ISR</v>
      </c>
      <c r="FB41" s="3" t="str">
        <f>_xlfn.XLOOKUP(B41,'BASE DE EXCEL'!$C:$C,'BASE DE EXCEL'!BV:BV,"NO HAY REFERENCIA")</f>
        <v>ZYA</v>
      </c>
      <c r="FC41" s="3">
        <f>_xlfn.XLOOKUP(B41,QUERY!$C:$C,QUERY!D:D)</f>
        <v>430</v>
      </c>
      <c r="FD41" s="4">
        <f>_xlfn.XLOOKUP(B41,QUERY!$C:$C,QUERY!E:E)</f>
        <v>46111</v>
      </c>
      <c r="FE41" s="3">
        <f>_xlfn.XLOOKUP(B41,QUERY!$C:$C,QUERY!F:F)</f>
        <v>3</v>
      </c>
      <c r="FF41" s="4">
        <f>_xlfn.XLOOKUP(B41,QUERY!$C:$C,QUERY!G:G)</f>
        <v>46105</v>
      </c>
      <c r="FG41" s="4">
        <f>_xlfn.XLOOKUP(B41,QUERY!$C:$C,QUERY!H:H)</f>
        <v>46111</v>
      </c>
      <c r="FH41" s="3">
        <f>_xlfn.XLOOKUP(B41,QUERY!$C:$C,QUERY!I:I)</f>
        <v>4</v>
      </c>
      <c r="FI41" s="3" t="str">
        <f>_xlfn.XLOOKUP(B41,QUERY!$C:$C,QUERY!J:J)</f>
        <v>4 a 5 días</v>
      </c>
      <c r="FJ41" s="4">
        <f>_xlfn.XLOOKUP(B41,QUERY!$C:$C,QUERY!K:K)</f>
        <v>46112</v>
      </c>
      <c r="FK41" s="3">
        <f>_xlfn.XLOOKUP(B41,QUERY!$C:$C,QUERY!L:L)</f>
        <v>5</v>
      </c>
      <c r="FL41" s="3" t="str">
        <f>_xlfn.XLOOKUP(B41,QUERY!$C:$C,QUERY!M:M)</f>
        <v>4 a 5 días</v>
      </c>
      <c r="FM41" s="3">
        <f>_xlfn.XLOOKUP(B41,QUERY!$C:$C,QUERY!N:N)</f>
        <v>1</v>
      </c>
      <c r="FN41" s="3" t="str">
        <f>_xlfn.XLOOKUP(B41,QUERY!$C:$C,QUERY!O:O)</f>
        <v>1 día o menos</v>
      </c>
      <c r="FO41" s="3">
        <f>_xlfn.XLOOKUP(B41,QUERY!$C:$C,QUERY!P:P)</f>
        <v>1</v>
      </c>
      <c r="FP41" s="3">
        <f>_xlfn.XLOOKUP(B41,QUERY!$C:$C,QUERY!Q:Q)</f>
        <v>1</v>
      </c>
      <c r="FQ41" s="3" t="str">
        <f>_xlfn.XLOOKUP(B41,QUERY!$C:$C,QUERY!R:R)</f>
        <v>1 día o menos</v>
      </c>
      <c r="FR41" s="4">
        <f>_xlfn.XLOOKUP(B41,QUERY!$C:$C,QUERY!S:S)</f>
        <v>46113</v>
      </c>
      <c r="FS41" s="3">
        <f>_xlfn.XLOOKUP(B41,QUERY!$C:$C,QUERY!T:T)</f>
        <v>6</v>
      </c>
      <c r="FT41" s="3" t="str">
        <f>_xlfn.XLOOKUP(B41,QUERY!$C:$C,QUERY!U:U)</f>
        <v>6 a 10 días</v>
      </c>
      <c r="FU41" s="3">
        <f>_xlfn.XLOOKUP(B41,QUERY!$C:$C,QUERY!V:V)</f>
        <v>11</v>
      </c>
      <c r="FV41" s="3" t="str">
        <f>_xlfn.XLOOKUP(B41,QUERY!$C:$C,QUERY!W:W)</f>
        <v>11 a 15 días</v>
      </c>
      <c r="FW41" s="4">
        <f>_xlfn.XLOOKUP(B41,QUERY!$C:$C,QUERY!X:X)</f>
        <v>46120</v>
      </c>
      <c r="FX41" s="3">
        <f>_xlfn.XLOOKUP(B41,QUERY!$C:$C,QUERY!Y:Y)</f>
        <v>5</v>
      </c>
      <c r="FY41" s="3">
        <f>_xlfn.XLOOKUP(B41,QUERY!$C:$C,QUERY!Z:Z)</f>
        <v>5</v>
      </c>
      <c r="FZ41" s="4" t="str">
        <f>_xlfn.XLOOKUP(B41,QUERY!$C:$C,QUERY!AA:AA)</f>
        <v>6 a 10 días</v>
      </c>
      <c r="GA41" s="4">
        <f>_xlfn.XLOOKUP(B41,QUERY!$C:$C,QUERY!AB:AB)</f>
        <v>46120</v>
      </c>
      <c r="GB41" s="4">
        <f>_xlfn.XLOOKUP(B41,QUERY!$C:$C,QUERY!AC:AC)</f>
        <v>46120</v>
      </c>
      <c r="GC41" s="3">
        <f>_xlfn.XLOOKUP(B41,QUERY!$C:$C,QUERY!AD:AD)</f>
        <v>0</v>
      </c>
      <c r="GD41" s="4">
        <f>_xlfn.XLOOKUP(B41,QUERY!$C:$C,QUERY!AE:AE)</f>
        <v>46120</v>
      </c>
      <c r="GE41" s="3">
        <f>_xlfn.XLOOKUP(B41,QUERY!$C:$C,QUERY!AF:AF)</f>
        <v>1</v>
      </c>
      <c r="GF41" s="4" t="str">
        <f>_xlfn.XLOOKUP(B41,QUERY!$C:$C,QUERY!AG:AG)</f>
        <v>Es anterior</v>
      </c>
      <c r="GG41" s="3" t="str">
        <f>_xlfn.XLOOKUP(B41,QUERY!$C:$C,QUERY!AH:AH)</f>
        <v>A1</v>
      </c>
      <c r="GH41" s="3" t="str">
        <f>_xlfn.XLOOKUP(B41,QUERY!$C:$C,QUERY!AI:AI)</f>
        <v>ZULEIMA PEREZ RUIZ</v>
      </c>
      <c r="GI41" s="3">
        <f>_xlfn.XLOOKUP(B41,QUERY!$C:$C,QUERY!AJ:AJ)</f>
        <v>265457533</v>
      </c>
      <c r="GJ41" s="3" t="str">
        <f>_xlfn.XLOOKUP(B41,QUERY!$C:$C,QUERY!AK:AK)</f>
        <v>NULL</v>
      </c>
      <c r="GK41" s="3">
        <f>_xlfn.XLOOKUP(B41,QUERY!$C:$C,QUERY!AL:AL)</f>
        <v>6000168</v>
      </c>
      <c r="GL41" s="3" t="str">
        <f>_xlfn.XLOOKUP(B41,QUERY!$C:$C,QUERY!AM:AM)</f>
        <v>Importación</v>
      </c>
      <c r="GM41" s="3" t="str">
        <f>_xlfn.XLOOKUP(B41,QUERY!$C:$C,QUERY!AN:AN)</f>
        <v>INTERRUPTOR ELECTRICO CON ACCESORIOS (PUSHBUTTON PPB30 S+G N.O CABLE_BL 3.5M)</v>
      </c>
      <c r="GN41" s="3" t="str">
        <f>_xlfn.XLOOKUP(B41,QUERY!$C:$C,QUERY!AO:AO)</f>
        <v>SIN CLASIFICACION</v>
      </c>
      <c r="GO41" s="3">
        <f>_xlfn.XLOOKUP(B41,QUERY!$C:$C,QUERY!AP:AP)</f>
        <v>0</v>
      </c>
      <c r="GP41" s="3" t="str">
        <f>_xlfn.XLOOKUP(B41,QUERY!$C:$C,QUERY!AQ:AQ)</f>
        <v>Cargas de Importación</v>
      </c>
      <c r="GQ41" s="3" t="str">
        <f>_xlfn.XLOOKUP(B41,QUERY!$C:$C,QUERY!AR:AR)</f>
        <v>INTERVET MEXICO SA DE CV</v>
      </c>
      <c r="GR41" s="3">
        <f>_xlfn.XLOOKUP(B41,QUERY!$C:$C,QUERY!AS:AS)</f>
        <v>0</v>
      </c>
      <c r="GS41" s="3" t="str">
        <f>_xlfn.XLOOKUP(B41,QUERY!$C:$C,QUERY!AT:AT)</f>
        <v>NINGUNO</v>
      </c>
      <c r="GT41" s="3">
        <f>_xlfn.XLOOKUP(B41,QUERY!$C:$C,QUERY!AU:AU)</f>
        <v>0</v>
      </c>
      <c r="GU41" s="3" t="str">
        <f>_xlfn.XLOOKUP(B41,QUERY!$C:$C,QUERY!AV:AV)</f>
        <v>NINGUNO</v>
      </c>
      <c r="GV41" s="3" t="str">
        <f>_xlfn.XLOOKUP(B41,QUERY!$C:$C,QUERY!AW:AW)</f>
        <v>OTRO</v>
      </c>
      <c r="GW41" s="3" t="str">
        <f>_xlfn.XLOOKUP(B41,QUERY!$C:$C,QUERY!AX:AX)</f>
        <v>Verde</v>
      </c>
      <c r="GX41" s="3" t="str">
        <f>_xlfn.XLOOKUP(B41,QUERY!$C:$C,QUERY!AY:AY)</f>
        <v xml:space="preserve"> MLH TRANSPORTE, S.A. DE C.V.</v>
      </c>
      <c r="GY41" s="3" t="str">
        <f>_xlfn.XLOOKUP(B41,QUERY!$C:$C,QUERY!AZ:AZ)</f>
        <v>ECONOMICO 143</v>
      </c>
      <c r="GZ41" s="3">
        <f>_xlfn.XLOOKUP(B41,QUERY!$C:$C,QUERY!BA:BA)</f>
        <v>0</v>
      </c>
      <c r="HA41" s="3" t="str">
        <f>_xlfn.XLOOKUP(B41,QUERY!$C:$C,QUERY!BB:BB)</f>
        <v>IME850329RH2</v>
      </c>
      <c r="HB41" s="3">
        <f>_xlfn.XLOOKUP(B41,QUERY!$C:$C,QUERY!BC:BC)</f>
        <v>0</v>
      </c>
      <c r="HC41" s="3" t="str">
        <f>_xlfn.XLOOKUP(B41,QUERY!$C:$C,QUERY!BD:BD)</f>
        <v>00,01,99</v>
      </c>
      <c r="HD41" s="3" t="str">
        <f>_xlfn.XLOOKUP(B41,QUERY!$C:$C,QUERY!BE:BE)</f>
        <v>LOTES: IL20250101, IL20260101,LOTE: IL20260101,LOTE: IL20250101</v>
      </c>
      <c r="HE41" s="3">
        <f>_xlfn.XLOOKUP(B41,QUERY!$C:$C,QUERY!BF:BF)</f>
        <v>90</v>
      </c>
      <c r="HF41" s="3" t="str">
        <f>_xlfn.XLOOKUP(B41,QUERY!$C:$C,QUERY!BG:BG)</f>
        <v xml:space="preserve"> 114377.32</v>
      </c>
      <c r="HG41" s="3" t="str">
        <f>_xlfn.XLOOKUP(B41,QUERY!$C:$C,QUERY!BH:BH)</f>
        <v>KILO,KILO,PIEZA</v>
      </c>
      <c r="HH41" s="3">
        <f>_xlfn.XLOOKUP(B41,QUERY!$C:$C,QUERY!BI:BI)</f>
        <v>0</v>
      </c>
      <c r="HI41" s="3" t="str">
        <f>_xlfn.XLOOKUP(B41,QUERY!$C:$C,QUERY!BJ:BJ)</f>
        <v>ISRAEL (ESTADO DE)</v>
      </c>
      <c r="HJ41" s="3" t="str">
        <f>_xlfn.XLOOKUP(B41,QUERY!$C:$C,QUERY!BK:BK)</f>
        <v>PAISES BAJOS (REINO DE LOS) (HOLANDA)</v>
      </c>
      <c r="HK41" s="3" t="str">
        <f>_xlfn.XLOOKUP(B41,QUERY!$C:$C,QUERY!BL:BL)</f>
        <v>ISR</v>
      </c>
      <c r="HL41" s="3" t="str">
        <f>_xlfn.XLOOKUP(B41,QUERY!$C:$C,QUERY!BM:BM)</f>
        <v>ZYA</v>
      </c>
      <c r="HM41" s="3">
        <f>_xlfn.XLOOKUP(B41,QUERY!$C:$C,QUERY!BN:BN)</f>
        <v>114376</v>
      </c>
      <c r="HN41" s="3" t="str">
        <f>_xlfn.XLOOKUP(B41,QUERY!$C:$C,QUERY!BO:BO)</f>
        <v>915.00</v>
      </c>
      <c r="HO41" s="3" t="str">
        <f>_xlfn.XLOOKUP(B41,QUERY!$C:$C,QUERY!BP:BP)</f>
        <v>18446.00</v>
      </c>
      <c r="HP41" s="3" t="str">
        <f>_xlfn.XLOOKUP(B41,QUERY!$C:$C,QUERY!BQ:BQ)</f>
        <v>NULL</v>
      </c>
      <c r="HQ41" s="3" t="str">
        <f>_xlfn.XLOOKUP(B41,QUERY!$C:$C,QUERY!BR:BR)</f>
        <v>50747.92</v>
      </c>
      <c r="HR41" s="3">
        <f>_xlfn.XLOOKUP(B41,QUERY!$C:$C,QUERY!BS:BS)</f>
        <v>0</v>
      </c>
      <c r="HS41" s="3">
        <f>_xlfn.XLOOKUP(B41,QUERY!$C:$C,QUERY!BT:BT)</f>
        <v>0</v>
      </c>
      <c r="HT41" s="3" t="str">
        <f>_xlfn.XLOOKUP(B41,QUERY!$C:$C,QUERY!A:A)</f>
        <v>VERACRUZ</v>
      </c>
      <c r="HU41" s="3" t="str">
        <f>_xlfn.XLOOKUP(B41,QUERY!$C:$C,QUERY!B:B)</f>
        <v>MARÍTIMO VERACRUZ</v>
      </c>
    </row>
    <row r="42" spans="1:229" x14ac:dyDescent="0.25">
      <c r="A42" s="3" t="s">
        <v>90</v>
      </c>
      <c r="B42" s="12" t="s">
        <v>193</v>
      </c>
      <c r="C42" s="3">
        <v>3942</v>
      </c>
      <c r="D42" s="3">
        <v>6000168</v>
      </c>
      <c r="E42" s="3"/>
      <c r="F42" s="3" t="s">
        <v>92</v>
      </c>
      <c r="G42" s="3" t="s">
        <v>93</v>
      </c>
      <c r="H42" s="3">
        <v>16</v>
      </c>
      <c r="I42" s="3">
        <v>6594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430</v>
      </c>
      <c r="S42" s="3"/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200</v>
      </c>
      <c r="AB42" s="3"/>
      <c r="AC42" s="3">
        <v>40887</v>
      </c>
      <c r="AD42" s="3">
        <v>6814.5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/>
      <c r="AP42" s="3" t="s">
        <v>98</v>
      </c>
      <c r="AQ42" s="3">
        <v>210363787</v>
      </c>
      <c r="AR42" s="3" t="s">
        <v>99</v>
      </c>
      <c r="AS42" s="3" t="s">
        <v>100</v>
      </c>
      <c r="AT42" s="3">
        <v>0</v>
      </c>
      <c r="AU42" s="3">
        <v>0</v>
      </c>
      <c r="AV42" s="3">
        <v>0</v>
      </c>
      <c r="AW42" s="3">
        <v>85176101</v>
      </c>
      <c r="AX42" s="3">
        <v>0</v>
      </c>
      <c r="AY42" s="3">
        <v>6</v>
      </c>
      <c r="AZ42" s="3">
        <v>6</v>
      </c>
      <c r="BA42" s="3" t="s">
        <v>103</v>
      </c>
      <c r="BB42" s="3"/>
      <c r="BC42" s="3" t="s">
        <v>197</v>
      </c>
      <c r="BD42" s="3" t="s">
        <v>105</v>
      </c>
      <c r="BE42" s="3"/>
      <c r="BF42" s="3"/>
      <c r="BG42" s="5"/>
      <c r="BH42" s="3"/>
      <c r="BI42" s="3"/>
      <c r="BJ42" s="3"/>
      <c r="BK42" s="3" t="s">
        <v>198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 t="s">
        <v>192</v>
      </c>
      <c r="CF42" s="3">
        <v>0</v>
      </c>
      <c r="CG42" s="3">
        <v>0</v>
      </c>
      <c r="CH42" s="3">
        <v>0</v>
      </c>
      <c r="CI42" s="3" t="s">
        <v>112</v>
      </c>
      <c r="CJ42" s="3" t="s">
        <v>112</v>
      </c>
      <c r="CK42" s="3">
        <f>_xlfn.XLOOKUP($B$2,'BASE DE EXCEL'!C:C,'BASE DE EXCEL'!D:D,"NO HAY REFERENCIA")</f>
        <v>470</v>
      </c>
      <c r="CL42" s="5">
        <f>_xlfn.XLOOKUP($B$2,'BASE DE EXCEL'!$C:$C,'BASE DE EXCEL'!F:F,"NO HAY REFERENCIA")</f>
        <v>3</v>
      </c>
      <c r="CM42" s="4">
        <f>_xlfn.XLOOKUP($B$2,'BASE DE EXCEL'!$C:$C,'BASE DE EXCEL'!G:G,"NO HAY REFERENCIA")</f>
        <v>46080</v>
      </c>
      <c r="CN42" s="4">
        <f>_xlfn.XLOOKUP($B$2,'BASE DE EXCEL'!$C:$C,'BASE DE EXCEL'!H:H,"NO HAY REFERENCIA")</f>
        <v>46086</v>
      </c>
      <c r="CO42" s="3">
        <f>_xlfn.XLOOKUP($B$2,'BASE DE EXCEL'!$C:$C,'BASE DE EXCEL'!I:I,"NO HAY REFERENCIA")</f>
        <v>4</v>
      </c>
      <c r="CP42" s="3" t="str">
        <f>_xlfn.XLOOKUP($B$2,'BASE DE EXCEL'!$C:$C,'BASE DE EXCEL'!J:J,"NO HAY REFERENCIA")</f>
        <v>4 a 5 días</v>
      </c>
      <c r="CQ42" s="4">
        <f>_xlfn.XLOOKUP($B$2,'BASE DE EXCEL'!$C:$C,'BASE DE EXCEL'!K:K,"NO HAY REFERENCIA")</f>
        <v>46087</v>
      </c>
      <c r="CR42" s="3">
        <f>_xlfn.XLOOKUP($B$2,'BASE DE EXCEL'!$C:$C,'BASE DE EXCEL'!L:L,"NO HAY REFERENCIA")</f>
        <v>5</v>
      </c>
      <c r="CS42" s="3">
        <f>_xlfn.XLOOKUP($B$2,'BASE DE EXCEL'!$C:$C,'BASE DE EXCEL'!M:M,"NO HAY REFERENCIA")</f>
        <v>6</v>
      </c>
      <c r="CT42" s="3" t="str">
        <f>_xlfn.XLOOKUP($B$2,'BASE DE EXCEL'!$C:$C,'BASE DE EXCEL'!N:N,"NO HAY REFERENCIA")</f>
        <v>6 a 10 días</v>
      </c>
      <c r="CU42" s="3" t="str">
        <f>_xlfn.XLOOKUP($B$2,'BASE DE EXCEL'!$C:$C,'BASE DE EXCEL'!O:O,"NO HAY REFERENCIA")</f>
        <v>On Time</v>
      </c>
      <c r="CV42" s="3" t="str">
        <f>_xlfn.XLOOKUP(B42,'BASE DE EXCEL'!$C:$C,'BASE DE EXCEL'!P:P,"NO HAY REFERENCIA")</f>
        <v>6 a 10 días</v>
      </c>
      <c r="CW42" s="4">
        <f>_xlfn.XLOOKUP(B42,'BASE DE EXCEL'!$C:$C,'BASE DE EXCEL'!Q:Q,"NO HAY REFERENCIA")</f>
        <v>46113</v>
      </c>
      <c r="CX42" s="3">
        <f>_xlfn.XLOOKUP(B42,'BASE DE EXCEL'!$C:$C,'BASE DE EXCEL'!R:R,"NO HAY REFERENCIA")</f>
        <v>7</v>
      </c>
      <c r="CY42" s="3" t="str">
        <f>_xlfn.XLOOKUP(B42,'BASE DE EXCEL'!$C:$C,'BASE DE EXCEL'!S:S,"NO HAY REFERENCIA")</f>
        <v>6 a 10 días</v>
      </c>
      <c r="CZ42" s="3" t="str">
        <f>_xlfn.XLOOKUP(B42,'BASE DE EXCEL'!$C:$C,'BASE DE EXCEL'!T:T,"NO HAY REFERENCIA")</f>
        <v>Delayed</v>
      </c>
      <c r="DA42" s="3">
        <f>_xlfn.XLOOKUP(B42,'BASE DE EXCEL'!$C:$C,'BASE DE EXCEL'!U:U,"NO HAY REFERENCIA")</f>
        <v>8</v>
      </c>
      <c r="DB42" s="3" t="str">
        <f>_xlfn.XLOOKUP(B42,'BASE DE EXCEL'!$C:$C,'BASE DE EXCEL'!V:V,"NO HAY REFERENCIA")</f>
        <v>6 a 10 días</v>
      </c>
      <c r="DC42" s="3">
        <f>_xlfn.XLOOKUP(B42,'BASE DE EXCEL'!$C:$C,'BASE DE EXCEL'!W:W,"NO HAY REFERENCIA")</f>
        <v>11</v>
      </c>
      <c r="DD42" s="3" t="str">
        <f>_xlfn.XLOOKUP(B42,'BASE DE EXCEL'!$C:$C,'BASE DE EXCEL'!X:X,"NO HAY REFERENCIA")</f>
        <v>11 a 15 días</v>
      </c>
      <c r="DE42" s="3">
        <f>_xlfn.XLOOKUP(B42,'BASE DE EXCEL'!$C:$C,'BASE DE EXCEL'!Y:Y,"NO HAY REFERENCIA")</f>
        <v>1</v>
      </c>
      <c r="DF42" s="3" t="str">
        <f>_xlfn.XLOOKUP(B42,'BASE DE EXCEL'!$C:$C,'BASE DE EXCEL'!Z:Z,"NO HAY REFERENCIA")</f>
        <v>1 día o menos</v>
      </c>
      <c r="DG42" s="3">
        <f>_xlfn.XLOOKUP(B42,'BASE DE EXCEL'!$C:$C,'BASE DE EXCEL'!AA:AA,"NO HAY REFERENCIA")</f>
        <v>6</v>
      </c>
      <c r="DH42" s="3">
        <f>_xlfn.XLOOKUP(B42,'BASE DE EXCEL'!$C:$C,'BASE DE EXCEL'!AB:AB,"NO HAY REFERENCIA")</f>
        <v>1</v>
      </c>
      <c r="DI42" s="3" t="str">
        <f>_xlfn.XLOOKUP(B42,'BASE DE EXCEL'!$C:$C,'BASE DE EXCEL'!AC:AC,"NO HAY REFERENCIA")</f>
        <v>1 día o menos</v>
      </c>
      <c r="DJ42" s="4">
        <f>_xlfn.XLOOKUP(B42,'BASE DE EXCEL'!$C:$C,'BASE DE EXCEL'!AD:AD,"NO HAY REFERENCIA")</f>
        <v>46120</v>
      </c>
      <c r="DK42" s="3">
        <f>_xlfn.XLOOKUP(B42,'BASE DE EXCEL'!$C:$C,'BASE DE EXCEL'!AE:AE,"NO HAY REFERENCIA")</f>
        <v>7</v>
      </c>
      <c r="DL42" s="3">
        <f>_xlfn.XLOOKUP(B42,'BASE DE EXCEL'!$C:$C,'BASE DE EXCEL'!AF:AF,"NO HAY REFERENCIA")</f>
        <v>5</v>
      </c>
      <c r="DM42" s="4">
        <f>_xlfn.XLOOKUP(B42,'BASE DE EXCEL'!$C:$C,'BASE DE EXCEL'!AG:AG,"NO HAY REFERENCIA")</f>
        <v>46120</v>
      </c>
      <c r="DN42" s="4">
        <f>_xlfn.XLOOKUP(B42,'BASE DE EXCEL'!$C:$C,'BASE DE EXCEL'!AH:AH,"NO HAY REFERENCIA")</f>
        <v>46120</v>
      </c>
      <c r="DO42" s="3">
        <f>_xlfn.XLOOKUP(B42,'BASE DE EXCEL'!$C:$C,'BASE DE EXCEL'!AI:AI,"NO HAY REFERENCIA")</f>
        <v>0</v>
      </c>
      <c r="DP42" s="4" t="str">
        <f>_xlfn.XLOOKUP(B42,'BASE DE EXCEL'!$C:$C,'BASE DE EXCEL'!AJ:AJ,"NO HAY REFERENCIA")</f>
        <v>6 a 10 días</v>
      </c>
      <c r="DQ42" s="4">
        <f>_xlfn.XLOOKUP(B42,'BASE DE EXCEL'!$C:$C,'BASE DE EXCEL'!AK:AK,"NO HAY REFERENCIA")</f>
        <v>46120</v>
      </c>
      <c r="DR42" s="3">
        <f>_xlfn.XLOOKUP(B42,'BASE DE EXCEL'!$C:$C,'BASE DE EXCEL'!AL:AL,"NO HAY REFERENCIA")</f>
        <v>4</v>
      </c>
      <c r="DS42" s="3" t="str">
        <f>_xlfn.XLOOKUP(B42,'BASE DE EXCEL'!$C:$C,'BASE DE EXCEL'!AM:AM,"NO HAY REFERENCIA")</f>
        <v>4 a 5 días</v>
      </c>
      <c r="DT42" s="3" t="str">
        <f>_xlfn.XLOOKUP(B42,'BASE DE EXCEL'!$C:$C,'BASE DE EXCEL'!AN:AN,"NO HAY REFERENCIA")</f>
        <v>On Time</v>
      </c>
      <c r="DU42" s="3">
        <f>_xlfn.XLOOKUP(B42,'BASE DE EXCEL'!$C:$C,'BASE DE EXCEL'!AO:AO,"NO HAY REFERENCIA")</f>
        <v>1</v>
      </c>
      <c r="DV42" s="3" t="str">
        <f>_xlfn.XLOOKUP(B42,'BASE DE EXCEL'!$C:$C,'BASE DE EXCEL'!AP:AP,"NO HAY REFERENCIA")</f>
        <v>Es anterior</v>
      </c>
      <c r="DW42" s="3" t="str">
        <f>_xlfn.XLOOKUP(B42,'BASE DE EXCEL'!$C:$C,'BASE DE EXCEL'!AQ:AQ,"NO HAY REFERENCIA")</f>
        <v>A1</v>
      </c>
      <c r="DX42" s="3" t="str">
        <f>_xlfn.XLOOKUP(B42,'BASE DE EXCEL'!$C:$C,'BASE DE EXCEL'!AR:AR,"NO HAY REFERENCIA")</f>
        <v>ZULEIMA PEREZ RUIZ</v>
      </c>
      <c r="DY42" s="3">
        <f>_xlfn.XLOOKUP(B42,'BASE DE EXCEL'!$C:$C,'BASE DE EXCEL'!AS:AS,"NO HAY REFERENCIA")</f>
        <v>265457533</v>
      </c>
      <c r="DZ42" s="3" t="str">
        <f>_xlfn.XLOOKUP(B42,'BASE DE EXCEL'!$C:$C,'BASE DE EXCEL'!AT:AT,"NO HAY REFERENCIA")</f>
        <v>NULL</v>
      </c>
      <c r="EA42" s="3">
        <f>_xlfn.XLOOKUP(B42,'BASE DE EXCEL'!$C:$C,'BASE DE EXCEL'!AU:AU,"NO HAY REFERENCIA")</f>
        <v>6000168</v>
      </c>
      <c r="EB42" s="3" t="str">
        <f>_xlfn.XLOOKUP(B42,'BASE DE EXCEL'!$C:$C,'BASE DE EXCEL'!AV:AV,"NO HAY REFERENCIA")</f>
        <v>Importación</v>
      </c>
      <c r="EC42" s="3" t="str">
        <f>_xlfn.XLOOKUP(B42,'BASE DE EXCEL'!$C:$C,'BASE DE EXCEL'!AW:AW,"NO HAY REFERENCIA")</f>
        <v>INTERRUPTOR ELECTRICO CON ACCESORIOS (PUSHBUTTON PPB30 S+G N.O CABLE_BL 3.5M)</v>
      </c>
      <c r="ED42" s="3" t="str">
        <f>_xlfn.XLOOKUP(B42,'BASE DE EXCEL'!$C:$C,'BASE DE EXCEL'!AX:AX,"NO HAY REFERENCIA")</f>
        <v>SIN CLASIFICACION</v>
      </c>
      <c r="EE42" s="3">
        <f>_xlfn.XLOOKUP(B42,'BASE DE EXCEL'!$C:$C,'BASE DE EXCEL'!AY:AY,"NO HAY REFERENCIA")</f>
        <v>0</v>
      </c>
      <c r="EF42" s="3" t="str">
        <f>_xlfn.XLOOKUP(B42,'BASE DE EXCEL'!$C:$C,'BASE DE EXCEL'!AZ:AZ,"NO HAY REFERENCIA")</f>
        <v>Cargas de Importación</v>
      </c>
      <c r="EG42" s="3" t="str">
        <f>_xlfn.XLOOKUP(B42,'BASE DE EXCEL'!$C:$C,'BASE DE EXCEL'!BA:BA,"NO HAY REFERENCIA")</f>
        <v>INTERVET MEXICO SA DE CV</v>
      </c>
      <c r="EH42" s="3">
        <f>_xlfn.XLOOKUP(B42,'BASE DE EXCEL'!$C:$C,'BASE DE EXCEL'!BB:BB,"NO HAY REFERENCIA")</f>
        <v>0</v>
      </c>
      <c r="EI42" s="3" t="str">
        <f>_xlfn.XLOOKUP(B42,'BASE DE EXCEL'!$C:$C,'BASE DE EXCEL'!BC:BC,"NO HAY REFERENCIA")</f>
        <v>NINGUNO</v>
      </c>
      <c r="EJ42" s="3">
        <f>_xlfn.XLOOKUP(B42,'BASE DE EXCEL'!$C:$C,'BASE DE EXCEL'!BD:BD,"NO HAY REFERENCIA")</f>
        <v>0</v>
      </c>
      <c r="EK42" s="3" t="str">
        <f>_xlfn.XLOOKUP(B42,'BASE DE EXCEL'!$C:$C,'BASE DE EXCEL'!BE:BE,"NO HAY REFERENCIA")</f>
        <v>NINGUNO</v>
      </c>
      <c r="EL42" s="3" t="str">
        <f>_xlfn.XLOOKUP(B42,'BASE DE EXCEL'!$C:$C,'BASE DE EXCEL'!BF:BF,"NO HAY REFERENCIA")</f>
        <v>OTRO</v>
      </c>
      <c r="EM42" s="3" t="str">
        <f>_xlfn.XLOOKUP(B42,'BASE DE EXCEL'!$C:$C,'BASE DE EXCEL'!BG:BG,"NO HAY REFERENCIA")</f>
        <v>Verde</v>
      </c>
      <c r="EN42" s="3" t="str">
        <f>_xlfn.XLOOKUP(B42,'BASE DE EXCEL'!$C:$C,'BASE DE EXCEL'!BH:BH,"NO HAY REFERENCIA")</f>
        <v xml:space="preserve"> MLH TRANSPORTE, S.A. DE C.V.</v>
      </c>
      <c r="EO42" s="3" t="str">
        <f>_xlfn.XLOOKUP(B42,'BASE DE EXCEL'!$C:$C,'BASE DE EXCEL'!BI:BI,"NO HAY REFERENCIA")</f>
        <v>ECONOMICO 143</v>
      </c>
      <c r="EP42" s="3">
        <f>_xlfn.XLOOKUP(B42,'BASE DE EXCEL'!$C:$C,'BASE DE EXCEL'!BJ:BJ,"NO HAY REFERENCIA")</f>
        <v>0</v>
      </c>
      <c r="EQ42" s="3" t="str">
        <f>_xlfn.XLOOKUP(B42,'BASE DE EXCEL'!$C:$C,'BASE DE EXCEL'!BK:BK,"NO HAY REFERENCIA")</f>
        <v>IME850329RH2</v>
      </c>
      <c r="ER42" s="3">
        <f>_xlfn.XLOOKUP(B42,'BASE DE EXCEL'!$C:$C,'BASE DE EXCEL'!BL:BL,"NO HAY REFERENCIA")</f>
        <v>0</v>
      </c>
      <c r="ES42" s="3" t="str">
        <f>_xlfn.XLOOKUP(B42,'BASE DE EXCEL'!$C:$C,'BASE DE EXCEL'!BM:BM,"NO HAY REFERENCIA")</f>
        <v>00,01,99</v>
      </c>
      <c r="ET42" s="3" t="str">
        <f>_xlfn.XLOOKUP(B42,'BASE DE EXCEL'!$C:$C,'BASE DE EXCEL'!BN:BN,"NO HAY REFERENCIA")</f>
        <v>LOTES: IL20250101, IL20260101,LOTE: IL20260101,LOTE: IL20250101</v>
      </c>
      <c r="EU42" s="3">
        <f>_xlfn.XLOOKUP(B42,'BASE DE EXCEL'!$C:$C,'BASE DE EXCEL'!BO:BO,"NO HAY REFERENCIA")</f>
        <v>90</v>
      </c>
      <c r="EV42" s="3">
        <f>_xlfn.XLOOKUP(B42,'BASE DE EXCEL'!$C:$C,'BASE DE EXCEL'!BP:BP,"NO HAY REFERENCIA")</f>
        <v>114377.32</v>
      </c>
      <c r="EW42" s="3" t="str">
        <f>_xlfn.XLOOKUP(B42,'BASE DE EXCEL'!$C:$C,'BASE DE EXCEL'!BQ:BQ,"NO HAY REFERENCIA")</f>
        <v>KILO,KILO,PIEZA</v>
      </c>
      <c r="EX42" s="3">
        <f>_xlfn.XLOOKUP(B42,'BASE DE EXCEL'!$C:$C,'BASE DE EXCEL'!BR:BR,"NO HAY REFERENCIA")</f>
        <v>0</v>
      </c>
      <c r="EY42" s="3" t="str">
        <f>_xlfn.XLOOKUP(B42,'BASE DE EXCEL'!$C:$C,'BASE DE EXCEL'!BS:BS,"NO HAY REFERENCIA")</f>
        <v>ISRAEL (ESTADO DE)</v>
      </c>
      <c r="EZ42" s="3" t="str">
        <f>_xlfn.XLOOKUP(B42,'BASE DE EXCEL'!$C:$C,'BASE DE EXCEL'!BT:BT,"NO HAY REFERENCIA")</f>
        <v>PAISES BAJOS (REINO DE LOS) (HOLANDA)</v>
      </c>
      <c r="FA42" s="3" t="str">
        <f>_xlfn.XLOOKUP(B42,'BASE DE EXCEL'!$C:$C,'BASE DE EXCEL'!BU:BU,"NO HAY REFERENCIA")</f>
        <v>ISR</v>
      </c>
      <c r="FB42" s="3" t="str">
        <f>_xlfn.XLOOKUP(B42,'BASE DE EXCEL'!$C:$C,'BASE DE EXCEL'!BV:BV,"NO HAY REFERENCIA")</f>
        <v>ZYA</v>
      </c>
      <c r="FC42" s="3">
        <f>_xlfn.XLOOKUP(B42,QUERY!$C:$C,QUERY!D:D)</f>
        <v>430</v>
      </c>
      <c r="FD42" s="4">
        <f>_xlfn.XLOOKUP(B42,QUERY!$C:$C,QUERY!E:E)</f>
        <v>46111</v>
      </c>
      <c r="FE42" s="3">
        <f>_xlfn.XLOOKUP(B42,QUERY!$C:$C,QUERY!F:F)</f>
        <v>3</v>
      </c>
      <c r="FF42" s="4">
        <f>_xlfn.XLOOKUP(B42,QUERY!$C:$C,QUERY!G:G)</f>
        <v>46105</v>
      </c>
      <c r="FG42" s="4">
        <f>_xlfn.XLOOKUP(B42,QUERY!$C:$C,QUERY!H:H)</f>
        <v>46111</v>
      </c>
      <c r="FH42" s="3">
        <f>_xlfn.XLOOKUP(B42,QUERY!$C:$C,QUERY!I:I)</f>
        <v>4</v>
      </c>
      <c r="FI42" s="3" t="str">
        <f>_xlfn.XLOOKUP(B42,QUERY!$C:$C,QUERY!J:J)</f>
        <v>4 a 5 días</v>
      </c>
      <c r="FJ42" s="4">
        <f>_xlfn.XLOOKUP(B42,QUERY!$C:$C,QUERY!K:K)</f>
        <v>46112</v>
      </c>
      <c r="FK42" s="3">
        <f>_xlfn.XLOOKUP(B42,QUERY!$C:$C,QUERY!L:L)</f>
        <v>5</v>
      </c>
      <c r="FL42" s="3" t="str">
        <f>_xlfn.XLOOKUP(B42,QUERY!$C:$C,QUERY!M:M)</f>
        <v>4 a 5 días</v>
      </c>
      <c r="FM42" s="3">
        <f>_xlfn.XLOOKUP(B42,QUERY!$C:$C,QUERY!N:N)</f>
        <v>1</v>
      </c>
      <c r="FN42" s="3" t="str">
        <f>_xlfn.XLOOKUP(B42,QUERY!$C:$C,QUERY!O:O)</f>
        <v>1 día o menos</v>
      </c>
      <c r="FO42" s="3">
        <f>_xlfn.XLOOKUP(B42,QUERY!$C:$C,QUERY!P:P)</f>
        <v>1</v>
      </c>
      <c r="FP42" s="3">
        <f>_xlfn.XLOOKUP(B42,QUERY!$C:$C,QUERY!Q:Q)</f>
        <v>1</v>
      </c>
      <c r="FQ42" s="3" t="str">
        <f>_xlfn.XLOOKUP(B42,QUERY!$C:$C,QUERY!R:R)</f>
        <v>1 día o menos</v>
      </c>
      <c r="FR42" s="4">
        <f>_xlfn.XLOOKUP(B42,QUERY!$C:$C,QUERY!S:S)</f>
        <v>46113</v>
      </c>
      <c r="FS42" s="3">
        <f>_xlfn.XLOOKUP(B42,QUERY!$C:$C,QUERY!T:T)</f>
        <v>6</v>
      </c>
      <c r="FT42" s="3" t="str">
        <f>_xlfn.XLOOKUP(B42,QUERY!$C:$C,QUERY!U:U)</f>
        <v>6 a 10 días</v>
      </c>
      <c r="FU42" s="3">
        <f>_xlfn.XLOOKUP(B42,QUERY!$C:$C,QUERY!V:V)</f>
        <v>11</v>
      </c>
      <c r="FV42" s="3" t="str">
        <f>_xlfn.XLOOKUP(B42,QUERY!$C:$C,QUERY!W:W)</f>
        <v>11 a 15 días</v>
      </c>
      <c r="FW42" s="4">
        <f>_xlfn.XLOOKUP(B42,QUERY!$C:$C,QUERY!X:X)</f>
        <v>46120</v>
      </c>
      <c r="FX42" s="3">
        <f>_xlfn.XLOOKUP(B42,QUERY!$C:$C,QUERY!Y:Y)</f>
        <v>5</v>
      </c>
      <c r="FY42" s="3">
        <f>_xlfn.XLOOKUP(B42,QUERY!$C:$C,QUERY!Z:Z)</f>
        <v>5</v>
      </c>
      <c r="FZ42" s="4" t="str">
        <f>_xlfn.XLOOKUP(B42,QUERY!$C:$C,QUERY!AA:AA)</f>
        <v>6 a 10 días</v>
      </c>
      <c r="GA42" s="4">
        <f>_xlfn.XLOOKUP(B42,QUERY!$C:$C,QUERY!AB:AB)</f>
        <v>46120</v>
      </c>
      <c r="GB42" s="4">
        <f>_xlfn.XLOOKUP(B42,QUERY!$C:$C,QUERY!AC:AC)</f>
        <v>46120</v>
      </c>
      <c r="GC42" s="3">
        <f>_xlfn.XLOOKUP(B42,QUERY!$C:$C,QUERY!AD:AD)</f>
        <v>0</v>
      </c>
      <c r="GD42" s="4">
        <f>_xlfn.XLOOKUP(B42,QUERY!$C:$C,QUERY!AE:AE)</f>
        <v>46120</v>
      </c>
      <c r="GE42" s="3">
        <f>_xlfn.XLOOKUP(B42,QUERY!$C:$C,QUERY!AF:AF)</f>
        <v>1</v>
      </c>
      <c r="GF42" s="4" t="str">
        <f>_xlfn.XLOOKUP(B42,QUERY!$C:$C,QUERY!AG:AG)</f>
        <v>Es anterior</v>
      </c>
      <c r="GG42" s="3" t="str">
        <f>_xlfn.XLOOKUP(B42,QUERY!$C:$C,QUERY!AH:AH)</f>
        <v>A1</v>
      </c>
      <c r="GH42" s="3" t="str">
        <f>_xlfn.XLOOKUP(B42,QUERY!$C:$C,QUERY!AI:AI)</f>
        <v>ZULEIMA PEREZ RUIZ</v>
      </c>
      <c r="GI42" s="3">
        <f>_xlfn.XLOOKUP(B42,QUERY!$C:$C,QUERY!AJ:AJ)</f>
        <v>265457533</v>
      </c>
      <c r="GJ42" s="3" t="str">
        <f>_xlfn.XLOOKUP(B42,QUERY!$C:$C,QUERY!AK:AK)</f>
        <v>NULL</v>
      </c>
      <c r="GK42" s="3">
        <f>_xlfn.XLOOKUP(B42,QUERY!$C:$C,QUERY!AL:AL)</f>
        <v>6000168</v>
      </c>
      <c r="GL42" s="3" t="str">
        <f>_xlfn.XLOOKUP(B42,QUERY!$C:$C,QUERY!AM:AM)</f>
        <v>Importación</v>
      </c>
      <c r="GM42" s="3" t="str">
        <f>_xlfn.XLOOKUP(B42,QUERY!$C:$C,QUERY!AN:AN)</f>
        <v>INTERRUPTOR ELECTRICO CON ACCESORIOS (PUSHBUTTON PPB30 S+G N.O CABLE_BL 3.5M)</v>
      </c>
      <c r="GN42" s="3" t="str">
        <f>_xlfn.XLOOKUP(B42,QUERY!$C:$C,QUERY!AO:AO)</f>
        <v>SIN CLASIFICACION</v>
      </c>
      <c r="GO42" s="3">
        <f>_xlfn.XLOOKUP(B42,QUERY!$C:$C,QUERY!AP:AP)</f>
        <v>0</v>
      </c>
      <c r="GP42" s="3" t="str">
        <f>_xlfn.XLOOKUP(B42,QUERY!$C:$C,QUERY!AQ:AQ)</f>
        <v>Cargas de Importación</v>
      </c>
      <c r="GQ42" s="3" t="str">
        <f>_xlfn.XLOOKUP(B42,QUERY!$C:$C,QUERY!AR:AR)</f>
        <v>INTERVET MEXICO SA DE CV</v>
      </c>
      <c r="GR42" s="3">
        <f>_xlfn.XLOOKUP(B42,QUERY!$C:$C,QUERY!AS:AS)</f>
        <v>0</v>
      </c>
      <c r="GS42" s="3" t="str">
        <f>_xlfn.XLOOKUP(B42,QUERY!$C:$C,QUERY!AT:AT)</f>
        <v>NINGUNO</v>
      </c>
      <c r="GT42" s="3">
        <f>_xlfn.XLOOKUP(B42,QUERY!$C:$C,QUERY!AU:AU)</f>
        <v>0</v>
      </c>
      <c r="GU42" s="3" t="str">
        <f>_xlfn.XLOOKUP(B42,QUERY!$C:$C,QUERY!AV:AV)</f>
        <v>NINGUNO</v>
      </c>
      <c r="GV42" s="3" t="str">
        <f>_xlfn.XLOOKUP(B42,QUERY!$C:$C,QUERY!AW:AW)</f>
        <v>OTRO</v>
      </c>
      <c r="GW42" s="3" t="str">
        <f>_xlfn.XLOOKUP(B42,QUERY!$C:$C,QUERY!AX:AX)</f>
        <v>Verde</v>
      </c>
      <c r="GX42" s="3" t="str">
        <f>_xlfn.XLOOKUP(B42,QUERY!$C:$C,QUERY!AY:AY)</f>
        <v xml:space="preserve"> MLH TRANSPORTE, S.A. DE C.V.</v>
      </c>
      <c r="GY42" s="3" t="str">
        <f>_xlfn.XLOOKUP(B42,QUERY!$C:$C,QUERY!AZ:AZ)</f>
        <v>ECONOMICO 143</v>
      </c>
      <c r="GZ42" s="3">
        <f>_xlfn.XLOOKUP(B42,QUERY!$C:$C,QUERY!BA:BA)</f>
        <v>0</v>
      </c>
      <c r="HA42" s="3" t="str">
        <f>_xlfn.XLOOKUP(B42,QUERY!$C:$C,QUERY!BB:BB)</f>
        <v>IME850329RH2</v>
      </c>
      <c r="HB42" s="3">
        <f>_xlfn.XLOOKUP(B42,QUERY!$C:$C,QUERY!BC:BC)</f>
        <v>0</v>
      </c>
      <c r="HC42" s="3" t="str">
        <f>_xlfn.XLOOKUP(B42,QUERY!$C:$C,QUERY!BD:BD)</f>
        <v>00,01,99</v>
      </c>
      <c r="HD42" s="3" t="str">
        <f>_xlfn.XLOOKUP(B42,QUERY!$C:$C,QUERY!BE:BE)</f>
        <v>LOTES: IL20250101, IL20260101,LOTE: IL20260101,LOTE: IL20250101</v>
      </c>
      <c r="HE42" s="3">
        <f>_xlfn.XLOOKUP(B42,QUERY!$C:$C,QUERY!BF:BF)</f>
        <v>90</v>
      </c>
      <c r="HF42" s="3" t="str">
        <f>_xlfn.XLOOKUP(B42,QUERY!$C:$C,QUERY!BG:BG)</f>
        <v xml:space="preserve"> 114377.32</v>
      </c>
      <c r="HG42" s="3" t="str">
        <f>_xlfn.XLOOKUP(B42,QUERY!$C:$C,QUERY!BH:BH)</f>
        <v>KILO,KILO,PIEZA</v>
      </c>
      <c r="HH42" s="3">
        <f>_xlfn.XLOOKUP(B42,QUERY!$C:$C,QUERY!BI:BI)</f>
        <v>0</v>
      </c>
      <c r="HI42" s="3" t="str">
        <f>_xlfn.XLOOKUP(B42,QUERY!$C:$C,QUERY!BJ:BJ)</f>
        <v>ISRAEL (ESTADO DE)</v>
      </c>
      <c r="HJ42" s="3" t="str">
        <f>_xlfn.XLOOKUP(B42,QUERY!$C:$C,QUERY!BK:BK)</f>
        <v>PAISES BAJOS (REINO DE LOS) (HOLANDA)</v>
      </c>
      <c r="HK42" s="3" t="str">
        <f>_xlfn.XLOOKUP(B42,QUERY!$C:$C,QUERY!BL:BL)</f>
        <v>ISR</v>
      </c>
      <c r="HL42" s="3" t="str">
        <f>_xlfn.XLOOKUP(B42,QUERY!$C:$C,QUERY!BM:BM)</f>
        <v>ZYA</v>
      </c>
      <c r="HM42" s="3">
        <f>_xlfn.XLOOKUP(B42,QUERY!$C:$C,QUERY!BN:BN)</f>
        <v>114376</v>
      </c>
      <c r="HN42" s="3" t="str">
        <f>_xlfn.XLOOKUP(B42,QUERY!$C:$C,QUERY!BO:BO)</f>
        <v>915.00</v>
      </c>
      <c r="HO42" s="3" t="str">
        <f>_xlfn.XLOOKUP(B42,QUERY!$C:$C,QUERY!BP:BP)</f>
        <v>18446.00</v>
      </c>
      <c r="HP42" s="3" t="str">
        <f>_xlfn.XLOOKUP(B42,QUERY!$C:$C,QUERY!BQ:BQ)</f>
        <v>NULL</v>
      </c>
      <c r="HQ42" s="3" t="str">
        <f>_xlfn.XLOOKUP(B42,QUERY!$C:$C,QUERY!BR:BR)</f>
        <v>50747.92</v>
      </c>
      <c r="HR42" s="3">
        <f>_xlfn.XLOOKUP(B42,QUERY!$C:$C,QUERY!BS:BS)</f>
        <v>0</v>
      </c>
      <c r="HS42" s="3">
        <f>_xlfn.XLOOKUP(B42,QUERY!$C:$C,QUERY!BT:BT)</f>
        <v>0</v>
      </c>
      <c r="HT42" s="3" t="str">
        <f>_xlfn.XLOOKUP(B42,QUERY!$C:$C,QUERY!A:A)</f>
        <v>VERACRUZ</v>
      </c>
      <c r="HU42" s="3" t="str">
        <f>_xlfn.XLOOKUP(B42,QUERY!$C:$C,QUERY!B:B)</f>
        <v>MARÍTIMO VERACRUZ</v>
      </c>
    </row>
    <row r="43" spans="1:229" x14ac:dyDescent="0.25">
      <c r="A43" s="3" t="s">
        <v>90</v>
      </c>
      <c r="B43" s="3" t="s">
        <v>183</v>
      </c>
      <c r="C43" s="3">
        <v>3942</v>
      </c>
      <c r="D43" s="3">
        <v>6000171</v>
      </c>
      <c r="E43" s="3"/>
      <c r="F43" s="3" t="s">
        <v>92</v>
      </c>
      <c r="G43" s="3" t="s">
        <v>93</v>
      </c>
      <c r="H43" s="3">
        <v>16</v>
      </c>
      <c r="I43" s="3">
        <v>209061</v>
      </c>
      <c r="J43" s="3">
        <v>0</v>
      </c>
      <c r="K43" s="3">
        <v>0</v>
      </c>
      <c r="L43" s="3">
        <v>0</v>
      </c>
      <c r="M43" s="3">
        <v>0</v>
      </c>
      <c r="N43" s="3">
        <v>5</v>
      </c>
      <c r="O43" s="3">
        <v>61750</v>
      </c>
      <c r="P43" s="3">
        <v>17.2925</v>
      </c>
      <c r="Q43" s="3">
        <v>10433</v>
      </c>
      <c r="R43" s="3">
        <v>430</v>
      </c>
      <c r="S43" s="3" t="s">
        <v>184</v>
      </c>
      <c r="T43" s="3" t="s">
        <v>185</v>
      </c>
      <c r="U43" s="3">
        <v>1235000</v>
      </c>
      <c r="V43" s="3">
        <v>1235000</v>
      </c>
      <c r="W43" s="3">
        <v>0</v>
      </c>
      <c r="X43" s="3">
        <v>0</v>
      </c>
      <c r="Y43" s="3">
        <v>0</v>
      </c>
      <c r="Z43" s="3">
        <v>0</v>
      </c>
      <c r="AA43" s="3" t="s">
        <v>186</v>
      </c>
      <c r="AB43" s="3"/>
      <c r="AC43" s="3">
        <v>1235000</v>
      </c>
      <c r="AD43" s="3">
        <v>61.75</v>
      </c>
      <c r="AE43" s="3">
        <v>354</v>
      </c>
      <c r="AF43" s="3" t="s">
        <v>187</v>
      </c>
      <c r="AG43" s="3">
        <v>61750</v>
      </c>
      <c r="AH43" s="3">
        <v>0</v>
      </c>
      <c r="AI43" s="3">
        <v>53</v>
      </c>
      <c r="AJ43" s="3">
        <v>9880</v>
      </c>
      <c r="AK43" s="3">
        <v>0</v>
      </c>
      <c r="AL43" s="3">
        <v>209061</v>
      </c>
      <c r="AM43" s="3">
        <v>330</v>
      </c>
      <c r="AN43" s="3">
        <v>281074</v>
      </c>
      <c r="AO43" s="3" t="s">
        <v>97</v>
      </c>
      <c r="AP43" s="3" t="s">
        <v>98</v>
      </c>
      <c r="AQ43" s="3">
        <v>210362870</v>
      </c>
      <c r="AR43" s="3" t="s">
        <v>99</v>
      </c>
      <c r="AS43" s="3" t="s">
        <v>100</v>
      </c>
      <c r="AT43" s="3">
        <v>265002013</v>
      </c>
      <c r="AU43" s="3"/>
      <c r="AV43" s="3" t="s">
        <v>188</v>
      </c>
      <c r="AW43" s="3">
        <v>38249999</v>
      </c>
      <c r="AX43" s="3">
        <v>99</v>
      </c>
      <c r="AY43" s="3">
        <v>20000</v>
      </c>
      <c r="AZ43" s="3">
        <v>20000</v>
      </c>
      <c r="BA43" s="3" t="s">
        <v>103</v>
      </c>
      <c r="BB43" s="3"/>
      <c r="BC43" s="3" t="s">
        <v>189</v>
      </c>
      <c r="BD43" s="3" t="s">
        <v>105</v>
      </c>
      <c r="BE43" s="3" t="s">
        <v>106</v>
      </c>
      <c r="BF43" s="3" t="s">
        <v>117</v>
      </c>
      <c r="BG43" s="5"/>
      <c r="BH43" s="3"/>
      <c r="BI43" s="3"/>
      <c r="BJ43" s="3" t="s">
        <v>190</v>
      </c>
      <c r="BK43" s="3" t="s">
        <v>191</v>
      </c>
      <c r="BL43" s="3">
        <v>42894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5600</v>
      </c>
      <c r="CC43" s="3">
        <v>1019.2</v>
      </c>
      <c r="CD43" s="3">
        <v>87855.8</v>
      </c>
      <c r="CE43" s="3" t="s">
        <v>192</v>
      </c>
      <c r="CF43" s="3">
        <v>87855.8</v>
      </c>
      <c r="CG43" s="3">
        <v>0</v>
      </c>
      <c r="CH43" s="3">
        <v>0</v>
      </c>
      <c r="CI43" s="3" t="s">
        <v>112</v>
      </c>
      <c r="CJ43" s="3" t="s">
        <v>112</v>
      </c>
      <c r="CK43" s="3">
        <f>_xlfn.XLOOKUP($B$2,'BASE DE EXCEL'!C:C,'BASE DE EXCEL'!D:D,"NO HAY REFERENCIA")</f>
        <v>470</v>
      </c>
      <c r="CL43" s="5">
        <f>_xlfn.XLOOKUP($B$2,'BASE DE EXCEL'!$C:$C,'BASE DE EXCEL'!F:F,"NO HAY REFERENCIA")</f>
        <v>3</v>
      </c>
      <c r="CM43" s="4">
        <f>_xlfn.XLOOKUP($B$2,'BASE DE EXCEL'!$C:$C,'BASE DE EXCEL'!G:G,"NO HAY REFERENCIA")</f>
        <v>46080</v>
      </c>
      <c r="CN43" s="4">
        <f>_xlfn.XLOOKUP($B$2,'BASE DE EXCEL'!$C:$C,'BASE DE EXCEL'!H:H,"NO HAY REFERENCIA")</f>
        <v>46086</v>
      </c>
      <c r="CO43" s="3">
        <f>_xlfn.XLOOKUP($B$2,'BASE DE EXCEL'!$C:$C,'BASE DE EXCEL'!I:I,"NO HAY REFERENCIA")</f>
        <v>4</v>
      </c>
      <c r="CP43" s="3" t="str">
        <f>_xlfn.XLOOKUP($B$2,'BASE DE EXCEL'!$C:$C,'BASE DE EXCEL'!J:J,"NO HAY REFERENCIA")</f>
        <v>4 a 5 días</v>
      </c>
      <c r="CQ43" s="4">
        <f>_xlfn.XLOOKUP($B$2,'BASE DE EXCEL'!$C:$C,'BASE DE EXCEL'!K:K,"NO HAY REFERENCIA")</f>
        <v>46087</v>
      </c>
      <c r="CR43" s="3">
        <f>_xlfn.XLOOKUP($B$2,'BASE DE EXCEL'!$C:$C,'BASE DE EXCEL'!L:L,"NO HAY REFERENCIA")</f>
        <v>5</v>
      </c>
      <c r="CS43" s="3">
        <f>_xlfn.XLOOKUP($B$2,'BASE DE EXCEL'!$C:$C,'BASE DE EXCEL'!M:M,"NO HAY REFERENCIA")</f>
        <v>6</v>
      </c>
      <c r="CT43" s="3" t="str">
        <f>_xlfn.XLOOKUP($B$2,'BASE DE EXCEL'!$C:$C,'BASE DE EXCEL'!N:N,"NO HAY REFERENCIA")</f>
        <v>6 a 10 días</v>
      </c>
      <c r="CU43" s="3" t="str">
        <f>_xlfn.XLOOKUP($B$2,'BASE DE EXCEL'!$C:$C,'BASE DE EXCEL'!O:O,"NO HAY REFERENCIA")</f>
        <v>On Time</v>
      </c>
      <c r="CV43" s="3" t="str">
        <f>_xlfn.XLOOKUP(B43,'BASE DE EXCEL'!$C:$C,'BASE DE EXCEL'!P:P,"NO HAY REFERENCIA")</f>
        <v>4 a 5 días</v>
      </c>
      <c r="CW43" s="4">
        <f>_xlfn.XLOOKUP(B43,'BASE DE EXCEL'!$C:$C,'BASE DE EXCEL'!Q:Q,"NO HAY REFERENCIA")</f>
        <v>46065</v>
      </c>
      <c r="CX43" s="3">
        <f>_xlfn.XLOOKUP(B43,'BASE DE EXCEL'!$C:$C,'BASE DE EXCEL'!R:R,"NO HAY REFERENCIA")</f>
        <v>5</v>
      </c>
      <c r="CY43" s="3" t="str">
        <f>_xlfn.XLOOKUP(B43,'BASE DE EXCEL'!$C:$C,'BASE DE EXCEL'!S:S,"NO HAY REFERENCIA")</f>
        <v>4 a 5 días</v>
      </c>
      <c r="CZ43" s="3" t="str">
        <f>_xlfn.XLOOKUP(B43,'BASE DE EXCEL'!$C:$C,'BASE DE EXCEL'!T:T,"NO HAY REFERENCIA")</f>
        <v>On Time</v>
      </c>
      <c r="DA43" s="3">
        <f>_xlfn.XLOOKUP(B43,'BASE DE EXCEL'!$C:$C,'BASE DE EXCEL'!U:U,"NO HAY REFERENCIA")</f>
        <v>6</v>
      </c>
      <c r="DB43" s="3" t="str">
        <f>_xlfn.XLOOKUP(B43,'BASE DE EXCEL'!$C:$C,'BASE DE EXCEL'!V:V,"NO HAY REFERENCIA")</f>
        <v>4 a 5 días</v>
      </c>
      <c r="DC43" s="3">
        <f>_xlfn.XLOOKUP(B43,'BASE DE EXCEL'!$C:$C,'BASE DE EXCEL'!W:W,"NO HAY REFERENCIA")</f>
        <v>11</v>
      </c>
      <c r="DD43" s="3" t="str">
        <f>_xlfn.XLOOKUP(B43,'BASE DE EXCEL'!$C:$C,'BASE DE EXCEL'!X:X,"NO HAY REFERENCIA")</f>
        <v>11 a 15 días</v>
      </c>
      <c r="DE43" s="3">
        <f>_xlfn.XLOOKUP(B43,'BASE DE EXCEL'!$C:$C,'BASE DE EXCEL'!Y:Y,"NO HAY REFERENCIA")</f>
        <v>1</v>
      </c>
      <c r="DF43" s="3" t="str">
        <f>_xlfn.XLOOKUP(B43,'BASE DE EXCEL'!$C:$C,'BASE DE EXCEL'!Z:Z,"NO HAY REFERENCIA")</f>
        <v>1 día o menos</v>
      </c>
      <c r="DG43" s="3">
        <f>_xlfn.XLOOKUP(B43,'BASE DE EXCEL'!$C:$C,'BASE DE EXCEL'!AA:AA,"NO HAY REFERENCIA")</f>
        <v>4</v>
      </c>
      <c r="DH43" s="3">
        <f>_xlfn.XLOOKUP(B43,'BASE DE EXCEL'!$C:$C,'BASE DE EXCEL'!AB:AB,"NO HAY REFERENCIA")</f>
        <v>1</v>
      </c>
      <c r="DI43" s="3" t="str">
        <f>_xlfn.XLOOKUP(B43,'BASE DE EXCEL'!$C:$C,'BASE DE EXCEL'!AC:AC,"NO HAY REFERENCIA")</f>
        <v>1 día o menos</v>
      </c>
      <c r="DJ43" s="4">
        <f>_xlfn.XLOOKUP(B43,'BASE DE EXCEL'!$C:$C,'BASE DE EXCEL'!AD:AD,"NO HAY REFERENCIA")</f>
        <v>46076</v>
      </c>
      <c r="DK43" s="3">
        <f>_xlfn.XLOOKUP(B43,'BASE DE EXCEL'!$C:$C,'BASE DE EXCEL'!AE:AE,"NO HAY REFERENCIA")</f>
        <v>11</v>
      </c>
      <c r="DL43" s="3">
        <f>_xlfn.XLOOKUP(B43,'BASE DE EXCEL'!$C:$C,'BASE DE EXCEL'!AF:AF,"NO HAY REFERENCIA")</f>
        <v>7</v>
      </c>
      <c r="DM43" s="4">
        <f>_xlfn.XLOOKUP(B43,'BASE DE EXCEL'!$C:$C,'BASE DE EXCEL'!AG:AG,"NO HAY REFERENCIA")</f>
        <v>46076</v>
      </c>
      <c r="DN43" s="4">
        <f>_xlfn.XLOOKUP(B43,'BASE DE EXCEL'!$C:$C,'BASE DE EXCEL'!AH:AH,"NO HAY REFERENCIA")</f>
        <v>46076</v>
      </c>
      <c r="DO43" s="3">
        <f>_xlfn.XLOOKUP(B43,'BASE DE EXCEL'!$C:$C,'BASE DE EXCEL'!AI:AI,"NO HAY REFERENCIA")</f>
        <v>0</v>
      </c>
      <c r="DP43" s="4" t="str">
        <f>_xlfn.XLOOKUP(B43,'BASE DE EXCEL'!$C:$C,'BASE DE EXCEL'!AJ:AJ,"NO HAY REFERENCIA")</f>
        <v>11 a 15 días</v>
      </c>
      <c r="DQ43" s="4">
        <f>_xlfn.XLOOKUP(B43,'BASE DE EXCEL'!$C:$C,'BASE DE EXCEL'!AK:AK,"NO HAY REFERENCIA")</f>
        <v>46076</v>
      </c>
      <c r="DR43" s="3">
        <f>_xlfn.XLOOKUP(B43,'BASE DE EXCEL'!$C:$C,'BASE DE EXCEL'!AL:AL,"NO HAY REFERENCIA")</f>
        <v>8</v>
      </c>
      <c r="DS43" s="3" t="str">
        <f>_xlfn.XLOOKUP(B43,'BASE DE EXCEL'!$C:$C,'BASE DE EXCEL'!AM:AM,"NO HAY REFERENCIA")</f>
        <v>6 a 10 días</v>
      </c>
      <c r="DT43" s="3" t="str">
        <f>_xlfn.XLOOKUP(B43,'BASE DE EXCEL'!$C:$C,'BASE DE EXCEL'!AN:AN,"NO HAY REFERENCIA")</f>
        <v>Delayed</v>
      </c>
      <c r="DU43" s="3">
        <f>_xlfn.XLOOKUP(B43,'BASE DE EXCEL'!$C:$C,'BASE DE EXCEL'!AO:AO,"NO HAY REFERENCIA")</f>
        <v>1</v>
      </c>
      <c r="DV43" s="3" t="str">
        <f>_xlfn.XLOOKUP(B43,'BASE DE EXCEL'!$C:$C,'BASE DE EXCEL'!AP:AP,"NO HAY REFERENCIA")</f>
        <v>Es anterior</v>
      </c>
      <c r="DW43" s="3" t="str">
        <f>_xlfn.XLOOKUP(B43,'BASE DE EXCEL'!$C:$C,'BASE DE EXCEL'!AQ:AQ,"NO HAY REFERENCIA")</f>
        <v>A1</v>
      </c>
      <c r="DX43" s="3" t="str">
        <f>_xlfn.XLOOKUP(B43,'BASE DE EXCEL'!$C:$C,'BASE DE EXCEL'!AR:AR,"NO HAY REFERENCIA")</f>
        <v>ZULEIMA PEREZ RUIZ</v>
      </c>
      <c r="DY43" s="3">
        <f>_xlfn.XLOOKUP(B43,'BASE DE EXCEL'!$C:$C,'BASE DE EXCEL'!AS:AS,"NO HAY REFERENCIA")</f>
        <v>265002013</v>
      </c>
      <c r="DZ43" s="3" t="str">
        <f>_xlfn.XLOOKUP(B43,'BASE DE EXCEL'!$C:$C,'BASE DE EXCEL'!AT:AT,"NO HAY REFERENCIA")</f>
        <v>NULL</v>
      </c>
      <c r="EA43" s="3">
        <f>_xlfn.XLOOKUP(B43,'BASE DE EXCEL'!$C:$C,'BASE DE EXCEL'!AU:AU,"NO HAY REFERENCIA")</f>
        <v>6000171</v>
      </c>
      <c r="EB43" s="3" t="str">
        <f>_xlfn.XLOOKUP(B43,'BASE DE EXCEL'!$C:$C,'BASE DE EXCEL'!AV:AV,"NO HAY REFERENCIA")</f>
        <v>Importación</v>
      </c>
      <c r="EC43" s="3" t="str">
        <f>_xlfn.XLOOKUP(B43,'BASE DE EXCEL'!$C:$C,'BASE DE EXCEL'!AW:AW,"NO HAY REFERENCIA")</f>
        <v>DILUREK POULTRY DILUENT 1X400 ML (MEDICAMENTO DE USO VETERINARIO)</v>
      </c>
      <c r="ED43" s="3" t="str">
        <f>_xlfn.XLOOKUP(B43,'BASE DE EXCEL'!$C:$C,'BASE DE EXCEL'!AX:AX,"NO HAY REFERENCIA")</f>
        <v>SIN CLASIFICACION</v>
      </c>
      <c r="EE43" s="3">
        <f>_xlfn.XLOOKUP(B43,'BASE DE EXCEL'!$C:$C,'BASE DE EXCEL'!AY:AY,"NO HAY REFERENCIA")</f>
        <v>0</v>
      </c>
      <c r="EF43" s="3" t="str">
        <f>_xlfn.XLOOKUP(B43,'BASE DE EXCEL'!$C:$C,'BASE DE EXCEL'!AZ:AZ,"NO HAY REFERENCIA")</f>
        <v>Cargas de Importación</v>
      </c>
      <c r="EG43" s="3" t="str">
        <f>_xlfn.XLOOKUP(B43,'BASE DE EXCEL'!$C:$C,'BASE DE EXCEL'!BA:BA,"NO HAY REFERENCIA")</f>
        <v>INTERVET MEXICO SA DE CV</v>
      </c>
      <c r="EH43" s="3">
        <f>_xlfn.XLOOKUP(B43,'BASE DE EXCEL'!$C:$C,'BASE DE EXCEL'!BB:BB,"NO HAY REFERENCIA")</f>
        <v>0</v>
      </c>
      <c r="EI43" s="3" t="str">
        <f>_xlfn.XLOOKUP(B43,'BASE DE EXCEL'!$C:$C,'BASE DE EXCEL'!BC:BC,"NO HAY REFERENCIA")</f>
        <v>NINGUNO</v>
      </c>
      <c r="EJ43" s="3">
        <f>_xlfn.XLOOKUP(B43,'BASE DE EXCEL'!$C:$C,'BASE DE EXCEL'!BD:BD,"NO HAY REFERENCIA")</f>
        <v>0</v>
      </c>
      <c r="EK43" s="3" t="str">
        <f>_xlfn.XLOOKUP(B43,'BASE DE EXCEL'!$C:$C,'BASE DE EXCEL'!BE:BE,"NO HAY REFERENCIA")</f>
        <v>NINGUNO</v>
      </c>
      <c r="EL43" s="3" t="str">
        <f>_xlfn.XLOOKUP(B43,'BASE DE EXCEL'!$C:$C,'BASE DE EXCEL'!BF:BF,"NO HAY REFERENCIA")</f>
        <v>PRODUCTO TERMINADO</v>
      </c>
      <c r="EM43" s="3" t="str">
        <f>_xlfn.XLOOKUP(B43,'BASE DE EXCEL'!$C:$C,'BASE DE EXCEL'!BG:BG,"NO HAY REFERENCIA")</f>
        <v>Verde</v>
      </c>
      <c r="EN43" s="3" t="str">
        <f>_xlfn.XLOOKUP(B43,'BASE DE EXCEL'!$C:$C,'BASE DE EXCEL'!BH:BH,"NO HAY REFERENCIA")</f>
        <v xml:space="preserve"> SUPER EXPRESS DE CARGA FEDERAL S.A. DE C.V.</v>
      </c>
      <c r="EO43" s="3">
        <f>_xlfn.XLOOKUP(B43,'BASE DE EXCEL'!$C:$C,'BASE DE EXCEL'!BI:BI,"NO HAY REFERENCIA")</f>
        <v>0</v>
      </c>
      <c r="EP43" s="3" t="str">
        <f>_xlfn.XLOOKUP(B43,'BASE DE EXCEL'!$C:$C,'BASE DE EXCEL'!BJ:BJ,"NO HAY REFERENCIA")</f>
        <v>IME-T001</v>
      </c>
      <c r="EQ43" s="3" t="str">
        <f>_xlfn.XLOOKUP(B43,'BASE DE EXCEL'!$C:$C,'BASE DE EXCEL'!BK:BK,"NO HAY REFERENCIA")</f>
        <v>IME850329RH2</v>
      </c>
      <c r="ER43" s="3">
        <f>_xlfn.XLOOKUP(B43,'BASE DE EXCEL'!$C:$C,'BASE DE EXCEL'!BL:BL,"NO HAY REFERENCIA")</f>
        <v>0</v>
      </c>
      <c r="ES43" s="3">
        <f>_xlfn.XLOOKUP(B43,'BASE DE EXCEL'!$C:$C,'BASE DE EXCEL'!BM:BM,"NO HAY REFERENCIA")</f>
        <v>99</v>
      </c>
      <c r="ET43" s="3" t="str">
        <f>_xlfn.XLOOKUP(B43,'BASE DE EXCEL'!$C:$C,'BASE DE EXCEL'!BN:BN,"NO HAY REFERENCIA")</f>
        <v>LOTES: 008/25, 009/25, 010/25</v>
      </c>
      <c r="EU43" s="3">
        <f>_xlfn.XLOOKUP(B43,'BASE DE EXCEL'!$C:$C,'BASE DE EXCEL'!BO:BO,"NO HAY REFERENCIA")</f>
        <v>90</v>
      </c>
      <c r="EV43" s="3">
        <f>_xlfn.XLOOKUP(B43,'BASE DE EXCEL'!$C:$C,'BASE DE EXCEL'!BP:BP,"NO HAY REFERENCIA")</f>
        <v>1235000</v>
      </c>
      <c r="EW43" s="3" t="str">
        <f>_xlfn.XLOOKUP(B43,'BASE DE EXCEL'!$C:$C,'BASE DE EXCEL'!BQ:BQ,"NO HAY REFERENCIA")</f>
        <v>KILO</v>
      </c>
      <c r="EX43" s="3">
        <f>_xlfn.XLOOKUP(B43,'BASE DE EXCEL'!$C:$C,'BASE DE EXCEL'!BR:BR,"NO HAY REFERENCIA")</f>
        <v>0</v>
      </c>
      <c r="EY43" s="3" t="str">
        <f>_xlfn.XLOOKUP(B43,'BASE DE EXCEL'!$C:$C,'BASE DE EXCEL'!BS:BS,"NO HAY REFERENCIA")</f>
        <v>BRASIL (REPUBLICA FEDERATIVA DE)</v>
      </c>
      <c r="EZ43" s="3" t="str">
        <f>_xlfn.XLOOKUP(B43,'BASE DE EXCEL'!$C:$C,'BASE DE EXCEL'!BT:BT,"NO HAY REFERENCIA")</f>
        <v>PAISES BAJOS (REINO DE LOS) (HOLANDA)</v>
      </c>
      <c r="FA43" s="3" t="str">
        <f>_xlfn.XLOOKUP(B43,'BASE DE EXCEL'!$C:$C,'BASE DE EXCEL'!BU:BU,"NO HAY REFERENCIA")</f>
        <v>BRA</v>
      </c>
      <c r="FB43" s="3" t="str">
        <f>_xlfn.XLOOKUP(B43,'BASE DE EXCEL'!$C:$C,'BASE DE EXCEL'!BV:BV,"NO HAY REFERENCIA")</f>
        <v>ZYA</v>
      </c>
      <c r="FC43" s="3">
        <f>_xlfn.XLOOKUP(B43,QUERY!$C:$C,QUERY!D:D)</f>
        <v>430</v>
      </c>
      <c r="FD43" s="4">
        <f>_xlfn.XLOOKUP(B43,QUERY!$C:$C,QUERY!E:E)</f>
        <v>46063</v>
      </c>
      <c r="FE43" s="3">
        <f>_xlfn.XLOOKUP(B43,QUERY!$C:$C,QUERY!F:F)</f>
        <v>2</v>
      </c>
      <c r="FF43" s="4">
        <f>_xlfn.XLOOKUP(B43,QUERY!$C:$C,QUERY!G:G)</f>
        <v>46059</v>
      </c>
      <c r="FG43" s="4">
        <f>_xlfn.XLOOKUP(B43,QUERY!$C:$C,QUERY!H:H)</f>
        <v>46063</v>
      </c>
      <c r="FH43" s="3">
        <f>_xlfn.XLOOKUP(B43,QUERY!$C:$C,QUERY!I:I)</f>
        <v>2</v>
      </c>
      <c r="FI43" s="3" t="str">
        <f>_xlfn.XLOOKUP(B43,QUERY!$C:$C,QUERY!J:J)</f>
        <v>2 a 3 días</v>
      </c>
      <c r="FJ43" s="4">
        <f>_xlfn.XLOOKUP(B43,QUERY!$C:$C,QUERY!K:K)</f>
        <v>46064</v>
      </c>
      <c r="FK43" s="3">
        <f>_xlfn.XLOOKUP(B43,QUERY!$C:$C,QUERY!L:L)</f>
        <v>3</v>
      </c>
      <c r="FL43" s="3" t="str">
        <f>_xlfn.XLOOKUP(B43,QUERY!$C:$C,QUERY!M:M)</f>
        <v>2 a 3 días</v>
      </c>
      <c r="FM43" s="3">
        <f>_xlfn.XLOOKUP(B43,QUERY!$C:$C,QUERY!N:N)</f>
        <v>1</v>
      </c>
      <c r="FN43" s="3" t="str">
        <f>_xlfn.XLOOKUP(B43,QUERY!$C:$C,QUERY!O:O)</f>
        <v>1 día o menos</v>
      </c>
      <c r="FO43" s="3">
        <f>_xlfn.XLOOKUP(B43,QUERY!$C:$C,QUERY!P:P)</f>
        <v>1</v>
      </c>
      <c r="FP43" s="3">
        <f>_xlfn.XLOOKUP(B43,QUERY!$C:$C,QUERY!Q:Q)</f>
        <v>1</v>
      </c>
      <c r="FQ43" s="3" t="str">
        <f>_xlfn.XLOOKUP(B43,QUERY!$C:$C,QUERY!R:R)</f>
        <v>1 día o menos</v>
      </c>
      <c r="FR43" s="4">
        <f>_xlfn.XLOOKUP(B43,QUERY!$C:$C,QUERY!S:S)</f>
        <v>46065</v>
      </c>
      <c r="FS43" s="3">
        <f>_xlfn.XLOOKUP(B43,QUERY!$C:$C,QUERY!T:T)</f>
        <v>4</v>
      </c>
      <c r="FT43" s="3" t="str">
        <f>_xlfn.XLOOKUP(B43,QUERY!$C:$C,QUERY!U:U)</f>
        <v>4 a 5 días</v>
      </c>
      <c r="FU43" s="3">
        <f>_xlfn.XLOOKUP(B43,QUERY!$C:$C,QUERY!V:V)</f>
        <v>11</v>
      </c>
      <c r="FV43" s="3" t="str">
        <f>_xlfn.XLOOKUP(B43,QUERY!$C:$C,QUERY!W:W)</f>
        <v>11 a 15 días</v>
      </c>
      <c r="FW43" s="4">
        <f>_xlfn.XLOOKUP(B43,QUERY!$C:$C,QUERY!X:X)</f>
        <v>46076</v>
      </c>
      <c r="FX43" s="3">
        <f>_xlfn.XLOOKUP(B43,QUERY!$C:$C,QUERY!Y:Y)</f>
        <v>7</v>
      </c>
      <c r="FY43" s="3">
        <f>_xlfn.XLOOKUP(B43,QUERY!$C:$C,QUERY!Z:Z)</f>
        <v>7</v>
      </c>
      <c r="FZ43" s="4" t="str">
        <f>_xlfn.XLOOKUP(B43,QUERY!$C:$C,QUERY!AA:AA)</f>
        <v>11 a 15 días</v>
      </c>
      <c r="GA43" s="4">
        <f>_xlfn.XLOOKUP(B43,QUERY!$C:$C,QUERY!AB:AB)</f>
        <v>46076</v>
      </c>
      <c r="GB43" s="4">
        <f>_xlfn.XLOOKUP(B43,QUERY!$C:$C,QUERY!AC:AC)</f>
        <v>46076</v>
      </c>
      <c r="GC43" s="3">
        <f>_xlfn.XLOOKUP(B43,QUERY!$C:$C,QUERY!AD:AD)</f>
        <v>0</v>
      </c>
      <c r="GD43" s="4">
        <f>_xlfn.XLOOKUP(B43,QUERY!$C:$C,QUERY!AE:AE)</f>
        <v>46076</v>
      </c>
      <c r="GE43" s="3">
        <f>_xlfn.XLOOKUP(B43,QUERY!$C:$C,QUERY!AF:AF)</f>
        <v>1</v>
      </c>
      <c r="GF43" s="4" t="str">
        <f>_xlfn.XLOOKUP(B43,QUERY!$C:$C,QUERY!AG:AG)</f>
        <v>Es anterior</v>
      </c>
      <c r="GG43" s="3" t="str">
        <f>_xlfn.XLOOKUP(B43,QUERY!$C:$C,QUERY!AH:AH)</f>
        <v>A1</v>
      </c>
      <c r="GH43" s="3" t="str">
        <f>_xlfn.XLOOKUP(B43,QUERY!$C:$C,QUERY!AI:AI)</f>
        <v>ZULEIMA PEREZ RUIZ</v>
      </c>
      <c r="GI43" s="3">
        <f>_xlfn.XLOOKUP(B43,QUERY!$C:$C,QUERY!AJ:AJ)</f>
        <v>265002013</v>
      </c>
      <c r="GJ43" s="3" t="str">
        <f>_xlfn.XLOOKUP(B43,QUERY!$C:$C,QUERY!AK:AK)</f>
        <v>NULL</v>
      </c>
      <c r="GK43" s="3">
        <f>_xlfn.XLOOKUP(B43,QUERY!$C:$C,QUERY!AL:AL)</f>
        <v>6000171</v>
      </c>
      <c r="GL43" s="3" t="str">
        <f>_xlfn.XLOOKUP(B43,QUERY!$C:$C,QUERY!AM:AM)</f>
        <v>Importación</v>
      </c>
      <c r="GM43" s="3" t="str">
        <f>_xlfn.XLOOKUP(B43,QUERY!$C:$C,QUERY!AN:AN)</f>
        <v>DILUREK POULTRY DILUENT 1X400 ML (MEDICAMENTO DE USO VETERINARIO)</v>
      </c>
      <c r="GN43" s="3" t="str">
        <f>_xlfn.XLOOKUP(B43,QUERY!$C:$C,QUERY!AO:AO)</f>
        <v>SIN CLASIFICACION</v>
      </c>
      <c r="GO43" s="3">
        <f>_xlfn.XLOOKUP(B43,QUERY!$C:$C,QUERY!AP:AP)</f>
        <v>0</v>
      </c>
      <c r="GP43" s="3" t="str">
        <f>_xlfn.XLOOKUP(B43,QUERY!$C:$C,QUERY!AQ:AQ)</f>
        <v>Cargas de Importación</v>
      </c>
      <c r="GQ43" s="3" t="str">
        <f>_xlfn.XLOOKUP(B43,QUERY!$C:$C,QUERY!AR:AR)</f>
        <v>INTERVET MEXICO SA DE CV</v>
      </c>
      <c r="GR43" s="3">
        <f>_xlfn.XLOOKUP(B43,QUERY!$C:$C,QUERY!AS:AS)</f>
        <v>0</v>
      </c>
      <c r="GS43" s="3" t="str">
        <f>_xlfn.XLOOKUP(B43,QUERY!$C:$C,QUERY!AT:AT)</f>
        <v>NINGUNO</v>
      </c>
      <c r="GT43" s="3">
        <f>_xlfn.XLOOKUP(B43,QUERY!$C:$C,QUERY!AU:AU)</f>
        <v>0</v>
      </c>
      <c r="GU43" s="3" t="str">
        <f>_xlfn.XLOOKUP(B43,QUERY!$C:$C,QUERY!AV:AV)</f>
        <v>NINGUNO</v>
      </c>
      <c r="GV43" s="3" t="str">
        <f>_xlfn.XLOOKUP(B43,QUERY!$C:$C,QUERY!AW:AW)</f>
        <v>PRODUCTO TERMINADO</v>
      </c>
      <c r="GW43" s="3" t="str">
        <f>_xlfn.XLOOKUP(B43,QUERY!$C:$C,QUERY!AX:AX)</f>
        <v>Verde</v>
      </c>
      <c r="GX43" s="3" t="str">
        <f>_xlfn.XLOOKUP(B43,QUERY!$C:$C,QUERY!AY:AY)</f>
        <v xml:space="preserve"> SUPER EXPRESS DE CARGA FEDERAL S.A. DE C.V.</v>
      </c>
      <c r="GY43" s="3">
        <f>_xlfn.XLOOKUP(B43,QUERY!$C:$C,QUERY!AZ:AZ)</f>
        <v>0</v>
      </c>
      <c r="GZ43" s="3" t="str">
        <f>_xlfn.XLOOKUP(B43,QUERY!$C:$C,QUERY!BA:BA)</f>
        <v>IME-T001</v>
      </c>
      <c r="HA43" s="3" t="str">
        <f>_xlfn.XLOOKUP(B43,QUERY!$C:$C,QUERY!BB:BB)</f>
        <v>IME850329RH2</v>
      </c>
      <c r="HB43" s="3">
        <f>_xlfn.XLOOKUP(B43,QUERY!$C:$C,QUERY!BC:BC)</f>
        <v>0</v>
      </c>
      <c r="HC43" s="3">
        <f>_xlfn.XLOOKUP(B43,QUERY!$C:$C,QUERY!BD:BD)</f>
        <v>99</v>
      </c>
      <c r="HD43" s="3" t="str">
        <f>_xlfn.XLOOKUP(B43,QUERY!$C:$C,QUERY!BE:BE)</f>
        <v>LOTES: 008/25, 009/25, 010/25</v>
      </c>
      <c r="HE43" s="3">
        <f>_xlfn.XLOOKUP(B43,QUERY!$C:$C,QUERY!BF:BF)</f>
        <v>90</v>
      </c>
      <c r="HF43" s="3" t="str">
        <f>_xlfn.XLOOKUP(B43,QUERY!$C:$C,QUERY!BG:BG)</f>
        <v xml:space="preserve"> 1235000.00</v>
      </c>
      <c r="HG43" s="3" t="str">
        <f>_xlfn.XLOOKUP(B43,QUERY!$C:$C,QUERY!BH:BH)</f>
        <v>KILO</v>
      </c>
      <c r="HH43" s="3">
        <f>_xlfn.XLOOKUP(B43,QUERY!$C:$C,QUERY!BI:BI)</f>
        <v>0</v>
      </c>
      <c r="HI43" s="3" t="str">
        <f>_xlfn.XLOOKUP(B43,QUERY!$C:$C,QUERY!BJ:BJ)</f>
        <v>BRASIL (REPUBLICA FEDERATIVA DE)</v>
      </c>
      <c r="HJ43" s="3" t="str">
        <f>_xlfn.XLOOKUP(B43,QUERY!$C:$C,QUERY!BK:BK)</f>
        <v>PAISES BAJOS (REINO DE LOS) (HOLANDA)</v>
      </c>
      <c r="HK43" s="3" t="str">
        <f>_xlfn.XLOOKUP(B43,QUERY!$C:$C,QUERY!BL:BL)</f>
        <v>BRA</v>
      </c>
      <c r="HL43" s="3" t="str">
        <f>_xlfn.XLOOKUP(B43,QUERY!$C:$C,QUERY!BM:BM)</f>
        <v>ZYA</v>
      </c>
      <c r="HM43" s="3">
        <f>_xlfn.XLOOKUP(B43,QUERY!$C:$C,QUERY!BN:BN)</f>
        <v>1235000</v>
      </c>
      <c r="HN43" s="3" t="str">
        <f>_xlfn.XLOOKUP(B43,QUERY!$C:$C,QUERY!BO:BO)</f>
        <v>9880.00</v>
      </c>
      <c r="HO43" s="3" t="str">
        <f>_xlfn.XLOOKUP(B43,QUERY!$C:$C,QUERY!BP:BP)</f>
        <v>209061.00</v>
      </c>
      <c r="HP43" s="3" t="str">
        <f>_xlfn.XLOOKUP(B43,QUERY!$C:$C,QUERY!BQ:BQ)</f>
        <v>61750.00</v>
      </c>
      <c r="HQ43" s="3" t="str">
        <f>_xlfn.XLOOKUP(B43,QUERY!$C:$C,QUERY!BR:BR)</f>
        <v>87855.80</v>
      </c>
      <c r="HR43" s="3">
        <f>_xlfn.XLOOKUP(B43,QUERY!$C:$C,QUERY!BS:BS)</f>
        <v>0</v>
      </c>
      <c r="HS43" s="3">
        <f>_xlfn.XLOOKUP(B43,QUERY!$C:$C,QUERY!BT:BT)</f>
        <v>0</v>
      </c>
      <c r="HT43" s="3" t="str">
        <f>_xlfn.XLOOKUP(B43,QUERY!$C:$C,QUERY!A:A)</f>
        <v>VERACRUZ</v>
      </c>
      <c r="HU43" s="3" t="str">
        <f>_xlfn.XLOOKUP(B43,QUERY!$C:$C,QUERY!B:B)</f>
        <v>MARÍTIMO VERACRUZ</v>
      </c>
    </row>
    <row r="44" spans="1:229" x14ac:dyDescent="0.25">
      <c r="A44" s="3" t="s">
        <v>90</v>
      </c>
      <c r="B44" s="13" t="s">
        <v>222</v>
      </c>
      <c r="C44" s="3">
        <v>3942</v>
      </c>
      <c r="D44" s="3">
        <v>6000186</v>
      </c>
      <c r="E44" s="3"/>
      <c r="F44" s="3" t="s">
        <v>92</v>
      </c>
      <c r="G44" s="3" t="s">
        <v>93</v>
      </c>
      <c r="H44" s="3">
        <v>0</v>
      </c>
      <c r="I44" s="3">
        <v>0</v>
      </c>
      <c r="J44" s="3">
        <v>0</v>
      </c>
      <c r="K44" s="3">
        <v>0</v>
      </c>
      <c r="L44" s="3" t="s">
        <v>223</v>
      </c>
      <c r="M44" s="3" t="s">
        <v>223</v>
      </c>
      <c r="N44" s="3">
        <v>0</v>
      </c>
      <c r="O44" s="3">
        <v>0</v>
      </c>
      <c r="P44" s="3">
        <v>17.2315</v>
      </c>
      <c r="Q44" s="3">
        <v>14938.8</v>
      </c>
      <c r="R44" s="3">
        <v>430</v>
      </c>
      <c r="S44" s="3" t="s">
        <v>224</v>
      </c>
      <c r="T44" s="3" t="s">
        <v>225</v>
      </c>
      <c r="U44" s="3">
        <v>3614532</v>
      </c>
      <c r="V44" s="3">
        <v>3614532</v>
      </c>
      <c r="W44" s="3">
        <v>0</v>
      </c>
      <c r="X44" s="3">
        <v>0</v>
      </c>
      <c r="Y44" s="3">
        <v>0</v>
      </c>
      <c r="Z44" s="3">
        <v>0</v>
      </c>
      <c r="AA44" s="3" t="s">
        <v>226</v>
      </c>
      <c r="AB44" s="3"/>
      <c r="AC44" s="3">
        <v>1794721</v>
      </c>
      <c r="AD44" s="3">
        <v>278.76996000000003</v>
      </c>
      <c r="AE44" s="3">
        <v>354</v>
      </c>
      <c r="AF44" s="3" t="s">
        <v>227</v>
      </c>
      <c r="AG44" s="3">
        <v>0</v>
      </c>
      <c r="AH44" s="3">
        <v>0</v>
      </c>
      <c r="AI44" s="3">
        <v>53</v>
      </c>
      <c r="AJ44" s="3">
        <v>28916</v>
      </c>
      <c r="AK44" s="3">
        <v>0</v>
      </c>
      <c r="AL44" s="3">
        <v>0</v>
      </c>
      <c r="AM44" s="3">
        <v>330</v>
      </c>
      <c r="AN44" s="3">
        <v>247906</v>
      </c>
      <c r="AO44" s="3" t="s">
        <v>97</v>
      </c>
      <c r="AP44" s="3" t="s">
        <v>98</v>
      </c>
      <c r="AQ44" s="3">
        <v>210363668</v>
      </c>
      <c r="AR44" s="3" t="s">
        <v>99</v>
      </c>
      <c r="AS44" s="3" t="s">
        <v>100</v>
      </c>
      <c r="AT44" s="3">
        <v>265080842</v>
      </c>
      <c r="AU44" s="3"/>
      <c r="AV44" s="3" t="s">
        <v>188</v>
      </c>
      <c r="AW44" s="3">
        <v>38089199</v>
      </c>
      <c r="AX44" s="3">
        <v>99</v>
      </c>
      <c r="AY44" s="3">
        <v>6438</v>
      </c>
      <c r="AZ44" s="3">
        <v>6438</v>
      </c>
      <c r="BA44" s="3" t="s">
        <v>103</v>
      </c>
      <c r="BB44" s="3"/>
      <c r="BC44" s="3" t="s">
        <v>189</v>
      </c>
      <c r="BD44" s="3" t="s">
        <v>105</v>
      </c>
      <c r="BE44" s="3" t="s">
        <v>228</v>
      </c>
      <c r="BF44" s="3" t="s">
        <v>107</v>
      </c>
      <c r="BG44" s="5" t="s">
        <v>229</v>
      </c>
      <c r="BH44" s="3" t="s">
        <v>230</v>
      </c>
      <c r="BI44" s="3"/>
      <c r="BJ44" s="3" t="s">
        <v>109</v>
      </c>
      <c r="BK44" s="3" t="s">
        <v>231</v>
      </c>
      <c r="BL44" s="3">
        <v>43428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22189.59</v>
      </c>
      <c r="BY44" s="3">
        <v>0</v>
      </c>
      <c r="BZ44" s="3">
        <v>0</v>
      </c>
      <c r="CA44" s="3">
        <v>38739.71</v>
      </c>
      <c r="CB44" s="3">
        <v>11650.42</v>
      </c>
      <c r="CC44" s="3">
        <v>2364.87</v>
      </c>
      <c r="CD44" s="3">
        <v>315569.73</v>
      </c>
      <c r="CE44" s="3" t="s">
        <v>192</v>
      </c>
      <c r="CF44" s="3">
        <v>315569.73</v>
      </c>
      <c r="CG44" s="3">
        <v>0</v>
      </c>
      <c r="CH44" s="3">
        <v>0</v>
      </c>
      <c r="CI44" s="3" t="s">
        <v>112</v>
      </c>
      <c r="CJ44" s="3" t="s">
        <v>112</v>
      </c>
      <c r="CK44" s="3">
        <f>_xlfn.XLOOKUP($B$2,'BASE DE EXCEL'!C:C,'BASE DE EXCEL'!D:D,"NO HAY REFERENCIA")</f>
        <v>470</v>
      </c>
      <c r="CL44" s="5">
        <f>_xlfn.XLOOKUP($B$2,'BASE DE EXCEL'!$C:$C,'BASE DE EXCEL'!F:F,"NO HAY REFERENCIA")</f>
        <v>3</v>
      </c>
      <c r="CM44" s="4">
        <f>_xlfn.XLOOKUP($B$2,'BASE DE EXCEL'!$C:$C,'BASE DE EXCEL'!G:G,"NO HAY REFERENCIA")</f>
        <v>46080</v>
      </c>
      <c r="CN44" s="4">
        <f>_xlfn.XLOOKUP($B$2,'BASE DE EXCEL'!$C:$C,'BASE DE EXCEL'!H:H,"NO HAY REFERENCIA")</f>
        <v>46086</v>
      </c>
      <c r="CO44" s="3">
        <f>_xlfn.XLOOKUP($B$2,'BASE DE EXCEL'!$C:$C,'BASE DE EXCEL'!I:I,"NO HAY REFERENCIA")</f>
        <v>4</v>
      </c>
      <c r="CP44" s="3" t="str">
        <f>_xlfn.XLOOKUP($B$2,'BASE DE EXCEL'!$C:$C,'BASE DE EXCEL'!J:J,"NO HAY REFERENCIA")</f>
        <v>4 a 5 días</v>
      </c>
      <c r="CQ44" s="4">
        <f>_xlfn.XLOOKUP($B$2,'BASE DE EXCEL'!$C:$C,'BASE DE EXCEL'!K:K,"NO HAY REFERENCIA")</f>
        <v>46087</v>
      </c>
      <c r="CR44" s="3">
        <f>_xlfn.XLOOKUP($B$2,'BASE DE EXCEL'!$C:$C,'BASE DE EXCEL'!L:L,"NO HAY REFERENCIA")</f>
        <v>5</v>
      </c>
      <c r="CS44" s="3">
        <f>_xlfn.XLOOKUP($B$2,'BASE DE EXCEL'!$C:$C,'BASE DE EXCEL'!M:M,"NO HAY REFERENCIA")</f>
        <v>6</v>
      </c>
      <c r="CT44" s="3" t="str">
        <f>_xlfn.XLOOKUP($B$2,'BASE DE EXCEL'!$C:$C,'BASE DE EXCEL'!N:N,"NO HAY REFERENCIA")</f>
        <v>6 a 10 días</v>
      </c>
      <c r="CU44" s="3" t="str">
        <f>_xlfn.XLOOKUP($B$2,'BASE DE EXCEL'!$C:$C,'BASE DE EXCEL'!O:O,"NO HAY REFERENCIA")</f>
        <v>On Time</v>
      </c>
      <c r="CV44" s="3" t="str">
        <f>_xlfn.XLOOKUP(B44,'BASE DE EXCEL'!$C:$C,'BASE DE EXCEL'!P:P,"NO HAY REFERENCIA")</f>
        <v>11 a 15 días</v>
      </c>
      <c r="CW44" s="4">
        <f>_xlfn.XLOOKUP(B44,'BASE DE EXCEL'!$C:$C,'BASE DE EXCEL'!Q:Q,"NO HAY REFERENCIA")</f>
        <v>46080</v>
      </c>
      <c r="CX44" s="3">
        <f>_xlfn.XLOOKUP(B44,'BASE DE EXCEL'!$C:$C,'BASE DE EXCEL'!R:R,"NO HAY REFERENCIA")</f>
        <v>12</v>
      </c>
      <c r="CY44" s="3" t="str">
        <f>_xlfn.XLOOKUP(B44,'BASE DE EXCEL'!$C:$C,'BASE DE EXCEL'!S:S,"NO HAY REFERENCIA")</f>
        <v>11 a 15 días</v>
      </c>
      <c r="CZ44" s="3" t="str">
        <f>_xlfn.XLOOKUP(B44,'BASE DE EXCEL'!$C:$C,'BASE DE EXCEL'!T:T,"NO HAY REFERENCIA")</f>
        <v>Delayed</v>
      </c>
      <c r="DA44" s="3">
        <f>_xlfn.XLOOKUP(B44,'BASE DE EXCEL'!$C:$C,'BASE DE EXCEL'!U:U,"NO HAY REFERENCIA")</f>
        <v>15</v>
      </c>
      <c r="DB44" s="3" t="str">
        <f>_xlfn.XLOOKUP(B44,'BASE DE EXCEL'!$C:$C,'BASE DE EXCEL'!V:V,"NO HAY REFERENCIA")</f>
        <v>11 a 15 días</v>
      </c>
      <c r="DC44" s="3">
        <f>_xlfn.XLOOKUP(B44,'BASE DE EXCEL'!$C:$C,'BASE DE EXCEL'!W:W,"NO HAY REFERENCIA")</f>
        <v>17</v>
      </c>
      <c r="DD44" s="3" t="str">
        <f>_xlfn.XLOOKUP(B44,'BASE DE EXCEL'!$C:$C,'BASE DE EXCEL'!X:X,"NO HAY REFERENCIA")</f>
        <v>más de 16 días</v>
      </c>
      <c r="DE44" s="3">
        <f>_xlfn.XLOOKUP(B44,'BASE DE EXCEL'!$C:$C,'BASE DE EXCEL'!Y:Y,"NO HAY REFERENCIA")</f>
        <v>1</v>
      </c>
      <c r="DF44" s="3" t="str">
        <f>_xlfn.XLOOKUP(B44,'BASE DE EXCEL'!$C:$C,'BASE DE EXCEL'!Z:Z,"NO HAY REFERENCIA")</f>
        <v>1 día o menos</v>
      </c>
      <c r="DG44" s="3">
        <f>_xlfn.XLOOKUP(B44,'BASE DE EXCEL'!$C:$C,'BASE DE EXCEL'!AA:AA,"NO HAY REFERENCIA")</f>
        <v>13</v>
      </c>
      <c r="DH44" s="3">
        <f>_xlfn.XLOOKUP(B44,'BASE DE EXCEL'!$C:$C,'BASE DE EXCEL'!AB:AB,"NO HAY REFERENCIA")</f>
        <v>1</v>
      </c>
      <c r="DI44" s="3" t="str">
        <f>_xlfn.XLOOKUP(B44,'BASE DE EXCEL'!$C:$C,'BASE DE EXCEL'!AC:AC,"NO HAY REFERENCIA")</f>
        <v>1 día o menos</v>
      </c>
      <c r="DJ44" s="4">
        <f>_xlfn.XLOOKUP(B44,'BASE DE EXCEL'!$C:$C,'BASE DE EXCEL'!AD:AD,"NO HAY REFERENCIA")</f>
        <v>46090</v>
      </c>
      <c r="DK44" s="3">
        <f>_xlfn.XLOOKUP(B44,'BASE DE EXCEL'!$C:$C,'BASE DE EXCEL'!AE:AE,"NO HAY REFERENCIA")</f>
        <v>7</v>
      </c>
      <c r="DL44" s="3">
        <f>_xlfn.XLOOKUP(B44,'BASE DE EXCEL'!$C:$C,'BASE DE EXCEL'!AF:AF,"NO HAY REFERENCIA")</f>
        <v>6</v>
      </c>
      <c r="DM44" s="4">
        <f>_xlfn.XLOOKUP(B44,'BASE DE EXCEL'!$C:$C,'BASE DE EXCEL'!AG:AG,"NO HAY REFERENCIA")</f>
        <v>46087</v>
      </c>
      <c r="DN44" s="4">
        <f>_xlfn.XLOOKUP(B44,'BASE DE EXCEL'!$C:$C,'BASE DE EXCEL'!AH:AH,"NO HAY REFERENCIA")</f>
        <v>46090</v>
      </c>
      <c r="DO44" s="3">
        <f>_xlfn.XLOOKUP(B44,'BASE DE EXCEL'!$C:$C,'BASE DE EXCEL'!AI:AI,"NO HAY REFERENCIA")</f>
        <v>3</v>
      </c>
      <c r="DP44" s="4" t="str">
        <f>_xlfn.XLOOKUP(B44,'BASE DE EXCEL'!$C:$C,'BASE DE EXCEL'!AJ:AJ,"NO HAY REFERENCIA")</f>
        <v>6 a 10 días</v>
      </c>
      <c r="DQ44" s="4">
        <f>_xlfn.XLOOKUP(B44,'BASE DE EXCEL'!$C:$C,'BASE DE EXCEL'!AK:AK,"NO HAY REFERENCIA")</f>
        <v>46090</v>
      </c>
      <c r="DR44" s="3">
        <f>_xlfn.XLOOKUP(B44,'BASE DE EXCEL'!$C:$C,'BASE DE EXCEL'!AL:AL,"NO HAY REFERENCIA")</f>
        <v>7</v>
      </c>
      <c r="DS44" s="3" t="str">
        <f>_xlfn.XLOOKUP(B44,'BASE DE EXCEL'!$C:$C,'BASE DE EXCEL'!AM:AM,"NO HAY REFERENCIA")</f>
        <v>6 a 10 días</v>
      </c>
      <c r="DT44" s="3" t="str">
        <f>_xlfn.XLOOKUP(B44,'BASE DE EXCEL'!$C:$C,'BASE DE EXCEL'!AN:AN,"NO HAY REFERENCIA")</f>
        <v>Delayed</v>
      </c>
      <c r="DU44" s="3">
        <f>_xlfn.XLOOKUP(B44,'BASE DE EXCEL'!$C:$C,'BASE DE EXCEL'!AO:AO,"NO HAY REFERENCIA")</f>
        <v>1</v>
      </c>
      <c r="DV44" s="3" t="str">
        <f>_xlfn.XLOOKUP(B44,'BASE DE EXCEL'!$C:$C,'BASE DE EXCEL'!AP:AP,"NO HAY REFERENCIA")</f>
        <v>Es anterior</v>
      </c>
      <c r="DW44" s="3" t="str">
        <f>_xlfn.XLOOKUP(B44,'BASE DE EXCEL'!$C:$C,'BASE DE EXCEL'!AQ:AQ,"NO HAY REFERENCIA")</f>
        <v>A1</v>
      </c>
      <c r="DX44" s="3" t="str">
        <f>_xlfn.XLOOKUP(B44,'BASE DE EXCEL'!$C:$C,'BASE DE EXCEL'!AR:AR,"NO HAY REFERENCIA")</f>
        <v>ZULEIMA PEREZ RUIZ</v>
      </c>
      <c r="DY44" s="3">
        <f>_xlfn.XLOOKUP(B44,'BASE DE EXCEL'!$C:$C,'BASE DE EXCEL'!AS:AS,"NO HAY REFERENCIA")</f>
        <v>265080842</v>
      </c>
      <c r="DZ44" s="3" t="str">
        <f>_xlfn.XLOOKUP(B44,'BASE DE EXCEL'!$C:$C,'BASE DE EXCEL'!AT:AT,"NO HAY REFERENCIA")</f>
        <v>NULL</v>
      </c>
      <c r="EA44" s="3">
        <f>_xlfn.XLOOKUP(B44,'BASE DE EXCEL'!$C:$C,'BASE DE EXCEL'!AU:AU,"NO HAY REFERENCIA")</f>
        <v>6000186</v>
      </c>
      <c r="EB44" s="3" t="str">
        <f>_xlfn.XLOOKUP(B44,'BASE DE EXCEL'!$C:$C,'BASE DE EXCEL'!AV:AV,"NO HAY REFERENCIA")</f>
        <v>Importación</v>
      </c>
      <c r="EC44" s="3" t="str">
        <f>_xlfn.XLOOKUP(B44,'BASE DE EXCEL'!$C:$C,'BASE DE EXCEL'!AW:AW,"NO HAY REFERENCIA")</f>
        <v>TAKTIC EC 1X1L</v>
      </c>
      <c r="ED44" s="3" t="str">
        <f>_xlfn.XLOOKUP(B44,'BASE DE EXCEL'!$C:$C,'BASE DE EXCEL'!AX:AX,"NO HAY REFERENCIA")</f>
        <v>SIN CLASIFICACION</v>
      </c>
      <c r="EE44" s="3">
        <f>_xlfn.XLOOKUP(B44,'BASE DE EXCEL'!$C:$C,'BASE DE EXCEL'!AY:AY,"NO HAY REFERENCIA")</f>
        <v>0</v>
      </c>
      <c r="EF44" s="3" t="str">
        <f>_xlfn.XLOOKUP(B44,'BASE DE EXCEL'!$C:$C,'BASE DE EXCEL'!AZ:AZ,"NO HAY REFERENCIA")</f>
        <v>Cargas de Importación</v>
      </c>
      <c r="EG44" s="3" t="str">
        <f>_xlfn.XLOOKUP(B44,'BASE DE EXCEL'!$C:$C,'BASE DE EXCEL'!BA:BA,"NO HAY REFERENCIA")</f>
        <v>INTERVET MEXICO SA DE CV</v>
      </c>
      <c r="EH44" s="3">
        <f>_xlfn.XLOOKUP(B44,'BASE DE EXCEL'!$C:$C,'BASE DE EXCEL'!BB:BB,"NO HAY REFERENCIA")</f>
        <v>0</v>
      </c>
      <c r="EI44" s="3" t="str">
        <f>_xlfn.XLOOKUP(B44,'BASE DE EXCEL'!$C:$C,'BASE DE EXCEL'!BC:BC,"NO HAY REFERENCIA")</f>
        <v>FALTA RRNA</v>
      </c>
      <c r="EJ44" s="3">
        <f>_xlfn.XLOOKUP(B44,'BASE DE EXCEL'!$C:$C,'BASE DE EXCEL'!BD:BD,"NO HAY REFERENCIA")</f>
        <v>0</v>
      </c>
      <c r="EK44" s="3" t="str">
        <f>_xlfn.XLOOKUP(B44,'BASE DE EXCEL'!$C:$C,'BASE DE EXCEL'!BE:BE,"NO HAY REFERENCIA")</f>
        <v>FALTA RRNA</v>
      </c>
      <c r="EL44" s="3" t="str">
        <f>_xlfn.XLOOKUP(B44,'BASE DE EXCEL'!$C:$C,'BASE DE EXCEL'!BF:BF,"NO HAY REFERENCIA")</f>
        <v>PRODUCTO TERMINADO</v>
      </c>
      <c r="EM44" s="3" t="str">
        <f>_xlfn.XLOOKUP(B44,'BASE DE EXCEL'!$C:$C,'BASE DE EXCEL'!BG:BG,"NO HAY REFERENCIA")</f>
        <v>Rojo</v>
      </c>
      <c r="EN44" s="3" t="str">
        <f>_xlfn.XLOOKUP(B44,'BASE DE EXCEL'!$C:$C,'BASE DE EXCEL'!BH:BH,"NO HAY REFERENCIA")</f>
        <v xml:space="preserve"> MLH TRANSPORTE, S.A. DE C.V.</v>
      </c>
      <c r="EO44" s="3" t="str">
        <f>_xlfn.XLOOKUP(B44,'BASE DE EXCEL'!$C:$C,'BASE DE EXCEL'!BI:BI,"NO HAY REFERENCIA")</f>
        <v>ECONOMICO 09 RED</v>
      </c>
      <c r="EP44" s="3">
        <f>_xlfn.XLOOKUP(B44,'BASE DE EXCEL'!$C:$C,'BASE DE EXCEL'!BJ:BJ,"NO HAY REFERENCIA")</f>
        <v>0</v>
      </c>
      <c r="EQ44" s="3" t="str">
        <f>_xlfn.XLOOKUP(B44,'BASE DE EXCEL'!$C:$C,'BASE DE EXCEL'!BK:BK,"NO HAY REFERENCIA")</f>
        <v>IME850329RH2</v>
      </c>
      <c r="ER44" s="3">
        <f>_xlfn.XLOOKUP(B44,'BASE DE EXCEL'!$C:$C,'BASE DE EXCEL'!BL:BL,"NO HAY REFERENCIA")</f>
        <v>0</v>
      </c>
      <c r="ES44" s="3">
        <f>_xlfn.XLOOKUP(B44,'BASE DE EXCEL'!$C:$C,'BASE DE EXCEL'!BM:BM,"NO HAY REFERENCIA")</f>
        <v>99</v>
      </c>
      <c r="ET44" s="3" t="str">
        <f>_xlfn.XLOOKUP(B44,'BASE DE EXCEL'!$C:$C,'BASE DE EXCEL'!BN:BN,"NO HAY REFERENCIA")</f>
        <v>LOTES: 040/25, 041/25,LOTES: 041/25, 042/25, 043/25</v>
      </c>
      <c r="EU44" s="3">
        <f>_xlfn.XLOOKUP(B44,'BASE DE EXCEL'!$C:$C,'BASE DE EXCEL'!BO:BO,"NO HAY REFERENCIA")</f>
        <v>90</v>
      </c>
      <c r="EV44" s="3" t="str">
        <f>_xlfn.XLOOKUP(B44,'BASE DE EXCEL'!$C:$C,'BASE DE EXCEL'!BP:BP,"NO HAY REFERENCIA")</f>
        <v xml:space="preserve"> 1794721.26, 1819810.56</v>
      </c>
      <c r="EW44" s="3" t="str">
        <f>_xlfn.XLOOKUP(B44,'BASE DE EXCEL'!$C:$C,'BASE DE EXCEL'!BQ:BQ,"NO HAY REFERENCIA")</f>
        <v>KILO,KILO</v>
      </c>
      <c r="EX44" s="3">
        <f>_xlfn.XLOOKUP(B44,'BASE DE EXCEL'!$C:$C,'BASE DE EXCEL'!BR:BR,"NO HAY REFERENCIA")</f>
        <v>0</v>
      </c>
      <c r="EY44" s="3" t="str">
        <f>_xlfn.XLOOKUP(B44,'BASE DE EXCEL'!$C:$C,'BASE DE EXCEL'!BS:BS,"NO HAY REFERENCIA")</f>
        <v>BRASIL (REPUBLICA FEDERATIVA DE)</v>
      </c>
      <c r="EZ44" s="3" t="str">
        <f>_xlfn.XLOOKUP(B44,'BASE DE EXCEL'!$C:$C,'BASE DE EXCEL'!BT:BT,"NO HAY REFERENCIA")</f>
        <v>PAISES BAJOS (REINO DE LOS) (HOLANDA)</v>
      </c>
      <c r="FA44" s="3" t="str">
        <f>_xlfn.XLOOKUP(B44,'BASE DE EXCEL'!$C:$C,'BASE DE EXCEL'!BU:BU,"NO HAY REFERENCIA")</f>
        <v>BRA</v>
      </c>
      <c r="FB44" s="3" t="str">
        <f>_xlfn.XLOOKUP(B44,'BASE DE EXCEL'!$C:$C,'BASE DE EXCEL'!BV:BV,"NO HAY REFERENCIA")</f>
        <v>ZYA</v>
      </c>
      <c r="FC44" s="3">
        <f>_xlfn.XLOOKUP(B44,QUERY!$C:$C,QUERY!D:D)</f>
        <v>430</v>
      </c>
      <c r="FD44" s="4">
        <f>_xlfn.XLOOKUP(B44,QUERY!$C:$C,QUERY!E:E)</f>
        <v>46078</v>
      </c>
      <c r="FE44" s="3">
        <f>_xlfn.XLOOKUP(B44,QUERY!$C:$C,QUERY!F:F)</f>
        <v>2</v>
      </c>
      <c r="FF44" s="4">
        <f>_xlfn.XLOOKUP(B44,QUERY!$C:$C,QUERY!G:G)</f>
        <v>46065</v>
      </c>
      <c r="FG44" s="4">
        <f>_xlfn.XLOOKUP(B44,QUERY!$C:$C,QUERY!H:H)</f>
        <v>46078</v>
      </c>
      <c r="FH44" s="3">
        <f>_xlfn.XLOOKUP(B44,QUERY!$C:$C,QUERY!I:I)</f>
        <v>9</v>
      </c>
      <c r="FI44" s="3" t="str">
        <f>_xlfn.XLOOKUP(B44,QUERY!$C:$C,QUERY!J:J)</f>
        <v>6 a 10 días</v>
      </c>
      <c r="FJ44" s="4">
        <f>_xlfn.XLOOKUP(B44,QUERY!$C:$C,QUERY!K:K)</f>
        <v>46079</v>
      </c>
      <c r="FK44" s="3">
        <f>_xlfn.XLOOKUP(B44,QUERY!$C:$C,QUERY!L:L)</f>
        <v>10</v>
      </c>
      <c r="FL44" s="3" t="str">
        <f>_xlfn.XLOOKUP(B44,QUERY!$C:$C,QUERY!M:M)</f>
        <v>6 a 10 días</v>
      </c>
      <c r="FM44" s="3">
        <f>_xlfn.XLOOKUP(B44,QUERY!$C:$C,QUERY!N:N)</f>
        <v>1</v>
      </c>
      <c r="FN44" s="3" t="str">
        <f>_xlfn.XLOOKUP(B44,QUERY!$C:$C,QUERY!O:O)</f>
        <v>1 día o menos</v>
      </c>
      <c r="FO44" s="3">
        <f>_xlfn.XLOOKUP(B44,QUERY!$C:$C,QUERY!P:P)</f>
        <v>1</v>
      </c>
      <c r="FP44" s="3">
        <f>_xlfn.XLOOKUP(B44,QUERY!$C:$C,QUERY!Q:Q)</f>
        <v>1</v>
      </c>
      <c r="FQ44" s="3" t="str">
        <f>_xlfn.XLOOKUP(B44,QUERY!$C:$C,QUERY!R:R)</f>
        <v>1 día o menos</v>
      </c>
      <c r="FR44" s="4">
        <f>_xlfn.XLOOKUP(B44,QUERY!$C:$C,QUERY!S:S)</f>
        <v>46080</v>
      </c>
      <c r="FS44" s="3">
        <f>_xlfn.XLOOKUP(B44,QUERY!$C:$C,QUERY!T:T)</f>
        <v>11</v>
      </c>
      <c r="FT44" s="3" t="str">
        <f>_xlfn.XLOOKUP(B44,QUERY!$C:$C,QUERY!U:U)</f>
        <v>11 a 15 días</v>
      </c>
      <c r="FU44" s="3">
        <f>_xlfn.XLOOKUP(B44,QUERY!$C:$C,QUERY!V:V)</f>
        <v>17</v>
      </c>
      <c r="FV44" s="3" t="str">
        <f>_xlfn.XLOOKUP(B44,QUERY!$C:$C,QUERY!W:W)</f>
        <v>más de 16 días</v>
      </c>
      <c r="FW44" s="4">
        <f>_xlfn.XLOOKUP(B44,QUERY!$C:$C,QUERY!X:X)</f>
        <v>46090</v>
      </c>
      <c r="FX44" s="3">
        <f>_xlfn.XLOOKUP(B44,QUERY!$C:$C,QUERY!Y:Y)</f>
        <v>5</v>
      </c>
      <c r="FY44" s="3">
        <f>_xlfn.XLOOKUP(B44,QUERY!$C:$C,QUERY!Z:Z)</f>
        <v>6</v>
      </c>
      <c r="FZ44" s="4" t="str">
        <f>_xlfn.XLOOKUP(B44,QUERY!$C:$C,QUERY!AA:AA)</f>
        <v>6 a 10 días</v>
      </c>
      <c r="GA44" s="4">
        <f>_xlfn.XLOOKUP(B44,QUERY!$C:$C,QUERY!AB:AB)</f>
        <v>46087</v>
      </c>
      <c r="GB44" s="4">
        <f>_xlfn.XLOOKUP(B44,QUERY!$C:$C,QUERY!AC:AC)</f>
        <v>46090</v>
      </c>
      <c r="GC44" s="3">
        <f>_xlfn.XLOOKUP(B44,QUERY!$C:$C,QUERY!AD:AD)</f>
        <v>1</v>
      </c>
      <c r="GD44" s="4">
        <f>_xlfn.XLOOKUP(B44,QUERY!$C:$C,QUERY!AE:AE)</f>
        <v>46090</v>
      </c>
      <c r="GE44" s="3">
        <f>_xlfn.XLOOKUP(B44,QUERY!$C:$C,QUERY!AF:AF)</f>
        <v>1</v>
      </c>
      <c r="GF44" s="4" t="str">
        <f>_xlfn.XLOOKUP(B44,QUERY!$C:$C,QUERY!AG:AG)</f>
        <v>Es anterior</v>
      </c>
      <c r="GG44" s="3" t="str">
        <f>_xlfn.XLOOKUP(B44,QUERY!$C:$C,QUERY!AH:AH)</f>
        <v>A1</v>
      </c>
      <c r="GH44" s="3" t="str">
        <f>_xlfn.XLOOKUP(B44,QUERY!$C:$C,QUERY!AI:AI)</f>
        <v>ZULEIMA PEREZ RUIZ</v>
      </c>
      <c r="GI44" s="3">
        <f>_xlfn.XLOOKUP(B44,QUERY!$C:$C,QUERY!AJ:AJ)</f>
        <v>265080842</v>
      </c>
      <c r="GJ44" s="3" t="str">
        <f>_xlfn.XLOOKUP(B44,QUERY!$C:$C,QUERY!AK:AK)</f>
        <v>NULL</v>
      </c>
      <c r="GK44" s="3">
        <f>_xlfn.XLOOKUP(B44,QUERY!$C:$C,QUERY!AL:AL)</f>
        <v>6000186</v>
      </c>
      <c r="GL44" s="3" t="str">
        <f>_xlfn.XLOOKUP(B44,QUERY!$C:$C,QUERY!AM:AM)</f>
        <v>Importación</v>
      </c>
      <c r="GM44" s="3" t="str">
        <f>_xlfn.XLOOKUP(B44,QUERY!$C:$C,QUERY!AN:AN)</f>
        <v>TAKTIC EC 1X1L</v>
      </c>
      <c r="GN44" s="3" t="str">
        <f>_xlfn.XLOOKUP(B44,QUERY!$C:$C,QUERY!AO:AO)</f>
        <v>SIN CLASIFICACION</v>
      </c>
      <c r="GO44" s="3">
        <f>_xlfn.XLOOKUP(B44,QUERY!$C:$C,QUERY!AP:AP)</f>
        <v>0</v>
      </c>
      <c r="GP44" s="3" t="str">
        <f>_xlfn.XLOOKUP(B44,QUERY!$C:$C,QUERY!AQ:AQ)</f>
        <v>Cargas de Importación</v>
      </c>
      <c r="GQ44" s="3" t="str">
        <f>_xlfn.XLOOKUP(B44,QUERY!$C:$C,QUERY!AR:AR)</f>
        <v>INTERVET MEXICO SA DE CV</v>
      </c>
      <c r="GR44" s="3">
        <f>_xlfn.XLOOKUP(B44,QUERY!$C:$C,QUERY!AS:AS)</f>
        <v>0</v>
      </c>
      <c r="GS44" s="3" t="str">
        <f>_xlfn.XLOOKUP(B44,QUERY!$C:$C,QUERY!AT:AT)</f>
        <v>FALTA RRNA</v>
      </c>
      <c r="GT44" s="3">
        <f>_xlfn.XLOOKUP(B44,QUERY!$C:$C,QUERY!AU:AU)</f>
        <v>0</v>
      </c>
      <c r="GU44" s="3" t="str">
        <f>_xlfn.XLOOKUP(B44,QUERY!$C:$C,QUERY!AV:AV)</f>
        <v>FALTA RRNA</v>
      </c>
      <c r="GV44" s="3" t="str">
        <f>_xlfn.XLOOKUP(B44,QUERY!$C:$C,QUERY!AW:AW)</f>
        <v>PRODUCTO TERMINADO</v>
      </c>
      <c r="GW44" s="3" t="str">
        <f>_xlfn.XLOOKUP(B44,QUERY!$C:$C,QUERY!AX:AX)</f>
        <v>Rojo</v>
      </c>
      <c r="GX44" s="3" t="str">
        <f>_xlfn.XLOOKUP(B44,QUERY!$C:$C,QUERY!AY:AY)</f>
        <v xml:space="preserve"> MLH TRANSPORTE, S.A. DE C.V.</v>
      </c>
      <c r="GY44" s="3" t="str">
        <f>_xlfn.XLOOKUP(B44,QUERY!$C:$C,QUERY!AZ:AZ)</f>
        <v>ECONOMICO 09 RED</v>
      </c>
      <c r="GZ44" s="3">
        <f>_xlfn.XLOOKUP(B44,QUERY!$C:$C,QUERY!BA:BA)</f>
        <v>0</v>
      </c>
      <c r="HA44" s="3" t="str">
        <f>_xlfn.XLOOKUP(B44,QUERY!$C:$C,QUERY!BB:BB)</f>
        <v>IME850329RH2</v>
      </c>
      <c r="HB44" s="3">
        <f>_xlfn.XLOOKUP(B44,QUERY!$C:$C,QUERY!BC:BC)</f>
        <v>0</v>
      </c>
      <c r="HC44" s="3">
        <f>_xlfn.XLOOKUP(B44,QUERY!$C:$C,QUERY!BD:BD)</f>
        <v>99</v>
      </c>
      <c r="HD44" s="3" t="str">
        <f>_xlfn.XLOOKUP(B44,QUERY!$C:$C,QUERY!BE:BE)</f>
        <v>LOTES: 040/25, 041/25,LOTES: 041/25, 042/25, 043/25</v>
      </c>
      <c r="HE44" s="3">
        <f>_xlfn.XLOOKUP(B44,QUERY!$C:$C,QUERY!BF:BF)</f>
        <v>90</v>
      </c>
      <c r="HF44" s="3" t="str">
        <f>_xlfn.XLOOKUP(B44,QUERY!$C:$C,QUERY!BG:BG)</f>
        <v xml:space="preserve"> 1794721.26, 1819810.56</v>
      </c>
      <c r="HG44" s="3" t="str">
        <f>_xlfn.XLOOKUP(B44,QUERY!$C:$C,QUERY!BH:BH)</f>
        <v>KILO,KILO</v>
      </c>
      <c r="HH44" s="3">
        <f>_xlfn.XLOOKUP(B44,QUERY!$C:$C,QUERY!BI:BI)</f>
        <v>0</v>
      </c>
      <c r="HI44" s="3" t="str">
        <f>_xlfn.XLOOKUP(B44,QUERY!$C:$C,QUERY!BJ:BJ)</f>
        <v>BRASIL (REPUBLICA FEDERATIVA DE)</v>
      </c>
      <c r="HJ44" s="3" t="str">
        <f>_xlfn.XLOOKUP(B44,QUERY!$C:$C,QUERY!BK:BK)</f>
        <v>PAISES BAJOS (REINO DE LOS) (HOLANDA)</v>
      </c>
      <c r="HK44" s="3" t="str">
        <f>_xlfn.XLOOKUP(B44,QUERY!$C:$C,QUERY!BL:BL)</f>
        <v>BRA</v>
      </c>
      <c r="HL44" s="3" t="str">
        <f>_xlfn.XLOOKUP(B44,QUERY!$C:$C,QUERY!BM:BM)</f>
        <v>ZYA</v>
      </c>
      <c r="HM44" s="3">
        <f>_xlfn.XLOOKUP(B44,QUERY!$C:$C,QUERY!BN:BN)</f>
        <v>3614532</v>
      </c>
      <c r="HN44" s="3" t="str">
        <f>_xlfn.XLOOKUP(B44,QUERY!$C:$C,QUERY!BO:BO)</f>
        <v>28916.00</v>
      </c>
      <c r="HO44" s="3" t="str">
        <f>_xlfn.XLOOKUP(B44,QUERY!$C:$C,QUERY!BP:BP)</f>
        <v>NULL</v>
      </c>
      <c r="HP44" s="3" t="str">
        <f>_xlfn.XLOOKUP(B44,QUERY!$C:$C,QUERY!BQ:BQ)</f>
        <v>NULL</v>
      </c>
      <c r="HQ44" s="3" t="str">
        <f>_xlfn.XLOOKUP(B44,QUERY!$C:$C,QUERY!BR:BR)</f>
        <v>315569.73</v>
      </c>
      <c r="HR44" s="3">
        <f>_xlfn.XLOOKUP(B44,QUERY!$C:$C,QUERY!BS:BS)</f>
        <v>0</v>
      </c>
      <c r="HS44" s="3">
        <f>_xlfn.XLOOKUP(B44,QUERY!$C:$C,QUERY!BT:BT)</f>
        <v>0</v>
      </c>
      <c r="HT44" s="3" t="str">
        <f>_xlfn.XLOOKUP(B44,QUERY!$C:$C,QUERY!A:A)</f>
        <v>VERACRUZ</v>
      </c>
      <c r="HU44" s="3" t="str">
        <f>_xlfn.XLOOKUP(B44,QUERY!$C:$C,QUERY!B:B)</f>
        <v>MARÍTIMO VERACRUZ</v>
      </c>
    </row>
    <row r="45" spans="1:229" x14ac:dyDescent="0.25">
      <c r="A45" s="3" t="s">
        <v>90</v>
      </c>
      <c r="B45" s="13" t="s">
        <v>222</v>
      </c>
      <c r="C45" s="3">
        <v>3942</v>
      </c>
      <c r="D45" s="3">
        <v>6000186</v>
      </c>
      <c r="E45" s="3"/>
      <c r="F45" s="3" t="s">
        <v>92</v>
      </c>
      <c r="G45" s="3" t="s">
        <v>93</v>
      </c>
      <c r="H45" s="3">
        <v>0</v>
      </c>
      <c r="I45" s="3">
        <v>0</v>
      </c>
      <c r="J45" s="3">
        <v>0</v>
      </c>
      <c r="K45" s="3">
        <v>0</v>
      </c>
      <c r="L45" s="3" t="s">
        <v>223</v>
      </c>
      <c r="M45" s="3" t="s">
        <v>223</v>
      </c>
      <c r="N45" s="3">
        <v>0</v>
      </c>
      <c r="O45" s="3">
        <v>0</v>
      </c>
      <c r="P45" s="3">
        <v>0</v>
      </c>
      <c r="Q45" s="3">
        <v>0</v>
      </c>
      <c r="R45" s="3">
        <v>430</v>
      </c>
      <c r="S45" s="3" t="s">
        <v>224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226</v>
      </c>
      <c r="AB45" s="3"/>
      <c r="AC45" s="3">
        <v>1819811</v>
      </c>
      <c r="AD45" s="3">
        <v>278.77006999999998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/>
      <c r="AP45" s="3" t="s">
        <v>98</v>
      </c>
      <c r="AQ45" s="3">
        <v>210363669</v>
      </c>
      <c r="AR45" s="3" t="s">
        <v>99</v>
      </c>
      <c r="AS45" s="3" t="s">
        <v>100</v>
      </c>
      <c r="AT45" s="3">
        <v>0</v>
      </c>
      <c r="AU45" s="3">
        <v>0</v>
      </c>
      <c r="AV45" s="3">
        <v>0</v>
      </c>
      <c r="AW45" s="3">
        <v>38089199</v>
      </c>
      <c r="AX45" s="3">
        <v>99</v>
      </c>
      <c r="AY45" s="3">
        <v>6528</v>
      </c>
      <c r="AZ45" s="3">
        <v>6528</v>
      </c>
      <c r="BA45" s="3" t="s">
        <v>103</v>
      </c>
      <c r="BB45" s="3"/>
      <c r="BC45" s="3" t="s">
        <v>189</v>
      </c>
      <c r="BD45" s="3" t="s">
        <v>105</v>
      </c>
      <c r="BE45" s="3"/>
      <c r="BF45" s="3"/>
      <c r="BG45" s="5"/>
      <c r="BH45" s="3"/>
      <c r="BI45" s="3"/>
      <c r="BJ45" s="3"/>
      <c r="BK45" s="3" t="s">
        <v>232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 t="s">
        <v>192</v>
      </c>
      <c r="CF45" s="3">
        <v>0</v>
      </c>
      <c r="CG45" s="3">
        <v>0</v>
      </c>
      <c r="CH45" s="3">
        <v>0</v>
      </c>
      <c r="CI45" s="3" t="s">
        <v>112</v>
      </c>
      <c r="CJ45" s="3" t="s">
        <v>112</v>
      </c>
      <c r="CK45" s="3">
        <f>_xlfn.XLOOKUP($B$2,'BASE DE EXCEL'!C:C,'BASE DE EXCEL'!D:D,"NO HAY REFERENCIA")</f>
        <v>470</v>
      </c>
      <c r="CL45" s="5">
        <f>_xlfn.XLOOKUP($B$2,'BASE DE EXCEL'!$C:$C,'BASE DE EXCEL'!F:F,"NO HAY REFERENCIA")</f>
        <v>3</v>
      </c>
      <c r="CM45" s="4">
        <f>_xlfn.XLOOKUP($B$2,'BASE DE EXCEL'!$C:$C,'BASE DE EXCEL'!G:G,"NO HAY REFERENCIA")</f>
        <v>46080</v>
      </c>
      <c r="CN45" s="4">
        <f>_xlfn.XLOOKUP($B$2,'BASE DE EXCEL'!$C:$C,'BASE DE EXCEL'!H:H,"NO HAY REFERENCIA")</f>
        <v>46086</v>
      </c>
      <c r="CO45" s="3">
        <f>_xlfn.XLOOKUP($B$2,'BASE DE EXCEL'!$C:$C,'BASE DE EXCEL'!I:I,"NO HAY REFERENCIA")</f>
        <v>4</v>
      </c>
      <c r="CP45" s="3" t="str">
        <f>_xlfn.XLOOKUP($B$2,'BASE DE EXCEL'!$C:$C,'BASE DE EXCEL'!J:J,"NO HAY REFERENCIA")</f>
        <v>4 a 5 días</v>
      </c>
      <c r="CQ45" s="4">
        <f>_xlfn.XLOOKUP($B$2,'BASE DE EXCEL'!$C:$C,'BASE DE EXCEL'!K:K,"NO HAY REFERENCIA")</f>
        <v>46087</v>
      </c>
      <c r="CR45" s="3">
        <f>_xlfn.XLOOKUP($B$2,'BASE DE EXCEL'!$C:$C,'BASE DE EXCEL'!L:L,"NO HAY REFERENCIA")</f>
        <v>5</v>
      </c>
      <c r="CS45" s="3">
        <f>_xlfn.XLOOKUP($B$2,'BASE DE EXCEL'!$C:$C,'BASE DE EXCEL'!M:M,"NO HAY REFERENCIA")</f>
        <v>6</v>
      </c>
      <c r="CT45" s="3" t="str">
        <f>_xlfn.XLOOKUP($B$2,'BASE DE EXCEL'!$C:$C,'BASE DE EXCEL'!N:N,"NO HAY REFERENCIA")</f>
        <v>6 a 10 días</v>
      </c>
      <c r="CU45" s="3" t="str">
        <f>_xlfn.XLOOKUP($B$2,'BASE DE EXCEL'!$C:$C,'BASE DE EXCEL'!O:O,"NO HAY REFERENCIA")</f>
        <v>On Time</v>
      </c>
      <c r="CV45" s="3" t="str">
        <f>_xlfn.XLOOKUP(B45,'BASE DE EXCEL'!$C:$C,'BASE DE EXCEL'!P:P,"NO HAY REFERENCIA")</f>
        <v>11 a 15 días</v>
      </c>
      <c r="CW45" s="4">
        <f>_xlfn.XLOOKUP(B45,'BASE DE EXCEL'!$C:$C,'BASE DE EXCEL'!Q:Q,"NO HAY REFERENCIA")</f>
        <v>46080</v>
      </c>
      <c r="CX45" s="3">
        <f>_xlfn.XLOOKUP(B45,'BASE DE EXCEL'!$C:$C,'BASE DE EXCEL'!R:R,"NO HAY REFERENCIA")</f>
        <v>12</v>
      </c>
      <c r="CY45" s="3" t="str">
        <f>_xlfn.XLOOKUP(B45,'BASE DE EXCEL'!$C:$C,'BASE DE EXCEL'!S:S,"NO HAY REFERENCIA")</f>
        <v>11 a 15 días</v>
      </c>
      <c r="CZ45" s="3" t="str">
        <f>_xlfn.XLOOKUP(B45,'BASE DE EXCEL'!$C:$C,'BASE DE EXCEL'!T:T,"NO HAY REFERENCIA")</f>
        <v>Delayed</v>
      </c>
      <c r="DA45" s="3">
        <f>_xlfn.XLOOKUP(B45,'BASE DE EXCEL'!$C:$C,'BASE DE EXCEL'!U:U,"NO HAY REFERENCIA")</f>
        <v>15</v>
      </c>
      <c r="DB45" s="3" t="str">
        <f>_xlfn.XLOOKUP(B45,'BASE DE EXCEL'!$C:$C,'BASE DE EXCEL'!V:V,"NO HAY REFERENCIA")</f>
        <v>11 a 15 días</v>
      </c>
      <c r="DC45" s="3">
        <f>_xlfn.XLOOKUP(B45,'BASE DE EXCEL'!$C:$C,'BASE DE EXCEL'!W:W,"NO HAY REFERENCIA")</f>
        <v>17</v>
      </c>
      <c r="DD45" s="3" t="str">
        <f>_xlfn.XLOOKUP(B45,'BASE DE EXCEL'!$C:$C,'BASE DE EXCEL'!X:X,"NO HAY REFERENCIA")</f>
        <v>más de 16 días</v>
      </c>
      <c r="DE45" s="3">
        <f>_xlfn.XLOOKUP(B45,'BASE DE EXCEL'!$C:$C,'BASE DE EXCEL'!Y:Y,"NO HAY REFERENCIA")</f>
        <v>1</v>
      </c>
      <c r="DF45" s="3" t="str">
        <f>_xlfn.XLOOKUP(B45,'BASE DE EXCEL'!$C:$C,'BASE DE EXCEL'!Z:Z,"NO HAY REFERENCIA")</f>
        <v>1 día o menos</v>
      </c>
      <c r="DG45" s="3">
        <f>_xlfn.XLOOKUP(B45,'BASE DE EXCEL'!$C:$C,'BASE DE EXCEL'!AA:AA,"NO HAY REFERENCIA")</f>
        <v>13</v>
      </c>
      <c r="DH45" s="3">
        <f>_xlfn.XLOOKUP(B45,'BASE DE EXCEL'!$C:$C,'BASE DE EXCEL'!AB:AB,"NO HAY REFERENCIA")</f>
        <v>1</v>
      </c>
      <c r="DI45" s="3" t="str">
        <f>_xlfn.XLOOKUP(B45,'BASE DE EXCEL'!$C:$C,'BASE DE EXCEL'!AC:AC,"NO HAY REFERENCIA")</f>
        <v>1 día o menos</v>
      </c>
      <c r="DJ45" s="4">
        <f>_xlfn.XLOOKUP(B45,'BASE DE EXCEL'!$C:$C,'BASE DE EXCEL'!AD:AD,"NO HAY REFERENCIA")</f>
        <v>46090</v>
      </c>
      <c r="DK45" s="3">
        <f>_xlfn.XLOOKUP(B45,'BASE DE EXCEL'!$C:$C,'BASE DE EXCEL'!AE:AE,"NO HAY REFERENCIA")</f>
        <v>7</v>
      </c>
      <c r="DL45" s="3">
        <f>_xlfn.XLOOKUP(B45,'BASE DE EXCEL'!$C:$C,'BASE DE EXCEL'!AF:AF,"NO HAY REFERENCIA")</f>
        <v>6</v>
      </c>
      <c r="DM45" s="4">
        <f>_xlfn.XLOOKUP(B45,'BASE DE EXCEL'!$C:$C,'BASE DE EXCEL'!AG:AG,"NO HAY REFERENCIA")</f>
        <v>46087</v>
      </c>
      <c r="DN45" s="4">
        <f>_xlfn.XLOOKUP(B45,'BASE DE EXCEL'!$C:$C,'BASE DE EXCEL'!AH:AH,"NO HAY REFERENCIA")</f>
        <v>46090</v>
      </c>
      <c r="DO45" s="3">
        <f>_xlfn.XLOOKUP(B45,'BASE DE EXCEL'!$C:$C,'BASE DE EXCEL'!AI:AI,"NO HAY REFERENCIA")</f>
        <v>3</v>
      </c>
      <c r="DP45" s="4" t="str">
        <f>_xlfn.XLOOKUP(B45,'BASE DE EXCEL'!$C:$C,'BASE DE EXCEL'!AJ:AJ,"NO HAY REFERENCIA")</f>
        <v>6 a 10 días</v>
      </c>
      <c r="DQ45" s="4">
        <f>_xlfn.XLOOKUP(B45,'BASE DE EXCEL'!$C:$C,'BASE DE EXCEL'!AK:AK,"NO HAY REFERENCIA")</f>
        <v>46090</v>
      </c>
      <c r="DR45" s="3">
        <f>_xlfn.XLOOKUP(B45,'BASE DE EXCEL'!$C:$C,'BASE DE EXCEL'!AL:AL,"NO HAY REFERENCIA")</f>
        <v>7</v>
      </c>
      <c r="DS45" s="3" t="str">
        <f>_xlfn.XLOOKUP(B45,'BASE DE EXCEL'!$C:$C,'BASE DE EXCEL'!AM:AM,"NO HAY REFERENCIA")</f>
        <v>6 a 10 días</v>
      </c>
      <c r="DT45" s="3" t="str">
        <f>_xlfn.XLOOKUP(B45,'BASE DE EXCEL'!$C:$C,'BASE DE EXCEL'!AN:AN,"NO HAY REFERENCIA")</f>
        <v>Delayed</v>
      </c>
      <c r="DU45" s="3">
        <f>_xlfn.XLOOKUP(B45,'BASE DE EXCEL'!$C:$C,'BASE DE EXCEL'!AO:AO,"NO HAY REFERENCIA")</f>
        <v>1</v>
      </c>
      <c r="DV45" s="3" t="str">
        <f>_xlfn.XLOOKUP(B45,'BASE DE EXCEL'!$C:$C,'BASE DE EXCEL'!AP:AP,"NO HAY REFERENCIA")</f>
        <v>Es anterior</v>
      </c>
      <c r="DW45" s="3" t="str">
        <f>_xlfn.XLOOKUP(B45,'BASE DE EXCEL'!$C:$C,'BASE DE EXCEL'!AQ:AQ,"NO HAY REFERENCIA")</f>
        <v>A1</v>
      </c>
      <c r="DX45" s="3" t="str">
        <f>_xlfn.XLOOKUP(B45,'BASE DE EXCEL'!$C:$C,'BASE DE EXCEL'!AR:AR,"NO HAY REFERENCIA")</f>
        <v>ZULEIMA PEREZ RUIZ</v>
      </c>
      <c r="DY45" s="3">
        <f>_xlfn.XLOOKUP(B45,'BASE DE EXCEL'!$C:$C,'BASE DE EXCEL'!AS:AS,"NO HAY REFERENCIA")</f>
        <v>265080842</v>
      </c>
      <c r="DZ45" s="3" t="str">
        <f>_xlfn.XLOOKUP(B45,'BASE DE EXCEL'!$C:$C,'BASE DE EXCEL'!AT:AT,"NO HAY REFERENCIA")</f>
        <v>NULL</v>
      </c>
      <c r="EA45" s="3">
        <f>_xlfn.XLOOKUP(B45,'BASE DE EXCEL'!$C:$C,'BASE DE EXCEL'!AU:AU,"NO HAY REFERENCIA")</f>
        <v>6000186</v>
      </c>
      <c r="EB45" s="3" t="str">
        <f>_xlfn.XLOOKUP(B45,'BASE DE EXCEL'!$C:$C,'BASE DE EXCEL'!AV:AV,"NO HAY REFERENCIA")</f>
        <v>Importación</v>
      </c>
      <c r="EC45" s="3" t="str">
        <f>_xlfn.XLOOKUP(B45,'BASE DE EXCEL'!$C:$C,'BASE DE EXCEL'!AW:AW,"NO HAY REFERENCIA")</f>
        <v>TAKTIC EC 1X1L</v>
      </c>
      <c r="ED45" s="3" t="str">
        <f>_xlfn.XLOOKUP(B45,'BASE DE EXCEL'!$C:$C,'BASE DE EXCEL'!AX:AX,"NO HAY REFERENCIA")</f>
        <v>SIN CLASIFICACION</v>
      </c>
      <c r="EE45" s="3">
        <f>_xlfn.XLOOKUP(B45,'BASE DE EXCEL'!$C:$C,'BASE DE EXCEL'!AY:AY,"NO HAY REFERENCIA")</f>
        <v>0</v>
      </c>
      <c r="EF45" s="3" t="str">
        <f>_xlfn.XLOOKUP(B45,'BASE DE EXCEL'!$C:$C,'BASE DE EXCEL'!AZ:AZ,"NO HAY REFERENCIA")</f>
        <v>Cargas de Importación</v>
      </c>
      <c r="EG45" s="3" t="str">
        <f>_xlfn.XLOOKUP(B45,'BASE DE EXCEL'!$C:$C,'BASE DE EXCEL'!BA:BA,"NO HAY REFERENCIA")</f>
        <v>INTERVET MEXICO SA DE CV</v>
      </c>
      <c r="EH45" s="3">
        <f>_xlfn.XLOOKUP(B45,'BASE DE EXCEL'!$C:$C,'BASE DE EXCEL'!BB:BB,"NO HAY REFERENCIA")</f>
        <v>0</v>
      </c>
      <c r="EI45" s="3" t="str">
        <f>_xlfn.XLOOKUP(B45,'BASE DE EXCEL'!$C:$C,'BASE DE EXCEL'!BC:BC,"NO HAY REFERENCIA")</f>
        <v>FALTA RRNA</v>
      </c>
      <c r="EJ45" s="3">
        <f>_xlfn.XLOOKUP(B45,'BASE DE EXCEL'!$C:$C,'BASE DE EXCEL'!BD:BD,"NO HAY REFERENCIA")</f>
        <v>0</v>
      </c>
      <c r="EK45" s="3" t="str">
        <f>_xlfn.XLOOKUP(B45,'BASE DE EXCEL'!$C:$C,'BASE DE EXCEL'!BE:BE,"NO HAY REFERENCIA")</f>
        <v>FALTA RRNA</v>
      </c>
      <c r="EL45" s="3" t="str">
        <f>_xlfn.XLOOKUP(B45,'BASE DE EXCEL'!$C:$C,'BASE DE EXCEL'!BF:BF,"NO HAY REFERENCIA")</f>
        <v>PRODUCTO TERMINADO</v>
      </c>
      <c r="EM45" s="3" t="str">
        <f>_xlfn.XLOOKUP(B45,'BASE DE EXCEL'!$C:$C,'BASE DE EXCEL'!BG:BG,"NO HAY REFERENCIA")</f>
        <v>Rojo</v>
      </c>
      <c r="EN45" s="3" t="str">
        <f>_xlfn.XLOOKUP(B45,'BASE DE EXCEL'!$C:$C,'BASE DE EXCEL'!BH:BH,"NO HAY REFERENCIA")</f>
        <v xml:space="preserve"> MLH TRANSPORTE, S.A. DE C.V.</v>
      </c>
      <c r="EO45" s="3" t="str">
        <f>_xlfn.XLOOKUP(B45,'BASE DE EXCEL'!$C:$C,'BASE DE EXCEL'!BI:BI,"NO HAY REFERENCIA")</f>
        <v>ECONOMICO 09 RED</v>
      </c>
      <c r="EP45" s="3">
        <f>_xlfn.XLOOKUP(B45,'BASE DE EXCEL'!$C:$C,'BASE DE EXCEL'!BJ:BJ,"NO HAY REFERENCIA")</f>
        <v>0</v>
      </c>
      <c r="EQ45" s="3" t="str">
        <f>_xlfn.XLOOKUP(B45,'BASE DE EXCEL'!$C:$C,'BASE DE EXCEL'!BK:BK,"NO HAY REFERENCIA")</f>
        <v>IME850329RH2</v>
      </c>
      <c r="ER45" s="3">
        <f>_xlfn.XLOOKUP(B45,'BASE DE EXCEL'!$C:$C,'BASE DE EXCEL'!BL:BL,"NO HAY REFERENCIA")</f>
        <v>0</v>
      </c>
      <c r="ES45" s="3">
        <f>_xlfn.XLOOKUP(B45,'BASE DE EXCEL'!$C:$C,'BASE DE EXCEL'!BM:BM,"NO HAY REFERENCIA")</f>
        <v>99</v>
      </c>
      <c r="ET45" s="3" t="str">
        <f>_xlfn.XLOOKUP(B45,'BASE DE EXCEL'!$C:$C,'BASE DE EXCEL'!BN:BN,"NO HAY REFERENCIA")</f>
        <v>LOTES: 040/25, 041/25,LOTES: 041/25, 042/25, 043/25</v>
      </c>
      <c r="EU45" s="3">
        <f>_xlfn.XLOOKUP(B45,'BASE DE EXCEL'!$C:$C,'BASE DE EXCEL'!BO:BO,"NO HAY REFERENCIA")</f>
        <v>90</v>
      </c>
      <c r="EV45" s="3" t="str">
        <f>_xlfn.XLOOKUP(B45,'BASE DE EXCEL'!$C:$C,'BASE DE EXCEL'!BP:BP,"NO HAY REFERENCIA")</f>
        <v xml:space="preserve"> 1794721.26, 1819810.56</v>
      </c>
      <c r="EW45" s="3" t="str">
        <f>_xlfn.XLOOKUP(B45,'BASE DE EXCEL'!$C:$C,'BASE DE EXCEL'!BQ:BQ,"NO HAY REFERENCIA")</f>
        <v>KILO,KILO</v>
      </c>
      <c r="EX45" s="3">
        <f>_xlfn.XLOOKUP(B45,'BASE DE EXCEL'!$C:$C,'BASE DE EXCEL'!BR:BR,"NO HAY REFERENCIA")</f>
        <v>0</v>
      </c>
      <c r="EY45" s="3" t="str">
        <f>_xlfn.XLOOKUP(B45,'BASE DE EXCEL'!$C:$C,'BASE DE EXCEL'!BS:BS,"NO HAY REFERENCIA")</f>
        <v>BRASIL (REPUBLICA FEDERATIVA DE)</v>
      </c>
      <c r="EZ45" s="3" t="str">
        <f>_xlfn.XLOOKUP(B45,'BASE DE EXCEL'!$C:$C,'BASE DE EXCEL'!BT:BT,"NO HAY REFERENCIA")</f>
        <v>PAISES BAJOS (REINO DE LOS) (HOLANDA)</v>
      </c>
      <c r="FA45" s="3" t="str">
        <f>_xlfn.XLOOKUP(B45,'BASE DE EXCEL'!$C:$C,'BASE DE EXCEL'!BU:BU,"NO HAY REFERENCIA")</f>
        <v>BRA</v>
      </c>
      <c r="FB45" s="3" t="str">
        <f>_xlfn.XLOOKUP(B45,'BASE DE EXCEL'!$C:$C,'BASE DE EXCEL'!BV:BV,"NO HAY REFERENCIA")</f>
        <v>ZYA</v>
      </c>
      <c r="FC45" s="3">
        <f>_xlfn.XLOOKUP(B45,QUERY!$C:$C,QUERY!D:D)</f>
        <v>430</v>
      </c>
      <c r="FD45" s="4">
        <f>_xlfn.XLOOKUP(B45,QUERY!$C:$C,QUERY!E:E)</f>
        <v>46078</v>
      </c>
      <c r="FE45" s="3">
        <f>_xlfn.XLOOKUP(B45,QUERY!$C:$C,QUERY!F:F)</f>
        <v>2</v>
      </c>
      <c r="FF45" s="4">
        <f>_xlfn.XLOOKUP(B45,QUERY!$C:$C,QUERY!G:G)</f>
        <v>46065</v>
      </c>
      <c r="FG45" s="4">
        <f>_xlfn.XLOOKUP(B45,QUERY!$C:$C,QUERY!H:H)</f>
        <v>46078</v>
      </c>
      <c r="FH45" s="3">
        <f>_xlfn.XLOOKUP(B45,QUERY!$C:$C,QUERY!I:I)</f>
        <v>9</v>
      </c>
      <c r="FI45" s="3" t="str">
        <f>_xlfn.XLOOKUP(B45,QUERY!$C:$C,QUERY!J:J)</f>
        <v>6 a 10 días</v>
      </c>
      <c r="FJ45" s="4">
        <f>_xlfn.XLOOKUP(B45,QUERY!$C:$C,QUERY!K:K)</f>
        <v>46079</v>
      </c>
      <c r="FK45" s="3">
        <f>_xlfn.XLOOKUP(B45,QUERY!$C:$C,QUERY!L:L)</f>
        <v>10</v>
      </c>
      <c r="FL45" s="3" t="str">
        <f>_xlfn.XLOOKUP(B45,QUERY!$C:$C,QUERY!M:M)</f>
        <v>6 a 10 días</v>
      </c>
      <c r="FM45" s="3">
        <f>_xlfn.XLOOKUP(B45,QUERY!$C:$C,QUERY!N:N)</f>
        <v>1</v>
      </c>
      <c r="FN45" s="3" t="str">
        <f>_xlfn.XLOOKUP(B45,QUERY!$C:$C,QUERY!O:O)</f>
        <v>1 día o menos</v>
      </c>
      <c r="FO45" s="3">
        <f>_xlfn.XLOOKUP(B45,QUERY!$C:$C,QUERY!P:P)</f>
        <v>1</v>
      </c>
      <c r="FP45" s="3">
        <f>_xlfn.XLOOKUP(B45,QUERY!$C:$C,QUERY!Q:Q)</f>
        <v>1</v>
      </c>
      <c r="FQ45" s="3" t="str">
        <f>_xlfn.XLOOKUP(B45,QUERY!$C:$C,QUERY!R:R)</f>
        <v>1 día o menos</v>
      </c>
      <c r="FR45" s="4">
        <f>_xlfn.XLOOKUP(B45,QUERY!$C:$C,QUERY!S:S)</f>
        <v>46080</v>
      </c>
      <c r="FS45" s="3">
        <f>_xlfn.XLOOKUP(B45,QUERY!$C:$C,QUERY!T:T)</f>
        <v>11</v>
      </c>
      <c r="FT45" s="3" t="str">
        <f>_xlfn.XLOOKUP(B45,QUERY!$C:$C,QUERY!U:U)</f>
        <v>11 a 15 días</v>
      </c>
      <c r="FU45" s="3">
        <f>_xlfn.XLOOKUP(B45,QUERY!$C:$C,QUERY!V:V)</f>
        <v>17</v>
      </c>
      <c r="FV45" s="3" t="str">
        <f>_xlfn.XLOOKUP(B45,QUERY!$C:$C,QUERY!W:W)</f>
        <v>más de 16 días</v>
      </c>
      <c r="FW45" s="4">
        <f>_xlfn.XLOOKUP(B45,QUERY!$C:$C,QUERY!X:X)</f>
        <v>46090</v>
      </c>
      <c r="FX45" s="3">
        <f>_xlfn.XLOOKUP(B45,QUERY!$C:$C,QUERY!Y:Y)</f>
        <v>5</v>
      </c>
      <c r="FY45" s="3">
        <f>_xlfn.XLOOKUP(B45,QUERY!$C:$C,QUERY!Z:Z)</f>
        <v>6</v>
      </c>
      <c r="FZ45" s="4" t="str">
        <f>_xlfn.XLOOKUP(B45,QUERY!$C:$C,QUERY!AA:AA)</f>
        <v>6 a 10 días</v>
      </c>
      <c r="GA45" s="4">
        <f>_xlfn.XLOOKUP(B45,QUERY!$C:$C,QUERY!AB:AB)</f>
        <v>46087</v>
      </c>
      <c r="GB45" s="4">
        <f>_xlfn.XLOOKUP(B45,QUERY!$C:$C,QUERY!AC:AC)</f>
        <v>46090</v>
      </c>
      <c r="GC45" s="3">
        <f>_xlfn.XLOOKUP(B45,QUERY!$C:$C,QUERY!AD:AD)</f>
        <v>1</v>
      </c>
      <c r="GD45" s="4">
        <f>_xlfn.XLOOKUP(B45,QUERY!$C:$C,QUERY!AE:AE)</f>
        <v>46090</v>
      </c>
      <c r="GE45" s="3">
        <f>_xlfn.XLOOKUP(B45,QUERY!$C:$C,QUERY!AF:AF)</f>
        <v>1</v>
      </c>
      <c r="GF45" s="4" t="str">
        <f>_xlfn.XLOOKUP(B45,QUERY!$C:$C,QUERY!AG:AG)</f>
        <v>Es anterior</v>
      </c>
      <c r="GG45" s="3" t="str">
        <f>_xlfn.XLOOKUP(B45,QUERY!$C:$C,QUERY!AH:AH)</f>
        <v>A1</v>
      </c>
      <c r="GH45" s="3" t="str">
        <f>_xlfn.XLOOKUP(B45,QUERY!$C:$C,QUERY!AI:AI)</f>
        <v>ZULEIMA PEREZ RUIZ</v>
      </c>
      <c r="GI45" s="3">
        <f>_xlfn.XLOOKUP(B45,QUERY!$C:$C,QUERY!AJ:AJ)</f>
        <v>265080842</v>
      </c>
      <c r="GJ45" s="3" t="str">
        <f>_xlfn.XLOOKUP(B45,QUERY!$C:$C,QUERY!AK:AK)</f>
        <v>NULL</v>
      </c>
      <c r="GK45" s="3">
        <f>_xlfn.XLOOKUP(B45,QUERY!$C:$C,QUERY!AL:AL)</f>
        <v>6000186</v>
      </c>
      <c r="GL45" s="3" t="str">
        <f>_xlfn.XLOOKUP(B45,QUERY!$C:$C,QUERY!AM:AM)</f>
        <v>Importación</v>
      </c>
      <c r="GM45" s="3" t="str">
        <f>_xlfn.XLOOKUP(B45,QUERY!$C:$C,QUERY!AN:AN)</f>
        <v>TAKTIC EC 1X1L</v>
      </c>
      <c r="GN45" s="3" t="str">
        <f>_xlfn.XLOOKUP(B45,QUERY!$C:$C,QUERY!AO:AO)</f>
        <v>SIN CLASIFICACION</v>
      </c>
      <c r="GO45" s="3">
        <f>_xlfn.XLOOKUP(B45,QUERY!$C:$C,QUERY!AP:AP)</f>
        <v>0</v>
      </c>
      <c r="GP45" s="3" t="str">
        <f>_xlfn.XLOOKUP(B45,QUERY!$C:$C,QUERY!AQ:AQ)</f>
        <v>Cargas de Importación</v>
      </c>
      <c r="GQ45" s="3" t="str">
        <f>_xlfn.XLOOKUP(B45,QUERY!$C:$C,QUERY!AR:AR)</f>
        <v>INTERVET MEXICO SA DE CV</v>
      </c>
      <c r="GR45" s="3">
        <f>_xlfn.XLOOKUP(B45,QUERY!$C:$C,QUERY!AS:AS)</f>
        <v>0</v>
      </c>
      <c r="GS45" s="3" t="str">
        <f>_xlfn.XLOOKUP(B45,QUERY!$C:$C,QUERY!AT:AT)</f>
        <v>FALTA RRNA</v>
      </c>
      <c r="GT45" s="3">
        <f>_xlfn.XLOOKUP(B45,QUERY!$C:$C,QUERY!AU:AU)</f>
        <v>0</v>
      </c>
      <c r="GU45" s="3" t="str">
        <f>_xlfn.XLOOKUP(B45,QUERY!$C:$C,QUERY!AV:AV)</f>
        <v>FALTA RRNA</v>
      </c>
      <c r="GV45" s="3" t="str">
        <f>_xlfn.XLOOKUP(B45,QUERY!$C:$C,QUERY!AW:AW)</f>
        <v>PRODUCTO TERMINADO</v>
      </c>
      <c r="GW45" s="3" t="str">
        <f>_xlfn.XLOOKUP(B45,QUERY!$C:$C,QUERY!AX:AX)</f>
        <v>Rojo</v>
      </c>
      <c r="GX45" s="3" t="str">
        <f>_xlfn.XLOOKUP(B45,QUERY!$C:$C,QUERY!AY:AY)</f>
        <v xml:space="preserve"> MLH TRANSPORTE, S.A. DE C.V.</v>
      </c>
      <c r="GY45" s="3" t="str">
        <f>_xlfn.XLOOKUP(B45,QUERY!$C:$C,QUERY!AZ:AZ)</f>
        <v>ECONOMICO 09 RED</v>
      </c>
      <c r="GZ45" s="3">
        <f>_xlfn.XLOOKUP(B45,QUERY!$C:$C,QUERY!BA:BA)</f>
        <v>0</v>
      </c>
      <c r="HA45" s="3" t="str">
        <f>_xlfn.XLOOKUP(B45,QUERY!$C:$C,QUERY!BB:BB)</f>
        <v>IME850329RH2</v>
      </c>
      <c r="HB45" s="3">
        <f>_xlfn.XLOOKUP(B45,QUERY!$C:$C,QUERY!BC:BC)</f>
        <v>0</v>
      </c>
      <c r="HC45" s="3">
        <f>_xlfn.XLOOKUP(B45,QUERY!$C:$C,QUERY!BD:BD)</f>
        <v>99</v>
      </c>
      <c r="HD45" s="3" t="str">
        <f>_xlfn.XLOOKUP(B45,QUERY!$C:$C,QUERY!BE:BE)</f>
        <v>LOTES: 040/25, 041/25,LOTES: 041/25, 042/25, 043/25</v>
      </c>
      <c r="HE45" s="3">
        <f>_xlfn.XLOOKUP(B45,QUERY!$C:$C,QUERY!BF:BF)</f>
        <v>90</v>
      </c>
      <c r="HF45" s="3" t="str">
        <f>_xlfn.XLOOKUP(B45,QUERY!$C:$C,QUERY!BG:BG)</f>
        <v xml:space="preserve"> 1794721.26, 1819810.56</v>
      </c>
      <c r="HG45" s="3" t="str">
        <f>_xlfn.XLOOKUP(B45,QUERY!$C:$C,QUERY!BH:BH)</f>
        <v>KILO,KILO</v>
      </c>
      <c r="HH45" s="3">
        <f>_xlfn.XLOOKUP(B45,QUERY!$C:$C,QUERY!BI:BI)</f>
        <v>0</v>
      </c>
      <c r="HI45" s="3" t="str">
        <f>_xlfn.XLOOKUP(B45,QUERY!$C:$C,QUERY!BJ:BJ)</f>
        <v>BRASIL (REPUBLICA FEDERATIVA DE)</v>
      </c>
      <c r="HJ45" s="3" t="str">
        <f>_xlfn.XLOOKUP(B45,QUERY!$C:$C,QUERY!BK:BK)</f>
        <v>PAISES BAJOS (REINO DE LOS) (HOLANDA)</v>
      </c>
      <c r="HK45" s="3" t="str">
        <f>_xlfn.XLOOKUP(B45,QUERY!$C:$C,QUERY!BL:BL)</f>
        <v>BRA</v>
      </c>
      <c r="HL45" s="3" t="str">
        <f>_xlfn.XLOOKUP(B45,QUERY!$C:$C,QUERY!BM:BM)</f>
        <v>ZYA</v>
      </c>
      <c r="HM45" s="3">
        <f>_xlfn.XLOOKUP(B45,QUERY!$C:$C,QUERY!BN:BN)</f>
        <v>3614532</v>
      </c>
      <c r="HN45" s="3" t="str">
        <f>_xlfn.XLOOKUP(B45,QUERY!$C:$C,QUERY!BO:BO)</f>
        <v>28916.00</v>
      </c>
      <c r="HO45" s="3" t="str">
        <f>_xlfn.XLOOKUP(B45,QUERY!$C:$C,QUERY!BP:BP)</f>
        <v>NULL</v>
      </c>
      <c r="HP45" s="3" t="str">
        <f>_xlfn.XLOOKUP(B45,QUERY!$C:$C,QUERY!BQ:BQ)</f>
        <v>NULL</v>
      </c>
      <c r="HQ45" s="3" t="str">
        <f>_xlfn.XLOOKUP(B45,QUERY!$C:$C,QUERY!BR:BR)</f>
        <v>315569.73</v>
      </c>
      <c r="HR45" s="3">
        <f>_xlfn.XLOOKUP(B45,QUERY!$C:$C,QUERY!BS:BS)</f>
        <v>0</v>
      </c>
      <c r="HS45" s="3">
        <f>_xlfn.XLOOKUP(B45,QUERY!$C:$C,QUERY!BT:BT)</f>
        <v>0</v>
      </c>
      <c r="HT45" s="3" t="str">
        <f>_xlfn.XLOOKUP(B45,QUERY!$C:$C,QUERY!A:A)</f>
        <v>VERACRUZ</v>
      </c>
      <c r="HU45" s="3" t="str">
        <f>_xlfn.XLOOKUP(B45,QUERY!$C:$C,QUERY!B:B)</f>
        <v>MARÍTIMO VERACRUZ</v>
      </c>
    </row>
    <row r="46" spans="1:229" x14ac:dyDescent="0.25">
      <c r="A46" s="3" t="s">
        <v>90</v>
      </c>
      <c r="B46" s="3" t="s">
        <v>271</v>
      </c>
      <c r="C46" s="3">
        <v>3942</v>
      </c>
      <c r="D46" s="3">
        <v>6000301</v>
      </c>
      <c r="E46" s="3"/>
      <c r="F46" s="3" t="s">
        <v>92</v>
      </c>
      <c r="G46" s="3" t="s">
        <v>93</v>
      </c>
      <c r="H46" s="3">
        <v>0</v>
      </c>
      <c r="I46" s="3">
        <v>0</v>
      </c>
      <c r="J46" s="3">
        <v>0</v>
      </c>
      <c r="K46" s="3">
        <v>0</v>
      </c>
      <c r="L46" s="3" t="s">
        <v>223</v>
      </c>
      <c r="M46" s="3" t="s">
        <v>223</v>
      </c>
      <c r="N46" s="3">
        <v>0</v>
      </c>
      <c r="O46" s="3">
        <v>0</v>
      </c>
      <c r="P46" s="3">
        <v>17.2315</v>
      </c>
      <c r="Q46" s="3">
        <v>7469</v>
      </c>
      <c r="R46" s="3">
        <v>430</v>
      </c>
      <c r="S46" s="3" t="s">
        <v>272</v>
      </c>
      <c r="T46" s="3" t="s">
        <v>185</v>
      </c>
      <c r="U46" s="3">
        <v>1809775</v>
      </c>
      <c r="V46" s="3">
        <v>1809775</v>
      </c>
      <c r="W46" s="3">
        <v>0</v>
      </c>
      <c r="X46" s="3">
        <v>0</v>
      </c>
      <c r="Y46" s="3">
        <v>0</v>
      </c>
      <c r="Z46" s="3">
        <v>0</v>
      </c>
      <c r="AA46" s="3" t="s">
        <v>226</v>
      </c>
      <c r="AB46" s="3"/>
      <c r="AC46" s="3">
        <v>1809775</v>
      </c>
      <c r="AD46" s="3">
        <v>278.77001999999999</v>
      </c>
      <c r="AE46" s="3">
        <v>354</v>
      </c>
      <c r="AF46" s="3">
        <v>6</v>
      </c>
      <c r="AG46" s="3">
        <v>0</v>
      </c>
      <c r="AH46" s="3">
        <v>0</v>
      </c>
      <c r="AI46" s="3">
        <v>53</v>
      </c>
      <c r="AJ46" s="3">
        <v>14478</v>
      </c>
      <c r="AK46" s="3">
        <v>0</v>
      </c>
      <c r="AL46" s="3">
        <v>0</v>
      </c>
      <c r="AM46" s="3">
        <v>330</v>
      </c>
      <c r="AN46" s="3">
        <v>124316</v>
      </c>
      <c r="AO46" s="3" t="s">
        <v>97</v>
      </c>
      <c r="AP46" s="3" t="s">
        <v>98</v>
      </c>
      <c r="AQ46" s="3">
        <v>210363670</v>
      </c>
      <c r="AR46" s="3" t="s">
        <v>99</v>
      </c>
      <c r="AS46" s="3" t="s">
        <v>100</v>
      </c>
      <c r="AT46" s="3">
        <v>265080842</v>
      </c>
      <c r="AU46" s="3"/>
      <c r="AV46" s="3" t="s">
        <v>188</v>
      </c>
      <c r="AW46" s="3">
        <v>38089199</v>
      </c>
      <c r="AX46" s="3">
        <v>99</v>
      </c>
      <c r="AY46" s="3">
        <v>6492</v>
      </c>
      <c r="AZ46" s="3">
        <v>6492</v>
      </c>
      <c r="BA46" s="3" t="s">
        <v>103</v>
      </c>
      <c r="BB46" s="3"/>
      <c r="BC46" s="3" t="s">
        <v>189</v>
      </c>
      <c r="BD46" s="3" t="s">
        <v>105</v>
      </c>
      <c r="BE46" s="3" t="s">
        <v>106</v>
      </c>
      <c r="BF46" s="3" t="s">
        <v>107</v>
      </c>
      <c r="BG46" s="5" t="s">
        <v>273</v>
      </c>
      <c r="BH46" s="3" t="s">
        <v>274</v>
      </c>
      <c r="BI46" s="3"/>
      <c r="BJ46" s="3" t="s">
        <v>109</v>
      </c>
      <c r="BK46" s="3" t="s">
        <v>275</v>
      </c>
      <c r="BL46" s="3">
        <v>43430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5600</v>
      </c>
      <c r="CC46" s="3">
        <v>1339.2</v>
      </c>
      <c r="CD46" s="3">
        <v>106834.03</v>
      </c>
      <c r="CE46" s="3" t="s">
        <v>192</v>
      </c>
      <c r="CF46" s="3">
        <v>106834.03</v>
      </c>
      <c r="CG46" s="3">
        <v>0</v>
      </c>
      <c r="CH46" s="3">
        <v>0</v>
      </c>
      <c r="CI46" s="3" t="s">
        <v>112</v>
      </c>
      <c r="CJ46" s="3" t="s">
        <v>112</v>
      </c>
      <c r="CK46" s="3">
        <f>_xlfn.XLOOKUP($B$2,'BASE DE EXCEL'!C:C,'BASE DE EXCEL'!D:D,"NO HAY REFERENCIA")</f>
        <v>470</v>
      </c>
      <c r="CL46" s="5">
        <f>_xlfn.XLOOKUP($B$2,'BASE DE EXCEL'!$C:$C,'BASE DE EXCEL'!F:F,"NO HAY REFERENCIA")</f>
        <v>3</v>
      </c>
      <c r="CM46" s="4">
        <f>_xlfn.XLOOKUP($B$2,'BASE DE EXCEL'!$C:$C,'BASE DE EXCEL'!G:G,"NO HAY REFERENCIA")</f>
        <v>46080</v>
      </c>
      <c r="CN46" s="4">
        <f>_xlfn.XLOOKUP($B$2,'BASE DE EXCEL'!$C:$C,'BASE DE EXCEL'!H:H,"NO HAY REFERENCIA")</f>
        <v>46086</v>
      </c>
      <c r="CO46" s="3">
        <f>_xlfn.XLOOKUP($B$2,'BASE DE EXCEL'!$C:$C,'BASE DE EXCEL'!I:I,"NO HAY REFERENCIA")</f>
        <v>4</v>
      </c>
      <c r="CP46" s="3" t="str">
        <f>_xlfn.XLOOKUP($B$2,'BASE DE EXCEL'!$C:$C,'BASE DE EXCEL'!J:J,"NO HAY REFERENCIA")</f>
        <v>4 a 5 días</v>
      </c>
      <c r="CQ46" s="4">
        <f>_xlfn.XLOOKUP($B$2,'BASE DE EXCEL'!$C:$C,'BASE DE EXCEL'!K:K,"NO HAY REFERENCIA")</f>
        <v>46087</v>
      </c>
      <c r="CR46" s="3">
        <f>_xlfn.XLOOKUP($B$2,'BASE DE EXCEL'!$C:$C,'BASE DE EXCEL'!L:L,"NO HAY REFERENCIA")</f>
        <v>5</v>
      </c>
      <c r="CS46" s="3">
        <f>_xlfn.XLOOKUP($B$2,'BASE DE EXCEL'!$C:$C,'BASE DE EXCEL'!M:M,"NO HAY REFERENCIA")</f>
        <v>6</v>
      </c>
      <c r="CT46" s="3" t="str">
        <f>_xlfn.XLOOKUP($B$2,'BASE DE EXCEL'!$C:$C,'BASE DE EXCEL'!N:N,"NO HAY REFERENCIA")</f>
        <v>6 a 10 días</v>
      </c>
      <c r="CU46" s="3" t="str">
        <f>_xlfn.XLOOKUP($B$2,'BASE DE EXCEL'!$C:$C,'BASE DE EXCEL'!O:O,"NO HAY REFERENCIA")</f>
        <v>On Time</v>
      </c>
      <c r="CV46" s="3" t="str">
        <f>_xlfn.XLOOKUP(B46,'BASE DE EXCEL'!$C:$C,'BASE DE EXCEL'!P:P,"NO HAY REFERENCIA")</f>
        <v>11 a 15 días</v>
      </c>
      <c r="CW46" s="4">
        <f>_xlfn.XLOOKUP(B46,'BASE DE EXCEL'!$C:$C,'BASE DE EXCEL'!Q:Q,"NO HAY REFERENCIA")</f>
        <v>46080</v>
      </c>
      <c r="CX46" s="3">
        <f>_xlfn.XLOOKUP(B46,'BASE DE EXCEL'!$C:$C,'BASE DE EXCEL'!R:R,"NO HAY REFERENCIA")</f>
        <v>12</v>
      </c>
      <c r="CY46" s="3" t="str">
        <f>_xlfn.XLOOKUP(B46,'BASE DE EXCEL'!$C:$C,'BASE DE EXCEL'!S:S,"NO HAY REFERENCIA")</f>
        <v>11 a 15 días</v>
      </c>
      <c r="CZ46" s="3" t="str">
        <f>_xlfn.XLOOKUP(B46,'BASE DE EXCEL'!$C:$C,'BASE DE EXCEL'!T:T,"NO HAY REFERENCIA")</f>
        <v>Delayed</v>
      </c>
      <c r="DA46" s="3">
        <f>_xlfn.XLOOKUP(B46,'BASE DE EXCEL'!$C:$C,'BASE DE EXCEL'!U:U,"NO HAY REFERENCIA")</f>
        <v>15</v>
      </c>
      <c r="DB46" s="3" t="str">
        <f>_xlfn.XLOOKUP(B46,'BASE DE EXCEL'!$C:$C,'BASE DE EXCEL'!V:V,"NO HAY REFERENCIA")</f>
        <v>11 a 15 días</v>
      </c>
      <c r="DC46" s="3">
        <f>_xlfn.XLOOKUP(B46,'BASE DE EXCEL'!$C:$C,'BASE DE EXCEL'!W:W,"NO HAY REFERENCIA")</f>
        <v>17</v>
      </c>
      <c r="DD46" s="3" t="str">
        <f>_xlfn.XLOOKUP(B46,'BASE DE EXCEL'!$C:$C,'BASE DE EXCEL'!X:X,"NO HAY REFERENCIA")</f>
        <v>más de 16 días</v>
      </c>
      <c r="DE46" s="3">
        <f>_xlfn.XLOOKUP(B46,'BASE DE EXCEL'!$C:$C,'BASE DE EXCEL'!Y:Y,"NO HAY REFERENCIA")</f>
        <v>1</v>
      </c>
      <c r="DF46" s="3" t="str">
        <f>_xlfn.XLOOKUP(B46,'BASE DE EXCEL'!$C:$C,'BASE DE EXCEL'!Z:Z,"NO HAY REFERENCIA")</f>
        <v>1 día o menos</v>
      </c>
      <c r="DG46" s="3">
        <f>_xlfn.XLOOKUP(B46,'BASE DE EXCEL'!$C:$C,'BASE DE EXCEL'!AA:AA,"NO HAY REFERENCIA")</f>
        <v>13</v>
      </c>
      <c r="DH46" s="3">
        <f>_xlfn.XLOOKUP(B46,'BASE DE EXCEL'!$C:$C,'BASE DE EXCEL'!AB:AB,"NO HAY REFERENCIA")</f>
        <v>1</v>
      </c>
      <c r="DI46" s="3" t="str">
        <f>_xlfn.XLOOKUP(B46,'BASE DE EXCEL'!$C:$C,'BASE DE EXCEL'!AC:AC,"NO HAY REFERENCIA")</f>
        <v>1 día o menos</v>
      </c>
      <c r="DJ46" s="4">
        <f>_xlfn.XLOOKUP(B46,'BASE DE EXCEL'!$C:$C,'BASE DE EXCEL'!AD:AD,"NO HAY REFERENCIA")</f>
        <v>46090</v>
      </c>
      <c r="DK46" s="3">
        <f>_xlfn.XLOOKUP(B46,'BASE DE EXCEL'!$C:$C,'BASE DE EXCEL'!AE:AE,"NO HAY REFERENCIA")</f>
        <v>7</v>
      </c>
      <c r="DL46" s="3">
        <f>_xlfn.XLOOKUP(B46,'BASE DE EXCEL'!$C:$C,'BASE DE EXCEL'!AF:AF,"NO HAY REFERENCIA")</f>
        <v>6</v>
      </c>
      <c r="DM46" s="4">
        <f>_xlfn.XLOOKUP(B46,'BASE DE EXCEL'!$C:$C,'BASE DE EXCEL'!AG:AG,"NO HAY REFERENCIA")</f>
        <v>46087</v>
      </c>
      <c r="DN46" s="4">
        <f>_xlfn.XLOOKUP(B46,'BASE DE EXCEL'!$C:$C,'BASE DE EXCEL'!AH:AH,"NO HAY REFERENCIA")</f>
        <v>46090</v>
      </c>
      <c r="DO46" s="3">
        <f>_xlfn.XLOOKUP(B46,'BASE DE EXCEL'!$C:$C,'BASE DE EXCEL'!AI:AI,"NO HAY REFERENCIA")</f>
        <v>3</v>
      </c>
      <c r="DP46" s="4" t="str">
        <f>_xlfn.XLOOKUP(B46,'BASE DE EXCEL'!$C:$C,'BASE DE EXCEL'!AJ:AJ,"NO HAY REFERENCIA")</f>
        <v>6 a 10 días</v>
      </c>
      <c r="DQ46" s="4">
        <f>_xlfn.XLOOKUP(B46,'BASE DE EXCEL'!$C:$C,'BASE DE EXCEL'!AK:AK,"NO HAY REFERENCIA")</f>
        <v>46090</v>
      </c>
      <c r="DR46" s="3">
        <f>_xlfn.XLOOKUP(B46,'BASE DE EXCEL'!$C:$C,'BASE DE EXCEL'!AL:AL,"NO HAY REFERENCIA")</f>
        <v>7</v>
      </c>
      <c r="DS46" s="3" t="str">
        <f>_xlfn.XLOOKUP(B46,'BASE DE EXCEL'!$C:$C,'BASE DE EXCEL'!AM:AM,"NO HAY REFERENCIA")</f>
        <v>6 a 10 días</v>
      </c>
      <c r="DT46" s="3" t="str">
        <f>_xlfn.XLOOKUP(B46,'BASE DE EXCEL'!$C:$C,'BASE DE EXCEL'!AN:AN,"NO HAY REFERENCIA")</f>
        <v>Delayed</v>
      </c>
      <c r="DU46" s="3">
        <f>_xlfn.XLOOKUP(B46,'BASE DE EXCEL'!$C:$C,'BASE DE EXCEL'!AO:AO,"NO HAY REFERENCIA")</f>
        <v>1</v>
      </c>
      <c r="DV46" s="3" t="str">
        <f>_xlfn.XLOOKUP(B46,'BASE DE EXCEL'!$C:$C,'BASE DE EXCEL'!AP:AP,"NO HAY REFERENCIA")</f>
        <v>Es anterior</v>
      </c>
      <c r="DW46" s="3" t="str">
        <f>_xlfn.XLOOKUP(B46,'BASE DE EXCEL'!$C:$C,'BASE DE EXCEL'!AQ:AQ,"NO HAY REFERENCIA")</f>
        <v>A1</v>
      </c>
      <c r="DX46" s="3" t="str">
        <f>_xlfn.XLOOKUP(B46,'BASE DE EXCEL'!$C:$C,'BASE DE EXCEL'!AR:AR,"NO HAY REFERENCIA")</f>
        <v>ZULEIMA PEREZ RUIZ</v>
      </c>
      <c r="DY46" s="3">
        <f>_xlfn.XLOOKUP(B46,'BASE DE EXCEL'!$C:$C,'BASE DE EXCEL'!AS:AS,"NO HAY REFERENCIA")</f>
        <v>265080842</v>
      </c>
      <c r="DZ46" s="3" t="str">
        <f>_xlfn.XLOOKUP(B46,'BASE DE EXCEL'!$C:$C,'BASE DE EXCEL'!AT:AT,"NO HAY REFERENCIA")</f>
        <v>NULL</v>
      </c>
      <c r="EA46" s="3">
        <f>_xlfn.XLOOKUP(B46,'BASE DE EXCEL'!$C:$C,'BASE DE EXCEL'!AU:AU,"NO HAY REFERENCIA")</f>
        <v>6000301</v>
      </c>
      <c r="EB46" s="3" t="str">
        <f>_xlfn.XLOOKUP(B46,'BASE DE EXCEL'!$C:$C,'BASE DE EXCEL'!AV:AV,"NO HAY REFERENCIA")</f>
        <v>Importación</v>
      </c>
      <c r="EC46" s="3" t="str">
        <f>_xlfn.XLOOKUP(B46,'BASE DE EXCEL'!$C:$C,'BASE DE EXCEL'!AW:AW,"NO HAY REFERENCIA")</f>
        <v>TAKTIC EC 1X1L</v>
      </c>
      <c r="ED46" s="3" t="str">
        <f>_xlfn.XLOOKUP(B46,'BASE DE EXCEL'!$C:$C,'BASE DE EXCEL'!AX:AX,"NO HAY REFERENCIA")</f>
        <v>SIN CLASIFICACION</v>
      </c>
      <c r="EE46" s="3">
        <f>_xlfn.XLOOKUP(B46,'BASE DE EXCEL'!$C:$C,'BASE DE EXCEL'!AY:AY,"NO HAY REFERENCIA")</f>
        <v>0</v>
      </c>
      <c r="EF46" s="3" t="str">
        <f>_xlfn.XLOOKUP(B46,'BASE DE EXCEL'!$C:$C,'BASE DE EXCEL'!AZ:AZ,"NO HAY REFERENCIA")</f>
        <v>Cargas de Importación</v>
      </c>
      <c r="EG46" s="3" t="str">
        <f>_xlfn.XLOOKUP(B46,'BASE DE EXCEL'!$C:$C,'BASE DE EXCEL'!BA:BA,"NO HAY REFERENCIA")</f>
        <v>INTERVET MEXICO SA DE CV</v>
      </c>
      <c r="EH46" s="3">
        <f>_xlfn.XLOOKUP(B46,'BASE DE EXCEL'!$C:$C,'BASE DE EXCEL'!BB:BB,"NO HAY REFERENCIA")</f>
        <v>0</v>
      </c>
      <c r="EI46" s="3" t="str">
        <f>_xlfn.XLOOKUP(B46,'BASE DE EXCEL'!$C:$C,'BASE DE EXCEL'!BC:BC,"NO HAY REFERENCIA")</f>
        <v>FALTA RRNA</v>
      </c>
      <c r="EJ46" s="3">
        <f>_xlfn.XLOOKUP(B46,'BASE DE EXCEL'!$C:$C,'BASE DE EXCEL'!BD:BD,"NO HAY REFERENCIA")</f>
        <v>0</v>
      </c>
      <c r="EK46" s="3" t="str">
        <f>_xlfn.XLOOKUP(B46,'BASE DE EXCEL'!$C:$C,'BASE DE EXCEL'!BE:BE,"NO HAY REFERENCIA")</f>
        <v>FALTA RRNA</v>
      </c>
      <c r="EL46" s="3" t="str">
        <f>_xlfn.XLOOKUP(B46,'BASE DE EXCEL'!$C:$C,'BASE DE EXCEL'!BF:BF,"NO HAY REFERENCIA")</f>
        <v>PRODUCTO TERMINADO</v>
      </c>
      <c r="EM46" s="3" t="str">
        <f>_xlfn.XLOOKUP(B46,'BASE DE EXCEL'!$C:$C,'BASE DE EXCEL'!BG:BG,"NO HAY REFERENCIA")</f>
        <v>Verde</v>
      </c>
      <c r="EN46" s="3" t="str">
        <f>_xlfn.XLOOKUP(B46,'BASE DE EXCEL'!$C:$C,'BASE DE EXCEL'!BH:BH,"NO HAY REFERENCIA")</f>
        <v xml:space="preserve"> MLH TRANSPORTE, S.A. DE C.V.</v>
      </c>
      <c r="EO46" s="3" t="str">
        <f>_xlfn.XLOOKUP(B46,'BASE DE EXCEL'!$C:$C,'BASE DE EXCEL'!BI:BI,"NO HAY REFERENCIA")</f>
        <v>ECONOMICO 174</v>
      </c>
      <c r="EP46" s="3">
        <f>_xlfn.XLOOKUP(B46,'BASE DE EXCEL'!$C:$C,'BASE DE EXCEL'!BJ:BJ,"NO HAY REFERENCIA")</f>
        <v>0</v>
      </c>
      <c r="EQ46" s="3" t="str">
        <f>_xlfn.XLOOKUP(B46,'BASE DE EXCEL'!$C:$C,'BASE DE EXCEL'!BK:BK,"NO HAY REFERENCIA")</f>
        <v>IME850329RH2</v>
      </c>
      <c r="ER46" s="3">
        <f>_xlfn.XLOOKUP(B46,'BASE DE EXCEL'!$C:$C,'BASE DE EXCEL'!BL:BL,"NO HAY REFERENCIA")</f>
        <v>0</v>
      </c>
      <c r="ES46" s="3">
        <f>_xlfn.XLOOKUP(B46,'BASE DE EXCEL'!$C:$C,'BASE DE EXCEL'!BM:BM,"NO HAY REFERENCIA")</f>
        <v>99</v>
      </c>
      <c r="ET46" s="3" t="str">
        <f>_xlfn.XLOOKUP(B46,'BASE DE EXCEL'!$C:$C,'BASE DE EXCEL'!BN:BN,"NO HAY REFERENCIA")</f>
        <v>LOTES: 043/25, 044/25</v>
      </c>
      <c r="EU46" s="3">
        <f>_xlfn.XLOOKUP(B46,'BASE DE EXCEL'!$C:$C,'BASE DE EXCEL'!BO:BO,"NO HAY REFERENCIA")</f>
        <v>90</v>
      </c>
      <c r="EV46" s="3">
        <f>_xlfn.XLOOKUP(B46,'BASE DE EXCEL'!$C:$C,'BASE DE EXCEL'!BP:BP,"NO HAY REFERENCIA")</f>
        <v>1809774.84</v>
      </c>
      <c r="EW46" s="3" t="str">
        <f>_xlfn.XLOOKUP(B46,'BASE DE EXCEL'!$C:$C,'BASE DE EXCEL'!BQ:BQ,"NO HAY REFERENCIA")</f>
        <v>KILO</v>
      </c>
      <c r="EX46" s="3">
        <f>_xlfn.XLOOKUP(B46,'BASE DE EXCEL'!$C:$C,'BASE DE EXCEL'!BR:BR,"NO HAY REFERENCIA")</f>
        <v>0</v>
      </c>
      <c r="EY46" s="3" t="str">
        <f>_xlfn.XLOOKUP(B46,'BASE DE EXCEL'!$C:$C,'BASE DE EXCEL'!BS:BS,"NO HAY REFERENCIA")</f>
        <v>BRASIL (REPUBLICA FEDERATIVA DE)</v>
      </c>
      <c r="EZ46" s="3" t="str">
        <f>_xlfn.XLOOKUP(B46,'BASE DE EXCEL'!$C:$C,'BASE DE EXCEL'!BT:BT,"NO HAY REFERENCIA")</f>
        <v>PAISES BAJOS (REINO DE LOS) (HOLANDA)</v>
      </c>
      <c r="FA46" s="3" t="str">
        <f>_xlfn.XLOOKUP(B46,'BASE DE EXCEL'!$C:$C,'BASE DE EXCEL'!BU:BU,"NO HAY REFERENCIA")</f>
        <v>BRA</v>
      </c>
      <c r="FB46" s="3" t="str">
        <f>_xlfn.XLOOKUP(B46,'BASE DE EXCEL'!$C:$C,'BASE DE EXCEL'!BV:BV,"NO HAY REFERENCIA")</f>
        <v>ZYA</v>
      </c>
      <c r="FC46" s="3">
        <f>_xlfn.XLOOKUP(B46,QUERY!$C:$C,QUERY!D:D)</f>
        <v>430</v>
      </c>
      <c r="FD46" s="4">
        <f>_xlfn.XLOOKUP(B46,QUERY!$C:$C,QUERY!E:E)</f>
        <v>46078</v>
      </c>
      <c r="FE46" s="3">
        <f>_xlfn.XLOOKUP(B46,QUERY!$C:$C,QUERY!F:F)</f>
        <v>2</v>
      </c>
      <c r="FF46" s="4">
        <f>_xlfn.XLOOKUP(B46,QUERY!$C:$C,QUERY!G:G)</f>
        <v>46065</v>
      </c>
      <c r="FG46" s="4">
        <f>_xlfn.XLOOKUP(B46,QUERY!$C:$C,QUERY!H:H)</f>
        <v>46078</v>
      </c>
      <c r="FH46" s="3">
        <f>_xlfn.XLOOKUP(B46,QUERY!$C:$C,QUERY!I:I)</f>
        <v>9</v>
      </c>
      <c r="FI46" s="3" t="str">
        <f>_xlfn.XLOOKUP(B46,QUERY!$C:$C,QUERY!J:J)</f>
        <v>6 a 10 días</v>
      </c>
      <c r="FJ46" s="4">
        <f>_xlfn.XLOOKUP(B46,QUERY!$C:$C,QUERY!K:K)</f>
        <v>46079</v>
      </c>
      <c r="FK46" s="3">
        <f>_xlfn.XLOOKUP(B46,QUERY!$C:$C,QUERY!L:L)</f>
        <v>10</v>
      </c>
      <c r="FL46" s="3" t="str">
        <f>_xlfn.XLOOKUP(B46,QUERY!$C:$C,QUERY!M:M)</f>
        <v>6 a 10 días</v>
      </c>
      <c r="FM46" s="3">
        <f>_xlfn.XLOOKUP(B46,QUERY!$C:$C,QUERY!N:N)</f>
        <v>1</v>
      </c>
      <c r="FN46" s="3" t="str">
        <f>_xlfn.XLOOKUP(B46,QUERY!$C:$C,QUERY!O:O)</f>
        <v>1 día o menos</v>
      </c>
      <c r="FO46" s="3">
        <f>_xlfn.XLOOKUP(B46,QUERY!$C:$C,QUERY!P:P)</f>
        <v>1</v>
      </c>
      <c r="FP46" s="3">
        <f>_xlfn.XLOOKUP(B46,QUERY!$C:$C,QUERY!Q:Q)</f>
        <v>1</v>
      </c>
      <c r="FQ46" s="3" t="str">
        <f>_xlfn.XLOOKUP(B46,QUERY!$C:$C,QUERY!R:R)</f>
        <v>1 día o menos</v>
      </c>
      <c r="FR46" s="4">
        <f>_xlfn.XLOOKUP(B46,QUERY!$C:$C,QUERY!S:S)</f>
        <v>46080</v>
      </c>
      <c r="FS46" s="3">
        <f>_xlfn.XLOOKUP(B46,QUERY!$C:$C,QUERY!T:T)</f>
        <v>11</v>
      </c>
      <c r="FT46" s="3" t="str">
        <f>_xlfn.XLOOKUP(B46,QUERY!$C:$C,QUERY!U:U)</f>
        <v>11 a 15 días</v>
      </c>
      <c r="FU46" s="3">
        <f>_xlfn.XLOOKUP(B46,QUERY!$C:$C,QUERY!V:V)</f>
        <v>17</v>
      </c>
      <c r="FV46" s="3" t="str">
        <f>_xlfn.XLOOKUP(B46,QUERY!$C:$C,QUERY!W:W)</f>
        <v>más de 16 días</v>
      </c>
      <c r="FW46" s="4">
        <f>_xlfn.XLOOKUP(B46,QUERY!$C:$C,QUERY!X:X)</f>
        <v>46090</v>
      </c>
      <c r="FX46" s="3">
        <f>_xlfn.XLOOKUP(B46,QUERY!$C:$C,QUERY!Y:Y)</f>
        <v>5</v>
      </c>
      <c r="FY46" s="3">
        <f>_xlfn.XLOOKUP(B46,QUERY!$C:$C,QUERY!Z:Z)</f>
        <v>6</v>
      </c>
      <c r="FZ46" s="4" t="str">
        <f>_xlfn.XLOOKUP(B46,QUERY!$C:$C,QUERY!AA:AA)</f>
        <v>6 a 10 días</v>
      </c>
      <c r="GA46" s="4">
        <f>_xlfn.XLOOKUP(B46,QUERY!$C:$C,QUERY!AB:AB)</f>
        <v>46087</v>
      </c>
      <c r="GB46" s="4">
        <f>_xlfn.XLOOKUP(B46,QUERY!$C:$C,QUERY!AC:AC)</f>
        <v>46090</v>
      </c>
      <c r="GC46" s="3">
        <f>_xlfn.XLOOKUP(B46,QUERY!$C:$C,QUERY!AD:AD)</f>
        <v>1</v>
      </c>
      <c r="GD46" s="4">
        <f>_xlfn.XLOOKUP(B46,QUERY!$C:$C,QUERY!AE:AE)</f>
        <v>46090</v>
      </c>
      <c r="GE46" s="3">
        <f>_xlfn.XLOOKUP(B46,QUERY!$C:$C,QUERY!AF:AF)</f>
        <v>1</v>
      </c>
      <c r="GF46" s="4" t="str">
        <f>_xlfn.XLOOKUP(B46,QUERY!$C:$C,QUERY!AG:AG)</f>
        <v>Es anterior</v>
      </c>
      <c r="GG46" s="3" t="str">
        <f>_xlfn.XLOOKUP(B46,QUERY!$C:$C,QUERY!AH:AH)</f>
        <v>A1</v>
      </c>
      <c r="GH46" s="3" t="str">
        <f>_xlfn.XLOOKUP(B46,QUERY!$C:$C,QUERY!AI:AI)</f>
        <v>ZULEIMA PEREZ RUIZ</v>
      </c>
      <c r="GI46" s="3">
        <f>_xlfn.XLOOKUP(B46,QUERY!$C:$C,QUERY!AJ:AJ)</f>
        <v>265080842</v>
      </c>
      <c r="GJ46" s="3" t="str">
        <f>_xlfn.XLOOKUP(B46,QUERY!$C:$C,QUERY!AK:AK)</f>
        <v>NULL</v>
      </c>
      <c r="GK46" s="3">
        <f>_xlfn.XLOOKUP(B46,QUERY!$C:$C,QUERY!AL:AL)</f>
        <v>6000301</v>
      </c>
      <c r="GL46" s="3" t="str">
        <f>_xlfn.XLOOKUP(B46,QUERY!$C:$C,QUERY!AM:AM)</f>
        <v>Importación</v>
      </c>
      <c r="GM46" s="3" t="str">
        <f>_xlfn.XLOOKUP(B46,QUERY!$C:$C,QUERY!AN:AN)</f>
        <v>TAKTIC EC 1X1L</v>
      </c>
      <c r="GN46" s="3" t="str">
        <f>_xlfn.XLOOKUP(B46,QUERY!$C:$C,QUERY!AO:AO)</f>
        <v>SIN CLASIFICACION</v>
      </c>
      <c r="GO46" s="3">
        <f>_xlfn.XLOOKUP(B46,QUERY!$C:$C,QUERY!AP:AP)</f>
        <v>0</v>
      </c>
      <c r="GP46" s="3" t="str">
        <f>_xlfn.XLOOKUP(B46,QUERY!$C:$C,QUERY!AQ:AQ)</f>
        <v>Cargas de Importación</v>
      </c>
      <c r="GQ46" s="3" t="str">
        <f>_xlfn.XLOOKUP(B46,QUERY!$C:$C,QUERY!AR:AR)</f>
        <v>INTERVET MEXICO SA DE CV</v>
      </c>
      <c r="GR46" s="3">
        <f>_xlfn.XLOOKUP(B46,QUERY!$C:$C,QUERY!AS:AS)</f>
        <v>0</v>
      </c>
      <c r="GS46" s="3" t="str">
        <f>_xlfn.XLOOKUP(B46,QUERY!$C:$C,QUERY!AT:AT)</f>
        <v>FALTA RRNA</v>
      </c>
      <c r="GT46" s="3">
        <f>_xlfn.XLOOKUP(B46,QUERY!$C:$C,QUERY!AU:AU)</f>
        <v>0</v>
      </c>
      <c r="GU46" s="3" t="str">
        <f>_xlfn.XLOOKUP(B46,QUERY!$C:$C,QUERY!AV:AV)</f>
        <v>FALTA RRNA</v>
      </c>
      <c r="GV46" s="3" t="str">
        <f>_xlfn.XLOOKUP(B46,QUERY!$C:$C,QUERY!AW:AW)</f>
        <v>PRODUCTO TERMINADO</v>
      </c>
      <c r="GW46" s="3" t="str">
        <f>_xlfn.XLOOKUP(B46,QUERY!$C:$C,QUERY!AX:AX)</f>
        <v>Verde</v>
      </c>
      <c r="GX46" s="3" t="str">
        <f>_xlfn.XLOOKUP(B46,QUERY!$C:$C,QUERY!AY:AY)</f>
        <v xml:space="preserve"> MLH TRANSPORTE, S.A. DE C.V.</v>
      </c>
      <c r="GY46" s="3" t="str">
        <f>_xlfn.XLOOKUP(B46,QUERY!$C:$C,QUERY!AZ:AZ)</f>
        <v>ECONOMICO 174</v>
      </c>
      <c r="GZ46" s="3">
        <f>_xlfn.XLOOKUP(B46,QUERY!$C:$C,QUERY!BA:BA)</f>
        <v>0</v>
      </c>
      <c r="HA46" s="3" t="str">
        <f>_xlfn.XLOOKUP(B46,QUERY!$C:$C,QUERY!BB:BB)</f>
        <v>IME850329RH2</v>
      </c>
      <c r="HB46" s="3">
        <f>_xlfn.XLOOKUP(B46,QUERY!$C:$C,QUERY!BC:BC)</f>
        <v>0</v>
      </c>
      <c r="HC46" s="3">
        <f>_xlfn.XLOOKUP(B46,QUERY!$C:$C,QUERY!BD:BD)</f>
        <v>99</v>
      </c>
      <c r="HD46" s="3" t="str">
        <f>_xlfn.XLOOKUP(B46,QUERY!$C:$C,QUERY!BE:BE)</f>
        <v>LOTES: 043/25, 044/25</v>
      </c>
      <c r="HE46" s="3">
        <f>_xlfn.XLOOKUP(B46,QUERY!$C:$C,QUERY!BF:BF)</f>
        <v>90</v>
      </c>
      <c r="HF46" s="3" t="str">
        <f>_xlfn.XLOOKUP(B46,QUERY!$C:$C,QUERY!BG:BG)</f>
        <v xml:space="preserve"> 1809774.84</v>
      </c>
      <c r="HG46" s="3" t="str">
        <f>_xlfn.XLOOKUP(B46,QUERY!$C:$C,QUERY!BH:BH)</f>
        <v>KILO</v>
      </c>
      <c r="HH46" s="3">
        <f>_xlfn.XLOOKUP(B46,QUERY!$C:$C,QUERY!BI:BI)</f>
        <v>0</v>
      </c>
      <c r="HI46" s="3" t="str">
        <f>_xlfn.XLOOKUP(B46,QUERY!$C:$C,QUERY!BJ:BJ)</f>
        <v>BRASIL (REPUBLICA FEDERATIVA DE)</v>
      </c>
      <c r="HJ46" s="3" t="str">
        <f>_xlfn.XLOOKUP(B46,QUERY!$C:$C,QUERY!BK:BK)</f>
        <v>PAISES BAJOS (REINO DE LOS) (HOLANDA)</v>
      </c>
      <c r="HK46" s="3" t="str">
        <f>_xlfn.XLOOKUP(B46,QUERY!$C:$C,QUERY!BL:BL)</f>
        <v>BRA</v>
      </c>
      <c r="HL46" s="3" t="str">
        <f>_xlfn.XLOOKUP(B46,QUERY!$C:$C,QUERY!BM:BM)</f>
        <v>ZYA</v>
      </c>
      <c r="HM46" s="3">
        <f>_xlfn.XLOOKUP(B46,QUERY!$C:$C,QUERY!BN:BN)</f>
        <v>1809775</v>
      </c>
      <c r="HN46" s="3" t="str">
        <f>_xlfn.XLOOKUP(B46,QUERY!$C:$C,QUERY!BO:BO)</f>
        <v>14478.00</v>
      </c>
      <c r="HO46" s="3" t="str">
        <f>_xlfn.XLOOKUP(B46,QUERY!$C:$C,QUERY!BP:BP)</f>
        <v>NULL</v>
      </c>
      <c r="HP46" s="3" t="str">
        <f>_xlfn.XLOOKUP(B46,QUERY!$C:$C,QUERY!BQ:BQ)</f>
        <v>NULL</v>
      </c>
      <c r="HQ46" s="3" t="str">
        <f>_xlfn.XLOOKUP(B46,QUERY!$C:$C,QUERY!BR:BR)</f>
        <v>106834.03</v>
      </c>
      <c r="HR46" s="3">
        <f>_xlfn.XLOOKUP(B46,QUERY!$C:$C,QUERY!BS:BS)</f>
        <v>0</v>
      </c>
      <c r="HS46" s="3">
        <f>_xlfn.XLOOKUP(B46,QUERY!$C:$C,QUERY!BT:BT)</f>
        <v>0</v>
      </c>
      <c r="HT46" s="3" t="str">
        <f>_xlfn.XLOOKUP(B46,QUERY!$C:$C,QUERY!A:A)</f>
        <v>VERACRUZ</v>
      </c>
      <c r="HU46" s="3" t="str">
        <f>_xlfn.XLOOKUP(B46,QUERY!$C:$C,QUERY!B:B)</f>
        <v>MARÍTIMO VERACRUZ</v>
      </c>
    </row>
    <row r="47" spans="1:229" x14ac:dyDescent="0.25">
      <c r="A47" s="3" t="s">
        <v>90</v>
      </c>
      <c r="B47" s="14" t="s">
        <v>201</v>
      </c>
      <c r="C47" s="3">
        <v>3942</v>
      </c>
      <c r="D47" s="3">
        <v>6000204</v>
      </c>
      <c r="E47" s="3"/>
      <c r="F47" s="3" t="s">
        <v>92</v>
      </c>
      <c r="G47" s="3" t="s">
        <v>93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17.215499999999999</v>
      </c>
      <c r="Q47" s="3">
        <v>1441</v>
      </c>
      <c r="R47" s="3">
        <v>430</v>
      </c>
      <c r="S47" s="3" t="s">
        <v>202</v>
      </c>
      <c r="T47" s="3" t="s">
        <v>95</v>
      </c>
      <c r="U47" s="3">
        <v>2368554</v>
      </c>
      <c r="V47" s="3">
        <v>2368554</v>
      </c>
      <c r="W47" s="3">
        <v>0</v>
      </c>
      <c r="X47" s="3">
        <v>0</v>
      </c>
      <c r="Y47" s="3">
        <v>0</v>
      </c>
      <c r="Z47" s="3">
        <v>0</v>
      </c>
      <c r="AA47" s="3" t="s">
        <v>203</v>
      </c>
      <c r="AB47" s="3"/>
      <c r="AC47" s="3">
        <v>460074</v>
      </c>
      <c r="AD47" s="3">
        <v>2421.44211</v>
      </c>
      <c r="AE47" s="3">
        <v>808</v>
      </c>
      <c r="AF47" s="3">
        <v>0</v>
      </c>
      <c r="AG47" s="3">
        <v>0</v>
      </c>
      <c r="AH47" s="3">
        <v>0</v>
      </c>
      <c r="AI47" s="3">
        <v>53</v>
      </c>
      <c r="AJ47" s="3">
        <v>462</v>
      </c>
      <c r="AK47" s="3">
        <v>0</v>
      </c>
      <c r="AL47" s="3">
        <v>0</v>
      </c>
      <c r="AM47" s="3">
        <v>330</v>
      </c>
      <c r="AN47" s="3">
        <v>845</v>
      </c>
      <c r="AO47" s="3" t="s">
        <v>97</v>
      </c>
      <c r="AP47" s="3" t="s">
        <v>98</v>
      </c>
      <c r="AQ47" s="3">
        <v>210362396</v>
      </c>
      <c r="AR47" s="3" t="s">
        <v>99</v>
      </c>
      <c r="AS47" s="3" t="s">
        <v>100</v>
      </c>
      <c r="AT47" s="3" t="s">
        <v>204</v>
      </c>
      <c r="AU47" s="3"/>
      <c r="AV47" s="3" t="s">
        <v>146</v>
      </c>
      <c r="AW47" s="3">
        <v>30042099</v>
      </c>
      <c r="AX47" s="3">
        <v>0</v>
      </c>
      <c r="AY47" s="3">
        <v>190</v>
      </c>
      <c r="AZ47" s="3">
        <v>190</v>
      </c>
      <c r="BA47" s="3" t="s">
        <v>103</v>
      </c>
      <c r="BB47" s="3"/>
      <c r="BC47" s="3" t="s">
        <v>126</v>
      </c>
      <c r="BD47" s="3" t="s">
        <v>105</v>
      </c>
      <c r="BE47" s="3" t="s">
        <v>106</v>
      </c>
      <c r="BF47" s="3" t="s">
        <v>107</v>
      </c>
      <c r="BG47" s="5" t="s">
        <v>205</v>
      </c>
      <c r="BH47" s="3" t="s">
        <v>206</v>
      </c>
      <c r="BI47" s="3"/>
      <c r="BJ47" s="3" t="s">
        <v>109</v>
      </c>
      <c r="BK47" s="3" t="s">
        <v>207</v>
      </c>
      <c r="BL47" s="3">
        <v>43635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22189.59</v>
      </c>
      <c r="BY47" s="3">
        <v>0</v>
      </c>
      <c r="BZ47" s="3">
        <v>0</v>
      </c>
      <c r="CA47" s="3">
        <v>40398.910000000003</v>
      </c>
      <c r="CB47" s="3">
        <v>5600</v>
      </c>
      <c r="CC47" s="3">
        <v>1659.2</v>
      </c>
      <c r="CD47" s="3">
        <v>230430.01</v>
      </c>
      <c r="CE47" s="3" t="s">
        <v>192</v>
      </c>
      <c r="CF47" s="3">
        <v>230430.01</v>
      </c>
      <c r="CG47" s="3">
        <v>0</v>
      </c>
      <c r="CH47" s="3">
        <v>0</v>
      </c>
      <c r="CI47" s="3" t="s">
        <v>112</v>
      </c>
      <c r="CJ47" s="3" t="s">
        <v>112</v>
      </c>
      <c r="CK47" s="3">
        <f>_xlfn.XLOOKUP($B$2,'BASE DE EXCEL'!C:C,'BASE DE EXCEL'!D:D,"NO HAY REFERENCIA")</f>
        <v>470</v>
      </c>
      <c r="CL47" s="5">
        <f>_xlfn.XLOOKUP($B$2,'BASE DE EXCEL'!$C:$C,'BASE DE EXCEL'!F:F,"NO HAY REFERENCIA")</f>
        <v>3</v>
      </c>
      <c r="CM47" s="4">
        <f>_xlfn.XLOOKUP($B$2,'BASE DE EXCEL'!$C:$C,'BASE DE EXCEL'!G:G,"NO HAY REFERENCIA")</f>
        <v>46080</v>
      </c>
      <c r="CN47" s="4">
        <f>_xlfn.XLOOKUP($B$2,'BASE DE EXCEL'!$C:$C,'BASE DE EXCEL'!H:H,"NO HAY REFERENCIA")</f>
        <v>46086</v>
      </c>
      <c r="CO47" s="3">
        <f>_xlfn.XLOOKUP($B$2,'BASE DE EXCEL'!$C:$C,'BASE DE EXCEL'!I:I,"NO HAY REFERENCIA")</f>
        <v>4</v>
      </c>
      <c r="CP47" s="3" t="str">
        <f>_xlfn.XLOOKUP($B$2,'BASE DE EXCEL'!$C:$C,'BASE DE EXCEL'!J:J,"NO HAY REFERENCIA")</f>
        <v>4 a 5 días</v>
      </c>
      <c r="CQ47" s="4">
        <f>_xlfn.XLOOKUP($B$2,'BASE DE EXCEL'!$C:$C,'BASE DE EXCEL'!K:K,"NO HAY REFERENCIA")</f>
        <v>46087</v>
      </c>
      <c r="CR47" s="3">
        <f>_xlfn.XLOOKUP($B$2,'BASE DE EXCEL'!$C:$C,'BASE DE EXCEL'!L:L,"NO HAY REFERENCIA")</f>
        <v>5</v>
      </c>
      <c r="CS47" s="3">
        <f>_xlfn.XLOOKUP($B$2,'BASE DE EXCEL'!$C:$C,'BASE DE EXCEL'!M:M,"NO HAY REFERENCIA")</f>
        <v>6</v>
      </c>
      <c r="CT47" s="3" t="str">
        <f>_xlfn.XLOOKUP($B$2,'BASE DE EXCEL'!$C:$C,'BASE DE EXCEL'!N:N,"NO HAY REFERENCIA")</f>
        <v>6 a 10 días</v>
      </c>
      <c r="CU47" s="3" t="str">
        <f>_xlfn.XLOOKUP($B$2,'BASE DE EXCEL'!$C:$C,'BASE DE EXCEL'!O:O,"NO HAY REFERENCIA")</f>
        <v>On Time</v>
      </c>
      <c r="CV47" s="3" t="str">
        <f>_xlfn.XLOOKUP(B47,'BASE DE EXCEL'!$C:$C,'BASE DE EXCEL'!P:P,"NO HAY REFERENCIA")</f>
        <v>11 a 15 días</v>
      </c>
      <c r="CW47" s="4">
        <f>_xlfn.XLOOKUP(B47,'BASE DE EXCEL'!$C:$C,'BASE DE EXCEL'!Q:Q,"NO HAY REFERENCIA")</f>
        <v>46080</v>
      </c>
      <c r="CX47" s="3">
        <f>_xlfn.XLOOKUP(B47,'BASE DE EXCEL'!$C:$C,'BASE DE EXCEL'!R:R,"NO HAY REFERENCIA")</f>
        <v>11</v>
      </c>
      <c r="CY47" s="3" t="str">
        <f>_xlfn.XLOOKUP(B47,'BASE DE EXCEL'!$C:$C,'BASE DE EXCEL'!S:S,"NO HAY REFERENCIA")</f>
        <v>11 a 15 días</v>
      </c>
      <c r="CZ47" s="3" t="str">
        <f>_xlfn.XLOOKUP(B47,'BASE DE EXCEL'!$C:$C,'BASE DE EXCEL'!T:T,"NO HAY REFERENCIA")</f>
        <v>Delayed</v>
      </c>
      <c r="DA47" s="3">
        <f>_xlfn.XLOOKUP(B47,'BASE DE EXCEL'!$C:$C,'BASE DE EXCEL'!U:U,"NO HAY REFERENCIA")</f>
        <v>14</v>
      </c>
      <c r="DB47" s="3" t="str">
        <f>_xlfn.XLOOKUP(B47,'BASE DE EXCEL'!$C:$C,'BASE DE EXCEL'!V:V,"NO HAY REFERENCIA")</f>
        <v>6 a 10 días</v>
      </c>
      <c r="DC47" s="3">
        <f>_xlfn.XLOOKUP(B47,'BASE DE EXCEL'!$C:$C,'BASE DE EXCEL'!W:W,"NO HAY REFERENCIA")</f>
        <v>19</v>
      </c>
      <c r="DD47" s="3" t="str">
        <f>_xlfn.XLOOKUP(B47,'BASE DE EXCEL'!$C:$C,'BASE DE EXCEL'!X:X,"NO HAY REFERENCIA")</f>
        <v>más de 16 días</v>
      </c>
      <c r="DE47" s="3">
        <f>_xlfn.XLOOKUP(B47,'BASE DE EXCEL'!$C:$C,'BASE DE EXCEL'!Y:Y,"NO HAY REFERENCIA")</f>
        <v>1</v>
      </c>
      <c r="DF47" s="3" t="str">
        <f>_xlfn.XLOOKUP(B47,'BASE DE EXCEL'!$C:$C,'BASE DE EXCEL'!Z:Z,"NO HAY REFERENCIA")</f>
        <v>1 día o menos</v>
      </c>
      <c r="DG47" s="3">
        <f>_xlfn.XLOOKUP(B47,'BASE DE EXCEL'!$C:$C,'BASE DE EXCEL'!AA:AA,"NO HAY REFERENCIA")</f>
        <v>12</v>
      </c>
      <c r="DH47" s="3">
        <f>_xlfn.XLOOKUP(B47,'BASE DE EXCEL'!$C:$C,'BASE DE EXCEL'!AB:AB,"NO HAY REFERENCIA")</f>
        <v>1</v>
      </c>
      <c r="DI47" s="3" t="str">
        <f>_xlfn.XLOOKUP(B47,'BASE DE EXCEL'!$C:$C,'BASE DE EXCEL'!AC:AC,"NO HAY REFERENCIA")</f>
        <v>1 día o menos</v>
      </c>
      <c r="DJ47" s="4">
        <f>_xlfn.XLOOKUP(B47,'BASE DE EXCEL'!$C:$C,'BASE DE EXCEL'!AD:AD,"NO HAY REFERENCIA")</f>
        <v>46093</v>
      </c>
      <c r="DK47" s="3">
        <f>_xlfn.XLOOKUP(B47,'BASE DE EXCEL'!$C:$C,'BASE DE EXCEL'!AE:AE,"NO HAY REFERENCIA")</f>
        <v>13</v>
      </c>
      <c r="DL47" s="3">
        <f>_xlfn.XLOOKUP(B47,'BASE DE EXCEL'!$C:$C,'BASE DE EXCEL'!AF:AF,"NO HAY REFERENCIA")</f>
        <v>9</v>
      </c>
      <c r="DM47" s="4">
        <f>_xlfn.XLOOKUP(B47,'BASE DE EXCEL'!$C:$C,'BASE DE EXCEL'!AG:AG,"NO HAY REFERENCIA")</f>
        <v>46093</v>
      </c>
      <c r="DN47" s="4">
        <f>_xlfn.XLOOKUP(B47,'BASE DE EXCEL'!$C:$C,'BASE DE EXCEL'!AH:AH,"NO HAY REFERENCIA")</f>
        <v>46093</v>
      </c>
      <c r="DO47" s="3">
        <f>_xlfn.XLOOKUP(B47,'BASE DE EXCEL'!$C:$C,'BASE DE EXCEL'!AI:AI,"NO HAY REFERENCIA")</f>
        <v>0</v>
      </c>
      <c r="DP47" s="4" t="str">
        <f>_xlfn.XLOOKUP(B47,'BASE DE EXCEL'!$C:$C,'BASE DE EXCEL'!AJ:AJ,"NO HAY REFERENCIA")</f>
        <v>11 a 15 días</v>
      </c>
      <c r="DQ47" s="4">
        <f>_xlfn.XLOOKUP(B47,'BASE DE EXCEL'!$C:$C,'BASE DE EXCEL'!AK:AK,"NO HAY REFERENCIA")</f>
        <v>46093</v>
      </c>
      <c r="DR47" s="3">
        <f>_xlfn.XLOOKUP(B47,'BASE DE EXCEL'!$C:$C,'BASE DE EXCEL'!AL:AL,"NO HAY REFERENCIA")</f>
        <v>10</v>
      </c>
      <c r="DS47" s="3" t="str">
        <f>_xlfn.XLOOKUP(B47,'BASE DE EXCEL'!$C:$C,'BASE DE EXCEL'!AM:AM,"NO HAY REFERENCIA")</f>
        <v>6 a 10 días</v>
      </c>
      <c r="DT47" s="3" t="str">
        <f>_xlfn.XLOOKUP(B47,'BASE DE EXCEL'!$C:$C,'BASE DE EXCEL'!AN:AN,"NO HAY REFERENCIA")</f>
        <v>Delayed</v>
      </c>
      <c r="DU47" s="3">
        <f>_xlfn.XLOOKUP(B47,'BASE DE EXCEL'!$C:$C,'BASE DE EXCEL'!AO:AO,"NO HAY REFERENCIA")</f>
        <v>1</v>
      </c>
      <c r="DV47" s="3" t="str">
        <f>_xlfn.XLOOKUP(B47,'BASE DE EXCEL'!$C:$C,'BASE DE EXCEL'!AP:AP,"NO HAY REFERENCIA")</f>
        <v>Es anterior</v>
      </c>
      <c r="DW47" s="3" t="str">
        <f>_xlfn.XLOOKUP(B47,'BASE DE EXCEL'!$C:$C,'BASE DE EXCEL'!AQ:AQ,"NO HAY REFERENCIA")</f>
        <v>A1</v>
      </c>
      <c r="DX47" s="3" t="str">
        <f>_xlfn.XLOOKUP(B47,'BASE DE EXCEL'!$C:$C,'BASE DE EXCEL'!AR:AR,"NO HAY REFERENCIA")</f>
        <v>ZULEIMA PEREZ RUIZ</v>
      </c>
      <c r="DY47" s="3" t="str">
        <f>_xlfn.XLOOKUP(B47,'BASE DE EXCEL'!$C:$C,'BASE DE EXCEL'!AS:AS,"NO HAY REFERENCIA")</f>
        <v>HLCUANR260115402</v>
      </c>
      <c r="DZ47" s="3" t="str">
        <f>_xlfn.XLOOKUP(B47,'BASE DE EXCEL'!$C:$C,'BASE DE EXCEL'!AT:AT,"NO HAY REFERENCIA")</f>
        <v>NULL</v>
      </c>
      <c r="EA47" s="3">
        <f>_xlfn.XLOOKUP(B47,'BASE DE EXCEL'!$C:$C,'BASE DE EXCEL'!AU:AU,"NO HAY REFERENCIA")</f>
        <v>6000204</v>
      </c>
      <c r="EB47" s="3" t="str">
        <f>_xlfn.XLOOKUP(B47,'BASE DE EXCEL'!$C:$C,'BASE DE EXCEL'!AV:AV,"NO HAY REFERENCIA")</f>
        <v>Importación</v>
      </c>
      <c r="EC47" s="3" t="str">
        <f>_xlfn.XLOOKUP(B47,'BASE DE EXCEL'!$C:$C,'BASE DE EXCEL'!AW:AW,"NO HAY REFERENCIA")</f>
        <v>MOMETAMAX ULTRA (MEDICAMENTO DOSIFICADO DE USO VETERINARIO)</v>
      </c>
      <c r="ED47" s="3" t="str">
        <f>_xlfn.XLOOKUP(B47,'BASE DE EXCEL'!$C:$C,'BASE DE EXCEL'!AX:AX,"NO HAY REFERENCIA")</f>
        <v>SIN CLASIFICACION</v>
      </c>
      <c r="EE47" s="3">
        <f>_xlfn.XLOOKUP(B47,'BASE DE EXCEL'!$C:$C,'BASE DE EXCEL'!AY:AY,"NO HAY REFERENCIA")</f>
        <v>0</v>
      </c>
      <c r="EF47" s="3" t="str">
        <f>_xlfn.XLOOKUP(B47,'BASE DE EXCEL'!$C:$C,'BASE DE EXCEL'!AZ:AZ,"NO HAY REFERENCIA")</f>
        <v>Cargas de Importación</v>
      </c>
      <c r="EG47" s="3" t="str">
        <f>_xlfn.XLOOKUP(B47,'BASE DE EXCEL'!$C:$C,'BASE DE EXCEL'!BA:BA,"NO HAY REFERENCIA")</f>
        <v>INTERVET MEXICO SA DE CV</v>
      </c>
      <c r="EH47" s="3">
        <f>_xlfn.XLOOKUP(B47,'BASE DE EXCEL'!$C:$C,'BASE DE EXCEL'!BB:BB,"NO HAY REFERENCIA")</f>
        <v>0</v>
      </c>
      <c r="EI47" s="3" t="str">
        <f>_xlfn.XLOOKUP(B47,'BASE DE EXCEL'!$C:$C,'BASE DE EXCEL'!BC:BC,"NO HAY REFERENCIA")</f>
        <v>FALTA RRNA</v>
      </c>
      <c r="EJ47" s="3">
        <f>_xlfn.XLOOKUP(B47,'BASE DE EXCEL'!$C:$C,'BASE DE EXCEL'!BD:BD,"NO HAY REFERENCIA")</f>
        <v>0</v>
      </c>
      <c r="EK47" s="3" t="str">
        <f>_xlfn.XLOOKUP(B47,'BASE DE EXCEL'!$C:$C,'BASE DE EXCEL'!BE:BE,"NO HAY REFERENCIA")</f>
        <v>FALTA RRNA</v>
      </c>
      <c r="EL47" s="3" t="str">
        <f>_xlfn.XLOOKUP(B47,'BASE DE EXCEL'!$C:$C,'BASE DE EXCEL'!BF:BF,"NO HAY REFERENCIA")</f>
        <v>PRODUCTO TERMINADO</v>
      </c>
      <c r="EM47" s="3" t="str">
        <f>_xlfn.XLOOKUP(B47,'BASE DE EXCEL'!$C:$C,'BASE DE EXCEL'!BG:BG,"NO HAY REFERENCIA")</f>
        <v>Verde</v>
      </c>
      <c r="EN47" s="3" t="str">
        <f>_xlfn.XLOOKUP(B47,'BASE DE EXCEL'!$C:$C,'BASE DE EXCEL'!BH:BH,"NO HAY REFERENCIA")</f>
        <v xml:space="preserve"> MLH TRANSPORTE, S.A. DE C.V.</v>
      </c>
      <c r="EO47" s="3" t="str">
        <f>_xlfn.XLOOKUP(B47,'BASE DE EXCEL'!$C:$C,'BASE DE EXCEL'!BI:BI,"NO HAY REFERENCIA")</f>
        <v>TRACTOCAMION ECO 174</v>
      </c>
      <c r="EP47" s="3">
        <f>_xlfn.XLOOKUP(B47,'BASE DE EXCEL'!$C:$C,'BASE DE EXCEL'!BJ:BJ,"NO HAY REFERENCIA")</f>
        <v>0</v>
      </c>
      <c r="EQ47" s="3" t="str">
        <f>_xlfn.XLOOKUP(B47,'BASE DE EXCEL'!$C:$C,'BASE DE EXCEL'!BK:BK,"NO HAY REFERENCIA")</f>
        <v>IME850329RH2</v>
      </c>
      <c r="ER47" s="3">
        <f>_xlfn.XLOOKUP(B47,'BASE DE EXCEL'!$C:$C,'BASE DE EXCEL'!BL:BL,"NO HAY REFERENCIA")</f>
        <v>0</v>
      </c>
      <c r="ES47" s="3">
        <f>_xlfn.XLOOKUP(B47,'BASE DE EXCEL'!$C:$C,'BASE DE EXCEL'!BM:BM,"NO HAY REFERENCIA")</f>
        <v>0</v>
      </c>
      <c r="ET47" s="3" t="str">
        <f>_xlfn.XLOOKUP(B47,'BASE DE EXCEL'!$C:$C,'BASE DE EXCEL'!BN:BN,"NO HAY REFERENCIA")</f>
        <v>LOTE: 5741108,LOTE: 5762102</v>
      </c>
      <c r="EU47" s="3">
        <f>_xlfn.XLOOKUP(B47,'BASE DE EXCEL'!$C:$C,'BASE DE EXCEL'!BO:BO,"NO HAY REFERENCIA")</f>
        <v>90</v>
      </c>
      <c r="EV47" s="3">
        <f>_xlfn.XLOOKUP(B47,'BASE DE EXCEL'!$C:$C,'BASE DE EXCEL'!BP:BP,"NO HAY REFERENCIA")</f>
        <v>2368553.6</v>
      </c>
      <c r="EW47" s="3" t="str">
        <f>_xlfn.XLOOKUP(B47,'BASE DE EXCEL'!$C:$C,'BASE DE EXCEL'!BQ:BQ,"NO HAY REFERENCIA")</f>
        <v>KILO,KILO</v>
      </c>
      <c r="EX47" s="3">
        <f>_xlfn.XLOOKUP(B47,'BASE DE EXCEL'!$C:$C,'BASE DE EXCEL'!BR:BR,"NO HAY REFERENCIA")</f>
        <v>0</v>
      </c>
      <c r="EY47" s="3" t="str">
        <f>_xlfn.XLOOKUP(B47,'BASE DE EXCEL'!$C:$C,'BASE DE EXCEL'!BS:BS,"NO HAY REFERENCIA")</f>
        <v>ALEMANIA (REPUBLICA FEDERAL DE)</v>
      </c>
      <c r="EZ47" s="3" t="str">
        <f>_xlfn.XLOOKUP(B47,'BASE DE EXCEL'!$C:$C,'BASE DE EXCEL'!BT:BT,"NO HAY REFERENCIA")</f>
        <v>PAISES BAJOS (REINO DE LOS) (HOLANDA)</v>
      </c>
      <c r="FA47" s="3" t="str">
        <f>_xlfn.XLOOKUP(B47,'BASE DE EXCEL'!$C:$C,'BASE DE EXCEL'!BU:BU,"NO HAY REFERENCIA")</f>
        <v>DEU</v>
      </c>
      <c r="FB47" s="3" t="str">
        <f>_xlfn.XLOOKUP(B47,'BASE DE EXCEL'!$C:$C,'BASE DE EXCEL'!BV:BV,"NO HAY REFERENCIA")</f>
        <v>ZYA</v>
      </c>
      <c r="FC47" s="3">
        <f>_xlfn.XLOOKUP(B47,QUERY!$C:$C,QUERY!D:D)</f>
        <v>430</v>
      </c>
      <c r="FD47" s="4">
        <f>_xlfn.XLOOKUP(B47,QUERY!$C:$C,QUERY!E:E)</f>
        <v>46078</v>
      </c>
      <c r="FE47" s="3">
        <f>_xlfn.XLOOKUP(B47,QUERY!$C:$C,QUERY!F:F)</f>
        <v>2</v>
      </c>
      <c r="FF47" s="4">
        <f>_xlfn.XLOOKUP(B47,QUERY!$C:$C,QUERY!G:G)</f>
        <v>46066</v>
      </c>
      <c r="FG47" s="4">
        <f>_xlfn.XLOOKUP(B47,QUERY!$C:$C,QUERY!H:H)</f>
        <v>46078</v>
      </c>
      <c r="FH47" s="3">
        <f>_xlfn.XLOOKUP(B47,QUERY!$C:$C,QUERY!I:I)</f>
        <v>8</v>
      </c>
      <c r="FI47" s="3" t="str">
        <f>_xlfn.XLOOKUP(B47,QUERY!$C:$C,QUERY!J:J)</f>
        <v>6 a 10 días</v>
      </c>
      <c r="FJ47" s="4">
        <f>_xlfn.XLOOKUP(B47,QUERY!$C:$C,QUERY!K:K)</f>
        <v>46079</v>
      </c>
      <c r="FK47" s="3">
        <f>_xlfn.XLOOKUP(B47,QUERY!$C:$C,QUERY!L:L)</f>
        <v>9</v>
      </c>
      <c r="FL47" s="3" t="str">
        <f>_xlfn.XLOOKUP(B47,QUERY!$C:$C,QUERY!M:M)</f>
        <v>6 a 10 días</v>
      </c>
      <c r="FM47" s="3">
        <f>_xlfn.XLOOKUP(B47,QUERY!$C:$C,QUERY!N:N)</f>
        <v>1</v>
      </c>
      <c r="FN47" s="3" t="str">
        <f>_xlfn.XLOOKUP(B47,QUERY!$C:$C,QUERY!O:O)</f>
        <v>1 día o menos</v>
      </c>
      <c r="FO47" s="3">
        <f>_xlfn.XLOOKUP(B47,QUERY!$C:$C,QUERY!P:P)</f>
        <v>1</v>
      </c>
      <c r="FP47" s="3">
        <f>_xlfn.XLOOKUP(B47,QUERY!$C:$C,QUERY!Q:Q)</f>
        <v>1</v>
      </c>
      <c r="FQ47" s="3" t="str">
        <f>_xlfn.XLOOKUP(B47,QUERY!$C:$C,QUERY!R:R)</f>
        <v>1 día o menos</v>
      </c>
      <c r="FR47" s="4">
        <f>_xlfn.XLOOKUP(B47,QUERY!$C:$C,QUERY!S:S)</f>
        <v>46080</v>
      </c>
      <c r="FS47" s="3">
        <f>_xlfn.XLOOKUP(B47,QUERY!$C:$C,QUERY!T:T)</f>
        <v>10</v>
      </c>
      <c r="FT47" s="3" t="str">
        <f>_xlfn.XLOOKUP(B47,QUERY!$C:$C,QUERY!U:U)</f>
        <v>6 a 10 días</v>
      </c>
      <c r="FU47" s="3">
        <f>_xlfn.XLOOKUP(B47,QUERY!$C:$C,QUERY!V:V)</f>
        <v>19</v>
      </c>
      <c r="FV47" s="3" t="str">
        <f>_xlfn.XLOOKUP(B47,QUERY!$C:$C,QUERY!W:W)</f>
        <v>más de 16 días</v>
      </c>
      <c r="FW47" s="4">
        <f>_xlfn.XLOOKUP(B47,QUERY!$C:$C,QUERY!X:X)</f>
        <v>46093</v>
      </c>
      <c r="FX47" s="3">
        <f>_xlfn.XLOOKUP(B47,QUERY!$C:$C,QUERY!Y:Y)</f>
        <v>9</v>
      </c>
      <c r="FY47" s="3">
        <f>_xlfn.XLOOKUP(B47,QUERY!$C:$C,QUERY!Z:Z)</f>
        <v>9</v>
      </c>
      <c r="FZ47" s="4" t="str">
        <f>_xlfn.XLOOKUP(B47,QUERY!$C:$C,QUERY!AA:AA)</f>
        <v>11 a 15 días</v>
      </c>
      <c r="GA47" s="4">
        <f>_xlfn.XLOOKUP(B47,QUERY!$C:$C,QUERY!AB:AB)</f>
        <v>46093</v>
      </c>
      <c r="GB47" s="4">
        <f>_xlfn.XLOOKUP(B47,QUERY!$C:$C,QUERY!AC:AC)</f>
        <v>46093</v>
      </c>
      <c r="GC47" s="3">
        <f>_xlfn.XLOOKUP(B47,QUERY!$C:$C,QUERY!AD:AD)</f>
        <v>0</v>
      </c>
      <c r="GD47" s="4">
        <f>_xlfn.XLOOKUP(B47,QUERY!$C:$C,QUERY!AE:AE)</f>
        <v>46093</v>
      </c>
      <c r="GE47" s="3">
        <f>_xlfn.XLOOKUP(B47,QUERY!$C:$C,QUERY!AF:AF)</f>
        <v>1</v>
      </c>
      <c r="GF47" s="4" t="str">
        <f>_xlfn.XLOOKUP(B47,QUERY!$C:$C,QUERY!AG:AG)</f>
        <v>Es anterior</v>
      </c>
      <c r="GG47" s="3" t="str">
        <f>_xlfn.XLOOKUP(B47,QUERY!$C:$C,QUERY!AH:AH)</f>
        <v>A1</v>
      </c>
      <c r="GH47" s="3" t="str">
        <f>_xlfn.XLOOKUP(B47,QUERY!$C:$C,QUERY!AI:AI)</f>
        <v>ZULEIMA PEREZ RUIZ</v>
      </c>
      <c r="GI47" s="3" t="str">
        <f>_xlfn.XLOOKUP(B47,QUERY!$C:$C,QUERY!AJ:AJ)</f>
        <v>HLCUANR260115402</v>
      </c>
      <c r="GJ47" s="3" t="str">
        <f>_xlfn.XLOOKUP(B47,QUERY!$C:$C,QUERY!AK:AK)</f>
        <v>NULL</v>
      </c>
      <c r="GK47" s="3">
        <f>_xlfn.XLOOKUP(B47,QUERY!$C:$C,QUERY!AL:AL)</f>
        <v>6000204</v>
      </c>
      <c r="GL47" s="3" t="str">
        <f>_xlfn.XLOOKUP(B47,QUERY!$C:$C,QUERY!AM:AM)</f>
        <v>Importación</v>
      </c>
      <c r="GM47" s="3" t="str">
        <f>_xlfn.XLOOKUP(B47,QUERY!$C:$C,QUERY!AN:AN)</f>
        <v>MOMETAMAX ULTRA (MEDICAMENTO DOSIFICADO DE USO VETERINARIO)</v>
      </c>
      <c r="GN47" s="3" t="str">
        <f>_xlfn.XLOOKUP(B47,QUERY!$C:$C,QUERY!AO:AO)</f>
        <v>SIN CLASIFICACION</v>
      </c>
      <c r="GO47" s="3">
        <f>_xlfn.XLOOKUP(B47,QUERY!$C:$C,QUERY!AP:AP)</f>
        <v>0</v>
      </c>
      <c r="GP47" s="3" t="str">
        <f>_xlfn.XLOOKUP(B47,QUERY!$C:$C,QUERY!AQ:AQ)</f>
        <v>Cargas de Importación</v>
      </c>
      <c r="GQ47" s="3" t="str">
        <f>_xlfn.XLOOKUP(B47,QUERY!$C:$C,QUERY!AR:AR)</f>
        <v>INTERVET MEXICO SA DE CV</v>
      </c>
      <c r="GR47" s="3">
        <f>_xlfn.XLOOKUP(B47,QUERY!$C:$C,QUERY!AS:AS)</f>
        <v>0</v>
      </c>
      <c r="GS47" s="3" t="str">
        <f>_xlfn.XLOOKUP(B47,QUERY!$C:$C,QUERY!AT:AT)</f>
        <v>FALTA RRNA</v>
      </c>
      <c r="GT47" s="3">
        <f>_xlfn.XLOOKUP(B47,QUERY!$C:$C,QUERY!AU:AU)</f>
        <v>0</v>
      </c>
      <c r="GU47" s="3" t="str">
        <f>_xlfn.XLOOKUP(B47,QUERY!$C:$C,QUERY!AV:AV)</f>
        <v>FALTA RRNA</v>
      </c>
      <c r="GV47" s="3" t="str">
        <f>_xlfn.XLOOKUP(B47,QUERY!$C:$C,QUERY!AW:AW)</f>
        <v>PRODUCTO TERMINADO</v>
      </c>
      <c r="GW47" s="3" t="str">
        <f>_xlfn.XLOOKUP(B47,QUERY!$C:$C,QUERY!AX:AX)</f>
        <v>Verde</v>
      </c>
      <c r="GX47" s="3" t="str">
        <f>_xlfn.XLOOKUP(B47,QUERY!$C:$C,QUERY!AY:AY)</f>
        <v xml:space="preserve"> MLH TRANSPORTE, S.A. DE C.V.</v>
      </c>
      <c r="GY47" s="3" t="str">
        <f>_xlfn.XLOOKUP(B47,QUERY!$C:$C,QUERY!AZ:AZ)</f>
        <v>TRACTOCAMION ECO 174</v>
      </c>
      <c r="GZ47" s="3">
        <f>_xlfn.XLOOKUP(B47,QUERY!$C:$C,QUERY!BA:BA)</f>
        <v>0</v>
      </c>
      <c r="HA47" s="3" t="str">
        <f>_xlfn.XLOOKUP(B47,QUERY!$C:$C,QUERY!BB:BB)</f>
        <v>IME850329RH2</v>
      </c>
      <c r="HB47" s="3">
        <f>_xlfn.XLOOKUP(B47,QUERY!$C:$C,QUERY!BC:BC)</f>
        <v>0</v>
      </c>
      <c r="HC47" s="3">
        <f>_xlfn.XLOOKUP(B47,QUERY!$C:$C,QUERY!BD:BD)</f>
        <v>0</v>
      </c>
      <c r="HD47" s="3" t="str">
        <f>_xlfn.XLOOKUP(B47,QUERY!$C:$C,QUERY!BE:BE)</f>
        <v>LOTE: 5741108,LOTE: 5762102</v>
      </c>
      <c r="HE47" s="3">
        <f>_xlfn.XLOOKUP(B47,QUERY!$C:$C,QUERY!BF:BF)</f>
        <v>90</v>
      </c>
      <c r="HF47" s="3" t="str">
        <f>_xlfn.XLOOKUP(B47,QUERY!$C:$C,QUERY!BG:BG)</f>
        <v xml:space="preserve"> 2368553.60</v>
      </c>
      <c r="HG47" s="3" t="str">
        <f>_xlfn.XLOOKUP(B47,QUERY!$C:$C,QUERY!BH:BH)</f>
        <v>KILO,KILO</v>
      </c>
      <c r="HH47" s="3">
        <f>_xlfn.XLOOKUP(B47,QUERY!$C:$C,QUERY!BI:BI)</f>
        <v>0</v>
      </c>
      <c r="HI47" s="3" t="str">
        <f>_xlfn.XLOOKUP(B47,QUERY!$C:$C,QUERY!BJ:BJ)</f>
        <v>ALEMANIA (REPUBLICA FEDERAL DE)</v>
      </c>
      <c r="HJ47" s="3" t="str">
        <f>_xlfn.XLOOKUP(B47,QUERY!$C:$C,QUERY!BK:BK)</f>
        <v>PAISES BAJOS (REINO DE LOS) (HOLANDA)</v>
      </c>
      <c r="HK47" s="3" t="str">
        <f>_xlfn.XLOOKUP(B47,QUERY!$C:$C,QUERY!BL:BL)</f>
        <v>DEU</v>
      </c>
      <c r="HL47" s="3" t="str">
        <f>_xlfn.XLOOKUP(B47,QUERY!$C:$C,QUERY!BM:BM)</f>
        <v>ZYA</v>
      </c>
      <c r="HM47" s="3">
        <f>_xlfn.XLOOKUP(B47,QUERY!$C:$C,QUERY!BN:BN)</f>
        <v>2368554</v>
      </c>
      <c r="HN47" s="3" t="str">
        <f>_xlfn.XLOOKUP(B47,QUERY!$C:$C,QUERY!BO:BO)</f>
        <v>462.00</v>
      </c>
      <c r="HO47" s="3" t="str">
        <f>_xlfn.XLOOKUP(B47,QUERY!$C:$C,QUERY!BP:BP)</f>
        <v>NULL</v>
      </c>
      <c r="HP47" s="3" t="str">
        <f>_xlfn.XLOOKUP(B47,QUERY!$C:$C,QUERY!BQ:BQ)</f>
        <v>NULL</v>
      </c>
      <c r="HQ47" s="3" t="str">
        <f>_xlfn.XLOOKUP(B47,QUERY!$C:$C,QUERY!BR:BR)</f>
        <v>230430.01</v>
      </c>
      <c r="HR47" s="3">
        <f>_xlfn.XLOOKUP(B47,QUERY!$C:$C,QUERY!BS:BS)</f>
        <v>0</v>
      </c>
      <c r="HS47" s="3">
        <f>_xlfn.XLOOKUP(B47,QUERY!$C:$C,QUERY!BT:BT)</f>
        <v>0</v>
      </c>
      <c r="HT47" s="3" t="str">
        <f>_xlfn.XLOOKUP(B47,QUERY!$C:$C,QUERY!A:A)</f>
        <v>VERACRUZ</v>
      </c>
      <c r="HU47" s="3" t="str">
        <f>_xlfn.XLOOKUP(B47,QUERY!$C:$C,QUERY!B:B)</f>
        <v>MARÍTIMO VERACRUZ</v>
      </c>
    </row>
    <row r="48" spans="1:229" x14ac:dyDescent="0.25">
      <c r="A48" s="3" t="s">
        <v>90</v>
      </c>
      <c r="B48" s="14" t="s">
        <v>201</v>
      </c>
      <c r="C48" s="3">
        <v>3942</v>
      </c>
      <c r="D48" s="3">
        <v>6000204</v>
      </c>
      <c r="E48" s="3"/>
      <c r="F48" s="3" t="s">
        <v>92</v>
      </c>
      <c r="G48" s="3" t="s">
        <v>93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430</v>
      </c>
      <c r="S48" s="3" t="s">
        <v>202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208</v>
      </c>
      <c r="AB48" s="3"/>
      <c r="AC48" s="3">
        <v>1908480</v>
      </c>
      <c r="AD48" s="3">
        <v>840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/>
      <c r="AP48" s="3" t="s">
        <v>98</v>
      </c>
      <c r="AQ48" s="3">
        <v>210362396</v>
      </c>
      <c r="AR48" s="3" t="s">
        <v>99</v>
      </c>
      <c r="AS48" s="3" t="s">
        <v>100</v>
      </c>
      <c r="AT48" s="3">
        <v>0</v>
      </c>
      <c r="AU48" s="3">
        <v>0</v>
      </c>
      <c r="AV48" s="3">
        <v>0</v>
      </c>
      <c r="AW48" s="3">
        <v>30042099</v>
      </c>
      <c r="AX48" s="3">
        <v>0</v>
      </c>
      <c r="AY48" s="3">
        <v>2272</v>
      </c>
      <c r="AZ48" s="3">
        <v>2272</v>
      </c>
      <c r="BA48" s="3" t="s">
        <v>103</v>
      </c>
      <c r="BB48" s="3"/>
      <c r="BC48" s="3" t="s">
        <v>126</v>
      </c>
      <c r="BD48" s="3" t="s">
        <v>105</v>
      </c>
      <c r="BE48" s="3"/>
      <c r="BF48" s="3"/>
      <c r="BG48" s="5"/>
      <c r="BH48" s="3"/>
      <c r="BI48" s="3"/>
      <c r="BJ48" s="3"/>
      <c r="BK48" s="3" t="s">
        <v>207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 t="s">
        <v>192</v>
      </c>
      <c r="CF48" s="3">
        <v>0</v>
      </c>
      <c r="CG48" s="3">
        <v>0</v>
      </c>
      <c r="CH48" s="3">
        <v>0</v>
      </c>
      <c r="CI48" s="3" t="s">
        <v>112</v>
      </c>
      <c r="CJ48" s="3" t="s">
        <v>112</v>
      </c>
      <c r="CK48" s="3">
        <f>_xlfn.XLOOKUP($B$2,'BASE DE EXCEL'!C:C,'BASE DE EXCEL'!D:D,"NO HAY REFERENCIA")</f>
        <v>470</v>
      </c>
      <c r="CL48" s="5">
        <f>_xlfn.XLOOKUP($B$2,'BASE DE EXCEL'!$C:$C,'BASE DE EXCEL'!F:F,"NO HAY REFERENCIA")</f>
        <v>3</v>
      </c>
      <c r="CM48" s="4">
        <f>_xlfn.XLOOKUP($B$2,'BASE DE EXCEL'!$C:$C,'BASE DE EXCEL'!G:G,"NO HAY REFERENCIA")</f>
        <v>46080</v>
      </c>
      <c r="CN48" s="4">
        <f>_xlfn.XLOOKUP($B$2,'BASE DE EXCEL'!$C:$C,'BASE DE EXCEL'!H:H,"NO HAY REFERENCIA")</f>
        <v>46086</v>
      </c>
      <c r="CO48" s="3">
        <f>_xlfn.XLOOKUP($B$2,'BASE DE EXCEL'!$C:$C,'BASE DE EXCEL'!I:I,"NO HAY REFERENCIA")</f>
        <v>4</v>
      </c>
      <c r="CP48" s="3" t="str">
        <f>_xlfn.XLOOKUP($B$2,'BASE DE EXCEL'!$C:$C,'BASE DE EXCEL'!J:J,"NO HAY REFERENCIA")</f>
        <v>4 a 5 días</v>
      </c>
      <c r="CQ48" s="4">
        <f>_xlfn.XLOOKUP($B$2,'BASE DE EXCEL'!$C:$C,'BASE DE EXCEL'!K:K,"NO HAY REFERENCIA")</f>
        <v>46087</v>
      </c>
      <c r="CR48" s="3">
        <f>_xlfn.XLOOKUP($B$2,'BASE DE EXCEL'!$C:$C,'BASE DE EXCEL'!L:L,"NO HAY REFERENCIA")</f>
        <v>5</v>
      </c>
      <c r="CS48" s="3">
        <f>_xlfn.XLOOKUP($B$2,'BASE DE EXCEL'!$C:$C,'BASE DE EXCEL'!M:M,"NO HAY REFERENCIA")</f>
        <v>6</v>
      </c>
      <c r="CT48" s="3" t="str">
        <f>_xlfn.XLOOKUP($B$2,'BASE DE EXCEL'!$C:$C,'BASE DE EXCEL'!N:N,"NO HAY REFERENCIA")</f>
        <v>6 a 10 días</v>
      </c>
      <c r="CU48" s="3" t="str">
        <f>_xlfn.XLOOKUP($B$2,'BASE DE EXCEL'!$C:$C,'BASE DE EXCEL'!O:O,"NO HAY REFERENCIA")</f>
        <v>On Time</v>
      </c>
      <c r="CV48" s="3" t="str">
        <f>_xlfn.XLOOKUP(B48,'BASE DE EXCEL'!$C:$C,'BASE DE EXCEL'!P:P,"NO HAY REFERENCIA")</f>
        <v>11 a 15 días</v>
      </c>
      <c r="CW48" s="4">
        <f>_xlfn.XLOOKUP(B48,'BASE DE EXCEL'!$C:$C,'BASE DE EXCEL'!Q:Q,"NO HAY REFERENCIA")</f>
        <v>46080</v>
      </c>
      <c r="CX48" s="3">
        <f>_xlfn.XLOOKUP(B48,'BASE DE EXCEL'!$C:$C,'BASE DE EXCEL'!R:R,"NO HAY REFERENCIA")</f>
        <v>11</v>
      </c>
      <c r="CY48" s="3" t="str">
        <f>_xlfn.XLOOKUP(B48,'BASE DE EXCEL'!$C:$C,'BASE DE EXCEL'!S:S,"NO HAY REFERENCIA")</f>
        <v>11 a 15 días</v>
      </c>
      <c r="CZ48" s="3" t="str">
        <f>_xlfn.XLOOKUP(B48,'BASE DE EXCEL'!$C:$C,'BASE DE EXCEL'!T:T,"NO HAY REFERENCIA")</f>
        <v>Delayed</v>
      </c>
      <c r="DA48" s="3">
        <f>_xlfn.XLOOKUP(B48,'BASE DE EXCEL'!$C:$C,'BASE DE EXCEL'!U:U,"NO HAY REFERENCIA")</f>
        <v>14</v>
      </c>
      <c r="DB48" s="3" t="str">
        <f>_xlfn.XLOOKUP(B48,'BASE DE EXCEL'!$C:$C,'BASE DE EXCEL'!V:V,"NO HAY REFERENCIA")</f>
        <v>6 a 10 días</v>
      </c>
      <c r="DC48" s="3">
        <f>_xlfn.XLOOKUP(B48,'BASE DE EXCEL'!$C:$C,'BASE DE EXCEL'!W:W,"NO HAY REFERENCIA")</f>
        <v>19</v>
      </c>
      <c r="DD48" s="3" t="str">
        <f>_xlfn.XLOOKUP(B48,'BASE DE EXCEL'!$C:$C,'BASE DE EXCEL'!X:X,"NO HAY REFERENCIA")</f>
        <v>más de 16 días</v>
      </c>
      <c r="DE48" s="3">
        <f>_xlfn.XLOOKUP(B48,'BASE DE EXCEL'!$C:$C,'BASE DE EXCEL'!Y:Y,"NO HAY REFERENCIA")</f>
        <v>1</v>
      </c>
      <c r="DF48" s="3" t="str">
        <f>_xlfn.XLOOKUP(B48,'BASE DE EXCEL'!$C:$C,'BASE DE EXCEL'!Z:Z,"NO HAY REFERENCIA")</f>
        <v>1 día o menos</v>
      </c>
      <c r="DG48" s="3">
        <f>_xlfn.XLOOKUP(B48,'BASE DE EXCEL'!$C:$C,'BASE DE EXCEL'!AA:AA,"NO HAY REFERENCIA")</f>
        <v>12</v>
      </c>
      <c r="DH48" s="3">
        <f>_xlfn.XLOOKUP(B48,'BASE DE EXCEL'!$C:$C,'BASE DE EXCEL'!AB:AB,"NO HAY REFERENCIA")</f>
        <v>1</v>
      </c>
      <c r="DI48" s="3" t="str">
        <f>_xlfn.XLOOKUP(B48,'BASE DE EXCEL'!$C:$C,'BASE DE EXCEL'!AC:AC,"NO HAY REFERENCIA")</f>
        <v>1 día o menos</v>
      </c>
      <c r="DJ48" s="4">
        <f>_xlfn.XLOOKUP(B48,'BASE DE EXCEL'!$C:$C,'BASE DE EXCEL'!AD:AD,"NO HAY REFERENCIA")</f>
        <v>46093</v>
      </c>
      <c r="DK48" s="3">
        <f>_xlfn.XLOOKUP(B48,'BASE DE EXCEL'!$C:$C,'BASE DE EXCEL'!AE:AE,"NO HAY REFERENCIA")</f>
        <v>13</v>
      </c>
      <c r="DL48" s="3">
        <f>_xlfn.XLOOKUP(B48,'BASE DE EXCEL'!$C:$C,'BASE DE EXCEL'!AF:AF,"NO HAY REFERENCIA")</f>
        <v>9</v>
      </c>
      <c r="DM48" s="4">
        <f>_xlfn.XLOOKUP(B48,'BASE DE EXCEL'!$C:$C,'BASE DE EXCEL'!AG:AG,"NO HAY REFERENCIA")</f>
        <v>46093</v>
      </c>
      <c r="DN48" s="4">
        <f>_xlfn.XLOOKUP(B48,'BASE DE EXCEL'!$C:$C,'BASE DE EXCEL'!AH:AH,"NO HAY REFERENCIA")</f>
        <v>46093</v>
      </c>
      <c r="DO48" s="3">
        <f>_xlfn.XLOOKUP(B48,'BASE DE EXCEL'!$C:$C,'BASE DE EXCEL'!AI:AI,"NO HAY REFERENCIA")</f>
        <v>0</v>
      </c>
      <c r="DP48" s="4" t="str">
        <f>_xlfn.XLOOKUP(B48,'BASE DE EXCEL'!$C:$C,'BASE DE EXCEL'!AJ:AJ,"NO HAY REFERENCIA")</f>
        <v>11 a 15 días</v>
      </c>
      <c r="DQ48" s="4">
        <f>_xlfn.XLOOKUP(B48,'BASE DE EXCEL'!$C:$C,'BASE DE EXCEL'!AK:AK,"NO HAY REFERENCIA")</f>
        <v>46093</v>
      </c>
      <c r="DR48" s="3">
        <f>_xlfn.XLOOKUP(B48,'BASE DE EXCEL'!$C:$C,'BASE DE EXCEL'!AL:AL,"NO HAY REFERENCIA")</f>
        <v>10</v>
      </c>
      <c r="DS48" s="3" t="str">
        <f>_xlfn.XLOOKUP(B48,'BASE DE EXCEL'!$C:$C,'BASE DE EXCEL'!AM:AM,"NO HAY REFERENCIA")</f>
        <v>6 a 10 días</v>
      </c>
      <c r="DT48" s="3" t="str">
        <f>_xlfn.XLOOKUP(B48,'BASE DE EXCEL'!$C:$C,'BASE DE EXCEL'!AN:AN,"NO HAY REFERENCIA")</f>
        <v>Delayed</v>
      </c>
      <c r="DU48" s="3">
        <f>_xlfn.XLOOKUP(B48,'BASE DE EXCEL'!$C:$C,'BASE DE EXCEL'!AO:AO,"NO HAY REFERENCIA")</f>
        <v>1</v>
      </c>
      <c r="DV48" s="3" t="str">
        <f>_xlfn.XLOOKUP(B48,'BASE DE EXCEL'!$C:$C,'BASE DE EXCEL'!AP:AP,"NO HAY REFERENCIA")</f>
        <v>Es anterior</v>
      </c>
      <c r="DW48" s="3" t="str">
        <f>_xlfn.XLOOKUP(B48,'BASE DE EXCEL'!$C:$C,'BASE DE EXCEL'!AQ:AQ,"NO HAY REFERENCIA")</f>
        <v>A1</v>
      </c>
      <c r="DX48" s="3" t="str">
        <f>_xlfn.XLOOKUP(B48,'BASE DE EXCEL'!$C:$C,'BASE DE EXCEL'!AR:AR,"NO HAY REFERENCIA")</f>
        <v>ZULEIMA PEREZ RUIZ</v>
      </c>
      <c r="DY48" s="3" t="str">
        <f>_xlfn.XLOOKUP(B48,'BASE DE EXCEL'!$C:$C,'BASE DE EXCEL'!AS:AS,"NO HAY REFERENCIA")</f>
        <v>HLCUANR260115402</v>
      </c>
      <c r="DZ48" s="3" t="str">
        <f>_xlfn.XLOOKUP(B48,'BASE DE EXCEL'!$C:$C,'BASE DE EXCEL'!AT:AT,"NO HAY REFERENCIA")</f>
        <v>NULL</v>
      </c>
      <c r="EA48" s="3">
        <f>_xlfn.XLOOKUP(B48,'BASE DE EXCEL'!$C:$C,'BASE DE EXCEL'!AU:AU,"NO HAY REFERENCIA")</f>
        <v>6000204</v>
      </c>
      <c r="EB48" s="3" t="str">
        <f>_xlfn.XLOOKUP(B48,'BASE DE EXCEL'!$C:$C,'BASE DE EXCEL'!AV:AV,"NO HAY REFERENCIA")</f>
        <v>Importación</v>
      </c>
      <c r="EC48" s="3" t="str">
        <f>_xlfn.XLOOKUP(B48,'BASE DE EXCEL'!$C:$C,'BASE DE EXCEL'!AW:AW,"NO HAY REFERENCIA")</f>
        <v>MOMETAMAX ULTRA (MEDICAMENTO DOSIFICADO DE USO VETERINARIO)</v>
      </c>
      <c r="ED48" s="3" t="str">
        <f>_xlfn.XLOOKUP(B48,'BASE DE EXCEL'!$C:$C,'BASE DE EXCEL'!AX:AX,"NO HAY REFERENCIA")</f>
        <v>SIN CLASIFICACION</v>
      </c>
      <c r="EE48" s="3">
        <f>_xlfn.XLOOKUP(B48,'BASE DE EXCEL'!$C:$C,'BASE DE EXCEL'!AY:AY,"NO HAY REFERENCIA")</f>
        <v>0</v>
      </c>
      <c r="EF48" s="3" t="str">
        <f>_xlfn.XLOOKUP(B48,'BASE DE EXCEL'!$C:$C,'BASE DE EXCEL'!AZ:AZ,"NO HAY REFERENCIA")</f>
        <v>Cargas de Importación</v>
      </c>
      <c r="EG48" s="3" t="str">
        <f>_xlfn.XLOOKUP(B48,'BASE DE EXCEL'!$C:$C,'BASE DE EXCEL'!BA:BA,"NO HAY REFERENCIA")</f>
        <v>INTERVET MEXICO SA DE CV</v>
      </c>
      <c r="EH48" s="3">
        <f>_xlfn.XLOOKUP(B48,'BASE DE EXCEL'!$C:$C,'BASE DE EXCEL'!BB:BB,"NO HAY REFERENCIA")</f>
        <v>0</v>
      </c>
      <c r="EI48" s="3" t="str">
        <f>_xlfn.XLOOKUP(B48,'BASE DE EXCEL'!$C:$C,'BASE DE EXCEL'!BC:BC,"NO HAY REFERENCIA")</f>
        <v>FALTA RRNA</v>
      </c>
      <c r="EJ48" s="3">
        <f>_xlfn.XLOOKUP(B48,'BASE DE EXCEL'!$C:$C,'BASE DE EXCEL'!BD:BD,"NO HAY REFERENCIA")</f>
        <v>0</v>
      </c>
      <c r="EK48" s="3" t="str">
        <f>_xlfn.XLOOKUP(B48,'BASE DE EXCEL'!$C:$C,'BASE DE EXCEL'!BE:BE,"NO HAY REFERENCIA")</f>
        <v>FALTA RRNA</v>
      </c>
      <c r="EL48" s="3" t="str">
        <f>_xlfn.XLOOKUP(B48,'BASE DE EXCEL'!$C:$C,'BASE DE EXCEL'!BF:BF,"NO HAY REFERENCIA")</f>
        <v>PRODUCTO TERMINADO</v>
      </c>
      <c r="EM48" s="3" t="str">
        <f>_xlfn.XLOOKUP(B48,'BASE DE EXCEL'!$C:$C,'BASE DE EXCEL'!BG:BG,"NO HAY REFERENCIA")</f>
        <v>Verde</v>
      </c>
      <c r="EN48" s="3" t="str">
        <f>_xlfn.XLOOKUP(B48,'BASE DE EXCEL'!$C:$C,'BASE DE EXCEL'!BH:BH,"NO HAY REFERENCIA")</f>
        <v xml:space="preserve"> MLH TRANSPORTE, S.A. DE C.V.</v>
      </c>
      <c r="EO48" s="3" t="str">
        <f>_xlfn.XLOOKUP(B48,'BASE DE EXCEL'!$C:$C,'BASE DE EXCEL'!BI:BI,"NO HAY REFERENCIA")</f>
        <v>TRACTOCAMION ECO 174</v>
      </c>
      <c r="EP48" s="3">
        <f>_xlfn.XLOOKUP(B48,'BASE DE EXCEL'!$C:$C,'BASE DE EXCEL'!BJ:BJ,"NO HAY REFERENCIA")</f>
        <v>0</v>
      </c>
      <c r="EQ48" s="3" t="str">
        <f>_xlfn.XLOOKUP(B48,'BASE DE EXCEL'!$C:$C,'BASE DE EXCEL'!BK:BK,"NO HAY REFERENCIA")</f>
        <v>IME850329RH2</v>
      </c>
      <c r="ER48" s="3">
        <f>_xlfn.XLOOKUP(B48,'BASE DE EXCEL'!$C:$C,'BASE DE EXCEL'!BL:BL,"NO HAY REFERENCIA")</f>
        <v>0</v>
      </c>
      <c r="ES48" s="3">
        <f>_xlfn.XLOOKUP(B48,'BASE DE EXCEL'!$C:$C,'BASE DE EXCEL'!BM:BM,"NO HAY REFERENCIA")</f>
        <v>0</v>
      </c>
      <c r="ET48" s="3" t="str">
        <f>_xlfn.XLOOKUP(B48,'BASE DE EXCEL'!$C:$C,'BASE DE EXCEL'!BN:BN,"NO HAY REFERENCIA")</f>
        <v>LOTE: 5741108,LOTE: 5762102</v>
      </c>
      <c r="EU48" s="3">
        <f>_xlfn.XLOOKUP(B48,'BASE DE EXCEL'!$C:$C,'BASE DE EXCEL'!BO:BO,"NO HAY REFERENCIA")</f>
        <v>90</v>
      </c>
      <c r="EV48" s="3">
        <f>_xlfn.XLOOKUP(B48,'BASE DE EXCEL'!$C:$C,'BASE DE EXCEL'!BP:BP,"NO HAY REFERENCIA")</f>
        <v>2368553.6</v>
      </c>
      <c r="EW48" s="3" t="str">
        <f>_xlfn.XLOOKUP(B48,'BASE DE EXCEL'!$C:$C,'BASE DE EXCEL'!BQ:BQ,"NO HAY REFERENCIA")</f>
        <v>KILO,KILO</v>
      </c>
      <c r="EX48" s="3">
        <f>_xlfn.XLOOKUP(B48,'BASE DE EXCEL'!$C:$C,'BASE DE EXCEL'!BR:BR,"NO HAY REFERENCIA")</f>
        <v>0</v>
      </c>
      <c r="EY48" s="3" t="str">
        <f>_xlfn.XLOOKUP(B48,'BASE DE EXCEL'!$C:$C,'BASE DE EXCEL'!BS:BS,"NO HAY REFERENCIA")</f>
        <v>ALEMANIA (REPUBLICA FEDERAL DE)</v>
      </c>
      <c r="EZ48" s="3" t="str">
        <f>_xlfn.XLOOKUP(B48,'BASE DE EXCEL'!$C:$C,'BASE DE EXCEL'!BT:BT,"NO HAY REFERENCIA")</f>
        <v>PAISES BAJOS (REINO DE LOS) (HOLANDA)</v>
      </c>
      <c r="FA48" s="3" t="str">
        <f>_xlfn.XLOOKUP(B48,'BASE DE EXCEL'!$C:$C,'BASE DE EXCEL'!BU:BU,"NO HAY REFERENCIA")</f>
        <v>DEU</v>
      </c>
      <c r="FB48" s="3" t="str">
        <f>_xlfn.XLOOKUP(B48,'BASE DE EXCEL'!$C:$C,'BASE DE EXCEL'!BV:BV,"NO HAY REFERENCIA")</f>
        <v>ZYA</v>
      </c>
      <c r="FC48" s="3">
        <f>_xlfn.XLOOKUP(B48,QUERY!$C:$C,QUERY!D:D)</f>
        <v>430</v>
      </c>
      <c r="FD48" s="4">
        <f>_xlfn.XLOOKUP(B48,QUERY!$C:$C,QUERY!E:E)</f>
        <v>46078</v>
      </c>
      <c r="FE48" s="3">
        <f>_xlfn.XLOOKUP(B48,QUERY!$C:$C,QUERY!F:F)</f>
        <v>2</v>
      </c>
      <c r="FF48" s="4">
        <f>_xlfn.XLOOKUP(B48,QUERY!$C:$C,QUERY!G:G)</f>
        <v>46066</v>
      </c>
      <c r="FG48" s="4">
        <f>_xlfn.XLOOKUP(B48,QUERY!$C:$C,QUERY!H:H)</f>
        <v>46078</v>
      </c>
      <c r="FH48" s="3">
        <f>_xlfn.XLOOKUP(B48,QUERY!$C:$C,QUERY!I:I)</f>
        <v>8</v>
      </c>
      <c r="FI48" s="3" t="str">
        <f>_xlfn.XLOOKUP(B48,QUERY!$C:$C,QUERY!J:J)</f>
        <v>6 a 10 días</v>
      </c>
      <c r="FJ48" s="4">
        <f>_xlfn.XLOOKUP(B48,QUERY!$C:$C,QUERY!K:K)</f>
        <v>46079</v>
      </c>
      <c r="FK48" s="3">
        <f>_xlfn.XLOOKUP(B48,QUERY!$C:$C,QUERY!L:L)</f>
        <v>9</v>
      </c>
      <c r="FL48" s="3" t="str">
        <f>_xlfn.XLOOKUP(B48,QUERY!$C:$C,QUERY!M:M)</f>
        <v>6 a 10 días</v>
      </c>
      <c r="FM48" s="3">
        <f>_xlfn.XLOOKUP(B48,QUERY!$C:$C,QUERY!N:N)</f>
        <v>1</v>
      </c>
      <c r="FN48" s="3" t="str">
        <f>_xlfn.XLOOKUP(B48,QUERY!$C:$C,QUERY!O:O)</f>
        <v>1 día o menos</v>
      </c>
      <c r="FO48" s="3">
        <f>_xlfn.XLOOKUP(B48,QUERY!$C:$C,QUERY!P:P)</f>
        <v>1</v>
      </c>
      <c r="FP48" s="3">
        <f>_xlfn.XLOOKUP(B48,QUERY!$C:$C,QUERY!Q:Q)</f>
        <v>1</v>
      </c>
      <c r="FQ48" s="3" t="str">
        <f>_xlfn.XLOOKUP(B48,QUERY!$C:$C,QUERY!R:R)</f>
        <v>1 día o menos</v>
      </c>
      <c r="FR48" s="4">
        <f>_xlfn.XLOOKUP(B48,QUERY!$C:$C,QUERY!S:S)</f>
        <v>46080</v>
      </c>
      <c r="FS48" s="3">
        <f>_xlfn.XLOOKUP(B48,QUERY!$C:$C,QUERY!T:T)</f>
        <v>10</v>
      </c>
      <c r="FT48" s="3" t="str">
        <f>_xlfn.XLOOKUP(B48,QUERY!$C:$C,QUERY!U:U)</f>
        <v>6 a 10 días</v>
      </c>
      <c r="FU48" s="3">
        <f>_xlfn.XLOOKUP(B48,QUERY!$C:$C,QUERY!V:V)</f>
        <v>19</v>
      </c>
      <c r="FV48" s="3" t="str">
        <f>_xlfn.XLOOKUP(B48,QUERY!$C:$C,QUERY!W:W)</f>
        <v>más de 16 días</v>
      </c>
      <c r="FW48" s="4">
        <f>_xlfn.XLOOKUP(B48,QUERY!$C:$C,QUERY!X:X)</f>
        <v>46093</v>
      </c>
      <c r="FX48" s="3">
        <f>_xlfn.XLOOKUP(B48,QUERY!$C:$C,QUERY!Y:Y)</f>
        <v>9</v>
      </c>
      <c r="FY48" s="3">
        <f>_xlfn.XLOOKUP(B48,QUERY!$C:$C,QUERY!Z:Z)</f>
        <v>9</v>
      </c>
      <c r="FZ48" s="4" t="str">
        <f>_xlfn.XLOOKUP(B48,QUERY!$C:$C,QUERY!AA:AA)</f>
        <v>11 a 15 días</v>
      </c>
      <c r="GA48" s="4">
        <f>_xlfn.XLOOKUP(B48,QUERY!$C:$C,QUERY!AB:AB)</f>
        <v>46093</v>
      </c>
      <c r="GB48" s="4">
        <f>_xlfn.XLOOKUP(B48,QUERY!$C:$C,QUERY!AC:AC)</f>
        <v>46093</v>
      </c>
      <c r="GC48" s="3">
        <f>_xlfn.XLOOKUP(B48,QUERY!$C:$C,QUERY!AD:AD)</f>
        <v>0</v>
      </c>
      <c r="GD48" s="4">
        <f>_xlfn.XLOOKUP(B48,QUERY!$C:$C,QUERY!AE:AE)</f>
        <v>46093</v>
      </c>
      <c r="GE48" s="3">
        <f>_xlfn.XLOOKUP(B48,QUERY!$C:$C,QUERY!AF:AF)</f>
        <v>1</v>
      </c>
      <c r="GF48" s="4" t="str">
        <f>_xlfn.XLOOKUP(B48,QUERY!$C:$C,QUERY!AG:AG)</f>
        <v>Es anterior</v>
      </c>
      <c r="GG48" s="3" t="str">
        <f>_xlfn.XLOOKUP(B48,QUERY!$C:$C,QUERY!AH:AH)</f>
        <v>A1</v>
      </c>
      <c r="GH48" s="3" t="str">
        <f>_xlfn.XLOOKUP(B48,QUERY!$C:$C,QUERY!AI:AI)</f>
        <v>ZULEIMA PEREZ RUIZ</v>
      </c>
      <c r="GI48" s="3" t="str">
        <f>_xlfn.XLOOKUP(B48,QUERY!$C:$C,QUERY!AJ:AJ)</f>
        <v>HLCUANR260115402</v>
      </c>
      <c r="GJ48" s="3" t="str">
        <f>_xlfn.XLOOKUP(B48,QUERY!$C:$C,QUERY!AK:AK)</f>
        <v>NULL</v>
      </c>
      <c r="GK48" s="3">
        <f>_xlfn.XLOOKUP(B48,QUERY!$C:$C,QUERY!AL:AL)</f>
        <v>6000204</v>
      </c>
      <c r="GL48" s="3" t="str">
        <f>_xlfn.XLOOKUP(B48,QUERY!$C:$C,QUERY!AM:AM)</f>
        <v>Importación</v>
      </c>
      <c r="GM48" s="3" t="str">
        <f>_xlfn.XLOOKUP(B48,QUERY!$C:$C,QUERY!AN:AN)</f>
        <v>MOMETAMAX ULTRA (MEDICAMENTO DOSIFICADO DE USO VETERINARIO)</v>
      </c>
      <c r="GN48" s="3" t="str">
        <f>_xlfn.XLOOKUP(B48,QUERY!$C:$C,QUERY!AO:AO)</f>
        <v>SIN CLASIFICACION</v>
      </c>
      <c r="GO48" s="3">
        <f>_xlfn.XLOOKUP(B48,QUERY!$C:$C,QUERY!AP:AP)</f>
        <v>0</v>
      </c>
      <c r="GP48" s="3" t="str">
        <f>_xlfn.XLOOKUP(B48,QUERY!$C:$C,QUERY!AQ:AQ)</f>
        <v>Cargas de Importación</v>
      </c>
      <c r="GQ48" s="3" t="str">
        <f>_xlfn.XLOOKUP(B48,QUERY!$C:$C,QUERY!AR:AR)</f>
        <v>INTERVET MEXICO SA DE CV</v>
      </c>
      <c r="GR48" s="3">
        <f>_xlfn.XLOOKUP(B48,QUERY!$C:$C,QUERY!AS:AS)</f>
        <v>0</v>
      </c>
      <c r="GS48" s="3" t="str">
        <f>_xlfn.XLOOKUP(B48,QUERY!$C:$C,QUERY!AT:AT)</f>
        <v>FALTA RRNA</v>
      </c>
      <c r="GT48" s="3">
        <f>_xlfn.XLOOKUP(B48,QUERY!$C:$C,QUERY!AU:AU)</f>
        <v>0</v>
      </c>
      <c r="GU48" s="3" t="str">
        <f>_xlfn.XLOOKUP(B48,QUERY!$C:$C,QUERY!AV:AV)</f>
        <v>FALTA RRNA</v>
      </c>
      <c r="GV48" s="3" t="str">
        <f>_xlfn.XLOOKUP(B48,QUERY!$C:$C,QUERY!AW:AW)</f>
        <v>PRODUCTO TERMINADO</v>
      </c>
      <c r="GW48" s="3" t="str">
        <f>_xlfn.XLOOKUP(B48,QUERY!$C:$C,QUERY!AX:AX)</f>
        <v>Verde</v>
      </c>
      <c r="GX48" s="3" t="str">
        <f>_xlfn.XLOOKUP(B48,QUERY!$C:$C,QUERY!AY:AY)</f>
        <v xml:space="preserve"> MLH TRANSPORTE, S.A. DE C.V.</v>
      </c>
      <c r="GY48" s="3" t="str">
        <f>_xlfn.XLOOKUP(B48,QUERY!$C:$C,QUERY!AZ:AZ)</f>
        <v>TRACTOCAMION ECO 174</v>
      </c>
      <c r="GZ48" s="3">
        <f>_xlfn.XLOOKUP(B48,QUERY!$C:$C,QUERY!BA:BA)</f>
        <v>0</v>
      </c>
      <c r="HA48" s="3" t="str">
        <f>_xlfn.XLOOKUP(B48,QUERY!$C:$C,QUERY!BB:BB)</f>
        <v>IME850329RH2</v>
      </c>
      <c r="HB48" s="3">
        <f>_xlfn.XLOOKUP(B48,QUERY!$C:$C,QUERY!BC:BC)</f>
        <v>0</v>
      </c>
      <c r="HC48" s="3">
        <f>_xlfn.XLOOKUP(B48,QUERY!$C:$C,QUERY!BD:BD)</f>
        <v>0</v>
      </c>
      <c r="HD48" s="3" t="str">
        <f>_xlfn.XLOOKUP(B48,QUERY!$C:$C,QUERY!BE:BE)</f>
        <v>LOTE: 5741108,LOTE: 5762102</v>
      </c>
      <c r="HE48" s="3">
        <f>_xlfn.XLOOKUP(B48,QUERY!$C:$C,QUERY!BF:BF)</f>
        <v>90</v>
      </c>
      <c r="HF48" s="3" t="str">
        <f>_xlfn.XLOOKUP(B48,QUERY!$C:$C,QUERY!BG:BG)</f>
        <v xml:space="preserve"> 2368553.60</v>
      </c>
      <c r="HG48" s="3" t="str">
        <f>_xlfn.XLOOKUP(B48,QUERY!$C:$C,QUERY!BH:BH)</f>
        <v>KILO,KILO</v>
      </c>
      <c r="HH48" s="3">
        <f>_xlfn.XLOOKUP(B48,QUERY!$C:$C,QUERY!BI:BI)</f>
        <v>0</v>
      </c>
      <c r="HI48" s="3" t="str">
        <f>_xlfn.XLOOKUP(B48,QUERY!$C:$C,QUERY!BJ:BJ)</f>
        <v>ALEMANIA (REPUBLICA FEDERAL DE)</v>
      </c>
      <c r="HJ48" s="3" t="str">
        <f>_xlfn.XLOOKUP(B48,QUERY!$C:$C,QUERY!BK:BK)</f>
        <v>PAISES BAJOS (REINO DE LOS) (HOLANDA)</v>
      </c>
      <c r="HK48" s="3" t="str">
        <f>_xlfn.XLOOKUP(B48,QUERY!$C:$C,QUERY!BL:BL)</f>
        <v>DEU</v>
      </c>
      <c r="HL48" s="3" t="str">
        <f>_xlfn.XLOOKUP(B48,QUERY!$C:$C,QUERY!BM:BM)</f>
        <v>ZYA</v>
      </c>
      <c r="HM48" s="3">
        <f>_xlfn.XLOOKUP(B48,QUERY!$C:$C,QUERY!BN:BN)</f>
        <v>2368554</v>
      </c>
      <c r="HN48" s="3" t="str">
        <f>_xlfn.XLOOKUP(B48,QUERY!$C:$C,QUERY!BO:BO)</f>
        <v>462.00</v>
      </c>
      <c r="HO48" s="3" t="str">
        <f>_xlfn.XLOOKUP(B48,QUERY!$C:$C,QUERY!BP:BP)</f>
        <v>NULL</v>
      </c>
      <c r="HP48" s="3" t="str">
        <f>_xlfn.XLOOKUP(B48,QUERY!$C:$C,QUERY!BQ:BQ)</f>
        <v>NULL</v>
      </c>
      <c r="HQ48" s="3" t="str">
        <f>_xlfn.XLOOKUP(B48,QUERY!$C:$C,QUERY!BR:BR)</f>
        <v>230430.01</v>
      </c>
      <c r="HR48" s="3">
        <f>_xlfn.XLOOKUP(B48,QUERY!$C:$C,QUERY!BS:BS)</f>
        <v>0</v>
      </c>
      <c r="HS48" s="3">
        <f>_xlfn.XLOOKUP(B48,QUERY!$C:$C,QUERY!BT:BT)</f>
        <v>0</v>
      </c>
      <c r="HT48" s="3" t="str">
        <f>_xlfn.XLOOKUP(B48,QUERY!$C:$C,QUERY!A:A)</f>
        <v>VERACRUZ</v>
      </c>
      <c r="HU48" s="3" t="str">
        <f>_xlfn.XLOOKUP(B48,QUERY!$C:$C,QUERY!B:B)</f>
        <v>MARÍTIMO VERACRUZ</v>
      </c>
    </row>
    <row r="49" spans="1:229" x14ac:dyDescent="0.25">
      <c r="A49" s="3" t="s">
        <v>90</v>
      </c>
      <c r="B49" s="15" t="s">
        <v>209</v>
      </c>
      <c r="C49" s="3">
        <v>3942</v>
      </c>
      <c r="D49" s="3">
        <v>6000222</v>
      </c>
      <c r="E49" s="3"/>
      <c r="F49" s="3" t="s">
        <v>92</v>
      </c>
      <c r="G49" s="3" t="s">
        <v>93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17.215499999999999</v>
      </c>
      <c r="Q49" s="3">
        <v>4027</v>
      </c>
      <c r="R49" s="3">
        <v>430</v>
      </c>
      <c r="S49" s="3" t="s">
        <v>210</v>
      </c>
      <c r="T49" s="3" t="s">
        <v>130</v>
      </c>
      <c r="U49" s="3">
        <v>16399589</v>
      </c>
      <c r="V49" s="3">
        <v>16399589</v>
      </c>
      <c r="W49" s="3">
        <v>0</v>
      </c>
      <c r="X49" s="3">
        <v>0</v>
      </c>
      <c r="Y49" s="3">
        <v>0</v>
      </c>
      <c r="Z49" s="3">
        <v>0</v>
      </c>
      <c r="AA49" s="3" t="s">
        <v>211</v>
      </c>
      <c r="AB49" s="3"/>
      <c r="AC49" s="3">
        <v>1888172</v>
      </c>
      <c r="AD49" s="3">
        <v>265.22994999999997</v>
      </c>
      <c r="AE49" s="3">
        <v>808</v>
      </c>
      <c r="AF49" s="3">
        <v>0</v>
      </c>
      <c r="AG49" s="3">
        <v>0</v>
      </c>
      <c r="AH49" s="3">
        <v>0</v>
      </c>
      <c r="AI49" s="3">
        <v>53</v>
      </c>
      <c r="AJ49" s="3">
        <v>462</v>
      </c>
      <c r="AK49" s="3">
        <v>0</v>
      </c>
      <c r="AL49" s="3">
        <v>0</v>
      </c>
      <c r="AM49" s="3">
        <v>330</v>
      </c>
      <c r="AN49" s="3">
        <v>845</v>
      </c>
      <c r="AO49" s="3" t="s">
        <v>97</v>
      </c>
      <c r="AP49" s="3" t="s">
        <v>98</v>
      </c>
      <c r="AQ49" s="3">
        <v>210363198</v>
      </c>
      <c r="AR49" s="3" t="s">
        <v>99</v>
      </c>
      <c r="AS49" s="3" t="s">
        <v>100</v>
      </c>
      <c r="AT49" s="3" t="s">
        <v>212</v>
      </c>
      <c r="AU49" s="3"/>
      <c r="AV49" s="3" t="s">
        <v>146</v>
      </c>
      <c r="AW49" s="3">
        <v>30024201</v>
      </c>
      <c r="AX49" s="3">
        <v>99</v>
      </c>
      <c r="AY49" s="3">
        <v>7119</v>
      </c>
      <c r="AZ49" s="3">
        <v>7119</v>
      </c>
      <c r="BA49" s="3" t="s">
        <v>103</v>
      </c>
      <c r="BB49" s="3"/>
      <c r="BC49" s="3" t="s">
        <v>105</v>
      </c>
      <c r="BD49" s="3" t="s">
        <v>105</v>
      </c>
      <c r="BE49" s="3" t="s">
        <v>106</v>
      </c>
      <c r="BF49" s="3" t="s">
        <v>117</v>
      </c>
      <c r="BG49" s="5" t="s">
        <v>213</v>
      </c>
      <c r="BH49" s="3" t="s">
        <v>214</v>
      </c>
      <c r="BI49" s="3"/>
      <c r="BJ49" s="3" t="s">
        <v>109</v>
      </c>
      <c r="BK49" s="3" t="s">
        <v>215</v>
      </c>
      <c r="BL49" s="3">
        <v>43065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44379.18</v>
      </c>
      <c r="BY49" s="3">
        <v>0</v>
      </c>
      <c r="BZ49" s="3">
        <v>0</v>
      </c>
      <c r="CA49" s="3">
        <v>20788.82</v>
      </c>
      <c r="CB49" s="3">
        <v>18000</v>
      </c>
      <c r="CC49" s="3">
        <v>3323.2</v>
      </c>
      <c r="CD49" s="3">
        <v>218071.21</v>
      </c>
      <c r="CE49" s="3" t="s">
        <v>192</v>
      </c>
      <c r="CF49" s="3">
        <v>218071.21</v>
      </c>
      <c r="CG49" s="3">
        <v>0</v>
      </c>
      <c r="CH49" s="3">
        <v>0</v>
      </c>
      <c r="CI49" s="3" t="s">
        <v>112</v>
      </c>
      <c r="CJ49" s="3" t="s">
        <v>112</v>
      </c>
      <c r="CK49" s="3">
        <f>_xlfn.XLOOKUP($B$2,'BASE DE EXCEL'!C:C,'BASE DE EXCEL'!D:D,"NO HAY REFERENCIA")</f>
        <v>470</v>
      </c>
      <c r="CL49" s="5">
        <f>_xlfn.XLOOKUP($B$2,'BASE DE EXCEL'!$C:$C,'BASE DE EXCEL'!F:F,"NO HAY REFERENCIA")</f>
        <v>3</v>
      </c>
      <c r="CM49" s="4">
        <f>_xlfn.XLOOKUP($B$2,'BASE DE EXCEL'!$C:$C,'BASE DE EXCEL'!G:G,"NO HAY REFERENCIA")</f>
        <v>46080</v>
      </c>
      <c r="CN49" s="4">
        <f>_xlfn.XLOOKUP($B$2,'BASE DE EXCEL'!$C:$C,'BASE DE EXCEL'!H:H,"NO HAY REFERENCIA")</f>
        <v>46086</v>
      </c>
      <c r="CO49" s="3">
        <f>_xlfn.XLOOKUP($B$2,'BASE DE EXCEL'!$C:$C,'BASE DE EXCEL'!I:I,"NO HAY REFERENCIA")</f>
        <v>4</v>
      </c>
      <c r="CP49" s="3" t="str">
        <f>_xlfn.XLOOKUP($B$2,'BASE DE EXCEL'!$C:$C,'BASE DE EXCEL'!J:J,"NO HAY REFERENCIA")</f>
        <v>4 a 5 días</v>
      </c>
      <c r="CQ49" s="4">
        <f>_xlfn.XLOOKUP($B$2,'BASE DE EXCEL'!$C:$C,'BASE DE EXCEL'!K:K,"NO HAY REFERENCIA")</f>
        <v>46087</v>
      </c>
      <c r="CR49" s="3">
        <f>_xlfn.XLOOKUP($B$2,'BASE DE EXCEL'!$C:$C,'BASE DE EXCEL'!L:L,"NO HAY REFERENCIA")</f>
        <v>5</v>
      </c>
      <c r="CS49" s="3">
        <f>_xlfn.XLOOKUP($B$2,'BASE DE EXCEL'!$C:$C,'BASE DE EXCEL'!M:M,"NO HAY REFERENCIA")</f>
        <v>6</v>
      </c>
      <c r="CT49" s="3" t="str">
        <f>_xlfn.XLOOKUP($B$2,'BASE DE EXCEL'!$C:$C,'BASE DE EXCEL'!N:N,"NO HAY REFERENCIA")</f>
        <v>6 a 10 días</v>
      </c>
      <c r="CU49" s="3" t="str">
        <f>_xlfn.XLOOKUP($B$2,'BASE DE EXCEL'!$C:$C,'BASE DE EXCEL'!O:O,"NO HAY REFERENCIA")</f>
        <v>On Time</v>
      </c>
      <c r="CV49" s="3" t="str">
        <f>_xlfn.XLOOKUP(B49,'BASE DE EXCEL'!$C:$C,'BASE DE EXCEL'!P:P,"NO HAY REFERENCIA")</f>
        <v>4 a 5 días</v>
      </c>
      <c r="CW49" s="4">
        <f>_xlfn.XLOOKUP(B49,'BASE DE EXCEL'!$C:$C,'BASE DE EXCEL'!Q:Q,"NO HAY REFERENCIA")</f>
        <v>46072</v>
      </c>
      <c r="CX49" s="3">
        <f>_xlfn.XLOOKUP(B49,'BASE DE EXCEL'!$C:$C,'BASE DE EXCEL'!R:R,"NO HAY REFERENCIA")</f>
        <v>5</v>
      </c>
      <c r="CY49" s="3" t="str">
        <f>_xlfn.XLOOKUP(B49,'BASE DE EXCEL'!$C:$C,'BASE DE EXCEL'!S:S,"NO HAY REFERENCIA")</f>
        <v>4 a 5 días</v>
      </c>
      <c r="CZ49" s="3" t="str">
        <f>_xlfn.XLOOKUP(B49,'BASE DE EXCEL'!$C:$C,'BASE DE EXCEL'!T:T,"NO HAY REFERENCIA")</f>
        <v>On Time</v>
      </c>
      <c r="DA49" s="3">
        <f>_xlfn.XLOOKUP(B49,'BASE DE EXCEL'!$C:$C,'BASE DE EXCEL'!U:U,"NO HAY REFERENCIA")</f>
        <v>6</v>
      </c>
      <c r="DB49" s="3" t="str">
        <f>_xlfn.XLOOKUP(B49,'BASE DE EXCEL'!$C:$C,'BASE DE EXCEL'!V:V,"NO HAY REFERENCIA")</f>
        <v>4 a 5 días</v>
      </c>
      <c r="DC49" s="3">
        <f>_xlfn.XLOOKUP(B49,'BASE DE EXCEL'!$C:$C,'BASE DE EXCEL'!W:W,"NO HAY REFERENCIA")</f>
        <v>9</v>
      </c>
      <c r="DD49" s="3" t="str">
        <f>_xlfn.XLOOKUP(B49,'BASE DE EXCEL'!$C:$C,'BASE DE EXCEL'!X:X,"NO HAY REFERENCIA")</f>
        <v>6 a 10 días</v>
      </c>
      <c r="DE49" s="3">
        <f>_xlfn.XLOOKUP(B49,'BASE DE EXCEL'!$C:$C,'BASE DE EXCEL'!Y:Y,"NO HAY REFERENCIA")</f>
        <v>1</v>
      </c>
      <c r="DF49" s="3" t="str">
        <f>_xlfn.XLOOKUP(B49,'BASE DE EXCEL'!$C:$C,'BASE DE EXCEL'!Z:Z,"NO HAY REFERENCIA")</f>
        <v>1 día o menos</v>
      </c>
      <c r="DG49" s="3">
        <f>_xlfn.XLOOKUP(B49,'BASE DE EXCEL'!$C:$C,'BASE DE EXCEL'!AA:AA,"NO HAY REFERENCIA")</f>
        <v>4</v>
      </c>
      <c r="DH49" s="3">
        <f>_xlfn.XLOOKUP(B49,'BASE DE EXCEL'!$C:$C,'BASE DE EXCEL'!AB:AB,"NO HAY REFERENCIA")</f>
        <v>1</v>
      </c>
      <c r="DI49" s="3" t="str">
        <f>_xlfn.XLOOKUP(B49,'BASE DE EXCEL'!$C:$C,'BASE DE EXCEL'!AC:AC,"NO HAY REFERENCIA")</f>
        <v>1 día o menos</v>
      </c>
      <c r="DJ49" s="4">
        <f>_xlfn.XLOOKUP(B49,'BASE DE EXCEL'!$C:$C,'BASE DE EXCEL'!AD:AD,"NO HAY REFERENCIA")</f>
        <v>46079</v>
      </c>
      <c r="DK49" s="3">
        <f>_xlfn.XLOOKUP(B49,'BASE DE EXCEL'!$C:$C,'BASE DE EXCEL'!AE:AE,"NO HAY REFERENCIA")</f>
        <v>6</v>
      </c>
      <c r="DL49" s="3">
        <f>_xlfn.XLOOKUP(B49,'BASE DE EXCEL'!$C:$C,'BASE DE EXCEL'!AF:AF,"NO HAY REFERENCIA")</f>
        <v>5</v>
      </c>
      <c r="DM49" s="4">
        <f>_xlfn.XLOOKUP(B49,'BASE DE EXCEL'!$C:$C,'BASE DE EXCEL'!AG:AG,"NO HAY REFERENCIA")</f>
        <v>46078</v>
      </c>
      <c r="DN49" s="4">
        <f>_xlfn.XLOOKUP(B49,'BASE DE EXCEL'!$C:$C,'BASE DE EXCEL'!AH:AH,"NO HAY REFERENCIA")</f>
        <v>46079</v>
      </c>
      <c r="DO49" s="3">
        <f>_xlfn.XLOOKUP(B49,'BASE DE EXCEL'!$C:$C,'BASE DE EXCEL'!AI:AI,"NO HAY REFERENCIA")</f>
        <v>1</v>
      </c>
      <c r="DP49" s="4" t="str">
        <f>_xlfn.XLOOKUP(B49,'BASE DE EXCEL'!$C:$C,'BASE DE EXCEL'!AJ:AJ,"NO HAY REFERENCIA")</f>
        <v>6 a 10 días</v>
      </c>
      <c r="DQ49" s="4">
        <f>_xlfn.XLOOKUP(B49,'BASE DE EXCEL'!$C:$C,'BASE DE EXCEL'!AK:AK,"NO HAY REFERENCIA")</f>
        <v>46079</v>
      </c>
      <c r="DR49" s="3">
        <f>_xlfn.XLOOKUP(B49,'BASE DE EXCEL'!$C:$C,'BASE DE EXCEL'!AL:AL,"NO HAY REFERENCIA")</f>
        <v>6</v>
      </c>
      <c r="DS49" s="3" t="str">
        <f>_xlfn.XLOOKUP(B49,'BASE DE EXCEL'!$C:$C,'BASE DE EXCEL'!AM:AM,"NO HAY REFERENCIA")</f>
        <v>6 a 10 días</v>
      </c>
      <c r="DT49" s="3" t="str">
        <f>_xlfn.XLOOKUP(B49,'BASE DE EXCEL'!$C:$C,'BASE DE EXCEL'!AN:AN,"NO HAY REFERENCIA")</f>
        <v>On Time</v>
      </c>
      <c r="DU49" s="3">
        <f>_xlfn.XLOOKUP(B49,'BASE DE EXCEL'!$C:$C,'BASE DE EXCEL'!AO:AO,"NO HAY REFERENCIA")</f>
        <v>1</v>
      </c>
      <c r="DV49" s="3" t="str">
        <f>_xlfn.XLOOKUP(B49,'BASE DE EXCEL'!$C:$C,'BASE DE EXCEL'!AP:AP,"NO HAY REFERENCIA")</f>
        <v>Es anterior</v>
      </c>
      <c r="DW49" s="3" t="str">
        <f>_xlfn.XLOOKUP(B49,'BASE DE EXCEL'!$C:$C,'BASE DE EXCEL'!AQ:AQ,"NO HAY REFERENCIA")</f>
        <v>A1</v>
      </c>
      <c r="DX49" s="3" t="str">
        <f>_xlfn.XLOOKUP(B49,'BASE DE EXCEL'!$C:$C,'BASE DE EXCEL'!AR:AR,"NO HAY REFERENCIA")</f>
        <v>ZULEIMA PEREZ RUIZ</v>
      </c>
      <c r="DY49" s="3" t="str">
        <f>_xlfn.XLOOKUP(B49,'BASE DE EXCEL'!$C:$C,'BASE DE EXCEL'!AS:AS,"NO HAY REFERENCIA")</f>
        <v>HLCURTM260111255</v>
      </c>
      <c r="DZ49" s="3" t="str">
        <f>_xlfn.XLOOKUP(B49,'BASE DE EXCEL'!$C:$C,'BASE DE EXCEL'!AT:AT,"NO HAY REFERENCIA")</f>
        <v>NULL</v>
      </c>
      <c r="EA49" s="3">
        <f>_xlfn.XLOOKUP(B49,'BASE DE EXCEL'!$C:$C,'BASE DE EXCEL'!AU:AU,"NO HAY REFERENCIA")</f>
        <v>6000222</v>
      </c>
      <c r="EB49" s="3" t="str">
        <f>_xlfn.XLOOKUP(B49,'BASE DE EXCEL'!$C:$C,'BASE DE EXCEL'!AV:AV,"NO HAY REFERENCIA")</f>
        <v>Importación</v>
      </c>
      <c r="EC49" s="3" t="str">
        <f>_xlfn.XLOOKUP(B49,'BASE DE EXCEL'!$C:$C,'BASE DE EXCEL'!AW:AW,"NO HAY REFERENCIA")</f>
        <v>NOBIVAC RL (VACUNA  DE USO VETERINARIO)</v>
      </c>
      <c r="ED49" s="3" t="str">
        <f>_xlfn.XLOOKUP(B49,'BASE DE EXCEL'!$C:$C,'BASE DE EXCEL'!AX:AX,"NO HAY REFERENCIA")</f>
        <v>SIN CLASIFICACION</v>
      </c>
      <c r="EE49" s="3">
        <f>_xlfn.XLOOKUP(B49,'BASE DE EXCEL'!$C:$C,'BASE DE EXCEL'!AY:AY,"NO HAY REFERENCIA")</f>
        <v>0</v>
      </c>
      <c r="EF49" s="3" t="str">
        <f>_xlfn.XLOOKUP(B49,'BASE DE EXCEL'!$C:$C,'BASE DE EXCEL'!AZ:AZ,"NO HAY REFERENCIA")</f>
        <v>Cargas de Importación</v>
      </c>
      <c r="EG49" s="3" t="str">
        <f>_xlfn.XLOOKUP(B49,'BASE DE EXCEL'!$C:$C,'BASE DE EXCEL'!BA:BA,"NO HAY REFERENCIA")</f>
        <v>INTERVET MEXICO SA DE CV</v>
      </c>
      <c r="EH49" s="3">
        <f>_xlfn.XLOOKUP(B49,'BASE DE EXCEL'!$C:$C,'BASE DE EXCEL'!BB:BB,"NO HAY REFERENCIA")</f>
        <v>0</v>
      </c>
      <c r="EI49" s="3" t="str">
        <f>_xlfn.XLOOKUP(B49,'BASE DE EXCEL'!$C:$C,'BASE DE EXCEL'!BC:BC,"NO HAY REFERENCIA")</f>
        <v>NINGUNO</v>
      </c>
      <c r="EJ49" s="3">
        <f>_xlfn.XLOOKUP(B49,'BASE DE EXCEL'!$C:$C,'BASE DE EXCEL'!BD:BD,"NO HAY REFERENCIA")</f>
        <v>0</v>
      </c>
      <c r="EK49" s="3" t="str">
        <f>_xlfn.XLOOKUP(B49,'BASE DE EXCEL'!$C:$C,'BASE DE EXCEL'!BE:BE,"NO HAY REFERENCIA")</f>
        <v>NINGUNO</v>
      </c>
      <c r="EL49" s="3" t="str">
        <f>_xlfn.XLOOKUP(B49,'BASE DE EXCEL'!$C:$C,'BASE DE EXCEL'!BF:BF,"NO HAY REFERENCIA")</f>
        <v>PRODUCTO TERMINADO</v>
      </c>
      <c r="EM49" s="3" t="str">
        <f>_xlfn.XLOOKUP(B49,'BASE DE EXCEL'!$C:$C,'BASE DE EXCEL'!BG:BG,"NO HAY REFERENCIA")</f>
        <v>Verde</v>
      </c>
      <c r="EN49" s="3" t="str">
        <f>_xlfn.XLOOKUP(B49,'BASE DE EXCEL'!$C:$C,'BASE DE EXCEL'!BH:BH,"NO HAY REFERENCIA")</f>
        <v xml:space="preserve"> SUPER EXPRESS DE CARGA FEDERAL S.A. DE C.V.</v>
      </c>
      <c r="EO49" s="3">
        <f>_xlfn.XLOOKUP(B49,'BASE DE EXCEL'!$C:$C,'BASE DE EXCEL'!BI:BI,"NO HAY REFERENCIA")</f>
        <v>0</v>
      </c>
      <c r="EP49" s="3" t="str">
        <f>_xlfn.XLOOKUP(B49,'BASE DE EXCEL'!$C:$C,'BASE DE EXCEL'!BJ:BJ,"NO HAY REFERENCIA")</f>
        <v>IME-T001</v>
      </c>
      <c r="EQ49" s="3" t="str">
        <f>_xlfn.XLOOKUP(B49,'BASE DE EXCEL'!$C:$C,'BASE DE EXCEL'!BK:BK,"NO HAY REFERENCIA")</f>
        <v>IME850329RH2</v>
      </c>
      <c r="ER49" s="3">
        <f>_xlfn.XLOOKUP(B49,'BASE DE EXCEL'!$C:$C,'BASE DE EXCEL'!BL:BL,"NO HAY REFERENCIA")</f>
        <v>0</v>
      </c>
      <c r="ES49" s="3">
        <f>_xlfn.XLOOKUP(B49,'BASE DE EXCEL'!$C:$C,'BASE DE EXCEL'!BM:BM,"NO HAY REFERENCIA")</f>
        <v>99</v>
      </c>
      <c r="ET49" s="3" t="str">
        <f>_xlfn.XLOOKUP(B49,'BASE DE EXCEL'!$C:$C,'BASE DE EXCEL'!BN:BN,"NO HAY REFERENCIA")</f>
        <v>LOTE: A312A01,LOTE: A848C01,LOTE: 1E072A01,LOTE: 1E067A01,LOTE: A267B01,LOTE: A488F01,LOTE: SCBA192A13</v>
      </c>
      <c r="EU49" s="3">
        <f>_xlfn.XLOOKUP(B49,'BASE DE EXCEL'!$C:$C,'BASE DE EXCEL'!BO:BO,"NO HAY REFERENCIA")</f>
        <v>90</v>
      </c>
      <c r="EV49" s="3" t="str">
        <f>_xlfn.XLOOKUP(B49,'BASE DE EXCEL'!$C:$C,'BASE DE EXCEL'!BP:BP,"NO HAY REFERENCIA")</f>
        <v xml:space="preserve"> 14669835.04, 1461293.60, 268461.44</v>
      </c>
      <c r="EW49" s="3" t="str">
        <f>_xlfn.XLOOKUP(B49,'BASE DE EXCEL'!$C:$C,'BASE DE EXCEL'!BQ:BQ,"NO HAY REFERENCIA")</f>
        <v>KILO,KILO,KILO,KILO,KILO,KILO,KILO</v>
      </c>
      <c r="EX49" s="3">
        <f>_xlfn.XLOOKUP(B49,'BASE DE EXCEL'!$C:$C,'BASE DE EXCEL'!BR:BR,"NO HAY REFERENCIA")</f>
        <v>0</v>
      </c>
      <c r="EY49" s="3" t="str">
        <f>_xlfn.XLOOKUP(B49,'BASE DE EXCEL'!$C:$C,'BASE DE EXCEL'!BS:BS,"NO HAY REFERENCIA")</f>
        <v>PAISES BAJOS (REINO DE LOS) (HOLANDA)</v>
      </c>
      <c r="EZ49" s="3" t="str">
        <f>_xlfn.XLOOKUP(B49,'BASE DE EXCEL'!$C:$C,'BASE DE EXCEL'!BT:BT,"NO HAY REFERENCIA")</f>
        <v>PAISES BAJOS (REINO DE LOS) (HOLANDA)</v>
      </c>
      <c r="FA49" s="3" t="str">
        <f>_xlfn.XLOOKUP(B49,'BASE DE EXCEL'!$C:$C,'BASE DE EXCEL'!BU:BU,"NO HAY REFERENCIA")</f>
        <v>ZYA</v>
      </c>
      <c r="FB49" s="3" t="str">
        <f>_xlfn.XLOOKUP(B49,'BASE DE EXCEL'!$C:$C,'BASE DE EXCEL'!BV:BV,"NO HAY REFERENCIA")</f>
        <v>ZYA</v>
      </c>
      <c r="FC49" s="3">
        <f>_xlfn.XLOOKUP(B49,QUERY!$C:$C,QUERY!D:D)</f>
        <v>430</v>
      </c>
      <c r="FD49" s="4">
        <f>_xlfn.XLOOKUP(B49,QUERY!$C:$C,QUERY!E:E)</f>
        <v>46070</v>
      </c>
      <c r="FE49" s="3">
        <f>_xlfn.XLOOKUP(B49,QUERY!$C:$C,QUERY!F:F)</f>
        <v>2</v>
      </c>
      <c r="FF49" s="4">
        <f>_xlfn.XLOOKUP(B49,QUERY!$C:$C,QUERY!G:G)</f>
        <v>46066</v>
      </c>
      <c r="FG49" s="4">
        <f>_xlfn.XLOOKUP(B49,QUERY!$C:$C,QUERY!H:H)</f>
        <v>46070</v>
      </c>
      <c r="FH49" s="3">
        <f>_xlfn.XLOOKUP(B49,QUERY!$C:$C,QUERY!I:I)</f>
        <v>2</v>
      </c>
      <c r="FI49" s="3" t="str">
        <f>_xlfn.XLOOKUP(B49,QUERY!$C:$C,QUERY!J:J)</f>
        <v>2 a 3 días</v>
      </c>
      <c r="FJ49" s="4">
        <f>_xlfn.XLOOKUP(B49,QUERY!$C:$C,QUERY!K:K)</f>
        <v>46071</v>
      </c>
      <c r="FK49" s="3">
        <f>_xlfn.XLOOKUP(B49,QUERY!$C:$C,QUERY!L:L)</f>
        <v>3</v>
      </c>
      <c r="FL49" s="3" t="str">
        <f>_xlfn.XLOOKUP(B49,QUERY!$C:$C,QUERY!M:M)</f>
        <v>2 a 3 días</v>
      </c>
      <c r="FM49" s="3">
        <f>_xlfn.XLOOKUP(B49,QUERY!$C:$C,QUERY!N:N)</f>
        <v>1</v>
      </c>
      <c r="FN49" s="3" t="str">
        <f>_xlfn.XLOOKUP(B49,QUERY!$C:$C,QUERY!O:O)</f>
        <v>1 día o menos</v>
      </c>
      <c r="FO49" s="3">
        <f>_xlfn.XLOOKUP(B49,QUERY!$C:$C,QUERY!P:P)</f>
        <v>1</v>
      </c>
      <c r="FP49" s="3">
        <f>_xlfn.XLOOKUP(B49,QUERY!$C:$C,QUERY!Q:Q)</f>
        <v>1</v>
      </c>
      <c r="FQ49" s="3" t="str">
        <f>_xlfn.XLOOKUP(B49,QUERY!$C:$C,QUERY!R:R)</f>
        <v>1 día o menos</v>
      </c>
      <c r="FR49" s="4">
        <f>_xlfn.XLOOKUP(B49,QUERY!$C:$C,QUERY!S:S)</f>
        <v>46072</v>
      </c>
      <c r="FS49" s="3">
        <f>_xlfn.XLOOKUP(B49,QUERY!$C:$C,QUERY!T:T)</f>
        <v>4</v>
      </c>
      <c r="FT49" s="3" t="str">
        <f>_xlfn.XLOOKUP(B49,QUERY!$C:$C,QUERY!U:U)</f>
        <v>4 a 5 días</v>
      </c>
      <c r="FU49" s="3">
        <f>_xlfn.XLOOKUP(B49,QUERY!$C:$C,QUERY!V:V)</f>
        <v>9</v>
      </c>
      <c r="FV49" s="3" t="str">
        <f>_xlfn.XLOOKUP(B49,QUERY!$C:$C,QUERY!W:W)</f>
        <v>6 a 10 días</v>
      </c>
      <c r="FW49" s="4">
        <f>_xlfn.XLOOKUP(B49,QUERY!$C:$C,QUERY!X:X)</f>
        <v>46079</v>
      </c>
      <c r="FX49" s="3">
        <f>_xlfn.XLOOKUP(B49,QUERY!$C:$C,QUERY!Y:Y)</f>
        <v>4</v>
      </c>
      <c r="FY49" s="3">
        <f>_xlfn.XLOOKUP(B49,QUERY!$C:$C,QUERY!Z:Z)</f>
        <v>5</v>
      </c>
      <c r="FZ49" s="4" t="str">
        <f>_xlfn.XLOOKUP(B49,QUERY!$C:$C,QUERY!AA:AA)</f>
        <v>6 a 10 días</v>
      </c>
      <c r="GA49" s="4">
        <f>_xlfn.XLOOKUP(B49,QUERY!$C:$C,QUERY!AB:AB)</f>
        <v>46078</v>
      </c>
      <c r="GB49" s="4">
        <f>_xlfn.XLOOKUP(B49,QUERY!$C:$C,QUERY!AC:AC)</f>
        <v>46079</v>
      </c>
      <c r="GC49" s="3">
        <f>_xlfn.XLOOKUP(B49,QUERY!$C:$C,QUERY!AD:AD)</f>
        <v>1</v>
      </c>
      <c r="GD49" s="4">
        <f>_xlfn.XLOOKUP(B49,QUERY!$C:$C,QUERY!AE:AE)</f>
        <v>46079</v>
      </c>
      <c r="GE49" s="3">
        <f>_xlfn.XLOOKUP(B49,QUERY!$C:$C,QUERY!AF:AF)</f>
        <v>1</v>
      </c>
      <c r="GF49" s="4" t="str">
        <f>_xlfn.XLOOKUP(B49,QUERY!$C:$C,QUERY!AG:AG)</f>
        <v>Es anterior</v>
      </c>
      <c r="GG49" s="3" t="str">
        <f>_xlfn.XLOOKUP(B49,QUERY!$C:$C,QUERY!AH:AH)</f>
        <v>A1</v>
      </c>
      <c r="GH49" s="3" t="str">
        <f>_xlfn.XLOOKUP(B49,QUERY!$C:$C,QUERY!AI:AI)</f>
        <v>ZULEIMA PEREZ RUIZ</v>
      </c>
      <c r="GI49" s="3" t="str">
        <f>_xlfn.XLOOKUP(B49,QUERY!$C:$C,QUERY!AJ:AJ)</f>
        <v>HLCURTM260111255</v>
      </c>
      <c r="GJ49" s="3" t="str">
        <f>_xlfn.XLOOKUP(B49,QUERY!$C:$C,QUERY!AK:AK)</f>
        <v>NULL</v>
      </c>
      <c r="GK49" s="3">
        <f>_xlfn.XLOOKUP(B49,QUERY!$C:$C,QUERY!AL:AL)</f>
        <v>6000222</v>
      </c>
      <c r="GL49" s="3" t="str">
        <f>_xlfn.XLOOKUP(B49,QUERY!$C:$C,QUERY!AM:AM)</f>
        <v>Importación</v>
      </c>
      <c r="GM49" s="3" t="str">
        <f>_xlfn.XLOOKUP(B49,QUERY!$C:$C,QUERY!AN:AN)</f>
        <v>NOBIVAC RL (VACUNA  DE USO VETERINARIO)</v>
      </c>
      <c r="GN49" s="3" t="str">
        <f>_xlfn.XLOOKUP(B49,QUERY!$C:$C,QUERY!AO:AO)</f>
        <v>SIN CLASIFICACION</v>
      </c>
      <c r="GO49" s="3">
        <f>_xlfn.XLOOKUP(B49,QUERY!$C:$C,QUERY!AP:AP)</f>
        <v>0</v>
      </c>
      <c r="GP49" s="3" t="str">
        <f>_xlfn.XLOOKUP(B49,QUERY!$C:$C,QUERY!AQ:AQ)</f>
        <v>Cargas de Importación</v>
      </c>
      <c r="GQ49" s="3" t="str">
        <f>_xlfn.XLOOKUP(B49,QUERY!$C:$C,QUERY!AR:AR)</f>
        <v>INTERVET MEXICO SA DE CV</v>
      </c>
      <c r="GR49" s="3">
        <f>_xlfn.XLOOKUP(B49,QUERY!$C:$C,QUERY!AS:AS)</f>
        <v>0</v>
      </c>
      <c r="GS49" s="3" t="str">
        <f>_xlfn.XLOOKUP(B49,QUERY!$C:$C,QUERY!AT:AT)</f>
        <v>NINGUNO</v>
      </c>
      <c r="GT49" s="3">
        <f>_xlfn.XLOOKUP(B49,QUERY!$C:$C,QUERY!AU:AU)</f>
        <v>0</v>
      </c>
      <c r="GU49" s="3" t="str">
        <f>_xlfn.XLOOKUP(B49,QUERY!$C:$C,QUERY!AV:AV)</f>
        <v>NINGUNO</v>
      </c>
      <c r="GV49" s="3" t="str">
        <f>_xlfn.XLOOKUP(B49,QUERY!$C:$C,QUERY!AW:AW)</f>
        <v>PRODUCTO TERMINADO</v>
      </c>
      <c r="GW49" s="3" t="str">
        <f>_xlfn.XLOOKUP(B49,QUERY!$C:$C,QUERY!AX:AX)</f>
        <v>Verde</v>
      </c>
      <c r="GX49" s="3" t="str">
        <f>_xlfn.XLOOKUP(B49,QUERY!$C:$C,QUERY!AY:AY)</f>
        <v xml:space="preserve"> SUPER EXPRESS DE CARGA FEDERAL S.A. DE C.V.</v>
      </c>
      <c r="GY49" s="3">
        <f>_xlfn.XLOOKUP(B49,QUERY!$C:$C,QUERY!AZ:AZ)</f>
        <v>0</v>
      </c>
      <c r="GZ49" s="3" t="str">
        <f>_xlfn.XLOOKUP(B49,QUERY!$C:$C,QUERY!BA:BA)</f>
        <v>IME-T001</v>
      </c>
      <c r="HA49" s="3" t="str">
        <f>_xlfn.XLOOKUP(B49,QUERY!$C:$C,QUERY!BB:BB)</f>
        <v>IME850329RH2</v>
      </c>
      <c r="HB49" s="3">
        <f>_xlfn.XLOOKUP(B49,QUERY!$C:$C,QUERY!BC:BC)</f>
        <v>0</v>
      </c>
      <c r="HC49" s="3">
        <f>_xlfn.XLOOKUP(B49,QUERY!$C:$C,QUERY!BD:BD)</f>
        <v>99</v>
      </c>
      <c r="HD49" s="3" t="str">
        <f>_xlfn.XLOOKUP(B49,QUERY!$C:$C,QUERY!BE:BE)</f>
        <v>LOTE: A312A01,LOTE: A848C01,LOTE: 1E072A01,LOTE: 1E067A01,LOTE: A267B01,LOTE: A488F01,LOTE: SCBA192A13</v>
      </c>
      <c r="HE49" s="3">
        <f>_xlfn.XLOOKUP(B49,QUERY!$C:$C,QUERY!BF:BF)</f>
        <v>90</v>
      </c>
      <c r="HF49" s="3" t="str">
        <f>_xlfn.XLOOKUP(B49,QUERY!$C:$C,QUERY!BG:BG)</f>
        <v xml:space="preserve"> 14669835.04, 1461293.60, 268461.44</v>
      </c>
      <c r="HG49" s="3" t="str">
        <f>_xlfn.XLOOKUP(B49,QUERY!$C:$C,QUERY!BH:BH)</f>
        <v>KILO,KILO,KILO,KILO,KILO,KILO,KILO</v>
      </c>
      <c r="HH49" s="3">
        <f>_xlfn.XLOOKUP(B49,QUERY!$C:$C,QUERY!BI:BI)</f>
        <v>0</v>
      </c>
      <c r="HI49" s="3" t="str">
        <f>_xlfn.XLOOKUP(B49,QUERY!$C:$C,QUERY!BJ:BJ)</f>
        <v>PAISES BAJOS (REINO DE LOS) (HOLANDA)</v>
      </c>
      <c r="HJ49" s="3" t="str">
        <f>_xlfn.XLOOKUP(B49,QUERY!$C:$C,QUERY!BK:BK)</f>
        <v>PAISES BAJOS (REINO DE LOS) (HOLANDA)</v>
      </c>
      <c r="HK49" s="3" t="str">
        <f>_xlfn.XLOOKUP(B49,QUERY!$C:$C,QUERY!BL:BL)</f>
        <v>ZYA</v>
      </c>
      <c r="HL49" s="3" t="str">
        <f>_xlfn.XLOOKUP(B49,QUERY!$C:$C,QUERY!BM:BM)</f>
        <v>ZYA</v>
      </c>
      <c r="HM49" s="3">
        <f>_xlfn.XLOOKUP(B49,QUERY!$C:$C,QUERY!BN:BN)</f>
        <v>16399589</v>
      </c>
      <c r="HN49" s="3" t="str">
        <f>_xlfn.XLOOKUP(B49,QUERY!$C:$C,QUERY!BO:BO)</f>
        <v>462.00</v>
      </c>
      <c r="HO49" s="3" t="str">
        <f>_xlfn.XLOOKUP(B49,QUERY!$C:$C,QUERY!BP:BP)</f>
        <v>NULL</v>
      </c>
      <c r="HP49" s="3" t="str">
        <f>_xlfn.XLOOKUP(B49,QUERY!$C:$C,QUERY!BQ:BQ)</f>
        <v>NULL</v>
      </c>
      <c r="HQ49" s="3" t="str">
        <f>_xlfn.XLOOKUP(B49,QUERY!$C:$C,QUERY!BR:BR)</f>
        <v>218071.21</v>
      </c>
      <c r="HR49" s="3">
        <f>_xlfn.XLOOKUP(B49,QUERY!$C:$C,QUERY!BS:BS)</f>
        <v>0</v>
      </c>
      <c r="HS49" s="3">
        <f>_xlfn.XLOOKUP(B49,QUERY!$C:$C,QUERY!BT:BT)</f>
        <v>0</v>
      </c>
      <c r="HT49" s="3" t="str">
        <f>_xlfn.XLOOKUP(B49,QUERY!$C:$C,QUERY!A:A)</f>
        <v>VERACRUZ</v>
      </c>
      <c r="HU49" s="3" t="str">
        <f>_xlfn.XLOOKUP(B49,QUERY!$C:$C,QUERY!B:B)</f>
        <v>MARÍTIMO VERACRUZ</v>
      </c>
    </row>
    <row r="50" spans="1:229" x14ac:dyDescent="0.25">
      <c r="A50" s="3" t="s">
        <v>90</v>
      </c>
      <c r="B50" s="15" t="s">
        <v>209</v>
      </c>
      <c r="C50" s="3">
        <v>3942</v>
      </c>
      <c r="D50" s="3">
        <v>6000222</v>
      </c>
      <c r="E50" s="3"/>
      <c r="F50" s="3" t="s">
        <v>92</v>
      </c>
      <c r="G50" s="3" t="s">
        <v>93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430</v>
      </c>
      <c r="S50" s="3" t="s">
        <v>210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216</v>
      </c>
      <c r="AB50" s="3"/>
      <c r="AC50" s="3">
        <v>6117361</v>
      </c>
      <c r="AD50" s="3">
        <v>484.38997999999998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/>
      <c r="AP50" s="3" t="s">
        <v>98</v>
      </c>
      <c r="AQ50" s="3">
        <v>210363198</v>
      </c>
      <c r="AR50" s="3" t="s">
        <v>99</v>
      </c>
      <c r="AS50" s="3" t="s">
        <v>100</v>
      </c>
      <c r="AT50" s="3">
        <v>0</v>
      </c>
      <c r="AU50" s="3">
        <v>0</v>
      </c>
      <c r="AV50" s="3">
        <v>0</v>
      </c>
      <c r="AW50" s="3">
        <v>30024201</v>
      </c>
      <c r="AX50" s="3">
        <v>99</v>
      </c>
      <c r="AY50" s="3">
        <v>12629</v>
      </c>
      <c r="AZ50" s="3">
        <v>12629</v>
      </c>
      <c r="BA50" s="3" t="s">
        <v>103</v>
      </c>
      <c r="BB50" s="3"/>
      <c r="BC50" s="3" t="s">
        <v>105</v>
      </c>
      <c r="BD50" s="3" t="s">
        <v>105</v>
      </c>
      <c r="BE50" s="3"/>
      <c r="BF50" s="3"/>
      <c r="BG50" s="5"/>
      <c r="BH50" s="3"/>
      <c r="BI50" s="3"/>
      <c r="BJ50" s="3"/>
      <c r="BK50" s="3" t="s">
        <v>215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 t="s">
        <v>192</v>
      </c>
      <c r="CF50" s="3">
        <v>0</v>
      </c>
      <c r="CG50" s="3">
        <v>0</v>
      </c>
      <c r="CH50" s="3">
        <v>0</v>
      </c>
      <c r="CI50" s="3" t="s">
        <v>112</v>
      </c>
      <c r="CJ50" s="3" t="s">
        <v>112</v>
      </c>
      <c r="CK50" s="3">
        <f>_xlfn.XLOOKUP($B$2,'BASE DE EXCEL'!C:C,'BASE DE EXCEL'!D:D,"NO HAY REFERENCIA")</f>
        <v>470</v>
      </c>
      <c r="CL50" s="5">
        <f>_xlfn.XLOOKUP($B$2,'BASE DE EXCEL'!$C:$C,'BASE DE EXCEL'!F:F,"NO HAY REFERENCIA")</f>
        <v>3</v>
      </c>
      <c r="CM50" s="4">
        <f>_xlfn.XLOOKUP($B$2,'BASE DE EXCEL'!$C:$C,'BASE DE EXCEL'!G:G,"NO HAY REFERENCIA")</f>
        <v>46080</v>
      </c>
      <c r="CN50" s="4">
        <f>_xlfn.XLOOKUP($B$2,'BASE DE EXCEL'!$C:$C,'BASE DE EXCEL'!H:H,"NO HAY REFERENCIA")</f>
        <v>46086</v>
      </c>
      <c r="CO50" s="3">
        <f>_xlfn.XLOOKUP($B$2,'BASE DE EXCEL'!$C:$C,'BASE DE EXCEL'!I:I,"NO HAY REFERENCIA")</f>
        <v>4</v>
      </c>
      <c r="CP50" s="3" t="str">
        <f>_xlfn.XLOOKUP($B$2,'BASE DE EXCEL'!$C:$C,'BASE DE EXCEL'!J:J,"NO HAY REFERENCIA")</f>
        <v>4 a 5 días</v>
      </c>
      <c r="CQ50" s="4">
        <f>_xlfn.XLOOKUP($B$2,'BASE DE EXCEL'!$C:$C,'BASE DE EXCEL'!K:K,"NO HAY REFERENCIA")</f>
        <v>46087</v>
      </c>
      <c r="CR50" s="3">
        <f>_xlfn.XLOOKUP($B$2,'BASE DE EXCEL'!$C:$C,'BASE DE EXCEL'!L:L,"NO HAY REFERENCIA")</f>
        <v>5</v>
      </c>
      <c r="CS50" s="3">
        <f>_xlfn.XLOOKUP($B$2,'BASE DE EXCEL'!$C:$C,'BASE DE EXCEL'!M:M,"NO HAY REFERENCIA")</f>
        <v>6</v>
      </c>
      <c r="CT50" s="3" t="str">
        <f>_xlfn.XLOOKUP($B$2,'BASE DE EXCEL'!$C:$C,'BASE DE EXCEL'!N:N,"NO HAY REFERENCIA")</f>
        <v>6 a 10 días</v>
      </c>
      <c r="CU50" s="3" t="str">
        <f>_xlfn.XLOOKUP($B$2,'BASE DE EXCEL'!$C:$C,'BASE DE EXCEL'!O:O,"NO HAY REFERENCIA")</f>
        <v>On Time</v>
      </c>
      <c r="CV50" s="3" t="str">
        <f>_xlfn.XLOOKUP(B50,'BASE DE EXCEL'!$C:$C,'BASE DE EXCEL'!P:P,"NO HAY REFERENCIA")</f>
        <v>4 a 5 días</v>
      </c>
      <c r="CW50" s="4">
        <f>_xlfn.XLOOKUP(B50,'BASE DE EXCEL'!$C:$C,'BASE DE EXCEL'!Q:Q,"NO HAY REFERENCIA")</f>
        <v>46072</v>
      </c>
      <c r="CX50" s="3">
        <f>_xlfn.XLOOKUP(B50,'BASE DE EXCEL'!$C:$C,'BASE DE EXCEL'!R:R,"NO HAY REFERENCIA")</f>
        <v>5</v>
      </c>
      <c r="CY50" s="3" t="str">
        <f>_xlfn.XLOOKUP(B50,'BASE DE EXCEL'!$C:$C,'BASE DE EXCEL'!S:S,"NO HAY REFERENCIA")</f>
        <v>4 a 5 días</v>
      </c>
      <c r="CZ50" s="3" t="str">
        <f>_xlfn.XLOOKUP(B50,'BASE DE EXCEL'!$C:$C,'BASE DE EXCEL'!T:T,"NO HAY REFERENCIA")</f>
        <v>On Time</v>
      </c>
      <c r="DA50" s="3">
        <f>_xlfn.XLOOKUP(B50,'BASE DE EXCEL'!$C:$C,'BASE DE EXCEL'!U:U,"NO HAY REFERENCIA")</f>
        <v>6</v>
      </c>
      <c r="DB50" s="3" t="str">
        <f>_xlfn.XLOOKUP(B50,'BASE DE EXCEL'!$C:$C,'BASE DE EXCEL'!V:V,"NO HAY REFERENCIA")</f>
        <v>4 a 5 días</v>
      </c>
      <c r="DC50" s="3">
        <f>_xlfn.XLOOKUP(B50,'BASE DE EXCEL'!$C:$C,'BASE DE EXCEL'!W:W,"NO HAY REFERENCIA")</f>
        <v>9</v>
      </c>
      <c r="DD50" s="3" t="str">
        <f>_xlfn.XLOOKUP(B50,'BASE DE EXCEL'!$C:$C,'BASE DE EXCEL'!X:X,"NO HAY REFERENCIA")</f>
        <v>6 a 10 días</v>
      </c>
      <c r="DE50" s="3">
        <f>_xlfn.XLOOKUP(B50,'BASE DE EXCEL'!$C:$C,'BASE DE EXCEL'!Y:Y,"NO HAY REFERENCIA")</f>
        <v>1</v>
      </c>
      <c r="DF50" s="3" t="str">
        <f>_xlfn.XLOOKUP(B50,'BASE DE EXCEL'!$C:$C,'BASE DE EXCEL'!Z:Z,"NO HAY REFERENCIA")</f>
        <v>1 día o menos</v>
      </c>
      <c r="DG50" s="3">
        <f>_xlfn.XLOOKUP(B50,'BASE DE EXCEL'!$C:$C,'BASE DE EXCEL'!AA:AA,"NO HAY REFERENCIA")</f>
        <v>4</v>
      </c>
      <c r="DH50" s="3">
        <f>_xlfn.XLOOKUP(B50,'BASE DE EXCEL'!$C:$C,'BASE DE EXCEL'!AB:AB,"NO HAY REFERENCIA")</f>
        <v>1</v>
      </c>
      <c r="DI50" s="3" t="str">
        <f>_xlfn.XLOOKUP(B50,'BASE DE EXCEL'!$C:$C,'BASE DE EXCEL'!AC:AC,"NO HAY REFERENCIA")</f>
        <v>1 día o menos</v>
      </c>
      <c r="DJ50" s="4">
        <f>_xlfn.XLOOKUP(B50,'BASE DE EXCEL'!$C:$C,'BASE DE EXCEL'!AD:AD,"NO HAY REFERENCIA")</f>
        <v>46079</v>
      </c>
      <c r="DK50" s="3">
        <f>_xlfn.XLOOKUP(B50,'BASE DE EXCEL'!$C:$C,'BASE DE EXCEL'!AE:AE,"NO HAY REFERENCIA")</f>
        <v>6</v>
      </c>
      <c r="DL50" s="3">
        <f>_xlfn.XLOOKUP(B50,'BASE DE EXCEL'!$C:$C,'BASE DE EXCEL'!AF:AF,"NO HAY REFERENCIA")</f>
        <v>5</v>
      </c>
      <c r="DM50" s="4">
        <f>_xlfn.XLOOKUP(B50,'BASE DE EXCEL'!$C:$C,'BASE DE EXCEL'!AG:AG,"NO HAY REFERENCIA")</f>
        <v>46078</v>
      </c>
      <c r="DN50" s="4">
        <f>_xlfn.XLOOKUP(B50,'BASE DE EXCEL'!$C:$C,'BASE DE EXCEL'!AH:AH,"NO HAY REFERENCIA")</f>
        <v>46079</v>
      </c>
      <c r="DO50" s="3">
        <f>_xlfn.XLOOKUP(B50,'BASE DE EXCEL'!$C:$C,'BASE DE EXCEL'!AI:AI,"NO HAY REFERENCIA")</f>
        <v>1</v>
      </c>
      <c r="DP50" s="4" t="str">
        <f>_xlfn.XLOOKUP(B50,'BASE DE EXCEL'!$C:$C,'BASE DE EXCEL'!AJ:AJ,"NO HAY REFERENCIA")</f>
        <v>6 a 10 días</v>
      </c>
      <c r="DQ50" s="4">
        <f>_xlfn.XLOOKUP(B50,'BASE DE EXCEL'!$C:$C,'BASE DE EXCEL'!AK:AK,"NO HAY REFERENCIA")</f>
        <v>46079</v>
      </c>
      <c r="DR50" s="3">
        <f>_xlfn.XLOOKUP(B50,'BASE DE EXCEL'!$C:$C,'BASE DE EXCEL'!AL:AL,"NO HAY REFERENCIA")</f>
        <v>6</v>
      </c>
      <c r="DS50" s="3" t="str">
        <f>_xlfn.XLOOKUP(B50,'BASE DE EXCEL'!$C:$C,'BASE DE EXCEL'!AM:AM,"NO HAY REFERENCIA")</f>
        <v>6 a 10 días</v>
      </c>
      <c r="DT50" s="3" t="str">
        <f>_xlfn.XLOOKUP(B50,'BASE DE EXCEL'!$C:$C,'BASE DE EXCEL'!AN:AN,"NO HAY REFERENCIA")</f>
        <v>On Time</v>
      </c>
      <c r="DU50" s="3">
        <f>_xlfn.XLOOKUP(B50,'BASE DE EXCEL'!$C:$C,'BASE DE EXCEL'!AO:AO,"NO HAY REFERENCIA")</f>
        <v>1</v>
      </c>
      <c r="DV50" s="3" t="str">
        <f>_xlfn.XLOOKUP(B50,'BASE DE EXCEL'!$C:$C,'BASE DE EXCEL'!AP:AP,"NO HAY REFERENCIA")</f>
        <v>Es anterior</v>
      </c>
      <c r="DW50" s="3" t="str">
        <f>_xlfn.XLOOKUP(B50,'BASE DE EXCEL'!$C:$C,'BASE DE EXCEL'!AQ:AQ,"NO HAY REFERENCIA")</f>
        <v>A1</v>
      </c>
      <c r="DX50" s="3" t="str">
        <f>_xlfn.XLOOKUP(B50,'BASE DE EXCEL'!$C:$C,'BASE DE EXCEL'!AR:AR,"NO HAY REFERENCIA")</f>
        <v>ZULEIMA PEREZ RUIZ</v>
      </c>
      <c r="DY50" s="3" t="str">
        <f>_xlfn.XLOOKUP(B50,'BASE DE EXCEL'!$C:$C,'BASE DE EXCEL'!AS:AS,"NO HAY REFERENCIA")</f>
        <v>HLCURTM260111255</v>
      </c>
      <c r="DZ50" s="3" t="str">
        <f>_xlfn.XLOOKUP(B50,'BASE DE EXCEL'!$C:$C,'BASE DE EXCEL'!AT:AT,"NO HAY REFERENCIA")</f>
        <v>NULL</v>
      </c>
      <c r="EA50" s="3">
        <f>_xlfn.XLOOKUP(B50,'BASE DE EXCEL'!$C:$C,'BASE DE EXCEL'!AU:AU,"NO HAY REFERENCIA")</f>
        <v>6000222</v>
      </c>
      <c r="EB50" s="3" t="str">
        <f>_xlfn.XLOOKUP(B50,'BASE DE EXCEL'!$C:$C,'BASE DE EXCEL'!AV:AV,"NO HAY REFERENCIA")</f>
        <v>Importación</v>
      </c>
      <c r="EC50" s="3" t="str">
        <f>_xlfn.XLOOKUP(B50,'BASE DE EXCEL'!$C:$C,'BASE DE EXCEL'!AW:AW,"NO HAY REFERENCIA")</f>
        <v>NOBIVAC RL (VACUNA  DE USO VETERINARIO)</v>
      </c>
      <c r="ED50" s="3" t="str">
        <f>_xlfn.XLOOKUP(B50,'BASE DE EXCEL'!$C:$C,'BASE DE EXCEL'!AX:AX,"NO HAY REFERENCIA")</f>
        <v>SIN CLASIFICACION</v>
      </c>
      <c r="EE50" s="3">
        <f>_xlfn.XLOOKUP(B50,'BASE DE EXCEL'!$C:$C,'BASE DE EXCEL'!AY:AY,"NO HAY REFERENCIA")</f>
        <v>0</v>
      </c>
      <c r="EF50" s="3" t="str">
        <f>_xlfn.XLOOKUP(B50,'BASE DE EXCEL'!$C:$C,'BASE DE EXCEL'!AZ:AZ,"NO HAY REFERENCIA")</f>
        <v>Cargas de Importación</v>
      </c>
      <c r="EG50" s="3" t="str">
        <f>_xlfn.XLOOKUP(B50,'BASE DE EXCEL'!$C:$C,'BASE DE EXCEL'!BA:BA,"NO HAY REFERENCIA")</f>
        <v>INTERVET MEXICO SA DE CV</v>
      </c>
      <c r="EH50" s="3">
        <f>_xlfn.XLOOKUP(B50,'BASE DE EXCEL'!$C:$C,'BASE DE EXCEL'!BB:BB,"NO HAY REFERENCIA")</f>
        <v>0</v>
      </c>
      <c r="EI50" s="3" t="str">
        <f>_xlfn.XLOOKUP(B50,'BASE DE EXCEL'!$C:$C,'BASE DE EXCEL'!BC:BC,"NO HAY REFERENCIA")</f>
        <v>NINGUNO</v>
      </c>
      <c r="EJ50" s="3">
        <f>_xlfn.XLOOKUP(B50,'BASE DE EXCEL'!$C:$C,'BASE DE EXCEL'!BD:BD,"NO HAY REFERENCIA")</f>
        <v>0</v>
      </c>
      <c r="EK50" s="3" t="str">
        <f>_xlfn.XLOOKUP(B50,'BASE DE EXCEL'!$C:$C,'BASE DE EXCEL'!BE:BE,"NO HAY REFERENCIA")</f>
        <v>NINGUNO</v>
      </c>
      <c r="EL50" s="3" t="str">
        <f>_xlfn.XLOOKUP(B50,'BASE DE EXCEL'!$C:$C,'BASE DE EXCEL'!BF:BF,"NO HAY REFERENCIA")</f>
        <v>PRODUCTO TERMINADO</v>
      </c>
      <c r="EM50" s="3" t="str">
        <f>_xlfn.XLOOKUP(B50,'BASE DE EXCEL'!$C:$C,'BASE DE EXCEL'!BG:BG,"NO HAY REFERENCIA")</f>
        <v>Verde</v>
      </c>
      <c r="EN50" s="3" t="str">
        <f>_xlfn.XLOOKUP(B50,'BASE DE EXCEL'!$C:$C,'BASE DE EXCEL'!BH:BH,"NO HAY REFERENCIA")</f>
        <v xml:space="preserve"> SUPER EXPRESS DE CARGA FEDERAL S.A. DE C.V.</v>
      </c>
      <c r="EO50" s="3">
        <f>_xlfn.XLOOKUP(B50,'BASE DE EXCEL'!$C:$C,'BASE DE EXCEL'!BI:BI,"NO HAY REFERENCIA")</f>
        <v>0</v>
      </c>
      <c r="EP50" s="3" t="str">
        <f>_xlfn.XLOOKUP(B50,'BASE DE EXCEL'!$C:$C,'BASE DE EXCEL'!BJ:BJ,"NO HAY REFERENCIA")</f>
        <v>IME-T001</v>
      </c>
      <c r="EQ50" s="3" t="str">
        <f>_xlfn.XLOOKUP(B50,'BASE DE EXCEL'!$C:$C,'BASE DE EXCEL'!BK:BK,"NO HAY REFERENCIA")</f>
        <v>IME850329RH2</v>
      </c>
      <c r="ER50" s="3">
        <f>_xlfn.XLOOKUP(B50,'BASE DE EXCEL'!$C:$C,'BASE DE EXCEL'!BL:BL,"NO HAY REFERENCIA")</f>
        <v>0</v>
      </c>
      <c r="ES50" s="3">
        <f>_xlfn.XLOOKUP(B50,'BASE DE EXCEL'!$C:$C,'BASE DE EXCEL'!BM:BM,"NO HAY REFERENCIA")</f>
        <v>99</v>
      </c>
      <c r="ET50" s="3" t="str">
        <f>_xlfn.XLOOKUP(B50,'BASE DE EXCEL'!$C:$C,'BASE DE EXCEL'!BN:BN,"NO HAY REFERENCIA")</f>
        <v>LOTE: A312A01,LOTE: A848C01,LOTE: 1E072A01,LOTE: 1E067A01,LOTE: A267B01,LOTE: A488F01,LOTE: SCBA192A13</v>
      </c>
      <c r="EU50" s="3">
        <f>_xlfn.XLOOKUP(B50,'BASE DE EXCEL'!$C:$C,'BASE DE EXCEL'!BO:BO,"NO HAY REFERENCIA")</f>
        <v>90</v>
      </c>
      <c r="EV50" s="3" t="str">
        <f>_xlfn.XLOOKUP(B50,'BASE DE EXCEL'!$C:$C,'BASE DE EXCEL'!BP:BP,"NO HAY REFERENCIA")</f>
        <v xml:space="preserve"> 14669835.04, 1461293.60, 268461.44</v>
      </c>
      <c r="EW50" s="3" t="str">
        <f>_xlfn.XLOOKUP(B50,'BASE DE EXCEL'!$C:$C,'BASE DE EXCEL'!BQ:BQ,"NO HAY REFERENCIA")</f>
        <v>KILO,KILO,KILO,KILO,KILO,KILO,KILO</v>
      </c>
      <c r="EX50" s="3">
        <f>_xlfn.XLOOKUP(B50,'BASE DE EXCEL'!$C:$C,'BASE DE EXCEL'!BR:BR,"NO HAY REFERENCIA")</f>
        <v>0</v>
      </c>
      <c r="EY50" s="3" t="str">
        <f>_xlfn.XLOOKUP(B50,'BASE DE EXCEL'!$C:$C,'BASE DE EXCEL'!BS:BS,"NO HAY REFERENCIA")</f>
        <v>PAISES BAJOS (REINO DE LOS) (HOLANDA)</v>
      </c>
      <c r="EZ50" s="3" t="str">
        <f>_xlfn.XLOOKUP(B50,'BASE DE EXCEL'!$C:$C,'BASE DE EXCEL'!BT:BT,"NO HAY REFERENCIA")</f>
        <v>PAISES BAJOS (REINO DE LOS) (HOLANDA)</v>
      </c>
      <c r="FA50" s="3" t="str">
        <f>_xlfn.XLOOKUP(B50,'BASE DE EXCEL'!$C:$C,'BASE DE EXCEL'!BU:BU,"NO HAY REFERENCIA")</f>
        <v>ZYA</v>
      </c>
      <c r="FB50" s="3" t="str">
        <f>_xlfn.XLOOKUP(B50,'BASE DE EXCEL'!$C:$C,'BASE DE EXCEL'!BV:BV,"NO HAY REFERENCIA")</f>
        <v>ZYA</v>
      </c>
      <c r="FC50" s="3">
        <f>_xlfn.XLOOKUP(B50,QUERY!$C:$C,QUERY!D:D)</f>
        <v>430</v>
      </c>
      <c r="FD50" s="4">
        <f>_xlfn.XLOOKUP(B50,QUERY!$C:$C,QUERY!E:E)</f>
        <v>46070</v>
      </c>
      <c r="FE50" s="3">
        <f>_xlfn.XLOOKUP(B50,QUERY!$C:$C,QUERY!F:F)</f>
        <v>2</v>
      </c>
      <c r="FF50" s="4">
        <f>_xlfn.XLOOKUP(B50,QUERY!$C:$C,QUERY!G:G)</f>
        <v>46066</v>
      </c>
      <c r="FG50" s="4">
        <f>_xlfn.XLOOKUP(B50,QUERY!$C:$C,QUERY!H:H)</f>
        <v>46070</v>
      </c>
      <c r="FH50" s="3">
        <f>_xlfn.XLOOKUP(B50,QUERY!$C:$C,QUERY!I:I)</f>
        <v>2</v>
      </c>
      <c r="FI50" s="3" t="str">
        <f>_xlfn.XLOOKUP(B50,QUERY!$C:$C,QUERY!J:J)</f>
        <v>2 a 3 días</v>
      </c>
      <c r="FJ50" s="4">
        <f>_xlfn.XLOOKUP(B50,QUERY!$C:$C,QUERY!K:K)</f>
        <v>46071</v>
      </c>
      <c r="FK50" s="3">
        <f>_xlfn.XLOOKUP(B50,QUERY!$C:$C,QUERY!L:L)</f>
        <v>3</v>
      </c>
      <c r="FL50" s="3" t="str">
        <f>_xlfn.XLOOKUP(B50,QUERY!$C:$C,QUERY!M:M)</f>
        <v>2 a 3 días</v>
      </c>
      <c r="FM50" s="3">
        <f>_xlfn.XLOOKUP(B50,QUERY!$C:$C,QUERY!N:N)</f>
        <v>1</v>
      </c>
      <c r="FN50" s="3" t="str">
        <f>_xlfn.XLOOKUP(B50,QUERY!$C:$C,QUERY!O:O)</f>
        <v>1 día o menos</v>
      </c>
      <c r="FO50" s="3">
        <f>_xlfn.XLOOKUP(B50,QUERY!$C:$C,QUERY!P:P)</f>
        <v>1</v>
      </c>
      <c r="FP50" s="3">
        <f>_xlfn.XLOOKUP(B50,QUERY!$C:$C,QUERY!Q:Q)</f>
        <v>1</v>
      </c>
      <c r="FQ50" s="3" t="str">
        <f>_xlfn.XLOOKUP(B50,QUERY!$C:$C,QUERY!R:R)</f>
        <v>1 día o menos</v>
      </c>
      <c r="FR50" s="4">
        <f>_xlfn.XLOOKUP(B50,QUERY!$C:$C,QUERY!S:S)</f>
        <v>46072</v>
      </c>
      <c r="FS50" s="3">
        <f>_xlfn.XLOOKUP(B50,QUERY!$C:$C,QUERY!T:T)</f>
        <v>4</v>
      </c>
      <c r="FT50" s="3" t="str">
        <f>_xlfn.XLOOKUP(B50,QUERY!$C:$C,QUERY!U:U)</f>
        <v>4 a 5 días</v>
      </c>
      <c r="FU50" s="3">
        <f>_xlfn.XLOOKUP(B50,QUERY!$C:$C,QUERY!V:V)</f>
        <v>9</v>
      </c>
      <c r="FV50" s="3" t="str">
        <f>_xlfn.XLOOKUP(B50,QUERY!$C:$C,QUERY!W:W)</f>
        <v>6 a 10 días</v>
      </c>
      <c r="FW50" s="4">
        <f>_xlfn.XLOOKUP(B50,QUERY!$C:$C,QUERY!X:X)</f>
        <v>46079</v>
      </c>
      <c r="FX50" s="3">
        <f>_xlfn.XLOOKUP(B50,QUERY!$C:$C,QUERY!Y:Y)</f>
        <v>4</v>
      </c>
      <c r="FY50" s="3">
        <f>_xlfn.XLOOKUP(B50,QUERY!$C:$C,QUERY!Z:Z)</f>
        <v>5</v>
      </c>
      <c r="FZ50" s="4" t="str">
        <f>_xlfn.XLOOKUP(B50,QUERY!$C:$C,QUERY!AA:AA)</f>
        <v>6 a 10 días</v>
      </c>
      <c r="GA50" s="4">
        <f>_xlfn.XLOOKUP(B50,QUERY!$C:$C,QUERY!AB:AB)</f>
        <v>46078</v>
      </c>
      <c r="GB50" s="4">
        <f>_xlfn.XLOOKUP(B50,QUERY!$C:$C,QUERY!AC:AC)</f>
        <v>46079</v>
      </c>
      <c r="GC50" s="3">
        <f>_xlfn.XLOOKUP(B50,QUERY!$C:$C,QUERY!AD:AD)</f>
        <v>1</v>
      </c>
      <c r="GD50" s="4">
        <f>_xlfn.XLOOKUP(B50,QUERY!$C:$C,QUERY!AE:AE)</f>
        <v>46079</v>
      </c>
      <c r="GE50" s="3">
        <f>_xlfn.XLOOKUP(B50,QUERY!$C:$C,QUERY!AF:AF)</f>
        <v>1</v>
      </c>
      <c r="GF50" s="4" t="str">
        <f>_xlfn.XLOOKUP(B50,QUERY!$C:$C,QUERY!AG:AG)</f>
        <v>Es anterior</v>
      </c>
      <c r="GG50" s="3" t="str">
        <f>_xlfn.XLOOKUP(B50,QUERY!$C:$C,QUERY!AH:AH)</f>
        <v>A1</v>
      </c>
      <c r="GH50" s="3" t="str">
        <f>_xlfn.XLOOKUP(B50,QUERY!$C:$C,QUERY!AI:AI)</f>
        <v>ZULEIMA PEREZ RUIZ</v>
      </c>
      <c r="GI50" s="3" t="str">
        <f>_xlfn.XLOOKUP(B50,QUERY!$C:$C,QUERY!AJ:AJ)</f>
        <v>HLCURTM260111255</v>
      </c>
      <c r="GJ50" s="3" t="str">
        <f>_xlfn.XLOOKUP(B50,QUERY!$C:$C,QUERY!AK:AK)</f>
        <v>NULL</v>
      </c>
      <c r="GK50" s="3">
        <f>_xlfn.XLOOKUP(B50,QUERY!$C:$C,QUERY!AL:AL)</f>
        <v>6000222</v>
      </c>
      <c r="GL50" s="3" t="str">
        <f>_xlfn.XLOOKUP(B50,QUERY!$C:$C,QUERY!AM:AM)</f>
        <v>Importación</v>
      </c>
      <c r="GM50" s="3" t="str">
        <f>_xlfn.XLOOKUP(B50,QUERY!$C:$C,QUERY!AN:AN)</f>
        <v>NOBIVAC RL (VACUNA  DE USO VETERINARIO)</v>
      </c>
      <c r="GN50" s="3" t="str">
        <f>_xlfn.XLOOKUP(B50,QUERY!$C:$C,QUERY!AO:AO)</f>
        <v>SIN CLASIFICACION</v>
      </c>
      <c r="GO50" s="3">
        <f>_xlfn.XLOOKUP(B50,QUERY!$C:$C,QUERY!AP:AP)</f>
        <v>0</v>
      </c>
      <c r="GP50" s="3" t="str">
        <f>_xlfn.XLOOKUP(B50,QUERY!$C:$C,QUERY!AQ:AQ)</f>
        <v>Cargas de Importación</v>
      </c>
      <c r="GQ50" s="3" t="str">
        <f>_xlfn.XLOOKUP(B50,QUERY!$C:$C,QUERY!AR:AR)</f>
        <v>INTERVET MEXICO SA DE CV</v>
      </c>
      <c r="GR50" s="3">
        <f>_xlfn.XLOOKUP(B50,QUERY!$C:$C,QUERY!AS:AS)</f>
        <v>0</v>
      </c>
      <c r="GS50" s="3" t="str">
        <f>_xlfn.XLOOKUP(B50,QUERY!$C:$C,QUERY!AT:AT)</f>
        <v>NINGUNO</v>
      </c>
      <c r="GT50" s="3">
        <f>_xlfn.XLOOKUP(B50,QUERY!$C:$C,QUERY!AU:AU)</f>
        <v>0</v>
      </c>
      <c r="GU50" s="3" t="str">
        <f>_xlfn.XLOOKUP(B50,QUERY!$C:$C,QUERY!AV:AV)</f>
        <v>NINGUNO</v>
      </c>
      <c r="GV50" s="3" t="str">
        <f>_xlfn.XLOOKUP(B50,QUERY!$C:$C,QUERY!AW:AW)</f>
        <v>PRODUCTO TERMINADO</v>
      </c>
      <c r="GW50" s="3" t="str">
        <f>_xlfn.XLOOKUP(B50,QUERY!$C:$C,QUERY!AX:AX)</f>
        <v>Verde</v>
      </c>
      <c r="GX50" s="3" t="str">
        <f>_xlfn.XLOOKUP(B50,QUERY!$C:$C,QUERY!AY:AY)</f>
        <v xml:space="preserve"> SUPER EXPRESS DE CARGA FEDERAL S.A. DE C.V.</v>
      </c>
      <c r="GY50" s="3">
        <f>_xlfn.XLOOKUP(B50,QUERY!$C:$C,QUERY!AZ:AZ)</f>
        <v>0</v>
      </c>
      <c r="GZ50" s="3" t="str">
        <f>_xlfn.XLOOKUP(B50,QUERY!$C:$C,QUERY!BA:BA)</f>
        <v>IME-T001</v>
      </c>
      <c r="HA50" s="3" t="str">
        <f>_xlfn.XLOOKUP(B50,QUERY!$C:$C,QUERY!BB:BB)</f>
        <v>IME850329RH2</v>
      </c>
      <c r="HB50" s="3">
        <f>_xlfn.XLOOKUP(B50,QUERY!$C:$C,QUERY!BC:BC)</f>
        <v>0</v>
      </c>
      <c r="HC50" s="3">
        <f>_xlfn.XLOOKUP(B50,QUERY!$C:$C,QUERY!BD:BD)</f>
        <v>99</v>
      </c>
      <c r="HD50" s="3" t="str">
        <f>_xlfn.XLOOKUP(B50,QUERY!$C:$C,QUERY!BE:BE)</f>
        <v>LOTE: A312A01,LOTE: A848C01,LOTE: 1E072A01,LOTE: 1E067A01,LOTE: A267B01,LOTE: A488F01,LOTE: SCBA192A13</v>
      </c>
      <c r="HE50" s="3">
        <f>_xlfn.XLOOKUP(B50,QUERY!$C:$C,QUERY!BF:BF)</f>
        <v>90</v>
      </c>
      <c r="HF50" s="3" t="str">
        <f>_xlfn.XLOOKUP(B50,QUERY!$C:$C,QUERY!BG:BG)</f>
        <v xml:space="preserve"> 14669835.04, 1461293.60, 268461.44</v>
      </c>
      <c r="HG50" s="3" t="str">
        <f>_xlfn.XLOOKUP(B50,QUERY!$C:$C,QUERY!BH:BH)</f>
        <v>KILO,KILO,KILO,KILO,KILO,KILO,KILO</v>
      </c>
      <c r="HH50" s="3">
        <f>_xlfn.XLOOKUP(B50,QUERY!$C:$C,QUERY!BI:BI)</f>
        <v>0</v>
      </c>
      <c r="HI50" s="3" t="str">
        <f>_xlfn.XLOOKUP(B50,QUERY!$C:$C,QUERY!BJ:BJ)</f>
        <v>PAISES BAJOS (REINO DE LOS) (HOLANDA)</v>
      </c>
      <c r="HJ50" s="3" t="str">
        <f>_xlfn.XLOOKUP(B50,QUERY!$C:$C,QUERY!BK:BK)</f>
        <v>PAISES BAJOS (REINO DE LOS) (HOLANDA)</v>
      </c>
      <c r="HK50" s="3" t="str">
        <f>_xlfn.XLOOKUP(B50,QUERY!$C:$C,QUERY!BL:BL)</f>
        <v>ZYA</v>
      </c>
      <c r="HL50" s="3" t="str">
        <f>_xlfn.XLOOKUP(B50,QUERY!$C:$C,QUERY!BM:BM)</f>
        <v>ZYA</v>
      </c>
      <c r="HM50" s="3">
        <f>_xlfn.XLOOKUP(B50,QUERY!$C:$C,QUERY!BN:BN)</f>
        <v>16399589</v>
      </c>
      <c r="HN50" s="3" t="str">
        <f>_xlfn.XLOOKUP(B50,QUERY!$C:$C,QUERY!BO:BO)</f>
        <v>462.00</v>
      </c>
      <c r="HO50" s="3" t="str">
        <f>_xlfn.XLOOKUP(B50,QUERY!$C:$C,QUERY!BP:BP)</f>
        <v>NULL</v>
      </c>
      <c r="HP50" s="3" t="str">
        <f>_xlfn.XLOOKUP(B50,QUERY!$C:$C,QUERY!BQ:BQ)</f>
        <v>NULL</v>
      </c>
      <c r="HQ50" s="3" t="str">
        <f>_xlfn.XLOOKUP(B50,QUERY!$C:$C,QUERY!BR:BR)</f>
        <v>218071.21</v>
      </c>
      <c r="HR50" s="3">
        <f>_xlfn.XLOOKUP(B50,QUERY!$C:$C,QUERY!BS:BS)</f>
        <v>0</v>
      </c>
      <c r="HS50" s="3">
        <f>_xlfn.XLOOKUP(B50,QUERY!$C:$C,QUERY!BT:BT)</f>
        <v>0</v>
      </c>
      <c r="HT50" s="3" t="str">
        <f>_xlfn.XLOOKUP(B50,QUERY!$C:$C,QUERY!A:A)</f>
        <v>VERACRUZ</v>
      </c>
      <c r="HU50" s="3" t="str">
        <f>_xlfn.XLOOKUP(B50,QUERY!$C:$C,QUERY!B:B)</f>
        <v>MARÍTIMO VERACRUZ</v>
      </c>
    </row>
    <row r="51" spans="1:229" x14ac:dyDescent="0.25">
      <c r="A51" s="3" t="s">
        <v>90</v>
      </c>
      <c r="B51" s="15" t="s">
        <v>209</v>
      </c>
      <c r="C51" s="3">
        <v>3942</v>
      </c>
      <c r="D51" s="3">
        <v>6000222</v>
      </c>
      <c r="E51" s="3"/>
      <c r="F51" s="3" t="s">
        <v>92</v>
      </c>
      <c r="G51" s="3" t="s">
        <v>93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430</v>
      </c>
      <c r="S51" s="3" t="s">
        <v>210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 t="s">
        <v>217</v>
      </c>
      <c r="AB51" s="3"/>
      <c r="AC51" s="3">
        <v>2312707</v>
      </c>
      <c r="AD51" s="3">
        <v>520.87995000000001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/>
      <c r="AP51" s="3" t="s">
        <v>98</v>
      </c>
      <c r="AQ51" s="3">
        <v>210363198</v>
      </c>
      <c r="AR51" s="3" t="s">
        <v>99</v>
      </c>
      <c r="AS51" s="3" t="s">
        <v>100</v>
      </c>
      <c r="AT51" s="3">
        <v>0</v>
      </c>
      <c r="AU51" s="3">
        <v>0</v>
      </c>
      <c r="AV51" s="3">
        <v>0</v>
      </c>
      <c r="AW51" s="3">
        <v>30024201</v>
      </c>
      <c r="AX51" s="3">
        <v>99</v>
      </c>
      <c r="AY51" s="3">
        <v>4440</v>
      </c>
      <c r="AZ51" s="3">
        <v>4440</v>
      </c>
      <c r="BA51" s="3" t="s">
        <v>103</v>
      </c>
      <c r="BB51" s="3"/>
      <c r="BC51" s="3" t="s">
        <v>105</v>
      </c>
      <c r="BD51" s="3" t="s">
        <v>105</v>
      </c>
      <c r="BE51" s="3"/>
      <c r="BF51" s="3"/>
      <c r="BG51" s="5"/>
      <c r="BH51" s="3"/>
      <c r="BI51" s="3"/>
      <c r="BJ51" s="3"/>
      <c r="BK51" s="3" t="s">
        <v>215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 t="s">
        <v>192</v>
      </c>
      <c r="CF51" s="3">
        <v>0</v>
      </c>
      <c r="CG51" s="3">
        <v>0</v>
      </c>
      <c r="CH51" s="3">
        <v>0</v>
      </c>
      <c r="CI51" s="3" t="s">
        <v>112</v>
      </c>
      <c r="CJ51" s="3" t="s">
        <v>112</v>
      </c>
      <c r="CK51" s="3">
        <f>_xlfn.XLOOKUP($B$2,'BASE DE EXCEL'!C:C,'BASE DE EXCEL'!D:D,"NO HAY REFERENCIA")</f>
        <v>470</v>
      </c>
      <c r="CL51" s="5">
        <f>_xlfn.XLOOKUP($B$2,'BASE DE EXCEL'!$C:$C,'BASE DE EXCEL'!F:F,"NO HAY REFERENCIA")</f>
        <v>3</v>
      </c>
      <c r="CM51" s="4">
        <f>_xlfn.XLOOKUP($B$2,'BASE DE EXCEL'!$C:$C,'BASE DE EXCEL'!G:G,"NO HAY REFERENCIA")</f>
        <v>46080</v>
      </c>
      <c r="CN51" s="4">
        <f>_xlfn.XLOOKUP($B$2,'BASE DE EXCEL'!$C:$C,'BASE DE EXCEL'!H:H,"NO HAY REFERENCIA")</f>
        <v>46086</v>
      </c>
      <c r="CO51" s="3">
        <f>_xlfn.XLOOKUP($B$2,'BASE DE EXCEL'!$C:$C,'BASE DE EXCEL'!I:I,"NO HAY REFERENCIA")</f>
        <v>4</v>
      </c>
      <c r="CP51" s="3" t="str">
        <f>_xlfn.XLOOKUP($B$2,'BASE DE EXCEL'!$C:$C,'BASE DE EXCEL'!J:J,"NO HAY REFERENCIA")</f>
        <v>4 a 5 días</v>
      </c>
      <c r="CQ51" s="4">
        <f>_xlfn.XLOOKUP($B$2,'BASE DE EXCEL'!$C:$C,'BASE DE EXCEL'!K:K,"NO HAY REFERENCIA")</f>
        <v>46087</v>
      </c>
      <c r="CR51" s="3">
        <f>_xlfn.XLOOKUP($B$2,'BASE DE EXCEL'!$C:$C,'BASE DE EXCEL'!L:L,"NO HAY REFERENCIA")</f>
        <v>5</v>
      </c>
      <c r="CS51" s="3">
        <f>_xlfn.XLOOKUP($B$2,'BASE DE EXCEL'!$C:$C,'BASE DE EXCEL'!M:M,"NO HAY REFERENCIA")</f>
        <v>6</v>
      </c>
      <c r="CT51" s="3" t="str">
        <f>_xlfn.XLOOKUP($B$2,'BASE DE EXCEL'!$C:$C,'BASE DE EXCEL'!N:N,"NO HAY REFERENCIA")</f>
        <v>6 a 10 días</v>
      </c>
      <c r="CU51" s="3" t="str">
        <f>_xlfn.XLOOKUP($B$2,'BASE DE EXCEL'!$C:$C,'BASE DE EXCEL'!O:O,"NO HAY REFERENCIA")</f>
        <v>On Time</v>
      </c>
      <c r="CV51" s="3" t="str">
        <f>_xlfn.XLOOKUP(B51,'BASE DE EXCEL'!$C:$C,'BASE DE EXCEL'!P:P,"NO HAY REFERENCIA")</f>
        <v>4 a 5 días</v>
      </c>
      <c r="CW51" s="4">
        <f>_xlfn.XLOOKUP(B51,'BASE DE EXCEL'!$C:$C,'BASE DE EXCEL'!Q:Q,"NO HAY REFERENCIA")</f>
        <v>46072</v>
      </c>
      <c r="CX51" s="3">
        <f>_xlfn.XLOOKUP(B51,'BASE DE EXCEL'!$C:$C,'BASE DE EXCEL'!R:R,"NO HAY REFERENCIA")</f>
        <v>5</v>
      </c>
      <c r="CY51" s="3" t="str">
        <f>_xlfn.XLOOKUP(B51,'BASE DE EXCEL'!$C:$C,'BASE DE EXCEL'!S:S,"NO HAY REFERENCIA")</f>
        <v>4 a 5 días</v>
      </c>
      <c r="CZ51" s="3" t="str">
        <f>_xlfn.XLOOKUP(B51,'BASE DE EXCEL'!$C:$C,'BASE DE EXCEL'!T:T,"NO HAY REFERENCIA")</f>
        <v>On Time</v>
      </c>
      <c r="DA51" s="3">
        <f>_xlfn.XLOOKUP(B51,'BASE DE EXCEL'!$C:$C,'BASE DE EXCEL'!U:U,"NO HAY REFERENCIA")</f>
        <v>6</v>
      </c>
      <c r="DB51" s="3" t="str">
        <f>_xlfn.XLOOKUP(B51,'BASE DE EXCEL'!$C:$C,'BASE DE EXCEL'!V:V,"NO HAY REFERENCIA")</f>
        <v>4 a 5 días</v>
      </c>
      <c r="DC51" s="3">
        <f>_xlfn.XLOOKUP(B51,'BASE DE EXCEL'!$C:$C,'BASE DE EXCEL'!W:W,"NO HAY REFERENCIA")</f>
        <v>9</v>
      </c>
      <c r="DD51" s="3" t="str">
        <f>_xlfn.XLOOKUP(B51,'BASE DE EXCEL'!$C:$C,'BASE DE EXCEL'!X:X,"NO HAY REFERENCIA")</f>
        <v>6 a 10 días</v>
      </c>
      <c r="DE51" s="3">
        <f>_xlfn.XLOOKUP(B51,'BASE DE EXCEL'!$C:$C,'BASE DE EXCEL'!Y:Y,"NO HAY REFERENCIA")</f>
        <v>1</v>
      </c>
      <c r="DF51" s="3" t="str">
        <f>_xlfn.XLOOKUP(B51,'BASE DE EXCEL'!$C:$C,'BASE DE EXCEL'!Z:Z,"NO HAY REFERENCIA")</f>
        <v>1 día o menos</v>
      </c>
      <c r="DG51" s="3">
        <f>_xlfn.XLOOKUP(B51,'BASE DE EXCEL'!$C:$C,'BASE DE EXCEL'!AA:AA,"NO HAY REFERENCIA")</f>
        <v>4</v>
      </c>
      <c r="DH51" s="3">
        <f>_xlfn.XLOOKUP(B51,'BASE DE EXCEL'!$C:$C,'BASE DE EXCEL'!AB:AB,"NO HAY REFERENCIA")</f>
        <v>1</v>
      </c>
      <c r="DI51" s="3" t="str">
        <f>_xlfn.XLOOKUP(B51,'BASE DE EXCEL'!$C:$C,'BASE DE EXCEL'!AC:AC,"NO HAY REFERENCIA")</f>
        <v>1 día o menos</v>
      </c>
      <c r="DJ51" s="4">
        <f>_xlfn.XLOOKUP(B51,'BASE DE EXCEL'!$C:$C,'BASE DE EXCEL'!AD:AD,"NO HAY REFERENCIA")</f>
        <v>46079</v>
      </c>
      <c r="DK51" s="3">
        <f>_xlfn.XLOOKUP(B51,'BASE DE EXCEL'!$C:$C,'BASE DE EXCEL'!AE:AE,"NO HAY REFERENCIA")</f>
        <v>6</v>
      </c>
      <c r="DL51" s="3">
        <f>_xlfn.XLOOKUP(B51,'BASE DE EXCEL'!$C:$C,'BASE DE EXCEL'!AF:AF,"NO HAY REFERENCIA")</f>
        <v>5</v>
      </c>
      <c r="DM51" s="4">
        <f>_xlfn.XLOOKUP(B51,'BASE DE EXCEL'!$C:$C,'BASE DE EXCEL'!AG:AG,"NO HAY REFERENCIA")</f>
        <v>46078</v>
      </c>
      <c r="DN51" s="4">
        <f>_xlfn.XLOOKUP(B51,'BASE DE EXCEL'!$C:$C,'BASE DE EXCEL'!AH:AH,"NO HAY REFERENCIA")</f>
        <v>46079</v>
      </c>
      <c r="DO51" s="3">
        <f>_xlfn.XLOOKUP(B51,'BASE DE EXCEL'!$C:$C,'BASE DE EXCEL'!AI:AI,"NO HAY REFERENCIA")</f>
        <v>1</v>
      </c>
      <c r="DP51" s="4" t="str">
        <f>_xlfn.XLOOKUP(B51,'BASE DE EXCEL'!$C:$C,'BASE DE EXCEL'!AJ:AJ,"NO HAY REFERENCIA")</f>
        <v>6 a 10 días</v>
      </c>
      <c r="DQ51" s="4">
        <f>_xlfn.XLOOKUP(B51,'BASE DE EXCEL'!$C:$C,'BASE DE EXCEL'!AK:AK,"NO HAY REFERENCIA")</f>
        <v>46079</v>
      </c>
      <c r="DR51" s="3">
        <f>_xlfn.XLOOKUP(B51,'BASE DE EXCEL'!$C:$C,'BASE DE EXCEL'!AL:AL,"NO HAY REFERENCIA")</f>
        <v>6</v>
      </c>
      <c r="DS51" s="3" t="str">
        <f>_xlfn.XLOOKUP(B51,'BASE DE EXCEL'!$C:$C,'BASE DE EXCEL'!AM:AM,"NO HAY REFERENCIA")</f>
        <v>6 a 10 días</v>
      </c>
      <c r="DT51" s="3" t="str">
        <f>_xlfn.XLOOKUP(B51,'BASE DE EXCEL'!$C:$C,'BASE DE EXCEL'!AN:AN,"NO HAY REFERENCIA")</f>
        <v>On Time</v>
      </c>
      <c r="DU51" s="3">
        <f>_xlfn.XLOOKUP(B51,'BASE DE EXCEL'!$C:$C,'BASE DE EXCEL'!AO:AO,"NO HAY REFERENCIA")</f>
        <v>1</v>
      </c>
      <c r="DV51" s="3" t="str">
        <f>_xlfn.XLOOKUP(B51,'BASE DE EXCEL'!$C:$C,'BASE DE EXCEL'!AP:AP,"NO HAY REFERENCIA")</f>
        <v>Es anterior</v>
      </c>
      <c r="DW51" s="3" t="str">
        <f>_xlfn.XLOOKUP(B51,'BASE DE EXCEL'!$C:$C,'BASE DE EXCEL'!AQ:AQ,"NO HAY REFERENCIA")</f>
        <v>A1</v>
      </c>
      <c r="DX51" s="3" t="str">
        <f>_xlfn.XLOOKUP(B51,'BASE DE EXCEL'!$C:$C,'BASE DE EXCEL'!AR:AR,"NO HAY REFERENCIA")</f>
        <v>ZULEIMA PEREZ RUIZ</v>
      </c>
      <c r="DY51" s="3" t="str">
        <f>_xlfn.XLOOKUP(B51,'BASE DE EXCEL'!$C:$C,'BASE DE EXCEL'!AS:AS,"NO HAY REFERENCIA")</f>
        <v>HLCURTM260111255</v>
      </c>
      <c r="DZ51" s="3" t="str">
        <f>_xlfn.XLOOKUP(B51,'BASE DE EXCEL'!$C:$C,'BASE DE EXCEL'!AT:AT,"NO HAY REFERENCIA")</f>
        <v>NULL</v>
      </c>
      <c r="EA51" s="3">
        <f>_xlfn.XLOOKUP(B51,'BASE DE EXCEL'!$C:$C,'BASE DE EXCEL'!AU:AU,"NO HAY REFERENCIA")</f>
        <v>6000222</v>
      </c>
      <c r="EB51" s="3" t="str">
        <f>_xlfn.XLOOKUP(B51,'BASE DE EXCEL'!$C:$C,'BASE DE EXCEL'!AV:AV,"NO HAY REFERENCIA")</f>
        <v>Importación</v>
      </c>
      <c r="EC51" s="3" t="str">
        <f>_xlfn.XLOOKUP(B51,'BASE DE EXCEL'!$C:$C,'BASE DE EXCEL'!AW:AW,"NO HAY REFERENCIA")</f>
        <v>NOBIVAC RL (VACUNA  DE USO VETERINARIO)</v>
      </c>
      <c r="ED51" s="3" t="str">
        <f>_xlfn.XLOOKUP(B51,'BASE DE EXCEL'!$C:$C,'BASE DE EXCEL'!AX:AX,"NO HAY REFERENCIA")</f>
        <v>SIN CLASIFICACION</v>
      </c>
      <c r="EE51" s="3">
        <f>_xlfn.XLOOKUP(B51,'BASE DE EXCEL'!$C:$C,'BASE DE EXCEL'!AY:AY,"NO HAY REFERENCIA")</f>
        <v>0</v>
      </c>
      <c r="EF51" s="3" t="str">
        <f>_xlfn.XLOOKUP(B51,'BASE DE EXCEL'!$C:$C,'BASE DE EXCEL'!AZ:AZ,"NO HAY REFERENCIA")</f>
        <v>Cargas de Importación</v>
      </c>
      <c r="EG51" s="3" t="str">
        <f>_xlfn.XLOOKUP(B51,'BASE DE EXCEL'!$C:$C,'BASE DE EXCEL'!BA:BA,"NO HAY REFERENCIA")</f>
        <v>INTERVET MEXICO SA DE CV</v>
      </c>
      <c r="EH51" s="3">
        <f>_xlfn.XLOOKUP(B51,'BASE DE EXCEL'!$C:$C,'BASE DE EXCEL'!BB:BB,"NO HAY REFERENCIA")</f>
        <v>0</v>
      </c>
      <c r="EI51" s="3" t="str">
        <f>_xlfn.XLOOKUP(B51,'BASE DE EXCEL'!$C:$C,'BASE DE EXCEL'!BC:BC,"NO HAY REFERENCIA")</f>
        <v>NINGUNO</v>
      </c>
      <c r="EJ51" s="3">
        <f>_xlfn.XLOOKUP(B51,'BASE DE EXCEL'!$C:$C,'BASE DE EXCEL'!BD:BD,"NO HAY REFERENCIA")</f>
        <v>0</v>
      </c>
      <c r="EK51" s="3" t="str">
        <f>_xlfn.XLOOKUP(B51,'BASE DE EXCEL'!$C:$C,'BASE DE EXCEL'!BE:BE,"NO HAY REFERENCIA")</f>
        <v>NINGUNO</v>
      </c>
      <c r="EL51" s="3" t="str">
        <f>_xlfn.XLOOKUP(B51,'BASE DE EXCEL'!$C:$C,'BASE DE EXCEL'!BF:BF,"NO HAY REFERENCIA")</f>
        <v>PRODUCTO TERMINADO</v>
      </c>
      <c r="EM51" s="3" t="str">
        <f>_xlfn.XLOOKUP(B51,'BASE DE EXCEL'!$C:$C,'BASE DE EXCEL'!BG:BG,"NO HAY REFERENCIA")</f>
        <v>Verde</v>
      </c>
      <c r="EN51" s="3" t="str">
        <f>_xlfn.XLOOKUP(B51,'BASE DE EXCEL'!$C:$C,'BASE DE EXCEL'!BH:BH,"NO HAY REFERENCIA")</f>
        <v xml:space="preserve"> SUPER EXPRESS DE CARGA FEDERAL S.A. DE C.V.</v>
      </c>
      <c r="EO51" s="3">
        <f>_xlfn.XLOOKUP(B51,'BASE DE EXCEL'!$C:$C,'BASE DE EXCEL'!BI:BI,"NO HAY REFERENCIA")</f>
        <v>0</v>
      </c>
      <c r="EP51" s="3" t="str">
        <f>_xlfn.XLOOKUP(B51,'BASE DE EXCEL'!$C:$C,'BASE DE EXCEL'!BJ:BJ,"NO HAY REFERENCIA")</f>
        <v>IME-T001</v>
      </c>
      <c r="EQ51" s="3" t="str">
        <f>_xlfn.XLOOKUP(B51,'BASE DE EXCEL'!$C:$C,'BASE DE EXCEL'!BK:BK,"NO HAY REFERENCIA")</f>
        <v>IME850329RH2</v>
      </c>
      <c r="ER51" s="3">
        <f>_xlfn.XLOOKUP(B51,'BASE DE EXCEL'!$C:$C,'BASE DE EXCEL'!BL:BL,"NO HAY REFERENCIA")</f>
        <v>0</v>
      </c>
      <c r="ES51" s="3">
        <f>_xlfn.XLOOKUP(B51,'BASE DE EXCEL'!$C:$C,'BASE DE EXCEL'!BM:BM,"NO HAY REFERENCIA")</f>
        <v>99</v>
      </c>
      <c r="ET51" s="3" t="str">
        <f>_xlfn.XLOOKUP(B51,'BASE DE EXCEL'!$C:$C,'BASE DE EXCEL'!BN:BN,"NO HAY REFERENCIA")</f>
        <v>LOTE: A312A01,LOTE: A848C01,LOTE: 1E072A01,LOTE: 1E067A01,LOTE: A267B01,LOTE: A488F01,LOTE: SCBA192A13</v>
      </c>
      <c r="EU51" s="3">
        <f>_xlfn.XLOOKUP(B51,'BASE DE EXCEL'!$C:$C,'BASE DE EXCEL'!BO:BO,"NO HAY REFERENCIA")</f>
        <v>90</v>
      </c>
      <c r="EV51" s="3" t="str">
        <f>_xlfn.XLOOKUP(B51,'BASE DE EXCEL'!$C:$C,'BASE DE EXCEL'!BP:BP,"NO HAY REFERENCIA")</f>
        <v xml:space="preserve"> 14669835.04, 1461293.60, 268461.44</v>
      </c>
      <c r="EW51" s="3" t="str">
        <f>_xlfn.XLOOKUP(B51,'BASE DE EXCEL'!$C:$C,'BASE DE EXCEL'!BQ:BQ,"NO HAY REFERENCIA")</f>
        <v>KILO,KILO,KILO,KILO,KILO,KILO,KILO</v>
      </c>
      <c r="EX51" s="3">
        <f>_xlfn.XLOOKUP(B51,'BASE DE EXCEL'!$C:$C,'BASE DE EXCEL'!BR:BR,"NO HAY REFERENCIA")</f>
        <v>0</v>
      </c>
      <c r="EY51" s="3" t="str">
        <f>_xlfn.XLOOKUP(B51,'BASE DE EXCEL'!$C:$C,'BASE DE EXCEL'!BS:BS,"NO HAY REFERENCIA")</f>
        <v>PAISES BAJOS (REINO DE LOS) (HOLANDA)</v>
      </c>
      <c r="EZ51" s="3" t="str">
        <f>_xlfn.XLOOKUP(B51,'BASE DE EXCEL'!$C:$C,'BASE DE EXCEL'!BT:BT,"NO HAY REFERENCIA")</f>
        <v>PAISES BAJOS (REINO DE LOS) (HOLANDA)</v>
      </c>
      <c r="FA51" s="3" t="str">
        <f>_xlfn.XLOOKUP(B51,'BASE DE EXCEL'!$C:$C,'BASE DE EXCEL'!BU:BU,"NO HAY REFERENCIA")</f>
        <v>ZYA</v>
      </c>
      <c r="FB51" s="3" t="str">
        <f>_xlfn.XLOOKUP(B51,'BASE DE EXCEL'!$C:$C,'BASE DE EXCEL'!BV:BV,"NO HAY REFERENCIA")</f>
        <v>ZYA</v>
      </c>
      <c r="FC51" s="3">
        <f>_xlfn.XLOOKUP(B51,QUERY!$C:$C,QUERY!D:D)</f>
        <v>430</v>
      </c>
      <c r="FD51" s="4">
        <f>_xlfn.XLOOKUP(B51,QUERY!$C:$C,QUERY!E:E)</f>
        <v>46070</v>
      </c>
      <c r="FE51" s="3">
        <f>_xlfn.XLOOKUP(B51,QUERY!$C:$C,QUERY!F:F)</f>
        <v>2</v>
      </c>
      <c r="FF51" s="4">
        <f>_xlfn.XLOOKUP(B51,QUERY!$C:$C,QUERY!G:G)</f>
        <v>46066</v>
      </c>
      <c r="FG51" s="4">
        <f>_xlfn.XLOOKUP(B51,QUERY!$C:$C,QUERY!H:H)</f>
        <v>46070</v>
      </c>
      <c r="FH51" s="3">
        <f>_xlfn.XLOOKUP(B51,QUERY!$C:$C,QUERY!I:I)</f>
        <v>2</v>
      </c>
      <c r="FI51" s="3" t="str">
        <f>_xlfn.XLOOKUP(B51,QUERY!$C:$C,QUERY!J:J)</f>
        <v>2 a 3 días</v>
      </c>
      <c r="FJ51" s="4">
        <f>_xlfn.XLOOKUP(B51,QUERY!$C:$C,QUERY!K:K)</f>
        <v>46071</v>
      </c>
      <c r="FK51" s="3">
        <f>_xlfn.XLOOKUP(B51,QUERY!$C:$C,QUERY!L:L)</f>
        <v>3</v>
      </c>
      <c r="FL51" s="3" t="str">
        <f>_xlfn.XLOOKUP(B51,QUERY!$C:$C,QUERY!M:M)</f>
        <v>2 a 3 días</v>
      </c>
      <c r="FM51" s="3">
        <f>_xlfn.XLOOKUP(B51,QUERY!$C:$C,QUERY!N:N)</f>
        <v>1</v>
      </c>
      <c r="FN51" s="3" t="str">
        <f>_xlfn.XLOOKUP(B51,QUERY!$C:$C,QUERY!O:O)</f>
        <v>1 día o menos</v>
      </c>
      <c r="FO51" s="3">
        <f>_xlfn.XLOOKUP(B51,QUERY!$C:$C,QUERY!P:P)</f>
        <v>1</v>
      </c>
      <c r="FP51" s="3">
        <f>_xlfn.XLOOKUP(B51,QUERY!$C:$C,QUERY!Q:Q)</f>
        <v>1</v>
      </c>
      <c r="FQ51" s="3" t="str">
        <f>_xlfn.XLOOKUP(B51,QUERY!$C:$C,QUERY!R:R)</f>
        <v>1 día o menos</v>
      </c>
      <c r="FR51" s="4">
        <f>_xlfn.XLOOKUP(B51,QUERY!$C:$C,QUERY!S:S)</f>
        <v>46072</v>
      </c>
      <c r="FS51" s="3">
        <f>_xlfn.XLOOKUP(B51,QUERY!$C:$C,QUERY!T:T)</f>
        <v>4</v>
      </c>
      <c r="FT51" s="3" t="str">
        <f>_xlfn.XLOOKUP(B51,QUERY!$C:$C,QUERY!U:U)</f>
        <v>4 a 5 días</v>
      </c>
      <c r="FU51" s="3">
        <f>_xlfn.XLOOKUP(B51,QUERY!$C:$C,QUERY!V:V)</f>
        <v>9</v>
      </c>
      <c r="FV51" s="3" t="str">
        <f>_xlfn.XLOOKUP(B51,QUERY!$C:$C,QUERY!W:W)</f>
        <v>6 a 10 días</v>
      </c>
      <c r="FW51" s="4">
        <f>_xlfn.XLOOKUP(B51,QUERY!$C:$C,QUERY!X:X)</f>
        <v>46079</v>
      </c>
      <c r="FX51" s="3">
        <f>_xlfn.XLOOKUP(B51,QUERY!$C:$C,QUERY!Y:Y)</f>
        <v>4</v>
      </c>
      <c r="FY51" s="3">
        <f>_xlfn.XLOOKUP(B51,QUERY!$C:$C,QUERY!Z:Z)</f>
        <v>5</v>
      </c>
      <c r="FZ51" s="4" t="str">
        <f>_xlfn.XLOOKUP(B51,QUERY!$C:$C,QUERY!AA:AA)</f>
        <v>6 a 10 días</v>
      </c>
      <c r="GA51" s="4">
        <f>_xlfn.XLOOKUP(B51,QUERY!$C:$C,QUERY!AB:AB)</f>
        <v>46078</v>
      </c>
      <c r="GB51" s="4">
        <f>_xlfn.XLOOKUP(B51,QUERY!$C:$C,QUERY!AC:AC)</f>
        <v>46079</v>
      </c>
      <c r="GC51" s="3">
        <f>_xlfn.XLOOKUP(B51,QUERY!$C:$C,QUERY!AD:AD)</f>
        <v>1</v>
      </c>
      <c r="GD51" s="4">
        <f>_xlfn.XLOOKUP(B51,QUERY!$C:$C,QUERY!AE:AE)</f>
        <v>46079</v>
      </c>
      <c r="GE51" s="3">
        <f>_xlfn.XLOOKUP(B51,QUERY!$C:$C,QUERY!AF:AF)</f>
        <v>1</v>
      </c>
      <c r="GF51" s="4" t="str">
        <f>_xlfn.XLOOKUP(B51,QUERY!$C:$C,QUERY!AG:AG)</f>
        <v>Es anterior</v>
      </c>
      <c r="GG51" s="3" t="str">
        <f>_xlfn.XLOOKUP(B51,QUERY!$C:$C,QUERY!AH:AH)</f>
        <v>A1</v>
      </c>
      <c r="GH51" s="3" t="str">
        <f>_xlfn.XLOOKUP(B51,QUERY!$C:$C,QUERY!AI:AI)</f>
        <v>ZULEIMA PEREZ RUIZ</v>
      </c>
      <c r="GI51" s="3" t="str">
        <f>_xlfn.XLOOKUP(B51,QUERY!$C:$C,QUERY!AJ:AJ)</f>
        <v>HLCURTM260111255</v>
      </c>
      <c r="GJ51" s="3" t="str">
        <f>_xlfn.XLOOKUP(B51,QUERY!$C:$C,QUERY!AK:AK)</f>
        <v>NULL</v>
      </c>
      <c r="GK51" s="3">
        <f>_xlfn.XLOOKUP(B51,QUERY!$C:$C,QUERY!AL:AL)</f>
        <v>6000222</v>
      </c>
      <c r="GL51" s="3" t="str">
        <f>_xlfn.XLOOKUP(B51,QUERY!$C:$C,QUERY!AM:AM)</f>
        <v>Importación</v>
      </c>
      <c r="GM51" s="3" t="str">
        <f>_xlfn.XLOOKUP(B51,QUERY!$C:$C,QUERY!AN:AN)</f>
        <v>NOBIVAC RL (VACUNA  DE USO VETERINARIO)</v>
      </c>
      <c r="GN51" s="3" t="str">
        <f>_xlfn.XLOOKUP(B51,QUERY!$C:$C,QUERY!AO:AO)</f>
        <v>SIN CLASIFICACION</v>
      </c>
      <c r="GO51" s="3">
        <f>_xlfn.XLOOKUP(B51,QUERY!$C:$C,QUERY!AP:AP)</f>
        <v>0</v>
      </c>
      <c r="GP51" s="3" t="str">
        <f>_xlfn.XLOOKUP(B51,QUERY!$C:$C,QUERY!AQ:AQ)</f>
        <v>Cargas de Importación</v>
      </c>
      <c r="GQ51" s="3" t="str">
        <f>_xlfn.XLOOKUP(B51,QUERY!$C:$C,QUERY!AR:AR)</f>
        <v>INTERVET MEXICO SA DE CV</v>
      </c>
      <c r="GR51" s="3">
        <f>_xlfn.XLOOKUP(B51,QUERY!$C:$C,QUERY!AS:AS)</f>
        <v>0</v>
      </c>
      <c r="GS51" s="3" t="str">
        <f>_xlfn.XLOOKUP(B51,QUERY!$C:$C,QUERY!AT:AT)</f>
        <v>NINGUNO</v>
      </c>
      <c r="GT51" s="3">
        <f>_xlfn.XLOOKUP(B51,QUERY!$C:$C,QUERY!AU:AU)</f>
        <v>0</v>
      </c>
      <c r="GU51" s="3" t="str">
        <f>_xlfn.XLOOKUP(B51,QUERY!$C:$C,QUERY!AV:AV)</f>
        <v>NINGUNO</v>
      </c>
      <c r="GV51" s="3" t="str">
        <f>_xlfn.XLOOKUP(B51,QUERY!$C:$C,QUERY!AW:AW)</f>
        <v>PRODUCTO TERMINADO</v>
      </c>
      <c r="GW51" s="3" t="str">
        <f>_xlfn.XLOOKUP(B51,QUERY!$C:$C,QUERY!AX:AX)</f>
        <v>Verde</v>
      </c>
      <c r="GX51" s="3" t="str">
        <f>_xlfn.XLOOKUP(B51,QUERY!$C:$C,QUERY!AY:AY)</f>
        <v xml:space="preserve"> SUPER EXPRESS DE CARGA FEDERAL S.A. DE C.V.</v>
      </c>
      <c r="GY51" s="3">
        <f>_xlfn.XLOOKUP(B51,QUERY!$C:$C,QUERY!AZ:AZ)</f>
        <v>0</v>
      </c>
      <c r="GZ51" s="3" t="str">
        <f>_xlfn.XLOOKUP(B51,QUERY!$C:$C,QUERY!BA:BA)</f>
        <v>IME-T001</v>
      </c>
      <c r="HA51" s="3" t="str">
        <f>_xlfn.XLOOKUP(B51,QUERY!$C:$C,QUERY!BB:BB)</f>
        <v>IME850329RH2</v>
      </c>
      <c r="HB51" s="3">
        <f>_xlfn.XLOOKUP(B51,QUERY!$C:$C,QUERY!BC:BC)</f>
        <v>0</v>
      </c>
      <c r="HC51" s="3">
        <f>_xlfn.XLOOKUP(B51,QUERY!$C:$C,QUERY!BD:BD)</f>
        <v>99</v>
      </c>
      <c r="HD51" s="3" t="str">
        <f>_xlfn.XLOOKUP(B51,QUERY!$C:$C,QUERY!BE:BE)</f>
        <v>LOTE: A312A01,LOTE: A848C01,LOTE: 1E072A01,LOTE: 1E067A01,LOTE: A267B01,LOTE: A488F01,LOTE: SCBA192A13</v>
      </c>
      <c r="HE51" s="3">
        <f>_xlfn.XLOOKUP(B51,QUERY!$C:$C,QUERY!BF:BF)</f>
        <v>90</v>
      </c>
      <c r="HF51" s="3" t="str">
        <f>_xlfn.XLOOKUP(B51,QUERY!$C:$C,QUERY!BG:BG)</f>
        <v xml:space="preserve"> 14669835.04, 1461293.60, 268461.44</v>
      </c>
      <c r="HG51" s="3" t="str">
        <f>_xlfn.XLOOKUP(B51,QUERY!$C:$C,QUERY!BH:BH)</f>
        <v>KILO,KILO,KILO,KILO,KILO,KILO,KILO</v>
      </c>
      <c r="HH51" s="3">
        <f>_xlfn.XLOOKUP(B51,QUERY!$C:$C,QUERY!BI:BI)</f>
        <v>0</v>
      </c>
      <c r="HI51" s="3" t="str">
        <f>_xlfn.XLOOKUP(B51,QUERY!$C:$C,QUERY!BJ:BJ)</f>
        <v>PAISES BAJOS (REINO DE LOS) (HOLANDA)</v>
      </c>
      <c r="HJ51" s="3" t="str">
        <f>_xlfn.XLOOKUP(B51,QUERY!$C:$C,QUERY!BK:BK)</f>
        <v>PAISES BAJOS (REINO DE LOS) (HOLANDA)</v>
      </c>
      <c r="HK51" s="3" t="str">
        <f>_xlfn.XLOOKUP(B51,QUERY!$C:$C,QUERY!BL:BL)</f>
        <v>ZYA</v>
      </c>
      <c r="HL51" s="3" t="str">
        <f>_xlfn.XLOOKUP(B51,QUERY!$C:$C,QUERY!BM:BM)</f>
        <v>ZYA</v>
      </c>
      <c r="HM51" s="3">
        <f>_xlfn.XLOOKUP(B51,QUERY!$C:$C,QUERY!BN:BN)</f>
        <v>16399589</v>
      </c>
      <c r="HN51" s="3" t="str">
        <f>_xlfn.XLOOKUP(B51,QUERY!$C:$C,QUERY!BO:BO)</f>
        <v>462.00</v>
      </c>
      <c r="HO51" s="3" t="str">
        <f>_xlfn.XLOOKUP(B51,QUERY!$C:$C,QUERY!BP:BP)</f>
        <v>NULL</v>
      </c>
      <c r="HP51" s="3" t="str">
        <f>_xlfn.XLOOKUP(B51,QUERY!$C:$C,QUERY!BQ:BQ)</f>
        <v>NULL</v>
      </c>
      <c r="HQ51" s="3" t="str">
        <f>_xlfn.XLOOKUP(B51,QUERY!$C:$C,QUERY!BR:BR)</f>
        <v>218071.21</v>
      </c>
      <c r="HR51" s="3">
        <f>_xlfn.XLOOKUP(B51,QUERY!$C:$C,QUERY!BS:BS)</f>
        <v>0</v>
      </c>
      <c r="HS51" s="3">
        <f>_xlfn.XLOOKUP(B51,QUERY!$C:$C,QUERY!BT:BT)</f>
        <v>0</v>
      </c>
      <c r="HT51" s="3" t="str">
        <f>_xlfn.XLOOKUP(B51,QUERY!$C:$C,QUERY!A:A)</f>
        <v>VERACRUZ</v>
      </c>
      <c r="HU51" s="3" t="str">
        <f>_xlfn.XLOOKUP(B51,QUERY!$C:$C,QUERY!B:B)</f>
        <v>MARÍTIMO VERACRUZ</v>
      </c>
    </row>
    <row r="52" spans="1:229" x14ac:dyDescent="0.25">
      <c r="A52" s="3" t="s">
        <v>90</v>
      </c>
      <c r="B52" s="15" t="s">
        <v>209</v>
      </c>
      <c r="C52" s="3">
        <v>3942</v>
      </c>
      <c r="D52" s="3">
        <v>6000222</v>
      </c>
      <c r="E52" s="3"/>
      <c r="F52" s="3" t="s">
        <v>92</v>
      </c>
      <c r="G52" s="3" t="s">
        <v>93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430</v>
      </c>
      <c r="S52" s="3" t="s">
        <v>210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217</v>
      </c>
      <c r="AB52" s="3"/>
      <c r="AC52" s="3">
        <v>2217386</v>
      </c>
      <c r="AD52" s="3">
        <v>520.87995999999998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/>
      <c r="AP52" s="3" t="s">
        <v>98</v>
      </c>
      <c r="AQ52" s="3">
        <v>210363198</v>
      </c>
      <c r="AR52" s="3" t="s">
        <v>99</v>
      </c>
      <c r="AS52" s="3" t="s">
        <v>100</v>
      </c>
      <c r="AT52" s="3">
        <v>0</v>
      </c>
      <c r="AU52" s="3">
        <v>0</v>
      </c>
      <c r="AV52" s="3">
        <v>0</v>
      </c>
      <c r="AW52" s="3">
        <v>30024201</v>
      </c>
      <c r="AX52" s="3">
        <v>99</v>
      </c>
      <c r="AY52" s="3">
        <v>4257</v>
      </c>
      <c r="AZ52" s="3">
        <v>4257</v>
      </c>
      <c r="BA52" s="3" t="s">
        <v>103</v>
      </c>
      <c r="BB52" s="3"/>
      <c r="BC52" s="3" t="s">
        <v>105</v>
      </c>
      <c r="BD52" s="3" t="s">
        <v>105</v>
      </c>
      <c r="BE52" s="3"/>
      <c r="BF52" s="3"/>
      <c r="BG52" s="5"/>
      <c r="BH52" s="3"/>
      <c r="BI52" s="3"/>
      <c r="BJ52" s="3"/>
      <c r="BK52" s="3" t="s">
        <v>215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 t="s">
        <v>192</v>
      </c>
      <c r="CF52" s="3">
        <v>0</v>
      </c>
      <c r="CG52" s="3">
        <v>0</v>
      </c>
      <c r="CH52" s="3">
        <v>0</v>
      </c>
      <c r="CI52" s="3" t="s">
        <v>112</v>
      </c>
      <c r="CJ52" s="3" t="s">
        <v>112</v>
      </c>
      <c r="CK52" s="3">
        <f>_xlfn.XLOOKUP($B$2,'BASE DE EXCEL'!C:C,'BASE DE EXCEL'!D:D,"NO HAY REFERENCIA")</f>
        <v>470</v>
      </c>
      <c r="CL52" s="5">
        <f>_xlfn.XLOOKUP($B$2,'BASE DE EXCEL'!$C:$C,'BASE DE EXCEL'!F:F,"NO HAY REFERENCIA")</f>
        <v>3</v>
      </c>
      <c r="CM52" s="4">
        <f>_xlfn.XLOOKUP($B$2,'BASE DE EXCEL'!$C:$C,'BASE DE EXCEL'!G:G,"NO HAY REFERENCIA")</f>
        <v>46080</v>
      </c>
      <c r="CN52" s="4">
        <f>_xlfn.XLOOKUP($B$2,'BASE DE EXCEL'!$C:$C,'BASE DE EXCEL'!H:H,"NO HAY REFERENCIA")</f>
        <v>46086</v>
      </c>
      <c r="CO52" s="3">
        <f>_xlfn.XLOOKUP($B$2,'BASE DE EXCEL'!$C:$C,'BASE DE EXCEL'!I:I,"NO HAY REFERENCIA")</f>
        <v>4</v>
      </c>
      <c r="CP52" s="3" t="str">
        <f>_xlfn.XLOOKUP($B$2,'BASE DE EXCEL'!$C:$C,'BASE DE EXCEL'!J:J,"NO HAY REFERENCIA")</f>
        <v>4 a 5 días</v>
      </c>
      <c r="CQ52" s="4">
        <f>_xlfn.XLOOKUP($B$2,'BASE DE EXCEL'!$C:$C,'BASE DE EXCEL'!K:K,"NO HAY REFERENCIA")</f>
        <v>46087</v>
      </c>
      <c r="CR52" s="3">
        <f>_xlfn.XLOOKUP($B$2,'BASE DE EXCEL'!$C:$C,'BASE DE EXCEL'!L:L,"NO HAY REFERENCIA")</f>
        <v>5</v>
      </c>
      <c r="CS52" s="3">
        <f>_xlfn.XLOOKUP($B$2,'BASE DE EXCEL'!$C:$C,'BASE DE EXCEL'!M:M,"NO HAY REFERENCIA")</f>
        <v>6</v>
      </c>
      <c r="CT52" s="3" t="str">
        <f>_xlfn.XLOOKUP($B$2,'BASE DE EXCEL'!$C:$C,'BASE DE EXCEL'!N:N,"NO HAY REFERENCIA")</f>
        <v>6 a 10 días</v>
      </c>
      <c r="CU52" s="3" t="str">
        <f>_xlfn.XLOOKUP($B$2,'BASE DE EXCEL'!$C:$C,'BASE DE EXCEL'!O:O,"NO HAY REFERENCIA")</f>
        <v>On Time</v>
      </c>
      <c r="CV52" s="3" t="str">
        <f>_xlfn.XLOOKUP(B52,'BASE DE EXCEL'!$C:$C,'BASE DE EXCEL'!P:P,"NO HAY REFERENCIA")</f>
        <v>4 a 5 días</v>
      </c>
      <c r="CW52" s="4">
        <f>_xlfn.XLOOKUP(B52,'BASE DE EXCEL'!$C:$C,'BASE DE EXCEL'!Q:Q,"NO HAY REFERENCIA")</f>
        <v>46072</v>
      </c>
      <c r="CX52" s="3">
        <f>_xlfn.XLOOKUP(B52,'BASE DE EXCEL'!$C:$C,'BASE DE EXCEL'!R:R,"NO HAY REFERENCIA")</f>
        <v>5</v>
      </c>
      <c r="CY52" s="3" t="str">
        <f>_xlfn.XLOOKUP(B52,'BASE DE EXCEL'!$C:$C,'BASE DE EXCEL'!S:S,"NO HAY REFERENCIA")</f>
        <v>4 a 5 días</v>
      </c>
      <c r="CZ52" s="3" t="str">
        <f>_xlfn.XLOOKUP(B52,'BASE DE EXCEL'!$C:$C,'BASE DE EXCEL'!T:T,"NO HAY REFERENCIA")</f>
        <v>On Time</v>
      </c>
      <c r="DA52" s="3">
        <f>_xlfn.XLOOKUP(B52,'BASE DE EXCEL'!$C:$C,'BASE DE EXCEL'!U:U,"NO HAY REFERENCIA")</f>
        <v>6</v>
      </c>
      <c r="DB52" s="3" t="str">
        <f>_xlfn.XLOOKUP(B52,'BASE DE EXCEL'!$C:$C,'BASE DE EXCEL'!V:V,"NO HAY REFERENCIA")</f>
        <v>4 a 5 días</v>
      </c>
      <c r="DC52" s="3">
        <f>_xlfn.XLOOKUP(B52,'BASE DE EXCEL'!$C:$C,'BASE DE EXCEL'!W:W,"NO HAY REFERENCIA")</f>
        <v>9</v>
      </c>
      <c r="DD52" s="3" t="str">
        <f>_xlfn.XLOOKUP(B52,'BASE DE EXCEL'!$C:$C,'BASE DE EXCEL'!X:X,"NO HAY REFERENCIA")</f>
        <v>6 a 10 días</v>
      </c>
      <c r="DE52" s="3">
        <f>_xlfn.XLOOKUP(B52,'BASE DE EXCEL'!$C:$C,'BASE DE EXCEL'!Y:Y,"NO HAY REFERENCIA")</f>
        <v>1</v>
      </c>
      <c r="DF52" s="3" t="str">
        <f>_xlfn.XLOOKUP(B52,'BASE DE EXCEL'!$C:$C,'BASE DE EXCEL'!Z:Z,"NO HAY REFERENCIA")</f>
        <v>1 día o menos</v>
      </c>
      <c r="DG52" s="3">
        <f>_xlfn.XLOOKUP(B52,'BASE DE EXCEL'!$C:$C,'BASE DE EXCEL'!AA:AA,"NO HAY REFERENCIA")</f>
        <v>4</v>
      </c>
      <c r="DH52" s="3">
        <f>_xlfn.XLOOKUP(B52,'BASE DE EXCEL'!$C:$C,'BASE DE EXCEL'!AB:AB,"NO HAY REFERENCIA")</f>
        <v>1</v>
      </c>
      <c r="DI52" s="3" t="str">
        <f>_xlfn.XLOOKUP(B52,'BASE DE EXCEL'!$C:$C,'BASE DE EXCEL'!AC:AC,"NO HAY REFERENCIA")</f>
        <v>1 día o menos</v>
      </c>
      <c r="DJ52" s="4">
        <f>_xlfn.XLOOKUP(B52,'BASE DE EXCEL'!$C:$C,'BASE DE EXCEL'!AD:AD,"NO HAY REFERENCIA")</f>
        <v>46079</v>
      </c>
      <c r="DK52" s="3">
        <f>_xlfn.XLOOKUP(B52,'BASE DE EXCEL'!$C:$C,'BASE DE EXCEL'!AE:AE,"NO HAY REFERENCIA")</f>
        <v>6</v>
      </c>
      <c r="DL52" s="3">
        <f>_xlfn.XLOOKUP(B52,'BASE DE EXCEL'!$C:$C,'BASE DE EXCEL'!AF:AF,"NO HAY REFERENCIA")</f>
        <v>5</v>
      </c>
      <c r="DM52" s="4">
        <f>_xlfn.XLOOKUP(B52,'BASE DE EXCEL'!$C:$C,'BASE DE EXCEL'!AG:AG,"NO HAY REFERENCIA")</f>
        <v>46078</v>
      </c>
      <c r="DN52" s="4">
        <f>_xlfn.XLOOKUP(B52,'BASE DE EXCEL'!$C:$C,'BASE DE EXCEL'!AH:AH,"NO HAY REFERENCIA")</f>
        <v>46079</v>
      </c>
      <c r="DO52" s="3">
        <f>_xlfn.XLOOKUP(B52,'BASE DE EXCEL'!$C:$C,'BASE DE EXCEL'!AI:AI,"NO HAY REFERENCIA")</f>
        <v>1</v>
      </c>
      <c r="DP52" s="4" t="str">
        <f>_xlfn.XLOOKUP(B52,'BASE DE EXCEL'!$C:$C,'BASE DE EXCEL'!AJ:AJ,"NO HAY REFERENCIA")</f>
        <v>6 a 10 días</v>
      </c>
      <c r="DQ52" s="4">
        <f>_xlfn.XLOOKUP(B52,'BASE DE EXCEL'!$C:$C,'BASE DE EXCEL'!AK:AK,"NO HAY REFERENCIA")</f>
        <v>46079</v>
      </c>
      <c r="DR52" s="3">
        <f>_xlfn.XLOOKUP(B52,'BASE DE EXCEL'!$C:$C,'BASE DE EXCEL'!AL:AL,"NO HAY REFERENCIA")</f>
        <v>6</v>
      </c>
      <c r="DS52" s="3" t="str">
        <f>_xlfn.XLOOKUP(B52,'BASE DE EXCEL'!$C:$C,'BASE DE EXCEL'!AM:AM,"NO HAY REFERENCIA")</f>
        <v>6 a 10 días</v>
      </c>
      <c r="DT52" s="3" t="str">
        <f>_xlfn.XLOOKUP(B52,'BASE DE EXCEL'!$C:$C,'BASE DE EXCEL'!AN:AN,"NO HAY REFERENCIA")</f>
        <v>On Time</v>
      </c>
      <c r="DU52" s="3">
        <f>_xlfn.XLOOKUP(B52,'BASE DE EXCEL'!$C:$C,'BASE DE EXCEL'!AO:AO,"NO HAY REFERENCIA")</f>
        <v>1</v>
      </c>
      <c r="DV52" s="3" t="str">
        <f>_xlfn.XLOOKUP(B52,'BASE DE EXCEL'!$C:$C,'BASE DE EXCEL'!AP:AP,"NO HAY REFERENCIA")</f>
        <v>Es anterior</v>
      </c>
      <c r="DW52" s="3" t="str">
        <f>_xlfn.XLOOKUP(B52,'BASE DE EXCEL'!$C:$C,'BASE DE EXCEL'!AQ:AQ,"NO HAY REFERENCIA")</f>
        <v>A1</v>
      </c>
      <c r="DX52" s="3" t="str">
        <f>_xlfn.XLOOKUP(B52,'BASE DE EXCEL'!$C:$C,'BASE DE EXCEL'!AR:AR,"NO HAY REFERENCIA")</f>
        <v>ZULEIMA PEREZ RUIZ</v>
      </c>
      <c r="DY52" s="3" t="str">
        <f>_xlfn.XLOOKUP(B52,'BASE DE EXCEL'!$C:$C,'BASE DE EXCEL'!AS:AS,"NO HAY REFERENCIA")</f>
        <v>HLCURTM260111255</v>
      </c>
      <c r="DZ52" s="3" t="str">
        <f>_xlfn.XLOOKUP(B52,'BASE DE EXCEL'!$C:$C,'BASE DE EXCEL'!AT:AT,"NO HAY REFERENCIA")</f>
        <v>NULL</v>
      </c>
      <c r="EA52" s="3">
        <f>_xlfn.XLOOKUP(B52,'BASE DE EXCEL'!$C:$C,'BASE DE EXCEL'!AU:AU,"NO HAY REFERENCIA")</f>
        <v>6000222</v>
      </c>
      <c r="EB52" s="3" t="str">
        <f>_xlfn.XLOOKUP(B52,'BASE DE EXCEL'!$C:$C,'BASE DE EXCEL'!AV:AV,"NO HAY REFERENCIA")</f>
        <v>Importación</v>
      </c>
      <c r="EC52" s="3" t="str">
        <f>_xlfn.XLOOKUP(B52,'BASE DE EXCEL'!$C:$C,'BASE DE EXCEL'!AW:AW,"NO HAY REFERENCIA")</f>
        <v>NOBIVAC RL (VACUNA  DE USO VETERINARIO)</v>
      </c>
      <c r="ED52" s="3" t="str">
        <f>_xlfn.XLOOKUP(B52,'BASE DE EXCEL'!$C:$C,'BASE DE EXCEL'!AX:AX,"NO HAY REFERENCIA")</f>
        <v>SIN CLASIFICACION</v>
      </c>
      <c r="EE52" s="3">
        <f>_xlfn.XLOOKUP(B52,'BASE DE EXCEL'!$C:$C,'BASE DE EXCEL'!AY:AY,"NO HAY REFERENCIA")</f>
        <v>0</v>
      </c>
      <c r="EF52" s="3" t="str">
        <f>_xlfn.XLOOKUP(B52,'BASE DE EXCEL'!$C:$C,'BASE DE EXCEL'!AZ:AZ,"NO HAY REFERENCIA")</f>
        <v>Cargas de Importación</v>
      </c>
      <c r="EG52" s="3" t="str">
        <f>_xlfn.XLOOKUP(B52,'BASE DE EXCEL'!$C:$C,'BASE DE EXCEL'!BA:BA,"NO HAY REFERENCIA")</f>
        <v>INTERVET MEXICO SA DE CV</v>
      </c>
      <c r="EH52" s="3">
        <f>_xlfn.XLOOKUP(B52,'BASE DE EXCEL'!$C:$C,'BASE DE EXCEL'!BB:BB,"NO HAY REFERENCIA")</f>
        <v>0</v>
      </c>
      <c r="EI52" s="3" t="str">
        <f>_xlfn.XLOOKUP(B52,'BASE DE EXCEL'!$C:$C,'BASE DE EXCEL'!BC:BC,"NO HAY REFERENCIA")</f>
        <v>NINGUNO</v>
      </c>
      <c r="EJ52" s="3">
        <f>_xlfn.XLOOKUP(B52,'BASE DE EXCEL'!$C:$C,'BASE DE EXCEL'!BD:BD,"NO HAY REFERENCIA")</f>
        <v>0</v>
      </c>
      <c r="EK52" s="3" t="str">
        <f>_xlfn.XLOOKUP(B52,'BASE DE EXCEL'!$C:$C,'BASE DE EXCEL'!BE:BE,"NO HAY REFERENCIA")</f>
        <v>NINGUNO</v>
      </c>
      <c r="EL52" s="3" t="str">
        <f>_xlfn.XLOOKUP(B52,'BASE DE EXCEL'!$C:$C,'BASE DE EXCEL'!BF:BF,"NO HAY REFERENCIA")</f>
        <v>PRODUCTO TERMINADO</v>
      </c>
      <c r="EM52" s="3" t="str">
        <f>_xlfn.XLOOKUP(B52,'BASE DE EXCEL'!$C:$C,'BASE DE EXCEL'!BG:BG,"NO HAY REFERENCIA")</f>
        <v>Verde</v>
      </c>
      <c r="EN52" s="3" t="str">
        <f>_xlfn.XLOOKUP(B52,'BASE DE EXCEL'!$C:$C,'BASE DE EXCEL'!BH:BH,"NO HAY REFERENCIA")</f>
        <v xml:space="preserve"> SUPER EXPRESS DE CARGA FEDERAL S.A. DE C.V.</v>
      </c>
      <c r="EO52" s="3">
        <f>_xlfn.XLOOKUP(B52,'BASE DE EXCEL'!$C:$C,'BASE DE EXCEL'!BI:BI,"NO HAY REFERENCIA")</f>
        <v>0</v>
      </c>
      <c r="EP52" s="3" t="str">
        <f>_xlfn.XLOOKUP(B52,'BASE DE EXCEL'!$C:$C,'BASE DE EXCEL'!BJ:BJ,"NO HAY REFERENCIA")</f>
        <v>IME-T001</v>
      </c>
      <c r="EQ52" s="3" t="str">
        <f>_xlfn.XLOOKUP(B52,'BASE DE EXCEL'!$C:$C,'BASE DE EXCEL'!BK:BK,"NO HAY REFERENCIA")</f>
        <v>IME850329RH2</v>
      </c>
      <c r="ER52" s="3">
        <f>_xlfn.XLOOKUP(B52,'BASE DE EXCEL'!$C:$C,'BASE DE EXCEL'!BL:BL,"NO HAY REFERENCIA")</f>
        <v>0</v>
      </c>
      <c r="ES52" s="3">
        <f>_xlfn.XLOOKUP(B52,'BASE DE EXCEL'!$C:$C,'BASE DE EXCEL'!BM:BM,"NO HAY REFERENCIA")</f>
        <v>99</v>
      </c>
      <c r="ET52" s="3" t="str">
        <f>_xlfn.XLOOKUP(B52,'BASE DE EXCEL'!$C:$C,'BASE DE EXCEL'!BN:BN,"NO HAY REFERENCIA")</f>
        <v>LOTE: A312A01,LOTE: A848C01,LOTE: 1E072A01,LOTE: 1E067A01,LOTE: A267B01,LOTE: A488F01,LOTE: SCBA192A13</v>
      </c>
      <c r="EU52" s="3">
        <f>_xlfn.XLOOKUP(B52,'BASE DE EXCEL'!$C:$C,'BASE DE EXCEL'!BO:BO,"NO HAY REFERENCIA")</f>
        <v>90</v>
      </c>
      <c r="EV52" s="3" t="str">
        <f>_xlfn.XLOOKUP(B52,'BASE DE EXCEL'!$C:$C,'BASE DE EXCEL'!BP:BP,"NO HAY REFERENCIA")</f>
        <v xml:space="preserve"> 14669835.04, 1461293.60, 268461.44</v>
      </c>
      <c r="EW52" s="3" t="str">
        <f>_xlfn.XLOOKUP(B52,'BASE DE EXCEL'!$C:$C,'BASE DE EXCEL'!BQ:BQ,"NO HAY REFERENCIA")</f>
        <v>KILO,KILO,KILO,KILO,KILO,KILO,KILO</v>
      </c>
      <c r="EX52" s="3">
        <f>_xlfn.XLOOKUP(B52,'BASE DE EXCEL'!$C:$C,'BASE DE EXCEL'!BR:BR,"NO HAY REFERENCIA")</f>
        <v>0</v>
      </c>
      <c r="EY52" s="3" t="str">
        <f>_xlfn.XLOOKUP(B52,'BASE DE EXCEL'!$C:$C,'BASE DE EXCEL'!BS:BS,"NO HAY REFERENCIA")</f>
        <v>PAISES BAJOS (REINO DE LOS) (HOLANDA)</v>
      </c>
      <c r="EZ52" s="3" t="str">
        <f>_xlfn.XLOOKUP(B52,'BASE DE EXCEL'!$C:$C,'BASE DE EXCEL'!BT:BT,"NO HAY REFERENCIA")</f>
        <v>PAISES BAJOS (REINO DE LOS) (HOLANDA)</v>
      </c>
      <c r="FA52" s="3" t="str">
        <f>_xlfn.XLOOKUP(B52,'BASE DE EXCEL'!$C:$C,'BASE DE EXCEL'!BU:BU,"NO HAY REFERENCIA")</f>
        <v>ZYA</v>
      </c>
      <c r="FB52" s="3" t="str">
        <f>_xlfn.XLOOKUP(B52,'BASE DE EXCEL'!$C:$C,'BASE DE EXCEL'!BV:BV,"NO HAY REFERENCIA")</f>
        <v>ZYA</v>
      </c>
      <c r="FC52" s="3">
        <f>_xlfn.XLOOKUP(B52,QUERY!$C:$C,QUERY!D:D)</f>
        <v>430</v>
      </c>
      <c r="FD52" s="4">
        <f>_xlfn.XLOOKUP(B52,QUERY!$C:$C,QUERY!E:E)</f>
        <v>46070</v>
      </c>
      <c r="FE52" s="3">
        <f>_xlfn.XLOOKUP(B52,QUERY!$C:$C,QUERY!F:F)</f>
        <v>2</v>
      </c>
      <c r="FF52" s="4">
        <f>_xlfn.XLOOKUP(B52,QUERY!$C:$C,QUERY!G:G)</f>
        <v>46066</v>
      </c>
      <c r="FG52" s="4">
        <f>_xlfn.XLOOKUP(B52,QUERY!$C:$C,QUERY!H:H)</f>
        <v>46070</v>
      </c>
      <c r="FH52" s="3">
        <f>_xlfn.XLOOKUP(B52,QUERY!$C:$C,QUERY!I:I)</f>
        <v>2</v>
      </c>
      <c r="FI52" s="3" t="str">
        <f>_xlfn.XLOOKUP(B52,QUERY!$C:$C,QUERY!J:J)</f>
        <v>2 a 3 días</v>
      </c>
      <c r="FJ52" s="4">
        <f>_xlfn.XLOOKUP(B52,QUERY!$C:$C,QUERY!K:K)</f>
        <v>46071</v>
      </c>
      <c r="FK52" s="3">
        <f>_xlfn.XLOOKUP(B52,QUERY!$C:$C,QUERY!L:L)</f>
        <v>3</v>
      </c>
      <c r="FL52" s="3" t="str">
        <f>_xlfn.XLOOKUP(B52,QUERY!$C:$C,QUERY!M:M)</f>
        <v>2 a 3 días</v>
      </c>
      <c r="FM52" s="3">
        <f>_xlfn.XLOOKUP(B52,QUERY!$C:$C,QUERY!N:N)</f>
        <v>1</v>
      </c>
      <c r="FN52" s="3" t="str">
        <f>_xlfn.XLOOKUP(B52,QUERY!$C:$C,QUERY!O:O)</f>
        <v>1 día o menos</v>
      </c>
      <c r="FO52" s="3">
        <f>_xlfn.XLOOKUP(B52,QUERY!$C:$C,QUERY!P:P)</f>
        <v>1</v>
      </c>
      <c r="FP52" s="3">
        <f>_xlfn.XLOOKUP(B52,QUERY!$C:$C,QUERY!Q:Q)</f>
        <v>1</v>
      </c>
      <c r="FQ52" s="3" t="str">
        <f>_xlfn.XLOOKUP(B52,QUERY!$C:$C,QUERY!R:R)</f>
        <v>1 día o menos</v>
      </c>
      <c r="FR52" s="4">
        <f>_xlfn.XLOOKUP(B52,QUERY!$C:$C,QUERY!S:S)</f>
        <v>46072</v>
      </c>
      <c r="FS52" s="3">
        <f>_xlfn.XLOOKUP(B52,QUERY!$C:$C,QUERY!T:T)</f>
        <v>4</v>
      </c>
      <c r="FT52" s="3" t="str">
        <f>_xlfn.XLOOKUP(B52,QUERY!$C:$C,QUERY!U:U)</f>
        <v>4 a 5 días</v>
      </c>
      <c r="FU52" s="3">
        <f>_xlfn.XLOOKUP(B52,QUERY!$C:$C,QUERY!V:V)</f>
        <v>9</v>
      </c>
      <c r="FV52" s="3" t="str">
        <f>_xlfn.XLOOKUP(B52,QUERY!$C:$C,QUERY!W:W)</f>
        <v>6 a 10 días</v>
      </c>
      <c r="FW52" s="4">
        <f>_xlfn.XLOOKUP(B52,QUERY!$C:$C,QUERY!X:X)</f>
        <v>46079</v>
      </c>
      <c r="FX52" s="3">
        <f>_xlfn.XLOOKUP(B52,QUERY!$C:$C,QUERY!Y:Y)</f>
        <v>4</v>
      </c>
      <c r="FY52" s="3">
        <f>_xlfn.XLOOKUP(B52,QUERY!$C:$C,QUERY!Z:Z)</f>
        <v>5</v>
      </c>
      <c r="FZ52" s="4" t="str">
        <f>_xlfn.XLOOKUP(B52,QUERY!$C:$C,QUERY!AA:AA)</f>
        <v>6 a 10 días</v>
      </c>
      <c r="GA52" s="4">
        <f>_xlfn.XLOOKUP(B52,QUERY!$C:$C,QUERY!AB:AB)</f>
        <v>46078</v>
      </c>
      <c r="GB52" s="4">
        <f>_xlfn.XLOOKUP(B52,QUERY!$C:$C,QUERY!AC:AC)</f>
        <v>46079</v>
      </c>
      <c r="GC52" s="3">
        <f>_xlfn.XLOOKUP(B52,QUERY!$C:$C,QUERY!AD:AD)</f>
        <v>1</v>
      </c>
      <c r="GD52" s="4">
        <f>_xlfn.XLOOKUP(B52,QUERY!$C:$C,QUERY!AE:AE)</f>
        <v>46079</v>
      </c>
      <c r="GE52" s="3">
        <f>_xlfn.XLOOKUP(B52,QUERY!$C:$C,QUERY!AF:AF)</f>
        <v>1</v>
      </c>
      <c r="GF52" s="4" t="str">
        <f>_xlfn.XLOOKUP(B52,QUERY!$C:$C,QUERY!AG:AG)</f>
        <v>Es anterior</v>
      </c>
      <c r="GG52" s="3" t="str">
        <f>_xlfn.XLOOKUP(B52,QUERY!$C:$C,QUERY!AH:AH)</f>
        <v>A1</v>
      </c>
      <c r="GH52" s="3" t="str">
        <f>_xlfn.XLOOKUP(B52,QUERY!$C:$C,QUERY!AI:AI)</f>
        <v>ZULEIMA PEREZ RUIZ</v>
      </c>
      <c r="GI52" s="3" t="str">
        <f>_xlfn.XLOOKUP(B52,QUERY!$C:$C,QUERY!AJ:AJ)</f>
        <v>HLCURTM260111255</v>
      </c>
      <c r="GJ52" s="3" t="str">
        <f>_xlfn.XLOOKUP(B52,QUERY!$C:$C,QUERY!AK:AK)</f>
        <v>NULL</v>
      </c>
      <c r="GK52" s="3">
        <f>_xlfn.XLOOKUP(B52,QUERY!$C:$C,QUERY!AL:AL)</f>
        <v>6000222</v>
      </c>
      <c r="GL52" s="3" t="str">
        <f>_xlfn.XLOOKUP(B52,QUERY!$C:$C,QUERY!AM:AM)</f>
        <v>Importación</v>
      </c>
      <c r="GM52" s="3" t="str">
        <f>_xlfn.XLOOKUP(B52,QUERY!$C:$C,QUERY!AN:AN)</f>
        <v>NOBIVAC RL (VACUNA  DE USO VETERINARIO)</v>
      </c>
      <c r="GN52" s="3" t="str">
        <f>_xlfn.XLOOKUP(B52,QUERY!$C:$C,QUERY!AO:AO)</f>
        <v>SIN CLASIFICACION</v>
      </c>
      <c r="GO52" s="3">
        <f>_xlfn.XLOOKUP(B52,QUERY!$C:$C,QUERY!AP:AP)</f>
        <v>0</v>
      </c>
      <c r="GP52" s="3" t="str">
        <f>_xlfn.XLOOKUP(B52,QUERY!$C:$C,QUERY!AQ:AQ)</f>
        <v>Cargas de Importación</v>
      </c>
      <c r="GQ52" s="3" t="str">
        <f>_xlfn.XLOOKUP(B52,QUERY!$C:$C,QUERY!AR:AR)</f>
        <v>INTERVET MEXICO SA DE CV</v>
      </c>
      <c r="GR52" s="3">
        <f>_xlfn.XLOOKUP(B52,QUERY!$C:$C,QUERY!AS:AS)</f>
        <v>0</v>
      </c>
      <c r="GS52" s="3" t="str">
        <f>_xlfn.XLOOKUP(B52,QUERY!$C:$C,QUERY!AT:AT)</f>
        <v>NINGUNO</v>
      </c>
      <c r="GT52" s="3">
        <f>_xlfn.XLOOKUP(B52,QUERY!$C:$C,QUERY!AU:AU)</f>
        <v>0</v>
      </c>
      <c r="GU52" s="3" t="str">
        <f>_xlfn.XLOOKUP(B52,QUERY!$C:$C,QUERY!AV:AV)</f>
        <v>NINGUNO</v>
      </c>
      <c r="GV52" s="3" t="str">
        <f>_xlfn.XLOOKUP(B52,QUERY!$C:$C,QUERY!AW:AW)</f>
        <v>PRODUCTO TERMINADO</v>
      </c>
      <c r="GW52" s="3" t="str">
        <f>_xlfn.XLOOKUP(B52,QUERY!$C:$C,QUERY!AX:AX)</f>
        <v>Verde</v>
      </c>
      <c r="GX52" s="3" t="str">
        <f>_xlfn.XLOOKUP(B52,QUERY!$C:$C,QUERY!AY:AY)</f>
        <v xml:space="preserve"> SUPER EXPRESS DE CARGA FEDERAL S.A. DE C.V.</v>
      </c>
      <c r="GY52" s="3">
        <f>_xlfn.XLOOKUP(B52,QUERY!$C:$C,QUERY!AZ:AZ)</f>
        <v>0</v>
      </c>
      <c r="GZ52" s="3" t="str">
        <f>_xlfn.XLOOKUP(B52,QUERY!$C:$C,QUERY!BA:BA)</f>
        <v>IME-T001</v>
      </c>
      <c r="HA52" s="3" t="str">
        <f>_xlfn.XLOOKUP(B52,QUERY!$C:$C,QUERY!BB:BB)</f>
        <v>IME850329RH2</v>
      </c>
      <c r="HB52" s="3">
        <f>_xlfn.XLOOKUP(B52,QUERY!$C:$C,QUERY!BC:BC)</f>
        <v>0</v>
      </c>
      <c r="HC52" s="3">
        <f>_xlfn.XLOOKUP(B52,QUERY!$C:$C,QUERY!BD:BD)</f>
        <v>99</v>
      </c>
      <c r="HD52" s="3" t="str">
        <f>_xlfn.XLOOKUP(B52,QUERY!$C:$C,QUERY!BE:BE)</f>
        <v>LOTE: A312A01,LOTE: A848C01,LOTE: 1E072A01,LOTE: 1E067A01,LOTE: A267B01,LOTE: A488F01,LOTE: SCBA192A13</v>
      </c>
      <c r="HE52" s="3">
        <f>_xlfn.XLOOKUP(B52,QUERY!$C:$C,QUERY!BF:BF)</f>
        <v>90</v>
      </c>
      <c r="HF52" s="3" t="str">
        <f>_xlfn.XLOOKUP(B52,QUERY!$C:$C,QUERY!BG:BG)</f>
        <v xml:space="preserve"> 14669835.04, 1461293.60, 268461.44</v>
      </c>
      <c r="HG52" s="3" t="str">
        <f>_xlfn.XLOOKUP(B52,QUERY!$C:$C,QUERY!BH:BH)</f>
        <v>KILO,KILO,KILO,KILO,KILO,KILO,KILO</v>
      </c>
      <c r="HH52" s="3">
        <f>_xlfn.XLOOKUP(B52,QUERY!$C:$C,QUERY!BI:BI)</f>
        <v>0</v>
      </c>
      <c r="HI52" s="3" t="str">
        <f>_xlfn.XLOOKUP(B52,QUERY!$C:$C,QUERY!BJ:BJ)</f>
        <v>PAISES BAJOS (REINO DE LOS) (HOLANDA)</v>
      </c>
      <c r="HJ52" s="3" t="str">
        <f>_xlfn.XLOOKUP(B52,QUERY!$C:$C,QUERY!BK:BK)</f>
        <v>PAISES BAJOS (REINO DE LOS) (HOLANDA)</v>
      </c>
      <c r="HK52" s="3" t="str">
        <f>_xlfn.XLOOKUP(B52,QUERY!$C:$C,QUERY!BL:BL)</f>
        <v>ZYA</v>
      </c>
      <c r="HL52" s="3" t="str">
        <f>_xlfn.XLOOKUP(B52,QUERY!$C:$C,QUERY!BM:BM)</f>
        <v>ZYA</v>
      </c>
      <c r="HM52" s="3">
        <f>_xlfn.XLOOKUP(B52,QUERY!$C:$C,QUERY!BN:BN)</f>
        <v>16399589</v>
      </c>
      <c r="HN52" s="3" t="str">
        <f>_xlfn.XLOOKUP(B52,QUERY!$C:$C,QUERY!BO:BO)</f>
        <v>462.00</v>
      </c>
      <c r="HO52" s="3" t="str">
        <f>_xlfn.XLOOKUP(B52,QUERY!$C:$C,QUERY!BP:BP)</f>
        <v>NULL</v>
      </c>
      <c r="HP52" s="3" t="str">
        <f>_xlfn.XLOOKUP(B52,QUERY!$C:$C,QUERY!BQ:BQ)</f>
        <v>NULL</v>
      </c>
      <c r="HQ52" s="3" t="str">
        <f>_xlfn.XLOOKUP(B52,QUERY!$C:$C,QUERY!BR:BR)</f>
        <v>218071.21</v>
      </c>
      <c r="HR52" s="3">
        <f>_xlfn.XLOOKUP(B52,QUERY!$C:$C,QUERY!BS:BS)</f>
        <v>0</v>
      </c>
      <c r="HS52" s="3">
        <f>_xlfn.XLOOKUP(B52,QUERY!$C:$C,QUERY!BT:BT)</f>
        <v>0</v>
      </c>
      <c r="HT52" s="3" t="str">
        <f>_xlfn.XLOOKUP(B52,QUERY!$C:$C,QUERY!A:A)</f>
        <v>VERACRUZ</v>
      </c>
      <c r="HU52" s="3" t="str">
        <f>_xlfn.XLOOKUP(B52,QUERY!$C:$C,QUERY!B:B)</f>
        <v>MARÍTIMO VERACRUZ</v>
      </c>
    </row>
    <row r="53" spans="1:229" x14ac:dyDescent="0.25">
      <c r="A53" s="3" t="s">
        <v>90</v>
      </c>
      <c r="B53" s="15" t="s">
        <v>209</v>
      </c>
      <c r="C53" s="3">
        <v>3942</v>
      </c>
      <c r="D53" s="3">
        <v>6000222</v>
      </c>
      <c r="E53" s="3"/>
      <c r="F53" s="3" t="s">
        <v>92</v>
      </c>
      <c r="G53" s="3" t="s">
        <v>93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430</v>
      </c>
      <c r="S53" s="3" t="s">
        <v>210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 t="s">
        <v>158</v>
      </c>
      <c r="AB53" s="3"/>
      <c r="AC53" s="3">
        <v>2134208</v>
      </c>
      <c r="AD53" s="3">
        <v>333.47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/>
      <c r="AP53" s="3" t="s">
        <v>98</v>
      </c>
      <c r="AQ53" s="3">
        <v>210363198</v>
      </c>
      <c r="AR53" s="3" t="s">
        <v>99</v>
      </c>
      <c r="AS53" s="3" t="s">
        <v>100</v>
      </c>
      <c r="AT53" s="3">
        <v>0</v>
      </c>
      <c r="AU53" s="3">
        <v>0</v>
      </c>
      <c r="AV53" s="3">
        <v>0</v>
      </c>
      <c r="AW53" s="3">
        <v>30024201</v>
      </c>
      <c r="AX53" s="3">
        <v>99</v>
      </c>
      <c r="AY53" s="3">
        <v>6400</v>
      </c>
      <c r="AZ53" s="3">
        <v>6400</v>
      </c>
      <c r="BA53" s="3" t="s">
        <v>103</v>
      </c>
      <c r="BB53" s="3"/>
      <c r="BC53" s="3" t="s">
        <v>105</v>
      </c>
      <c r="BD53" s="3" t="s">
        <v>105</v>
      </c>
      <c r="BE53" s="3"/>
      <c r="BF53" s="3"/>
      <c r="BG53" s="5"/>
      <c r="BH53" s="3"/>
      <c r="BI53" s="3"/>
      <c r="BJ53" s="3"/>
      <c r="BK53" s="3" t="s">
        <v>215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 t="s">
        <v>192</v>
      </c>
      <c r="CF53" s="3">
        <v>0</v>
      </c>
      <c r="CG53" s="3">
        <v>0</v>
      </c>
      <c r="CH53" s="3">
        <v>0</v>
      </c>
      <c r="CI53" s="3" t="s">
        <v>112</v>
      </c>
      <c r="CJ53" s="3" t="s">
        <v>112</v>
      </c>
      <c r="CK53" s="3">
        <f>_xlfn.XLOOKUP($B$2,'BASE DE EXCEL'!C:C,'BASE DE EXCEL'!D:D,"NO HAY REFERENCIA")</f>
        <v>470</v>
      </c>
      <c r="CL53" s="5">
        <f>_xlfn.XLOOKUP($B$2,'BASE DE EXCEL'!$C:$C,'BASE DE EXCEL'!F:F,"NO HAY REFERENCIA")</f>
        <v>3</v>
      </c>
      <c r="CM53" s="4">
        <f>_xlfn.XLOOKUP($B$2,'BASE DE EXCEL'!$C:$C,'BASE DE EXCEL'!G:G,"NO HAY REFERENCIA")</f>
        <v>46080</v>
      </c>
      <c r="CN53" s="4">
        <f>_xlfn.XLOOKUP($B$2,'BASE DE EXCEL'!$C:$C,'BASE DE EXCEL'!H:H,"NO HAY REFERENCIA")</f>
        <v>46086</v>
      </c>
      <c r="CO53" s="3">
        <f>_xlfn.XLOOKUP($B$2,'BASE DE EXCEL'!$C:$C,'BASE DE EXCEL'!I:I,"NO HAY REFERENCIA")</f>
        <v>4</v>
      </c>
      <c r="CP53" s="3" t="str">
        <f>_xlfn.XLOOKUP($B$2,'BASE DE EXCEL'!$C:$C,'BASE DE EXCEL'!J:J,"NO HAY REFERENCIA")</f>
        <v>4 a 5 días</v>
      </c>
      <c r="CQ53" s="4">
        <f>_xlfn.XLOOKUP($B$2,'BASE DE EXCEL'!$C:$C,'BASE DE EXCEL'!K:K,"NO HAY REFERENCIA")</f>
        <v>46087</v>
      </c>
      <c r="CR53" s="3">
        <f>_xlfn.XLOOKUP($B$2,'BASE DE EXCEL'!$C:$C,'BASE DE EXCEL'!L:L,"NO HAY REFERENCIA")</f>
        <v>5</v>
      </c>
      <c r="CS53" s="3">
        <f>_xlfn.XLOOKUP($B$2,'BASE DE EXCEL'!$C:$C,'BASE DE EXCEL'!M:M,"NO HAY REFERENCIA")</f>
        <v>6</v>
      </c>
      <c r="CT53" s="3" t="str">
        <f>_xlfn.XLOOKUP($B$2,'BASE DE EXCEL'!$C:$C,'BASE DE EXCEL'!N:N,"NO HAY REFERENCIA")</f>
        <v>6 a 10 días</v>
      </c>
      <c r="CU53" s="3" t="str">
        <f>_xlfn.XLOOKUP($B$2,'BASE DE EXCEL'!$C:$C,'BASE DE EXCEL'!O:O,"NO HAY REFERENCIA")</f>
        <v>On Time</v>
      </c>
      <c r="CV53" s="3" t="str">
        <f>_xlfn.XLOOKUP(B53,'BASE DE EXCEL'!$C:$C,'BASE DE EXCEL'!P:P,"NO HAY REFERENCIA")</f>
        <v>4 a 5 días</v>
      </c>
      <c r="CW53" s="4">
        <f>_xlfn.XLOOKUP(B53,'BASE DE EXCEL'!$C:$C,'BASE DE EXCEL'!Q:Q,"NO HAY REFERENCIA")</f>
        <v>46072</v>
      </c>
      <c r="CX53" s="3">
        <f>_xlfn.XLOOKUP(B53,'BASE DE EXCEL'!$C:$C,'BASE DE EXCEL'!R:R,"NO HAY REFERENCIA")</f>
        <v>5</v>
      </c>
      <c r="CY53" s="3" t="str">
        <f>_xlfn.XLOOKUP(B53,'BASE DE EXCEL'!$C:$C,'BASE DE EXCEL'!S:S,"NO HAY REFERENCIA")</f>
        <v>4 a 5 días</v>
      </c>
      <c r="CZ53" s="3" t="str">
        <f>_xlfn.XLOOKUP(B53,'BASE DE EXCEL'!$C:$C,'BASE DE EXCEL'!T:T,"NO HAY REFERENCIA")</f>
        <v>On Time</v>
      </c>
      <c r="DA53" s="3">
        <f>_xlfn.XLOOKUP(B53,'BASE DE EXCEL'!$C:$C,'BASE DE EXCEL'!U:U,"NO HAY REFERENCIA")</f>
        <v>6</v>
      </c>
      <c r="DB53" s="3" t="str">
        <f>_xlfn.XLOOKUP(B53,'BASE DE EXCEL'!$C:$C,'BASE DE EXCEL'!V:V,"NO HAY REFERENCIA")</f>
        <v>4 a 5 días</v>
      </c>
      <c r="DC53" s="3">
        <f>_xlfn.XLOOKUP(B53,'BASE DE EXCEL'!$C:$C,'BASE DE EXCEL'!W:W,"NO HAY REFERENCIA")</f>
        <v>9</v>
      </c>
      <c r="DD53" s="3" t="str">
        <f>_xlfn.XLOOKUP(B53,'BASE DE EXCEL'!$C:$C,'BASE DE EXCEL'!X:X,"NO HAY REFERENCIA")</f>
        <v>6 a 10 días</v>
      </c>
      <c r="DE53" s="3">
        <f>_xlfn.XLOOKUP(B53,'BASE DE EXCEL'!$C:$C,'BASE DE EXCEL'!Y:Y,"NO HAY REFERENCIA")</f>
        <v>1</v>
      </c>
      <c r="DF53" s="3" t="str">
        <f>_xlfn.XLOOKUP(B53,'BASE DE EXCEL'!$C:$C,'BASE DE EXCEL'!Z:Z,"NO HAY REFERENCIA")</f>
        <v>1 día o menos</v>
      </c>
      <c r="DG53" s="3">
        <f>_xlfn.XLOOKUP(B53,'BASE DE EXCEL'!$C:$C,'BASE DE EXCEL'!AA:AA,"NO HAY REFERENCIA")</f>
        <v>4</v>
      </c>
      <c r="DH53" s="3">
        <f>_xlfn.XLOOKUP(B53,'BASE DE EXCEL'!$C:$C,'BASE DE EXCEL'!AB:AB,"NO HAY REFERENCIA")</f>
        <v>1</v>
      </c>
      <c r="DI53" s="3" t="str">
        <f>_xlfn.XLOOKUP(B53,'BASE DE EXCEL'!$C:$C,'BASE DE EXCEL'!AC:AC,"NO HAY REFERENCIA")</f>
        <v>1 día o menos</v>
      </c>
      <c r="DJ53" s="4">
        <f>_xlfn.XLOOKUP(B53,'BASE DE EXCEL'!$C:$C,'BASE DE EXCEL'!AD:AD,"NO HAY REFERENCIA")</f>
        <v>46079</v>
      </c>
      <c r="DK53" s="3">
        <f>_xlfn.XLOOKUP(B53,'BASE DE EXCEL'!$C:$C,'BASE DE EXCEL'!AE:AE,"NO HAY REFERENCIA")</f>
        <v>6</v>
      </c>
      <c r="DL53" s="3">
        <f>_xlfn.XLOOKUP(B53,'BASE DE EXCEL'!$C:$C,'BASE DE EXCEL'!AF:AF,"NO HAY REFERENCIA")</f>
        <v>5</v>
      </c>
      <c r="DM53" s="4">
        <f>_xlfn.XLOOKUP(B53,'BASE DE EXCEL'!$C:$C,'BASE DE EXCEL'!AG:AG,"NO HAY REFERENCIA")</f>
        <v>46078</v>
      </c>
      <c r="DN53" s="4">
        <f>_xlfn.XLOOKUP(B53,'BASE DE EXCEL'!$C:$C,'BASE DE EXCEL'!AH:AH,"NO HAY REFERENCIA")</f>
        <v>46079</v>
      </c>
      <c r="DO53" s="3">
        <f>_xlfn.XLOOKUP(B53,'BASE DE EXCEL'!$C:$C,'BASE DE EXCEL'!AI:AI,"NO HAY REFERENCIA")</f>
        <v>1</v>
      </c>
      <c r="DP53" s="4" t="str">
        <f>_xlfn.XLOOKUP(B53,'BASE DE EXCEL'!$C:$C,'BASE DE EXCEL'!AJ:AJ,"NO HAY REFERENCIA")</f>
        <v>6 a 10 días</v>
      </c>
      <c r="DQ53" s="4">
        <f>_xlfn.XLOOKUP(B53,'BASE DE EXCEL'!$C:$C,'BASE DE EXCEL'!AK:AK,"NO HAY REFERENCIA")</f>
        <v>46079</v>
      </c>
      <c r="DR53" s="3">
        <f>_xlfn.XLOOKUP(B53,'BASE DE EXCEL'!$C:$C,'BASE DE EXCEL'!AL:AL,"NO HAY REFERENCIA")</f>
        <v>6</v>
      </c>
      <c r="DS53" s="3" t="str">
        <f>_xlfn.XLOOKUP(B53,'BASE DE EXCEL'!$C:$C,'BASE DE EXCEL'!AM:AM,"NO HAY REFERENCIA")</f>
        <v>6 a 10 días</v>
      </c>
      <c r="DT53" s="3" t="str">
        <f>_xlfn.XLOOKUP(B53,'BASE DE EXCEL'!$C:$C,'BASE DE EXCEL'!AN:AN,"NO HAY REFERENCIA")</f>
        <v>On Time</v>
      </c>
      <c r="DU53" s="3">
        <f>_xlfn.XLOOKUP(B53,'BASE DE EXCEL'!$C:$C,'BASE DE EXCEL'!AO:AO,"NO HAY REFERENCIA")</f>
        <v>1</v>
      </c>
      <c r="DV53" s="3" t="str">
        <f>_xlfn.XLOOKUP(B53,'BASE DE EXCEL'!$C:$C,'BASE DE EXCEL'!AP:AP,"NO HAY REFERENCIA")</f>
        <v>Es anterior</v>
      </c>
      <c r="DW53" s="3" t="str">
        <f>_xlfn.XLOOKUP(B53,'BASE DE EXCEL'!$C:$C,'BASE DE EXCEL'!AQ:AQ,"NO HAY REFERENCIA")</f>
        <v>A1</v>
      </c>
      <c r="DX53" s="3" t="str">
        <f>_xlfn.XLOOKUP(B53,'BASE DE EXCEL'!$C:$C,'BASE DE EXCEL'!AR:AR,"NO HAY REFERENCIA")</f>
        <v>ZULEIMA PEREZ RUIZ</v>
      </c>
      <c r="DY53" s="3" t="str">
        <f>_xlfn.XLOOKUP(B53,'BASE DE EXCEL'!$C:$C,'BASE DE EXCEL'!AS:AS,"NO HAY REFERENCIA")</f>
        <v>HLCURTM260111255</v>
      </c>
      <c r="DZ53" s="3" t="str">
        <f>_xlfn.XLOOKUP(B53,'BASE DE EXCEL'!$C:$C,'BASE DE EXCEL'!AT:AT,"NO HAY REFERENCIA")</f>
        <v>NULL</v>
      </c>
      <c r="EA53" s="3">
        <f>_xlfn.XLOOKUP(B53,'BASE DE EXCEL'!$C:$C,'BASE DE EXCEL'!AU:AU,"NO HAY REFERENCIA")</f>
        <v>6000222</v>
      </c>
      <c r="EB53" s="3" t="str">
        <f>_xlfn.XLOOKUP(B53,'BASE DE EXCEL'!$C:$C,'BASE DE EXCEL'!AV:AV,"NO HAY REFERENCIA")</f>
        <v>Importación</v>
      </c>
      <c r="EC53" s="3" t="str">
        <f>_xlfn.XLOOKUP(B53,'BASE DE EXCEL'!$C:$C,'BASE DE EXCEL'!AW:AW,"NO HAY REFERENCIA")</f>
        <v>NOBIVAC RL (VACUNA  DE USO VETERINARIO)</v>
      </c>
      <c r="ED53" s="3" t="str">
        <f>_xlfn.XLOOKUP(B53,'BASE DE EXCEL'!$C:$C,'BASE DE EXCEL'!AX:AX,"NO HAY REFERENCIA")</f>
        <v>SIN CLASIFICACION</v>
      </c>
      <c r="EE53" s="3">
        <f>_xlfn.XLOOKUP(B53,'BASE DE EXCEL'!$C:$C,'BASE DE EXCEL'!AY:AY,"NO HAY REFERENCIA")</f>
        <v>0</v>
      </c>
      <c r="EF53" s="3" t="str">
        <f>_xlfn.XLOOKUP(B53,'BASE DE EXCEL'!$C:$C,'BASE DE EXCEL'!AZ:AZ,"NO HAY REFERENCIA")</f>
        <v>Cargas de Importación</v>
      </c>
      <c r="EG53" s="3" t="str">
        <f>_xlfn.XLOOKUP(B53,'BASE DE EXCEL'!$C:$C,'BASE DE EXCEL'!BA:BA,"NO HAY REFERENCIA")</f>
        <v>INTERVET MEXICO SA DE CV</v>
      </c>
      <c r="EH53" s="3">
        <f>_xlfn.XLOOKUP(B53,'BASE DE EXCEL'!$C:$C,'BASE DE EXCEL'!BB:BB,"NO HAY REFERENCIA")</f>
        <v>0</v>
      </c>
      <c r="EI53" s="3" t="str">
        <f>_xlfn.XLOOKUP(B53,'BASE DE EXCEL'!$C:$C,'BASE DE EXCEL'!BC:BC,"NO HAY REFERENCIA")</f>
        <v>NINGUNO</v>
      </c>
      <c r="EJ53" s="3">
        <f>_xlfn.XLOOKUP(B53,'BASE DE EXCEL'!$C:$C,'BASE DE EXCEL'!BD:BD,"NO HAY REFERENCIA")</f>
        <v>0</v>
      </c>
      <c r="EK53" s="3" t="str">
        <f>_xlfn.XLOOKUP(B53,'BASE DE EXCEL'!$C:$C,'BASE DE EXCEL'!BE:BE,"NO HAY REFERENCIA")</f>
        <v>NINGUNO</v>
      </c>
      <c r="EL53" s="3" t="str">
        <f>_xlfn.XLOOKUP(B53,'BASE DE EXCEL'!$C:$C,'BASE DE EXCEL'!BF:BF,"NO HAY REFERENCIA")</f>
        <v>PRODUCTO TERMINADO</v>
      </c>
      <c r="EM53" s="3" t="str">
        <f>_xlfn.XLOOKUP(B53,'BASE DE EXCEL'!$C:$C,'BASE DE EXCEL'!BG:BG,"NO HAY REFERENCIA")</f>
        <v>Verde</v>
      </c>
      <c r="EN53" s="3" t="str">
        <f>_xlfn.XLOOKUP(B53,'BASE DE EXCEL'!$C:$C,'BASE DE EXCEL'!BH:BH,"NO HAY REFERENCIA")</f>
        <v xml:space="preserve"> SUPER EXPRESS DE CARGA FEDERAL S.A. DE C.V.</v>
      </c>
      <c r="EO53" s="3">
        <f>_xlfn.XLOOKUP(B53,'BASE DE EXCEL'!$C:$C,'BASE DE EXCEL'!BI:BI,"NO HAY REFERENCIA")</f>
        <v>0</v>
      </c>
      <c r="EP53" s="3" t="str">
        <f>_xlfn.XLOOKUP(B53,'BASE DE EXCEL'!$C:$C,'BASE DE EXCEL'!BJ:BJ,"NO HAY REFERENCIA")</f>
        <v>IME-T001</v>
      </c>
      <c r="EQ53" s="3" t="str">
        <f>_xlfn.XLOOKUP(B53,'BASE DE EXCEL'!$C:$C,'BASE DE EXCEL'!BK:BK,"NO HAY REFERENCIA")</f>
        <v>IME850329RH2</v>
      </c>
      <c r="ER53" s="3">
        <f>_xlfn.XLOOKUP(B53,'BASE DE EXCEL'!$C:$C,'BASE DE EXCEL'!BL:BL,"NO HAY REFERENCIA")</f>
        <v>0</v>
      </c>
      <c r="ES53" s="3">
        <f>_xlfn.XLOOKUP(B53,'BASE DE EXCEL'!$C:$C,'BASE DE EXCEL'!BM:BM,"NO HAY REFERENCIA")</f>
        <v>99</v>
      </c>
      <c r="ET53" s="3" t="str">
        <f>_xlfn.XLOOKUP(B53,'BASE DE EXCEL'!$C:$C,'BASE DE EXCEL'!BN:BN,"NO HAY REFERENCIA")</f>
        <v>LOTE: A312A01,LOTE: A848C01,LOTE: 1E072A01,LOTE: 1E067A01,LOTE: A267B01,LOTE: A488F01,LOTE: SCBA192A13</v>
      </c>
      <c r="EU53" s="3">
        <f>_xlfn.XLOOKUP(B53,'BASE DE EXCEL'!$C:$C,'BASE DE EXCEL'!BO:BO,"NO HAY REFERENCIA")</f>
        <v>90</v>
      </c>
      <c r="EV53" s="3" t="str">
        <f>_xlfn.XLOOKUP(B53,'BASE DE EXCEL'!$C:$C,'BASE DE EXCEL'!BP:BP,"NO HAY REFERENCIA")</f>
        <v xml:space="preserve"> 14669835.04, 1461293.60, 268461.44</v>
      </c>
      <c r="EW53" s="3" t="str">
        <f>_xlfn.XLOOKUP(B53,'BASE DE EXCEL'!$C:$C,'BASE DE EXCEL'!BQ:BQ,"NO HAY REFERENCIA")</f>
        <v>KILO,KILO,KILO,KILO,KILO,KILO,KILO</v>
      </c>
      <c r="EX53" s="3">
        <f>_xlfn.XLOOKUP(B53,'BASE DE EXCEL'!$C:$C,'BASE DE EXCEL'!BR:BR,"NO HAY REFERENCIA")</f>
        <v>0</v>
      </c>
      <c r="EY53" s="3" t="str">
        <f>_xlfn.XLOOKUP(B53,'BASE DE EXCEL'!$C:$C,'BASE DE EXCEL'!BS:BS,"NO HAY REFERENCIA")</f>
        <v>PAISES BAJOS (REINO DE LOS) (HOLANDA)</v>
      </c>
      <c r="EZ53" s="3" t="str">
        <f>_xlfn.XLOOKUP(B53,'BASE DE EXCEL'!$C:$C,'BASE DE EXCEL'!BT:BT,"NO HAY REFERENCIA")</f>
        <v>PAISES BAJOS (REINO DE LOS) (HOLANDA)</v>
      </c>
      <c r="FA53" s="3" t="str">
        <f>_xlfn.XLOOKUP(B53,'BASE DE EXCEL'!$C:$C,'BASE DE EXCEL'!BU:BU,"NO HAY REFERENCIA")</f>
        <v>ZYA</v>
      </c>
      <c r="FB53" s="3" t="str">
        <f>_xlfn.XLOOKUP(B53,'BASE DE EXCEL'!$C:$C,'BASE DE EXCEL'!BV:BV,"NO HAY REFERENCIA")</f>
        <v>ZYA</v>
      </c>
      <c r="FC53" s="3">
        <f>_xlfn.XLOOKUP(B53,QUERY!$C:$C,QUERY!D:D)</f>
        <v>430</v>
      </c>
      <c r="FD53" s="4">
        <f>_xlfn.XLOOKUP(B53,QUERY!$C:$C,QUERY!E:E)</f>
        <v>46070</v>
      </c>
      <c r="FE53" s="3">
        <f>_xlfn.XLOOKUP(B53,QUERY!$C:$C,QUERY!F:F)</f>
        <v>2</v>
      </c>
      <c r="FF53" s="4">
        <f>_xlfn.XLOOKUP(B53,QUERY!$C:$C,QUERY!G:G)</f>
        <v>46066</v>
      </c>
      <c r="FG53" s="4">
        <f>_xlfn.XLOOKUP(B53,QUERY!$C:$C,QUERY!H:H)</f>
        <v>46070</v>
      </c>
      <c r="FH53" s="3">
        <f>_xlfn.XLOOKUP(B53,QUERY!$C:$C,QUERY!I:I)</f>
        <v>2</v>
      </c>
      <c r="FI53" s="3" t="str">
        <f>_xlfn.XLOOKUP(B53,QUERY!$C:$C,QUERY!J:J)</f>
        <v>2 a 3 días</v>
      </c>
      <c r="FJ53" s="4">
        <f>_xlfn.XLOOKUP(B53,QUERY!$C:$C,QUERY!K:K)</f>
        <v>46071</v>
      </c>
      <c r="FK53" s="3">
        <f>_xlfn.XLOOKUP(B53,QUERY!$C:$C,QUERY!L:L)</f>
        <v>3</v>
      </c>
      <c r="FL53" s="3" t="str">
        <f>_xlfn.XLOOKUP(B53,QUERY!$C:$C,QUERY!M:M)</f>
        <v>2 a 3 días</v>
      </c>
      <c r="FM53" s="3">
        <f>_xlfn.XLOOKUP(B53,QUERY!$C:$C,QUERY!N:N)</f>
        <v>1</v>
      </c>
      <c r="FN53" s="3" t="str">
        <f>_xlfn.XLOOKUP(B53,QUERY!$C:$C,QUERY!O:O)</f>
        <v>1 día o menos</v>
      </c>
      <c r="FO53" s="3">
        <f>_xlfn.XLOOKUP(B53,QUERY!$C:$C,QUERY!P:P)</f>
        <v>1</v>
      </c>
      <c r="FP53" s="3">
        <f>_xlfn.XLOOKUP(B53,QUERY!$C:$C,QUERY!Q:Q)</f>
        <v>1</v>
      </c>
      <c r="FQ53" s="3" t="str">
        <f>_xlfn.XLOOKUP(B53,QUERY!$C:$C,QUERY!R:R)</f>
        <v>1 día o menos</v>
      </c>
      <c r="FR53" s="4">
        <f>_xlfn.XLOOKUP(B53,QUERY!$C:$C,QUERY!S:S)</f>
        <v>46072</v>
      </c>
      <c r="FS53" s="3">
        <f>_xlfn.XLOOKUP(B53,QUERY!$C:$C,QUERY!T:T)</f>
        <v>4</v>
      </c>
      <c r="FT53" s="3" t="str">
        <f>_xlfn.XLOOKUP(B53,QUERY!$C:$C,QUERY!U:U)</f>
        <v>4 a 5 días</v>
      </c>
      <c r="FU53" s="3">
        <f>_xlfn.XLOOKUP(B53,QUERY!$C:$C,QUERY!V:V)</f>
        <v>9</v>
      </c>
      <c r="FV53" s="3" t="str">
        <f>_xlfn.XLOOKUP(B53,QUERY!$C:$C,QUERY!W:W)</f>
        <v>6 a 10 días</v>
      </c>
      <c r="FW53" s="4">
        <f>_xlfn.XLOOKUP(B53,QUERY!$C:$C,QUERY!X:X)</f>
        <v>46079</v>
      </c>
      <c r="FX53" s="3">
        <f>_xlfn.XLOOKUP(B53,QUERY!$C:$C,QUERY!Y:Y)</f>
        <v>4</v>
      </c>
      <c r="FY53" s="3">
        <f>_xlfn.XLOOKUP(B53,QUERY!$C:$C,QUERY!Z:Z)</f>
        <v>5</v>
      </c>
      <c r="FZ53" s="4" t="str">
        <f>_xlfn.XLOOKUP(B53,QUERY!$C:$C,QUERY!AA:AA)</f>
        <v>6 a 10 días</v>
      </c>
      <c r="GA53" s="4">
        <f>_xlfn.XLOOKUP(B53,QUERY!$C:$C,QUERY!AB:AB)</f>
        <v>46078</v>
      </c>
      <c r="GB53" s="4">
        <f>_xlfn.XLOOKUP(B53,QUERY!$C:$C,QUERY!AC:AC)</f>
        <v>46079</v>
      </c>
      <c r="GC53" s="3">
        <f>_xlfn.XLOOKUP(B53,QUERY!$C:$C,QUERY!AD:AD)</f>
        <v>1</v>
      </c>
      <c r="GD53" s="4">
        <f>_xlfn.XLOOKUP(B53,QUERY!$C:$C,QUERY!AE:AE)</f>
        <v>46079</v>
      </c>
      <c r="GE53" s="3">
        <f>_xlfn.XLOOKUP(B53,QUERY!$C:$C,QUERY!AF:AF)</f>
        <v>1</v>
      </c>
      <c r="GF53" s="4" t="str">
        <f>_xlfn.XLOOKUP(B53,QUERY!$C:$C,QUERY!AG:AG)</f>
        <v>Es anterior</v>
      </c>
      <c r="GG53" s="3" t="str">
        <f>_xlfn.XLOOKUP(B53,QUERY!$C:$C,QUERY!AH:AH)</f>
        <v>A1</v>
      </c>
      <c r="GH53" s="3" t="str">
        <f>_xlfn.XLOOKUP(B53,QUERY!$C:$C,QUERY!AI:AI)</f>
        <v>ZULEIMA PEREZ RUIZ</v>
      </c>
      <c r="GI53" s="3" t="str">
        <f>_xlfn.XLOOKUP(B53,QUERY!$C:$C,QUERY!AJ:AJ)</f>
        <v>HLCURTM260111255</v>
      </c>
      <c r="GJ53" s="3" t="str">
        <f>_xlfn.XLOOKUP(B53,QUERY!$C:$C,QUERY!AK:AK)</f>
        <v>NULL</v>
      </c>
      <c r="GK53" s="3">
        <f>_xlfn.XLOOKUP(B53,QUERY!$C:$C,QUERY!AL:AL)</f>
        <v>6000222</v>
      </c>
      <c r="GL53" s="3" t="str">
        <f>_xlfn.XLOOKUP(B53,QUERY!$C:$C,QUERY!AM:AM)</f>
        <v>Importación</v>
      </c>
      <c r="GM53" s="3" t="str">
        <f>_xlfn.XLOOKUP(B53,QUERY!$C:$C,QUERY!AN:AN)</f>
        <v>NOBIVAC RL (VACUNA  DE USO VETERINARIO)</v>
      </c>
      <c r="GN53" s="3" t="str">
        <f>_xlfn.XLOOKUP(B53,QUERY!$C:$C,QUERY!AO:AO)</f>
        <v>SIN CLASIFICACION</v>
      </c>
      <c r="GO53" s="3">
        <f>_xlfn.XLOOKUP(B53,QUERY!$C:$C,QUERY!AP:AP)</f>
        <v>0</v>
      </c>
      <c r="GP53" s="3" t="str">
        <f>_xlfn.XLOOKUP(B53,QUERY!$C:$C,QUERY!AQ:AQ)</f>
        <v>Cargas de Importación</v>
      </c>
      <c r="GQ53" s="3" t="str">
        <f>_xlfn.XLOOKUP(B53,QUERY!$C:$C,QUERY!AR:AR)</f>
        <v>INTERVET MEXICO SA DE CV</v>
      </c>
      <c r="GR53" s="3">
        <f>_xlfn.XLOOKUP(B53,QUERY!$C:$C,QUERY!AS:AS)</f>
        <v>0</v>
      </c>
      <c r="GS53" s="3" t="str">
        <f>_xlfn.XLOOKUP(B53,QUERY!$C:$C,QUERY!AT:AT)</f>
        <v>NINGUNO</v>
      </c>
      <c r="GT53" s="3">
        <f>_xlfn.XLOOKUP(B53,QUERY!$C:$C,QUERY!AU:AU)</f>
        <v>0</v>
      </c>
      <c r="GU53" s="3" t="str">
        <f>_xlfn.XLOOKUP(B53,QUERY!$C:$C,QUERY!AV:AV)</f>
        <v>NINGUNO</v>
      </c>
      <c r="GV53" s="3" t="str">
        <f>_xlfn.XLOOKUP(B53,QUERY!$C:$C,QUERY!AW:AW)</f>
        <v>PRODUCTO TERMINADO</v>
      </c>
      <c r="GW53" s="3" t="str">
        <f>_xlfn.XLOOKUP(B53,QUERY!$C:$C,QUERY!AX:AX)</f>
        <v>Verde</v>
      </c>
      <c r="GX53" s="3" t="str">
        <f>_xlfn.XLOOKUP(B53,QUERY!$C:$C,QUERY!AY:AY)</f>
        <v xml:space="preserve"> SUPER EXPRESS DE CARGA FEDERAL S.A. DE C.V.</v>
      </c>
      <c r="GY53" s="3">
        <f>_xlfn.XLOOKUP(B53,QUERY!$C:$C,QUERY!AZ:AZ)</f>
        <v>0</v>
      </c>
      <c r="GZ53" s="3" t="str">
        <f>_xlfn.XLOOKUP(B53,QUERY!$C:$C,QUERY!BA:BA)</f>
        <v>IME-T001</v>
      </c>
      <c r="HA53" s="3" t="str">
        <f>_xlfn.XLOOKUP(B53,QUERY!$C:$C,QUERY!BB:BB)</f>
        <v>IME850329RH2</v>
      </c>
      <c r="HB53" s="3">
        <f>_xlfn.XLOOKUP(B53,QUERY!$C:$C,QUERY!BC:BC)</f>
        <v>0</v>
      </c>
      <c r="HC53" s="3">
        <f>_xlfn.XLOOKUP(B53,QUERY!$C:$C,QUERY!BD:BD)</f>
        <v>99</v>
      </c>
      <c r="HD53" s="3" t="str">
        <f>_xlfn.XLOOKUP(B53,QUERY!$C:$C,QUERY!BE:BE)</f>
        <v>LOTE: A312A01,LOTE: A848C01,LOTE: 1E072A01,LOTE: 1E067A01,LOTE: A267B01,LOTE: A488F01,LOTE: SCBA192A13</v>
      </c>
      <c r="HE53" s="3">
        <f>_xlfn.XLOOKUP(B53,QUERY!$C:$C,QUERY!BF:BF)</f>
        <v>90</v>
      </c>
      <c r="HF53" s="3" t="str">
        <f>_xlfn.XLOOKUP(B53,QUERY!$C:$C,QUERY!BG:BG)</f>
        <v xml:space="preserve"> 14669835.04, 1461293.60, 268461.44</v>
      </c>
      <c r="HG53" s="3" t="str">
        <f>_xlfn.XLOOKUP(B53,QUERY!$C:$C,QUERY!BH:BH)</f>
        <v>KILO,KILO,KILO,KILO,KILO,KILO,KILO</v>
      </c>
      <c r="HH53" s="3">
        <f>_xlfn.XLOOKUP(B53,QUERY!$C:$C,QUERY!BI:BI)</f>
        <v>0</v>
      </c>
      <c r="HI53" s="3" t="str">
        <f>_xlfn.XLOOKUP(B53,QUERY!$C:$C,QUERY!BJ:BJ)</f>
        <v>PAISES BAJOS (REINO DE LOS) (HOLANDA)</v>
      </c>
      <c r="HJ53" s="3" t="str">
        <f>_xlfn.XLOOKUP(B53,QUERY!$C:$C,QUERY!BK:BK)</f>
        <v>PAISES BAJOS (REINO DE LOS) (HOLANDA)</v>
      </c>
      <c r="HK53" s="3" t="str">
        <f>_xlfn.XLOOKUP(B53,QUERY!$C:$C,QUERY!BL:BL)</f>
        <v>ZYA</v>
      </c>
      <c r="HL53" s="3" t="str">
        <f>_xlfn.XLOOKUP(B53,QUERY!$C:$C,QUERY!BM:BM)</f>
        <v>ZYA</v>
      </c>
      <c r="HM53" s="3">
        <f>_xlfn.XLOOKUP(B53,QUERY!$C:$C,QUERY!BN:BN)</f>
        <v>16399589</v>
      </c>
      <c r="HN53" s="3" t="str">
        <f>_xlfn.XLOOKUP(B53,QUERY!$C:$C,QUERY!BO:BO)</f>
        <v>462.00</v>
      </c>
      <c r="HO53" s="3" t="str">
        <f>_xlfn.XLOOKUP(B53,QUERY!$C:$C,QUERY!BP:BP)</f>
        <v>NULL</v>
      </c>
      <c r="HP53" s="3" t="str">
        <f>_xlfn.XLOOKUP(B53,QUERY!$C:$C,QUERY!BQ:BQ)</f>
        <v>NULL</v>
      </c>
      <c r="HQ53" s="3" t="str">
        <f>_xlfn.XLOOKUP(B53,QUERY!$C:$C,QUERY!BR:BR)</f>
        <v>218071.21</v>
      </c>
      <c r="HR53" s="3">
        <f>_xlfn.XLOOKUP(B53,QUERY!$C:$C,QUERY!BS:BS)</f>
        <v>0</v>
      </c>
      <c r="HS53" s="3">
        <f>_xlfn.XLOOKUP(B53,QUERY!$C:$C,QUERY!BT:BT)</f>
        <v>0</v>
      </c>
      <c r="HT53" s="3" t="str">
        <f>_xlfn.XLOOKUP(B53,QUERY!$C:$C,QUERY!A:A)</f>
        <v>VERACRUZ</v>
      </c>
      <c r="HU53" s="3" t="str">
        <f>_xlfn.XLOOKUP(B53,QUERY!$C:$C,QUERY!B:B)</f>
        <v>MARÍTIMO VERACRUZ</v>
      </c>
    </row>
    <row r="54" spans="1:229" x14ac:dyDescent="0.25">
      <c r="A54" s="3" t="s">
        <v>90</v>
      </c>
      <c r="B54" s="15" t="s">
        <v>209</v>
      </c>
      <c r="C54" s="3">
        <v>3942</v>
      </c>
      <c r="D54" s="3">
        <v>6000222</v>
      </c>
      <c r="E54" s="3"/>
      <c r="F54" s="3" t="s">
        <v>92</v>
      </c>
      <c r="G54" s="3" t="s">
        <v>93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430</v>
      </c>
      <c r="S54" s="3" t="s">
        <v>210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 t="s">
        <v>218</v>
      </c>
      <c r="AB54" s="3"/>
      <c r="AC54" s="3">
        <v>1461294</v>
      </c>
      <c r="AD54" s="3">
        <v>1029.0802799999999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/>
      <c r="AP54" s="3" t="s">
        <v>98</v>
      </c>
      <c r="AQ54" s="3">
        <v>210363199</v>
      </c>
      <c r="AR54" s="3" t="s">
        <v>99</v>
      </c>
      <c r="AS54" s="3" t="s">
        <v>100</v>
      </c>
      <c r="AT54" s="3">
        <v>0</v>
      </c>
      <c r="AU54" s="3">
        <v>0</v>
      </c>
      <c r="AV54" s="3">
        <v>0</v>
      </c>
      <c r="AW54" s="3">
        <v>30024201</v>
      </c>
      <c r="AX54" s="3">
        <v>99</v>
      </c>
      <c r="AY54" s="3">
        <v>1420</v>
      </c>
      <c r="AZ54" s="3">
        <v>1420</v>
      </c>
      <c r="BA54" s="3" t="s">
        <v>103</v>
      </c>
      <c r="BB54" s="3"/>
      <c r="BC54" s="3" t="s">
        <v>105</v>
      </c>
      <c r="BD54" s="3" t="s">
        <v>105</v>
      </c>
      <c r="BE54" s="3"/>
      <c r="BF54" s="3"/>
      <c r="BG54" s="5"/>
      <c r="BH54" s="3"/>
      <c r="BI54" s="3"/>
      <c r="BJ54" s="3"/>
      <c r="BK54" s="3" t="s">
        <v>219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 t="s">
        <v>192</v>
      </c>
      <c r="CF54" s="3">
        <v>0</v>
      </c>
      <c r="CG54" s="3">
        <v>0</v>
      </c>
      <c r="CH54" s="3">
        <v>0</v>
      </c>
      <c r="CI54" s="3" t="s">
        <v>112</v>
      </c>
      <c r="CJ54" s="3" t="s">
        <v>112</v>
      </c>
      <c r="CK54" s="3">
        <f>_xlfn.XLOOKUP($B$2,'BASE DE EXCEL'!C:C,'BASE DE EXCEL'!D:D,"NO HAY REFERENCIA")</f>
        <v>470</v>
      </c>
      <c r="CL54" s="5">
        <f>_xlfn.XLOOKUP($B$2,'BASE DE EXCEL'!$C:$C,'BASE DE EXCEL'!F:F,"NO HAY REFERENCIA")</f>
        <v>3</v>
      </c>
      <c r="CM54" s="4">
        <f>_xlfn.XLOOKUP($B$2,'BASE DE EXCEL'!$C:$C,'BASE DE EXCEL'!G:G,"NO HAY REFERENCIA")</f>
        <v>46080</v>
      </c>
      <c r="CN54" s="4">
        <f>_xlfn.XLOOKUP($B$2,'BASE DE EXCEL'!$C:$C,'BASE DE EXCEL'!H:H,"NO HAY REFERENCIA")</f>
        <v>46086</v>
      </c>
      <c r="CO54" s="3">
        <f>_xlfn.XLOOKUP($B$2,'BASE DE EXCEL'!$C:$C,'BASE DE EXCEL'!I:I,"NO HAY REFERENCIA")</f>
        <v>4</v>
      </c>
      <c r="CP54" s="3" t="str">
        <f>_xlfn.XLOOKUP($B$2,'BASE DE EXCEL'!$C:$C,'BASE DE EXCEL'!J:J,"NO HAY REFERENCIA")</f>
        <v>4 a 5 días</v>
      </c>
      <c r="CQ54" s="4">
        <f>_xlfn.XLOOKUP($B$2,'BASE DE EXCEL'!$C:$C,'BASE DE EXCEL'!K:K,"NO HAY REFERENCIA")</f>
        <v>46087</v>
      </c>
      <c r="CR54" s="3">
        <f>_xlfn.XLOOKUP($B$2,'BASE DE EXCEL'!$C:$C,'BASE DE EXCEL'!L:L,"NO HAY REFERENCIA")</f>
        <v>5</v>
      </c>
      <c r="CS54" s="3">
        <f>_xlfn.XLOOKUP($B$2,'BASE DE EXCEL'!$C:$C,'BASE DE EXCEL'!M:M,"NO HAY REFERENCIA")</f>
        <v>6</v>
      </c>
      <c r="CT54" s="3" t="str">
        <f>_xlfn.XLOOKUP($B$2,'BASE DE EXCEL'!$C:$C,'BASE DE EXCEL'!N:N,"NO HAY REFERENCIA")</f>
        <v>6 a 10 días</v>
      </c>
      <c r="CU54" s="3" t="str">
        <f>_xlfn.XLOOKUP($B$2,'BASE DE EXCEL'!$C:$C,'BASE DE EXCEL'!O:O,"NO HAY REFERENCIA")</f>
        <v>On Time</v>
      </c>
      <c r="CV54" s="3" t="str">
        <f>_xlfn.XLOOKUP(B54,'BASE DE EXCEL'!$C:$C,'BASE DE EXCEL'!P:P,"NO HAY REFERENCIA")</f>
        <v>4 a 5 días</v>
      </c>
      <c r="CW54" s="4">
        <f>_xlfn.XLOOKUP(B54,'BASE DE EXCEL'!$C:$C,'BASE DE EXCEL'!Q:Q,"NO HAY REFERENCIA")</f>
        <v>46072</v>
      </c>
      <c r="CX54" s="3">
        <f>_xlfn.XLOOKUP(B54,'BASE DE EXCEL'!$C:$C,'BASE DE EXCEL'!R:R,"NO HAY REFERENCIA")</f>
        <v>5</v>
      </c>
      <c r="CY54" s="3" t="str">
        <f>_xlfn.XLOOKUP(B54,'BASE DE EXCEL'!$C:$C,'BASE DE EXCEL'!S:S,"NO HAY REFERENCIA")</f>
        <v>4 a 5 días</v>
      </c>
      <c r="CZ54" s="3" t="str">
        <f>_xlfn.XLOOKUP(B54,'BASE DE EXCEL'!$C:$C,'BASE DE EXCEL'!T:T,"NO HAY REFERENCIA")</f>
        <v>On Time</v>
      </c>
      <c r="DA54" s="3">
        <f>_xlfn.XLOOKUP(B54,'BASE DE EXCEL'!$C:$C,'BASE DE EXCEL'!U:U,"NO HAY REFERENCIA")</f>
        <v>6</v>
      </c>
      <c r="DB54" s="3" t="str">
        <f>_xlfn.XLOOKUP(B54,'BASE DE EXCEL'!$C:$C,'BASE DE EXCEL'!V:V,"NO HAY REFERENCIA")</f>
        <v>4 a 5 días</v>
      </c>
      <c r="DC54" s="3">
        <f>_xlfn.XLOOKUP(B54,'BASE DE EXCEL'!$C:$C,'BASE DE EXCEL'!W:W,"NO HAY REFERENCIA")</f>
        <v>9</v>
      </c>
      <c r="DD54" s="3" t="str">
        <f>_xlfn.XLOOKUP(B54,'BASE DE EXCEL'!$C:$C,'BASE DE EXCEL'!X:X,"NO HAY REFERENCIA")</f>
        <v>6 a 10 días</v>
      </c>
      <c r="DE54" s="3">
        <f>_xlfn.XLOOKUP(B54,'BASE DE EXCEL'!$C:$C,'BASE DE EXCEL'!Y:Y,"NO HAY REFERENCIA")</f>
        <v>1</v>
      </c>
      <c r="DF54" s="3" t="str">
        <f>_xlfn.XLOOKUP(B54,'BASE DE EXCEL'!$C:$C,'BASE DE EXCEL'!Z:Z,"NO HAY REFERENCIA")</f>
        <v>1 día o menos</v>
      </c>
      <c r="DG54" s="3">
        <f>_xlfn.XLOOKUP(B54,'BASE DE EXCEL'!$C:$C,'BASE DE EXCEL'!AA:AA,"NO HAY REFERENCIA")</f>
        <v>4</v>
      </c>
      <c r="DH54" s="3">
        <f>_xlfn.XLOOKUP(B54,'BASE DE EXCEL'!$C:$C,'BASE DE EXCEL'!AB:AB,"NO HAY REFERENCIA")</f>
        <v>1</v>
      </c>
      <c r="DI54" s="3" t="str">
        <f>_xlfn.XLOOKUP(B54,'BASE DE EXCEL'!$C:$C,'BASE DE EXCEL'!AC:AC,"NO HAY REFERENCIA")</f>
        <v>1 día o menos</v>
      </c>
      <c r="DJ54" s="4">
        <f>_xlfn.XLOOKUP(B54,'BASE DE EXCEL'!$C:$C,'BASE DE EXCEL'!AD:AD,"NO HAY REFERENCIA")</f>
        <v>46079</v>
      </c>
      <c r="DK54" s="3">
        <f>_xlfn.XLOOKUP(B54,'BASE DE EXCEL'!$C:$C,'BASE DE EXCEL'!AE:AE,"NO HAY REFERENCIA")</f>
        <v>6</v>
      </c>
      <c r="DL54" s="3">
        <f>_xlfn.XLOOKUP(B54,'BASE DE EXCEL'!$C:$C,'BASE DE EXCEL'!AF:AF,"NO HAY REFERENCIA")</f>
        <v>5</v>
      </c>
      <c r="DM54" s="4">
        <f>_xlfn.XLOOKUP(B54,'BASE DE EXCEL'!$C:$C,'BASE DE EXCEL'!AG:AG,"NO HAY REFERENCIA")</f>
        <v>46078</v>
      </c>
      <c r="DN54" s="4">
        <f>_xlfn.XLOOKUP(B54,'BASE DE EXCEL'!$C:$C,'BASE DE EXCEL'!AH:AH,"NO HAY REFERENCIA")</f>
        <v>46079</v>
      </c>
      <c r="DO54" s="3">
        <f>_xlfn.XLOOKUP(B54,'BASE DE EXCEL'!$C:$C,'BASE DE EXCEL'!AI:AI,"NO HAY REFERENCIA")</f>
        <v>1</v>
      </c>
      <c r="DP54" s="4" t="str">
        <f>_xlfn.XLOOKUP(B54,'BASE DE EXCEL'!$C:$C,'BASE DE EXCEL'!AJ:AJ,"NO HAY REFERENCIA")</f>
        <v>6 a 10 días</v>
      </c>
      <c r="DQ54" s="4">
        <f>_xlfn.XLOOKUP(B54,'BASE DE EXCEL'!$C:$C,'BASE DE EXCEL'!AK:AK,"NO HAY REFERENCIA")</f>
        <v>46079</v>
      </c>
      <c r="DR54" s="3">
        <f>_xlfn.XLOOKUP(B54,'BASE DE EXCEL'!$C:$C,'BASE DE EXCEL'!AL:AL,"NO HAY REFERENCIA")</f>
        <v>6</v>
      </c>
      <c r="DS54" s="3" t="str">
        <f>_xlfn.XLOOKUP(B54,'BASE DE EXCEL'!$C:$C,'BASE DE EXCEL'!AM:AM,"NO HAY REFERENCIA")</f>
        <v>6 a 10 días</v>
      </c>
      <c r="DT54" s="3" t="str">
        <f>_xlfn.XLOOKUP(B54,'BASE DE EXCEL'!$C:$C,'BASE DE EXCEL'!AN:AN,"NO HAY REFERENCIA")</f>
        <v>On Time</v>
      </c>
      <c r="DU54" s="3">
        <f>_xlfn.XLOOKUP(B54,'BASE DE EXCEL'!$C:$C,'BASE DE EXCEL'!AO:AO,"NO HAY REFERENCIA")</f>
        <v>1</v>
      </c>
      <c r="DV54" s="3" t="str">
        <f>_xlfn.XLOOKUP(B54,'BASE DE EXCEL'!$C:$C,'BASE DE EXCEL'!AP:AP,"NO HAY REFERENCIA")</f>
        <v>Es anterior</v>
      </c>
      <c r="DW54" s="3" t="str">
        <f>_xlfn.XLOOKUP(B54,'BASE DE EXCEL'!$C:$C,'BASE DE EXCEL'!AQ:AQ,"NO HAY REFERENCIA")</f>
        <v>A1</v>
      </c>
      <c r="DX54" s="3" t="str">
        <f>_xlfn.XLOOKUP(B54,'BASE DE EXCEL'!$C:$C,'BASE DE EXCEL'!AR:AR,"NO HAY REFERENCIA")</f>
        <v>ZULEIMA PEREZ RUIZ</v>
      </c>
      <c r="DY54" s="3" t="str">
        <f>_xlfn.XLOOKUP(B54,'BASE DE EXCEL'!$C:$C,'BASE DE EXCEL'!AS:AS,"NO HAY REFERENCIA")</f>
        <v>HLCURTM260111255</v>
      </c>
      <c r="DZ54" s="3" t="str">
        <f>_xlfn.XLOOKUP(B54,'BASE DE EXCEL'!$C:$C,'BASE DE EXCEL'!AT:AT,"NO HAY REFERENCIA")</f>
        <v>NULL</v>
      </c>
      <c r="EA54" s="3">
        <f>_xlfn.XLOOKUP(B54,'BASE DE EXCEL'!$C:$C,'BASE DE EXCEL'!AU:AU,"NO HAY REFERENCIA")</f>
        <v>6000222</v>
      </c>
      <c r="EB54" s="3" t="str">
        <f>_xlfn.XLOOKUP(B54,'BASE DE EXCEL'!$C:$C,'BASE DE EXCEL'!AV:AV,"NO HAY REFERENCIA")</f>
        <v>Importación</v>
      </c>
      <c r="EC54" s="3" t="str">
        <f>_xlfn.XLOOKUP(B54,'BASE DE EXCEL'!$C:$C,'BASE DE EXCEL'!AW:AW,"NO HAY REFERENCIA")</f>
        <v>NOBIVAC RL (VACUNA  DE USO VETERINARIO)</v>
      </c>
      <c r="ED54" s="3" t="str">
        <f>_xlfn.XLOOKUP(B54,'BASE DE EXCEL'!$C:$C,'BASE DE EXCEL'!AX:AX,"NO HAY REFERENCIA")</f>
        <v>SIN CLASIFICACION</v>
      </c>
      <c r="EE54" s="3">
        <f>_xlfn.XLOOKUP(B54,'BASE DE EXCEL'!$C:$C,'BASE DE EXCEL'!AY:AY,"NO HAY REFERENCIA")</f>
        <v>0</v>
      </c>
      <c r="EF54" s="3" t="str">
        <f>_xlfn.XLOOKUP(B54,'BASE DE EXCEL'!$C:$C,'BASE DE EXCEL'!AZ:AZ,"NO HAY REFERENCIA")</f>
        <v>Cargas de Importación</v>
      </c>
      <c r="EG54" s="3" t="str">
        <f>_xlfn.XLOOKUP(B54,'BASE DE EXCEL'!$C:$C,'BASE DE EXCEL'!BA:BA,"NO HAY REFERENCIA")</f>
        <v>INTERVET MEXICO SA DE CV</v>
      </c>
      <c r="EH54" s="3">
        <f>_xlfn.XLOOKUP(B54,'BASE DE EXCEL'!$C:$C,'BASE DE EXCEL'!BB:BB,"NO HAY REFERENCIA")</f>
        <v>0</v>
      </c>
      <c r="EI54" s="3" t="str">
        <f>_xlfn.XLOOKUP(B54,'BASE DE EXCEL'!$C:$C,'BASE DE EXCEL'!BC:BC,"NO HAY REFERENCIA")</f>
        <v>NINGUNO</v>
      </c>
      <c r="EJ54" s="3">
        <f>_xlfn.XLOOKUP(B54,'BASE DE EXCEL'!$C:$C,'BASE DE EXCEL'!BD:BD,"NO HAY REFERENCIA")</f>
        <v>0</v>
      </c>
      <c r="EK54" s="3" t="str">
        <f>_xlfn.XLOOKUP(B54,'BASE DE EXCEL'!$C:$C,'BASE DE EXCEL'!BE:BE,"NO HAY REFERENCIA")</f>
        <v>NINGUNO</v>
      </c>
      <c r="EL54" s="3" t="str">
        <f>_xlfn.XLOOKUP(B54,'BASE DE EXCEL'!$C:$C,'BASE DE EXCEL'!BF:BF,"NO HAY REFERENCIA")</f>
        <v>PRODUCTO TERMINADO</v>
      </c>
      <c r="EM54" s="3" t="str">
        <f>_xlfn.XLOOKUP(B54,'BASE DE EXCEL'!$C:$C,'BASE DE EXCEL'!BG:BG,"NO HAY REFERENCIA")</f>
        <v>Verde</v>
      </c>
      <c r="EN54" s="3" t="str">
        <f>_xlfn.XLOOKUP(B54,'BASE DE EXCEL'!$C:$C,'BASE DE EXCEL'!BH:BH,"NO HAY REFERENCIA")</f>
        <v xml:space="preserve"> SUPER EXPRESS DE CARGA FEDERAL S.A. DE C.V.</v>
      </c>
      <c r="EO54" s="3">
        <f>_xlfn.XLOOKUP(B54,'BASE DE EXCEL'!$C:$C,'BASE DE EXCEL'!BI:BI,"NO HAY REFERENCIA")</f>
        <v>0</v>
      </c>
      <c r="EP54" s="3" t="str">
        <f>_xlfn.XLOOKUP(B54,'BASE DE EXCEL'!$C:$C,'BASE DE EXCEL'!BJ:BJ,"NO HAY REFERENCIA")</f>
        <v>IME-T001</v>
      </c>
      <c r="EQ54" s="3" t="str">
        <f>_xlfn.XLOOKUP(B54,'BASE DE EXCEL'!$C:$C,'BASE DE EXCEL'!BK:BK,"NO HAY REFERENCIA")</f>
        <v>IME850329RH2</v>
      </c>
      <c r="ER54" s="3">
        <f>_xlfn.XLOOKUP(B54,'BASE DE EXCEL'!$C:$C,'BASE DE EXCEL'!BL:BL,"NO HAY REFERENCIA")</f>
        <v>0</v>
      </c>
      <c r="ES54" s="3">
        <f>_xlfn.XLOOKUP(B54,'BASE DE EXCEL'!$C:$C,'BASE DE EXCEL'!BM:BM,"NO HAY REFERENCIA")</f>
        <v>99</v>
      </c>
      <c r="ET54" s="3" t="str">
        <f>_xlfn.XLOOKUP(B54,'BASE DE EXCEL'!$C:$C,'BASE DE EXCEL'!BN:BN,"NO HAY REFERENCIA")</f>
        <v>LOTE: A312A01,LOTE: A848C01,LOTE: 1E072A01,LOTE: 1E067A01,LOTE: A267B01,LOTE: A488F01,LOTE: SCBA192A13</v>
      </c>
      <c r="EU54" s="3">
        <f>_xlfn.XLOOKUP(B54,'BASE DE EXCEL'!$C:$C,'BASE DE EXCEL'!BO:BO,"NO HAY REFERENCIA")</f>
        <v>90</v>
      </c>
      <c r="EV54" s="3" t="str">
        <f>_xlfn.XLOOKUP(B54,'BASE DE EXCEL'!$C:$C,'BASE DE EXCEL'!BP:BP,"NO HAY REFERENCIA")</f>
        <v xml:space="preserve"> 14669835.04, 1461293.60, 268461.44</v>
      </c>
      <c r="EW54" s="3" t="str">
        <f>_xlfn.XLOOKUP(B54,'BASE DE EXCEL'!$C:$C,'BASE DE EXCEL'!BQ:BQ,"NO HAY REFERENCIA")</f>
        <v>KILO,KILO,KILO,KILO,KILO,KILO,KILO</v>
      </c>
      <c r="EX54" s="3">
        <f>_xlfn.XLOOKUP(B54,'BASE DE EXCEL'!$C:$C,'BASE DE EXCEL'!BR:BR,"NO HAY REFERENCIA")</f>
        <v>0</v>
      </c>
      <c r="EY54" s="3" t="str">
        <f>_xlfn.XLOOKUP(B54,'BASE DE EXCEL'!$C:$C,'BASE DE EXCEL'!BS:BS,"NO HAY REFERENCIA")</f>
        <v>PAISES BAJOS (REINO DE LOS) (HOLANDA)</v>
      </c>
      <c r="EZ54" s="3" t="str">
        <f>_xlfn.XLOOKUP(B54,'BASE DE EXCEL'!$C:$C,'BASE DE EXCEL'!BT:BT,"NO HAY REFERENCIA")</f>
        <v>PAISES BAJOS (REINO DE LOS) (HOLANDA)</v>
      </c>
      <c r="FA54" s="3" t="str">
        <f>_xlfn.XLOOKUP(B54,'BASE DE EXCEL'!$C:$C,'BASE DE EXCEL'!BU:BU,"NO HAY REFERENCIA")</f>
        <v>ZYA</v>
      </c>
      <c r="FB54" s="3" t="str">
        <f>_xlfn.XLOOKUP(B54,'BASE DE EXCEL'!$C:$C,'BASE DE EXCEL'!BV:BV,"NO HAY REFERENCIA")</f>
        <v>ZYA</v>
      </c>
      <c r="FC54" s="3">
        <f>_xlfn.XLOOKUP(B54,QUERY!$C:$C,QUERY!D:D)</f>
        <v>430</v>
      </c>
      <c r="FD54" s="4">
        <f>_xlfn.XLOOKUP(B54,QUERY!$C:$C,QUERY!E:E)</f>
        <v>46070</v>
      </c>
      <c r="FE54" s="3">
        <f>_xlfn.XLOOKUP(B54,QUERY!$C:$C,QUERY!F:F)</f>
        <v>2</v>
      </c>
      <c r="FF54" s="4">
        <f>_xlfn.XLOOKUP(B54,QUERY!$C:$C,QUERY!G:G)</f>
        <v>46066</v>
      </c>
      <c r="FG54" s="4">
        <f>_xlfn.XLOOKUP(B54,QUERY!$C:$C,QUERY!H:H)</f>
        <v>46070</v>
      </c>
      <c r="FH54" s="3">
        <f>_xlfn.XLOOKUP(B54,QUERY!$C:$C,QUERY!I:I)</f>
        <v>2</v>
      </c>
      <c r="FI54" s="3" t="str">
        <f>_xlfn.XLOOKUP(B54,QUERY!$C:$C,QUERY!J:J)</f>
        <v>2 a 3 días</v>
      </c>
      <c r="FJ54" s="4">
        <f>_xlfn.XLOOKUP(B54,QUERY!$C:$C,QUERY!K:K)</f>
        <v>46071</v>
      </c>
      <c r="FK54" s="3">
        <f>_xlfn.XLOOKUP(B54,QUERY!$C:$C,QUERY!L:L)</f>
        <v>3</v>
      </c>
      <c r="FL54" s="3" t="str">
        <f>_xlfn.XLOOKUP(B54,QUERY!$C:$C,QUERY!M:M)</f>
        <v>2 a 3 días</v>
      </c>
      <c r="FM54" s="3">
        <f>_xlfn.XLOOKUP(B54,QUERY!$C:$C,QUERY!N:N)</f>
        <v>1</v>
      </c>
      <c r="FN54" s="3" t="str">
        <f>_xlfn.XLOOKUP(B54,QUERY!$C:$C,QUERY!O:O)</f>
        <v>1 día o menos</v>
      </c>
      <c r="FO54" s="3">
        <f>_xlfn.XLOOKUP(B54,QUERY!$C:$C,QUERY!P:P)</f>
        <v>1</v>
      </c>
      <c r="FP54" s="3">
        <f>_xlfn.XLOOKUP(B54,QUERY!$C:$C,QUERY!Q:Q)</f>
        <v>1</v>
      </c>
      <c r="FQ54" s="3" t="str">
        <f>_xlfn.XLOOKUP(B54,QUERY!$C:$C,QUERY!R:R)</f>
        <v>1 día o menos</v>
      </c>
      <c r="FR54" s="4">
        <f>_xlfn.XLOOKUP(B54,QUERY!$C:$C,QUERY!S:S)</f>
        <v>46072</v>
      </c>
      <c r="FS54" s="3">
        <f>_xlfn.XLOOKUP(B54,QUERY!$C:$C,QUERY!T:T)</f>
        <v>4</v>
      </c>
      <c r="FT54" s="3" t="str">
        <f>_xlfn.XLOOKUP(B54,QUERY!$C:$C,QUERY!U:U)</f>
        <v>4 a 5 días</v>
      </c>
      <c r="FU54" s="3">
        <f>_xlfn.XLOOKUP(B54,QUERY!$C:$C,QUERY!V:V)</f>
        <v>9</v>
      </c>
      <c r="FV54" s="3" t="str">
        <f>_xlfn.XLOOKUP(B54,QUERY!$C:$C,QUERY!W:W)</f>
        <v>6 a 10 días</v>
      </c>
      <c r="FW54" s="4">
        <f>_xlfn.XLOOKUP(B54,QUERY!$C:$C,QUERY!X:X)</f>
        <v>46079</v>
      </c>
      <c r="FX54" s="3">
        <f>_xlfn.XLOOKUP(B54,QUERY!$C:$C,QUERY!Y:Y)</f>
        <v>4</v>
      </c>
      <c r="FY54" s="3">
        <f>_xlfn.XLOOKUP(B54,QUERY!$C:$C,QUERY!Z:Z)</f>
        <v>5</v>
      </c>
      <c r="FZ54" s="4" t="str">
        <f>_xlfn.XLOOKUP(B54,QUERY!$C:$C,QUERY!AA:AA)</f>
        <v>6 a 10 días</v>
      </c>
      <c r="GA54" s="4">
        <f>_xlfn.XLOOKUP(B54,QUERY!$C:$C,QUERY!AB:AB)</f>
        <v>46078</v>
      </c>
      <c r="GB54" s="4">
        <f>_xlfn.XLOOKUP(B54,QUERY!$C:$C,QUERY!AC:AC)</f>
        <v>46079</v>
      </c>
      <c r="GC54" s="3">
        <f>_xlfn.XLOOKUP(B54,QUERY!$C:$C,QUERY!AD:AD)</f>
        <v>1</v>
      </c>
      <c r="GD54" s="4">
        <f>_xlfn.XLOOKUP(B54,QUERY!$C:$C,QUERY!AE:AE)</f>
        <v>46079</v>
      </c>
      <c r="GE54" s="3">
        <f>_xlfn.XLOOKUP(B54,QUERY!$C:$C,QUERY!AF:AF)</f>
        <v>1</v>
      </c>
      <c r="GF54" s="4" t="str">
        <f>_xlfn.XLOOKUP(B54,QUERY!$C:$C,QUERY!AG:AG)</f>
        <v>Es anterior</v>
      </c>
      <c r="GG54" s="3" t="str">
        <f>_xlfn.XLOOKUP(B54,QUERY!$C:$C,QUERY!AH:AH)</f>
        <v>A1</v>
      </c>
      <c r="GH54" s="3" t="str">
        <f>_xlfn.XLOOKUP(B54,QUERY!$C:$C,QUERY!AI:AI)</f>
        <v>ZULEIMA PEREZ RUIZ</v>
      </c>
      <c r="GI54" s="3" t="str">
        <f>_xlfn.XLOOKUP(B54,QUERY!$C:$C,QUERY!AJ:AJ)</f>
        <v>HLCURTM260111255</v>
      </c>
      <c r="GJ54" s="3" t="str">
        <f>_xlfn.XLOOKUP(B54,QUERY!$C:$C,QUERY!AK:AK)</f>
        <v>NULL</v>
      </c>
      <c r="GK54" s="3">
        <f>_xlfn.XLOOKUP(B54,QUERY!$C:$C,QUERY!AL:AL)</f>
        <v>6000222</v>
      </c>
      <c r="GL54" s="3" t="str">
        <f>_xlfn.XLOOKUP(B54,QUERY!$C:$C,QUERY!AM:AM)</f>
        <v>Importación</v>
      </c>
      <c r="GM54" s="3" t="str">
        <f>_xlfn.XLOOKUP(B54,QUERY!$C:$C,QUERY!AN:AN)</f>
        <v>NOBIVAC RL (VACUNA  DE USO VETERINARIO)</v>
      </c>
      <c r="GN54" s="3" t="str">
        <f>_xlfn.XLOOKUP(B54,QUERY!$C:$C,QUERY!AO:AO)</f>
        <v>SIN CLASIFICACION</v>
      </c>
      <c r="GO54" s="3">
        <f>_xlfn.XLOOKUP(B54,QUERY!$C:$C,QUERY!AP:AP)</f>
        <v>0</v>
      </c>
      <c r="GP54" s="3" t="str">
        <f>_xlfn.XLOOKUP(B54,QUERY!$C:$C,QUERY!AQ:AQ)</f>
        <v>Cargas de Importación</v>
      </c>
      <c r="GQ54" s="3" t="str">
        <f>_xlfn.XLOOKUP(B54,QUERY!$C:$C,QUERY!AR:AR)</f>
        <v>INTERVET MEXICO SA DE CV</v>
      </c>
      <c r="GR54" s="3">
        <f>_xlfn.XLOOKUP(B54,QUERY!$C:$C,QUERY!AS:AS)</f>
        <v>0</v>
      </c>
      <c r="GS54" s="3" t="str">
        <f>_xlfn.XLOOKUP(B54,QUERY!$C:$C,QUERY!AT:AT)</f>
        <v>NINGUNO</v>
      </c>
      <c r="GT54" s="3">
        <f>_xlfn.XLOOKUP(B54,QUERY!$C:$C,QUERY!AU:AU)</f>
        <v>0</v>
      </c>
      <c r="GU54" s="3" t="str">
        <f>_xlfn.XLOOKUP(B54,QUERY!$C:$C,QUERY!AV:AV)</f>
        <v>NINGUNO</v>
      </c>
      <c r="GV54" s="3" t="str">
        <f>_xlfn.XLOOKUP(B54,QUERY!$C:$C,QUERY!AW:AW)</f>
        <v>PRODUCTO TERMINADO</v>
      </c>
      <c r="GW54" s="3" t="str">
        <f>_xlfn.XLOOKUP(B54,QUERY!$C:$C,QUERY!AX:AX)</f>
        <v>Verde</v>
      </c>
      <c r="GX54" s="3" t="str">
        <f>_xlfn.XLOOKUP(B54,QUERY!$C:$C,QUERY!AY:AY)</f>
        <v xml:space="preserve"> SUPER EXPRESS DE CARGA FEDERAL S.A. DE C.V.</v>
      </c>
      <c r="GY54" s="3">
        <f>_xlfn.XLOOKUP(B54,QUERY!$C:$C,QUERY!AZ:AZ)</f>
        <v>0</v>
      </c>
      <c r="GZ54" s="3" t="str">
        <f>_xlfn.XLOOKUP(B54,QUERY!$C:$C,QUERY!BA:BA)</f>
        <v>IME-T001</v>
      </c>
      <c r="HA54" s="3" t="str">
        <f>_xlfn.XLOOKUP(B54,QUERY!$C:$C,QUERY!BB:BB)</f>
        <v>IME850329RH2</v>
      </c>
      <c r="HB54" s="3">
        <f>_xlfn.XLOOKUP(B54,QUERY!$C:$C,QUERY!BC:BC)</f>
        <v>0</v>
      </c>
      <c r="HC54" s="3">
        <f>_xlfn.XLOOKUP(B54,QUERY!$C:$C,QUERY!BD:BD)</f>
        <v>99</v>
      </c>
      <c r="HD54" s="3" t="str">
        <f>_xlfn.XLOOKUP(B54,QUERY!$C:$C,QUERY!BE:BE)</f>
        <v>LOTE: A312A01,LOTE: A848C01,LOTE: 1E072A01,LOTE: 1E067A01,LOTE: A267B01,LOTE: A488F01,LOTE: SCBA192A13</v>
      </c>
      <c r="HE54" s="3">
        <f>_xlfn.XLOOKUP(B54,QUERY!$C:$C,QUERY!BF:BF)</f>
        <v>90</v>
      </c>
      <c r="HF54" s="3" t="str">
        <f>_xlfn.XLOOKUP(B54,QUERY!$C:$C,QUERY!BG:BG)</f>
        <v xml:space="preserve"> 14669835.04, 1461293.60, 268461.44</v>
      </c>
      <c r="HG54" s="3" t="str">
        <f>_xlfn.XLOOKUP(B54,QUERY!$C:$C,QUERY!BH:BH)</f>
        <v>KILO,KILO,KILO,KILO,KILO,KILO,KILO</v>
      </c>
      <c r="HH54" s="3">
        <f>_xlfn.XLOOKUP(B54,QUERY!$C:$C,QUERY!BI:BI)</f>
        <v>0</v>
      </c>
      <c r="HI54" s="3" t="str">
        <f>_xlfn.XLOOKUP(B54,QUERY!$C:$C,QUERY!BJ:BJ)</f>
        <v>PAISES BAJOS (REINO DE LOS) (HOLANDA)</v>
      </c>
      <c r="HJ54" s="3" t="str">
        <f>_xlfn.XLOOKUP(B54,QUERY!$C:$C,QUERY!BK:BK)</f>
        <v>PAISES BAJOS (REINO DE LOS) (HOLANDA)</v>
      </c>
      <c r="HK54" s="3" t="str">
        <f>_xlfn.XLOOKUP(B54,QUERY!$C:$C,QUERY!BL:BL)</f>
        <v>ZYA</v>
      </c>
      <c r="HL54" s="3" t="str">
        <f>_xlfn.XLOOKUP(B54,QUERY!$C:$C,QUERY!BM:BM)</f>
        <v>ZYA</v>
      </c>
      <c r="HM54" s="3">
        <f>_xlfn.XLOOKUP(B54,QUERY!$C:$C,QUERY!BN:BN)</f>
        <v>16399589</v>
      </c>
      <c r="HN54" s="3" t="str">
        <f>_xlfn.XLOOKUP(B54,QUERY!$C:$C,QUERY!BO:BO)</f>
        <v>462.00</v>
      </c>
      <c r="HO54" s="3" t="str">
        <f>_xlfn.XLOOKUP(B54,QUERY!$C:$C,QUERY!BP:BP)</f>
        <v>NULL</v>
      </c>
      <c r="HP54" s="3" t="str">
        <f>_xlfn.XLOOKUP(B54,QUERY!$C:$C,QUERY!BQ:BQ)</f>
        <v>NULL</v>
      </c>
      <c r="HQ54" s="3" t="str">
        <f>_xlfn.XLOOKUP(B54,QUERY!$C:$C,QUERY!BR:BR)</f>
        <v>218071.21</v>
      </c>
      <c r="HR54" s="3">
        <f>_xlfn.XLOOKUP(B54,QUERY!$C:$C,QUERY!BS:BS)</f>
        <v>0</v>
      </c>
      <c r="HS54" s="3">
        <f>_xlfn.XLOOKUP(B54,QUERY!$C:$C,QUERY!BT:BT)</f>
        <v>0</v>
      </c>
      <c r="HT54" s="3" t="str">
        <f>_xlfn.XLOOKUP(B54,QUERY!$C:$C,QUERY!A:A)</f>
        <v>VERACRUZ</v>
      </c>
      <c r="HU54" s="3" t="str">
        <f>_xlfn.XLOOKUP(B54,QUERY!$C:$C,QUERY!B:B)</f>
        <v>MARÍTIMO VERACRUZ</v>
      </c>
    </row>
    <row r="55" spans="1:229" x14ac:dyDescent="0.25">
      <c r="A55" s="3" t="s">
        <v>90</v>
      </c>
      <c r="B55" s="15" t="s">
        <v>209</v>
      </c>
      <c r="C55" s="3">
        <v>3942</v>
      </c>
      <c r="D55" s="3">
        <v>6000222</v>
      </c>
      <c r="E55" s="3"/>
      <c r="F55" s="3" t="s">
        <v>92</v>
      </c>
      <c r="G55" s="3" t="s">
        <v>93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430</v>
      </c>
      <c r="S55" s="3" t="s">
        <v>210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 t="s">
        <v>220</v>
      </c>
      <c r="AB55" s="3"/>
      <c r="AC55" s="3">
        <v>268461</v>
      </c>
      <c r="AD55" s="3">
        <v>645.33893999999998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/>
      <c r="AP55" s="3" t="s">
        <v>98</v>
      </c>
      <c r="AQ55" s="3">
        <v>210362217</v>
      </c>
      <c r="AR55" s="3" t="s">
        <v>99</v>
      </c>
      <c r="AS55" s="3" t="s">
        <v>100</v>
      </c>
      <c r="AT55" s="3">
        <v>0</v>
      </c>
      <c r="AU55" s="3">
        <v>0</v>
      </c>
      <c r="AV55" s="3">
        <v>0</v>
      </c>
      <c r="AW55" s="3">
        <v>30024201</v>
      </c>
      <c r="AX55" s="3">
        <v>99</v>
      </c>
      <c r="AY55" s="3">
        <v>416</v>
      </c>
      <c r="AZ55" s="3">
        <v>416</v>
      </c>
      <c r="BA55" s="3" t="s">
        <v>103</v>
      </c>
      <c r="BB55" s="3"/>
      <c r="BC55" s="3" t="s">
        <v>105</v>
      </c>
      <c r="BD55" s="3" t="s">
        <v>105</v>
      </c>
      <c r="BE55" s="3"/>
      <c r="BF55" s="3"/>
      <c r="BG55" s="5"/>
      <c r="BH55" s="3"/>
      <c r="BI55" s="3"/>
      <c r="BJ55" s="3"/>
      <c r="BK55" s="3" t="s">
        <v>221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 t="s">
        <v>192</v>
      </c>
      <c r="CF55" s="3">
        <v>0</v>
      </c>
      <c r="CG55" s="3">
        <v>0</v>
      </c>
      <c r="CH55" s="3">
        <v>0</v>
      </c>
      <c r="CI55" s="3" t="s">
        <v>112</v>
      </c>
      <c r="CJ55" s="3" t="s">
        <v>112</v>
      </c>
      <c r="CK55" s="3">
        <f>_xlfn.XLOOKUP($B$2,'BASE DE EXCEL'!C:C,'BASE DE EXCEL'!D:D,"NO HAY REFERENCIA")</f>
        <v>470</v>
      </c>
      <c r="CL55" s="5">
        <f>_xlfn.XLOOKUP($B$2,'BASE DE EXCEL'!$C:$C,'BASE DE EXCEL'!F:F,"NO HAY REFERENCIA")</f>
        <v>3</v>
      </c>
      <c r="CM55" s="4">
        <f>_xlfn.XLOOKUP($B$2,'BASE DE EXCEL'!$C:$C,'BASE DE EXCEL'!G:G,"NO HAY REFERENCIA")</f>
        <v>46080</v>
      </c>
      <c r="CN55" s="4">
        <f>_xlfn.XLOOKUP($B$2,'BASE DE EXCEL'!$C:$C,'BASE DE EXCEL'!H:H,"NO HAY REFERENCIA")</f>
        <v>46086</v>
      </c>
      <c r="CO55" s="3">
        <f>_xlfn.XLOOKUP($B$2,'BASE DE EXCEL'!$C:$C,'BASE DE EXCEL'!I:I,"NO HAY REFERENCIA")</f>
        <v>4</v>
      </c>
      <c r="CP55" s="3" t="str">
        <f>_xlfn.XLOOKUP($B$2,'BASE DE EXCEL'!$C:$C,'BASE DE EXCEL'!J:J,"NO HAY REFERENCIA")</f>
        <v>4 a 5 días</v>
      </c>
      <c r="CQ55" s="4">
        <f>_xlfn.XLOOKUP($B$2,'BASE DE EXCEL'!$C:$C,'BASE DE EXCEL'!K:K,"NO HAY REFERENCIA")</f>
        <v>46087</v>
      </c>
      <c r="CR55" s="3">
        <f>_xlfn.XLOOKUP($B$2,'BASE DE EXCEL'!$C:$C,'BASE DE EXCEL'!L:L,"NO HAY REFERENCIA")</f>
        <v>5</v>
      </c>
      <c r="CS55" s="3">
        <f>_xlfn.XLOOKUP($B$2,'BASE DE EXCEL'!$C:$C,'BASE DE EXCEL'!M:M,"NO HAY REFERENCIA")</f>
        <v>6</v>
      </c>
      <c r="CT55" s="3" t="str">
        <f>_xlfn.XLOOKUP($B$2,'BASE DE EXCEL'!$C:$C,'BASE DE EXCEL'!N:N,"NO HAY REFERENCIA")</f>
        <v>6 a 10 días</v>
      </c>
      <c r="CU55" s="3" t="str">
        <f>_xlfn.XLOOKUP($B$2,'BASE DE EXCEL'!$C:$C,'BASE DE EXCEL'!O:O,"NO HAY REFERENCIA")</f>
        <v>On Time</v>
      </c>
      <c r="CV55" s="3" t="str">
        <f>_xlfn.XLOOKUP(B55,'BASE DE EXCEL'!$C:$C,'BASE DE EXCEL'!P:P,"NO HAY REFERENCIA")</f>
        <v>4 a 5 días</v>
      </c>
      <c r="CW55" s="4">
        <f>_xlfn.XLOOKUP(B55,'BASE DE EXCEL'!$C:$C,'BASE DE EXCEL'!Q:Q,"NO HAY REFERENCIA")</f>
        <v>46072</v>
      </c>
      <c r="CX55" s="3">
        <f>_xlfn.XLOOKUP(B55,'BASE DE EXCEL'!$C:$C,'BASE DE EXCEL'!R:R,"NO HAY REFERENCIA")</f>
        <v>5</v>
      </c>
      <c r="CY55" s="3" t="str">
        <f>_xlfn.XLOOKUP(B55,'BASE DE EXCEL'!$C:$C,'BASE DE EXCEL'!S:S,"NO HAY REFERENCIA")</f>
        <v>4 a 5 días</v>
      </c>
      <c r="CZ55" s="3" t="str">
        <f>_xlfn.XLOOKUP(B55,'BASE DE EXCEL'!$C:$C,'BASE DE EXCEL'!T:T,"NO HAY REFERENCIA")</f>
        <v>On Time</v>
      </c>
      <c r="DA55" s="3">
        <f>_xlfn.XLOOKUP(B55,'BASE DE EXCEL'!$C:$C,'BASE DE EXCEL'!U:U,"NO HAY REFERENCIA")</f>
        <v>6</v>
      </c>
      <c r="DB55" s="3" t="str">
        <f>_xlfn.XLOOKUP(B55,'BASE DE EXCEL'!$C:$C,'BASE DE EXCEL'!V:V,"NO HAY REFERENCIA")</f>
        <v>4 a 5 días</v>
      </c>
      <c r="DC55" s="3">
        <f>_xlfn.XLOOKUP(B55,'BASE DE EXCEL'!$C:$C,'BASE DE EXCEL'!W:W,"NO HAY REFERENCIA")</f>
        <v>9</v>
      </c>
      <c r="DD55" s="3" t="str">
        <f>_xlfn.XLOOKUP(B55,'BASE DE EXCEL'!$C:$C,'BASE DE EXCEL'!X:X,"NO HAY REFERENCIA")</f>
        <v>6 a 10 días</v>
      </c>
      <c r="DE55" s="3">
        <f>_xlfn.XLOOKUP(B55,'BASE DE EXCEL'!$C:$C,'BASE DE EXCEL'!Y:Y,"NO HAY REFERENCIA")</f>
        <v>1</v>
      </c>
      <c r="DF55" s="3" t="str">
        <f>_xlfn.XLOOKUP(B55,'BASE DE EXCEL'!$C:$C,'BASE DE EXCEL'!Z:Z,"NO HAY REFERENCIA")</f>
        <v>1 día o menos</v>
      </c>
      <c r="DG55" s="3">
        <f>_xlfn.XLOOKUP(B55,'BASE DE EXCEL'!$C:$C,'BASE DE EXCEL'!AA:AA,"NO HAY REFERENCIA")</f>
        <v>4</v>
      </c>
      <c r="DH55" s="3">
        <f>_xlfn.XLOOKUP(B55,'BASE DE EXCEL'!$C:$C,'BASE DE EXCEL'!AB:AB,"NO HAY REFERENCIA")</f>
        <v>1</v>
      </c>
      <c r="DI55" s="3" t="str">
        <f>_xlfn.XLOOKUP(B55,'BASE DE EXCEL'!$C:$C,'BASE DE EXCEL'!AC:AC,"NO HAY REFERENCIA")</f>
        <v>1 día o menos</v>
      </c>
      <c r="DJ55" s="4">
        <f>_xlfn.XLOOKUP(B55,'BASE DE EXCEL'!$C:$C,'BASE DE EXCEL'!AD:AD,"NO HAY REFERENCIA")</f>
        <v>46079</v>
      </c>
      <c r="DK55" s="3">
        <f>_xlfn.XLOOKUP(B55,'BASE DE EXCEL'!$C:$C,'BASE DE EXCEL'!AE:AE,"NO HAY REFERENCIA")</f>
        <v>6</v>
      </c>
      <c r="DL55" s="3">
        <f>_xlfn.XLOOKUP(B55,'BASE DE EXCEL'!$C:$C,'BASE DE EXCEL'!AF:AF,"NO HAY REFERENCIA")</f>
        <v>5</v>
      </c>
      <c r="DM55" s="4">
        <f>_xlfn.XLOOKUP(B55,'BASE DE EXCEL'!$C:$C,'BASE DE EXCEL'!AG:AG,"NO HAY REFERENCIA")</f>
        <v>46078</v>
      </c>
      <c r="DN55" s="4">
        <f>_xlfn.XLOOKUP(B55,'BASE DE EXCEL'!$C:$C,'BASE DE EXCEL'!AH:AH,"NO HAY REFERENCIA")</f>
        <v>46079</v>
      </c>
      <c r="DO55" s="3">
        <f>_xlfn.XLOOKUP(B55,'BASE DE EXCEL'!$C:$C,'BASE DE EXCEL'!AI:AI,"NO HAY REFERENCIA")</f>
        <v>1</v>
      </c>
      <c r="DP55" s="4" t="str">
        <f>_xlfn.XLOOKUP(B55,'BASE DE EXCEL'!$C:$C,'BASE DE EXCEL'!AJ:AJ,"NO HAY REFERENCIA")</f>
        <v>6 a 10 días</v>
      </c>
      <c r="DQ55" s="4">
        <f>_xlfn.XLOOKUP(B55,'BASE DE EXCEL'!$C:$C,'BASE DE EXCEL'!AK:AK,"NO HAY REFERENCIA")</f>
        <v>46079</v>
      </c>
      <c r="DR55" s="3">
        <f>_xlfn.XLOOKUP(B55,'BASE DE EXCEL'!$C:$C,'BASE DE EXCEL'!AL:AL,"NO HAY REFERENCIA")</f>
        <v>6</v>
      </c>
      <c r="DS55" s="3" t="str">
        <f>_xlfn.XLOOKUP(B55,'BASE DE EXCEL'!$C:$C,'BASE DE EXCEL'!AM:AM,"NO HAY REFERENCIA")</f>
        <v>6 a 10 días</v>
      </c>
      <c r="DT55" s="3" t="str">
        <f>_xlfn.XLOOKUP(B55,'BASE DE EXCEL'!$C:$C,'BASE DE EXCEL'!AN:AN,"NO HAY REFERENCIA")</f>
        <v>On Time</v>
      </c>
      <c r="DU55" s="3">
        <f>_xlfn.XLOOKUP(B55,'BASE DE EXCEL'!$C:$C,'BASE DE EXCEL'!AO:AO,"NO HAY REFERENCIA")</f>
        <v>1</v>
      </c>
      <c r="DV55" s="3" t="str">
        <f>_xlfn.XLOOKUP(B55,'BASE DE EXCEL'!$C:$C,'BASE DE EXCEL'!AP:AP,"NO HAY REFERENCIA")</f>
        <v>Es anterior</v>
      </c>
      <c r="DW55" s="3" t="str">
        <f>_xlfn.XLOOKUP(B55,'BASE DE EXCEL'!$C:$C,'BASE DE EXCEL'!AQ:AQ,"NO HAY REFERENCIA")</f>
        <v>A1</v>
      </c>
      <c r="DX55" s="3" t="str">
        <f>_xlfn.XLOOKUP(B55,'BASE DE EXCEL'!$C:$C,'BASE DE EXCEL'!AR:AR,"NO HAY REFERENCIA")</f>
        <v>ZULEIMA PEREZ RUIZ</v>
      </c>
      <c r="DY55" s="3" t="str">
        <f>_xlfn.XLOOKUP(B55,'BASE DE EXCEL'!$C:$C,'BASE DE EXCEL'!AS:AS,"NO HAY REFERENCIA")</f>
        <v>HLCURTM260111255</v>
      </c>
      <c r="DZ55" s="3" t="str">
        <f>_xlfn.XLOOKUP(B55,'BASE DE EXCEL'!$C:$C,'BASE DE EXCEL'!AT:AT,"NO HAY REFERENCIA")</f>
        <v>NULL</v>
      </c>
      <c r="EA55" s="3">
        <f>_xlfn.XLOOKUP(B55,'BASE DE EXCEL'!$C:$C,'BASE DE EXCEL'!AU:AU,"NO HAY REFERENCIA")</f>
        <v>6000222</v>
      </c>
      <c r="EB55" s="3" t="str">
        <f>_xlfn.XLOOKUP(B55,'BASE DE EXCEL'!$C:$C,'BASE DE EXCEL'!AV:AV,"NO HAY REFERENCIA")</f>
        <v>Importación</v>
      </c>
      <c r="EC55" s="3" t="str">
        <f>_xlfn.XLOOKUP(B55,'BASE DE EXCEL'!$C:$C,'BASE DE EXCEL'!AW:AW,"NO HAY REFERENCIA")</f>
        <v>NOBIVAC RL (VACUNA  DE USO VETERINARIO)</v>
      </c>
      <c r="ED55" s="3" t="str">
        <f>_xlfn.XLOOKUP(B55,'BASE DE EXCEL'!$C:$C,'BASE DE EXCEL'!AX:AX,"NO HAY REFERENCIA")</f>
        <v>SIN CLASIFICACION</v>
      </c>
      <c r="EE55" s="3">
        <f>_xlfn.XLOOKUP(B55,'BASE DE EXCEL'!$C:$C,'BASE DE EXCEL'!AY:AY,"NO HAY REFERENCIA")</f>
        <v>0</v>
      </c>
      <c r="EF55" s="3" t="str">
        <f>_xlfn.XLOOKUP(B55,'BASE DE EXCEL'!$C:$C,'BASE DE EXCEL'!AZ:AZ,"NO HAY REFERENCIA")</f>
        <v>Cargas de Importación</v>
      </c>
      <c r="EG55" s="3" t="str">
        <f>_xlfn.XLOOKUP(B55,'BASE DE EXCEL'!$C:$C,'BASE DE EXCEL'!BA:BA,"NO HAY REFERENCIA")</f>
        <v>INTERVET MEXICO SA DE CV</v>
      </c>
      <c r="EH55" s="3">
        <f>_xlfn.XLOOKUP(B55,'BASE DE EXCEL'!$C:$C,'BASE DE EXCEL'!BB:BB,"NO HAY REFERENCIA")</f>
        <v>0</v>
      </c>
      <c r="EI55" s="3" t="str">
        <f>_xlfn.XLOOKUP(B55,'BASE DE EXCEL'!$C:$C,'BASE DE EXCEL'!BC:BC,"NO HAY REFERENCIA")</f>
        <v>NINGUNO</v>
      </c>
      <c r="EJ55" s="3">
        <f>_xlfn.XLOOKUP(B55,'BASE DE EXCEL'!$C:$C,'BASE DE EXCEL'!BD:BD,"NO HAY REFERENCIA")</f>
        <v>0</v>
      </c>
      <c r="EK55" s="3" t="str">
        <f>_xlfn.XLOOKUP(B55,'BASE DE EXCEL'!$C:$C,'BASE DE EXCEL'!BE:BE,"NO HAY REFERENCIA")</f>
        <v>NINGUNO</v>
      </c>
      <c r="EL55" s="3" t="str">
        <f>_xlfn.XLOOKUP(B55,'BASE DE EXCEL'!$C:$C,'BASE DE EXCEL'!BF:BF,"NO HAY REFERENCIA")</f>
        <v>PRODUCTO TERMINADO</v>
      </c>
      <c r="EM55" s="3" t="str">
        <f>_xlfn.XLOOKUP(B55,'BASE DE EXCEL'!$C:$C,'BASE DE EXCEL'!BG:BG,"NO HAY REFERENCIA")</f>
        <v>Verde</v>
      </c>
      <c r="EN55" s="3" t="str">
        <f>_xlfn.XLOOKUP(B55,'BASE DE EXCEL'!$C:$C,'BASE DE EXCEL'!BH:BH,"NO HAY REFERENCIA")</f>
        <v xml:space="preserve"> SUPER EXPRESS DE CARGA FEDERAL S.A. DE C.V.</v>
      </c>
      <c r="EO55" s="3">
        <f>_xlfn.XLOOKUP(B55,'BASE DE EXCEL'!$C:$C,'BASE DE EXCEL'!BI:BI,"NO HAY REFERENCIA")</f>
        <v>0</v>
      </c>
      <c r="EP55" s="3" t="str">
        <f>_xlfn.XLOOKUP(B55,'BASE DE EXCEL'!$C:$C,'BASE DE EXCEL'!BJ:BJ,"NO HAY REFERENCIA")</f>
        <v>IME-T001</v>
      </c>
      <c r="EQ55" s="3" t="str">
        <f>_xlfn.XLOOKUP(B55,'BASE DE EXCEL'!$C:$C,'BASE DE EXCEL'!BK:BK,"NO HAY REFERENCIA")</f>
        <v>IME850329RH2</v>
      </c>
      <c r="ER55" s="3">
        <f>_xlfn.XLOOKUP(B55,'BASE DE EXCEL'!$C:$C,'BASE DE EXCEL'!BL:BL,"NO HAY REFERENCIA")</f>
        <v>0</v>
      </c>
      <c r="ES55" s="3">
        <f>_xlfn.XLOOKUP(B55,'BASE DE EXCEL'!$C:$C,'BASE DE EXCEL'!BM:BM,"NO HAY REFERENCIA")</f>
        <v>99</v>
      </c>
      <c r="ET55" s="3" t="str">
        <f>_xlfn.XLOOKUP(B55,'BASE DE EXCEL'!$C:$C,'BASE DE EXCEL'!BN:BN,"NO HAY REFERENCIA")</f>
        <v>LOTE: A312A01,LOTE: A848C01,LOTE: 1E072A01,LOTE: 1E067A01,LOTE: A267B01,LOTE: A488F01,LOTE: SCBA192A13</v>
      </c>
      <c r="EU55" s="3">
        <f>_xlfn.XLOOKUP(B55,'BASE DE EXCEL'!$C:$C,'BASE DE EXCEL'!BO:BO,"NO HAY REFERENCIA")</f>
        <v>90</v>
      </c>
      <c r="EV55" s="3" t="str">
        <f>_xlfn.XLOOKUP(B55,'BASE DE EXCEL'!$C:$C,'BASE DE EXCEL'!BP:BP,"NO HAY REFERENCIA")</f>
        <v xml:space="preserve"> 14669835.04, 1461293.60, 268461.44</v>
      </c>
      <c r="EW55" s="3" t="str">
        <f>_xlfn.XLOOKUP(B55,'BASE DE EXCEL'!$C:$C,'BASE DE EXCEL'!BQ:BQ,"NO HAY REFERENCIA")</f>
        <v>KILO,KILO,KILO,KILO,KILO,KILO,KILO</v>
      </c>
      <c r="EX55" s="3">
        <f>_xlfn.XLOOKUP(B55,'BASE DE EXCEL'!$C:$C,'BASE DE EXCEL'!BR:BR,"NO HAY REFERENCIA")</f>
        <v>0</v>
      </c>
      <c r="EY55" s="3" t="str">
        <f>_xlfn.XLOOKUP(B55,'BASE DE EXCEL'!$C:$C,'BASE DE EXCEL'!BS:BS,"NO HAY REFERENCIA")</f>
        <v>PAISES BAJOS (REINO DE LOS) (HOLANDA)</v>
      </c>
      <c r="EZ55" s="3" t="str">
        <f>_xlfn.XLOOKUP(B55,'BASE DE EXCEL'!$C:$C,'BASE DE EXCEL'!BT:BT,"NO HAY REFERENCIA")</f>
        <v>PAISES BAJOS (REINO DE LOS) (HOLANDA)</v>
      </c>
      <c r="FA55" s="3" t="str">
        <f>_xlfn.XLOOKUP(B55,'BASE DE EXCEL'!$C:$C,'BASE DE EXCEL'!BU:BU,"NO HAY REFERENCIA")</f>
        <v>ZYA</v>
      </c>
      <c r="FB55" s="3" t="str">
        <f>_xlfn.XLOOKUP(B55,'BASE DE EXCEL'!$C:$C,'BASE DE EXCEL'!BV:BV,"NO HAY REFERENCIA")</f>
        <v>ZYA</v>
      </c>
      <c r="FC55" s="3">
        <f>_xlfn.XLOOKUP(B55,QUERY!$C:$C,QUERY!D:D)</f>
        <v>430</v>
      </c>
      <c r="FD55" s="4">
        <f>_xlfn.XLOOKUP(B55,QUERY!$C:$C,QUERY!E:E)</f>
        <v>46070</v>
      </c>
      <c r="FE55" s="3">
        <f>_xlfn.XLOOKUP(B55,QUERY!$C:$C,QUERY!F:F)</f>
        <v>2</v>
      </c>
      <c r="FF55" s="4">
        <f>_xlfn.XLOOKUP(B55,QUERY!$C:$C,QUERY!G:G)</f>
        <v>46066</v>
      </c>
      <c r="FG55" s="4">
        <f>_xlfn.XLOOKUP(B55,QUERY!$C:$C,QUERY!H:H)</f>
        <v>46070</v>
      </c>
      <c r="FH55" s="3">
        <f>_xlfn.XLOOKUP(B55,QUERY!$C:$C,QUERY!I:I)</f>
        <v>2</v>
      </c>
      <c r="FI55" s="3" t="str">
        <f>_xlfn.XLOOKUP(B55,QUERY!$C:$C,QUERY!J:J)</f>
        <v>2 a 3 días</v>
      </c>
      <c r="FJ55" s="4">
        <f>_xlfn.XLOOKUP(B55,QUERY!$C:$C,QUERY!K:K)</f>
        <v>46071</v>
      </c>
      <c r="FK55" s="3">
        <f>_xlfn.XLOOKUP(B55,QUERY!$C:$C,QUERY!L:L)</f>
        <v>3</v>
      </c>
      <c r="FL55" s="3" t="str">
        <f>_xlfn.XLOOKUP(B55,QUERY!$C:$C,QUERY!M:M)</f>
        <v>2 a 3 días</v>
      </c>
      <c r="FM55" s="3">
        <f>_xlfn.XLOOKUP(B55,QUERY!$C:$C,QUERY!N:N)</f>
        <v>1</v>
      </c>
      <c r="FN55" s="3" t="str">
        <f>_xlfn.XLOOKUP(B55,QUERY!$C:$C,QUERY!O:O)</f>
        <v>1 día o menos</v>
      </c>
      <c r="FO55" s="3">
        <f>_xlfn.XLOOKUP(B55,QUERY!$C:$C,QUERY!P:P)</f>
        <v>1</v>
      </c>
      <c r="FP55" s="3">
        <f>_xlfn.XLOOKUP(B55,QUERY!$C:$C,QUERY!Q:Q)</f>
        <v>1</v>
      </c>
      <c r="FQ55" s="3" t="str">
        <f>_xlfn.XLOOKUP(B55,QUERY!$C:$C,QUERY!R:R)</f>
        <v>1 día o menos</v>
      </c>
      <c r="FR55" s="4">
        <f>_xlfn.XLOOKUP(B55,QUERY!$C:$C,QUERY!S:S)</f>
        <v>46072</v>
      </c>
      <c r="FS55" s="3">
        <f>_xlfn.XLOOKUP(B55,QUERY!$C:$C,QUERY!T:T)</f>
        <v>4</v>
      </c>
      <c r="FT55" s="3" t="str">
        <f>_xlfn.XLOOKUP(B55,QUERY!$C:$C,QUERY!U:U)</f>
        <v>4 a 5 días</v>
      </c>
      <c r="FU55" s="3">
        <f>_xlfn.XLOOKUP(B55,QUERY!$C:$C,QUERY!V:V)</f>
        <v>9</v>
      </c>
      <c r="FV55" s="3" t="str">
        <f>_xlfn.XLOOKUP(B55,QUERY!$C:$C,QUERY!W:W)</f>
        <v>6 a 10 días</v>
      </c>
      <c r="FW55" s="4">
        <f>_xlfn.XLOOKUP(B55,QUERY!$C:$C,QUERY!X:X)</f>
        <v>46079</v>
      </c>
      <c r="FX55" s="3">
        <f>_xlfn.XLOOKUP(B55,QUERY!$C:$C,QUERY!Y:Y)</f>
        <v>4</v>
      </c>
      <c r="FY55" s="3">
        <f>_xlfn.XLOOKUP(B55,QUERY!$C:$C,QUERY!Z:Z)</f>
        <v>5</v>
      </c>
      <c r="FZ55" s="4" t="str">
        <f>_xlfn.XLOOKUP(B55,QUERY!$C:$C,QUERY!AA:AA)</f>
        <v>6 a 10 días</v>
      </c>
      <c r="GA55" s="4">
        <f>_xlfn.XLOOKUP(B55,QUERY!$C:$C,QUERY!AB:AB)</f>
        <v>46078</v>
      </c>
      <c r="GB55" s="4">
        <f>_xlfn.XLOOKUP(B55,QUERY!$C:$C,QUERY!AC:AC)</f>
        <v>46079</v>
      </c>
      <c r="GC55" s="3">
        <f>_xlfn.XLOOKUP(B55,QUERY!$C:$C,QUERY!AD:AD)</f>
        <v>1</v>
      </c>
      <c r="GD55" s="4">
        <f>_xlfn.XLOOKUP(B55,QUERY!$C:$C,QUERY!AE:AE)</f>
        <v>46079</v>
      </c>
      <c r="GE55" s="3">
        <f>_xlfn.XLOOKUP(B55,QUERY!$C:$C,QUERY!AF:AF)</f>
        <v>1</v>
      </c>
      <c r="GF55" s="4" t="str">
        <f>_xlfn.XLOOKUP(B55,QUERY!$C:$C,QUERY!AG:AG)</f>
        <v>Es anterior</v>
      </c>
      <c r="GG55" s="3" t="str">
        <f>_xlfn.XLOOKUP(B55,QUERY!$C:$C,QUERY!AH:AH)</f>
        <v>A1</v>
      </c>
      <c r="GH55" s="3" t="str">
        <f>_xlfn.XLOOKUP(B55,QUERY!$C:$C,QUERY!AI:AI)</f>
        <v>ZULEIMA PEREZ RUIZ</v>
      </c>
      <c r="GI55" s="3" t="str">
        <f>_xlfn.XLOOKUP(B55,QUERY!$C:$C,QUERY!AJ:AJ)</f>
        <v>HLCURTM260111255</v>
      </c>
      <c r="GJ55" s="3" t="str">
        <f>_xlfn.XLOOKUP(B55,QUERY!$C:$C,QUERY!AK:AK)</f>
        <v>NULL</v>
      </c>
      <c r="GK55" s="3">
        <f>_xlfn.XLOOKUP(B55,QUERY!$C:$C,QUERY!AL:AL)</f>
        <v>6000222</v>
      </c>
      <c r="GL55" s="3" t="str">
        <f>_xlfn.XLOOKUP(B55,QUERY!$C:$C,QUERY!AM:AM)</f>
        <v>Importación</v>
      </c>
      <c r="GM55" s="3" t="str">
        <f>_xlfn.XLOOKUP(B55,QUERY!$C:$C,QUERY!AN:AN)</f>
        <v>NOBIVAC RL (VACUNA  DE USO VETERINARIO)</v>
      </c>
      <c r="GN55" s="3" t="str">
        <f>_xlfn.XLOOKUP(B55,QUERY!$C:$C,QUERY!AO:AO)</f>
        <v>SIN CLASIFICACION</v>
      </c>
      <c r="GO55" s="3">
        <f>_xlfn.XLOOKUP(B55,QUERY!$C:$C,QUERY!AP:AP)</f>
        <v>0</v>
      </c>
      <c r="GP55" s="3" t="str">
        <f>_xlfn.XLOOKUP(B55,QUERY!$C:$C,QUERY!AQ:AQ)</f>
        <v>Cargas de Importación</v>
      </c>
      <c r="GQ55" s="3" t="str">
        <f>_xlfn.XLOOKUP(B55,QUERY!$C:$C,QUERY!AR:AR)</f>
        <v>INTERVET MEXICO SA DE CV</v>
      </c>
      <c r="GR55" s="3">
        <f>_xlfn.XLOOKUP(B55,QUERY!$C:$C,QUERY!AS:AS)</f>
        <v>0</v>
      </c>
      <c r="GS55" s="3" t="str">
        <f>_xlfn.XLOOKUP(B55,QUERY!$C:$C,QUERY!AT:AT)</f>
        <v>NINGUNO</v>
      </c>
      <c r="GT55" s="3">
        <f>_xlfn.XLOOKUP(B55,QUERY!$C:$C,QUERY!AU:AU)</f>
        <v>0</v>
      </c>
      <c r="GU55" s="3" t="str">
        <f>_xlfn.XLOOKUP(B55,QUERY!$C:$C,QUERY!AV:AV)</f>
        <v>NINGUNO</v>
      </c>
      <c r="GV55" s="3" t="str">
        <f>_xlfn.XLOOKUP(B55,QUERY!$C:$C,QUERY!AW:AW)</f>
        <v>PRODUCTO TERMINADO</v>
      </c>
      <c r="GW55" s="3" t="str">
        <f>_xlfn.XLOOKUP(B55,QUERY!$C:$C,QUERY!AX:AX)</f>
        <v>Verde</v>
      </c>
      <c r="GX55" s="3" t="str">
        <f>_xlfn.XLOOKUP(B55,QUERY!$C:$C,QUERY!AY:AY)</f>
        <v xml:space="preserve"> SUPER EXPRESS DE CARGA FEDERAL S.A. DE C.V.</v>
      </c>
      <c r="GY55" s="3">
        <f>_xlfn.XLOOKUP(B55,QUERY!$C:$C,QUERY!AZ:AZ)</f>
        <v>0</v>
      </c>
      <c r="GZ55" s="3" t="str">
        <f>_xlfn.XLOOKUP(B55,QUERY!$C:$C,QUERY!BA:BA)</f>
        <v>IME-T001</v>
      </c>
      <c r="HA55" s="3" t="str">
        <f>_xlfn.XLOOKUP(B55,QUERY!$C:$C,QUERY!BB:BB)</f>
        <v>IME850329RH2</v>
      </c>
      <c r="HB55" s="3">
        <f>_xlfn.XLOOKUP(B55,QUERY!$C:$C,QUERY!BC:BC)</f>
        <v>0</v>
      </c>
      <c r="HC55" s="3">
        <f>_xlfn.XLOOKUP(B55,QUERY!$C:$C,QUERY!BD:BD)</f>
        <v>99</v>
      </c>
      <c r="HD55" s="3" t="str">
        <f>_xlfn.XLOOKUP(B55,QUERY!$C:$C,QUERY!BE:BE)</f>
        <v>LOTE: A312A01,LOTE: A848C01,LOTE: 1E072A01,LOTE: 1E067A01,LOTE: A267B01,LOTE: A488F01,LOTE: SCBA192A13</v>
      </c>
      <c r="HE55" s="3">
        <f>_xlfn.XLOOKUP(B55,QUERY!$C:$C,QUERY!BF:BF)</f>
        <v>90</v>
      </c>
      <c r="HF55" s="3" t="str">
        <f>_xlfn.XLOOKUP(B55,QUERY!$C:$C,QUERY!BG:BG)</f>
        <v xml:space="preserve"> 14669835.04, 1461293.60, 268461.44</v>
      </c>
      <c r="HG55" s="3" t="str">
        <f>_xlfn.XLOOKUP(B55,QUERY!$C:$C,QUERY!BH:BH)</f>
        <v>KILO,KILO,KILO,KILO,KILO,KILO,KILO</v>
      </c>
      <c r="HH55" s="3">
        <f>_xlfn.XLOOKUP(B55,QUERY!$C:$C,QUERY!BI:BI)</f>
        <v>0</v>
      </c>
      <c r="HI55" s="3" t="str">
        <f>_xlfn.XLOOKUP(B55,QUERY!$C:$C,QUERY!BJ:BJ)</f>
        <v>PAISES BAJOS (REINO DE LOS) (HOLANDA)</v>
      </c>
      <c r="HJ55" s="3" t="str">
        <f>_xlfn.XLOOKUP(B55,QUERY!$C:$C,QUERY!BK:BK)</f>
        <v>PAISES BAJOS (REINO DE LOS) (HOLANDA)</v>
      </c>
      <c r="HK55" s="3" t="str">
        <f>_xlfn.XLOOKUP(B55,QUERY!$C:$C,QUERY!BL:BL)</f>
        <v>ZYA</v>
      </c>
      <c r="HL55" s="3" t="str">
        <f>_xlfn.XLOOKUP(B55,QUERY!$C:$C,QUERY!BM:BM)</f>
        <v>ZYA</v>
      </c>
      <c r="HM55" s="3">
        <f>_xlfn.XLOOKUP(B55,QUERY!$C:$C,QUERY!BN:BN)</f>
        <v>16399589</v>
      </c>
      <c r="HN55" s="3" t="str">
        <f>_xlfn.XLOOKUP(B55,QUERY!$C:$C,QUERY!BO:BO)</f>
        <v>462.00</v>
      </c>
      <c r="HO55" s="3" t="str">
        <f>_xlfn.XLOOKUP(B55,QUERY!$C:$C,QUERY!BP:BP)</f>
        <v>NULL</v>
      </c>
      <c r="HP55" s="3" t="str">
        <f>_xlfn.XLOOKUP(B55,QUERY!$C:$C,QUERY!BQ:BQ)</f>
        <v>NULL</v>
      </c>
      <c r="HQ55" s="3" t="str">
        <f>_xlfn.XLOOKUP(B55,QUERY!$C:$C,QUERY!BR:BR)</f>
        <v>218071.21</v>
      </c>
      <c r="HR55" s="3">
        <f>_xlfn.XLOOKUP(B55,QUERY!$C:$C,QUERY!BS:BS)</f>
        <v>0</v>
      </c>
      <c r="HS55" s="3">
        <f>_xlfn.XLOOKUP(B55,QUERY!$C:$C,QUERY!BT:BT)</f>
        <v>0</v>
      </c>
      <c r="HT55" s="3" t="str">
        <f>_xlfn.XLOOKUP(B55,QUERY!$C:$C,QUERY!A:A)</f>
        <v>VERACRUZ</v>
      </c>
      <c r="HU55" s="3" t="str">
        <f>_xlfn.XLOOKUP(B55,QUERY!$C:$C,QUERY!B:B)</f>
        <v>MARÍTIMO VERACRUZ</v>
      </c>
    </row>
    <row r="56" spans="1:229" x14ac:dyDescent="0.25">
      <c r="A56" s="3" t="s">
        <v>90</v>
      </c>
      <c r="B56" s="3" t="s">
        <v>246</v>
      </c>
      <c r="C56" s="3">
        <v>3942</v>
      </c>
      <c r="D56" s="3">
        <v>6000300</v>
      </c>
      <c r="E56" s="3"/>
      <c r="F56" s="3" t="s">
        <v>92</v>
      </c>
      <c r="G56" s="3" t="s">
        <v>93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17.215499999999999</v>
      </c>
      <c r="Q56" s="3">
        <v>306</v>
      </c>
      <c r="R56" s="3">
        <v>430</v>
      </c>
      <c r="S56" s="3"/>
      <c r="T56" s="3" t="s">
        <v>247</v>
      </c>
      <c r="U56" s="3">
        <v>5668365</v>
      </c>
      <c r="V56" s="3">
        <v>5668365</v>
      </c>
      <c r="W56" s="3">
        <v>0</v>
      </c>
      <c r="X56" s="3">
        <v>0</v>
      </c>
      <c r="Y56" s="3">
        <v>0</v>
      </c>
      <c r="Z56" s="3">
        <v>0</v>
      </c>
      <c r="AA56" s="3" t="s">
        <v>167</v>
      </c>
      <c r="AB56" s="3"/>
      <c r="AC56" s="3">
        <v>5668365</v>
      </c>
      <c r="AD56" s="3">
        <v>1265.2600399999999</v>
      </c>
      <c r="AE56" s="3">
        <v>808</v>
      </c>
      <c r="AF56" s="3">
        <v>0</v>
      </c>
      <c r="AG56" s="3">
        <v>0</v>
      </c>
      <c r="AH56" s="3">
        <v>0</v>
      </c>
      <c r="AI56" s="3">
        <v>53</v>
      </c>
      <c r="AJ56" s="3">
        <v>462</v>
      </c>
      <c r="AK56" s="3">
        <v>0</v>
      </c>
      <c r="AL56" s="3">
        <v>0</v>
      </c>
      <c r="AM56" s="3">
        <v>330</v>
      </c>
      <c r="AN56" s="3">
        <v>845</v>
      </c>
      <c r="AO56" s="3" t="s">
        <v>97</v>
      </c>
      <c r="AP56" s="3" t="s">
        <v>98</v>
      </c>
      <c r="AQ56" s="3">
        <v>210363198</v>
      </c>
      <c r="AR56" s="3" t="s">
        <v>99</v>
      </c>
      <c r="AS56" s="3" t="s">
        <v>100</v>
      </c>
      <c r="AT56" s="3" t="s">
        <v>212</v>
      </c>
      <c r="AU56" s="3"/>
      <c r="AV56" s="3" t="s">
        <v>146</v>
      </c>
      <c r="AW56" s="3">
        <v>30024201</v>
      </c>
      <c r="AX56" s="3">
        <v>99</v>
      </c>
      <c r="AY56" s="3">
        <v>4480</v>
      </c>
      <c r="AZ56" s="3">
        <v>4480</v>
      </c>
      <c r="BA56" s="3" t="s">
        <v>103</v>
      </c>
      <c r="BB56" s="3"/>
      <c r="BC56" s="3" t="s">
        <v>105</v>
      </c>
      <c r="BD56" s="3" t="s">
        <v>105</v>
      </c>
      <c r="BE56" s="3" t="s">
        <v>106</v>
      </c>
      <c r="BF56" s="3" t="s">
        <v>107</v>
      </c>
      <c r="BG56" s="5">
        <v>4.3064022026116E+16</v>
      </c>
      <c r="BH56" s="3" t="s">
        <v>108</v>
      </c>
      <c r="BI56" s="3"/>
      <c r="BJ56" s="3" t="s">
        <v>109</v>
      </c>
      <c r="BK56" s="3" t="s">
        <v>215</v>
      </c>
      <c r="BL56" s="3">
        <v>45429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22189.59</v>
      </c>
      <c r="BY56" s="3">
        <v>0</v>
      </c>
      <c r="BZ56" s="3">
        <v>0</v>
      </c>
      <c r="CA56" s="3">
        <v>0</v>
      </c>
      <c r="CB56" s="3">
        <v>8085.99</v>
      </c>
      <c r="CC56" s="3">
        <v>1717.76</v>
      </c>
      <c r="CD56" s="3">
        <v>118950.16</v>
      </c>
      <c r="CE56" s="3" t="s">
        <v>192</v>
      </c>
      <c r="CF56" s="3">
        <v>118950.16</v>
      </c>
      <c r="CG56" s="3">
        <v>0</v>
      </c>
      <c r="CH56" s="3">
        <v>0</v>
      </c>
      <c r="CI56" s="3" t="s">
        <v>112</v>
      </c>
      <c r="CJ56" s="3" t="s">
        <v>112</v>
      </c>
      <c r="CK56" s="3">
        <f>_xlfn.XLOOKUP($B$2,'BASE DE EXCEL'!C:C,'BASE DE EXCEL'!D:D,"NO HAY REFERENCIA")</f>
        <v>470</v>
      </c>
      <c r="CL56" s="5">
        <f>_xlfn.XLOOKUP($B$2,'BASE DE EXCEL'!$C:$C,'BASE DE EXCEL'!F:F,"NO HAY REFERENCIA")</f>
        <v>3</v>
      </c>
      <c r="CM56" s="4">
        <f>_xlfn.XLOOKUP($B$2,'BASE DE EXCEL'!$C:$C,'BASE DE EXCEL'!G:G,"NO HAY REFERENCIA")</f>
        <v>46080</v>
      </c>
      <c r="CN56" s="4">
        <f>_xlfn.XLOOKUP($B$2,'BASE DE EXCEL'!$C:$C,'BASE DE EXCEL'!H:H,"NO HAY REFERENCIA")</f>
        <v>46086</v>
      </c>
      <c r="CO56" s="3">
        <f>_xlfn.XLOOKUP($B$2,'BASE DE EXCEL'!$C:$C,'BASE DE EXCEL'!I:I,"NO HAY REFERENCIA")</f>
        <v>4</v>
      </c>
      <c r="CP56" s="3" t="str">
        <f>_xlfn.XLOOKUP($B$2,'BASE DE EXCEL'!$C:$C,'BASE DE EXCEL'!J:J,"NO HAY REFERENCIA")</f>
        <v>4 a 5 días</v>
      </c>
      <c r="CQ56" s="4">
        <f>_xlfn.XLOOKUP($B$2,'BASE DE EXCEL'!$C:$C,'BASE DE EXCEL'!K:K,"NO HAY REFERENCIA")</f>
        <v>46087</v>
      </c>
      <c r="CR56" s="3">
        <f>_xlfn.XLOOKUP($B$2,'BASE DE EXCEL'!$C:$C,'BASE DE EXCEL'!L:L,"NO HAY REFERENCIA")</f>
        <v>5</v>
      </c>
      <c r="CS56" s="3">
        <f>_xlfn.XLOOKUP($B$2,'BASE DE EXCEL'!$C:$C,'BASE DE EXCEL'!M:M,"NO HAY REFERENCIA")</f>
        <v>6</v>
      </c>
      <c r="CT56" s="3" t="str">
        <f>_xlfn.XLOOKUP($B$2,'BASE DE EXCEL'!$C:$C,'BASE DE EXCEL'!N:N,"NO HAY REFERENCIA")</f>
        <v>6 a 10 días</v>
      </c>
      <c r="CU56" s="3" t="str">
        <f>_xlfn.XLOOKUP($B$2,'BASE DE EXCEL'!$C:$C,'BASE DE EXCEL'!O:O,"NO HAY REFERENCIA")</f>
        <v>On Time</v>
      </c>
      <c r="CV56" s="3" t="str">
        <f>_xlfn.XLOOKUP(B56,'BASE DE EXCEL'!$C:$C,'BASE DE EXCEL'!P:P,"NO HAY REFERENCIA")</f>
        <v>16 o más días</v>
      </c>
      <c r="CW56" s="4">
        <f>_xlfn.XLOOKUP(B56,'BASE DE EXCEL'!$C:$C,'BASE DE EXCEL'!Q:Q,"NO HAY REFERENCIA")</f>
        <v>46129</v>
      </c>
      <c r="CX56" s="3">
        <f>_xlfn.XLOOKUP(B56,'BASE DE EXCEL'!$C:$C,'BASE DE EXCEL'!R:R,"NO HAY REFERENCIA")</f>
        <v>43</v>
      </c>
      <c r="CY56" s="3" t="str">
        <f>_xlfn.XLOOKUP(B56,'BASE DE EXCEL'!$C:$C,'BASE DE EXCEL'!S:S,"NO HAY REFERENCIA")</f>
        <v>más de 16 días</v>
      </c>
      <c r="CZ56" s="3" t="str">
        <f>_xlfn.XLOOKUP(B56,'BASE DE EXCEL'!$C:$C,'BASE DE EXCEL'!T:T,"NO HAY REFERENCIA")</f>
        <v>Delayed</v>
      </c>
      <c r="DA56" s="3">
        <f>_xlfn.XLOOKUP(B56,'BASE DE EXCEL'!$C:$C,'BASE DE EXCEL'!U:U,"NO HAY REFERENCIA")</f>
        <v>63</v>
      </c>
      <c r="DB56" s="3" t="str">
        <f>_xlfn.XLOOKUP(B56,'BASE DE EXCEL'!$C:$C,'BASE DE EXCEL'!V:V,"NO HAY REFERENCIA")</f>
        <v>mas de 16 dias</v>
      </c>
      <c r="DC56" s="3">
        <f>_xlfn.XLOOKUP(B56,'BASE DE EXCEL'!$C:$C,'BASE DE EXCEL'!W:W,"NO HAY REFERENCIA")</f>
        <v>50</v>
      </c>
      <c r="DD56" s="3" t="str">
        <f>_xlfn.XLOOKUP(B56,'BASE DE EXCEL'!$C:$C,'BASE DE EXCEL'!X:X,"NO HAY REFERENCIA")</f>
        <v>más de 16 días</v>
      </c>
      <c r="DE56" s="3">
        <f>_xlfn.XLOOKUP(B56,'BASE DE EXCEL'!$C:$C,'BASE DE EXCEL'!Y:Y,"NO HAY REFERENCIA")</f>
        <v>1</v>
      </c>
      <c r="DF56" s="3" t="str">
        <f>_xlfn.XLOOKUP(B56,'BASE DE EXCEL'!$C:$C,'BASE DE EXCEL'!Z:Z,"NO HAY REFERENCIA")</f>
        <v>1 día o menos</v>
      </c>
      <c r="DG56" s="3">
        <f>_xlfn.XLOOKUP(B56,'BASE DE EXCEL'!$C:$C,'BASE DE EXCEL'!AA:AA,"NO HAY REFERENCIA")</f>
        <v>61</v>
      </c>
      <c r="DH56" s="3">
        <f>_xlfn.XLOOKUP(B56,'BASE DE EXCEL'!$C:$C,'BASE DE EXCEL'!AB:AB,"NO HAY REFERENCIA")</f>
        <v>1</v>
      </c>
      <c r="DI56" s="3" t="str">
        <f>_xlfn.XLOOKUP(B56,'BASE DE EXCEL'!$C:$C,'BASE DE EXCEL'!AC:AC,"NO HAY REFERENCIA")</f>
        <v>1 día o menos</v>
      </c>
      <c r="DJ56" s="4">
        <f>_xlfn.XLOOKUP(B56,'BASE DE EXCEL'!$C:$C,'BASE DE EXCEL'!AD:AD,"NO HAY REFERENCIA")</f>
        <v>46136</v>
      </c>
      <c r="DK56" s="3">
        <f>_xlfn.XLOOKUP(B56,'BASE DE EXCEL'!$C:$C,'BASE DE EXCEL'!AE:AE,"NO HAY REFERENCIA")</f>
        <v>7</v>
      </c>
      <c r="DL56" s="3">
        <f>_xlfn.XLOOKUP(B56,'BASE DE EXCEL'!$C:$C,'BASE DE EXCEL'!AF:AF,"NO HAY REFERENCIA")</f>
        <v>5</v>
      </c>
      <c r="DM56" s="4">
        <f>_xlfn.XLOOKUP(B56,'BASE DE EXCEL'!$C:$C,'BASE DE EXCEL'!AG:AG,"NO HAY REFERENCIA")</f>
        <v>46136</v>
      </c>
      <c r="DN56" s="4">
        <f>_xlfn.XLOOKUP(B56,'BASE DE EXCEL'!$C:$C,'BASE DE EXCEL'!AH:AH,"NO HAY REFERENCIA")</f>
        <v>46136</v>
      </c>
      <c r="DO56" s="3">
        <f>_xlfn.XLOOKUP(B56,'BASE DE EXCEL'!$C:$C,'BASE DE EXCEL'!AI:AI,"NO HAY REFERENCIA")</f>
        <v>0</v>
      </c>
      <c r="DP56" s="4" t="str">
        <f>_xlfn.XLOOKUP(B56,'BASE DE EXCEL'!$C:$C,'BASE DE EXCEL'!AJ:AJ,"NO HAY REFERENCIA")</f>
        <v>6 a 10 días</v>
      </c>
      <c r="DQ56" s="4">
        <f>_xlfn.XLOOKUP(B56,'BASE DE EXCEL'!$C:$C,'BASE DE EXCEL'!AK:AK,"NO HAY REFERENCIA")</f>
        <v>46136</v>
      </c>
      <c r="DR56" s="3">
        <f>_xlfn.XLOOKUP(B56,'BASE DE EXCEL'!$C:$C,'BASE DE EXCEL'!AL:AL,"NO HAY REFERENCIA")</f>
        <v>6</v>
      </c>
      <c r="DS56" s="3" t="str">
        <f>_xlfn.XLOOKUP(B56,'BASE DE EXCEL'!$C:$C,'BASE DE EXCEL'!AM:AM,"NO HAY REFERENCIA")</f>
        <v>6 a 10 días</v>
      </c>
      <c r="DT56" s="3" t="str">
        <f>_xlfn.XLOOKUP(B56,'BASE DE EXCEL'!$C:$C,'BASE DE EXCEL'!AN:AN,"NO HAY REFERENCIA")</f>
        <v>On Time</v>
      </c>
      <c r="DU56" s="3">
        <f>_xlfn.XLOOKUP(B56,'BASE DE EXCEL'!$C:$C,'BASE DE EXCEL'!AO:AO,"NO HAY REFERENCIA")</f>
        <v>1</v>
      </c>
      <c r="DV56" s="3" t="str">
        <f>_xlfn.XLOOKUP(B56,'BASE DE EXCEL'!$C:$C,'BASE DE EXCEL'!AP:AP,"NO HAY REFERENCIA")</f>
        <v>Es anterior</v>
      </c>
      <c r="DW56" s="3" t="str">
        <f>_xlfn.XLOOKUP(B56,'BASE DE EXCEL'!$C:$C,'BASE DE EXCEL'!AQ:AQ,"NO HAY REFERENCIA")</f>
        <v>A1</v>
      </c>
      <c r="DX56" s="3" t="str">
        <f>_xlfn.XLOOKUP(B56,'BASE DE EXCEL'!$C:$C,'BASE DE EXCEL'!AR:AR,"NO HAY REFERENCIA")</f>
        <v>ZULEIMA PEREZ RUIZ</v>
      </c>
      <c r="DY56" s="3" t="str">
        <f>_xlfn.XLOOKUP(B56,'BASE DE EXCEL'!$C:$C,'BASE DE EXCEL'!AS:AS,"NO HAY REFERENCIA")</f>
        <v>HLCURTM260111255</v>
      </c>
      <c r="DZ56" s="3" t="str">
        <f>_xlfn.XLOOKUP(B56,'BASE DE EXCEL'!$C:$C,'BASE DE EXCEL'!AT:AT,"NO HAY REFERENCIA")</f>
        <v>NULL</v>
      </c>
      <c r="EA56" s="3">
        <f>_xlfn.XLOOKUP(B56,'BASE DE EXCEL'!$C:$C,'BASE DE EXCEL'!AU:AU,"NO HAY REFERENCIA")</f>
        <v>6000300</v>
      </c>
      <c r="EB56" s="3" t="str">
        <f>_xlfn.XLOOKUP(B56,'BASE DE EXCEL'!$C:$C,'BASE DE EXCEL'!AV:AV,"NO HAY REFERENCIA")</f>
        <v>Importación</v>
      </c>
      <c r="EC56" s="3" t="str">
        <f>_xlfn.XLOOKUP(B56,'BASE DE EXCEL'!$C:$C,'BASE DE EXCEL'!AW:AW,"NO HAY REFERENCIA")</f>
        <v>ROTAVEC CORONA (VACUNA DE USO VETERINARIO)</v>
      </c>
      <c r="ED56" s="3" t="str">
        <f>_xlfn.XLOOKUP(B56,'BASE DE EXCEL'!$C:$C,'BASE DE EXCEL'!AX:AX,"NO HAY REFERENCIA")</f>
        <v>SIN CLASIFICACION</v>
      </c>
      <c r="EE56" s="3">
        <f>_xlfn.XLOOKUP(B56,'BASE DE EXCEL'!$C:$C,'BASE DE EXCEL'!AY:AY,"NO HAY REFERENCIA")</f>
        <v>0</v>
      </c>
      <c r="EF56" s="3" t="str">
        <f>_xlfn.XLOOKUP(B56,'BASE DE EXCEL'!$C:$C,'BASE DE EXCEL'!AZ:AZ,"NO HAY REFERENCIA")</f>
        <v>Cargas de Importación</v>
      </c>
      <c r="EG56" s="3" t="str">
        <f>_xlfn.XLOOKUP(B56,'BASE DE EXCEL'!$C:$C,'BASE DE EXCEL'!BA:BA,"NO HAY REFERENCIA")</f>
        <v>INTERVET MEXICO SA DE CV</v>
      </c>
      <c r="EH56" s="3">
        <f>_xlfn.XLOOKUP(B56,'BASE DE EXCEL'!$C:$C,'BASE DE EXCEL'!BB:BB,"NO HAY REFERENCIA")</f>
        <v>0</v>
      </c>
      <c r="EI56" s="3" t="str">
        <f>_xlfn.XLOOKUP(B56,'BASE DE EXCEL'!$C:$C,'BASE DE EXCEL'!BC:BC,"NO HAY REFERENCIA")</f>
        <v>FALTA RRNA</v>
      </c>
      <c r="EJ56" s="3">
        <f>_xlfn.XLOOKUP(B56,'BASE DE EXCEL'!$C:$C,'BASE DE EXCEL'!BD:BD,"NO HAY REFERENCIA")</f>
        <v>0</v>
      </c>
      <c r="EK56" s="3" t="str">
        <f>_xlfn.XLOOKUP(B56,'BASE DE EXCEL'!$C:$C,'BASE DE EXCEL'!BE:BE,"NO HAY REFERENCIA")</f>
        <v>FALTA RRNA</v>
      </c>
      <c r="EL56" s="3" t="str">
        <f>_xlfn.XLOOKUP(B56,'BASE DE EXCEL'!$C:$C,'BASE DE EXCEL'!BF:BF,"NO HAY REFERENCIA")</f>
        <v>PRODUCTO TERMINADO</v>
      </c>
      <c r="EM56" s="3" t="str">
        <f>_xlfn.XLOOKUP(B56,'BASE DE EXCEL'!$C:$C,'BASE DE EXCEL'!BG:BG,"NO HAY REFERENCIA")</f>
        <v>Verde</v>
      </c>
      <c r="EN56" s="3" t="str">
        <f>_xlfn.XLOOKUP(B56,'BASE DE EXCEL'!$C:$C,'BASE DE EXCEL'!BH:BH,"NO HAY REFERENCIA")</f>
        <v xml:space="preserve"> SERVEX TRANSPORTES SA DE CV</v>
      </c>
      <c r="EO56" s="3" t="str">
        <f>_xlfn.XLOOKUP(B56,'BASE DE EXCEL'!$C:$C,'BASE DE EXCEL'!BI:BI,"NO HAY REFERENCIA")</f>
        <v>CAMION ECO 021</v>
      </c>
      <c r="EP56" s="3">
        <f>_xlfn.XLOOKUP(B56,'BASE DE EXCEL'!$C:$C,'BASE DE EXCEL'!BJ:BJ,"NO HAY REFERENCIA")</f>
        <v>0</v>
      </c>
      <c r="EQ56" s="3" t="str">
        <f>_xlfn.XLOOKUP(B56,'BASE DE EXCEL'!$C:$C,'BASE DE EXCEL'!BK:BK,"NO HAY REFERENCIA")</f>
        <v>IME850329RH2</v>
      </c>
      <c r="ER56" s="3">
        <f>_xlfn.XLOOKUP(B56,'BASE DE EXCEL'!$C:$C,'BASE DE EXCEL'!BL:BL,"NO HAY REFERENCIA")</f>
        <v>0</v>
      </c>
      <c r="ES56" s="3">
        <f>_xlfn.XLOOKUP(B56,'BASE DE EXCEL'!$C:$C,'BASE DE EXCEL'!BM:BM,"NO HAY REFERENCIA")</f>
        <v>99</v>
      </c>
      <c r="ET56" s="3" t="str">
        <f>_xlfn.XLOOKUP(B56,'BASE DE EXCEL'!$C:$C,'BASE DE EXCEL'!BN:BN,"NO HAY REFERENCIA")</f>
        <v>LOTE: 1R017B01</v>
      </c>
      <c r="EU56" s="3">
        <f>_xlfn.XLOOKUP(B56,'BASE DE EXCEL'!$C:$C,'BASE DE EXCEL'!BO:BO,"NO HAY REFERENCIA")</f>
        <v>90</v>
      </c>
      <c r="EV56" s="3">
        <f>_xlfn.XLOOKUP(B56,'BASE DE EXCEL'!$C:$C,'BASE DE EXCEL'!BP:BP,"NO HAY REFERENCIA")</f>
        <v>5668364.7999999998</v>
      </c>
      <c r="EW56" s="3" t="str">
        <f>_xlfn.XLOOKUP(B56,'BASE DE EXCEL'!$C:$C,'BASE DE EXCEL'!BQ:BQ,"NO HAY REFERENCIA")</f>
        <v>KILO</v>
      </c>
      <c r="EX56" s="3">
        <f>_xlfn.XLOOKUP(B56,'BASE DE EXCEL'!$C:$C,'BASE DE EXCEL'!BR:BR,"NO HAY REFERENCIA")</f>
        <v>0</v>
      </c>
      <c r="EY56" s="3" t="str">
        <f>_xlfn.XLOOKUP(B56,'BASE DE EXCEL'!$C:$C,'BASE DE EXCEL'!BS:BS,"NO HAY REFERENCIA")</f>
        <v>PAISES BAJOS (REINO DE LOS) (HOLANDA)</v>
      </c>
      <c r="EZ56" s="3" t="str">
        <f>_xlfn.XLOOKUP(B56,'BASE DE EXCEL'!$C:$C,'BASE DE EXCEL'!BT:BT,"NO HAY REFERENCIA")</f>
        <v>PAISES BAJOS (REINO DE LOS) (HOLANDA)</v>
      </c>
      <c r="FA56" s="3" t="str">
        <f>_xlfn.XLOOKUP(B56,'BASE DE EXCEL'!$C:$C,'BASE DE EXCEL'!BU:BU,"NO HAY REFERENCIA")</f>
        <v>ZYA</v>
      </c>
      <c r="FB56" s="3" t="str">
        <f>_xlfn.XLOOKUP(B56,'BASE DE EXCEL'!$C:$C,'BASE DE EXCEL'!BV:BV,"NO HAY REFERENCIA")</f>
        <v>ZYA</v>
      </c>
      <c r="FC56" s="3">
        <f>_xlfn.XLOOKUP(B56,QUERY!$C:$C,QUERY!D:D)</f>
        <v>430</v>
      </c>
      <c r="FD56" s="4">
        <f>_xlfn.XLOOKUP(B56,QUERY!$C:$C,QUERY!E:E)</f>
        <v>46127</v>
      </c>
      <c r="FE56" s="3">
        <f>_xlfn.XLOOKUP(B56,QUERY!$C:$C,QUERY!F:F)</f>
        <v>4</v>
      </c>
      <c r="FF56" s="4">
        <f>_xlfn.XLOOKUP(B56,QUERY!$C:$C,QUERY!G:G)</f>
        <v>46066</v>
      </c>
      <c r="FG56" s="4">
        <f>_xlfn.XLOOKUP(B56,QUERY!$C:$C,QUERY!H:H)</f>
        <v>46127</v>
      </c>
      <c r="FH56" s="3">
        <f>_xlfn.XLOOKUP(B56,QUERY!$C:$C,QUERY!I:I)</f>
        <v>43</v>
      </c>
      <c r="FI56" s="3" t="str">
        <f>_xlfn.XLOOKUP(B56,QUERY!$C:$C,QUERY!J:J)</f>
        <v>16 o más días</v>
      </c>
      <c r="FJ56" s="4">
        <f>_xlfn.XLOOKUP(B56,QUERY!$C:$C,QUERY!K:K)</f>
        <v>46128</v>
      </c>
      <c r="FK56" s="3">
        <f>_xlfn.XLOOKUP(B56,QUERY!$C:$C,QUERY!L:L)</f>
        <v>44</v>
      </c>
      <c r="FL56" s="3" t="str">
        <f>_xlfn.XLOOKUP(B56,QUERY!$C:$C,QUERY!M:M)</f>
        <v>16 o más días</v>
      </c>
      <c r="FM56" s="3">
        <f>_xlfn.XLOOKUP(B56,QUERY!$C:$C,QUERY!N:N)</f>
        <v>1</v>
      </c>
      <c r="FN56" s="3" t="str">
        <f>_xlfn.XLOOKUP(B56,QUERY!$C:$C,QUERY!O:O)</f>
        <v>1 día o menos</v>
      </c>
      <c r="FO56" s="3">
        <f>_xlfn.XLOOKUP(B56,QUERY!$C:$C,QUERY!P:P)</f>
        <v>1</v>
      </c>
      <c r="FP56" s="3">
        <f>_xlfn.XLOOKUP(B56,QUERY!$C:$C,QUERY!Q:Q)</f>
        <v>1</v>
      </c>
      <c r="FQ56" s="3" t="str">
        <f>_xlfn.XLOOKUP(B56,QUERY!$C:$C,QUERY!R:R)</f>
        <v>1 día o menos</v>
      </c>
      <c r="FR56" s="4">
        <f>_xlfn.XLOOKUP(B56,QUERY!$C:$C,QUERY!S:S)</f>
        <v>46129</v>
      </c>
      <c r="FS56" s="3">
        <f>_xlfn.XLOOKUP(B56,QUERY!$C:$C,QUERY!T:T)</f>
        <v>45</v>
      </c>
      <c r="FT56" s="3" t="str">
        <f>_xlfn.XLOOKUP(B56,QUERY!$C:$C,QUERY!U:U)</f>
        <v>mas de 16 dias</v>
      </c>
      <c r="FU56" s="3">
        <f>_xlfn.XLOOKUP(B56,QUERY!$C:$C,QUERY!V:V)</f>
        <v>50</v>
      </c>
      <c r="FV56" s="3" t="str">
        <f>_xlfn.XLOOKUP(B56,QUERY!$C:$C,QUERY!W:W)</f>
        <v>más de 16 días</v>
      </c>
      <c r="FW56" s="4">
        <f>_xlfn.XLOOKUP(B56,QUERY!$C:$C,QUERY!X:X)</f>
        <v>46136</v>
      </c>
      <c r="FX56" s="3">
        <f>_xlfn.XLOOKUP(B56,QUERY!$C:$C,QUERY!Y:Y)</f>
        <v>5</v>
      </c>
      <c r="FY56" s="3">
        <f>_xlfn.XLOOKUP(B56,QUERY!$C:$C,QUERY!Z:Z)</f>
        <v>5</v>
      </c>
      <c r="FZ56" s="4" t="str">
        <f>_xlfn.XLOOKUP(B56,QUERY!$C:$C,QUERY!AA:AA)</f>
        <v>6 a 10 días</v>
      </c>
      <c r="GA56" s="4">
        <f>_xlfn.XLOOKUP(B56,QUERY!$C:$C,QUERY!AB:AB)</f>
        <v>46136</v>
      </c>
      <c r="GB56" s="4">
        <f>_xlfn.XLOOKUP(B56,QUERY!$C:$C,QUERY!AC:AC)</f>
        <v>46136</v>
      </c>
      <c r="GC56" s="3">
        <f>_xlfn.XLOOKUP(B56,QUERY!$C:$C,QUERY!AD:AD)</f>
        <v>0</v>
      </c>
      <c r="GD56" s="4">
        <f>_xlfn.XLOOKUP(B56,QUERY!$C:$C,QUERY!AE:AE)</f>
        <v>46136</v>
      </c>
      <c r="GE56" s="3">
        <f>_xlfn.XLOOKUP(B56,QUERY!$C:$C,QUERY!AF:AF)</f>
        <v>1</v>
      </c>
      <c r="GF56" s="4" t="str">
        <f>_xlfn.XLOOKUP(B56,QUERY!$C:$C,QUERY!AG:AG)</f>
        <v>Es anterior</v>
      </c>
      <c r="GG56" s="3" t="str">
        <f>_xlfn.XLOOKUP(B56,QUERY!$C:$C,QUERY!AH:AH)</f>
        <v>A1</v>
      </c>
      <c r="GH56" s="3" t="str">
        <f>_xlfn.XLOOKUP(B56,QUERY!$C:$C,QUERY!AI:AI)</f>
        <v>ZULEIMA PEREZ RUIZ</v>
      </c>
      <c r="GI56" s="3" t="str">
        <f>_xlfn.XLOOKUP(B56,QUERY!$C:$C,QUERY!AJ:AJ)</f>
        <v>HLCURTM260111255</v>
      </c>
      <c r="GJ56" s="3" t="str">
        <f>_xlfn.XLOOKUP(B56,QUERY!$C:$C,QUERY!AK:AK)</f>
        <v>NULL</v>
      </c>
      <c r="GK56" s="3">
        <f>_xlfn.XLOOKUP(B56,QUERY!$C:$C,QUERY!AL:AL)</f>
        <v>6000300</v>
      </c>
      <c r="GL56" s="3" t="str">
        <f>_xlfn.XLOOKUP(B56,QUERY!$C:$C,QUERY!AM:AM)</f>
        <v>Importación</v>
      </c>
      <c r="GM56" s="3" t="str">
        <f>_xlfn.XLOOKUP(B56,QUERY!$C:$C,QUERY!AN:AN)</f>
        <v>ROTAVEC CORONA (VACUNA DE USO VETERINARIO)</v>
      </c>
      <c r="GN56" s="3" t="str">
        <f>_xlfn.XLOOKUP(B56,QUERY!$C:$C,QUERY!AO:AO)</f>
        <v>SIN CLASIFICACION</v>
      </c>
      <c r="GO56" s="3">
        <f>_xlfn.XLOOKUP(B56,QUERY!$C:$C,QUERY!AP:AP)</f>
        <v>0</v>
      </c>
      <c r="GP56" s="3" t="str">
        <f>_xlfn.XLOOKUP(B56,QUERY!$C:$C,QUERY!AQ:AQ)</f>
        <v>Cargas de Importación</v>
      </c>
      <c r="GQ56" s="3" t="str">
        <f>_xlfn.XLOOKUP(B56,QUERY!$C:$C,QUERY!AR:AR)</f>
        <v>INTERVET MEXICO SA DE CV</v>
      </c>
      <c r="GR56" s="3">
        <f>_xlfn.XLOOKUP(B56,QUERY!$C:$C,QUERY!AS:AS)</f>
        <v>0</v>
      </c>
      <c r="GS56" s="3" t="str">
        <f>_xlfn.XLOOKUP(B56,QUERY!$C:$C,QUERY!AT:AT)</f>
        <v>FALTA RRNA</v>
      </c>
      <c r="GT56" s="3">
        <f>_xlfn.XLOOKUP(B56,QUERY!$C:$C,QUERY!AU:AU)</f>
        <v>0</v>
      </c>
      <c r="GU56" s="3" t="str">
        <f>_xlfn.XLOOKUP(B56,QUERY!$C:$C,QUERY!AV:AV)</f>
        <v>FALTA RRNA</v>
      </c>
      <c r="GV56" s="3" t="str">
        <f>_xlfn.XLOOKUP(B56,QUERY!$C:$C,QUERY!AW:AW)</f>
        <v>PRODUCTO TERMINADO</v>
      </c>
      <c r="GW56" s="3" t="str">
        <f>_xlfn.XLOOKUP(B56,QUERY!$C:$C,QUERY!AX:AX)</f>
        <v>Verde</v>
      </c>
      <c r="GX56" s="3" t="str">
        <f>_xlfn.XLOOKUP(B56,QUERY!$C:$C,QUERY!AY:AY)</f>
        <v xml:space="preserve"> SERVEX TRANSPORTES SA DE CV</v>
      </c>
      <c r="GY56" s="3" t="str">
        <f>_xlfn.XLOOKUP(B56,QUERY!$C:$C,QUERY!AZ:AZ)</f>
        <v>CAMION ECO 021</v>
      </c>
      <c r="GZ56" s="3">
        <f>_xlfn.XLOOKUP(B56,QUERY!$C:$C,QUERY!BA:BA)</f>
        <v>0</v>
      </c>
      <c r="HA56" s="3" t="str">
        <f>_xlfn.XLOOKUP(B56,QUERY!$C:$C,QUERY!BB:BB)</f>
        <v>IME850329RH2</v>
      </c>
      <c r="HB56" s="3">
        <f>_xlfn.XLOOKUP(B56,QUERY!$C:$C,QUERY!BC:BC)</f>
        <v>0</v>
      </c>
      <c r="HC56" s="3">
        <f>_xlfn.XLOOKUP(B56,QUERY!$C:$C,QUERY!BD:BD)</f>
        <v>99</v>
      </c>
      <c r="HD56" s="3" t="str">
        <f>_xlfn.XLOOKUP(B56,QUERY!$C:$C,QUERY!BE:BE)</f>
        <v>LOTE: 1R017B01</v>
      </c>
      <c r="HE56" s="3">
        <f>_xlfn.XLOOKUP(B56,QUERY!$C:$C,QUERY!BF:BF)</f>
        <v>90</v>
      </c>
      <c r="HF56" s="3" t="str">
        <f>_xlfn.XLOOKUP(B56,QUERY!$C:$C,QUERY!BG:BG)</f>
        <v xml:space="preserve"> 5668364.80</v>
      </c>
      <c r="HG56" s="3" t="str">
        <f>_xlfn.XLOOKUP(B56,QUERY!$C:$C,QUERY!BH:BH)</f>
        <v>KILO</v>
      </c>
      <c r="HH56" s="3">
        <f>_xlfn.XLOOKUP(B56,QUERY!$C:$C,QUERY!BI:BI)</f>
        <v>0</v>
      </c>
      <c r="HI56" s="3" t="str">
        <f>_xlfn.XLOOKUP(B56,QUERY!$C:$C,QUERY!BJ:BJ)</f>
        <v>PAISES BAJOS (REINO DE LOS) (HOLANDA)</v>
      </c>
      <c r="HJ56" s="3" t="str">
        <f>_xlfn.XLOOKUP(B56,QUERY!$C:$C,QUERY!BK:BK)</f>
        <v>PAISES BAJOS (REINO DE LOS) (HOLANDA)</v>
      </c>
      <c r="HK56" s="3" t="str">
        <f>_xlfn.XLOOKUP(B56,QUERY!$C:$C,QUERY!BL:BL)</f>
        <v>ZYA</v>
      </c>
      <c r="HL56" s="3" t="str">
        <f>_xlfn.XLOOKUP(B56,QUERY!$C:$C,QUERY!BM:BM)</f>
        <v>ZYA</v>
      </c>
      <c r="HM56" s="3">
        <f>_xlfn.XLOOKUP(B56,QUERY!$C:$C,QUERY!BN:BN)</f>
        <v>5668365</v>
      </c>
      <c r="HN56" s="3" t="str">
        <f>_xlfn.XLOOKUP(B56,QUERY!$C:$C,QUERY!BO:BO)</f>
        <v>462.00</v>
      </c>
      <c r="HO56" s="3" t="str">
        <f>_xlfn.XLOOKUP(B56,QUERY!$C:$C,QUERY!BP:BP)</f>
        <v>NULL</v>
      </c>
      <c r="HP56" s="3" t="str">
        <f>_xlfn.XLOOKUP(B56,QUERY!$C:$C,QUERY!BQ:BQ)</f>
        <v>NULL</v>
      </c>
      <c r="HQ56" s="3" t="str">
        <f>_xlfn.XLOOKUP(B56,QUERY!$C:$C,QUERY!BR:BR)</f>
        <v>118950.16</v>
      </c>
      <c r="HR56" s="3">
        <f>_xlfn.XLOOKUP(B56,QUERY!$C:$C,QUERY!BS:BS)</f>
        <v>0</v>
      </c>
      <c r="HS56" s="3">
        <f>_xlfn.XLOOKUP(B56,QUERY!$C:$C,QUERY!BT:BT)</f>
        <v>0</v>
      </c>
      <c r="HT56" s="3" t="str">
        <f>_xlfn.XLOOKUP(B56,QUERY!$C:$C,QUERY!A:A)</f>
        <v>VERACRUZ</v>
      </c>
      <c r="HU56" s="3" t="str">
        <f>_xlfn.XLOOKUP(B56,QUERY!$C:$C,QUERY!B:B)</f>
        <v>MARÍTIMO VERACRUZ</v>
      </c>
    </row>
    <row r="57" spans="1:229" x14ac:dyDescent="0.25">
      <c r="A57" s="3" t="s">
        <v>90</v>
      </c>
      <c r="B57" s="16" t="s">
        <v>233</v>
      </c>
      <c r="C57" s="3">
        <v>3942</v>
      </c>
      <c r="D57" s="3">
        <v>6000244</v>
      </c>
      <c r="E57" s="3"/>
      <c r="F57" s="3" t="s">
        <v>92</v>
      </c>
      <c r="G57" s="3" t="s">
        <v>93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17.2</v>
      </c>
      <c r="Q57" s="3">
        <v>708.6</v>
      </c>
      <c r="R57" s="3">
        <v>430</v>
      </c>
      <c r="S57" s="3" t="s">
        <v>234</v>
      </c>
      <c r="T57" s="3" t="s">
        <v>130</v>
      </c>
      <c r="U57" s="3">
        <v>1074755</v>
      </c>
      <c r="V57" s="3">
        <v>1074755</v>
      </c>
      <c r="W57" s="3">
        <v>0</v>
      </c>
      <c r="X57" s="3">
        <v>0</v>
      </c>
      <c r="Y57" s="3">
        <v>0</v>
      </c>
      <c r="Z57" s="3">
        <v>0</v>
      </c>
      <c r="AA57" s="3" t="s">
        <v>235</v>
      </c>
      <c r="AB57" s="3"/>
      <c r="AC57" s="3">
        <v>272000</v>
      </c>
      <c r="AD57" s="3">
        <v>68</v>
      </c>
      <c r="AE57" s="3">
        <v>808</v>
      </c>
      <c r="AF57" s="3">
        <v>16</v>
      </c>
      <c r="AG57" s="3">
        <v>0</v>
      </c>
      <c r="AH57" s="3">
        <v>0</v>
      </c>
      <c r="AI57" s="3">
        <v>53</v>
      </c>
      <c r="AJ57" s="3">
        <v>462</v>
      </c>
      <c r="AK57" s="3">
        <v>0</v>
      </c>
      <c r="AL57" s="3">
        <v>128478</v>
      </c>
      <c r="AM57" s="3">
        <v>330</v>
      </c>
      <c r="AN57" s="3">
        <v>129323</v>
      </c>
      <c r="AO57" s="3" t="s">
        <v>97</v>
      </c>
      <c r="AP57" s="3" t="s">
        <v>98</v>
      </c>
      <c r="AQ57" s="3">
        <v>210363667</v>
      </c>
      <c r="AR57" s="3" t="s">
        <v>99</v>
      </c>
      <c r="AS57" s="3" t="s">
        <v>100</v>
      </c>
      <c r="AT57" s="3" t="s">
        <v>236</v>
      </c>
      <c r="AU57" s="3"/>
      <c r="AV57" s="3" t="s">
        <v>102</v>
      </c>
      <c r="AW57" s="3">
        <v>30049099</v>
      </c>
      <c r="AX57" s="3">
        <v>99</v>
      </c>
      <c r="AY57" s="3">
        <v>4000</v>
      </c>
      <c r="AZ57" s="3">
        <v>4000</v>
      </c>
      <c r="BA57" s="3" t="s">
        <v>103</v>
      </c>
      <c r="BB57" s="3"/>
      <c r="BC57" s="3" t="s">
        <v>126</v>
      </c>
      <c r="BD57" s="3" t="s">
        <v>105</v>
      </c>
      <c r="BE57" s="3" t="s">
        <v>106</v>
      </c>
      <c r="BF57" s="3" t="s">
        <v>107</v>
      </c>
      <c r="BG57" s="5">
        <v>4.30640220260588E+16</v>
      </c>
      <c r="BH57" s="3" t="s">
        <v>108</v>
      </c>
      <c r="BI57" s="3"/>
      <c r="BJ57" s="3" t="s">
        <v>109</v>
      </c>
      <c r="BK57" s="3" t="s">
        <v>237</v>
      </c>
      <c r="BL57" s="3">
        <v>44290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22189.59</v>
      </c>
      <c r="BY57" s="3">
        <v>0</v>
      </c>
      <c r="BZ57" s="3">
        <v>0</v>
      </c>
      <c r="CA57" s="3">
        <v>92940.53</v>
      </c>
      <c r="CB57" s="3">
        <v>5600</v>
      </c>
      <c r="CC57" s="3">
        <v>1659.2</v>
      </c>
      <c r="CD57" s="3">
        <v>348588.11</v>
      </c>
      <c r="CE57" s="3" t="s">
        <v>192</v>
      </c>
      <c r="CF57" s="3">
        <v>348588.11</v>
      </c>
      <c r="CG57" s="3">
        <v>0</v>
      </c>
      <c r="CH57" s="3">
        <v>0</v>
      </c>
      <c r="CI57" s="3" t="s">
        <v>112</v>
      </c>
      <c r="CJ57" s="3" t="s">
        <v>112</v>
      </c>
      <c r="CK57" s="3">
        <f>_xlfn.XLOOKUP($B$2,'BASE DE EXCEL'!C:C,'BASE DE EXCEL'!D:D,"NO HAY REFERENCIA")</f>
        <v>470</v>
      </c>
      <c r="CL57" s="5">
        <f>_xlfn.XLOOKUP($B$2,'BASE DE EXCEL'!$C:$C,'BASE DE EXCEL'!F:F,"NO HAY REFERENCIA")</f>
        <v>3</v>
      </c>
      <c r="CM57" s="4">
        <f>_xlfn.XLOOKUP($B$2,'BASE DE EXCEL'!$C:$C,'BASE DE EXCEL'!G:G,"NO HAY REFERENCIA")</f>
        <v>46080</v>
      </c>
      <c r="CN57" s="4">
        <f>_xlfn.XLOOKUP($B$2,'BASE DE EXCEL'!$C:$C,'BASE DE EXCEL'!H:H,"NO HAY REFERENCIA")</f>
        <v>46086</v>
      </c>
      <c r="CO57" s="3">
        <f>_xlfn.XLOOKUP($B$2,'BASE DE EXCEL'!$C:$C,'BASE DE EXCEL'!I:I,"NO HAY REFERENCIA")</f>
        <v>4</v>
      </c>
      <c r="CP57" s="3" t="str">
        <f>_xlfn.XLOOKUP($B$2,'BASE DE EXCEL'!$C:$C,'BASE DE EXCEL'!J:J,"NO HAY REFERENCIA")</f>
        <v>4 a 5 días</v>
      </c>
      <c r="CQ57" s="4">
        <f>_xlfn.XLOOKUP($B$2,'BASE DE EXCEL'!$C:$C,'BASE DE EXCEL'!K:K,"NO HAY REFERENCIA")</f>
        <v>46087</v>
      </c>
      <c r="CR57" s="3">
        <f>_xlfn.XLOOKUP($B$2,'BASE DE EXCEL'!$C:$C,'BASE DE EXCEL'!L:L,"NO HAY REFERENCIA")</f>
        <v>5</v>
      </c>
      <c r="CS57" s="3">
        <f>_xlfn.XLOOKUP($B$2,'BASE DE EXCEL'!$C:$C,'BASE DE EXCEL'!M:M,"NO HAY REFERENCIA")</f>
        <v>6</v>
      </c>
      <c r="CT57" s="3" t="str">
        <f>_xlfn.XLOOKUP($B$2,'BASE DE EXCEL'!$C:$C,'BASE DE EXCEL'!N:N,"NO HAY REFERENCIA")</f>
        <v>6 a 10 días</v>
      </c>
      <c r="CU57" s="3" t="str">
        <f>_xlfn.XLOOKUP($B$2,'BASE DE EXCEL'!$C:$C,'BASE DE EXCEL'!O:O,"NO HAY REFERENCIA")</f>
        <v>On Time</v>
      </c>
      <c r="CV57" s="3" t="str">
        <f>_xlfn.XLOOKUP(B57,'BASE DE EXCEL'!$C:$C,'BASE DE EXCEL'!P:P,"NO HAY REFERENCIA")</f>
        <v>16 o más días</v>
      </c>
      <c r="CW57" s="4">
        <f>_xlfn.XLOOKUP(B57,'BASE DE EXCEL'!$C:$C,'BASE DE EXCEL'!Q:Q,"NO HAY REFERENCIA")</f>
        <v>46093</v>
      </c>
      <c r="CX57" s="3">
        <f>_xlfn.XLOOKUP(B57,'BASE DE EXCEL'!$C:$C,'BASE DE EXCEL'!R:R,"NO HAY REFERENCIA")</f>
        <v>19</v>
      </c>
      <c r="CY57" s="3" t="str">
        <f>_xlfn.XLOOKUP(B57,'BASE DE EXCEL'!$C:$C,'BASE DE EXCEL'!S:S,"NO HAY REFERENCIA")</f>
        <v>más de 16 días</v>
      </c>
      <c r="CZ57" s="3" t="str">
        <f>_xlfn.XLOOKUP(B57,'BASE DE EXCEL'!$C:$C,'BASE DE EXCEL'!T:T,"NO HAY REFERENCIA")</f>
        <v>Delayed</v>
      </c>
      <c r="DA57" s="3">
        <f>_xlfn.XLOOKUP(B57,'BASE DE EXCEL'!$C:$C,'BASE DE EXCEL'!U:U,"NO HAY REFERENCIA")</f>
        <v>24</v>
      </c>
      <c r="DB57" s="3" t="str">
        <f>_xlfn.XLOOKUP(B57,'BASE DE EXCEL'!$C:$C,'BASE DE EXCEL'!V:V,"NO HAY REFERENCIA")</f>
        <v>mas de 16 dias</v>
      </c>
      <c r="DC57" s="3">
        <f>_xlfn.XLOOKUP(B57,'BASE DE EXCEL'!$C:$C,'BASE DE EXCEL'!W:W,"NO HAY REFERENCIA")</f>
        <v>31</v>
      </c>
      <c r="DD57" s="3" t="str">
        <f>_xlfn.XLOOKUP(B57,'BASE DE EXCEL'!$C:$C,'BASE DE EXCEL'!X:X,"NO HAY REFERENCIA")</f>
        <v>más de 16 días</v>
      </c>
      <c r="DE57" s="3">
        <f>_xlfn.XLOOKUP(B57,'BASE DE EXCEL'!$C:$C,'BASE DE EXCEL'!Y:Y,"NO HAY REFERENCIA")</f>
        <v>4</v>
      </c>
      <c r="DF57" s="3" t="str">
        <f>_xlfn.XLOOKUP(B57,'BASE DE EXCEL'!$C:$C,'BASE DE EXCEL'!Z:Z,"NO HAY REFERENCIA")</f>
        <v>4 a 5 días</v>
      </c>
      <c r="DG57" s="3">
        <f>_xlfn.XLOOKUP(B57,'BASE DE EXCEL'!$C:$C,'BASE DE EXCEL'!AA:AA,"NO HAY REFERENCIA")</f>
        <v>15</v>
      </c>
      <c r="DH57" s="3">
        <f>_xlfn.XLOOKUP(B57,'BASE DE EXCEL'!$C:$C,'BASE DE EXCEL'!AB:AB,"NO HAY REFERENCIA")</f>
        <v>3</v>
      </c>
      <c r="DI57" s="3" t="str">
        <f>_xlfn.XLOOKUP(B57,'BASE DE EXCEL'!$C:$C,'BASE DE EXCEL'!AC:AC,"NO HAY REFERENCIA")</f>
        <v>2 a 3 días</v>
      </c>
      <c r="DJ57" s="4">
        <f>_xlfn.XLOOKUP(B57,'BASE DE EXCEL'!$C:$C,'BASE DE EXCEL'!AD:AD,"NO HAY REFERENCIA")</f>
        <v>46112</v>
      </c>
      <c r="DK57" s="3">
        <f>_xlfn.XLOOKUP(B57,'BASE DE EXCEL'!$C:$C,'BASE DE EXCEL'!AE:AE,"NO HAY REFERENCIA")</f>
        <v>-46091</v>
      </c>
      <c r="DL57" s="3">
        <f>_xlfn.XLOOKUP(B57,'BASE DE EXCEL'!$C:$C,'BASE DE EXCEL'!AF:AF,"NO HAY REFERENCIA")</f>
        <v>13</v>
      </c>
      <c r="DM57" s="4">
        <f>_xlfn.XLOOKUP(B57,'BASE DE EXCEL'!$C:$C,'BASE DE EXCEL'!AG:AG,"NO HAY REFERENCIA")</f>
        <v>0</v>
      </c>
      <c r="DN57" s="4">
        <f>_xlfn.XLOOKUP(B57,'BASE DE EXCEL'!$C:$C,'BASE DE EXCEL'!AH:AH,"NO HAY REFERENCIA")</f>
        <v>46112</v>
      </c>
      <c r="DO57" s="3">
        <f>_xlfn.XLOOKUP(B57,'BASE DE EXCEL'!$C:$C,'BASE DE EXCEL'!AI:AI,"NO HAY REFERENCIA")</f>
        <v>46110</v>
      </c>
      <c r="DP57" s="4" t="str">
        <f>_xlfn.XLOOKUP(B57,'BASE DE EXCEL'!$C:$C,'BASE DE EXCEL'!AJ:AJ,"NO HAY REFERENCIA")</f>
        <v>más de 16 días</v>
      </c>
      <c r="DQ57" s="4">
        <f>_xlfn.XLOOKUP(B57,'BASE DE EXCEL'!$C:$C,'BASE DE EXCEL'!AK:AK,"NO HAY REFERENCIA")</f>
        <v>46112</v>
      </c>
      <c r="DR57" s="3">
        <f>_xlfn.XLOOKUP(B57,'BASE DE EXCEL'!$C:$C,'BASE DE EXCEL'!AL:AL,"NO HAY REFERENCIA")</f>
        <v>13</v>
      </c>
      <c r="DS57" s="3" t="str">
        <f>_xlfn.XLOOKUP(B57,'BASE DE EXCEL'!$C:$C,'BASE DE EXCEL'!AM:AM,"NO HAY REFERENCIA")</f>
        <v>11 a 15 días</v>
      </c>
      <c r="DT57" s="3" t="str">
        <f>_xlfn.XLOOKUP(B57,'BASE DE EXCEL'!$C:$C,'BASE DE EXCEL'!AN:AN,"NO HAY REFERENCIA")</f>
        <v>Delayed</v>
      </c>
      <c r="DU57" s="3">
        <f>_xlfn.XLOOKUP(B57,'BASE DE EXCEL'!$C:$C,'BASE DE EXCEL'!AO:AO,"NO HAY REFERENCIA")</f>
        <v>1</v>
      </c>
      <c r="DV57" s="3" t="str">
        <f>_xlfn.XLOOKUP(B57,'BASE DE EXCEL'!$C:$C,'BASE DE EXCEL'!AP:AP,"NO HAY REFERENCIA")</f>
        <v>Es anterior</v>
      </c>
      <c r="DW57" s="3" t="str">
        <f>_xlfn.XLOOKUP(B57,'BASE DE EXCEL'!$C:$C,'BASE DE EXCEL'!AQ:AQ,"NO HAY REFERENCIA")</f>
        <v>A1</v>
      </c>
      <c r="DX57" s="3" t="str">
        <f>_xlfn.XLOOKUP(B57,'BASE DE EXCEL'!$C:$C,'BASE DE EXCEL'!AR:AR,"NO HAY REFERENCIA")</f>
        <v>ZULEIMA PEREZ RUIZ</v>
      </c>
      <c r="DY57" s="3" t="str">
        <f>_xlfn.XLOOKUP(B57,'BASE DE EXCEL'!$C:$C,'BASE DE EXCEL'!AS:AS,"NO HAY REFERENCIA")</f>
        <v>HLCUANR260133096</v>
      </c>
      <c r="DZ57" s="3" t="str">
        <f>_xlfn.XLOOKUP(B57,'BASE DE EXCEL'!$C:$C,'BASE DE EXCEL'!AT:AT,"NO HAY REFERENCIA")</f>
        <v>NULL</v>
      </c>
      <c r="EA57" s="3">
        <f>_xlfn.XLOOKUP(B57,'BASE DE EXCEL'!$C:$C,'BASE DE EXCEL'!AU:AU,"NO HAY REFERENCIA")</f>
        <v>6000244</v>
      </c>
      <c r="EB57" s="3" t="str">
        <f>_xlfn.XLOOKUP(B57,'BASE DE EXCEL'!$C:$C,'BASE DE EXCEL'!AV:AV,"NO HAY REFERENCIA")</f>
        <v>Importación</v>
      </c>
      <c r="EC57" s="3" t="str">
        <f>_xlfn.XLOOKUP(B57,'BASE DE EXCEL'!$C:$C,'BASE DE EXCEL'!AW:AW,"NO HAY REFERENCIA")</f>
        <v>SALIX (MEDICAMENTO DOSIFICADO DE USO VETERINARIO)</v>
      </c>
      <c r="ED57" s="3" t="str">
        <f>_xlfn.XLOOKUP(B57,'BASE DE EXCEL'!$C:$C,'BASE DE EXCEL'!AX:AX,"NO HAY REFERENCIA")</f>
        <v>SIN CLASIFICACION</v>
      </c>
      <c r="EE57" s="3">
        <f>_xlfn.XLOOKUP(B57,'BASE DE EXCEL'!$C:$C,'BASE DE EXCEL'!AY:AY,"NO HAY REFERENCIA")</f>
        <v>0</v>
      </c>
      <c r="EF57" s="3" t="str">
        <f>_xlfn.XLOOKUP(B57,'BASE DE EXCEL'!$C:$C,'BASE DE EXCEL'!AZ:AZ,"NO HAY REFERENCIA")</f>
        <v>Cargas de Importación</v>
      </c>
      <c r="EG57" s="3" t="str">
        <f>_xlfn.XLOOKUP(B57,'BASE DE EXCEL'!$C:$C,'BASE DE EXCEL'!BA:BA,"NO HAY REFERENCIA")</f>
        <v>INTERVET MEXICO SA DE CV</v>
      </c>
      <c r="EH57" s="3">
        <f>_xlfn.XLOOKUP(B57,'BASE DE EXCEL'!$C:$C,'BASE DE EXCEL'!BB:BB,"NO HAY REFERENCIA")</f>
        <v>0</v>
      </c>
      <c r="EI57" s="3" t="str">
        <f>_xlfn.XLOOKUP(B57,'BASE DE EXCEL'!$C:$C,'BASE DE EXCEL'!BC:BC,"NO HAY REFERENCIA")</f>
        <v>FALTA RRNA</v>
      </c>
      <c r="EJ57" s="3">
        <f>_xlfn.XLOOKUP(B57,'BASE DE EXCEL'!$C:$C,'BASE DE EXCEL'!BD:BD,"NO HAY REFERENCIA")</f>
        <v>0</v>
      </c>
      <c r="EK57" s="3" t="str">
        <f>_xlfn.XLOOKUP(B57,'BASE DE EXCEL'!$C:$C,'BASE DE EXCEL'!BE:BE,"NO HAY REFERENCIA")</f>
        <v>FALTA RRNA</v>
      </c>
      <c r="EL57" s="3" t="str">
        <f>_xlfn.XLOOKUP(B57,'BASE DE EXCEL'!$C:$C,'BASE DE EXCEL'!BF:BF,"NO HAY REFERENCIA")</f>
        <v>PRODUCTO TERMINADO</v>
      </c>
      <c r="EM57" s="3" t="str">
        <f>_xlfn.XLOOKUP(B57,'BASE DE EXCEL'!$C:$C,'BASE DE EXCEL'!BG:BG,"NO HAY REFERENCIA")</f>
        <v>Verde</v>
      </c>
      <c r="EN57" s="3" t="str">
        <f>_xlfn.XLOOKUP(B57,'BASE DE EXCEL'!$C:$C,'BASE DE EXCEL'!BH:BH,"NO HAY REFERENCIA")</f>
        <v xml:space="preserve"> MLH TRANSPORTE, S.A. DE C.V.</v>
      </c>
      <c r="EO57" s="3" t="str">
        <f>_xlfn.XLOOKUP(B57,'BASE DE EXCEL'!$C:$C,'BASE DE EXCEL'!BI:BI,"NO HAY REFERENCIA")</f>
        <v>TRACTOCAMION ECO 02 RED</v>
      </c>
      <c r="EP57" s="3">
        <f>_xlfn.XLOOKUP(B57,'BASE DE EXCEL'!$C:$C,'BASE DE EXCEL'!BJ:BJ,"NO HAY REFERENCIA")</f>
        <v>0</v>
      </c>
      <c r="EQ57" s="3" t="str">
        <f>_xlfn.XLOOKUP(B57,'BASE DE EXCEL'!$C:$C,'BASE DE EXCEL'!BK:BK,"NO HAY REFERENCIA")</f>
        <v>IME850329RH2</v>
      </c>
      <c r="ER57" s="3">
        <f>_xlfn.XLOOKUP(B57,'BASE DE EXCEL'!$C:$C,'BASE DE EXCEL'!BL:BL,"NO HAY REFERENCIA")</f>
        <v>0</v>
      </c>
      <c r="ES57" s="3" t="str">
        <f>_xlfn.XLOOKUP(B57,'BASE DE EXCEL'!$C:$C,'BASE DE EXCEL'!BM:BM,"NO HAY REFERENCIA")</f>
        <v>00,99</v>
      </c>
      <c r="ET57" s="3" t="str">
        <f>_xlfn.XLOOKUP(B57,'BASE DE EXCEL'!$C:$C,'BASE DE EXCEL'!BN:BN,"NO HAY REFERENCIA")</f>
        <v>LOTE: A195A02,LOTE: N269A01</v>
      </c>
      <c r="EU57" s="3">
        <f>_xlfn.XLOOKUP(B57,'BASE DE EXCEL'!$C:$C,'BASE DE EXCEL'!BO:BO,"NO HAY REFERENCIA")</f>
        <v>90</v>
      </c>
      <c r="EV57" s="3" t="str">
        <f>_xlfn.XLOOKUP(B57,'BASE DE EXCEL'!$C:$C,'BASE DE EXCEL'!BP:BP,"NO HAY REFERENCIA")</f>
        <v xml:space="preserve"> 272000.00, 802755.32</v>
      </c>
      <c r="EW57" s="3" t="str">
        <f>_xlfn.XLOOKUP(B57,'BASE DE EXCEL'!$C:$C,'BASE DE EXCEL'!BQ:BQ,"NO HAY REFERENCIA")</f>
        <v>KILO,KILO</v>
      </c>
      <c r="EX57" s="3">
        <f>_xlfn.XLOOKUP(B57,'BASE DE EXCEL'!$C:$C,'BASE DE EXCEL'!BR:BR,"NO HAY REFERENCIA")</f>
        <v>0</v>
      </c>
      <c r="EY57" s="3" t="str">
        <f>_xlfn.XLOOKUP(B57,'BASE DE EXCEL'!$C:$C,'BASE DE EXCEL'!BS:BS,"NO HAY REFERENCIA")</f>
        <v>ALEMANIA (REPUBLICA FEDERAL DE),FRANCIA (REPUBLICA FRANCESA)</v>
      </c>
      <c r="EZ57" s="3" t="str">
        <f>_xlfn.XLOOKUP(B57,'BASE DE EXCEL'!$C:$C,'BASE DE EXCEL'!BT:BT,"NO HAY REFERENCIA")</f>
        <v>PAISES BAJOS (REINO DE LOS) (HOLANDA)</v>
      </c>
      <c r="FA57" s="3" t="str">
        <f>_xlfn.XLOOKUP(B57,'BASE DE EXCEL'!$C:$C,'BASE DE EXCEL'!BU:BU,"NO HAY REFERENCIA")</f>
        <v>DEU,FRA</v>
      </c>
      <c r="FB57" s="3" t="str">
        <f>_xlfn.XLOOKUP(B57,'BASE DE EXCEL'!$C:$C,'BASE DE EXCEL'!BV:BV,"NO HAY REFERENCIA")</f>
        <v>ZYA</v>
      </c>
      <c r="FC57" s="3">
        <f>_xlfn.XLOOKUP(B57,QUERY!$C:$C,QUERY!D:D)</f>
        <v>430</v>
      </c>
      <c r="FD57" s="4">
        <f>_xlfn.XLOOKUP(B57,QUERY!$C:$C,QUERY!E:E)</f>
        <v>46084</v>
      </c>
      <c r="FE57" s="3">
        <f>_xlfn.XLOOKUP(B57,QUERY!$C:$C,QUERY!F:F)</f>
        <v>3</v>
      </c>
      <c r="FF57" s="4">
        <f>_xlfn.XLOOKUP(B57,QUERY!$C:$C,QUERY!G:G)</f>
        <v>46069</v>
      </c>
      <c r="FG57" s="4">
        <f>_xlfn.XLOOKUP(B57,QUERY!$C:$C,QUERY!H:H)</f>
        <v>46084</v>
      </c>
      <c r="FH57" s="3">
        <f>_xlfn.XLOOKUP(B57,QUERY!$C:$C,QUERY!I:I)</f>
        <v>11</v>
      </c>
      <c r="FI57" s="3" t="str">
        <f>_xlfn.XLOOKUP(B57,QUERY!$C:$C,QUERY!J:J)</f>
        <v>11 a 15 días</v>
      </c>
      <c r="FJ57" s="4">
        <f>_xlfn.XLOOKUP(B57,QUERY!$C:$C,QUERY!K:K)</f>
        <v>46090</v>
      </c>
      <c r="FK57" s="3">
        <f>_xlfn.XLOOKUP(B57,QUERY!$C:$C,QUERY!L:L)</f>
        <v>15</v>
      </c>
      <c r="FL57" s="3" t="str">
        <f>_xlfn.XLOOKUP(B57,QUERY!$C:$C,QUERY!M:M)</f>
        <v>11 a 15 días</v>
      </c>
      <c r="FM57" s="3">
        <f>_xlfn.XLOOKUP(B57,QUERY!$C:$C,QUERY!N:N)</f>
        <v>4</v>
      </c>
      <c r="FN57" s="3" t="str">
        <f>_xlfn.XLOOKUP(B57,QUERY!$C:$C,QUERY!O:O)</f>
        <v>4 a 5 días</v>
      </c>
      <c r="FO57" s="3">
        <f>_xlfn.XLOOKUP(B57,QUERY!$C:$C,QUERY!P:P)</f>
        <v>4</v>
      </c>
      <c r="FP57" s="3">
        <f>_xlfn.XLOOKUP(B57,QUERY!$C:$C,QUERY!Q:Q)</f>
        <v>3</v>
      </c>
      <c r="FQ57" s="3" t="str">
        <f>_xlfn.XLOOKUP(B57,QUERY!$C:$C,QUERY!R:R)</f>
        <v>2 a 3 días</v>
      </c>
      <c r="FR57" s="4">
        <f>_xlfn.XLOOKUP(B57,QUERY!$C:$C,QUERY!S:S)</f>
        <v>46093</v>
      </c>
      <c r="FS57" s="3">
        <f>_xlfn.XLOOKUP(B57,QUERY!$C:$C,QUERY!T:T)</f>
        <v>18</v>
      </c>
      <c r="FT57" s="3" t="str">
        <f>_xlfn.XLOOKUP(B57,QUERY!$C:$C,QUERY!U:U)</f>
        <v>mas de 16 dias</v>
      </c>
      <c r="FU57" s="3">
        <f>_xlfn.XLOOKUP(B57,QUERY!$C:$C,QUERY!V:V)</f>
        <v>31</v>
      </c>
      <c r="FV57" s="3" t="str">
        <f>_xlfn.XLOOKUP(B57,QUERY!$C:$C,QUERY!W:W)</f>
        <v>más de 16 días</v>
      </c>
      <c r="FW57" s="4">
        <f>_xlfn.XLOOKUP(B57,QUERY!$C:$C,QUERY!X:X)</f>
        <v>46112</v>
      </c>
      <c r="FX57" s="3">
        <f>_xlfn.XLOOKUP(B57,QUERY!$C:$C,QUERY!Y:Y)</f>
        <v>12</v>
      </c>
      <c r="FY57" s="3">
        <f>_xlfn.XLOOKUP(B57,QUERY!$C:$C,QUERY!Z:Z)</f>
        <v>13</v>
      </c>
      <c r="FZ57" s="4" t="str">
        <f>_xlfn.XLOOKUP(B57,QUERY!$C:$C,QUERY!AA:AA)</f>
        <v>más de 16 días</v>
      </c>
      <c r="GA57" s="4">
        <f>_xlfn.XLOOKUP(B57,QUERY!$C:$C,QUERY!AB:AB)</f>
        <v>46111</v>
      </c>
      <c r="GB57" s="4">
        <f>_xlfn.XLOOKUP(B57,QUERY!$C:$C,QUERY!AC:AC)</f>
        <v>46112</v>
      </c>
      <c r="GC57" s="3">
        <f>_xlfn.XLOOKUP(B57,QUERY!$C:$C,QUERY!AD:AD)</f>
        <v>1</v>
      </c>
      <c r="GD57" s="4">
        <f>_xlfn.XLOOKUP(B57,QUERY!$C:$C,QUERY!AE:AE)</f>
        <v>46112</v>
      </c>
      <c r="GE57" s="3">
        <f>_xlfn.XLOOKUP(B57,QUERY!$C:$C,QUERY!AF:AF)</f>
        <v>1</v>
      </c>
      <c r="GF57" s="4" t="str">
        <f>_xlfn.XLOOKUP(B57,QUERY!$C:$C,QUERY!AG:AG)</f>
        <v>Es anterior</v>
      </c>
      <c r="GG57" s="3" t="str">
        <f>_xlfn.XLOOKUP(B57,QUERY!$C:$C,QUERY!AH:AH)</f>
        <v>A1</v>
      </c>
      <c r="GH57" s="3" t="str">
        <f>_xlfn.XLOOKUP(B57,QUERY!$C:$C,QUERY!AI:AI)</f>
        <v>ZULEIMA PEREZ RUIZ</v>
      </c>
      <c r="GI57" s="3" t="str">
        <f>_xlfn.XLOOKUP(B57,QUERY!$C:$C,QUERY!AJ:AJ)</f>
        <v>HLCUANR260133096</v>
      </c>
      <c r="GJ57" s="3" t="str">
        <f>_xlfn.XLOOKUP(B57,QUERY!$C:$C,QUERY!AK:AK)</f>
        <v>NULL</v>
      </c>
      <c r="GK57" s="3">
        <f>_xlfn.XLOOKUP(B57,QUERY!$C:$C,QUERY!AL:AL)</f>
        <v>6000244</v>
      </c>
      <c r="GL57" s="3" t="str">
        <f>_xlfn.XLOOKUP(B57,QUERY!$C:$C,QUERY!AM:AM)</f>
        <v>Importación</v>
      </c>
      <c r="GM57" s="3" t="str">
        <f>_xlfn.XLOOKUP(B57,QUERY!$C:$C,QUERY!AN:AN)</f>
        <v>SALIX (MEDICAMENTO DOSIFICADO DE USO VETERINARIO)</v>
      </c>
      <c r="GN57" s="3" t="str">
        <f>_xlfn.XLOOKUP(B57,QUERY!$C:$C,QUERY!AO:AO)</f>
        <v>SIN CLASIFICACION</v>
      </c>
      <c r="GO57" s="3">
        <f>_xlfn.XLOOKUP(B57,QUERY!$C:$C,QUERY!AP:AP)</f>
        <v>0</v>
      </c>
      <c r="GP57" s="3" t="str">
        <f>_xlfn.XLOOKUP(B57,QUERY!$C:$C,QUERY!AQ:AQ)</f>
        <v>Cargas de Importación</v>
      </c>
      <c r="GQ57" s="3" t="str">
        <f>_xlfn.XLOOKUP(B57,QUERY!$C:$C,QUERY!AR:AR)</f>
        <v>INTERVET MEXICO SA DE CV</v>
      </c>
      <c r="GR57" s="3">
        <f>_xlfn.XLOOKUP(B57,QUERY!$C:$C,QUERY!AS:AS)</f>
        <v>0</v>
      </c>
      <c r="GS57" s="3" t="str">
        <f>_xlfn.XLOOKUP(B57,QUERY!$C:$C,QUERY!AT:AT)</f>
        <v>FALTA RRNA</v>
      </c>
      <c r="GT57" s="3">
        <f>_xlfn.XLOOKUP(B57,QUERY!$C:$C,QUERY!AU:AU)</f>
        <v>0</v>
      </c>
      <c r="GU57" s="3" t="str">
        <f>_xlfn.XLOOKUP(B57,QUERY!$C:$C,QUERY!AV:AV)</f>
        <v>FALTA RRNA</v>
      </c>
      <c r="GV57" s="3" t="str">
        <f>_xlfn.XLOOKUP(B57,QUERY!$C:$C,QUERY!AW:AW)</f>
        <v>PRODUCTO TERMINADO</v>
      </c>
      <c r="GW57" s="3" t="str">
        <f>_xlfn.XLOOKUP(B57,QUERY!$C:$C,QUERY!AX:AX)</f>
        <v>Verde</v>
      </c>
      <c r="GX57" s="3" t="str">
        <f>_xlfn.XLOOKUP(B57,QUERY!$C:$C,QUERY!AY:AY)</f>
        <v xml:space="preserve"> MLH TRANSPORTE, S.A. DE C.V.</v>
      </c>
      <c r="GY57" s="3" t="str">
        <f>_xlfn.XLOOKUP(B57,QUERY!$C:$C,QUERY!AZ:AZ)</f>
        <v>TRACTOCAMION ECO 02 RED</v>
      </c>
      <c r="GZ57" s="3">
        <f>_xlfn.XLOOKUP(B57,QUERY!$C:$C,QUERY!BA:BA)</f>
        <v>0</v>
      </c>
      <c r="HA57" s="3" t="str">
        <f>_xlfn.XLOOKUP(B57,QUERY!$C:$C,QUERY!BB:BB)</f>
        <v>IME850329RH2</v>
      </c>
      <c r="HB57" s="3">
        <f>_xlfn.XLOOKUP(B57,QUERY!$C:$C,QUERY!BC:BC)</f>
        <v>0</v>
      </c>
      <c r="HC57" s="3">
        <f>_xlfn.XLOOKUP(B57,QUERY!$C:$C,QUERY!BD:BD)</f>
        <v>0.99</v>
      </c>
      <c r="HD57" s="3" t="str">
        <f>_xlfn.XLOOKUP(B57,QUERY!$C:$C,QUERY!BE:BE)</f>
        <v>LOTE: A195A02,LOTE: N269A01</v>
      </c>
      <c r="HE57" s="3">
        <f>_xlfn.XLOOKUP(B57,QUERY!$C:$C,QUERY!BF:BF)</f>
        <v>90</v>
      </c>
      <c r="HF57" s="3" t="str">
        <f>_xlfn.XLOOKUP(B57,QUERY!$C:$C,QUERY!BG:BG)</f>
        <v xml:space="preserve"> 272000.00, 802755.32</v>
      </c>
      <c r="HG57" s="3" t="str">
        <f>_xlfn.XLOOKUP(B57,QUERY!$C:$C,QUERY!BH:BH)</f>
        <v>KILO,KILO</v>
      </c>
      <c r="HH57" s="3">
        <f>_xlfn.XLOOKUP(B57,QUERY!$C:$C,QUERY!BI:BI)</f>
        <v>0</v>
      </c>
      <c r="HI57" s="3" t="str">
        <f>_xlfn.XLOOKUP(B57,QUERY!$C:$C,QUERY!BJ:BJ)</f>
        <v>ALEMANIA (REPUBLICA FEDERAL DE),FRANCIA (REPUBLICA FRANCESA)</v>
      </c>
      <c r="HJ57" s="3" t="str">
        <f>_xlfn.XLOOKUP(B57,QUERY!$C:$C,QUERY!BK:BK)</f>
        <v>PAISES BAJOS (REINO DE LOS) (HOLANDA)</v>
      </c>
      <c r="HK57" s="3" t="str">
        <f>_xlfn.XLOOKUP(B57,QUERY!$C:$C,QUERY!BL:BL)</f>
        <v>DEU,FRA</v>
      </c>
      <c r="HL57" s="3" t="str">
        <f>_xlfn.XLOOKUP(B57,QUERY!$C:$C,QUERY!BM:BM)</f>
        <v>ZYA</v>
      </c>
      <c r="HM57" s="3">
        <f>_xlfn.XLOOKUP(B57,QUERY!$C:$C,QUERY!BN:BN)</f>
        <v>1074755</v>
      </c>
      <c r="HN57" s="3" t="str">
        <f>_xlfn.XLOOKUP(B57,QUERY!$C:$C,QUERY!BO:BO)</f>
        <v>462.00</v>
      </c>
      <c r="HO57" s="3" t="str">
        <f>_xlfn.XLOOKUP(B57,QUERY!$C:$C,QUERY!BP:BP)</f>
        <v>128478.00</v>
      </c>
      <c r="HP57" s="3" t="str">
        <f>_xlfn.XLOOKUP(B57,QUERY!$C:$C,QUERY!BQ:BQ)</f>
        <v>NULL</v>
      </c>
      <c r="HQ57" s="3" t="str">
        <f>_xlfn.XLOOKUP(B57,QUERY!$C:$C,QUERY!BR:BR)</f>
        <v>348588.11</v>
      </c>
      <c r="HR57" s="3">
        <f>_xlfn.XLOOKUP(B57,QUERY!$C:$C,QUERY!BS:BS)</f>
        <v>0</v>
      </c>
      <c r="HS57" s="3">
        <f>_xlfn.XLOOKUP(B57,QUERY!$C:$C,QUERY!BT:BT)</f>
        <v>0</v>
      </c>
      <c r="HT57" s="3" t="str">
        <f>_xlfn.XLOOKUP(B57,QUERY!$C:$C,QUERY!A:A)</f>
        <v>VERACRUZ</v>
      </c>
      <c r="HU57" s="3" t="str">
        <f>_xlfn.XLOOKUP(B57,QUERY!$C:$C,QUERY!B:B)</f>
        <v>MARÍTIMO VERACRUZ</v>
      </c>
    </row>
    <row r="58" spans="1:229" x14ac:dyDescent="0.25">
      <c r="A58" s="3" t="s">
        <v>90</v>
      </c>
      <c r="B58" s="16" t="s">
        <v>233</v>
      </c>
      <c r="C58" s="3">
        <v>3942</v>
      </c>
      <c r="D58" s="3">
        <v>6000244</v>
      </c>
      <c r="E58" s="3"/>
      <c r="F58" s="3" t="s">
        <v>92</v>
      </c>
      <c r="G58" s="3" t="s">
        <v>93</v>
      </c>
      <c r="H58" s="3">
        <v>16</v>
      </c>
      <c r="I58" s="3">
        <v>128478</v>
      </c>
      <c r="J58" s="3">
        <v>0</v>
      </c>
      <c r="K58" s="3">
        <v>0</v>
      </c>
      <c r="L58" s="3" t="s">
        <v>223</v>
      </c>
      <c r="M58" s="3" t="s">
        <v>223</v>
      </c>
      <c r="N58" s="3">
        <v>0</v>
      </c>
      <c r="O58" s="3">
        <v>0</v>
      </c>
      <c r="P58" s="3">
        <v>0</v>
      </c>
      <c r="Q58" s="3">
        <v>0</v>
      </c>
      <c r="R58" s="3">
        <v>430</v>
      </c>
      <c r="S58" s="3" t="s">
        <v>234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238</v>
      </c>
      <c r="AB58" s="3"/>
      <c r="AC58" s="3">
        <v>802755</v>
      </c>
      <c r="AD58" s="3">
        <v>733.77971000000002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/>
      <c r="AP58" s="3" t="s">
        <v>98</v>
      </c>
      <c r="AQ58" s="3">
        <v>210363769</v>
      </c>
      <c r="AR58" s="3" t="s">
        <v>99</v>
      </c>
      <c r="AS58" s="3" t="s">
        <v>100</v>
      </c>
      <c r="AT58" s="3">
        <v>0</v>
      </c>
      <c r="AU58" s="3">
        <v>0</v>
      </c>
      <c r="AV58" s="3">
        <v>0</v>
      </c>
      <c r="AW58" s="3">
        <v>38086201</v>
      </c>
      <c r="AX58" s="3">
        <v>0</v>
      </c>
      <c r="AY58" s="3">
        <v>1094</v>
      </c>
      <c r="AZ58" s="3">
        <v>1094</v>
      </c>
      <c r="BA58" s="3" t="s">
        <v>121</v>
      </c>
      <c r="BB58" s="3"/>
      <c r="BC58" s="3" t="s">
        <v>104</v>
      </c>
      <c r="BD58" s="3" t="s">
        <v>105</v>
      </c>
      <c r="BE58" s="3"/>
      <c r="BF58" s="3"/>
      <c r="BG58" s="5"/>
      <c r="BH58" s="3"/>
      <c r="BI58" s="3"/>
      <c r="BJ58" s="3"/>
      <c r="BK58" s="3" t="s">
        <v>239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 t="s">
        <v>192</v>
      </c>
      <c r="CF58" s="3">
        <v>0</v>
      </c>
      <c r="CG58" s="3">
        <v>0</v>
      </c>
      <c r="CH58" s="3">
        <v>0</v>
      </c>
      <c r="CI58" s="3" t="s">
        <v>112</v>
      </c>
      <c r="CJ58" s="3" t="s">
        <v>112</v>
      </c>
      <c r="CK58" s="3">
        <f>_xlfn.XLOOKUP($B$2,'BASE DE EXCEL'!C:C,'BASE DE EXCEL'!D:D,"NO HAY REFERENCIA")</f>
        <v>470</v>
      </c>
      <c r="CL58" s="5">
        <f>_xlfn.XLOOKUP($B$2,'BASE DE EXCEL'!$C:$C,'BASE DE EXCEL'!F:F,"NO HAY REFERENCIA")</f>
        <v>3</v>
      </c>
      <c r="CM58" s="4">
        <f>_xlfn.XLOOKUP($B$2,'BASE DE EXCEL'!$C:$C,'BASE DE EXCEL'!G:G,"NO HAY REFERENCIA")</f>
        <v>46080</v>
      </c>
      <c r="CN58" s="4">
        <f>_xlfn.XLOOKUP($B$2,'BASE DE EXCEL'!$C:$C,'BASE DE EXCEL'!H:H,"NO HAY REFERENCIA")</f>
        <v>46086</v>
      </c>
      <c r="CO58" s="3">
        <f>_xlfn.XLOOKUP($B$2,'BASE DE EXCEL'!$C:$C,'BASE DE EXCEL'!I:I,"NO HAY REFERENCIA")</f>
        <v>4</v>
      </c>
      <c r="CP58" s="3" t="str">
        <f>_xlfn.XLOOKUP($B$2,'BASE DE EXCEL'!$C:$C,'BASE DE EXCEL'!J:J,"NO HAY REFERENCIA")</f>
        <v>4 a 5 días</v>
      </c>
      <c r="CQ58" s="4">
        <f>_xlfn.XLOOKUP($B$2,'BASE DE EXCEL'!$C:$C,'BASE DE EXCEL'!K:K,"NO HAY REFERENCIA")</f>
        <v>46087</v>
      </c>
      <c r="CR58" s="3">
        <f>_xlfn.XLOOKUP($B$2,'BASE DE EXCEL'!$C:$C,'BASE DE EXCEL'!L:L,"NO HAY REFERENCIA")</f>
        <v>5</v>
      </c>
      <c r="CS58" s="3">
        <f>_xlfn.XLOOKUP($B$2,'BASE DE EXCEL'!$C:$C,'BASE DE EXCEL'!M:M,"NO HAY REFERENCIA")</f>
        <v>6</v>
      </c>
      <c r="CT58" s="3" t="str">
        <f>_xlfn.XLOOKUP($B$2,'BASE DE EXCEL'!$C:$C,'BASE DE EXCEL'!N:N,"NO HAY REFERENCIA")</f>
        <v>6 a 10 días</v>
      </c>
      <c r="CU58" s="3" t="str">
        <f>_xlfn.XLOOKUP($B$2,'BASE DE EXCEL'!$C:$C,'BASE DE EXCEL'!O:O,"NO HAY REFERENCIA")</f>
        <v>On Time</v>
      </c>
      <c r="CV58" s="3" t="str">
        <f>_xlfn.XLOOKUP(B58,'BASE DE EXCEL'!$C:$C,'BASE DE EXCEL'!P:P,"NO HAY REFERENCIA")</f>
        <v>16 o más días</v>
      </c>
      <c r="CW58" s="4">
        <f>_xlfn.XLOOKUP(B58,'BASE DE EXCEL'!$C:$C,'BASE DE EXCEL'!Q:Q,"NO HAY REFERENCIA")</f>
        <v>46093</v>
      </c>
      <c r="CX58" s="3">
        <f>_xlfn.XLOOKUP(B58,'BASE DE EXCEL'!$C:$C,'BASE DE EXCEL'!R:R,"NO HAY REFERENCIA")</f>
        <v>19</v>
      </c>
      <c r="CY58" s="3" t="str">
        <f>_xlfn.XLOOKUP(B58,'BASE DE EXCEL'!$C:$C,'BASE DE EXCEL'!S:S,"NO HAY REFERENCIA")</f>
        <v>más de 16 días</v>
      </c>
      <c r="CZ58" s="3" t="str">
        <f>_xlfn.XLOOKUP(B58,'BASE DE EXCEL'!$C:$C,'BASE DE EXCEL'!T:T,"NO HAY REFERENCIA")</f>
        <v>Delayed</v>
      </c>
      <c r="DA58" s="3">
        <f>_xlfn.XLOOKUP(B58,'BASE DE EXCEL'!$C:$C,'BASE DE EXCEL'!U:U,"NO HAY REFERENCIA")</f>
        <v>24</v>
      </c>
      <c r="DB58" s="3" t="str">
        <f>_xlfn.XLOOKUP(B58,'BASE DE EXCEL'!$C:$C,'BASE DE EXCEL'!V:V,"NO HAY REFERENCIA")</f>
        <v>mas de 16 dias</v>
      </c>
      <c r="DC58" s="3">
        <f>_xlfn.XLOOKUP(B58,'BASE DE EXCEL'!$C:$C,'BASE DE EXCEL'!W:W,"NO HAY REFERENCIA")</f>
        <v>31</v>
      </c>
      <c r="DD58" s="3" t="str">
        <f>_xlfn.XLOOKUP(B58,'BASE DE EXCEL'!$C:$C,'BASE DE EXCEL'!X:X,"NO HAY REFERENCIA")</f>
        <v>más de 16 días</v>
      </c>
      <c r="DE58" s="3">
        <f>_xlfn.XLOOKUP(B58,'BASE DE EXCEL'!$C:$C,'BASE DE EXCEL'!Y:Y,"NO HAY REFERENCIA")</f>
        <v>4</v>
      </c>
      <c r="DF58" s="3" t="str">
        <f>_xlfn.XLOOKUP(B58,'BASE DE EXCEL'!$C:$C,'BASE DE EXCEL'!Z:Z,"NO HAY REFERENCIA")</f>
        <v>4 a 5 días</v>
      </c>
      <c r="DG58" s="3">
        <f>_xlfn.XLOOKUP(B58,'BASE DE EXCEL'!$C:$C,'BASE DE EXCEL'!AA:AA,"NO HAY REFERENCIA")</f>
        <v>15</v>
      </c>
      <c r="DH58" s="3">
        <f>_xlfn.XLOOKUP(B58,'BASE DE EXCEL'!$C:$C,'BASE DE EXCEL'!AB:AB,"NO HAY REFERENCIA")</f>
        <v>3</v>
      </c>
      <c r="DI58" s="3" t="str">
        <f>_xlfn.XLOOKUP(B58,'BASE DE EXCEL'!$C:$C,'BASE DE EXCEL'!AC:AC,"NO HAY REFERENCIA")</f>
        <v>2 a 3 días</v>
      </c>
      <c r="DJ58" s="4">
        <f>_xlfn.XLOOKUP(B58,'BASE DE EXCEL'!$C:$C,'BASE DE EXCEL'!AD:AD,"NO HAY REFERENCIA")</f>
        <v>46112</v>
      </c>
      <c r="DK58" s="3">
        <f>_xlfn.XLOOKUP(B58,'BASE DE EXCEL'!$C:$C,'BASE DE EXCEL'!AE:AE,"NO HAY REFERENCIA")</f>
        <v>-46091</v>
      </c>
      <c r="DL58" s="3">
        <f>_xlfn.XLOOKUP(B58,'BASE DE EXCEL'!$C:$C,'BASE DE EXCEL'!AF:AF,"NO HAY REFERENCIA")</f>
        <v>13</v>
      </c>
      <c r="DM58" s="4">
        <f>_xlfn.XLOOKUP(B58,'BASE DE EXCEL'!$C:$C,'BASE DE EXCEL'!AG:AG,"NO HAY REFERENCIA")</f>
        <v>0</v>
      </c>
      <c r="DN58" s="4">
        <f>_xlfn.XLOOKUP(B58,'BASE DE EXCEL'!$C:$C,'BASE DE EXCEL'!AH:AH,"NO HAY REFERENCIA")</f>
        <v>46112</v>
      </c>
      <c r="DO58" s="3">
        <f>_xlfn.XLOOKUP(B58,'BASE DE EXCEL'!$C:$C,'BASE DE EXCEL'!AI:AI,"NO HAY REFERENCIA")</f>
        <v>46110</v>
      </c>
      <c r="DP58" s="4" t="str">
        <f>_xlfn.XLOOKUP(B58,'BASE DE EXCEL'!$C:$C,'BASE DE EXCEL'!AJ:AJ,"NO HAY REFERENCIA")</f>
        <v>más de 16 días</v>
      </c>
      <c r="DQ58" s="4">
        <f>_xlfn.XLOOKUP(B58,'BASE DE EXCEL'!$C:$C,'BASE DE EXCEL'!AK:AK,"NO HAY REFERENCIA")</f>
        <v>46112</v>
      </c>
      <c r="DR58" s="3">
        <f>_xlfn.XLOOKUP(B58,'BASE DE EXCEL'!$C:$C,'BASE DE EXCEL'!AL:AL,"NO HAY REFERENCIA")</f>
        <v>13</v>
      </c>
      <c r="DS58" s="3" t="str">
        <f>_xlfn.XLOOKUP(B58,'BASE DE EXCEL'!$C:$C,'BASE DE EXCEL'!AM:AM,"NO HAY REFERENCIA")</f>
        <v>11 a 15 días</v>
      </c>
      <c r="DT58" s="3" t="str">
        <f>_xlfn.XLOOKUP(B58,'BASE DE EXCEL'!$C:$C,'BASE DE EXCEL'!AN:AN,"NO HAY REFERENCIA")</f>
        <v>Delayed</v>
      </c>
      <c r="DU58" s="3">
        <f>_xlfn.XLOOKUP(B58,'BASE DE EXCEL'!$C:$C,'BASE DE EXCEL'!AO:AO,"NO HAY REFERENCIA")</f>
        <v>1</v>
      </c>
      <c r="DV58" s="3" t="str">
        <f>_xlfn.XLOOKUP(B58,'BASE DE EXCEL'!$C:$C,'BASE DE EXCEL'!AP:AP,"NO HAY REFERENCIA")</f>
        <v>Es anterior</v>
      </c>
      <c r="DW58" s="3" t="str">
        <f>_xlfn.XLOOKUP(B58,'BASE DE EXCEL'!$C:$C,'BASE DE EXCEL'!AQ:AQ,"NO HAY REFERENCIA")</f>
        <v>A1</v>
      </c>
      <c r="DX58" s="3" t="str">
        <f>_xlfn.XLOOKUP(B58,'BASE DE EXCEL'!$C:$C,'BASE DE EXCEL'!AR:AR,"NO HAY REFERENCIA")</f>
        <v>ZULEIMA PEREZ RUIZ</v>
      </c>
      <c r="DY58" s="3" t="str">
        <f>_xlfn.XLOOKUP(B58,'BASE DE EXCEL'!$C:$C,'BASE DE EXCEL'!AS:AS,"NO HAY REFERENCIA")</f>
        <v>HLCUANR260133096</v>
      </c>
      <c r="DZ58" s="3" t="str">
        <f>_xlfn.XLOOKUP(B58,'BASE DE EXCEL'!$C:$C,'BASE DE EXCEL'!AT:AT,"NO HAY REFERENCIA")</f>
        <v>NULL</v>
      </c>
      <c r="EA58" s="3">
        <f>_xlfn.XLOOKUP(B58,'BASE DE EXCEL'!$C:$C,'BASE DE EXCEL'!AU:AU,"NO HAY REFERENCIA")</f>
        <v>6000244</v>
      </c>
      <c r="EB58" s="3" t="str">
        <f>_xlfn.XLOOKUP(B58,'BASE DE EXCEL'!$C:$C,'BASE DE EXCEL'!AV:AV,"NO HAY REFERENCIA")</f>
        <v>Importación</v>
      </c>
      <c r="EC58" s="3" t="str">
        <f>_xlfn.XLOOKUP(B58,'BASE DE EXCEL'!$C:$C,'BASE DE EXCEL'!AW:AW,"NO HAY REFERENCIA")</f>
        <v>SALIX (MEDICAMENTO DOSIFICADO DE USO VETERINARIO)</v>
      </c>
      <c r="ED58" s="3" t="str">
        <f>_xlfn.XLOOKUP(B58,'BASE DE EXCEL'!$C:$C,'BASE DE EXCEL'!AX:AX,"NO HAY REFERENCIA")</f>
        <v>SIN CLASIFICACION</v>
      </c>
      <c r="EE58" s="3">
        <f>_xlfn.XLOOKUP(B58,'BASE DE EXCEL'!$C:$C,'BASE DE EXCEL'!AY:AY,"NO HAY REFERENCIA")</f>
        <v>0</v>
      </c>
      <c r="EF58" s="3" t="str">
        <f>_xlfn.XLOOKUP(B58,'BASE DE EXCEL'!$C:$C,'BASE DE EXCEL'!AZ:AZ,"NO HAY REFERENCIA")</f>
        <v>Cargas de Importación</v>
      </c>
      <c r="EG58" s="3" t="str">
        <f>_xlfn.XLOOKUP(B58,'BASE DE EXCEL'!$C:$C,'BASE DE EXCEL'!BA:BA,"NO HAY REFERENCIA")</f>
        <v>INTERVET MEXICO SA DE CV</v>
      </c>
      <c r="EH58" s="3">
        <f>_xlfn.XLOOKUP(B58,'BASE DE EXCEL'!$C:$C,'BASE DE EXCEL'!BB:BB,"NO HAY REFERENCIA")</f>
        <v>0</v>
      </c>
      <c r="EI58" s="3" t="str">
        <f>_xlfn.XLOOKUP(B58,'BASE DE EXCEL'!$C:$C,'BASE DE EXCEL'!BC:BC,"NO HAY REFERENCIA")</f>
        <v>FALTA RRNA</v>
      </c>
      <c r="EJ58" s="3">
        <f>_xlfn.XLOOKUP(B58,'BASE DE EXCEL'!$C:$C,'BASE DE EXCEL'!BD:BD,"NO HAY REFERENCIA")</f>
        <v>0</v>
      </c>
      <c r="EK58" s="3" t="str">
        <f>_xlfn.XLOOKUP(B58,'BASE DE EXCEL'!$C:$C,'BASE DE EXCEL'!BE:BE,"NO HAY REFERENCIA")</f>
        <v>FALTA RRNA</v>
      </c>
      <c r="EL58" s="3" t="str">
        <f>_xlfn.XLOOKUP(B58,'BASE DE EXCEL'!$C:$C,'BASE DE EXCEL'!BF:BF,"NO HAY REFERENCIA")</f>
        <v>PRODUCTO TERMINADO</v>
      </c>
      <c r="EM58" s="3" t="str">
        <f>_xlfn.XLOOKUP(B58,'BASE DE EXCEL'!$C:$C,'BASE DE EXCEL'!BG:BG,"NO HAY REFERENCIA")</f>
        <v>Verde</v>
      </c>
      <c r="EN58" s="3" t="str">
        <f>_xlfn.XLOOKUP(B58,'BASE DE EXCEL'!$C:$C,'BASE DE EXCEL'!BH:BH,"NO HAY REFERENCIA")</f>
        <v xml:space="preserve"> MLH TRANSPORTE, S.A. DE C.V.</v>
      </c>
      <c r="EO58" s="3" t="str">
        <f>_xlfn.XLOOKUP(B58,'BASE DE EXCEL'!$C:$C,'BASE DE EXCEL'!BI:BI,"NO HAY REFERENCIA")</f>
        <v>TRACTOCAMION ECO 02 RED</v>
      </c>
      <c r="EP58" s="3">
        <f>_xlfn.XLOOKUP(B58,'BASE DE EXCEL'!$C:$C,'BASE DE EXCEL'!BJ:BJ,"NO HAY REFERENCIA")</f>
        <v>0</v>
      </c>
      <c r="EQ58" s="3" t="str">
        <f>_xlfn.XLOOKUP(B58,'BASE DE EXCEL'!$C:$C,'BASE DE EXCEL'!BK:BK,"NO HAY REFERENCIA")</f>
        <v>IME850329RH2</v>
      </c>
      <c r="ER58" s="3">
        <f>_xlfn.XLOOKUP(B58,'BASE DE EXCEL'!$C:$C,'BASE DE EXCEL'!BL:BL,"NO HAY REFERENCIA")</f>
        <v>0</v>
      </c>
      <c r="ES58" s="3" t="str">
        <f>_xlfn.XLOOKUP(B58,'BASE DE EXCEL'!$C:$C,'BASE DE EXCEL'!BM:BM,"NO HAY REFERENCIA")</f>
        <v>00,99</v>
      </c>
      <c r="ET58" s="3" t="str">
        <f>_xlfn.XLOOKUP(B58,'BASE DE EXCEL'!$C:$C,'BASE DE EXCEL'!BN:BN,"NO HAY REFERENCIA")</f>
        <v>LOTE: A195A02,LOTE: N269A01</v>
      </c>
      <c r="EU58" s="3">
        <f>_xlfn.XLOOKUP(B58,'BASE DE EXCEL'!$C:$C,'BASE DE EXCEL'!BO:BO,"NO HAY REFERENCIA")</f>
        <v>90</v>
      </c>
      <c r="EV58" s="3" t="str">
        <f>_xlfn.XLOOKUP(B58,'BASE DE EXCEL'!$C:$C,'BASE DE EXCEL'!BP:BP,"NO HAY REFERENCIA")</f>
        <v xml:space="preserve"> 272000.00, 802755.32</v>
      </c>
      <c r="EW58" s="3" t="str">
        <f>_xlfn.XLOOKUP(B58,'BASE DE EXCEL'!$C:$C,'BASE DE EXCEL'!BQ:BQ,"NO HAY REFERENCIA")</f>
        <v>KILO,KILO</v>
      </c>
      <c r="EX58" s="3">
        <f>_xlfn.XLOOKUP(B58,'BASE DE EXCEL'!$C:$C,'BASE DE EXCEL'!BR:BR,"NO HAY REFERENCIA")</f>
        <v>0</v>
      </c>
      <c r="EY58" s="3" t="str">
        <f>_xlfn.XLOOKUP(B58,'BASE DE EXCEL'!$C:$C,'BASE DE EXCEL'!BS:BS,"NO HAY REFERENCIA")</f>
        <v>ALEMANIA (REPUBLICA FEDERAL DE),FRANCIA (REPUBLICA FRANCESA)</v>
      </c>
      <c r="EZ58" s="3" t="str">
        <f>_xlfn.XLOOKUP(B58,'BASE DE EXCEL'!$C:$C,'BASE DE EXCEL'!BT:BT,"NO HAY REFERENCIA")</f>
        <v>PAISES BAJOS (REINO DE LOS) (HOLANDA)</v>
      </c>
      <c r="FA58" s="3" t="str">
        <f>_xlfn.XLOOKUP(B58,'BASE DE EXCEL'!$C:$C,'BASE DE EXCEL'!BU:BU,"NO HAY REFERENCIA")</f>
        <v>DEU,FRA</v>
      </c>
      <c r="FB58" s="3" t="str">
        <f>_xlfn.XLOOKUP(B58,'BASE DE EXCEL'!$C:$C,'BASE DE EXCEL'!BV:BV,"NO HAY REFERENCIA")</f>
        <v>ZYA</v>
      </c>
      <c r="FC58" s="3">
        <f>_xlfn.XLOOKUP(B58,QUERY!$C:$C,QUERY!D:D)</f>
        <v>430</v>
      </c>
      <c r="FD58" s="4">
        <f>_xlfn.XLOOKUP(B58,QUERY!$C:$C,QUERY!E:E)</f>
        <v>46084</v>
      </c>
      <c r="FE58" s="3">
        <f>_xlfn.XLOOKUP(B58,QUERY!$C:$C,QUERY!F:F)</f>
        <v>3</v>
      </c>
      <c r="FF58" s="4">
        <f>_xlfn.XLOOKUP(B58,QUERY!$C:$C,QUERY!G:G)</f>
        <v>46069</v>
      </c>
      <c r="FG58" s="4">
        <f>_xlfn.XLOOKUP(B58,QUERY!$C:$C,QUERY!H:H)</f>
        <v>46084</v>
      </c>
      <c r="FH58" s="3">
        <f>_xlfn.XLOOKUP(B58,QUERY!$C:$C,QUERY!I:I)</f>
        <v>11</v>
      </c>
      <c r="FI58" s="3" t="str">
        <f>_xlfn.XLOOKUP(B58,QUERY!$C:$C,QUERY!J:J)</f>
        <v>11 a 15 días</v>
      </c>
      <c r="FJ58" s="4">
        <f>_xlfn.XLOOKUP(B58,QUERY!$C:$C,QUERY!K:K)</f>
        <v>46090</v>
      </c>
      <c r="FK58" s="3">
        <f>_xlfn.XLOOKUP(B58,QUERY!$C:$C,QUERY!L:L)</f>
        <v>15</v>
      </c>
      <c r="FL58" s="3" t="str">
        <f>_xlfn.XLOOKUP(B58,QUERY!$C:$C,QUERY!M:M)</f>
        <v>11 a 15 días</v>
      </c>
      <c r="FM58" s="3">
        <f>_xlfn.XLOOKUP(B58,QUERY!$C:$C,QUERY!N:N)</f>
        <v>4</v>
      </c>
      <c r="FN58" s="3" t="str">
        <f>_xlfn.XLOOKUP(B58,QUERY!$C:$C,QUERY!O:O)</f>
        <v>4 a 5 días</v>
      </c>
      <c r="FO58" s="3">
        <f>_xlfn.XLOOKUP(B58,QUERY!$C:$C,QUERY!P:P)</f>
        <v>4</v>
      </c>
      <c r="FP58" s="3">
        <f>_xlfn.XLOOKUP(B58,QUERY!$C:$C,QUERY!Q:Q)</f>
        <v>3</v>
      </c>
      <c r="FQ58" s="3" t="str">
        <f>_xlfn.XLOOKUP(B58,QUERY!$C:$C,QUERY!R:R)</f>
        <v>2 a 3 días</v>
      </c>
      <c r="FR58" s="4">
        <f>_xlfn.XLOOKUP(B58,QUERY!$C:$C,QUERY!S:S)</f>
        <v>46093</v>
      </c>
      <c r="FS58" s="3">
        <f>_xlfn.XLOOKUP(B58,QUERY!$C:$C,QUERY!T:T)</f>
        <v>18</v>
      </c>
      <c r="FT58" s="3" t="str">
        <f>_xlfn.XLOOKUP(B58,QUERY!$C:$C,QUERY!U:U)</f>
        <v>mas de 16 dias</v>
      </c>
      <c r="FU58" s="3">
        <f>_xlfn.XLOOKUP(B58,QUERY!$C:$C,QUERY!V:V)</f>
        <v>31</v>
      </c>
      <c r="FV58" s="3" t="str">
        <f>_xlfn.XLOOKUP(B58,QUERY!$C:$C,QUERY!W:W)</f>
        <v>más de 16 días</v>
      </c>
      <c r="FW58" s="4">
        <f>_xlfn.XLOOKUP(B58,QUERY!$C:$C,QUERY!X:X)</f>
        <v>46112</v>
      </c>
      <c r="FX58" s="3">
        <f>_xlfn.XLOOKUP(B58,QUERY!$C:$C,QUERY!Y:Y)</f>
        <v>12</v>
      </c>
      <c r="FY58" s="3">
        <f>_xlfn.XLOOKUP(B58,QUERY!$C:$C,QUERY!Z:Z)</f>
        <v>13</v>
      </c>
      <c r="FZ58" s="4" t="str">
        <f>_xlfn.XLOOKUP(B58,QUERY!$C:$C,QUERY!AA:AA)</f>
        <v>más de 16 días</v>
      </c>
      <c r="GA58" s="4">
        <f>_xlfn.XLOOKUP(B58,QUERY!$C:$C,QUERY!AB:AB)</f>
        <v>46111</v>
      </c>
      <c r="GB58" s="4">
        <f>_xlfn.XLOOKUP(B58,QUERY!$C:$C,QUERY!AC:AC)</f>
        <v>46112</v>
      </c>
      <c r="GC58" s="3">
        <f>_xlfn.XLOOKUP(B58,QUERY!$C:$C,QUERY!AD:AD)</f>
        <v>1</v>
      </c>
      <c r="GD58" s="4">
        <f>_xlfn.XLOOKUP(B58,QUERY!$C:$C,QUERY!AE:AE)</f>
        <v>46112</v>
      </c>
      <c r="GE58" s="3">
        <f>_xlfn.XLOOKUP(B58,QUERY!$C:$C,QUERY!AF:AF)</f>
        <v>1</v>
      </c>
      <c r="GF58" s="4" t="str">
        <f>_xlfn.XLOOKUP(B58,QUERY!$C:$C,QUERY!AG:AG)</f>
        <v>Es anterior</v>
      </c>
      <c r="GG58" s="3" t="str">
        <f>_xlfn.XLOOKUP(B58,QUERY!$C:$C,QUERY!AH:AH)</f>
        <v>A1</v>
      </c>
      <c r="GH58" s="3" t="str">
        <f>_xlfn.XLOOKUP(B58,QUERY!$C:$C,QUERY!AI:AI)</f>
        <v>ZULEIMA PEREZ RUIZ</v>
      </c>
      <c r="GI58" s="3" t="str">
        <f>_xlfn.XLOOKUP(B58,QUERY!$C:$C,QUERY!AJ:AJ)</f>
        <v>HLCUANR260133096</v>
      </c>
      <c r="GJ58" s="3" t="str">
        <f>_xlfn.XLOOKUP(B58,QUERY!$C:$C,QUERY!AK:AK)</f>
        <v>NULL</v>
      </c>
      <c r="GK58" s="3">
        <f>_xlfn.XLOOKUP(B58,QUERY!$C:$C,QUERY!AL:AL)</f>
        <v>6000244</v>
      </c>
      <c r="GL58" s="3" t="str">
        <f>_xlfn.XLOOKUP(B58,QUERY!$C:$C,QUERY!AM:AM)</f>
        <v>Importación</v>
      </c>
      <c r="GM58" s="3" t="str">
        <f>_xlfn.XLOOKUP(B58,QUERY!$C:$C,QUERY!AN:AN)</f>
        <v>SALIX (MEDICAMENTO DOSIFICADO DE USO VETERINARIO)</v>
      </c>
      <c r="GN58" s="3" t="str">
        <f>_xlfn.XLOOKUP(B58,QUERY!$C:$C,QUERY!AO:AO)</f>
        <v>SIN CLASIFICACION</v>
      </c>
      <c r="GO58" s="3">
        <f>_xlfn.XLOOKUP(B58,QUERY!$C:$C,QUERY!AP:AP)</f>
        <v>0</v>
      </c>
      <c r="GP58" s="3" t="str">
        <f>_xlfn.XLOOKUP(B58,QUERY!$C:$C,QUERY!AQ:AQ)</f>
        <v>Cargas de Importación</v>
      </c>
      <c r="GQ58" s="3" t="str">
        <f>_xlfn.XLOOKUP(B58,QUERY!$C:$C,QUERY!AR:AR)</f>
        <v>INTERVET MEXICO SA DE CV</v>
      </c>
      <c r="GR58" s="3">
        <f>_xlfn.XLOOKUP(B58,QUERY!$C:$C,QUERY!AS:AS)</f>
        <v>0</v>
      </c>
      <c r="GS58" s="3" t="str">
        <f>_xlfn.XLOOKUP(B58,QUERY!$C:$C,QUERY!AT:AT)</f>
        <v>FALTA RRNA</v>
      </c>
      <c r="GT58" s="3">
        <f>_xlfn.XLOOKUP(B58,QUERY!$C:$C,QUERY!AU:AU)</f>
        <v>0</v>
      </c>
      <c r="GU58" s="3" t="str">
        <f>_xlfn.XLOOKUP(B58,QUERY!$C:$C,QUERY!AV:AV)</f>
        <v>FALTA RRNA</v>
      </c>
      <c r="GV58" s="3" t="str">
        <f>_xlfn.XLOOKUP(B58,QUERY!$C:$C,QUERY!AW:AW)</f>
        <v>PRODUCTO TERMINADO</v>
      </c>
      <c r="GW58" s="3" t="str">
        <f>_xlfn.XLOOKUP(B58,QUERY!$C:$C,QUERY!AX:AX)</f>
        <v>Verde</v>
      </c>
      <c r="GX58" s="3" t="str">
        <f>_xlfn.XLOOKUP(B58,QUERY!$C:$C,QUERY!AY:AY)</f>
        <v xml:space="preserve"> MLH TRANSPORTE, S.A. DE C.V.</v>
      </c>
      <c r="GY58" s="3" t="str">
        <f>_xlfn.XLOOKUP(B58,QUERY!$C:$C,QUERY!AZ:AZ)</f>
        <v>TRACTOCAMION ECO 02 RED</v>
      </c>
      <c r="GZ58" s="3">
        <f>_xlfn.XLOOKUP(B58,QUERY!$C:$C,QUERY!BA:BA)</f>
        <v>0</v>
      </c>
      <c r="HA58" s="3" t="str">
        <f>_xlfn.XLOOKUP(B58,QUERY!$C:$C,QUERY!BB:BB)</f>
        <v>IME850329RH2</v>
      </c>
      <c r="HB58" s="3">
        <f>_xlfn.XLOOKUP(B58,QUERY!$C:$C,QUERY!BC:BC)</f>
        <v>0</v>
      </c>
      <c r="HC58" s="3">
        <f>_xlfn.XLOOKUP(B58,QUERY!$C:$C,QUERY!BD:BD)</f>
        <v>0.99</v>
      </c>
      <c r="HD58" s="3" t="str">
        <f>_xlfn.XLOOKUP(B58,QUERY!$C:$C,QUERY!BE:BE)</f>
        <v>LOTE: A195A02,LOTE: N269A01</v>
      </c>
      <c r="HE58" s="3">
        <f>_xlfn.XLOOKUP(B58,QUERY!$C:$C,QUERY!BF:BF)</f>
        <v>90</v>
      </c>
      <c r="HF58" s="3" t="str">
        <f>_xlfn.XLOOKUP(B58,QUERY!$C:$C,QUERY!BG:BG)</f>
        <v xml:space="preserve"> 272000.00, 802755.32</v>
      </c>
      <c r="HG58" s="3" t="str">
        <f>_xlfn.XLOOKUP(B58,QUERY!$C:$C,QUERY!BH:BH)</f>
        <v>KILO,KILO</v>
      </c>
      <c r="HH58" s="3">
        <f>_xlfn.XLOOKUP(B58,QUERY!$C:$C,QUERY!BI:BI)</f>
        <v>0</v>
      </c>
      <c r="HI58" s="3" t="str">
        <f>_xlfn.XLOOKUP(B58,QUERY!$C:$C,QUERY!BJ:BJ)</f>
        <v>ALEMANIA (REPUBLICA FEDERAL DE),FRANCIA (REPUBLICA FRANCESA)</v>
      </c>
      <c r="HJ58" s="3" t="str">
        <f>_xlfn.XLOOKUP(B58,QUERY!$C:$C,QUERY!BK:BK)</f>
        <v>PAISES BAJOS (REINO DE LOS) (HOLANDA)</v>
      </c>
      <c r="HK58" s="3" t="str">
        <f>_xlfn.XLOOKUP(B58,QUERY!$C:$C,QUERY!BL:BL)</f>
        <v>DEU,FRA</v>
      </c>
      <c r="HL58" s="3" t="str">
        <f>_xlfn.XLOOKUP(B58,QUERY!$C:$C,QUERY!BM:BM)</f>
        <v>ZYA</v>
      </c>
      <c r="HM58" s="3">
        <f>_xlfn.XLOOKUP(B58,QUERY!$C:$C,QUERY!BN:BN)</f>
        <v>1074755</v>
      </c>
      <c r="HN58" s="3" t="str">
        <f>_xlfn.XLOOKUP(B58,QUERY!$C:$C,QUERY!BO:BO)</f>
        <v>462.00</v>
      </c>
      <c r="HO58" s="3" t="str">
        <f>_xlfn.XLOOKUP(B58,QUERY!$C:$C,QUERY!BP:BP)</f>
        <v>128478.00</v>
      </c>
      <c r="HP58" s="3" t="str">
        <f>_xlfn.XLOOKUP(B58,QUERY!$C:$C,QUERY!BQ:BQ)</f>
        <v>NULL</v>
      </c>
      <c r="HQ58" s="3" t="str">
        <f>_xlfn.XLOOKUP(B58,QUERY!$C:$C,QUERY!BR:BR)</f>
        <v>348588.11</v>
      </c>
      <c r="HR58" s="3">
        <f>_xlfn.XLOOKUP(B58,QUERY!$C:$C,QUERY!BS:BS)</f>
        <v>0</v>
      </c>
      <c r="HS58" s="3">
        <f>_xlfn.XLOOKUP(B58,QUERY!$C:$C,QUERY!BT:BT)</f>
        <v>0</v>
      </c>
      <c r="HT58" s="3" t="str">
        <f>_xlfn.XLOOKUP(B58,QUERY!$C:$C,QUERY!A:A)</f>
        <v>VERACRUZ</v>
      </c>
      <c r="HU58" s="3" t="str">
        <f>_xlfn.XLOOKUP(B58,QUERY!$C:$C,QUERY!B:B)</f>
        <v>MARÍTIMO VERACRUZ</v>
      </c>
    </row>
    <row r="59" spans="1:229" x14ac:dyDescent="0.25">
      <c r="A59" s="3" t="s">
        <v>90</v>
      </c>
      <c r="B59" s="17" t="s">
        <v>341</v>
      </c>
      <c r="C59" s="3">
        <v>3942</v>
      </c>
      <c r="D59" s="3">
        <v>6000406</v>
      </c>
      <c r="E59" s="3">
        <v>6000244</v>
      </c>
      <c r="F59" s="3" t="s">
        <v>92</v>
      </c>
      <c r="G59" s="3" t="s">
        <v>342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17.2</v>
      </c>
      <c r="Q59" s="3">
        <v>708.6</v>
      </c>
      <c r="R59" s="3">
        <v>430</v>
      </c>
      <c r="S59" s="3" t="s">
        <v>234</v>
      </c>
      <c r="T59" s="3" t="s">
        <v>130</v>
      </c>
      <c r="U59" s="3">
        <v>1074755</v>
      </c>
      <c r="V59" s="3">
        <v>1074755</v>
      </c>
      <c r="W59" s="3">
        <v>0</v>
      </c>
      <c r="X59" s="3">
        <v>0</v>
      </c>
      <c r="Y59" s="3">
        <v>0</v>
      </c>
      <c r="Z59" s="3">
        <v>0</v>
      </c>
      <c r="AA59" s="3" t="s">
        <v>235</v>
      </c>
      <c r="AB59" s="3"/>
      <c r="AC59" s="3">
        <v>272000</v>
      </c>
      <c r="AD59" s="3">
        <v>68</v>
      </c>
      <c r="AE59" s="3">
        <v>808</v>
      </c>
      <c r="AF59" s="3">
        <v>16</v>
      </c>
      <c r="AG59" s="3">
        <v>0</v>
      </c>
      <c r="AH59" s="3">
        <v>0</v>
      </c>
      <c r="AI59" s="3">
        <v>0</v>
      </c>
      <c r="AJ59" s="3">
        <v>444</v>
      </c>
      <c r="AK59" s="3">
        <v>0</v>
      </c>
      <c r="AL59" s="3">
        <v>0</v>
      </c>
      <c r="AM59" s="3">
        <v>330</v>
      </c>
      <c r="AN59" s="3">
        <v>444</v>
      </c>
      <c r="AO59" s="3" t="s">
        <v>97</v>
      </c>
      <c r="AP59" s="3" t="s">
        <v>98</v>
      </c>
      <c r="AQ59" s="3">
        <v>210363667</v>
      </c>
      <c r="AR59" s="3" t="s">
        <v>99</v>
      </c>
      <c r="AS59" s="3" t="s">
        <v>100</v>
      </c>
      <c r="AT59" s="3" t="s">
        <v>236</v>
      </c>
      <c r="AU59" s="3"/>
      <c r="AV59" s="3" t="s">
        <v>102</v>
      </c>
      <c r="AW59" s="3">
        <v>30049099</v>
      </c>
      <c r="AX59" s="3">
        <v>99</v>
      </c>
      <c r="AY59" s="3">
        <v>4000</v>
      </c>
      <c r="AZ59" s="3">
        <v>4000</v>
      </c>
      <c r="BA59" s="3" t="s">
        <v>103</v>
      </c>
      <c r="BB59" s="3"/>
      <c r="BC59" s="3" t="s">
        <v>126</v>
      </c>
      <c r="BD59" s="3" t="s">
        <v>105</v>
      </c>
      <c r="BE59" s="3" t="s">
        <v>106</v>
      </c>
      <c r="BF59" s="3" t="s">
        <v>107</v>
      </c>
      <c r="BG59" s="5">
        <v>4.30640220260588E+16</v>
      </c>
      <c r="BH59" s="3" t="s">
        <v>108</v>
      </c>
      <c r="BI59" s="3"/>
      <c r="BJ59" s="3" t="s">
        <v>109</v>
      </c>
      <c r="BK59" s="3" t="s">
        <v>237</v>
      </c>
      <c r="BL59" s="3">
        <v>44290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22189.59</v>
      </c>
      <c r="BY59" s="3">
        <v>0</v>
      </c>
      <c r="BZ59" s="3">
        <v>0</v>
      </c>
      <c r="CA59" s="3">
        <v>92940.53</v>
      </c>
      <c r="CB59" s="3">
        <v>5600</v>
      </c>
      <c r="CC59" s="3">
        <v>1659.2</v>
      </c>
      <c r="CD59" s="3">
        <v>348588.11</v>
      </c>
      <c r="CE59" s="3" t="s">
        <v>192</v>
      </c>
      <c r="CF59" s="3">
        <v>348588.11</v>
      </c>
      <c r="CG59" s="3">
        <v>0</v>
      </c>
      <c r="CH59" s="3">
        <v>0</v>
      </c>
      <c r="CI59" s="3" t="s">
        <v>112</v>
      </c>
      <c r="CJ59" s="3" t="s">
        <v>112</v>
      </c>
      <c r="CK59" s="3">
        <f>_xlfn.XLOOKUP($B$2,'BASE DE EXCEL'!C:C,'BASE DE EXCEL'!D:D,"NO HAY REFERENCIA")</f>
        <v>470</v>
      </c>
      <c r="CL59" s="5">
        <f>_xlfn.XLOOKUP($B$2,'BASE DE EXCEL'!$C:$C,'BASE DE EXCEL'!F:F,"NO HAY REFERENCIA")</f>
        <v>3</v>
      </c>
      <c r="CM59" s="4">
        <f>_xlfn.XLOOKUP($B$2,'BASE DE EXCEL'!$C:$C,'BASE DE EXCEL'!G:G,"NO HAY REFERENCIA")</f>
        <v>46080</v>
      </c>
      <c r="CN59" s="4">
        <f>_xlfn.XLOOKUP($B$2,'BASE DE EXCEL'!$C:$C,'BASE DE EXCEL'!H:H,"NO HAY REFERENCIA")</f>
        <v>46086</v>
      </c>
      <c r="CO59" s="3">
        <f>_xlfn.XLOOKUP($B$2,'BASE DE EXCEL'!$C:$C,'BASE DE EXCEL'!I:I,"NO HAY REFERENCIA")</f>
        <v>4</v>
      </c>
      <c r="CP59" s="3" t="str">
        <f>_xlfn.XLOOKUP($B$2,'BASE DE EXCEL'!$C:$C,'BASE DE EXCEL'!J:J,"NO HAY REFERENCIA")</f>
        <v>4 a 5 días</v>
      </c>
      <c r="CQ59" s="4">
        <f>_xlfn.XLOOKUP($B$2,'BASE DE EXCEL'!$C:$C,'BASE DE EXCEL'!K:K,"NO HAY REFERENCIA")</f>
        <v>46087</v>
      </c>
      <c r="CR59" s="3">
        <f>_xlfn.XLOOKUP($B$2,'BASE DE EXCEL'!$C:$C,'BASE DE EXCEL'!L:L,"NO HAY REFERENCIA")</f>
        <v>5</v>
      </c>
      <c r="CS59" s="3">
        <f>_xlfn.XLOOKUP($B$2,'BASE DE EXCEL'!$C:$C,'BASE DE EXCEL'!M:M,"NO HAY REFERENCIA")</f>
        <v>6</v>
      </c>
      <c r="CT59" s="3" t="str">
        <f>_xlfn.XLOOKUP($B$2,'BASE DE EXCEL'!$C:$C,'BASE DE EXCEL'!N:N,"NO HAY REFERENCIA")</f>
        <v>6 a 10 días</v>
      </c>
      <c r="CU59" s="3" t="str">
        <f>_xlfn.XLOOKUP($B$2,'BASE DE EXCEL'!$C:$C,'BASE DE EXCEL'!O:O,"NO HAY REFERENCIA")</f>
        <v>On Time</v>
      </c>
      <c r="CV59" s="3" t="str">
        <f>_xlfn.XLOOKUP(B59,'BASE DE EXCEL'!$C:$C,'BASE DE EXCEL'!P:P,"NO HAY REFERENCIA")</f>
        <v>16 o más días</v>
      </c>
      <c r="CW59" s="4">
        <f>_xlfn.XLOOKUP(B59,'BASE DE EXCEL'!$C:$C,'BASE DE EXCEL'!Q:Q,"NO HAY REFERENCIA")</f>
        <v>46093</v>
      </c>
      <c r="CX59" s="3">
        <f>_xlfn.XLOOKUP(B59,'BASE DE EXCEL'!$C:$C,'BASE DE EXCEL'!R:R,"NO HAY REFERENCIA")</f>
        <v>19</v>
      </c>
      <c r="CY59" s="3" t="str">
        <f>_xlfn.XLOOKUP(B59,'BASE DE EXCEL'!$C:$C,'BASE DE EXCEL'!S:S,"NO HAY REFERENCIA")</f>
        <v>más de 16 días</v>
      </c>
      <c r="CZ59" s="3" t="str">
        <f>_xlfn.XLOOKUP(B59,'BASE DE EXCEL'!$C:$C,'BASE DE EXCEL'!T:T,"NO HAY REFERENCIA")</f>
        <v>Delayed</v>
      </c>
      <c r="DA59" s="3">
        <f>_xlfn.XLOOKUP(B59,'BASE DE EXCEL'!$C:$C,'BASE DE EXCEL'!U:U,"NO HAY REFERENCIA")</f>
        <v>24</v>
      </c>
      <c r="DB59" s="3" t="str">
        <f>_xlfn.XLOOKUP(B59,'BASE DE EXCEL'!$C:$C,'BASE DE EXCEL'!V:V,"NO HAY REFERENCIA")</f>
        <v>mas de 16 dias</v>
      </c>
      <c r="DC59" s="3">
        <f>_xlfn.XLOOKUP(B59,'BASE DE EXCEL'!$C:$C,'BASE DE EXCEL'!W:W,"NO HAY REFERENCIA")</f>
        <v>31</v>
      </c>
      <c r="DD59" s="3" t="str">
        <f>_xlfn.XLOOKUP(B59,'BASE DE EXCEL'!$C:$C,'BASE DE EXCEL'!X:X,"NO HAY REFERENCIA")</f>
        <v>más de 16 días</v>
      </c>
      <c r="DE59" s="3">
        <f>_xlfn.XLOOKUP(B59,'BASE DE EXCEL'!$C:$C,'BASE DE EXCEL'!Y:Y,"NO HAY REFERENCIA")</f>
        <v>2</v>
      </c>
      <c r="DF59" s="3" t="str">
        <f>_xlfn.XLOOKUP(B59,'BASE DE EXCEL'!$C:$C,'BASE DE EXCEL'!Z:Z,"NO HAY REFERENCIA")</f>
        <v>2 a 3 días</v>
      </c>
      <c r="DG59" s="3">
        <f>_xlfn.XLOOKUP(B59,'BASE DE EXCEL'!$C:$C,'BASE DE EXCEL'!AA:AA,"NO HAY REFERENCIA")</f>
        <v>21</v>
      </c>
      <c r="DH59" s="3">
        <f>_xlfn.XLOOKUP(B59,'BASE DE EXCEL'!$C:$C,'BASE DE EXCEL'!AB:AB,"NO HAY REFERENCIA")</f>
        <v>1</v>
      </c>
      <c r="DI59" s="3" t="str">
        <f>_xlfn.XLOOKUP(B59,'BASE DE EXCEL'!$C:$C,'BASE DE EXCEL'!AC:AC,"NO HAY REFERENCIA")</f>
        <v>1 día o menos</v>
      </c>
      <c r="DJ59" s="4">
        <f>_xlfn.XLOOKUP(B59,'BASE DE EXCEL'!$C:$C,'BASE DE EXCEL'!AD:AD,"NO HAY REFERENCIA")</f>
        <v>46112</v>
      </c>
      <c r="DK59" s="3">
        <f>_xlfn.XLOOKUP(B59,'BASE DE EXCEL'!$C:$C,'BASE DE EXCEL'!AE:AE,"NO HAY REFERENCIA")</f>
        <v>18</v>
      </c>
      <c r="DL59" s="3">
        <f>_xlfn.XLOOKUP(B59,'BASE DE EXCEL'!$C:$C,'BASE DE EXCEL'!AF:AF,"NO HAY REFERENCIA")</f>
        <v>13</v>
      </c>
      <c r="DM59" s="4">
        <f>_xlfn.XLOOKUP(B59,'BASE DE EXCEL'!$C:$C,'BASE DE EXCEL'!AG:AG,"NO HAY REFERENCIA")</f>
        <v>46111</v>
      </c>
      <c r="DN59" s="4">
        <f>_xlfn.XLOOKUP(B59,'BASE DE EXCEL'!$C:$C,'BASE DE EXCEL'!AH:AH,"NO HAY REFERENCIA")</f>
        <v>46112</v>
      </c>
      <c r="DO59" s="3">
        <f>_xlfn.XLOOKUP(B59,'BASE DE EXCEL'!$C:$C,'BASE DE EXCEL'!AI:AI,"NO HAY REFERENCIA")</f>
        <v>1</v>
      </c>
      <c r="DP59" s="4" t="str">
        <f>_xlfn.XLOOKUP(B59,'BASE DE EXCEL'!$C:$C,'BASE DE EXCEL'!AJ:AJ,"NO HAY REFERENCIA")</f>
        <v>más de 16 días</v>
      </c>
      <c r="DQ59" s="4">
        <f>_xlfn.XLOOKUP(B59,'BASE DE EXCEL'!$C:$C,'BASE DE EXCEL'!AK:AK,"NO HAY REFERENCIA")</f>
        <v>46112</v>
      </c>
      <c r="DR59" s="3">
        <f>_xlfn.XLOOKUP(B59,'BASE DE EXCEL'!$C:$C,'BASE DE EXCEL'!AL:AL,"NO HAY REFERENCIA")</f>
        <v>13</v>
      </c>
      <c r="DS59" s="3" t="str">
        <f>_xlfn.XLOOKUP(B59,'BASE DE EXCEL'!$C:$C,'BASE DE EXCEL'!AM:AM,"NO HAY REFERENCIA")</f>
        <v>11 a 15 días</v>
      </c>
      <c r="DT59" s="3" t="str">
        <f>_xlfn.XLOOKUP(B59,'BASE DE EXCEL'!$C:$C,'BASE DE EXCEL'!AN:AN,"NO HAY REFERENCIA")</f>
        <v>Delayed</v>
      </c>
      <c r="DU59" s="3">
        <f>_xlfn.XLOOKUP(B59,'BASE DE EXCEL'!$C:$C,'BASE DE EXCEL'!AO:AO,"NO HAY REFERENCIA")</f>
        <v>1</v>
      </c>
      <c r="DV59" s="3" t="str">
        <f>_xlfn.XLOOKUP(B59,'BASE DE EXCEL'!$C:$C,'BASE DE EXCEL'!AP:AP,"NO HAY REFERENCIA")</f>
        <v>Es anterior</v>
      </c>
      <c r="DW59" s="3" t="str">
        <f>_xlfn.XLOOKUP(B59,'BASE DE EXCEL'!$C:$C,'BASE DE EXCEL'!AQ:AQ,"NO HAY REFERENCIA")</f>
        <v>R1</v>
      </c>
      <c r="DX59" s="3" t="str">
        <f>_xlfn.XLOOKUP(B59,'BASE DE EXCEL'!$C:$C,'BASE DE EXCEL'!AR:AR,"NO HAY REFERENCIA")</f>
        <v>ZULEIMA PEREZ RUIZ</v>
      </c>
      <c r="DY59" s="3" t="str">
        <f>_xlfn.XLOOKUP(B59,'BASE DE EXCEL'!$C:$C,'BASE DE EXCEL'!AS:AS,"NO HAY REFERENCIA")</f>
        <v>HLCUANR260133096</v>
      </c>
      <c r="DZ59" s="3" t="str">
        <f>_xlfn.XLOOKUP(B59,'BASE DE EXCEL'!$C:$C,'BASE DE EXCEL'!AT:AT,"NO HAY REFERENCIA")</f>
        <v>NULL</v>
      </c>
      <c r="EA59" s="3">
        <f>_xlfn.XLOOKUP(B59,'BASE DE EXCEL'!$C:$C,'BASE DE EXCEL'!AU:AU,"NO HAY REFERENCIA")</f>
        <v>6000406</v>
      </c>
      <c r="EB59" s="3" t="str">
        <f>_xlfn.XLOOKUP(B59,'BASE DE EXCEL'!$C:$C,'BASE DE EXCEL'!AV:AV,"NO HAY REFERENCIA")</f>
        <v>Importación</v>
      </c>
      <c r="EC59" s="3" t="str">
        <f>_xlfn.XLOOKUP(B59,'BASE DE EXCEL'!$C:$C,'BASE DE EXCEL'!AW:AW,"NO HAY REFERENCIA")</f>
        <v>SALIX (MEDICAMENTO DOSIFICADO DE USO VETERINARIO)</v>
      </c>
      <c r="ED59" s="3" t="str">
        <f>_xlfn.XLOOKUP(B59,'BASE DE EXCEL'!$C:$C,'BASE DE EXCEL'!AX:AX,"NO HAY REFERENCIA")</f>
        <v>SIN CLASIFICACION</v>
      </c>
      <c r="EE59" s="3">
        <f>_xlfn.XLOOKUP(B59,'BASE DE EXCEL'!$C:$C,'BASE DE EXCEL'!AY:AY,"NO HAY REFERENCIA")</f>
        <v>0</v>
      </c>
      <c r="EF59" s="3" t="str">
        <f>_xlfn.XLOOKUP(B59,'BASE DE EXCEL'!$C:$C,'BASE DE EXCEL'!AZ:AZ,"NO HAY REFERENCIA")</f>
        <v>Cargas de Importación</v>
      </c>
      <c r="EG59" s="3" t="str">
        <f>_xlfn.XLOOKUP(B59,'BASE DE EXCEL'!$C:$C,'BASE DE EXCEL'!BA:BA,"NO HAY REFERENCIA")</f>
        <v>INTERVET MEXICO SA DE CV</v>
      </c>
      <c r="EH59" s="3">
        <f>_xlfn.XLOOKUP(B59,'BASE DE EXCEL'!$C:$C,'BASE DE EXCEL'!BB:BB,"NO HAY REFERENCIA")</f>
        <v>0</v>
      </c>
      <c r="EI59" s="3" t="str">
        <f>_xlfn.XLOOKUP(B59,'BASE DE EXCEL'!$C:$C,'BASE DE EXCEL'!BC:BC,"NO HAY REFERENCIA")</f>
        <v>FALTA RRNA</v>
      </c>
      <c r="EJ59" s="3">
        <f>_xlfn.XLOOKUP(B59,'BASE DE EXCEL'!$C:$C,'BASE DE EXCEL'!BD:BD,"NO HAY REFERENCIA")</f>
        <v>0</v>
      </c>
      <c r="EK59" s="3" t="str">
        <f>_xlfn.XLOOKUP(B59,'BASE DE EXCEL'!$C:$C,'BASE DE EXCEL'!BE:BE,"NO HAY REFERENCIA")</f>
        <v>FALTA RRNA</v>
      </c>
      <c r="EL59" s="3" t="str">
        <f>_xlfn.XLOOKUP(B59,'BASE DE EXCEL'!$C:$C,'BASE DE EXCEL'!BF:BF,"NO HAY REFERENCIA")</f>
        <v>PRODUCTO TERMINADO</v>
      </c>
      <c r="EM59" s="3" t="str">
        <f>_xlfn.XLOOKUP(B59,'BASE DE EXCEL'!$C:$C,'BASE DE EXCEL'!BG:BG,"NO HAY REFERENCIA")</f>
        <v>Verde</v>
      </c>
      <c r="EN59" s="3" t="str">
        <f>_xlfn.XLOOKUP(B59,'BASE DE EXCEL'!$C:$C,'BASE DE EXCEL'!BH:BH,"NO HAY REFERENCIA")</f>
        <v xml:space="preserve"> MLH TRANSPORTE, S.A. DE C.V.</v>
      </c>
      <c r="EO59" s="3" t="str">
        <f>_xlfn.XLOOKUP(B59,'BASE DE EXCEL'!$C:$C,'BASE DE EXCEL'!BI:BI,"NO HAY REFERENCIA")</f>
        <v>TRACTOCAMION ECO 02RED</v>
      </c>
      <c r="EP59" s="3">
        <f>_xlfn.XLOOKUP(B59,'BASE DE EXCEL'!$C:$C,'BASE DE EXCEL'!BJ:BJ,"NO HAY REFERENCIA")</f>
        <v>0</v>
      </c>
      <c r="EQ59" s="3" t="str">
        <f>_xlfn.XLOOKUP(B59,'BASE DE EXCEL'!$C:$C,'BASE DE EXCEL'!BK:BK,"NO HAY REFERENCIA")</f>
        <v>IME850329RH2</v>
      </c>
      <c r="ER59" s="3">
        <f>_xlfn.XLOOKUP(B59,'BASE DE EXCEL'!$C:$C,'BASE DE EXCEL'!BL:BL,"NO HAY REFERENCIA")</f>
        <v>0</v>
      </c>
      <c r="ES59" s="3" t="str">
        <f>_xlfn.XLOOKUP(B59,'BASE DE EXCEL'!$C:$C,'BASE DE EXCEL'!BM:BM,"NO HAY REFERENCIA")</f>
        <v>00,99</v>
      </c>
      <c r="ET59" s="3" t="str">
        <f>_xlfn.XLOOKUP(B59,'BASE DE EXCEL'!$C:$C,'BASE DE EXCEL'!BN:BN,"NO HAY REFERENCIA")</f>
        <v>LOTE: A195A02,LOTE: N269A01</v>
      </c>
      <c r="EU59" s="3">
        <f>_xlfn.XLOOKUP(B59,'BASE DE EXCEL'!$C:$C,'BASE DE EXCEL'!BO:BO,"NO HAY REFERENCIA")</f>
        <v>90</v>
      </c>
      <c r="EV59" s="3" t="str">
        <f>_xlfn.XLOOKUP(B59,'BASE DE EXCEL'!$C:$C,'BASE DE EXCEL'!BP:BP,"NO HAY REFERENCIA")</f>
        <v xml:space="preserve"> 272000.00, 802755.32</v>
      </c>
      <c r="EW59" s="3" t="str">
        <f>_xlfn.XLOOKUP(B59,'BASE DE EXCEL'!$C:$C,'BASE DE EXCEL'!BQ:BQ,"NO HAY REFERENCIA")</f>
        <v>KILO,KILO</v>
      </c>
      <c r="EX59" s="3">
        <f>_xlfn.XLOOKUP(B59,'BASE DE EXCEL'!$C:$C,'BASE DE EXCEL'!BR:BR,"NO HAY REFERENCIA")</f>
        <v>0</v>
      </c>
      <c r="EY59" s="3" t="str">
        <f>_xlfn.XLOOKUP(B59,'BASE DE EXCEL'!$C:$C,'BASE DE EXCEL'!BS:BS,"NO HAY REFERENCIA")</f>
        <v>ALEMANIA (REPUBLICA FEDERAL DE),FRANCIA (REPUBLICA FRANCESA)</v>
      </c>
      <c r="EZ59" s="3" t="str">
        <f>_xlfn.XLOOKUP(B59,'BASE DE EXCEL'!$C:$C,'BASE DE EXCEL'!BT:BT,"NO HAY REFERENCIA")</f>
        <v>PAISES BAJOS (REINO DE LOS) (HOLANDA)</v>
      </c>
      <c r="FA59" s="3" t="str">
        <f>_xlfn.XLOOKUP(B59,'BASE DE EXCEL'!$C:$C,'BASE DE EXCEL'!BU:BU,"NO HAY REFERENCIA")</f>
        <v>DEU,FRA</v>
      </c>
      <c r="FB59" s="3" t="str">
        <f>_xlfn.XLOOKUP(B59,'BASE DE EXCEL'!$C:$C,'BASE DE EXCEL'!BV:BV,"NO HAY REFERENCIA")</f>
        <v>ZYA</v>
      </c>
      <c r="FC59" s="3">
        <f>_xlfn.XLOOKUP(B59,QUERY!$C:$C,QUERY!D:D)</f>
        <v>430</v>
      </c>
      <c r="FD59" s="4">
        <f>_xlfn.XLOOKUP(B59,QUERY!$C:$C,QUERY!E:E)</f>
        <v>46090</v>
      </c>
      <c r="FE59" s="3">
        <f>_xlfn.XLOOKUP(B59,QUERY!$C:$C,QUERY!F:F)</f>
        <v>3</v>
      </c>
      <c r="FF59" s="4">
        <f>_xlfn.XLOOKUP(B59,QUERY!$C:$C,QUERY!G:G)</f>
        <v>46069</v>
      </c>
      <c r="FG59" s="4">
        <f>_xlfn.XLOOKUP(B59,QUERY!$C:$C,QUERY!H:H)</f>
        <v>46090</v>
      </c>
      <c r="FH59" s="3">
        <f>_xlfn.XLOOKUP(B59,QUERY!$C:$C,QUERY!I:I)</f>
        <v>15</v>
      </c>
      <c r="FI59" s="3" t="str">
        <f>_xlfn.XLOOKUP(B59,QUERY!$C:$C,QUERY!J:J)</f>
        <v>11 a 15 días</v>
      </c>
      <c r="FJ59" s="4">
        <f>_xlfn.XLOOKUP(B59,QUERY!$C:$C,QUERY!K:K)</f>
        <v>46092</v>
      </c>
      <c r="FK59" s="3">
        <f>_xlfn.XLOOKUP(B59,QUERY!$C:$C,QUERY!L:L)</f>
        <v>17</v>
      </c>
      <c r="FL59" s="3" t="str">
        <f>_xlfn.XLOOKUP(B59,QUERY!$C:$C,QUERY!M:M)</f>
        <v>16 o más días</v>
      </c>
      <c r="FM59" s="3">
        <f>_xlfn.XLOOKUP(B59,QUERY!$C:$C,QUERY!N:N)</f>
        <v>2</v>
      </c>
      <c r="FN59" s="3" t="str">
        <f>_xlfn.XLOOKUP(B59,QUERY!$C:$C,QUERY!O:O)</f>
        <v>2 a 3 días</v>
      </c>
      <c r="FO59" s="3">
        <f>_xlfn.XLOOKUP(B59,QUERY!$C:$C,QUERY!P:P)</f>
        <v>2</v>
      </c>
      <c r="FP59" s="3">
        <f>_xlfn.XLOOKUP(B59,QUERY!$C:$C,QUERY!Q:Q)</f>
        <v>1</v>
      </c>
      <c r="FQ59" s="3" t="str">
        <f>_xlfn.XLOOKUP(B59,QUERY!$C:$C,QUERY!R:R)</f>
        <v>1 día o menos</v>
      </c>
      <c r="FR59" s="4">
        <f>_xlfn.XLOOKUP(B59,QUERY!$C:$C,QUERY!S:S)</f>
        <v>46093</v>
      </c>
      <c r="FS59" s="3">
        <f>_xlfn.XLOOKUP(B59,QUERY!$C:$C,QUERY!T:T)</f>
        <v>18</v>
      </c>
      <c r="FT59" s="3" t="str">
        <f>_xlfn.XLOOKUP(B59,QUERY!$C:$C,QUERY!U:U)</f>
        <v>mas de 16 dias</v>
      </c>
      <c r="FU59" s="3">
        <f>_xlfn.XLOOKUP(B59,QUERY!$C:$C,QUERY!V:V)</f>
        <v>31</v>
      </c>
      <c r="FV59" s="3" t="str">
        <f>_xlfn.XLOOKUP(B59,QUERY!$C:$C,QUERY!W:W)</f>
        <v>más de 16 días</v>
      </c>
      <c r="FW59" s="4">
        <f>_xlfn.XLOOKUP(B59,QUERY!$C:$C,QUERY!X:X)</f>
        <v>46112</v>
      </c>
      <c r="FX59" s="3">
        <f>_xlfn.XLOOKUP(B59,QUERY!$C:$C,QUERY!Y:Y)</f>
        <v>12</v>
      </c>
      <c r="FY59" s="3">
        <f>_xlfn.XLOOKUP(B59,QUERY!$C:$C,QUERY!Z:Z)</f>
        <v>13</v>
      </c>
      <c r="FZ59" s="4" t="str">
        <f>_xlfn.XLOOKUP(B59,QUERY!$C:$C,QUERY!AA:AA)</f>
        <v>más de 16 días</v>
      </c>
      <c r="GA59" s="4">
        <f>_xlfn.XLOOKUP(B59,QUERY!$C:$C,QUERY!AB:AB)</f>
        <v>46111</v>
      </c>
      <c r="GB59" s="4">
        <f>_xlfn.XLOOKUP(B59,QUERY!$C:$C,QUERY!AC:AC)</f>
        <v>46112</v>
      </c>
      <c r="GC59" s="3">
        <f>_xlfn.XLOOKUP(B59,QUERY!$C:$C,QUERY!AD:AD)</f>
        <v>1</v>
      </c>
      <c r="GD59" s="4">
        <f>_xlfn.XLOOKUP(B59,QUERY!$C:$C,QUERY!AE:AE)</f>
        <v>46112</v>
      </c>
      <c r="GE59" s="3">
        <f>_xlfn.XLOOKUP(B59,QUERY!$C:$C,QUERY!AF:AF)</f>
        <v>1</v>
      </c>
      <c r="GF59" s="4" t="str">
        <f>_xlfn.XLOOKUP(B59,QUERY!$C:$C,QUERY!AG:AG)</f>
        <v>Es anterior</v>
      </c>
      <c r="GG59" s="3" t="str">
        <f>_xlfn.XLOOKUP(B59,QUERY!$C:$C,QUERY!AH:AH)</f>
        <v>R1</v>
      </c>
      <c r="GH59" s="3" t="str">
        <f>_xlfn.XLOOKUP(B59,QUERY!$C:$C,QUERY!AI:AI)</f>
        <v>ZULEIMA PEREZ RUIZ</v>
      </c>
      <c r="GI59" s="3" t="str">
        <f>_xlfn.XLOOKUP(B59,QUERY!$C:$C,QUERY!AJ:AJ)</f>
        <v>HLCUANR260133096</v>
      </c>
      <c r="GJ59" s="3" t="str">
        <f>_xlfn.XLOOKUP(B59,QUERY!$C:$C,QUERY!AK:AK)</f>
        <v>NULL</v>
      </c>
      <c r="GK59" s="3">
        <f>_xlfn.XLOOKUP(B59,QUERY!$C:$C,QUERY!AL:AL)</f>
        <v>6000406</v>
      </c>
      <c r="GL59" s="3" t="str">
        <f>_xlfn.XLOOKUP(B59,QUERY!$C:$C,QUERY!AM:AM)</f>
        <v>Importación</v>
      </c>
      <c r="GM59" s="3" t="str">
        <f>_xlfn.XLOOKUP(B59,QUERY!$C:$C,QUERY!AN:AN)</f>
        <v>SALIX (MEDICAMENTO DOSIFICADO DE USO VETERINARIO)</v>
      </c>
      <c r="GN59" s="3" t="str">
        <f>_xlfn.XLOOKUP(B59,QUERY!$C:$C,QUERY!AO:AO)</f>
        <v>SIN CLASIFICACION</v>
      </c>
      <c r="GO59" s="3">
        <f>_xlfn.XLOOKUP(B59,QUERY!$C:$C,QUERY!AP:AP)</f>
        <v>0</v>
      </c>
      <c r="GP59" s="3" t="str">
        <f>_xlfn.XLOOKUP(B59,QUERY!$C:$C,QUERY!AQ:AQ)</f>
        <v>Cargas de Importación</v>
      </c>
      <c r="GQ59" s="3" t="str">
        <f>_xlfn.XLOOKUP(B59,QUERY!$C:$C,QUERY!AR:AR)</f>
        <v>INTERVET MEXICO SA DE CV</v>
      </c>
      <c r="GR59" s="3">
        <f>_xlfn.XLOOKUP(B59,QUERY!$C:$C,QUERY!AS:AS)</f>
        <v>0</v>
      </c>
      <c r="GS59" s="3" t="str">
        <f>_xlfn.XLOOKUP(B59,QUERY!$C:$C,QUERY!AT:AT)</f>
        <v>FALTA RRNA</v>
      </c>
      <c r="GT59" s="3">
        <f>_xlfn.XLOOKUP(B59,QUERY!$C:$C,QUERY!AU:AU)</f>
        <v>0</v>
      </c>
      <c r="GU59" s="3" t="str">
        <f>_xlfn.XLOOKUP(B59,QUERY!$C:$C,QUERY!AV:AV)</f>
        <v>FALTA RRNA</v>
      </c>
      <c r="GV59" s="3" t="str">
        <f>_xlfn.XLOOKUP(B59,QUERY!$C:$C,QUERY!AW:AW)</f>
        <v>PRODUCTO TERMINADO</v>
      </c>
      <c r="GW59" s="3" t="str">
        <f>_xlfn.XLOOKUP(B59,QUERY!$C:$C,QUERY!AX:AX)</f>
        <v>Verde</v>
      </c>
      <c r="GX59" s="3" t="str">
        <f>_xlfn.XLOOKUP(B59,QUERY!$C:$C,QUERY!AY:AY)</f>
        <v xml:space="preserve"> MLH TRANSPORTE, S.A. DE C.V.</v>
      </c>
      <c r="GY59" s="3" t="str">
        <f>_xlfn.XLOOKUP(B59,QUERY!$C:$C,QUERY!AZ:AZ)</f>
        <v>TRACTOCAMION ECO 02RED</v>
      </c>
      <c r="GZ59" s="3">
        <f>_xlfn.XLOOKUP(B59,QUERY!$C:$C,QUERY!BA:BA)</f>
        <v>0</v>
      </c>
      <c r="HA59" s="3" t="str">
        <f>_xlfn.XLOOKUP(B59,QUERY!$C:$C,QUERY!BB:BB)</f>
        <v>IME850329RH2</v>
      </c>
      <c r="HB59" s="3">
        <f>_xlfn.XLOOKUP(B59,QUERY!$C:$C,QUERY!BC:BC)</f>
        <v>0</v>
      </c>
      <c r="HC59" s="3">
        <f>_xlfn.XLOOKUP(B59,QUERY!$C:$C,QUERY!BD:BD)</f>
        <v>0.99</v>
      </c>
      <c r="HD59" s="3" t="str">
        <f>_xlfn.XLOOKUP(B59,QUERY!$C:$C,QUERY!BE:BE)</f>
        <v>LOTE: A195A02,LOTE: N269A01</v>
      </c>
      <c r="HE59" s="3">
        <f>_xlfn.XLOOKUP(B59,QUERY!$C:$C,QUERY!BF:BF)</f>
        <v>90</v>
      </c>
      <c r="HF59" s="3" t="str">
        <f>_xlfn.XLOOKUP(B59,QUERY!$C:$C,QUERY!BG:BG)</f>
        <v xml:space="preserve"> 272000.00, 802755.32</v>
      </c>
      <c r="HG59" s="3" t="str">
        <f>_xlfn.XLOOKUP(B59,QUERY!$C:$C,QUERY!BH:BH)</f>
        <v>KILO,KILO</v>
      </c>
      <c r="HH59" s="3">
        <f>_xlfn.XLOOKUP(B59,QUERY!$C:$C,QUERY!BI:BI)</f>
        <v>0</v>
      </c>
      <c r="HI59" s="3" t="str">
        <f>_xlfn.XLOOKUP(B59,QUERY!$C:$C,QUERY!BJ:BJ)</f>
        <v>ALEMANIA (REPUBLICA FEDERAL DE),FRANCIA (REPUBLICA FRANCESA)</v>
      </c>
      <c r="HJ59" s="3" t="str">
        <f>_xlfn.XLOOKUP(B59,QUERY!$C:$C,QUERY!BK:BK)</f>
        <v>PAISES BAJOS (REINO DE LOS) (HOLANDA)</v>
      </c>
      <c r="HK59" s="3" t="str">
        <f>_xlfn.XLOOKUP(B59,QUERY!$C:$C,QUERY!BL:BL)</f>
        <v>DEU,FRA</v>
      </c>
      <c r="HL59" s="3" t="str">
        <f>_xlfn.XLOOKUP(B59,QUERY!$C:$C,QUERY!BM:BM)</f>
        <v>ZYA</v>
      </c>
      <c r="HM59" s="3">
        <f>_xlfn.XLOOKUP(B59,QUERY!$C:$C,QUERY!BN:BN)</f>
        <v>1074755</v>
      </c>
      <c r="HN59" s="3" t="str">
        <f>_xlfn.XLOOKUP(B59,QUERY!$C:$C,QUERY!BO:BO)</f>
        <v>444.00</v>
      </c>
      <c r="HO59" s="3" t="str">
        <f>_xlfn.XLOOKUP(B59,QUERY!$C:$C,QUERY!BP:BP)</f>
        <v>NULL</v>
      </c>
      <c r="HP59" s="3" t="str">
        <f>_xlfn.XLOOKUP(B59,QUERY!$C:$C,QUERY!BQ:BQ)</f>
        <v>NULL</v>
      </c>
      <c r="HQ59" s="3" t="str">
        <f>_xlfn.XLOOKUP(B59,QUERY!$C:$C,QUERY!BR:BR)</f>
        <v>348588.11</v>
      </c>
      <c r="HR59" s="3">
        <f>_xlfn.XLOOKUP(B59,QUERY!$C:$C,QUERY!BS:BS)</f>
        <v>0</v>
      </c>
      <c r="HS59" s="3">
        <f>_xlfn.XLOOKUP(B59,QUERY!$C:$C,QUERY!BT:BT)</f>
        <v>0</v>
      </c>
      <c r="HT59" s="3" t="str">
        <f>_xlfn.XLOOKUP(B59,QUERY!$C:$C,QUERY!A:A)</f>
        <v>VERACRUZ</v>
      </c>
      <c r="HU59" s="3" t="str">
        <f>_xlfn.XLOOKUP(B59,QUERY!$C:$C,QUERY!B:B)</f>
        <v>MARÍTIMO VERACRUZ</v>
      </c>
    </row>
    <row r="60" spans="1:229" x14ac:dyDescent="0.25">
      <c r="A60" s="3" t="s">
        <v>90</v>
      </c>
      <c r="B60" s="17" t="s">
        <v>341</v>
      </c>
      <c r="C60" s="3">
        <v>3942</v>
      </c>
      <c r="D60" s="3">
        <v>6000406</v>
      </c>
      <c r="E60" s="3">
        <v>6000244</v>
      </c>
      <c r="F60" s="3" t="s">
        <v>92</v>
      </c>
      <c r="G60" s="3" t="s">
        <v>342</v>
      </c>
      <c r="H60" s="3">
        <v>16</v>
      </c>
      <c r="I60" s="3">
        <v>128478</v>
      </c>
      <c r="J60" s="3">
        <v>0</v>
      </c>
      <c r="K60" s="3">
        <v>0</v>
      </c>
      <c r="L60" s="3" t="s">
        <v>223</v>
      </c>
      <c r="M60" s="3" t="s">
        <v>223</v>
      </c>
      <c r="N60" s="3">
        <v>0</v>
      </c>
      <c r="O60" s="3">
        <v>0</v>
      </c>
      <c r="P60" s="3">
        <v>0</v>
      </c>
      <c r="Q60" s="3">
        <v>0</v>
      </c>
      <c r="R60" s="3">
        <v>430</v>
      </c>
      <c r="S60" s="3" t="s">
        <v>234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 t="s">
        <v>238</v>
      </c>
      <c r="AB60" s="3"/>
      <c r="AC60" s="3">
        <v>802755</v>
      </c>
      <c r="AD60" s="3">
        <v>733.77971000000002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/>
      <c r="AP60" s="3" t="s">
        <v>98</v>
      </c>
      <c r="AQ60" s="3">
        <v>210363769</v>
      </c>
      <c r="AR60" s="3" t="s">
        <v>99</v>
      </c>
      <c r="AS60" s="3" t="s">
        <v>100</v>
      </c>
      <c r="AT60" s="3">
        <v>0</v>
      </c>
      <c r="AU60" s="3">
        <v>0</v>
      </c>
      <c r="AV60" s="3">
        <v>0</v>
      </c>
      <c r="AW60" s="3">
        <v>38086201</v>
      </c>
      <c r="AX60" s="3">
        <v>0</v>
      </c>
      <c r="AY60" s="3">
        <v>1094</v>
      </c>
      <c r="AZ60" s="3">
        <v>1094</v>
      </c>
      <c r="BA60" s="3" t="s">
        <v>121</v>
      </c>
      <c r="BB60" s="3"/>
      <c r="BC60" s="3" t="s">
        <v>104</v>
      </c>
      <c r="BD60" s="3" t="s">
        <v>105</v>
      </c>
      <c r="BE60" s="3"/>
      <c r="BF60" s="3"/>
      <c r="BG60" s="5"/>
      <c r="BH60" s="3"/>
      <c r="BI60" s="3"/>
      <c r="BJ60" s="3"/>
      <c r="BK60" s="3" t="s">
        <v>239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 t="s">
        <v>192</v>
      </c>
      <c r="CF60" s="3">
        <v>0</v>
      </c>
      <c r="CG60" s="3">
        <v>0</v>
      </c>
      <c r="CH60" s="3">
        <v>0</v>
      </c>
      <c r="CI60" s="3" t="s">
        <v>112</v>
      </c>
      <c r="CJ60" s="3" t="s">
        <v>112</v>
      </c>
      <c r="CK60" s="3">
        <f>_xlfn.XLOOKUP($B$2,'BASE DE EXCEL'!C:C,'BASE DE EXCEL'!D:D,"NO HAY REFERENCIA")</f>
        <v>470</v>
      </c>
      <c r="CL60" s="5">
        <f>_xlfn.XLOOKUP($B$2,'BASE DE EXCEL'!$C:$C,'BASE DE EXCEL'!F:F,"NO HAY REFERENCIA")</f>
        <v>3</v>
      </c>
      <c r="CM60" s="4">
        <f>_xlfn.XLOOKUP($B$2,'BASE DE EXCEL'!$C:$C,'BASE DE EXCEL'!G:G,"NO HAY REFERENCIA")</f>
        <v>46080</v>
      </c>
      <c r="CN60" s="4">
        <f>_xlfn.XLOOKUP($B$2,'BASE DE EXCEL'!$C:$C,'BASE DE EXCEL'!H:H,"NO HAY REFERENCIA")</f>
        <v>46086</v>
      </c>
      <c r="CO60" s="3">
        <f>_xlfn.XLOOKUP($B$2,'BASE DE EXCEL'!$C:$C,'BASE DE EXCEL'!I:I,"NO HAY REFERENCIA")</f>
        <v>4</v>
      </c>
      <c r="CP60" s="3" t="str">
        <f>_xlfn.XLOOKUP($B$2,'BASE DE EXCEL'!$C:$C,'BASE DE EXCEL'!J:J,"NO HAY REFERENCIA")</f>
        <v>4 a 5 días</v>
      </c>
      <c r="CQ60" s="4">
        <f>_xlfn.XLOOKUP($B$2,'BASE DE EXCEL'!$C:$C,'BASE DE EXCEL'!K:K,"NO HAY REFERENCIA")</f>
        <v>46087</v>
      </c>
      <c r="CR60" s="3">
        <f>_xlfn.XLOOKUP($B$2,'BASE DE EXCEL'!$C:$C,'BASE DE EXCEL'!L:L,"NO HAY REFERENCIA")</f>
        <v>5</v>
      </c>
      <c r="CS60" s="3">
        <f>_xlfn.XLOOKUP($B$2,'BASE DE EXCEL'!$C:$C,'BASE DE EXCEL'!M:M,"NO HAY REFERENCIA")</f>
        <v>6</v>
      </c>
      <c r="CT60" s="3" t="str">
        <f>_xlfn.XLOOKUP($B$2,'BASE DE EXCEL'!$C:$C,'BASE DE EXCEL'!N:N,"NO HAY REFERENCIA")</f>
        <v>6 a 10 días</v>
      </c>
      <c r="CU60" s="3" t="str">
        <f>_xlfn.XLOOKUP($B$2,'BASE DE EXCEL'!$C:$C,'BASE DE EXCEL'!O:O,"NO HAY REFERENCIA")</f>
        <v>On Time</v>
      </c>
      <c r="CV60" s="3" t="str">
        <f>_xlfn.XLOOKUP(B60,'BASE DE EXCEL'!$C:$C,'BASE DE EXCEL'!P:P,"NO HAY REFERENCIA")</f>
        <v>16 o más días</v>
      </c>
      <c r="CW60" s="4">
        <f>_xlfn.XLOOKUP(B60,'BASE DE EXCEL'!$C:$C,'BASE DE EXCEL'!Q:Q,"NO HAY REFERENCIA")</f>
        <v>46093</v>
      </c>
      <c r="CX60" s="3">
        <f>_xlfn.XLOOKUP(B60,'BASE DE EXCEL'!$C:$C,'BASE DE EXCEL'!R:R,"NO HAY REFERENCIA")</f>
        <v>19</v>
      </c>
      <c r="CY60" s="3" t="str">
        <f>_xlfn.XLOOKUP(B60,'BASE DE EXCEL'!$C:$C,'BASE DE EXCEL'!S:S,"NO HAY REFERENCIA")</f>
        <v>más de 16 días</v>
      </c>
      <c r="CZ60" s="3" t="str">
        <f>_xlfn.XLOOKUP(B60,'BASE DE EXCEL'!$C:$C,'BASE DE EXCEL'!T:T,"NO HAY REFERENCIA")</f>
        <v>Delayed</v>
      </c>
      <c r="DA60" s="3">
        <f>_xlfn.XLOOKUP(B60,'BASE DE EXCEL'!$C:$C,'BASE DE EXCEL'!U:U,"NO HAY REFERENCIA")</f>
        <v>24</v>
      </c>
      <c r="DB60" s="3" t="str">
        <f>_xlfn.XLOOKUP(B60,'BASE DE EXCEL'!$C:$C,'BASE DE EXCEL'!V:V,"NO HAY REFERENCIA")</f>
        <v>mas de 16 dias</v>
      </c>
      <c r="DC60" s="3">
        <f>_xlfn.XLOOKUP(B60,'BASE DE EXCEL'!$C:$C,'BASE DE EXCEL'!W:W,"NO HAY REFERENCIA")</f>
        <v>31</v>
      </c>
      <c r="DD60" s="3" t="str">
        <f>_xlfn.XLOOKUP(B60,'BASE DE EXCEL'!$C:$C,'BASE DE EXCEL'!X:X,"NO HAY REFERENCIA")</f>
        <v>más de 16 días</v>
      </c>
      <c r="DE60" s="3">
        <f>_xlfn.XLOOKUP(B60,'BASE DE EXCEL'!$C:$C,'BASE DE EXCEL'!Y:Y,"NO HAY REFERENCIA")</f>
        <v>2</v>
      </c>
      <c r="DF60" s="3" t="str">
        <f>_xlfn.XLOOKUP(B60,'BASE DE EXCEL'!$C:$C,'BASE DE EXCEL'!Z:Z,"NO HAY REFERENCIA")</f>
        <v>2 a 3 días</v>
      </c>
      <c r="DG60" s="3">
        <f>_xlfn.XLOOKUP(B60,'BASE DE EXCEL'!$C:$C,'BASE DE EXCEL'!AA:AA,"NO HAY REFERENCIA")</f>
        <v>21</v>
      </c>
      <c r="DH60" s="3">
        <f>_xlfn.XLOOKUP(B60,'BASE DE EXCEL'!$C:$C,'BASE DE EXCEL'!AB:AB,"NO HAY REFERENCIA")</f>
        <v>1</v>
      </c>
      <c r="DI60" s="3" t="str">
        <f>_xlfn.XLOOKUP(B60,'BASE DE EXCEL'!$C:$C,'BASE DE EXCEL'!AC:AC,"NO HAY REFERENCIA")</f>
        <v>1 día o menos</v>
      </c>
      <c r="DJ60" s="4">
        <f>_xlfn.XLOOKUP(B60,'BASE DE EXCEL'!$C:$C,'BASE DE EXCEL'!AD:AD,"NO HAY REFERENCIA")</f>
        <v>46112</v>
      </c>
      <c r="DK60" s="3">
        <f>_xlfn.XLOOKUP(B60,'BASE DE EXCEL'!$C:$C,'BASE DE EXCEL'!AE:AE,"NO HAY REFERENCIA")</f>
        <v>18</v>
      </c>
      <c r="DL60" s="3">
        <f>_xlfn.XLOOKUP(B60,'BASE DE EXCEL'!$C:$C,'BASE DE EXCEL'!AF:AF,"NO HAY REFERENCIA")</f>
        <v>13</v>
      </c>
      <c r="DM60" s="4">
        <f>_xlfn.XLOOKUP(B60,'BASE DE EXCEL'!$C:$C,'BASE DE EXCEL'!AG:AG,"NO HAY REFERENCIA")</f>
        <v>46111</v>
      </c>
      <c r="DN60" s="4">
        <f>_xlfn.XLOOKUP(B60,'BASE DE EXCEL'!$C:$C,'BASE DE EXCEL'!AH:AH,"NO HAY REFERENCIA")</f>
        <v>46112</v>
      </c>
      <c r="DO60" s="3">
        <f>_xlfn.XLOOKUP(B60,'BASE DE EXCEL'!$C:$C,'BASE DE EXCEL'!AI:AI,"NO HAY REFERENCIA")</f>
        <v>1</v>
      </c>
      <c r="DP60" s="4" t="str">
        <f>_xlfn.XLOOKUP(B60,'BASE DE EXCEL'!$C:$C,'BASE DE EXCEL'!AJ:AJ,"NO HAY REFERENCIA")</f>
        <v>más de 16 días</v>
      </c>
      <c r="DQ60" s="4">
        <f>_xlfn.XLOOKUP(B60,'BASE DE EXCEL'!$C:$C,'BASE DE EXCEL'!AK:AK,"NO HAY REFERENCIA")</f>
        <v>46112</v>
      </c>
      <c r="DR60" s="3">
        <f>_xlfn.XLOOKUP(B60,'BASE DE EXCEL'!$C:$C,'BASE DE EXCEL'!AL:AL,"NO HAY REFERENCIA")</f>
        <v>13</v>
      </c>
      <c r="DS60" s="3" t="str">
        <f>_xlfn.XLOOKUP(B60,'BASE DE EXCEL'!$C:$C,'BASE DE EXCEL'!AM:AM,"NO HAY REFERENCIA")</f>
        <v>11 a 15 días</v>
      </c>
      <c r="DT60" s="3" t="str">
        <f>_xlfn.XLOOKUP(B60,'BASE DE EXCEL'!$C:$C,'BASE DE EXCEL'!AN:AN,"NO HAY REFERENCIA")</f>
        <v>Delayed</v>
      </c>
      <c r="DU60" s="3">
        <f>_xlfn.XLOOKUP(B60,'BASE DE EXCEL'!$C:$C,'BASE DE EXCEL'!AO:AO,"NO HAY REFERENCIA")</f>
        <v>1</v>
      </c>
      <c r="DV60" s="3" t="str">
        <f>_xlfn.XLOOKUP(B60,'BASE DE EXCEL'!$C:$C,'BASE DE EXCEL'!AP:AP,"NO HAY REFERENCIA")</f>
        <v>Es anterior</v>
      </c>
      <c r="DW60" s="3" t="str">
        <f>_xlfn.XLOOKUP(B60,'BASE DE EXCEL'!$C:$C,'BASE DE EXCEL'!AQ:AQ,"NO HAY REFERENCIA")</f>
        <v>R1</v>
      </c>
      <c r="DX60" s="3" t="str">
        <f>_xlfn.XLOOKUP(B60,'BASE DE EXCEL'!$C:$C,'BASE DE EXCEL'!AR:AR,"NO HAY REFERENCIA")</f>
        <v>ZULEIMA PEREZ RUIZ</v>
      </c>
      <c r="DY60" s="3" t="str">
        <f>_xlfn.XLOOKUP(B60,'BASE DE EXCEL'!$C:$C,'BASE DE EXCEL'!AS:AS,"NO HAY REFERENCIA")</f>
        <v>HLCUANR260133096</v>
      </c>
      <c r="DZ60" s="3" t="str">
        <f>_xlfn.XLOOKUP(B60,'BASE DE EXCEL'!$C:$C,'BASE DE EXCEL'!AT:AT,"NO HAY REFERENCIA")</f>
        <v>NULL</v>
      </c>
      <c r="EA60" s="3">
        <f>_xlfn.XLOOKUP(B60,'BASE DE EXCEL'!$C:$C,'BASE DE EXCEL'!AU:AU,"NO HAY REFERENCIA")</f>
        <v>6000406</v>
      </c>
      <c r="EB60" s="3" t="str">
        <f>_xlfn.XLOOKUP(B60,'BASE DE EXCEL'!$C:$C,'BASE DE EXCEL'!AV:AV,"NO HAY REFERENCIA")</f>
        <v>Importación</v>
      </c>
      <c r="EC60" s="3" t="str">
        <f>_xlfn.XLOOKUP(B60,'BASE DE EXCEL'!$C:$C,'BASE DE EXCEL'!AW:AW,"NO HAY REFERENCIA")</f>
        <v>SALIX (MEDICAMENTO DOSIFICADO DE USO VETERINARIO)</v>
      </c>
      <c r="ED60" s="3" t="str">
        <f>_xlfn.XLOOKUP(B60,'BASE DE EXCEL'!$C:$C,'BASE DE EXCEL'!AX:AX,"NO HAY REFERENCIA")</f>
        <v>SIN CLASIFICACION</v>
      </c>
      <c r="EE60" s="3">
        <f>_xlfn.XLOOKUP(B60,'BASE DE EXCEL'!$C:$C,'BASE DE EXCEL'!AY:AY,"NO HAY REFERENCIA")</f>
        <v>0</v>
      </c>
      <c r="EF60" s="3" t="str">
        <f>_xlfn.XLOOKUP(B60,'BASE DE EXCEL'!$C:$C,'BASE DE EXCEL'!AZ:AZ,"NO HAY REFERENCIA")</f>
        <v>Cargas de Importación</v>
      </c>
      <c r="EG60" s="3" t="str">
        <f>_xlfn.XLOOKUP(B60,'BASE DE EXCEL'!$C:$C,'BASE DE EXCEL'!BA:BA,"NO HAY REFERENCIA")</f>
        <v>INTERVET MEXICO SA DE CV</v>
      </c>
      <c r="EH60" s="3">
        <f>_xlfn.XLOOKUP(B60,'BASE DE EXCEL'!$C:$C,'BASE DE EXCEL'!BB:BB,"NO HAY REFERENCIA")</f>
        <v>0</v>
      </c>
      <c r="EI60" s="3" t="str">
        <f>_xlfn.XLOOKUP(B60,'BASE DE EXCEL'!$C:$C,'BASE DE EXCEL'!BC:BC,"NO HAY REFERENCIA")</f>
        <v>FALTA RRNA</v>
      </c>
      <c r="EJ60" s="3">
        <f>_xlfn.XLOOKUP(B60,'BASE DE EXCEL'!$C:$C,'BASE DE EXCEL'!BD:BD,"NO HAY REFERENCIA")</f>
        <v>0</v>
      </c>
      <c r="EK60" s="3" t="str">
        <f>_xlfn.XLOOKUP(B60,'BASE DE EXCEL'!$C:$C,'BASE DE EXCEL'!BE:BE,"NO HAY REFERENCIA")</f>
        <v>FALTA RRNA</v>
      </c>
      <c r="EL60" s="3" t="str">
        <f>_xlfn.XLOOKUP(B60,'BASE DE EXCEL'!$C:$C,'BASE DE EXCEL'!BF:BF,"NO HAY REFERENCIA")</f>
        <v>PRODUCTO TERMINADO</v>
      </c>
      <c r="EM60" s="3" t="str">
        <f>_xlfn.XLOOKUP(B60,'BASE DE EXCEL'!$C:$C,'BASE DE EXCEL'!BG:BG,"NO HAY REFERENCIA")</f>
        <v>Verde</v>
      </c>
      <c r="EN60" s="3" t="str">
        <f>_xlfn.XLOOKUP(B60,'BASE DE EXCEL'!$C:$C,'BASE DE EXCEL'!BH:BH,"NO HAY REFERENCIA")</f>
        <v xml:space="preserve"> MLH TRANSPORTE, S.A. DE C.V.</v>
      </c>
      <c r="EO60" s="3" t="str">
        <f>_xlfn.XLOOKUP(B60,'BASE DE EXCEL'!$C:$C,'BASE DE EXCEL'!BI:BI,"NO HAY REFERENCIA")</f>
        <v>TRACTOCAMION ECO 02RED</v>
      </c>
      <c r="EP60" s="3">
        <f>_xlfn.XLOOKUP(B60,'BASE DE EXCEL'!$C:$C,'BASE DE EXCEL'!BJ:BJ,"NO HAY REFERENCIA")</f>
        <v>0</v>
      </c>
      <c r="EQ60" s="3" t="str">
        <f>_xlfn.XLOOKUP(B60,'BASE DE EXCEL'!$C:$C,'BASE DE EXCEL'!BK:BK,"NO HAY REFERENCIA")</f>
        <v>IME850329RH2</v>
      </c>
      <c r="ER60" s="3">
        <f>_xlfn.XLOOKUP(B60,'BASE DE EXCEL'!$C:$C,'BASE DE EXCEL'!BL:BL,"NO HAY REFERENCIA")</f>
        <v>0</v>
      </c>
      <c r="ES60" s="3" t="str">
        <f>_xlfn.XLOOKUP(B60,'BASE DE EXCEL'!$C:$C,'BASE DE EXCEL'!BM:BM,"NO HAY REFERENCIA")</f>
        <v>00,99</v>
      </c>
      <c r="ET60" s="3" t="str">
        <f>_xlfn.XLOOKUP(B60,'BASE DE EXCEL'!$C:$C,'BASE DE EXCEL'!BN:BN,"NO HAY REFERENCIA")</f>
        <v>LOTE: A195A02,LOTE: N269A01</v>
      </c>
      <c r="EU60" s="3">
        <f>_xlfn.XLOOKUP(B60,'BASE DE EXCEL'!$C:$C,'BASE DE EXCEL'!BO:BO,"NO HAY REFERENCIA")</f>
        <v>90</v>
      </c>
      <c r="EV60" s="3" t="str">
        <f>_xlfn.XLOOKUP(B60,'BASE DE EXCEL'!$C:$C,'BASE DE EXCEL'!BP:BP,"NO HAY REFERENCIA")</f>
        <v xml:space="preserve"> 272000.00, 802755.32</v>
      </c>
      <c r="EW60" s="3" t="str">
        <f>_xlfn.XLOOKUP(B60,'BASE DE EXCEL'!$C:$C,'BASE DE EXCEL'!BQ:BQ,"NO HAY REFERENCIA")</f>
        <v>KILO,KILO</v>
      </c>
      <c r="EX60" s="3">
        <f>_xlfn.XLOOKUP(B60,'BASE DE EXCEL'!$C:$C,'BASE DE EXCEL'!BR:BR,"NO HAY REFERENCIA")</f>
        <v>0</v>
      </c>
      <c r="EY60" s="3" t="str">
        <f>_xlfn.XLOOKUP(B60,'BASE DE EXCEL'!$C:$C,'BASE DE EXCEL'!BS:BS,"NO HAY REFERENCIA")</f>
        <v>ALEMANIA (REPUBLICA FEDERAL DE),FRANCIA (REPUBLICA FRANCESA)</v>
      </c>
      <c r="EZ60" s="3" t="str">
        <f>_xlfn.XLOOKUP(B60,'BASE DE EXCEL'!$C:$C,'BASE DE EXCEL'!BT:BT,"NO HAY REFERENCIA")</f>
        <v>PAISES BAJOS (REINO DE LOS) (HOLANDA)</v>
      </c>
      <c r="FA60" s="3" t="str">
        <f>_xlfn.XLOOKUP(B60,'BASE DE EXCEL'!$C:$C,'BASE DE EXCEL'!BU:BU,"NO HAY REFERENCIA")</f>
        <v>DEU,FRA</v>
      </c>
      <c r="FB60" s="3" t="str">
        <f>_xlfn.XLOOKUP(B60,'BASE DE EXCEL'!$C:$C,'BASE DE EXCEL'!BV:BV,"NO HAY REFERENCIA")</f>
        <v>ZYA</v>
      </c>
      <c r="FC60" s="3">
        <f>_xlfn.XLOOKUP(B60,QUERY!$C:$C,QUERY!D:D)</f>
        <v>430</v>
      </c>
      <c r="FD60" s="4">
        <f>_xlfn.XLOOKUP(B60,QUERY!$C:$C,QUERY!E:E)</f>
        <v>46090</v>
      </c>
      <c r="FE60" s="3">
        <f>_xlfn.XLOOKUP(B60,QUERY!$C:$C,QUERY!F:F)</f>
        <v>3</v>
      </c>
      <c r="FF60" s="4">
        <f>_xlfn.XLOOKUP(B60,QUERY!$C:$C,QUERY!G:G)</f>
        <v>46069</v>
      </c>
      <c r="FG60" s="4">
        <f>_xlfn.XLOOKUP(B60,QUERY!$C:$C,QUERY!H:H)</f>
        <v>46090</v>
      </c>
      <c r="FH60" s="3">
        <f>_xlfn.XLOOKUP(B60,QUERY!$C:$C,QUERY!I:I)</f>
        <v>15</v>
      </c>
      <c r="FI60" s="3" t="str">
        <f>_xlfn.XLOOKUP(B60,QUERY!$C:$C,QUERY!J:J)</f>
        <v>11 a 15 días</v>
      </c>
      <c r="FJ60" s="4">
        <f>_xlfn.XLOOKUP(B60,QUERY!$C:$C,QUERY!K:K)</f>
        <v>46092</v>
      </c>
      <c r="FK60" s="3">
        <f>_xlfn.XLOOKUP(B60,QUERY!$C:$C,QUERY!L:L)</f>
        <v>17</v>
      </c>
      <c r="FL60" s="3" t="str">
        <f>_xlfn.XLOOKUP(B60,QUERY!$C:$C,QUERY!M:M)</f>
        <v>16 o más días</v>
      </c>
      <c r="FM60" s="3">
        <f>_xlfn.XLOOKUP(B60,QUERY!$C:$C,QUERY!N:N)</f>
        <v>2</v>
      </c>
      <c r="FN60" s="3" t="str">
        <f>_xlfn.XLOOKUP(B60,QUERY!$C:$C,QUERY!O:O)</f>
        <v>2 a 3 días</v>
      </c>
      <c r="FO60" s="3">
        <f>_xlfn.XLOOKUP(B60,QUERY!$C:$C,QUERY!P:P)</f>
        <v>2</v>
      </c>
      <c r="FP60" s="3">
        <f>_xlfn.XLOOKUP(B60,QUERY!$C:$C,QUERY!Q:Q)</f>
        <v>1</v>
      </c>
      <c r="FQ60" s="3" t="str">
        <f>_xlfn.XLOOKUP(B60,QUERY!$C:$C,QUERY!R:R)</f>
        <v>1 día o menos</v>
      </c>
      <c r="FR60" s="4">
        <f>_xlfn.XLOOKUP(B60,QUERY!$C:$C,QUERY!S:S)</f>
        <v>46093</v>
      </c>
      <c r="FS60" s="3">
        <f>_xlfn.XLOOKUP(B60,QUERY!$C:$C,QUERY!T:T)</f>
        <v>18</v>
      </c>
      <c r="FT60" s="3" t="str">
        <f>_xlfn.XLOOKUP(B60,QUERY!$C:$C,QUERY!U:U)</f>
        <v>mas de 16 dias</v>
      </c>
      <c r="FU60" s="3">
        <f>_xlfn.XLOOKUP(B60,QUERY!$C:$C,QUERY!V:V)</f>
        <v>31</v>
      </c>
      <c r="FV60" s="3" t="str">
        <f>_xlfn.XLOOKUP(B60,QUERY!$C:$C,QUERY!W:W)</f>
        <v>más de 16 días</v>
      </c>
      <c r="FW60" s="4">
        <f>_xlfn.XLOOKUP(B60,QUERY!$C:$C,QUERY!X:X)</f>
        <v>46112</v>
      </c>
      <c r="FX60" s="3">
        <f>_xlfn.XLOOKUP(B60,QUERY!$C:$C,QUERY!Y:Y)</f>
        <v>12</v>
      </c>
      <c r="FY60" s="3">
        <f>_xlfn.XLOOKUP(B60,QUERY!$C:$C,QUERY!Z:Z)</f>
        <v>13</v>
      </c>
      <c r="FZ60" s="4" t="str">
        <f>_xlfn.XLOOKUP(B60,QUERY!$C:$C,QUERY!AA:AA)</f>
        <v>más de 16 días</v>
      </c>
      <c r="GA60" s="4">
        <f>_xlfn.XLOOKUP(B60,QUERY!$C:$C,QUERY!AB:AB)</f>
        <v>46111</v>
      </c>
      <c r="GB60" s="4">
        <f>_xlfn.XLOOKUP(B60,QUERY!$C:$C,QUERY!AC:AC)</f>
        <v>46112</v>
      </c>
      <c r="GC60" s="3">
        <f>_xlfn.XLOOKUP(B60,QUERY!$C:$C,QUERY!AD:AD)</f>
        <v>1</v>
      </c>
      <c r="GD60" s="4">
        <f>_xlfn.XLOOKUP(B60,QUERY!$C:$C,QUERY!AE:AE)</f>
        <v>46112</v>
      </c>
      <c r="GE60" s="3">
        <f>_xlfn.XLOOKUP(B60,QUERY!$C:$C,QUERY!AF:AF)</f>
        <v>1</v>
      </c>
      <c r="GF60" s="4" t="str">
        <f>_xlfn.XLOOKUP(B60,QUERY!$C:$C,QUERY!AG:AG)</f>
        <v>Es anterior</v>
      </c>
      <c r="GG60" s="3" t="str">
        <f>_xlfn.XLOOKUP(B60,QUERY!$C:$C,QUERY!AH:AH)</f>
        <v>R1</v>
      </c>
      <c r="GH60" s="3" t="str">
        <f>_xlfn.XLOOKUP(B60,QUERY!$C:$C,QUERY!AI:AI)</f>
        <v>ZULEIMA PEREZ RUIZ</v>
      </c>
      <c r="GI60" s="3" t="str">
        <f>_xlfn.XLOOKUP(B60,QUERY!$C:$C,QUERY!AJ:AJ)</f>
        <v>HLCUANR260133096</v>
      </c>
      <c r="GJ60" s="3" t="str">
        <f>_xlfn.XLOOKUP(B60,QUERY!$C:$C,QUERY!AK:AK)</f>
        <v>NULL</v>
      </c>
      <c r="GK60" s="3">
        <f>_xlfn.XLOOKUP(B60,QUERY!$C:$C,QUERY!AL:AL)</f>
        <v>6000406</v>
      </c>
      <c r="GL60" s="3" t="str">
        <f>_xlfn.XLOOKUP(B60,QUERY!$C:$C,QUERY!AM:AM)</f>
        <v>Importación</v>
      </c>
      <c r="GM60" s="3" t="str">
        <f>_xlfn.XLOOKUP(B60,QUERY!$C:$C,QUERY!AN:AN)</f>
        <v>SALIX (MEDICAMENTO DOSIFICADO DE USO VETERINARIO)</v>
      </c>
      <c r="GN60" s="3" t="str">
        <f>_xlfn.XLOOKUP(B60,QUERY!$C:$C,QUERY!AO:AO)</f>
        <v>SIN CLASIFICACION</v>
      </c>
      <c r="GO60" s="3">
        <f>_xlfn.XLOOKUP(B60,QUERY!$C:$C,QUERY!AP:AP)</f>
        <v>0</v>
      </c>
      <c r="GP60" s="3" t="str">
        <f>_xlfn.XLOOKUP(B60,QUERY!$C:$C,QUERY!AQ:AQ)</f>
        <v>Cargas de Importación</v>
      </c>
      <c r="GQ60" s="3" t="str">
        <f>_xlfn.XLOOKUP(B60,QUERY!$C:$C,QUERY!AR:AR)</f>
        <v>INTERVET MEXICO SA DE CV</v>
      </c>
      <c r="GR60" s="3">
        <f>_xlfn.XLOOKUP(B60,QUERY!$C:$C,QUERY!AS:AS)</f>
        <v>0</v>
      </c>
      <c r="GS60" s="3" t="str">
        <f>_xlfn.XLOOKUP(B60,QUERY!$C:$C,QUERY!AT:AT)</f>
        <v>FALTA RRNA</v>
      </c>
      <c r="GT60" s="3">
        <f>_xlfn.XLOOKUP(B60,QUERY!$C:$C,QUERY!AU:AU)</f>
        <v>0</v>
      </c>
      <c r="GU60" s="3" t="str">
        <f>_xlfn.XLOOKUP(B60,QUERY!$C:$C,QUERY!AV:AV)</f>
        <v>FALTA RRNA</v>
      </c>
      <c r="GV60" s="3" t="str">
        <f>_xlfn.XLOOKUP(B60,QUERY!$C:$C,QUERY!AW:AW)</f>
        <v>PRODUCTO TERMINADO</v>
      </c>
      <c r="GW60" s="3" t="str">
        <f>_xlfn.XLOOKUP(B60,QUERY!$C:$C,QUERY!AX:AX)</f>
        <v>Verde</v>
      </c>
      <c r="GX60" s="3" t="str">
        <f>_xlfn.XLOOKUP(B60,QUERY!$C:$C,QUERY!AY:AY)</f>
        <v xml:space="preserve"> MLH TRANSPORTE, S.A. DE C.V.</v>
      </c>
      <c r="GY60" s="3" t="str">
        <f>_xlfn.XLOOKUP(B60,QUERY!$C:$C,QUERY!AZ:AZ)</f>
        <v>TRACTOCAMION ECO 02RED</v>
      </c>
      <c r="GZ60" s="3">
        <f>_xlfn.XLOOKUP(B60,QUERY!$C:$C,QUERY!BA:BA)</f>
        <v>0</v>
      </c>
      <c r="HA60" s="3" t="str">
        <f>_xlfn.XLOOKUP(B60,QUERY!$C:$C,QUERY!BB:BB)</f>
        <v>IME850329RH2</v>
      </c>
      <c r="HB60" s="3">
        <f>_xlfn.XLOOKUP(B60,QUERY!$C:$C,QUERY!BC:BC)</f>
        <v>0</v>
      </c>
      <c r="HC60" s="3">
        <f>_xlfn.XLOOKUP(B60,QUERY!$C:$C,QUERY!BD:BD)</f>
        <v>0.99</v>
      </c>
      <c r="HD60" s="3" t="str">
        <f>_xlfn.XLOOKUP(B60,QUERY!$C:$C,QUERY!BE:BE)</f>
        <v>LOTE: A195A02,LOTE: N269A01</v>
      </c>
      <c r="HE60" s="3">
        <f>_xlfn.XLOOKUP(B60,QUERY!$C:$C,QUERY!BF:BF)</f>
        <v>90</v>
      </c>
      <c r="HF60" s="3" t="str">
        <f>_xlfn.XLOOKUP(B60,QUERY!$C:$C,QUERY!BG:BG)</f>
        <v xml:space="preserve"> 272000.00, 802755.32</v>
      </c>
      <c r="HG60" s="3" t="str">
        <f>_xlfn.XLOOKUP(B60,QUERY!$C:$C,QUERY!BH:BH)</f>
        <v>KILO,KILO</v>
      </c>
      <c r="HH60" s="3">
        <f>_xlfn.XLOOKUP(B60,QUERY!$C:$C,QUERY!BI:BI)</f>
        <v>0</v>
      </c>
      <c r="HI60" s="3" t="str">
        <f>_xlfn.XLOOKUP(B60,QUERY!$C:$C,QUERY!BJ:BJ)</f>
        <v>ALEMANIA (REPUBLICA FEDERAL DE),FRANCIA (REPUBLICA FRANCESA)</v>
      </c>
      <c r="HJ60" s="3" t="str">
        <f>_xlfn.XLOOKUP(B60,QUERY!$C:$C,QUERY!BK:BK)</f>
        <v>PAISES BAJOS (REINO DE LOS) (HOLANDA)</v>
      </c>
      <c r="HK60" s="3" t="str">
        <f>_xlfn.XLOOKUP(B60,QUERY!$C:$C,QUERY!BL:BL)</f>
        <v>DEU,FRA</v>
      </c>
      <c r="HL60" s="3" t="str">
        <f>_xlfn.XLOOKUP(B60,QUERY!$C:$C,QUERY!BM:BM)</f>
        <v>ZYA</v>
      </c>
      <c r="HM60" s="3">
        <f>_xlfn.XLOOKUP(B60,QUERY!$C:$C,QUERY!BN:BN)</f>
        <v>1074755</v>
      </c>
      <c r="HN60" s="3" t="str">
        <f>_xlfn.XLOOKUP(B60,QUERY!$C:$C,QUERY!BO:BO)</f>
        <v>444.00</v>
      </c>
      <c r="HO60" s="3" t="str">
        <f>_xlfn.XLOOKUP(B60,QUERY!$C:$C,QUERY!BP:BP)</f>
        <v>NULL</v>
      </c>
      <c r="HP60" s="3" t="str">
        <f>_xlfn.XLOOKUP(B60,QUERY!$C:$C,QUERY!BQ:BQ)</f>
        <v>NULL</v>
      </c>
      <c r="HQ60" s="3" t="str">
        <f>_xlfn.XLOOKUP(B60,QUERY!$C:$C,QUERY!BR:BR)</f>
        <v>348588.11</v>
      </c>
      <c r="HR60" s="3">
        <f>_xlfn.XLOOKUP(B60,QUERY!$C:$C,QUERY!BS:BS)</f>
        <v>0</v>
      </c>
      <c r="HS60" s="3">
        <f>_xlfn.XLOOKUP(B60,QUERY!$C:$C,QUERY!BT:BT)</f>
        <v>0</v>
      </c>
      <c r="HT60" s="3" t="str">
        <f>_xlfn.XLOOKUP(B60,QUERY!$C:$C,QUERY!A:A)</f>
        <v>VERACRUZ</v>
      </c>
      <c r="HU60" s="3" t="str">
        <f>_xlfn.XLOOKUP(B60,QUERY!$C:$C,QUERY!B:B)</f>
        <v>MARÍTIMO VERACRUZ</v>
      </c>
    </row>
    <row r="61" spans="1:229" x14ac:dyDescent="0.25">
      <c r="A61" s="3" t="s">
        <v>90</v>
      </c>
      <c r="B61" s="18" t="s">
        <v>240</v>
      </c>
      <c r="C61" s="3">
        <v>3942</v>
      </c>
      <c r="D61" s="3">
        <v>6000245</v>
      </c>
      <c r="E61" s="3"/>
      <c r="F61" s="3" t="s">
        <v>92</v>
      </c>
      <c r="G61" s="3" t="s">
        <v>93</v>
      </c>
      <c r="H61" s="3">
        <v>0</v>
      </c>
      <c r="I61" s="3">
        <v>0</v>
      </c>
      <c r="J61" s="3">
        <v>0</v>
      </c>
      <c r="K61" s="3">
        <v>0</v>
      </c>
      <c r="L61" s="3" t="s">
        <v>223</v>
      </c>
      <c r="M61" s="3" t="s">
        <v>223</v>
      </c>
      <c r="N61" s="3">
        <v>0</v>
      </c>
      <c r="O61" s="3">
        <v>0</v>
      </c>
      <c r="P61" s="3">
        <v>17.170000000000002</v>
      </c>
      <c r="Q61" s="3">
        <v>8373.2000000000007</v>
      </c>
      <c r="R61" s="3">
        <v>430</v>
      </c>
      <c r="S61" s="3" t="s">
        <v>241</v>
      </c>
      <c r="T61" s="3" t="s">
        <v>225</v>
      </c>
      <c r="U61" s="3">
        <v>3230831</v>
      </c>
      <c r="V61" s="3">
        <v>3230831</v>
      </c>
      <c r="W61" s="3">
        <v>0</v>
      </c>
      <c r="X61" s="3">
        <v>0</v>
      </c>
      <c r="Y61" s="3">
        <v>0</v>
      </c>
      <c r="Z61" s="3">
        <v>0</v>
      </c>
      <c r="AA61" s="3" t="s">
        <v>242</v>
      </c>
      <c r="AB61" s="3"/>
      <c r="AC61" s="3">
        <v>1657908</v>
      </c>
      <c r="AD61" s="3">
        <v>116.1</v>
      </c>
      <c r="AE61" s="3">
        <v>354</v>
      </c>
      <c r="AF61" s="3" t="s">
        <v>227</v>
      </c>
      <c r="AG61" s="3">
        <v>0</v>
      </c>
      <c r="AH61" s="3">
        <v>0</v>
      </c>
      <c r="AI61" s="3">
        <v>53</v>
      </c>
      <c r="AJ61" s="3">
        <v>25847</v>
      </c>
      <c r="AK61" s="3">
        <v>0</v>
      </c>
      <c r="AL61" s="3">
        <v>0</v>
      </c>
      <c r="AM61" s="3">
        <v>330</v>
      </c>
      <c r="AN61" s="3">
        <v>221630</v>
      </c>
      <c r="AO61" s="3" t="s">
        <v>97</v>
      </c>
      <c r="AP61" s="3" t="s">
        <v>98</v>
      </c>
      <c r="AQ61" s="3">
        <v>210364510</v>
      </c>
      <c r="AR61" s="3" t="s">
        <v>99</v>
      </c>
      <c r="AS61" s="3" t="s">
        <v>100</v>
      </c>
      <c r="AT61" s="3">
        <v>265571225</v>
      </c>
      <c r="AU61" s="3"/>
      <c r="AV61" s="3" t="s">
        <v>188</v>
      </c>
      <c r="AW61" s="3">
        <v>38089199</v>
      </c>
      <c r="AX61" s="3">
        <v>99</v>
      </c>
      <c r="AY61" s="3">
        <v>14280</v>
      </c>
      <c r="AZ61" s="3">
        <v>14280</v>
      </c>
      <c r="BA61" s="3" t="s">
        <v>103</v>
      </c>
      <c r="BB61" s="3"/>
      <c r="BC61" s="3" t="s">
        <v>189</v>
      </c>
      <c r="BD61" s="3" t="s">
        <v>105</v>
      </c>
      <c r="BE61" s="3" t="s">
        <v>106</v>
      </c>
      <c r="BF61" s="3" t="s">
        <v>107</v>
      </c>
      <c r="BG61" s="5" t="s">
        <v>243</v>
      </c>
      <c r="BH61" s="3" t="s">
        <v>230</v>
      </c>
      <c r="BI61" s="3"/>
      <c r="BJ61" s="3" t="s">
        <v>190</v>
      </c>
      <c r="BK61" s="3" t="s">
        <v>244</v>
      </c>
      <c r="BL61" s="3">
        <v>43746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22189.59</v>
      </c>
      <c r="BY61" s="3">
        <v>0</v>
      </c>
      <c r="BZ61" s="3">
        <v>0</v>
      </c>
      <c r="CA61" s="3">
        <v>39770.14</v>
      </c>
      <c r="CB61" s="3">
        <v>11200</v>
      </c>
      <c r="CC61" s="3">
        <v>2254.4</v>
      </c>
      <c r="CD61" s="3">
        <v>288531.45</v>
      </c>
      <c r="CE61" s="3" t="s">
        <v>192</v>
      </c>
      <c r="CF61" s="3">
        <v>288531.45</v>
      </c>
      <c r="CG61" s="3">
        <v>0</v>
      </c>
      <c r="CH61" s="3">
        <v>0</v>
      </c>
      <c r="CI61" s="3" t="s">
        <v>112</v>
      </c>
      <c r="CJ61" s="3" t="s">
        <v>112</v>
      </c>
      <c r="CK61" s="3">
        <f>_xlfn.XLOOKUP($B$2,'BASE DE EXCEL'!C:C,'BASE DE EXCEL'!D:D,"NO HAY REFERENCIA")</f>
        <v>470</v>
      </c>
      <c r="CL61" s="5">
        <f>_xlfn.XLOOKUP($B$2,'BASE DE EXCEL'!$C:$C,'BASE DE EXCEL'!F:F,"NO HAY REFERENCIA")</f>
        <v>3</v>
      </c>
      <c r="CM61" s="4">
        <f>_xlfn.XLOOKUP($B$2,'BASE DE EXCEL'!$C:$C,'BASE DE EXCEL'!G:G,"NO HAY REFERENCIA")</f>
        <v>46080</v>
      </c>
      <c r="CN61" s="4">
        <f>_xlfn.XLOOKUP($B$2,'BASE DE EXCEL'!$C:$C,'BASE DE EXCEL'!H:H,"NO HAY REFERENCIA")</f>
        <v>46086</v>
      </c>
      <c r="CO61" s="3">
        <f>_xlfn.XLOOKUP($B$2,'BASE DE EXCEL'!$C:$C,'BASE DE EXCEL'!I:I,"NO HAY REFERENCIA")</f>
        <v>4</v>
      </c>
      <c r="CP61" s="3" t="str">
        <f>_xlfn.XLOOKUP($B$2,'BASE DE EXCEL'!$C:$C,'BASE DE EXCEL'!J:J,"NO HAY REFERENCIA")</f>
        <v>4 a 5 días</v>
      </c>
      <c r="CQ61" s="4">
        <f>_xlfn.XLOOKUP($B$2,'BASE DE EXCEL'!$C:$C,'BASE DE EXCEL'!K:K,"NO HAY REFERENCIA")</f>
        <v>46087</v>
      </c>
      <c r="CR61" s="3">
        <f>_xlfn.XLOOKUP($B$2,'BASE DE EXCEL'!$C:$C,'BASE DE EXCEL'!L:L,"NO HAY REFERENCIA")</f>
        <v>5</v>
      </c>
      <c r="CS61" s="3">
        <f>_xlfn.XLOOKUP($B$2,'BASE DE EXCEL'!$C:$C,'BASE DE EXCEL'!M:M,"NO HAY REFERENCIA")</f>
        <v>6</v>
      </c>
      <c r="CT61" s="3" t="str">
        <f>_xlfn.XLOOKUP($B$2,'BASE DE EXCEL'!$C:$C,'BASE DE EXCEL'!N:N,"NO HAY REFERENCIA")</f>
        <v>6 a 10 días</v>
      </c>
      <c r="CU61" s="3" t="str">
        <f>_xlfn.XLOOKUP($B$2,'BASE DE EXCEL'!$C:$C,'BASE DE EXCEL'!O:O,"NO HAY REFERENCIA")</f>
        <v>On Time</v>
      </c>
      <c r="CV61" s="3" t="str">
        <f>_xlfn.XLOOKUP(B61,'BASE DE EXCEL'!$C:$C,'BASE DE EXCEL'!P:P,"NO HAY REFERENCIA")</f>
        <v>6 a 10 días</v>
      </c>
      <c r="CW61" s="4">
        <f>_xlfn.XLOOKUP(B61,'BASE DE EXCEL'!$C:$C,'BASE DE EXCEL'!Q:Q,"NO HAY REFERENCIA")</f>
        <v>46090</v>
      </c>
      <c r="CX61" s="3">
        <f>_xlfn.XLOOKUP(B61,'BASE DE EXCEL'!$C:$C,'BASE DE EXCEL'!R:R,"NO HAY REFERENCIA")</f>
        <v>7</v>
      </c>
      <c r="CY61" s="3" t="str">
        <f>_xlfn.XLOOKUP(B61,'BASE DE EXCEL'!$C:$C,'BASE DE EXCEL'!S:S,"NO HAY REFERENCIA")</f>
        <v>6 a 10 días</v>
      </c>
      <c r="CZ61" s="3" t="str">
        <f>_xlfn.XLOOKUP(B61,'BASE DE EXCEL'!$C:$C,'BASE DE EXCEL'!T:T,"NO HAY REFERENCIA")</f>
        <v>Delayed</v>
      </c>
      <c r="DA61" s="3">
        <f>_xlfn.XLOOKUP(B61,'BASE DE EXCEL'!$C:$C,'BASE DE EXCEL'!U:U,"NO HAY REFERENCIA")</f>
        <v>10</v>
      </c>
      <c r="DB61" s="3" t="str">
        <f>_xlfn.XLOOKUP(B61,'BASE DE EXCEL'!$C:$C,'BASE DE EXCEL'!V:V,"NO HAY REFERENCIA")</f>
        <v>6 a 10 días</v>
      </c>
      <c r="DC61" s="3">
        <f>_xlfn.XLOOKUP(B61,'BASE DE EXCEL'!$C:$C,'BASE DE EXCEL'!W:W,"NO HAY REFERENCIA")</f>
        <v>12</v>
      </c>
      <c r="DD61" s="3" t="str">
        <f>_xlfn.XLOOKUP(B61,'BASE DE EXCEL'!$C:$C,'BASE DE EXCEL'!X:X,"NO HAY REFERENCIA")</f>
        <v>11 a 15 días</v>
      </c>
      <c r="DE61" s="3">
        <f>_xlfn.XLOOKUP(B61,'BASE DE EXCEL'!$C:$C,'BASE DE EXCEL'!Y:Y,"NO HAY REFERENCIA")</f>
        <v>1</v>
      </c>
      <c r="DF61" s="3" t="str">
        <f>_xlfn.XLOOKUP(B61,'BASE DE EXCEL'!$C:$C,'BASE DE EXCEL'!Z:Z,"NO HAY REFERENCIA")</f>
        <v>1 día o menos</v>
      </c>
      <c r="DG61" s="3">
        <f>_xlfn.XLOOKUP(B61,'BASE DE EXCEL'!$C:$C,'BASE DE EXCEL'!AA:AA,"NO HAY REFERENCIA")</f>
        <v>7</v>
      </c>
      <c r="DH61" s="3">
        <f>_xlfn.XLOOKUP(B61,'BASE DE EXCEL'!$C:$C,'BASE DE EXCEL'!AB:AB,"NO HAY REFERENCIA")</f>
        <v>2</v>
      </c>
      <c r="DI61" s="3" t="str">
        <f>_xlfn.XLOOKUP(B61,'BASE DE EXCEL'!$C:$C,'BASE DE EXCEL'!AC:AC,"NO HAY REFERENCIA")</f>
        <v>2 a 3 días</v>
      </c>
      <c r="DJ61" s="4">
        <f>_xlfn.XLOOKUP(B61,'BASE DE EXCEL'!$C:$C,'BASE DE EXCEL'!AD:AD,"NO HAY REFERENCIA")</f>
        <v>46098</v>
      </c>
      <c r="DK61" s="3">
        <f>_xlfn.XLOOKUP(B61,'BASE DE EXCEL'!$C:$C,'BASE DE EXCEL'!AE:AE,"NO HAY REFERENCIA")</f>
        <v>8</v>
      </c>
      <c r="DL61" s="3">
        <f>_xlfn.XLOOKUP(B61,'BASE DE EXCEL'!$C:$C,'BASE DE EXCEL'!AF:AF,"NO HAY REFERENCIA")</f>
        <v>6</v>
      </c>
      <c r="DM61" s="4">
        <f>_xlfn.XLOOKUP(B61,'BASE DE EXCEL'!$C:$C,'BASE DE EXCEL'!AG:AG,"NO HAY REFERENCIA")</f>
        <v>46098</v>
      </c>
      <c r="DN61" s="4">
        <f>_xlfn.XLOOKUP(B61,'BASE DE EXCEL'!$C:$C,'BASE DE EXCEL'!AH:AH,"NO HAY REFERENCIA")</f>
        <v>46098</v>
      </c>
      <c r="DO61" s="3">
        <f>_xlfn.XLOOKUP(B61,'BASE DE EXCEL'!$C:$C,'BASE DE EXCEL'!AI:AI,"NO HAY REFERENCIA")</f>
        <v>0</v>
      </c>
      <c r="DP61" s="4" t="str">
        <f>_xlfn.XLOOKUP(B61,'BASE DE EXCEL'!$C:$C,'BASE DE EXCEL'!AJ:AJ,"NO HAY REFERENCIA")</f>
        <v>6 a 10 días</v>
      </c>
      <c r="DQ61" s="4">
        <f>_xlfn.XLOOKUP(B61,'BASE DE EXCEL'!$C:$C,'BASE DE EXCEL'!AK:AK,"NO HAY REFERENCIA")</f>
        <v>46098</v>
      </c>
      <c r="DR61" s="3">
        <f>_xlfn.XLOOKUP(B61,'BASE DE EXCEL'!$C:$C,'BASE DE EXCEL'!AL:AL,"NO HAY REFERENCIA")</f>
        <v>6</v>
      </c>
      <c r="DS61" s="3" t="str">
        <f>_xlfn.XLOOKUP(B61,'BASE DE EXCEL'!$C:$C,'BASE DE EXCEL'!AM:AM,"NO HAY REFERENCIA")</f>
        <v>6 a 10 días</v>
      </c>
      <c r="DT61" s="3" t="str">
        <f>_xlfn.XLOOKUP(B61,'BASE DE EXCEL'!$C:$C,'BASE DE EXCEL'!AN:AN,"NO HAY REFERENCIA")</f>
        <v>On Time</v>
      </c>
      <c r="DU61" s="3">
        <f>_xlfn.XLOOKUP(B61,'BASE DE EXCEL'!$C:$C,'BASE DE EXCEL'!AO:AO,"NO HAY REFERENCIA")</f>
        <v>1</v>
      </c>
      <c r="DV61" s="3" t="str">
        <f>_xlfn.XLOOKUP(B61,'BASE DE EXCEL'!$C:$C,'BASE DE EXCEL'!AP:AP,"NO HAY REFERENCIA")</f>
        <v>Es anterior</v>
      </c>
      <c r="DW61" s="3" t="str">
        <f>_xlfn.XLOOKUP(B61,'BASE DE EXCEL'!$C:$C,'BASE DE EXCEL'!AQ:AQ,"NO HAY REFERENCIA")</f>
        <v>A1</v>
      </c>
      <c r="DX61" s="3" t="str">
        <f>_xlfn.XLOOKUP(B61,'BASE DE EXCEL'!$C:$C,'BASE DE EXCEL'!AR:AR,"NO HAY REFERENCIA")</f>
        <v>ZULEIMA PEREZ RUIZ</v>
      </c>
      <c r="DY61" s="3">
        <f>_xlfn.XLOOKUP(B61,'BASE DE EXCEL'!$C:$C,'BASE DE EXCEL'!AS:AS,"NO HAY REFERENCIA")</f>
        <v>265571225</v>
      </c>
      <c r="DZ61" s="3" t="str">
        <f>_xlfn.XLOOKUP(B61,'BASE DE EXCEL'!$C:$C,'BASE DE EXCEL'!AT:AT,"NO HAY REFERENCIA")</f>
        <v>NULL</v>
      </c>
      <c r="EA61" s="3">
        <f>_xlfn.XLOOKUP(B61,'BASE DE EXCEL'!$C:$C,'BASE DE EXCEL'!AU:AU,"NO HAY REFERENCIA")</f>
        <v>6000245</v>
      </c>
      <c r="EB61" s="3" t="str">
        <f>_xlfn.XLOOKUP(B61,'BASE DE EXCEL'!$C:$C,'BASE DE EXCEL'!AV:AV,"NO HAY REFERENCIA")</f>
        <v>Importación</v>
      </c>
      <c r="EC61" s="3" t="str">
        <f>_xlfn.XLOOKUP(B61,'BASE DE EXCEL'!$C:$C,'BASE DE EXCEL'!AW:AW,"NO HAY REFERENCIA")</f>
        <v>TAKTIC EC 1X200ML</v>
      </c>
      <c r="ED61" s="3" t="str">
        <f>_xlfn.XLOOKUP(B61,'BASE DE EXCEL'!$C:$C,'BASE DE EXCEL'!AX:AX,"NO HAY REFERENCIA")</f>
        <v>SIN CLASIFICACION</v>
      </c>
      <c r="EE61" s="3">
        <f>_xlfn.XLOOKUP(B61,'BASE DE EXCEL'!$C:$C,'BASE DE EXCEL'!AY:AY,"NO HAY REFERENCIA")</f>
        <v>0</v>
      </c>
      <c r="EF61" s="3" t="str">
        <f>_xlfn.XLOOKUP(B61,'BASE DE EXCEL'!$C:$C,'BASE DE EXCEL'!AZ:AZ,"NO HAY REFERENCIA")</f>
        <v>Cargas de Importación</v>
      </c>
      <c r="EG61" s="3" t="str">
        <f>_xlfn.XLOOKUP(B61,'BASE DE EXCEL'!$C:$C,'BASE DE EXCEL'!BA:BA,"NO HAY REFERENCIA")</f>
        <v>INTERVET MEXICO SA DE CV</v>
      </c>
      <c r="EH61" s="3">
        <f>_xlfn.XLOOKUP(B61,'BASE DE EXCEL'!$C:$C,'BASE DE EXCEL'!BB:BB,"NO HAY REFERENCIA")</f>
        <v>0</v>
      </c>
      <c r="EI61" s="3" t="str">
        <f>_xlfn.XLOOKUP(B61,'BASE DE EXCEL'!$C:$C,'BASE DE EXCEL'!BC:BC,"NO HAY REFERENCIA")</f>
        <v>FALTA RRNA</v>
      </c>
      <c r="EJ61" s="3">
        <f>_xlfn.XLOOKUP(B61,'BASE DE EXCEL'!$C:$C,'BASE DE EXCEL'!BD:BD,"NO HAY REFERENCIA")</f>
        <v>0</v>
      </c>
      <c r="EK61" s="3" t="str">
        <f>_xlfn.XLOOKUP(B61,'BASE DE EXCEL'!$C:$C,'BASE DE EXCEL'!BE:BE,"NO HAY REFERENCIA")</f>
        <v>FALTA RRNA</v>
      </c>
      <c r="EL61" s="3" t="str">
        <f>_xlfn.XLOOKUP(B61,'BASE DE EXCEL'!$C:$C,'BASE DE EXCEL'!BF:BF,"NO HAY REFERENCIA")</f>
        <v>PRODUCTO TERMINADO</v>
      </c>
      <c r="EM61" s="3" t="str">
        <f>_xlfn.XLOOKUP(B61,'BASE DE EXCEL'!$C:$C,'BASE DE EXCEL'!BG:BG,"NO HAY REFERENCIA")</f>
        <v>Verde</v>
      </c>
      <c r="EN61" s="3" t="str">
        <f>_xlfn.XLOOKUP(B61,'BASE DE EXCEL'!$C:$C,'BASE DE EXCEL'!BH:BH,"NO HAY REFERENCIA")</f>
        <v xml:space="preserve"> MLH TRANSPORTE, S.A. DE C.V.</v>
      </c>
      <c r="EO61" s="3" t="str">
        <f>_xlfn.XLOOKUP(B61,'BASE DE EXCEL'!$C:$C,'BASE DE EXCEL'!BI:BI,"NO HAY REFERENCIA")</f>
        <v>TRACTOCAMION ECONOMICO 166</v>
      </c>
      <c r="EP61" s="3">
        <f>_xlfn.XLOOKUP(B61,'BASE DE EXCEL'!$C:$C,'BASE DE EXCEL'!BJ:BJ,"NO HAY REFERENCIA")</f>
        <v>0</v>
      </c>
      <c r="EQ61" s="3" t="str">
        <f>_xlfn.XLOOKUP(B61,'BASE DE EXCEL'!$C:$C,'BASE DE EXCEL'!BK:BK,"NO HAY REFERENCIA")</f>
        <v>IME850329RH2</v>
      </c>
      <c r="ER61" s="3">
        <f>_xlfn.XLOOKUP(B61,'BASE DE EXCEL'!$C:$C,'BASE DE EXCEL'!BL:BL,"NO HAY REFERENCIA")</f>
        <v>0</v>
      </c>
      <c r="ES61" s="3">
        <f>_xlfn.XLOOKUP(B61,'BASE DE EXCEL'!$C:$C,'BASE DE EXCEL'!BM:BM,"NO HAY REFERENCIA")</f>
        <v>99</v>
      </c>
      <c r="ET61" s="3" t="str">
        <f>_xlfn.XLOOKUP(B61,'BASE DE EXCEL'!$C:$C,'BASE DE EXCEL'!BN:BN,"NO HAY REFERENCIA")</f>
        <v>LOTE: 045/25,LOTES: 045/25, 046/25</v>
      </c>
      <c r="EU61" s="3">
        <f>_xlfn.XLOOKUP(B61,'BASE DE EXCEL'!$C:$C,'BASE DE EXCEL'!BO:BO,"NO HAY REFERENCIA")</f>
        <v>90</v>
      </c>
      <c r="EV61" s="3" t="str">
        <f>_xlfn.XLOOKUP(B61,'BASE DE EXCEL'!$C:$C,'BASE DE EXCEL'!BP:BP,"NO HAY REFERENCIA")</f>
        <v xml:space="preserve"> 1657908.00, 1572922.80</v>
      </c>
      <c r="EW61" s="3" t="str">
        <f>_xlfn.XLOOKUP(B61,'BASE DE EXCEL'!$C:$C,'BASE DE EXCEL'!BQ:BQ,"NO HAY REFERENCIA")</f>
        <v>KILO,KILO</v>
      </c>
      <c r="EX61" s="3">
        <f>_xlfn.XLOOKUP(B61,'BASE DE EXCEL'!$C:$C,'BASE DE EXCEL'!BR:BR,"NO HAY REFERENCIA")</f>
        <v>0</v>
      </c>
      <c r="EY61" s="3" t="str">
        <f>_xlfn.XLOOKUP(B61,'BASE DE EXCEL'!$C:$C,'BASE DE EXCEL'!BS:BS,"NO HAY REFERENCIA")</f>
        <v>BRASIL (REPUBLICA FEDERATIVA DE)</v>
      </c>
      <c r="EZ61" s="3" t="str">
        <f>_xlfn.XLOOKUP(B61,'BASE DE EXCEL'!$C:$C,'BASE DE EXCEL'!BT:BT,"NO HAY REFERENCIA")</f>
        <v>PAISES BAJOS (REINO DE LOS) (HOLANDA)</v>
      </c>
      <c r="FA61" s="3" t="str">
        <f>_xlfn.XLOOKUP(B61,'BASE DE EXCEL'!$C:$C,'BASE DE EXCEL'!BU:BU,"NO HAY REFERENCIA")</f>
        <v>BRA</v>
      </c>
      <c r="FB61" s="3" t="str">
        <f>_xlfn.XLOOKUP(B61,'BASE DE EXCEL'!$C:$C,'BASE DE EXCEL'!BV:BV,"NO HAY REFERENCIA")</f>
        <v>ZYA</v>
      </c>
      <c r="FC61" s="3">
        <f>_xlfn.XLOOKUP(B61,QUERY!$C:$C,QUERY!D:D)</f>
        <v>430</v>
      </c>
      <c r="FD61" s="4">
        <f>_xlfn.XLOOKUP(B61,QUERY!$C:$C,QUERY!E:E)</f>
        <v>46087</v>
      </c>
      <c r="FE61" s="3">
        <f>_xlfn.XLOOKUP(B61,QUERY!$C:$C,QUERY!F:F)</f>
        <v>3</v>
      </c>
      <c r="FF61" s="4">
        <f>_xlfn.XLOOKUP(B61,QUERY!$C:$C,QUERY!G:G)</f>
        <v>46080</v>
      </c>
      <c r="FG61" s="4">
        <f>_xlfn.XLOOKUP(B61,QUERY!$C:$C,QUERY!H:H)</f>
        <v>46087</v>
      </c>
      <c r="FH61" s="3">
        <f>_xlfn.XLOOKUP(B61,QUERY!$C:$C,QUERY!I:I)</f>
        <v>5</v>
      </c>
      <c r="FI61" s="3" t="str">
        <f>_xlfn.XLOOKUP(B61,QUERY!$C:$C,QUERY!J:J)</f>
        <v>4 a 5 días</v>
      </c>
      <c r="FJ61" s="4">
        <f>_xlfn.XLOOKUP(B61,QUERY!$C:$C,QUERY!K:K)</f>
        <v>46088</v>
      </c>
      <c r="FK61" s="3">
        <f>_xlfn.XLOOKUP(B61,QUERY!$C:$C,QUERY!L:L)</f>
        <v>5</v>
      </c>
      <c r="FL61" s="3" t="str">
        <f>_xlfn.XLOOKUP(B61,QUERY!$C:$C,QUERY!M:M)</f>
        <v>4 a 5 días</v>
      </c>
      <c r="FM61" s="3">
        <f>_xlfn.XLOOKUP(B61,QUERY!$C:$C,QUERY!N:N)</f>
        <v>1</v>
      </c>
      <c r="FN61" s="3" t="str">
        <f>_xlfn.XLOOKUP(B61,QUERY!$C:$C,QUERY!O:O)</f>
        <v>1 día o menos</v>
      </c>
      <c r="FO61" s="3">
        <f>_xlfn.XLOOKUP(B61,QUERY!$C:$C,QUERY!P:P)</f>
        <v>1</v>
      </c>
      <c r="FP61" s="3">
        <f>_xlfn.XLOOKUP(B61,QUERY!$C:$C,QUERY!Q:Q)</f>
        <v>2</v>
      </c>
      <c r="FQ61" s="3" t="str">
        <f>_xlfn.XLOOKUP(B61,QUERY!$C:$C,QUERY!R:R)</f>
        <v>2 a 3 días</v>
      </c>
      <c r="FR61" s="4">
        <f>_xlfn.XLOOKUP(B61,QUERY!$C:$C,QUERY!S:S)</f>
        <v>46090</v>
      </c>
      <c r="FS61" s="3">
        <f>_xlfn.XLOOKUP(B61,QUERY!$C:$C,QUERY!T:T)</f>
        <v>6</v>
      </c>
      <c r="FT61" s="3" t="str">
        <f>_xlfn.XLOOKUP(B61,QUERY!$C:$C,QUERY!U:U)</f>
        <v>6 a 10 días</v>
      </c>
      <c r="FU61" s="3">
        <f>_xlfn.XLOOKUP(B61,QUERY!$C:$C,QUERY!V:V)</f>
        <v>12</v>
      </c>
      <c r="FV61" s="3" t="str">
        <f>_xlfn.XLOOKUP(B61,QUERY!$C:$C,QUERY!W:W)</f>
        <v>11 a 15 días</v>
      </c>
      <c r="FW61" s="4">
        <f>_xlfn.XLOOKUP(B61,QUERY!$C:$C,QUERY!X:X)</f>
        <v>46098</v>
      </c>
      <c r="FX61" s="3">
        <f>_xlfn.XLOOKUP(B61,QUERY!$C:$C,QUERY!Y:Y)</f>
        <v>6</v>
      </c>
      <c r="FY61" s="3">
        <f>_xlfn.XLOOKUP(B61,QUERY!$C:$C,QUERY!Z:Z)</f>
        <v>6</v>
      </c>
      <c r="FZ61" s="4" t="str">
        <f>_xlfn.XLOOKUP(B61,QUERY!$C:$C,QUERY!AA:AA)</f>
        <v>6 a 10 días</v>
      </c>
      <c r="GA61" s="4">
        <f>_xlfn.XLOOKUP(B61,QUERY!$C:$C,QUERY!AB:AB)</f>
        <v>46098</v>
      </c>
      <c r="GB61" s="4">
        <f>_xlfn.XLOOKUP(B61,QUERY!$C:$C,QUERY!AC:AC)</f>
        <v>46098</v>
      </c>
      <c r="GC61" s="3">
        <f>_xlfn.XLOOKUP(B61,QUERY!$C:$C,QUERY!AD:AD)</f>
        <v>0</v>
      </c>
      <c r="GD61" s="4">
        <f>_xlfn.XLOOKUP(B61,QUERY!$C:$C,QUERY!AE:AE)</f>
        <v>46098</v>
      </c>
      <c r="GE61" s="3">
        <f>_xlfn.XLOOKUP(B61,QUERY!$C:$C,QUERY!AF:AF)</f>
        <v>1</v>
      </c>
      <c r="GF61" s="4" t="str">
        <f>_xlfn.XLOOKUP(B61,QUERY!$C:$C,QUERY!AG:AG)</f>
        <v>Es anterior</v>
      </c>
      <c r="GG61" s="3" t="str">
        <f>_xlfn.XLOOKUP(B61,QUERY!$C:$C,QUERY!AH:AH)</f>
        <v>A1</v>
      </c>
      <c r="GH61" s="3" t="str">
        <f>_xlfn.XLOOKUP(B61,QUERY!$C:$C,QUERY!AI:AI)</f>
        <v>ZULEIMA PEREZ RUIZ</v>
      </c>
      <c r="GI61" s="3">
        <f>_xlfn.XLOOKUP(B61,QUERY!$C:$C,QUERY!AJ:AJ)</f>
        <v>265571225</v>
      </c>
      <c r="GJ61" s="3" t="str">
        <f>_xlfn.XLOOKUP(B61,QUERY!$C:$C,QUERY!AK:AK)</f>
        <v>NULL</v>
      </c>
      <c r="GK61" s="3">
        <f>_xlfn.XLOOKUP(B61,QUERY!$C:$C,QUERY!AL:AL)</f>
        <v>6000245</v>
      </c>
      <c r="GL61" s="3" t="str">
        <f>_xlfn.XLOOKUP(B61,QUERY!$C:$C,QUERY!AM:AM)</f>
        <v>Importación</v>
      </c>
      <c r="GM61" s="3" t="str">
        <f>_xlfn.XLOOKUP(B61,QUERY!$C:$C,QUERY!AN:AN)</f>
        <v>TAKTIC EC 1X200ML</v>
      </c>
      <c r="GN61" s="3" t="str">
        <f>_xlfn.XLOOKUP(B61,QUERY!$C:$C,QUERY!AO:AO)</f>
        <v>SIN CLASIFICACION</v>
      </c>
      <c r="GO61" s="3">
        <f>_xlfn.XLOOKUP(B61,QUERY!$C:$C,QUERY!AP:AP)</f>
        <v>0</v>
      </c>
      <c r="GP61" s="3" t="str">
        <f>_xlfn.XLOOKUP(B61,QUERY!$C:$C,QUERY!AQ:AQ)</f>
        <v>Cargas de Importación</v>
      </c>
      <c r="GQ61" s="3" t="str">
        <f>_xlfn.XLOOKUP(B61,QUERY!$C:$C,QUERY!AR:AR)</f>
        <v>INTERVET MEXICO SA DE CV</v>
      </c>
      <c r="GR61" s="3">
        <f>_xlfn.XLOOKUP(B61,QUERY!$C:$C,QUERY!AS:AS)</f>
        <v>0</v>
      </c>
      <c r="GS61" s="3" t="str">
        <f>_xlfn.XLOOKUP(B61,QUERY!$C:$C,QUERY!AT:AT)</f>
        <v>FALTA RRNA</v>
      </c>
      <c r="GT61" s="3">
        <f>_xlfn.XLOOKUP(B61,QUERY!$C:$C,QUERY!AU:AU)</f>
        <v>0</v>
      </c>
      <c r="GU61" s="3" t="str">
        <f>_xlfn.XLOOKUP(B61,QUERY!$C:$C,QUERY!AV:AV)</f>
        <v>FALTA RRNA</v>
      </c>
      <c r="GV61" s="3" t="str">
        <f>_xlfn.XLOOKUP(B61,QUERY!$C:$C,QUERY!AW:AW)</f>
        <v>PRODUCTO TERMINADO</v>
      </c>
      <c r="GW61" s="3" t="str">
        <f>_xlfn.XLOOKUP(B61,QUERY!$C:$C,QUERY!AX:AX)</f>
        <v>Verde</v>
      </c>
      <c r="GX61" s="3" t="str">
        <f>_xlfn.XLOOKUP(B61,QUERY!$C:$C,QUERY!AY:AY)</f>
        <v xml:space="preserve"> MLH TRANSPORTE, S.A. DE C.V.</v>
      </c>
      <c r="GY61" s="3" t="str">
        <f>_xlfn.XLOOKUP(B61,QUERY!$C:$C,QUERY!AZ:AZ)</f>
        <v>TRACTOCAMION ECONOMICO 166</v>
      </c>
      <c r="GZ61" s="3">
        <f>_xlfn.XLOOKUP(B61,QUERY!$C:$C,QUERY!BA:BA)</f>
        <v>0</v>
      </c>
      <c r="HA61" s="3" t="str">
        <f>_xlfn.XLOOKUP(B61,QUERY!$C:$C,QUERY!BB:BB)</f>
        <v>IME850329RH2</v>
      </c>
      <c r="HB61" s="3">
        <f>_xlfn.XLOOKUP(B61,QUERY!$C:$C,QUERY!BC:BC)</f>
        <v>0</v>
      </c>
      <c r="HC61" s="3">
        <f>_xlfn.XLOOKUP(B61,QUERY!$C:$C,QUERY!BD:BD)</f>
        <v>99</v>
      </c>
      <c r="HD61" s="3" t="str">
        <f>_xlfn.XLOOKUP(B61,QUERY!$C:$C,QUERY!BE:BE)</f>
        <v>LOTE: 045/25,LOTES: 045/25, 046/25</v>
      </c>
      <c r="HE61" s="3">
        <f>_xlfn.XLOOKUP(B61,QUERY!$C:$C,QUERY!BF:BF)</f>
        <v>90</v>
      </c>
      <c r="HF61" s="3" t="str">
        <f>_xlfn.XLOOKUP(B61,QUERY!$C:$C,QUERY!BG:BG)</f>
        <v xml:space="preserve"> 1657908.00, 1572922.80</v>
      </c>
      <c r="HG61" s="3" t="str">
        <f>_xlfn.XLOOKUP(B61,QUERY!$C:$C,QUERY!BH:BH)</f>
        <v>KILO,KILO</v>
      </c>
      <c r="HH61" s="3">
        <f>_xlfn.XLOOKUP(B61,QUERY!$C:$C,QUERY!BI:BI)</f>
        <v>0</v>
      </c>
      <c r="HI61" s="3" t="str">
        <f>_xlfn.XLOOKUP(B61,QUERY!$C:$C,QUERY!BJ:BJ)</f>
        <v>BRASIL (REPUBLICA FEDERATIVA DE)</v>
      </c>
      <c r="HJ61" s="3" t="str">
        <f>_xlfn.XLOOKUP(B61,QUERY!$C:$C,QUERY!BK:BK)</f>
        <v>PAISES BAJOS (REINO DE LOS) (HOLANDA)</v>
      </c>
      <c r="HK61" s="3" t="str">
        <f>_xlfn.XLOOKUP(B61,QUERY!$C:$C,QUERY!BL:BL)</f>
        <v>BRA</v>
      </c>
      <c r="HL61" s="3" t="str">
        <f>_xlfn.XLOOKUP(B61,QUERY!$C:$C,QUERY!BM:BM)</f>
        <v>ZYA</v>
      </c>
      <c r="HM61" s="3">
        <f>_xlfn.XLOOKUP(B61,QUERY!$C:$C,QUERY!BN:BN)</f>
        <v>3230831</v>
      </c>
      <c r="HN61" s="3" t="str">
        <f>_xlfn.XLOOKUP(B61,QUERY!$C:$C,QUERY!BO:BO)</f>
        <v>25847.00</v>
      </c>
      <c r="HO61" s="3" t="str">
        <f>_xlfn.XLOOKUP(B61,QUERY!$C:$C,QUERY!BP:BP)</f>
        <v>NULL</v>
      </c>
      <c r="HP61" s="3" t="str">
        <f>_xlfn.XLOOKUP(B61,QUERY!$C:$C,QUERY!BQ:BQ)</f>
        <v>NULL</v>
      </c>
      <c r="HQ61" s="3" t="str">
        <f>_xlfn.XLOOKUP(B61,QUERY!$C:$C,QUERY!BR:BR)</f>
        <v>288531.45</v>
      </c>
      <c r="HR61" s="3">
        <f>_xlfn.XLOOKUP(B61,QUERY!$C:$C,QUERY!BS:BS)</f>
        <v>0</v>
      </c>
      <c r="HS61" s="3">
        <f>_xlfn.XLOOKUP(B61,QUERY!$C:$C,QUERY!BT:BT)</f>
        <v>0</v>
      </c>
      <c r="HT61" s="3" t="str">
        <f>_xlfn.XLOOKUP(B61,QUERY!$C:$C,QUERY!A:A)</f>
        <v>VERACRUZ</v>
      </c>
      <c r="HU61" s="3" t="str">
        <f>_xlfn.XLOOKUP(B61,QUERY!$C:$C,QUERY!B:B)</f>
        <v>MARÍTIMO VERACRUZ</v>
      </c>
    </row>
    <row r="62" spans="1:229" x14ac:dyDescent="0.25">
      <c r="A62" s="3" t="s">
        <v>90</v>
      </c>
      <c r="B62" s="18" t="s">
        <v>240</v>
      </c>
      <c r="C62" s="3">
        <v>3942</v>
      </c>
      <c r="D62" s="3">
        <v>6000245</v>
      </c>
      <c r="E62" s="3"/>
      <c r="F62" s="3" t="s">
        <v>92</v>
      </c>
      <c r="G62" s="3" t="s">
        <v>93</v>
      </c>
      <c r="H62" s="3">
        <v>0</v>
      </c>
      <c r="I62" s="3">
        <v>0</v>
      </c>
      <c r="J62" s="3">
        <v>0</v>
      </c>
      <c r="K62" s="3">
        <v>0</v>
      </c>
      <c r="L62" s="3" t="s">
        <v>223</v>
      </c>
      <c r="M62" s="3" t="s">
        <v>223</v>
      </c>
      <c r="N62" s="3">
        <v>0</v>
      </c>
      <c r="O62" s="3">
        <v>0</v>
      </c>
      <c r="P62" s="3">
        <v>0</v>
      </c>
      <c r="Q62" s="3">
        <v>0</v>
      </c>
      <c r="R62" s="3">
        <v>430</v>
      </c>
      <c r="S62" s="3" t="s">
        <v>241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242</v>
      </c>
      <c r="AB62" s="3"/>
      <c r="AC62" s="3">
        <v>1572923</v>
      </c>
      <c r="AD62" s="3">
        <v>116.10001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/>
      <c r="AP62" s="3" t="s">
        <v>98</v>
      </c>
      <c r="AQ62" s="3">
        <v>210364511</v>
      </c>
      <c r="AR62" s="3" t="s">
        <v>99</v>
      </c>
      <c r="AS62" s="3" t="s">
        <v>100</v>
      </c>
      <c r="AT62" s="3">
        <v>0</v>
      </c>
      <c r="AU62" s="3">
        <v>0</v>
      </c>
      <c r="AV62" s="3">
        <v>0</v>
      </c>
      <c r="AW62" s="3">
        <v>38089199</v>
      </c>
      <c r="AX62" s="3">
        <v>99</v>
      </c>
      <c r="AY62" s="3">
        <v>13548</v>
      </c>
      <c r="AZ62" s="3">
        <v>13548</v>
      </c>
      <c r="BA62" s="3" t="s">
        <v>103</v>
      </c>
      <c r="BB62" s="3"/>
      <c r="BC62" s="3" t="s">
        <v>189</v>
      </c>
      <c r="BD62" s="3" t="s">
        <v>105</v>
      </c>
      <c r="BE62" s="3"/>
      <c r="BF62" s="3"/>
      <c r="BG62" s="5"/>
      <c r="BH62" s="3"/>
      <c r="BI62" s="3"/>
      <c r="BJ62" s="3"/>
      <c r="BK62" s="3" t="s">
        <v>245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 t="s">
        <v>192</v>
      </c>
      <c r="CF62" s="3">
        <v>0</v>
      </c>
      <c r="CG62" s="3">
        <v>0</v>
      </c>
      <c r="CH62" s="3">
        <v>0</v>
      </c>
      <c r="CI62" s="3" t="s">
        <v>112</v>
      </c>
      <c r="CJ62" s="3" t="s">
        <v>112</v>
      </c>
      <c r="CK62" s="3">
        <f>_xlfn.XLOOKUP($B$2,'BASE DE EXCEL'!C:C,'BASE DE EXCEL'!D:D,"NO HAY REFERENCIA")</f>
        <v>470</v>
      </c>
      <c r="CL62" s="5">
        <f>_xlfn.XLOOKUP($B$2,'BASE DE EXCEL'!$C:$C,'BASE DE EXCEL'!F:F,"NO HAY REFERENCIA")</f>
        <v>3</v>
      </c>
      <c r="CM62" s="4">
        <f>_xlfn.XLOOKUP($B$2,'BASE DE EXCEL'!$C:$C,'BASE DE EXCEL'!G:G,"NO HAY REFERENCIA")</f>
        <v>46080</v>
      </c>
      <c r="CN62" s="4">
        <f>_xlfn.XLOOKUP($B$2,'BASE DE EXCEL'!$C:$C,'BASE DE EXCEL'!H:H,"NO HAY REFERENCIA")</f>
        <v>46086</v>
      </c>
      <c r="CO62" s="3">
        <f>_xlfn.XLOOKUP($B$2,'BASE DE EXCEL'!$C:$C,'BASE DE EXCEL'!I:I,"NO HAY REFERENCIA")</f>
        <v>4</v>
      </c>
      <c r="CP62" s="3" t="str">
        <f>_xlfn.XLOOKUP($B$2,'BASE DE EXCEL'!$C:$C,'BASE DE EXCEL'!J:J,"NO HAY REFERENCIA")</f>
        <v>4 a 5 días</v>
      </c>
      <c r="CQ62" s="4">
        <f>_xlfn.XLOOKUP($B$2,'BASE DE EXCEL'!$C:$C,'BASE DE EXCEL'!K:K,"NO HAY REFERENCIA")</f>
        <v>46087</v>
      </c>
      <c r="CR62" s="3">
        <f>_xlfn.XLOOKUP($B$2,'BASE DE EXCEL'!$C:$C,'BASE DE EXCEL'!L:L,"NO HAY REFERENCIA")</f>
        <v>5</v>
      </c>
      <c r="CS62" s="3">
        <f>_xlfn.XLOOKUP($B$2,'BASE DE EXCEL'!$C:$C,'BASE DE EXCEL'!M:M,"NO HAY REFERENCIA")</f>
        <v>6</v>
      </c>
      <c r="CT62" s="3" t="str">
        <f>_xlfn.XLOOKUP($B$2,'BASE DE EXCEL'!$C:$C,'BASE DE EXCEL'!N:N,"NO HAY REFERENCIA")</f>
        <v>6 a 10 días</v>
      </c>
      <c r="CU62" s="3" t="str">
        <f>_xlfn.XLOOKUP($B$2,'BASE DE EXCEL'!$C:$C,'BASE DE EXCEL'!O:O,"NO HAY REFERENCIA")</f>
        <v>On Time</v>
      </c>
      <c r="CV62" s="3" t="str">
        <f>_xlfn.XLOOKUP(B62,'BASE DE EXCEL'!$C:$C,'BASE DE EXCEL'!P:P,"NO HAY REFERENCIA")</f>
        <v>6 a 10 días</v>
      </c>
      <c r="CW62" s="4">
        <f>_xlfn.XLOOKUP(B62,'BASE DE EXCEL'!$C:$C,'BASE DE EXCEL'!Q:Q,"NO HAY REFERENCIA")</f>
        <v>46090</v>
      </c>
      <c r="CX62" s="3">
        <f>_xlfn.XLOOKUP(B62,'BASE DE EXCEL'!$C:$C,'BASE DE EXCEL'!R:R,"NO HAY REFERENCIA")</f>
        <v>7</v>
      </c>
      <c r="CY62" s="3" t="str">
        <f>_xlfn.XLOOKUP(B62,'BASE DE EXCEL'!$C:$C,'BASE DE EXCEL'!S:S,"NO HAY REFERENCIA")</f>
        <v>6 a 10 días</v>
      </c>
      <c r="CZ62" s="3" t="str">
        <f>_xlfn.XLOOKUP(B62,'BASE DE EXCEL'!$C:$C,'BASE DE EXCEL'!T:T,"NO HAY REFERENCIA")</f>
        <v>Delayed</v>
      </c>
      <c r="DA62" s="3">
        <f>_xlfn.XLOOKUP(B62,'BASE DE EXCEL'!$C:$C,'BASE DE EXCEL'!U:U,"NO HAY REFERENCIA")</f>
        <v>10</v>
      </c>
      <c r="DB62" s="3" t="str">
        <f>_xlfn.XLOOKUP(B62,'BASE DE EXCEL'!$C:$C,'BASE DE EXCEL'!V:V,"NO HAY REFERENCIA")</f>
        <v>6 a 10 días</v>
      </c>
      <c r="DC62" s="3">
        <f>_xlfn.XLOOKUP(B62,'BASE DE EXCEL'!$C:$C,'BASE DE EXCEL'!W:W,"NO HAY REFERENCIA")</f>
        <v>12</v>
      </c>
      <c r="DD62" s="3" t="str">
        <f>_xlfn.XLOOKUP(B62,'BASE DE EXCEL'!$C:$C,'BASE DE EXCEL'!X:X,"NO HAY REFERENCIA")</f>
        <v>11 a 15 días</v>
      </c>
      <c r="DE62" s="3">
        <f>_xlfn.XLOOKUP(B62,'BASE DE EXCEL'!$C:$C,'BASE DE EXCEL'!Y:Y,"NO HAY REFERENCIA")</f>
        <v>1</v>
      </c>
      <c r="DF62" s="3" t="str">
        <f>_xlfn.XLOOKUP(B62,'BASE DE EXCEL'!$C:$C,'BASE DE EXCEL'!Z:Z,"NO HAY REFERENCIA")</f>
        <v>1 día o menos</v>
      </c>
      <c r="DG62" s="3">
        <f>_xlfn.XLOOKUP(B62,'BASE DE EXCEL'!$C:$C,'BASE DE EXCEL'!AA:AA,"NO HAY REFERENCIA")</f>
        <v>7</v>
      </c>
      <c r="DH62" s="3">
        <f>_xlfn.XLOOKUP(B62,'BASE DE EXCEL'!$C:$C,'BASE DE EXCEL'!AB:AB,"NO HAY REFERENCIA")</f>
        <v>2</v>
      </c>
      <c r="DI62" s="3" t="str">
        <f>_xlfn.XLOOKUP(B62,'BASE DE EXCEL'!$C:$C,'BASE DE EXCEL'!AC:AC,"NO HAY REFERENCIA")</f>
        <v>2 a 3 días</v>
      </c>
      <c r="DJ62" s="4">
        <f>_xlfn.XLOOKUP(B62,'BASE DE EXCEL'!$C:$C,'BASE DE EXCEL'!AD:AD,"NO HAY REFERENCIA")</f>
        <v>46098</v>
      </c>
      <c r="DK62" s="3">
        <f>_xlfn.XLOOKUP(B62,'BASE DE EXCEL'!$C:$C,'BASE DE EXCEL'!AE:AE,"NO HAY REFERENCIA")</f>
        <v>8</v>
      </c>
      <c r="DL62" s="3">
        <f>_xlfn.XLOOKUP(B62,'BASE DE EXCEL'!$C:$C,'BASE DE EXCEL'!AF:AF,"NO HAY REFERENCIA")</f>
        <v>6</v>
      </c>
      <c r="DM62" s="4">
        <f>_xlfn.XLOOKUP(B62,'BASE DE EXCEL'!$C:$C,'BASE DE EXCEL'!AG:AG,"NO HAY REFERENCIA")</f>
        <v>46098</v>
      </c>
      <c r="DN62" s="4">
        <f>_xlfn.XLOOKUP(B62,'BASE DE EXCEL'!$C:$C,'BASE DE EXCEL'!AH:AH,"NO HAY REFERENCIA")</f>
        <v>46098</v>
      </c>
      <c r="DO62" s="3">
        <f>_xlfn.XLOOKUP(B62,'BASE DE EXCEL'!$C:$C,'BASE DE EXCEL'!AI:AI,"NO HAY REFERENCIA")</f>
        <v>0</v>
      </c>
      <c r="DP62" s="4" t="str">
        <f>_xlfn.XLOOKUP(B62,'BASE DE EXCEL'!$C:$C,'BASE DE EXCEL'!AJ:AJ,"NO HAY REFERENCIA")</f>
        <v>6 a 10 días</v>
      </c>
      <c r="DQ62" s="4">
        <f>_xlfn.XLOOKUP(B62,'BASE DE EXCEL'!$C:$C,'BASE DE EXCEL'!AK:AK,"NO HAY REFERENCIA")</f>
        <v>46098</v>
      </c>
      <c r="DR62" s="3">
        <f>_xlfn.XLOOKUP(B62,'BASE DE EXCEL'!$C:$C,'BASE DE EXCEL'!AL:AL,"NO HAY REFERENCIA")</f>
        <v>6</v>
      </c>
      <c r="DS62" s="3" t="str">
        <f>_xlfn.XLOOKUP(B62,'BASE DE EXCEL'!$C:$C,'BASE DE EXCEL'!AM:AM,"NO HAY REFERENCIA")</f>
        <v>6 a 10 días</v>
      </c>
      <c r="DT62" s="3" t="str">
        <f>_xlfn.XLOOKUP(B62,'BASE DE EXCEL'!$C:$C,'BASE DE EXCEL'!AN:AN,"NO HAY REFERENCIA")</f>
        <v>On Time</v>
      </c>
      <c r="DU62" s="3">
        <f>_xlfn.XLOOKUP(B62,'BASE DE EXCEL'!$C:$C,'BASE DE EXCEL'!AO:AO,"NO HAY REFERENCIA")</f>
        <v>1</v>
      </c>
      <c r="DV62" s="3" t="str">
        <f>_xlfn.XLOOKUP(B62,'BASE DE EXCEL'!$C:$C,'BASE DE EXCEL'!AP:AP,"NO HAY REFERENCIA")</f>
        <v>Es anterior</v>
      </c>
      <c r="DW62" s="3" t="str">
        <f>_xlfn.XLOOKUP(B62,'BASE DE EXCEL'!$C:$C,'BASE DE EXCEL'!AQ:AQ,"NO HAY REFERENCIA")</f>
        <v>A1</v>
      </c>
      <c r="DX62" s="3" t="str">
        <f>_xlfn.XLOOKUP(B62,'BASE DE EXCEL'!$C:$C,'BASE DE EXCEL'!AR:AR,"NO HAY REFERENCIA")</f>
        <v>ZULEIMA PEREZ RUIZ</v>
      </c>
      <c r="DY62" s="3">
        <f>_xlfn.XLOOKUP(B62,'BASE DE EXCEL'!$C:$C,'BASE DE EXCEL'!AS:AS,"NO HAY REFERENCIA")</f>
        <v>265571225</v>
      </c>
      <c r="DZ62" s="3" t="str">
        <f>_xlfn.XLOOKUP(B62,'BASE DE EXCEL'!$C:$C,'BASE DE EXCEL'!AT:AT,"NO HAY REFERENCIA")</f>
        <v>NULL</v>
      </c>
      <c r="EA62" s="3">
        <f>_xlfn.XLOOKUP(B62,'BASE DE EXCEL'!$C:$C,'BASE DE EXCEL'!AU:AU,"NO HAY REFERENCIA")</f>
        <v>6000245</v>
      </c>
      <c r="EB62" s="3" t="str">
        <f>_xlfn.XLOOKUP(B62,'BASE DE EXCEL'!$C:$C,'BASE DE EXCEL'!AV:AV,"NO HAY REFERENCIA")</f>
        <v>Importación</v>
      </c>
      <c r="EC62" s="3" t="str">
        <f>_xlfn.XLOOKUP(B62,'BASE DE EXCEL'!$C:$C,'BASE DE EXCEL'!AW:AW,"NO HAY REFERENCIA")</f>
        <v>TAKTIC EC 1X200ML</v>
      </c>
      <c r="ED62" s="3" t="str">
        <f>_xlfn.XLOOKUP(B62,'BASE DE EXCEL'!$C:$C,'BASE DE EXCEL'!AX:AX,"NO HAY REFERENCIA")</f>
        <v>SIN CLASIFICACION</v>
      </c>
      <c r="EE62" s="3">
        <f>_xlfn.XLOOKUP(B62,'BASE DE EXCEL'!$C:$C,'BASE DE EXCEL'!AY:AY,"NO HAY REFERENCIA")</f>
        <v>0</v>
      </c>
      <c r="EF62" s="3" t="str">
        <f>_xlfn.XLOOKUP(B62,'BASE DE EXCEL'!$C:$C,'BASE DE EXCEL'!AZ:AZ,"NO HAY REFERENCIA")</f>
        <v>Cargas de Importación</v>
      </c>
      <c r="EG62" s="3" t="str">
        <f>_xlfn.XLOOKUP(B62,'BASE DE EXCEL'!$C:$C,'BASE DE EXCEL'!BA:BA,"NO HAY REFERENCIA")</f>
        <v>INTERVET MEXICO SA DE CV</v>
      </c>
      <c r="EH62" s="3">
        <f>_xlfn.XLOOKUP(B62,'BASE DE EXCEL'!$C:$C,'BASE DE EXCEL'!BB:BB,"NO HAY REFERENCIA")</f>
        <v>0</v>
      </c>
      <c r="EI62" s="3" t="str">
        <f>_xlfn.XLOOKUP(B62,'BASE DE EXCEL'!$C:$C,'BASE DE EXCEL'!BC:BC,"NO HAY REFERENCIA")</f>
        <v>FALTA RRNA</v>
      </c>
      <c r="EJ62" s="3">
        <f>_xlfn.XLOOKUP(B62,'BASE DE EXCEL'!$C:$C,'BASE DE EXCEL'!BD:BD,"NO HAY REFERENCIA")</f>
        <v>0</v>
      </c>
      <c r="EK62" s="3" t="str">
        <f>_xlfn.XLOOKUP(B62,'BASE DE EXCEL'!$C:$C,'BASE DE EXCEL'!BE:BE,"NO HAY REFERENCIA")</f>
        <v>FALTA RRNA</v>
      </c>
      <c r="EL62" s="3" t="str">
        <f>_xlfn.XLOOKUP(B62,'BASE DE EXCEL'!$C:$C,'BASE DE EXCEL'!BF:BF,"NO HAY REFERENCIA")</f>
        <v>PRODUCTO TERMINADO</v>
      </c>
      <c r="EM62" s="3" t="str">
        <f>_xlfn.XLOOKUP(B62,'BASE DE EXCEL'!$C:$C,'BASE DE EXCEL'!BG:BG,"NO HAY REFERENCIA")</f>
        <v>Verde</v>
      </c>
      <c r="EN62" s="3" t="str">
        <f>_xlfn.XLOOKUP(B62,'BASE DE EXCEL'!$C:$C,'BASE DE EXCEL'!BH:BH,"NO HAY REFERENCIA")</f>
        <v xml:space="preserve"> MLH TRANSPORTE, S.A. DE C.V.</v>
      </c>
      <c r="EO62" s="3" t="str">
        <f>_xlfn.XLOOKUP(B62,'BASE DE EXCEL'!$C:$C,'BASE DE EXCEL'!BI:BI,"NO HAY REFERENCIA")</f>
        <v>TRACTOCAMION ECONOMICO 166</v>
      </c>
      <c r="EP62" s="3">
        <f>_xlfn.XLOOKUP(B62,'BASE DE EXCEL'!$C:$C,'BASE DE EXCEL'!BJ:BJ,"NO HAY REFERENCIA")</f>
        <v>0</v>
      </c>
      <c r="EQ62" s="3" t="str">
        <f>_xlfn.XLOOKUP(B62,'BASE DE EXCEL'!$C:$C,'BASE DE EXCEL'!BK:BK,"NO HAY REFERENCIA")</f>
        <v>IME850329RH2</v>
      </c>
      <c r="ER62" s="3">
        <f>_xlfn.XLOOKUP(B62,'BASE DE EXCEL'!$C:$C,'BASE DE EXCEL'!BL:BL,"NO HAY REFERENCIA")</f>
        <v>0</v>
      </c>
      <c r="ES62" s="3">
        <f>_xlfn.XLOOKUP(B62,'BASE DE EXCEL'!$C:$C,'BASE DE EXCEL'!BM:BM,"NO HAY REFERENCIA")</f>
        <v>99</v>
      </c>
      <c r="ET62" s="3" t="str">
        <f>_xlfn.XLOOKUP(B62,'BASE DE EXCEL'!$C:$C,'BASE DE EXCEL'!BN:BN,"NO HAY REFERENCIA")</f>
        <v>LOTE: 045/25,LOTES: 045/25, 046/25</v>
      </c>
      <c r="EU62" s="3">
        <f>_xlfn.XLOOKUP(B62,'BASE DE EXCEL'!$C:$C,'BASE DE EXCEL'!BO:BO,"NO HAY REFERENCIA")</f>
        <v>90</v>
      </c>
      <c r="EV62" s="3" t="str">
        <f>_xlfn.XLOOKUP(B62,'BASE DE EXCEL'!$C:$C,'BASE DE EXCEL'!BP:BP,"NO HAY REFERENCIA")</f>
        <v xml:space="preserve"> 1657908.00, 1572922.80</v>
      </c>
      <c r="EW62" s="3" t="str">
        <f>_xlfn.XLOOKUP(B62,'BASE DE EXCEL'!$C:$C,'BASE DE EXCEL'!BQ:BQ,"NO HAY REFERENCIA")</f>
        <v>KILO,KILO</v>
      </c>
      <c r="EX62" s="3">
        <f>_xlfn.XLOOKUP(B62,'BASE DE EXCEL'!$C:$C,'BASE DE EXCEL'!BR:BR,"NO HAY REFERENCIA")</f>
        <v>0</v>
      </c>
      <c r="EY62" s="3" t="str">
        <f>_xlfn.XLOOKUP(B62,'BASE DE EXCEL'!$C:$C,'BASE DE EXCEL'!BS:BS,"NO HAY REFERENCIA")</f>
        <v>BRASIL (REPUBLICA FEDERATIVA DE)</v>
      </c>
      <c r="EZ62" s="3" t="str">
        <f>_xlfn.XLOOKUP(B62,'BASE DE EXCEL'!$C:$C,'BASE DE EXCEL'!BT:BT,"NO HAY REFERENCIA")</f>
        <v>PAISES BAJOS (REINO DE LOS) (HOLANDA)</v>
      </c>
      <c r="FA62" s="3" t="str">
        <f>_xlfn.XLOOKUP(B62,'BASE DE EXCEL'!$C:$C,'BASE DE EXCEL'!BU:BU,"NO HAY REFERENCIA")</f>
        <v>BRA</v>
      </c>
      <c r="FB62" s="3" t="str">
        <f>_xlfn.XLOOKUP(B62,'BASE DE EXCEL'!$C:$C,'BASE DE EXCEL'!BV:BV,"NO HAY REFERENCIA")</f>
        <v>ZYA</v>
      </c>
      <c r="FC62" s="3">
        <f>_xlfn.XLOOKUP(B62,QUERY!$C:$C,QUERY!D:D)</f>
        <v>430</v>
      </c>
      <c r="FD62" s="4">
        <f>_xlfn.XLOOKUP(B62,QUERY!$C:$C,QUERY!E:E)</f>
        <v>46087</v>
      </c>
      <c r="FE62" s="3">
        <f>_xlfn.XLOOKUP(B62,QUERY!$C:$C,QUERY!F:F)</f>
        <v>3</v>
      </c>
      <c r="FF62" s="4">
        <f>_xlfn.XLOOKUP(B62,QUERY!$C:$C,QUERY!G:G)</f>
        <v>46080</v>
      </c>
      <c r="FG62" s="4">
        <f>_xlfn.XLOOKUP(B62,QUERY!$C:$C,QUERY!H:H)</f>
        <v>46087</v>
      </c>
      <c r="FH62" s="3">
        <f>_xlfn.XLOOKUP(B62,QUERY!$C:$C,QUERY!I:I)</f>
        <v>5</v>
      </c>
      <c r="FI62" s="3" t="str">
        <f>_xlfn.XLOOKUP(B62,QUERY!$C:$C,QUERY!J:J)</f>
        <v>4 a 5 días</v>
      </c>
      <c r="FJ62" s="4">
        <f>_xlfn.XLOOKUP(B62,QUERY!$C:$C,QUERY!K:K)</f>
        <v>46088</v>
      </c>
      <c r="FK62" s="3">
        <f>_xlfn.XLOOKUP(B62,QUERY!$C:$C,QUERY!L:L)</f>
        <v>5</v>
      </c>
      <c r="FL62" s="3" t="str">
        <f>_xlfn.XLOOKUP(B62,QUERY!$C:$C,QUERY!M:M)</f>
        <v>4 a 5 días</v>
      </c>
      <c r="FM62" s="3">
        <f>_xlfn.XLOOKUP(B62,QUERY!$C:$C,QUERY!N:N)</f>
        <v>1</v>
      </c>
      <c r="FN62" s="3" t="str">
        <f>_xlfn.XLOOKUP(B62,QUERY!$C:$C,QUERY!O:O)</f>
        <v>1 día o menos</v>
      </c>
      <c r="FO62" s="3">
        <f>_xlfn.XLOOKUP(B62,QUERY!$C:$C,QUERY!P:P)</f>
        <v>1</v>
      </c>
      <c r="FP62" s="3">
        <f>_xlfn.XLOOKUP(B62,QUERY!$C:$C,QUERY!Q:Q)</f>
        <v>2</v>
      </c>
      <c r="FQ62" s="3" t="str">
        <f>_xlfn.XLOOKUP(B62,QUERY!$C:$C,QUERY!R:R)</f>
        <v>2 a 3 días</v>
      </c>
      <c r="FR62" s="4">
        <f>_xlfn.XLOOKUP(B62,QUERY!$C:$C,QUERY!S:S)</f>
        <v>46090</v>
      </c>
      <c r="FS62" s="3">
        <f>_xlfn.XLOOKUP(B62,QUERY!$C:$C,QUERY!T:T)</f>
        <v>6</v>
      </c>
      <c r="FT62" s="3" t="str">
        <f>_xlfn.XLOOKUP(B62,QUERY!$C:$C,QUERY!U:U)</f>
        <v>6 a 10 días</v>
      </c>
      <c r="FU62" s="3">
        <f>_xlfn.XLOOKUP(B62,QUERY!$C:$C,QUERY!V:V)</f>
        <v>12</v>
      </c>
      <c r="FV62" s="3" t="str">
        <f>_xlfn.XLOOKUP(B62,QUERY!$C:$C,QUERY!W:W)</f>
        <v>11 a 15 días</v>
      </c>
      <c r="FW62" s="4">
        <f>_xlfn.XLOOKUP(B62,QUERY!$C:$C,QUERY!X:X)</f>
        <v>46098</v>
      </c>
      <c r="FX62" s="3">
        <f>_xlfn.XLOOKUP(B62,QUERY!$C:$C,QUERY!Y:Y)</f>
        <v>6</v>
      </c>
      <c r="FY62" s="3">
        <f>_xlfn.XLOOKUP(B62,QUERY!$C:$C,QUERY!Z:Z)</f>
        <v>6</v>
      </c>
      <c r="FZ62" s="4" t="str">
        <f>_xlfn.XLOOKUP(B62,QUERY!$C:$C,QUERY!AA:AA)</f>
        <v>6 a 10 días</v>
      </c>
      <c r="GA62" s="4">
        <f>_xlfn.XLOOKUP(B62,QUERY!$C:$C,QUERY!AB:AB)</f>
        <v>46098</v>
      </c>
      <c r="GB62" s="4">
        <f>_xlfn.XLOOKUP(B62,QUERY!$C:$C,QUERY!AC:AC)</f>
        <v>46098</v>
      </c>
      <c r="GC62" s="3">
        <f>_xlfn.XLOOKUP(B62,QUERY!$C:$C,QUERY!AD:AD)</f>
        <v>0</v>
      </c>
      <c r="GD62" s="4">
        <f>_xlfn.XLOOKUP(B62,QUERY!$C:$C,QUERY!AE:AE)</f>
        <v>46098</v>
      </c>
      <c r="GE62" s="3">
        <f>_xlfn.XLOOKUP(B62,QUERY!$C:$C,QUERY!AF:AF)</f>
        <v>1</v>
      </c>
      <c r="GF62" s="4" t="str">
        <f>_xlfn.XLOOKUP(B62,QUERY!$C:$C,QUERY!AG:AG)</f>
        <v>Es anterior</v>
      </c>
      <c r="GG62" s="3" t="str">
        <f>_xlfn.XLOOKUP(B62,QUERY!$C:$C,QUERY!AH:AH)</f>
        <v>A1</v>
      </c>
      <c r="GH62" s="3" t="str">
        <f>_xlfn.XLOOKUP(B62,QUERY!$C:$C,QUERY!AI:AI)</f>
        <v>ZULEIMA PEREZ RUIZ</v>
      </c>
      <c r="GI62" s="3">
        <f>_xlfn.XLOOKUP(B62,QUERY!$C:$C,QUERY!AJ:AJ)</f>
        <v>265571225</v>
      </c>
      <c r="GJ62" s="3" t="str">
        <f>_xlfn.XLOOKUP(B62,QUERY!$C:$C,QUERY!AK:AK)</f>
        <v>NULL</v>
      </c>
      <c r="GK62" s="3">
        <f>_xlfn.XLOOKUP(B62,QUERY!$C:$C,QUERY!AL:AL)</f>
        <v>6000245</v>
      </c>
      <c r="GL62" s="3" t="str">
        <f>_xlfn.XLOOKUP(B62,QUERY!$C:$C,QUERY!AM:AM)</f>
        <v>Importación</v>
      </c>
      <c r="GM62" s="3" t="str">
        <f>_xlfn.XLOOKUP(B62,QUERY!$C:$C,QUERY!AN:AN)</f>
        <v>TAKTIC EC 1X200ML</v>
      </c>
      <c r="GN62" s="3" t="str">
        <f>_xlfn.XLOOKUP(B62,QUERY!$C:$C,QUERY!AO:AO)</f>
        <v>SIN CLASIFICACION</v>
      </c>
      <c r="GO62" s="3">
        <f>_xlfn.XLOOKUP(B62,QUERY!$C:$C,QUERY!AP:AP)</f>
        <v>0</v>
      </c>
      <c r="GP62" s="3" t="str">
        <f>_xlfn.XLOOKUP(B62,QUERY!$C:$C,QUERY!AQ:AQ)</f>
        <v>Cargas de Importación</v>
      </c>
      <c r="GQ62" s="3" t="str">
        <f>_xlfn.XLOOKUP(B62,QUERY!$C:$C,QUERY!AR:AR)</f>
        <v>INTERVET MEXICO SA DE CV</v>
      </c>
      <c r="GR62" s="3">
        <f>_xlfn.XLOOKUP(B62,QUERY!$C:$C,QUERY!AS:AS)</f>
        <v>0</v>
      </c>
      <c r="GS62" s="3" t="str">
        <f>_xlfn.XLOOKUP(B62,QUERY!$C:$C,QUERY!AT:AT)</f>
        <v>FALTA RRNA</v>
      </c>
      <c r="GT62" s="3">
        <f>_xlfn.XLOOKUP(B62,QUERY!$C:$C,QUERY!AU:AU)</f>
        <v>0</v>
      </c>
      <c r="GU62" s="3" t="str">
        <f>_xlfn.XLOOKUP(B62,QUERY!$C:$C,QUERY!AV:AV)</f>
        <v>FALTA RRNA</v>
      </c>
      <c r="GV62" s="3" t="str">
        <f>_xlfn.XLOOKUP(B62,QUERY!$C:$C,QUERY!AW:AW)</f>
        <v>PRODUCTO TERMINADO</v>
      </c>
      <c r="GW62" s="3" t="str">
        <f>_xlfn.XLOOKUP(B62,QUERY!$C:$C,QUERY!AX:AX)</f>
        <v>Verde</v>
      </c>
      <c r="GX62" s="3" t="str">
        <f>_xlfn.XLOOKUP(B62,QUERY!$C:$C,QUERY!AY:AY)</f>
        <v xml:space="preserve"> MLH TRANSPORTE, S.A. DE C.V.</v>
      </c>
      <c r="GY62" s="3" t="str">
        <f>_xlfn.XLOOKUP(B62,QUERY!$C:$C,QUERY!AZ:AZ)</f>
        <v>TRACTOCAMION ECONOMICO 166</v>
      </c>
      <c r="GZ62" s="3">
        <f>_xlfn.XLOOKUP(B62,QUERY!$C:$C,QUERY!BA:BA)</f>
        <v>0</v>
      </c>
      <c r="HA62" s="3" t="str">
        <f>_xlfn.XLOOKUP(B62,QUERY!$C:$C,QUERY!BB:BB)</f>
        <v>IME850329RH2</v>
      </c>
      <c r="HB62" s="3">
        <f>_xlfn.XLOOKUP(B62,QUERY!$C:$C,QUERY!BC:BC)</f>
        <v>0</v>
      </c>
      <c r="HC62" s="3">
        <f>_xlfn.XLOOKUP(B62,QUERY!$C:$C,QUERY!BD:BD)</f>
        <v>99</v>
      </c>
      <c r="HD62" s="3" t="str">
        <f>_xlfn.XLOOKUP(B62,QUERY!$C:$C,QUERY!BE:BE)</f>
        <v>LOTE: 045/25,LOTES: 045/25, 046/25</v>
      </c>
      <c r="HE62" s="3">
        <f>_xlfn.XLOOKUP(B62,QUERY!$C:$C,QUERY!BF:BF)</f>
        <v>90</v>
      </c>
      <c r="HF62" s="3" t="str">
        <f>_xlfn.XLOOKUP(B62,QUERY!$C:$C,QUERY!BG:BG)</f>
        <v xml:space="preserve"> 1657908.00, 1572922.80</v>
      </c>
      <c r="HG62" s="3" t="str">
        <f>_xlfn.XLOOKUP(B62,QUERY!$C:$C,QUERY!BH:BH)</f>
        <v>KILO,KILO</v>
      </c>
      <c r="HH62" s="3">
        <f>_xlfn.XLOOKUP(B62,QUERY!$C:$C,QUERY!BI:BI)</f>
        <v>0</v>
      </c>
      <c r="HI62" s="3" t="str">
        <f>_xlfn.XLOOKUP(B62,QUERY!$C:$C,QUERY!BJ:BJ)</f>
        <v>BRASIL (REPUBLICA FEDERATIVA DE)</v>
      </c>
      <c r="HJ62" s="3" t="str">
        <f>_xlfn.XLOOKUP(B62,QUERY!$C:$C,QUERY!BK:BK)</f>
        <v>PAISES BAJOS (REINO DE LOS) (HOLANDA)</v>
      </c>
      <c r="HK62" s="3" t="str">
        <f>_xlfn.XLOOKUP(B62,QUERY!$C:$C,QUERY!BL:BL)</f>
        <v>BRA</v>
      </c>
      <c r="HL62" s="3" t="str">
        <f>_xlfn.XLOOKUP(B62,QUERY!$C:$C,QUERY!BM:BM)</f>
        <v>ZYA</v>
      </c>
      <c r="HM62" s="3">
        <f>_xlfn.XLOOKUP(B62,QUERY!$C:$C,QUERY!BN:BN)</f>
        <v>3230831</v>
      </c>
      <c r="HN62" s="3" t="str">
        <f>_xlfn.XLOOKUP(B62,QUERY!$C:$C,QUERY!BO:BO)</f>
        <v>25847.00</v>
      </c>
      <c r="HO62" s="3" t="str">
        <f>_xlfn.XLOOKUP(B62,QUERY!$C:$C,QUERY!BP:BP)</f>
        <v>NULL</v>
      </c>
      <c r="HP62" s="3" t="str">
        <f>_xlfn.XLOOKUP(B62,QUERY!$C:$C,QUERY!BQ:BQ)</f>
        <v>NULL</v>
      </c>
      <c r="HQ62" s="3" t="str">
        <f>_xlfn.XLOOKUP(B62,QUERY!$C:$C,QUERY!BR:BR)</f>
        <v>288531.45</v>
      </c>
      <c r="HR62" s="3">
        <f>_xlfn.XLOOKUP(B62,QUERY!$C:$C,QUERY!BS:BS)</f>
        <v>0</v>
      </c>
      <c r="HS62" s="3">
        <f>_xlfn.XLOOKUP(B62,QUERY!$C:$C,QUERY!BT:BT)</f>
        <v>0</v>
      </c>
      <c r="HT62" s="3" t="str">
        <f>_xlfn.XLOOKUP(B62,QUERY!$C:$C,QUERY!A:A)</f>
        <v>VERACRUZ</v>
      </c>
      <c r="HU62" s="3" t="str">
        <f>_xlfn.XLOOKUP(B62,QUERY!$C:$C,QUERY!B:B)</f>
        <v>MARÍTIMO VERACRUZ</v>
      </c>
    </row>
    <row r="63" spans="1:229" x14ac:dyDescent="0.25">
      <c r="A63" s="3" t="s">
        <v>90</v>
      </c>
      <c r="B63" s="19" t="s">
        <v>287</v>
      </c>
      <c r="C63" s="3">
        <v>3942</v>
      </c>
      <c r="D63" s="3">
        <v>6000257</v>
      </c>
      <c r="E63" s="3"/>
      <c r="F63" s="3" t="s">
        <v>92</v>
      </c>
      <c r="G63" s="3" t="s">
        <v>93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10</v>
      </c>
      <c r="O63" s="3">
        <v>80718</v>
      </c>
      <c r="P63" s="3">
        <v>17.190999999999999</v>
      </c>
      <c r="Q63" s="3">
        <v>2862</v>
      </c>
      <c r="R63" s="3">
        <v>430</v>
      </c>
      <c r="S63" s="3" t="s">
        <v>288</v>
      </c>
      <c r="T63" s="3" t="s">
        <v>289</v>
      </c>
      <c r="U63" s="3">
        <v>2517252</v>
      </c>
      <c r="V63" s="3">
        <v>2517252</v>
      </c>
      <c r="W63" s="3">
        <v>0</v>
      </c>
      <c r="X63" s="3">
        <v>0</v>
      </c>
      <c r="Y63" s="3">
        <v>0</v>
      </c>
      <c r="Z63" s="3">
        <v>0</v>
      </c>
      <c r="AA63" s="3" t="s">
        <v>290</v>
      </c>
      <c r="AB63" s="3"/>
      <c r="AC63" s="3">
        <v>807176</v>
      </c>
      <c r="AD63" s="3">
        <v>44.620010000000001</v>
      </c>
      <c r="AE63" s="3">
        <v>354</v>
      </c>
      <c r="AF63" s="3" t="s">
        <v>180</v>
      </c>
      <c r="AG63" s="3">
        <v>251726</v>
      </c>
      <c r="AH63" s="3">
        <v>0</v>
      </c>
      <c r="AI63" s="3">
        <v>53</v>
      </c>
      <c r="AJ63" s="3">
        <v>20138</v>
      </c>
      <c r="AK63" s="3">
        <v>0</v>
      </c>
      <c r="AL63" s="3">
        <v>0</v>
      </c>
      <c r="AM63" s="3">
        <v>330</v>
      </c>
      <c r="AN63" s="3">
        <v>272247</v>
      </c>
      <c r="AO63" s="3" t="s">
        <v>97</v>
      </c>
      <c r="AP63" s="3" t="s">
        <v>98</v>
      </c>
      <c r="AQ63" s="3">
        <v>210364512</v>
      </c>
      <c r="AR63" s="3" t="s">
        <v>99</v>
      </c>
      <c r="AS63" s="3" t="s">
        <v>100</v>
      </c>
      <c r="AT63" s="3">
        <v>265571440</v>
      </c>
      <c r="AU63" s="3"/>
      <c r="AV63" s="3" t="s">
        <v>102</v>
      </c>
      <c r="AW63" s="3">
        <v>30049099</v>
      </c>
      <c r="AX63" s="3">
        <v>99</v>
      </c>
      <c r="AY63" s="3">
        <v>18090</v>
      </c>
      <c r="AZ63" s="3">
        <v>18090</v>
      </c>
      <c r="BA63" s="3" t="s">
        <v>103</v>
      </c>
      <c r="BB63" s="3"/>
      <c r="BC63" s="3" t="s">
        <v>189</v>
      </c>
      <c r="BD63" s="3" t="s">
        <v>105</v>
      </c>
      <c r="BE63" s="3" t="s">
        <v>106</v>
      </c>
      <c r="BF63" s="3" t="s">
        <v>117</v>
      </c>
      <c r="BG63" s="5"/>
      <c r="BH63" s="3"/>
      <c r="BI63" s="3"/>
      <c r="BJ63" s="3" t="s">
        <v>190</v>
      </c>
      <c r="BK63" s="3" t="s">
        <v>291</v>
      </c>
      <c r="BL63" s="3">
        <v>43743</v>
      </c>
      <c r="BM63" s="3">
        <v>0</v>
      </c>
      <c r="BN63" s="3">
        <v>0</v>
      </c>
      <c r="BO63" s="3">
        <v>0</v>
      </c>
      <c r="BP63" s="3">
        <v>1800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22189.59</v>
      </c>
      <c r="BY63" s="3">
        <v>0</v>
      </c>
      <c r="BZ63" s="3">
        <v>0</v>
      </c>
      <c r="CA63" s="3">
        <v>0</v>
      </c>
      <c r="CB63" s="3">
        <v>5600</v>
      </c>
      <c r="CC63" s="3">
        <v>1307.2</v>
      </c>
      <c r="CD63" s="3">
        <v>108287.97</v>
      </c>
      <c r="CE63" s="3" t="s">
        <v>192</v>
      </c>
      <c r="CF63" s="3">
        <v>108287.97</v>
      </c>
      <c r="CG63" s="3">
        <v>0</v>
      </c>
      <c r="CH63" s="3">
        <v>0</v>
      </c>
      <c r="CI63" s="3" t="s">
        <v>112</v>
      </c>
      <c r="CJ63" s="3" t="s">
        <v>112</v>
      </c>
      <c r="CK63" s="3">
        <f>_xlfn.XLOOKUP($B$2,'BASE DE EXCEL'!C:C,'BASE DE EXCEL'!D:D,"NO HAY REFERENCIA")</f>
        <v>470</v>
      </c>
      <c r="CL63" s="5">
        <f>_xlfn.XLOOKUP($B$2,'BASE DE EXCEL'!$C:$C,'BASE DE EXCEL'!F:F,"NO HAY REFERENCIA")</f>
        <v>3</v>
      </c>
      <c r="CM63" s="4">
        <f>_xlfn.XLOOKUP($B$2,'BASE DE EXCEL'!$C:$C,'BASE DE EXCEL'!G:G,"NO HAY REFERENCIA")</f>
        <v>46080</v>
      </c>
      <c r="CN63" s="4">
        <f>_xlfn.XLOOKUP($B$2,'BASE DE EXCEL'!$C:$C,'BASE DE EXCEL'!H:H,"NO HAY REFERENCIA")</f>
        <v>46086</v>
      </c>
      <c r="CO63" s="3">
        <f>_xlfn.XLOOKUP($B$2,'BASE DE EXCEL'!$C:$C,'BASE DE EXCEL'!I:I,"NO HAY REFERENCIA")</f>
        <v>4</v>
      </c>
      <c r="CP63" s="3" t="str">
        <f>_xlfn.XLOOKUP($B$2,'BASE DE EXCEL'!$C:$C,'BASE DE EXCEL'!J:J,"NO HAY REFERENCIA")</f>
        <v>4 a 5 días</v>
      </c>
      <c r="CQ63" s="4">
        <f>_xlfn.XLOOKUP($B$2,'BASE DE EXCEL'!$C:$C,'BASE DE EXCEL'!K:K,"NO HAY REFERENCIA")</f>
        <v>46087</v>
      </c>
      <c r="CR63" s="3">
        <f>_xlfn.XLOOKUP($B$2,'BASE DE EXCEL'!$C:$C,'BASE DE EXCEL'!L:L,"NO HAY REFERENCIA")</f>
        <v>5</v>
      </c>
      <c r="CS63" s="3">
        <f>_xlfn.XLOOKUP($B$2,'BASE DE EXCEL'!$C:$C,'BASE DE EXCEL'!M:M,"NO HAY REFERENCIA")</f>
        <v>6</v>
      </c>
      <c r="CT63" s="3" t="str">
        <f>_xlfn.XLOOKUP($B$2,'BASE DE EXCEL'!$C:$C,'BASE DE EXCEL'!N:N,"NO HAY REFERENCIA")</f>
        <v>6 a 10 días</v>
      </c>
      <c r="CU63" s="3" t="str">
        <f>_xlfn.XLOOKUP($B$2,'BASE DE EXCEL'!$C:$C,'BASE DE EXCEL'!O:O,"NO HAY REFERENCIA")</f>
        <v>On Time</v>
      </c>
      <c r="CV63" s="3" t="str">
        <f>_xlfn.XLOOKUP(B63,'BASE DE EXCEL'!$C:$C,'BASE DE EXCEL'!P:P,"NO HAY REFERENCIA")</f>
        <v>6 a 10 días</v>
      </c>
      <c r="CW63" s="4">
        <f>_xlfn.XLOOKUP(B63,'BASE DE EXCEL'!$C:$C,'BASE DE EXCEL'!Q:Q,"NO HAY REFERENCIA")</f>
        <v>46090</v>
      </c>
      <c r="CX63" s="3">
        <f>_xlfn.XLOOKUP(B63,'BASE DE EXCEL'!$C:$C,'BASE DE EXCEL'!R:R,"NO HAY REFERENCIA")</f>
        <v>8</v>
      </c>
      <c r="CY63" s="3" t="str">
        <f>_xlfn.XLOOKUP(B63,'BASE DE EXCEL'!$C:$C,'BASE DE EXCEL'!S:S,"NO HAY REFERENCIA")</f>
        <v>6 a 10 días</v>
      </c>
      <c r="CZ63" s="3" t="str">
        <f>_xlfn.XLOOKUP(B63,'BASE DE EXCEL'!$C:$C,'BASE DE EXCEL'!T:T,"NO HAY REFERENCIA")</f>
        <v>Delayed</v>
      </c>
      <c r="DA63" s="3">
        <f>_xlfn.XLOOKUP(B63,'BASE DE EXCEL'!$C:$C,'BASE DE EXCEL'!U:U,"NO HAY REFERENCIA")</f>
        <v>11</v>
      </c>
      <c r="DB63" s="3" t="str">
        <f>_xlfn.XLOOKUP(B63,'BASE DE EXCEL'!$C:$C,'BASE DE EXCEL'!V:V,"NO HAY REFERENCIA")</f>
        <v>6 a 10 días</v>
      </c>
      <c r="DC63" s="3">
        <f>_xlfn.XLOOKUP(B63,'BASE DE EXCEL'!$C:$C,'BASE DE EXCEL'!W:W,"NO HAY REFERENCIA")</f>
        <v>13</v>
      </c>
      <c r="DD63" s="3" t="str">
        <f>_xlfn.XLOOKUP(B63,'BASE DE EXCEL'!$C:$C,'BASE DE EXCEL'!X:X,"NO HAY REFERENCIA")</f>
        <v>11 a 15 días</v>
      </c>
      <c r="DE63" s="3">
        <f>_xlfn.XLOOKUP(B63,'BASE DE EXCEL'!$C:$C,'BASE DE EXCEL'!Y:Y,"NO HAY REFERENCIA")</f>
        <v>1</v>
      </c>
      <c r="DF63" s="3" t="str">
        <f>_xlfn.XLOOKUP(B63,'BASE DE EXCEL'!$C:$C,'BASE DE EXCEL'!Z:Z,"NO HAY REFERENCIA")</f>
        <v>1 día o menos</v>
      </c>
      <c r="DG63" s="3">
        <f>_xlfn.XLOOKUP(B63,'BASE DE EXCEL'!$C:$C,'BASE DE EXCEL'!AA:AA,"NO HAY REFERENCIA")</f>
        <v>8</v>
      </c>
      <c r="DH63" s="3">
        <f>_xlfn.XLOOKUP(B63,'BASE DE EXCEL'!$C:$C,'BASE DE EXCEL'!AB:AB,"NO HAY REFERENCIA")</f>
        <v>2</v>
      </c>
      <c r="DI63" s="3" t="str">
        <f>_xlfn.XLOOKUP(B63,'BASE DE EXCEL'!$C:$C,'BASE DE EXCEL'!AC:AC,"NO HAY REFERENCIA")</f>
        <v>2 a 3 días</v>
      </c>
      <c r="DJ63" s="4">
        <f>_xlfn.XLOOKUP(B63,'BASE DE EXCEL'!$C:$C,'BASE DE EXCEL'!AD:AD,"NO HAY REFERENCIA")</f>
        <v>46098</v>
      </c>
      <c r="DK63" s="3">
        <f>_xlfn.XLOOKUP(B63,'BASE DE EXCEL'!$C:$C,'BASE DE EXCEL'!AE:AE,"NO HAY REFERENCIA")</f>
        <v>8</v>
      </c>
      <c r="DL63" s="3">
        <f>_xlfn.XLOOKUP(B63,'BASE DE EXCEL'!$C:$C,'BASE DE EXCEL'!AF:AF,"NO HAY REFERENCIA")</f>
        <v>6</v>
      </c>
      <c r="DM63" s="4">
        <f>_xlfn.XLOOKUP(B63,'BASE DE EXCEL'!$C:$C,'BASE DE EXCEL'!AG:AG,"NO HAY REFERENCIA")</f>
        <v>46098</v>
      </c>
      <c r="DN63" s="4">
        <f>_xlfn.XLOOKUP(B63,'BASE DE EXCEL'!$C:$C,'BASE DE EXCEL'!AH:AH,"NO HAY REFERENCIA")</f>
        <v>46098</v>
      </c>
      <c r="DO63" s="3">
        <f>_xlfn.XLOOKUP(B63,'BASE DE EXCEL'!$C:$C,'BASE DE EXCEL'!AI:AI,"NO HAY REFERENCIA")</f>
        <v>0</v>
      </c>
      <c r="DP63" s="4" t="str">
        <f>_xlfn.XLOOKUP(B63,'BASE DE EXCEL'!$C:$C,'BASE DE EXCEL'!AJ:AJ,"NO HAY REFERENCIA")</f>
        <v>6 a 10 días</v>
      </c>
      <c r="DQ63" s="4">
        <f>_xlfn.XLOOKUP(B63,'BASE DE EXCEL'!$C:$C,'BASE DE EXCEL'!AK:AK,"NO HAY REFERENCIA")</f>
        <v>46098</v>
      </c>
      <c r="DR63" s="3">
        <f>_xlfn.XLOOKUP(B63,'BASE DE EXCEL'!$C:$C,'BASE DE EXCEL'!AL:AL,"NO HAY REFERENCIA")</f>
        <v>6</v>
      </c>
      <c r="DS63" s="3" t="str">
        <f>_xlfn.XLOOKUP(B63,'BASE DE EXCEL'!$C:$C,'BASE DE EXCEL'!AM:AM,"NO HAY REFERENCIA")</f>
        <v>6 a 10 días</v>
      </c>
      <c r="DT63" s="3" t="str">
        <f>_xlfn.XLOOKUP(B63,'BASE DE EXCEL'!$C:$C,'BASE DE EXCEL'!AN:AN,"NO HAY REFERENCIA")</f>
        <v>On Time</v>
      </c>
      <c r="DU63" s="3">
        <f>_xlfn.XLOOKUP(B63,'BASE DE EXCEL'!$C:$C,'BASE DE EXCEL'!AO:AO,"NO HAY REFERENCIA")</f>
        <v>1</v>
      </c>
      <c r="DV63" s="3" t="str">
        <f>_xlfn.XLOOKUP(B63,'BASE DE EXCEL'!$C:$C,'BASE DE EXCEL'!AP:AP,"NO HAY REFERENCIA")</f>
        <v>Es anterior</v>
      </c>
      <c r="DW63" s="3" t="str">
        <f>_xlfn.XLOOKUP(B63,'BASE DE EXCEL'!$C:$C,'BASE DE EXCEL'!AQ:AQ,"NO HAY REFERENCIA")</f>
        <v>A1</v>
      </c>
      <c r="DX63" s="3" t="str">
        <f>_xlfn.XLOOKUP(B63,'BASE DE EXCEL'!$C:$C,'BASE DE EXCEL'!AR:AR,"NO HAY REFERENCIA")</f>
        <v>ZULEIMA PEREZ RUIZ</v>
      </c>
      <c r="DY63" s="3">
        <f>_xlfn.XLOOKUP(B63,'BASE DE EXCEL'!$C:$C,'BASE DE EXCEL'!AS:AS,"NO HAY REFERENCIA")</f>
        <v>265571440</v>
      </c>
      <c r="DZ63" s="3" t="str">
        <f>_xlfn.XLOOKUP(B63,'BASE DE EXCEL'!$C:$C,'BASE DE EXCEL'!AT:AT,"NO HAY REFERENCIA")</f>
        <v>NULL</v>
      </c>
      <c r="EA63" s="3">
        <f>_xlfn.XLOOKUP(B63,'BASE DE EXCEL'!$C:$C,'BASE DE EXCEL'!AU:AU,"NO HAY REFERENCIA")</f>
        <v>6000257</v>
      </c>
      <c r="EB63" s="3" t="str">
        <f>_xlfn.XLOOKUP(B63,'BASE DE EXCEL'!$C:$C,'BASE DE EXCEL'!AV:AV,"NO HAY REFERENCIA")</f>
        <v>Importación</v>
      </c>
      <c r="EC63" s="3" t="str">
        <f>_xlfn.XLOOKUP(B63,'BASE DE EXCEL'!$C:$C,'BASE DE EXCEL'!AW:AW,"NO HAY REFERENCIA")</f>
        <v>ENDAL PLUS (MEDICAMENTO DOSIFICADO DE USO VETERINARIO)</v>
      </c>
      <c r="ED63" s="3" t="str">
        <f>_xlfn.XLOOKUP(B63,'BASE DE EXCEL'!$C:$C,'BASE DE EXCEL'!AX:AX,"NO HAY REFERENCIA")</f>
        <v>SIN CLASIFICACION</v>
      </c>
      <c r="EE63" s="3">
        <f>_xlfn.XLOOKUP(B63,'BASE DE EXCEL'!$C:$C,'BASE DE EXCEL'!AY:AY,"NO HAY REFERENCIA")</f>
        <v>0</v>
      </c>
      <c r="EF63" s="3" t="str">
        <f>_xlfn.XLOOKUP(B63,'BASE DE EXCEL'!$C:$C,'BASE DE EXCEL'!AZ:AZ,"NO HAY REFERENCIA")</f>
        <v>Cargas de Importación</v>
      </c>
      <c r="EG63" s="3" t="str">
        <f>_xlfn.XLOOKUP(B63,'BASE DE EXCEL'!$C:$C,'BASE DE EXCEL'!BA:BA,"NO HAY REFERENCIA")</f>
        <v>INTERVET MEXICO SA DE CV</v>
      </c>
      <c r="EH63" s="3">
        <f>_xlfn.XLOOKUP(B63,'BASE DE EXCEL'!$C:$C,'BASE DE EXCEL'!BB:BB,"NO HAY REFERENCIA")</f>
        <v>0</v>
      </c>
      <c r="EI63" s="3">
        <f>_xlfn.XLOOKUP(B63,'BASE DE EXCEL'!$C:$C,'BASE DE EXCEL'!BC:BC,"NO HAY REFERENCIA")</f>
        <v>0</v>
      </c>
      <c r="EJ63" s="3">
        <f>_xlfn.XLOOKUP(B63,'BASE DE EXCEL'!$C:$C,'BASE DE EXCEL'!BD:BD,"NO HAY REFERENCIA")</f>
        <v>0</v>
      </c>
      <c r="EK63" s="3">
        <f>_xlfn.XLOOKUP(B63,'BASE DE EXCEL'!$C:$C,'BASE DE EXCEL'!BE:BE,"NO HAY REFERENCIA")</f>
        <v>0</v>
      </c>
      <c r="EL63" s="3" t="str">
        <f>_xlfn.XLOOKUP(B63,'BASE DE EXCEL'!$C:$C,'BASE DE EXCEL'!BF:BF,"NO HAY REFERENCIA")</f>
        <v>PRODUCTO TERMINADO</v>
      </c>
      <c r="EM63" s="3" t="str">
        <f>_xlfn.XLOOKUP(B63,'BASE DE EXCEL'!$C:$C,'BASE DE EXCEL'!BG:BG,"NO HAY REFERENCIA")</f>
        <v>Verde</v>
      </c>
      <c r="EN63" s="3" t="str">
        <f>_xlfn.XLOOKUP(B63,'BASE DE EXCEL'!$C:$C,'BASE DE EXCEL'!BH:BH,"NO HAY REFERENCIA")</f>
        <v xml:space="preserve"> MLH TRANSPORTE, S.A. DE C.V.</v>
      </c>
      <c r="EO63" s="3" t="str">
        <f>_xlfn.XLOOKUP(B63,'BASE DE EXCEL'!$C:$C,'BASE DE EXCEL'!BI:BI,"NO HAY REFERENCIA")</f>
        <v>TRACTOCAMION ECONOMICO 154</v>
      </c>
      <c r="EP63" s="3">
        <f>_xlfn.XLOOKUP(B63,'BASE DE EXCEL'!$C:$C,'BASE DE EXCEL'!BJ:BJ,"NO HAY REFERENCIA")</f>
        <v>0</v>
      </c>
      <c r="EQ63" s="3" t="str">
        <f>_xlfn.XLOOKUP(B63,'BASE DE EXCEL'!$C:$C,'BASE DE EXCEL'!BK:BK,"NO HAY REFERENCIA")</f>
        <v>IME850329RH2</v>
      </c>
      <c r="ER63" s="3">
        <f>_xlfn.XLOOKUP(B63,'BASE DE EXCEL'!$C:$C,'BASE DE EXCEL'!BL:BL,"NO HAY REFERENCIA")</f>
        <v>0</v>
      </c>
      <c r="ES63" s="3">
        <f>_xlfn.XLOOKUP(B63,'BASE DE EXCEL'!$C:$C,'BASE DE EXCEL'!BM:BM,"NO HAY REFERENCIA")</f>
        <v>99</v>
      </c>
      <c r="ET63" s="3" t="str">
        <f>_xlfn.XLOOKUP(B63,'BASE DE EXCEL'!$C:$C,'BASE DE EXCEL'!BN:BN,"NO HAY REFERENCIA")</f>
        <v>LOTE: 014/25,LOTE: 082/25</v>
      </c>
      <c r="EU63" s="3">
        <f>_xlfn.XLOOKUP(B63,'BASE DE EXCEL'!$C:$C,'BASE DE EXCEL'!BO:BO,"NO HAY REFERENCIA")</f>
        <v>90</v>
      </c>
      <c r="EV63" s="3">
        <f>_xlfn.XLOOKUP(B63,'BASE DE EXCEL'!$C:$C,'BASE DE EXCEL'!BP:BP,"NO HAY REFERENCIA")</f>
        <v>2517251.4</v>
      </c>
      <c r="EW63" s="3" t="str">
        <f>_xlfn.XLOOKUP(B63,'BASE DE EXCEL'!$C:$C,'BASE DE EXCEL'!BQ:BQ,"NO HAY REFERENCIA")</f>
        <v>KILO,KILO</v>
      </c>
      <c r="EX63" s="3">
        <f>_xlfn.XLOOKUP(B63,'BASE DE EXCEL'!$C:$C,'BASE DE EXCEL'!BR:BR,"NO HAY REFERENCIA")</f>
        <v>0</v>
      </c>
      <c r="EY63" s="3" t="str">
        <f>_xlfn.XLOOKUP(B63,'BASE DE EXCEL'!$C:$C,'BASE DE EXCEL'!BS:BS,"NO HAY REFERENCIA")</f>
        <v>BRASIL (REPUBLICA FEDERATIVA DE)</v>
      </c>
      <c r="EZ63" s="3" t="str">
        <f>_xlfn.XLOOKUP(B63,'BASE DE EXCEL'!$C:$C,'BASE DE EXCEL'!BT:BT,"NO HAY REFERENCIA")</f>
        <v>PAISES BAJOS (REINO DE LOS) (HOLANDA)</v>
      </c>
      <c r="FA63" s="3" t="str">
        <f>_xlfn.XLOOKUP(B63,'BASE DE EXCEL'!$C:$C,'BASE DE EXCEL'!BU:BU,"NO HAY REFERENCIA")</f>
        <v>BRA</v>
      </c>
      <c r="FB63" s="3" t="str">
        <f>_xlfn.XLOOKUP(B63,'BASE DE EXCEL'!$C:$C,'BASE DE EXCEL'!BV:BV,"NO HAY REFERENCIA")</f>
        <v>ZYA</v>
      </c>
      <c r="FC63" s="3">
        <f>_xlfn.XLOOKUP(B63,QUERY!$C:$C,QUERY!D:D)</f>
        <v>430</v>
      </c>
      <c r="FD63" s="4">
        <f>_xlfn.XLOOKUP(B63,QUERY!$C:$C,QUERY!E:E)</f>
        <v>46087</v>
      </c>
      <c r="FE63" s="3">
        <f>_xlfn.XLOOKUP(B63,QUERY!$C:$C,QUERY!F:F)</f>
        <v>3</v>
      </c>
      <c r="FF63" s="4">
        <f>_xlfn.XLOOKUP(B63,QUERY!$C:$C,QUERY!G:G)</f>
        <v>46079</v>
      </c>
      <c r="FG63" s="4">
        <f>_xlfn.XLOOKUP(B63,QUERY!$C:$C,QUERY!H:H)</f>
        <v>46087</v>
      </c>
      <c r="FH63" s="3">
        <f>_xlfn.XLOOKUP(B63,QUERY!$C:$C,QUERY!I:I)</f>
        <v>6</v>
      </c>
      <c r="FI63" s="3" t="str">
        <f>_xlfn.XLOOKUP(B63,QUERY!$C:$C,QUERY!J:J)</f>
        <v>6 a 10 días</v>
      </c>
      <c r="FJ63" s="4">
        <f>_xlfn.XLOOKUP(B63,QUERY!$C:$C,QUERY!K:K)</f>
        <v>46088</v>
      </c>
      <c r="FK63" s="3">
        <f>_xlfn.XLOOKUP(B63,QUERY!$C:$C,QUERY!L:L)</f>
        <v>6</v>
      </c>
      <c r="FL63" s="3" t="str">
        <f>_xlfn.XLOOKUP(B63,QUERY!$C:$C,QUERY!M:M)</f>
        <v>6 a 10 días</v>
      </c>
      <c r="FM63" s="3">
        <f>_xlfn.XLOOKUP(B63,QUERY!$C:$C,QUERY!N:N)</f>
        <v>1</v>
      </c>
      <c r="FN63" s="3" t="str">
        <f>_xlfn.XLOOKUP(B63,QUERY!$C:$C,QUERY!O:O)</f>
        <v>1 día o menos</v>
      </c>
      <c r="FO63" s="3">
        <f>_xlfn.XLOOKUP(B63,QUERY!$C:$C,QUERY!P:P)</f>
        <v>1</v>
      </c>
      <c r="FP63" s="3">
        <f>_xlfn.XLOOKUP(B63,QUERY!$C:$C,QUERY!Q:Q)</f>
        <v>2</v>
      </c>
      <c r="FQ63" s="3" t="str">
        <f>_xlfn.XLOOKUP(B63,QUERY!$C:$C,QUERY!R:R)</f>
        <v>2 a 3 días</v>
      </c>
      <c r="FR63" s="4">
        <f>_xlfn.XLOOKUP(B63,QUERY!$C:$C,QUERY!S:S)</f>
        <v>46090</v>
      </c>
      <c r="FS63" s="3">
        <f>_xlfn.XLOOKUP(B63,QUERY!$C:$C,QUERY!T:T)</f>
        <v>7</v>
      </c>
      <c r="FT63" s="3" t="str">
        <f>_xlfn.XLOOKUP(B63,QUERY!$C:$C,QUERY!U:U)</f>
        <v>6 a 10 días</v>
      </c>
      <c r="FU63" s="3">
        <f>_xlfn.XLOOKUP(B63,QUERY!$C:$C,QUERY!V:V)</f>
        <v>13</v>
      </c>
      <c r="FV63" s="3" t="str">
        <f>_xlfn.XLOOKUP(B63,QUERY!$C:$C,QUERY!W:W)</f>
        <v>11 a 15 días</v>
      </c>
      <c r="FW63" s="4">
        <f>_xlfn.XLOOKUP(B63,QUERY!$C:$C,QUERY!X:X)</f>
        <v>46098</v>
      </c>
      <c r="FX63" s="3">
        <f>_xlfn.XLOOKUP(B63,QUERY!$C:$C,QUERY!Y:Y)</f>
        <v>6</v>
      </c>
      <c r="FY63" s="3">
        <f>_xlfn.XLOOKUP(B63,QUERY!$C:$C,QUERY!Z:Z)</f>
        <v>6</v>
      </c>
      <c r="FZ63" s="4" t="str">
        <f>_xlfn.XLOOKUP(B63,QUERY!$C:$C,QUERY!AA:AA)</f>
        <v>6 a 10 días</v>
      </c>
      <c r="GA63" s="4">
        <f>_xlfn.XLOOKUP(B63,QUERY!$C:$C,QUERY!AB:AB)</f>
        <v>46098</v>
      </c>
      <c r="GB63" s="4">
        <f>_xlfn.XLOOKUP(B63,QUERY!$C:$C,QUERY!AC:AC)</f>
        <v>46098</v>
      </c>
      <c r="GC63" s="3">
        <f>_xlfn.XLOOKUP(B63,QUERY!$C:$C,QUERY!AD:AD)</f>
        <v>0</v>
      </c>
      <c r="GD63" s="4">
        <f>_xlfn.XLOOKUP(B63,QUERY!$C:$C,QUERY!AE:AE)</f>
        <v>46098</v>
      </c>
      <c r="GE63" s="3">
        <f>_xlfn.XLOOKUP(B63,QUERY!$C:$C,QUERY!AF:AF)</f>
        <v>1</v>
      </c>
      <c r="GF63" s="4" t="str">
        <f>_xlfn.XLOOKUP(B63,QUERY!$C:$C,QUERY!AG:AG)</f>
        <v>Es anterior</v>
      </c>
      <c r="GG63" s="3" t="str">
        <f>_xlfn.XLOOKUP(B63,QUERY!$C:$C,QUERY!AH:AH)</f>
        <v>A1</v>
      </c>
      <c r="GH63" s="3" t="str">
        <f>_xlfn.XLOOKUP(B63,QUERY!$C:$C,QUERY!AI:AI)</f>
        <v>ZULEIMA PEREZ RUIZ</v>
      </c>
      <c r="GI63" s="3">
        <f>_xlfn.XLOOKUP(B63,QUERY!$C:$C,QUERY!AJ:AJ)</f>
        <v>265571440</v>
      </c>
      <c r="GJ63" s="3" t="str">
        <f>_xlfn.XLOOKUP(B63,QUERY!$C:$C,QUERY!AK:AK)</f>
        <v>NULL</v>
      </c>
      <c r="GK63" s="3">
        <f>_xlfn.XLOOKUP(B63,QUERY!$C:$C,QUERY!AL:AL)</f>
        <v>6000257</v>
      </c>
      <c r="GL63" s="3" t="str">
        <f>_xlfn.XLOOKUP(B63,QUERY!$C:$C,QUERY!AM:AM)</f>
        <v>Importación</v>
      </c>
      <c r="GM63" s="3" t="str">
        <f>_xlfn.XLOOKUP(B63,QUERY!$C:$C,QUERY!AN:AN)</f>
        <v>ENDAL PLUS (MEDICAMENTO DOSIFICADO DE USO VETERINARIO)</v>
      </c>
      <c r="GN63" s="3" t="str">
        <f>_xlfn.XLOOKUP(B63,QUERY!$C:$C,QUERY!AO:AO)</f>
        <v>SIN CLASIFICACION</v>
      </c>
      <c r="GO63" s="3">
        <f>_xlfn.XLOOKUP(B63,QUERY!$C:$C,QUERY!AP:AP)</f>
        <v>0</v>
      </c>
      <c r="GP63" s="3" t="str">
        <f>_xlfn.XLOOKUP(B63,QUERY!$C:$C,QUERY!AQ:AQ)</f>
        <v>Cargas de Importación</v>
      </c>
      <c r="GQ63" s="3" t="str">
        <f>_xlfn.XLOOKUP(B63,QUERY!$C:$C,QUERY!AR:AR)</f>
        <v>INTERVET MEXICO SA DE CV</v>
      </c>
      <c r="GR63" s="3">
        <f>_xlfn.XLOOKUP(B63,QUERY!$C:$C,QUERY!AS:AS)</f>
        <v>0</v>
      </c>
      <c r="GS63" s="3" t="str">
        <f>_xlfn.XLOOKUP(B63,QUERY!$C:$C,QUERY!AT:AT)</f>
        <v>NINGUNO</v>
      </c>
      <c r="GT63" s="3">
        <f>_xlfn.XLOOKUP(B63,QUERY!$C:$C,QUERY!AU:AU)</f>
        <v>0</v>
      </c>
      <c r="GU63" s="3" t="str">
        <f>_xlfn.XLOOKUP(B63,QUERY!$C:$C,QUERY!AV:AV)</f>
        <v>NINGUNO</v>
      </c>
      <c r="GV63" s="3" t="str">
        <f>_xlfn.XLOOKUP(B63,QUERY!$C:$C,QUERY!AW:AW)</f>
        <v>PRODUCTO TERMINADO</v>
      </c>
      <c r="GW63" s="3" t="str">
        <f>_xlfn.XLOOKUP(B63,QUERY!$C:$C,QUERY!AX:AX)</f>
        <v>Verde</v>
      </c>
      <c r="GX63" s="3" t="str">
        <f>_xlfn.XLOOKUP(B63,QUERY!$C:$C,QUERY!AY:AY)</f>
        <v xml:space="preserve"> MLH TRANSPORTE, S.A. DE C.V.</v>
      </c>
      <c r="GY63" s="3" t="str">
        <f>_xlfn.XLOOKUP(B63,QUERY!$C:$C,QUERY!AZ:AZ)</f>
        <v>TRACTOCAMION ECONOMICO 154</v>
      </c>
      <c r="GZ63" s="3">
        <f>_xlfn.XLOOKUP(B63,QUERY!$C:$C,QUERY!BA:BA)</f>
        <v>0</v>
      </c>
      <c r="HA63" s="3" t="str">
        <f>_xlfn.XLOOKUP(B63,QUERY!$C:$C,QUERY!BB:BB)</f>
        <v>IME850329RH2</v>
      </c>
      <c r="HB63" s="3">
        <f>_xlfn.XLOOKUP(B63,QUERY!$C:$C,QUERY!BC:BC)</f>
        <v>0</v>
      </c>
      <c r="HC63" s="3">
        <f>_xlfn.XLOOKUP(B63,QUERY!$C:$C,QUERY!BD:BD)</f>
        <v>99</v>
      </c>
      <c r="HD63" s="3" t="str">
        <f>_xlfn.XLOOKUP(B63,QUERY!$C:$C,QUERY!BE:BE)</f>
        <v>LOTE: 014/25,LOTE: 082/25</v>
      </c>
      <c r="HE63" s="3">
        <f>_xlfn.XLOOKUP(B63,QUERY!$C:$C,QUERY!BF:BF)</f>
        <v>90</v>
      </c>
      <c r="HF63" s="3" t="str">
        <f>_xlfn.XLOOKUP(B63,QUERY!$C:$C,QUERY!BG:BG)</f>
        <v xml:space="preserve"> 2517251.40</v>
      </c>
      <c r="HG63" s="3" t="str">
        <f>_xlfn.XLOOKUP(B63,QUERY!$C:$C,QUERY!BH:BH)</f>
        <v>KILO,KILO</v>
      </c>
      <c r="HH63" s="3">
        <f>_xlfn.XLOOKUP(B63,QUERY!$C:$C,QUERY!BI:BI)</f>
        <v>0</v>
      </c>
      <c r="HI63" s="3" t="str">
        <f>_xlfn.XLOOKUP(B63,QUERY!$C:$C,QUERY!BJ:BJ)</f>
        <v>BRASIL (REPUBLICA FEDERATIVA DE)</v>
      </c>
      <c r="HJ63" s="3" t="str">
        <f>_xlfn.XLOOKUP(B63,QUERY!$C:$C,QUERY!BK:BK)</f>
        <v>PAISES BAJOS (REINO DE LOS) (HOLANDA)</v>
      </c>
      <c r="HK63" s="3" t="str">
        <f>_xlfn.XLOOKUP(B63,QUERY!$C:$C,QUERY!BL:BL)</f>
        <v>BRA</v>
      </c>
      <c r="HL63" s="3" t="str">
        <f>_xlfn.XLOOKUP(B63,QUERY!$C:$C,QUERY!BM:BM)</f>
        <v>ZYA</v>
      </c>
      <c r="HM63" s="3">
        <f>_xlfn.XLOOKUP(B63,QUERY!$C:$C,QUERY!BN:BN)</f>
        <v>2517252</v>
      </c>
      <c r="HN63" s="3" t="str">
        <f>_xlfn.XLOOKUP(B63,QUERY!$C:$C,QUERY!BO:BO)</f>
        <v>20138.00</v>
      </c>
      <c r="HO63" s="3" t="str">
        <f>_xlfn.XLOOKUP(B63,QUERY!$C:$C,QUERY!BP:BP)</f>
        <v>NULL</v>
      </c>
      <c r="HP63" s="3" t="str">
        <f>_xlfn.XLOOKUP(B63,QUERY!$C:$C,QUERY!BQ:BQ)</f>
        <v>251726.00</v>
      </c>
      <c r="HQ63" s="3" t="str">
        <f>_xlfn.XLOOKUP(B63,QUERY!$C:$C,QUERY!BR:BR)</f>
        <v>108287.97</v>
      </c>
      <c r="HR63" s="3">
        <f>_xlfn.XLOOKUP(B63,QUERY!$C:$C,QUERY!BS:BS)</f>
        <v>0</v>
      </c>
      <c r="HS63" s="3">
        <f>_xlfn.XLOOKUP(B63,QUERY!$C:$C,QUERY!BT:BT)</f>
        <v>0</v>
      </c>
      <c r="HT63" s="3" t="str">
        <f>_xlfn.XLOOKUP(B63,QUERY!$C:$C,QUERY!A:A)</f>
        <v>VERACRUZ</v>
      </c>
      <c r="HU63" s="3" t="str">
        <f>_xlfn.XLOOKUP(B63,QUERY!$C:$C,QUERY!B:B)</f>
        <v>MARÍTIMO VERACRUZ</v>
      </c>
    </row>
    <row r="64" spans="1:229" x14ac:dyDescent="0.25">
      <c r="A64" s="3" t="s">
        <v>90</v>
      </c>
      <c r="B64" s="19" t="s">
        <v>287</v>
      </c>
      <c r="C64" s="3">
        <v>3942</v>
      </c>
      <c r="D64" s="3">
        <v>6000257</v>
      </c>
      <c r="E64" s="3"/>
      <c r="F64" s="3" t="s">
        <v>92</v>
      </c>
      <c r="G64" s="3" t="s">
        <v>93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10</v>
      </c>
      <c r="O64" s="3">
        <v>171008</v>
      </c>
      <c r="P64" s="3">
        <v>0</v>
      </c>
      <c r="Q64" s="3">
        <v>0</v>
      </c>
      <c r="R64" s="3">
        <v>430</v>
      </c>
      <c r="S64" s="3" t="s">
        <v>288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 t="s">
        <v>292</v>
      </c>
      <c r="AB64" s="3"/>
      <c r="AC64" s="3">
        <v>1710076</v>
      </c>
      <c r="AD64" s="3">
        <v>883.76021000000003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/>
      <c r="AP64" s="3" t="s">
        <v>98</v>
      </c>
      <c r="AQ64" s="3">
        <v>210364512</v>
      </c>
      <c r="AR64" s="3" t="s">
        <v>99</v>
      </c>
      <c r="AS64" s="3" t="s">
        <v>100</v>
      </c>
      <c r="AT64" s="3">
        <v>0</v>
      </c>
      <c r="AU64" s="3">
        <v>0</v>
      </c>
      <c r="AV64" s="3">
        <v>0</v>
      </c>
      <c r="AW64" s="3">
        <v>30049099</v>
      </c>
      <c r="AX64" s="3">
        <v>99</v>
      </c>
      <c r="AY64" s="3">
        <v>1935</v>
      </c>
      <c r="AZ64" s="3">
        <v>1935</v>
      </c>
      <c r="BA64" s="3" t="s">
        <v>103</v>
      </c>
      <c r="BB64" s="3"/>
      <c r="BC64" s="3" t="s">
        <v>189</v>
      </c>
      <c r="BD64" s="3" t="s">
        <v>105</v>
      </c>
      <c r="BE64" s="3"/>
      <c r="BF64" s="3"/>
      <c r="BG64" s="5"/>
      <c r="BH64" s="3"/>
      <c r="BI64" s="3"/>
      <c r="BJ64" s="3"/>
      <c r="BK64" s="3" t="s">
        <v>291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 t="s">
        <v>192</v>
      </c>
      <c r="CF64" s="3">
        <v>0</v>
      </c>
      <c r="CG64" s="3">
        <v>0</v>
      </c>
      <c r="CH64" s="3">
        <v>0</v>
      </c>
      <c r="CI64" s="3" t="s">
        <v>112</v>
      </c>
      <c r="CJ64" s="3" t="s">
        <v>112</v>
      </c>
      <c r="CK64" s="3">
        <f>_xlfn.XLOOKUP($B$2,'BASE DE EXCEL'!C:C,'BASE DE EXCEL'!D:D,"NO HAY REFERENCIA")</f>
        <v>470</v>
      </c>
      <c r="CL64" s="5">
        <f>_xlfn.XLOOKUP($B$2,'BASE DE EXCEL'!$C:$C,'BASE DE EXCEL'!F:F,"NO HAY REFERENCIA")</f>
        <v>3</v>
      </c>
      <c r="CM64" s="4">
        <f>_xlfn.XLOOKUP($B$2,'BASE DE EXCEL'!$C:$C,'BASE DE EXCEL'!G:G,"NO HAY REFERENCIA")</f>
        <v>46080</v>
      </c>
      <c r="CN64" s="4">
        <f>_xlfn.XLOOKUP($B$2,'BASE DE EXCEL'!$C:$C,'BASE DE EXCEL'!H:H,"NO HAY REFERENCIA")</f>
        <v>46086</v>
      </c>
      <c r="CO64" s="3">
        <f>_xlfn.XLOOKUP($B$2,'BASE DE EXCEL'!$C:$C,'BASE DE EXCEL'!I:I,"NO HAY REFERENCIA")</f>
        <v>4</v>
      </c>
      <c r="CP64" s="3" t="str">
        <f>_xlfn.XLOOKUP($B$2,'BASE DE EXCEL'!$C:$C,'BASE DE EXCEL'!J:J,"NO HAY REFERENCIA")</f>
        <v>4 a 5 días</v>
      </c>
      <c r="CQ64" s="4">
        <f>_xlfn.XLOOKUP($B$2,'BASE DE EXCEL'!$C:$C,'BASE DE EXCEL'!K:K,"NO HAY REFERENCIA")</f>
        <v>46087</v>
      </c>
      <c r="CR64" s="3">
        <f>_xlfn.XLOOKUP($B$2,'BASE DE EXCEL'!$C:$C,'BASE DE EXCEL'!L:L,"NO HAY REFERENCIA")</f>
        <v>5</v>
      </c>
      <c r="CS64" s="3">
        <f>_xlfn.XLOOKUP($B$2,'BASE DE EXCEL'!$C:$C,'BASE DE EXCEL'!M:M,"NO HAY REFERENCIA")</f>
        <v>6</v>
      </c>
      <c r="CT64" s="3" t="str">
        <f>_xlfn.XLOOKUP($B$2,'BASE DE EXCEL'!$C:$C,'BASE DE EXCEL'!N:N,"NO HAY REFERENCIA")</f>
        <v>6 a 10 días</v>
      </c>
      <c r="CU64" s="3" t="str">
        <f>_xlfn.XLOOKUP($B$2,'BASE DE EXCEL'!$C:$C,'BASE DE EXCEL'!O:O,"NO HAY REFERENCIA")</f>
        <v>On Time</v>
      </c>
      <c r="CV64" s="3" t="str">
        <f>_xlfn.XLOOKUP(B64,'BASE DE EXCEL'!$C:$C,'BASE DE EXCEL'!P:P,"NO HAY REFERENCIA")</f>
        <v>6 a 10 días</v>
      </c>
      <c r="CW64" s="4">
        <f>_xlfn.XLOOKUP(B64,'BASE DE EXCEL'!$C:$C,'BASE DE EXCEL'!Q:Q,"NO HAY REFERENCIA")</f>
        <v>46090</v>
      </c>
      <c r="CX64" s="3">
        <f>_xlfn.XLOOKUP(B64,'BASE DE EXCEL'!$C:$C,'BASE DE EXCEL'!R:R,"NO HAY REFERENCIA")</f>
        <v>8</v>
      </c>
      <c r="CY64" s="3" t="str">
        <f>_xlfn.XLOOKUP(B64,'BASE DE EXCEL'!$C:$C,'BASE DE EXCEL'!S:S,"NO HAY REFERENCIA")</f>
        <v>6 a 10 días</v>
      </c>
      <c r="CZ64" s="3" t="str">
        <f>_xlfn.XLOOKUP(B64,'BASE DE EXCEL'!$C:$C,'BASE DE EXCEL'!T:T,"NO HAY REFERENCIA")</f>
        <v>Delayed</v>
      </c>
      <c r="DA64" s="3">
        <f>_xlfn.XLOOKUP(B64,'BASE DE EXCEL'!$C:$C,'BASE DE EXCEL'!U:U,"NO HAY REFERENCIA")</f>
        <v>11</v>
      </c>
      <c r="DB64" s="3" t="str">
        <f>_xlfn.XLOOKUP(B64,'BASE DE EXCEL'!$C:$C,'BASE DE EXCEL'!V:V,"NO HAY REFERENCIA")</f>
        <v>6 a 10 días</v>
      </c>
      <c r="DC64" s="3">
        <f>_xlfn.XLOOKUP(B64,'BASE DE EXCEL'!$C:$C,'BASE DE EXCEL'!W:W,"NO HAY REFERENCIA")</f>
        <v>13</v>
      </c>
      <c r="DD64" s="3" t="str">
        <f>_xlfn.XLOOKUP(B64,'BASE DE EXCEL'!$C:$C,'BASE DE EXCEL'!X:X,"NO HAY REFERENCIA")</f>
        <v>11 a 15 días</v>
      </c>
      <c r="DE64" s="3">
        <f>_xlfn.XLOOKUP(B64,'BASE DE EXCEL'!$C:$C,'BASE DE EXCEL'!Y:Y,"NO HAY REFERENCIA")</f>
        <v>1</v>
      </c>
      <c r="DF64" s="3" t="str">
        <f>_xlfn.XLOOKUP(B64,'BASE DE EXCEL'!$C:$C,'BASE DE EXCEL'!Z:Z,"NO HAY REFERENCIA")</f>
        <v>1 día o menos</v>
      </c>
      <c r="DG64" s="3">
        <f>_xlfn.XLOOKUP(B64,'BASE DE EXCEL'!$C:$C,'BASE DE EXCEL'!AA:AA,"NO HAY REFERENCIA")</f>
        <v>8</v>
      </c>
      <c r="DH64" s="3">
        <f>_xlfn.XLOOKUP(B64,'BASE DE EXCEL'!$C:$C,'BASE DE EXCEL'!AB:AB,"NO HAY REFERENCIA")</f>
        <v>2</v>
      </c>
      <c r="DI64" s="3" t="str">
        <f>_xlfn.XLOOKUP(B64,'BASE DE EXCEL'!$C:$C,'BASE DE EXCEL'!AC:AC,"NO HAY REFERENCIA")</f>
        <v>2 a 3 días</v>
      </c>
      <c r="DJ64" s="4">
        <f>_xlfn.XLOOKUP(B64,'BASE DE EXCEL'!$C:$C,'BASE DE EXCEL'!AD:AD,"NO HAY REFERENCIA")</f>
        <v>46098</v>
      </c>
      <c r="DK64" s="3">
        <f>_xlfn.XLOOKUP(B64,'BASE DE EXCEL'!$C:$C,'BASE DE EXCEL'!AE:AE,"NO HAY REFERENCIA")</f>
        <v>8</v>
      </c>
      <c r="DL64" s="3">
        <f>_xlfn.XLOOKUP(B64,'BASE DE EXCEL'!$C:$C,'BASE DE EXCEL'!AF:AF,"NO HAY REFERENCIA")</f>
        <v>6</v>
      </c>
      <c r="DM64" s="4">
        <f>_xlfn.XLOOKUP(B64,'BASE DE EXCEL'!$C:$C,'BASE DE EXCEL'!AG:AG,"NO HAY REFERENCIA")</f>
        <v>46098</v>
      </c>
      <c r="DN64" s="4">
        <f>_xlfn.XLOOKUP(B64,'BASE DE EXCEL'!$C:$C,'BASE DE EXCEL'!AH:AH,"NO HAY REFERENCIA")</f>
        <v>46098</v>
      </c>
      <c r="DO64" s="3">
        <f>_xlfn.XLOOKUP(B64,'BASE DE EXCEL'!$C:$C,'BASE DE EXCEL'!AI:AI,"NO HAY REFERENCIA")</f>
        <v>0</v>
      </c>
      <c r="DP64" s="4" t="str">
        <f>_xlfn.XLOOKUP(B64,'BASE DE EXCEL'!$C:$C,'BASE DE EXCEL'!AJ:AJ,"NO HAY REFERENCIA")</f>
        <v>6 a 10 días</v>
      </c>
      <c r="DQ64" s="4">
        <f>_xlfn.XLOOKUP(B64,'BASE DE EXCEL'!$C:$C,'BASE DE EXCEL'!AK:AK,"NO HAY REFERENCIA")</f>
        <v>46098</v>
      </c>
      <c r="DR64" s="3">
        <f>_xlfn.XLOOKUP(B64,'BASE DE EXCEL'!$C:$C,'BASE DE EXCEL'!AL:AL,"NO HAY REFERENCIA")</f>
        <v>6</v>
      </c>
      <c r="DS64" s="3" t="str">
        <f>_xlfn.XLOOKUP(B64,'BASE DE EXCEL'!$C:$C,'BASE DE EXCEL'!AM:AM,"NO HAY REFERENCIA")</f>
        <v>6 a 10 días</v>
      </c>
      <c r="DT64" s="3" t="str">
        <f>_xlfn.XLOOKUP(B64,'BASE DE EXCEL'!$C:$C,'BASE DE EXCEL'!AN:AN,"NO HAY REFERENCIA")</f>
        <v>On Time</v>
      </c>
      <c r="DU64" s="3">
        <f>_xlfn.XLOOKUP(B64,'BASE DE EXCEL'!$C:$C,'BASE DE EXCEL'!AO:AO,"NO HAY REFERENCIA")</f>
        <v>1</v>
      </c>
      <c r="DV64" s="3" t="str">
        <f>_xlfn.XLOOKUP(B64,'BASE DE EXCEL'!$C:$C,'BASE DE EXCEL'!AP:AP,"NO HAY REFERENCIA")</f>
        <v>Es anterior</v>
      </c>
      <c r="DW64" s="3" t="str">
        <f>_xlfn.XLOOKUP(B64,'BASE DE EXCEL'!$C:$C,'BASE DE EXCEL'!AQ:AQ,"NO HAY REFERENCIA")</f>
        <v>A1</v>
      </c>
      <c r="DX64" s="3" t="str">
        <f>_xlfn.XLOOKUP(B64,'BASE DE EXCEL'!$C:$C,'BASE DE EXCEL'!AR:AR,"NO HAY REFERENCIA")</f>
        <v>ZULEIMA PEREZ RUIZ</v>
      </c>
      <c r="DY64" s="3">
        <f>_xlfn.XLOOKUP(B64,'BASE DE EXCEL'!$C:$C,'BASE DE EXCEL'!AS:AS,"NO HAY REFERENCIA")</f>
        <v>265571440</v>
      </c>
      <c r="DZ64" s="3" t="str">
        <f>_xlfn.XLOOKUP(B64,'BASE DE EXCEL'!$C:$C,'BASE DE EXCEL'!AT:AT,"NO HAY REFERENCIA")</f>
        <v>NULL</v>
      </c>
      <c r="EA64" s="3">
        <f>_xlfn.XLOOKUP(B64,'BASE DE EXCEL'!$C:$C,'BASE DE EXCEL'!AU:AU,"NO HAY REFERENCIA")</f>
        <v>6000257</v>
      </c>
      <c r="EB64" s="3" t="str">
        <f>_xlfn.XLOOKUP(B64,'BASE DE EXCEL'!$C:$C,'BASE DE EXCEL'!AV:AV,"NO HAY REFERENCIA")</f>
        <v>Importación</v>
      </c>
      <c r="EC64" s="3" t="str">
        <f>_xlfn.XLOOKUP(B64,'BASE DE EXCEL'!$C:$C,'BASE DE EXCEL'!AW:AW,"NO HAY REFERENCIA")</f>
        <v>ENDAL PLUS (MEDICAMENTO DOSIFICADO DE USO VETERINARIO)</v>
      </c>
      <c r="ED64" s="3" t="str">
        <f>_xlfn.XLOOKUP(B64,'BASE DE EXCEL'!$C:$C,'BASE DE EXCEL'!AX:AX,"NO HAY REFERENCIA")</f>
        <v>SIN CLASIFICACION</v>
      </c>
      <c r="EE64" s="3">
        <f>_xlfn.XLOOKUP(B64,'BASE DE EXCEL'!$C:$C,'BASE DE EXCEL'!AY:AY,"NO HAY REFERENCIA")</f>
        <v>0</v>
      </c>
      <c r="EF64" s="3" t="str">
        <f>_xlfn.XLOOKUP(B64,'BASE DE EXCEL'!$C:$C,'BASE DE EXCEL'!AZ:AZ,"NO HAY REFERENCIA")</f>
        <v>Cargas de Importación</v>
      </c>
      <c r="EG64" s="3" t="str">
        <f>_xlfn.XLOOKUP(B64,'BASE DE EXCEL'!$C:$C,'BASE DE EXCEL'!BA:BA,"NO HAY REFERENCIA")</f>
        <v>INTERVET MEXICO SA DE CV</v>
      </c>
      <c r="EH64" s="3">
        <f>_xlfn.XLOOKUP(B64,'BASE DE EXCEL'!$C:$C,'BASE DE EXCEL'!BB:BB,"NO HAY REFERENCIA")</f>
        <v>0</v>
      </c>
      <c r="EI64" s="3">
        <f>_xlfn.XLOOKUP(B64,'BASE DE EXCEL'!$C:$C,'BASE DE EXCEL'!BC:BC,"NO HAY REFERENCIA")</f>
        <v>0</v>
      </c>
      <c r="EJ64" s="3">
        <f>_xlfn.XLOOKUP(B64,'BASE DE EXCEL'!$C:$C,'BASE DE EXCEL'!BD:BD,"NO HAY REFERENCIA")</f>
        <v>0</v>
      </c>
      <c r="EK64" s="3">
        <f>_xlfn.XLOOKUP(B64,'BASE DE EXCEL'!$C:$C,'BASE DE EXCEL'!BE:BE,"NO HAY REFERENCIA")</f>
        <v>0</v>
      </c>
      <c r="EL64" s="3" t="str">
        <f>_xlfn.XLOOKUP(B64,'BASE DE EXCEL'!$C:$C,'BASE DE EXCEL'!BF:BF,"NO HAY REFERENCIA")</f>
        <v>PRODUCTO TERMINADO</v>
      </c>
      <c r="EM64" s="3" t="str">
        <f>_xlfn.XLOOKUP(B64,'BASE DE EXCEL'!$C:$C,'BASE DE EXCEL'!BG:BG,"NO HAY REFERENCIA")</f>
        <v>Verde</v>
      </c>
      <c r="EN64" s="3" t="str">
        <f>_xlfn.XLOOKUP(B64,'BASE DE EXCEL'!$C:$C,'BASE DE EXCEL'!BH:BH,"NO HAY REFERENCIA")</f>
        <v xml:space="preserve"> MLH TRANSPORTE, S.A. DE C.V.</v>
      </c>
      <c r="EO64" s="3" t="str">
        <f>_xlfn.XLOOKUP(B64,'BASE DE EXCEL'!$C:$C,'BASE DE EXCEL'!BI:BI,"NO HAY REFERENCIA")</f>
        <v>TRACTOCAMION ECONOMICO 154</v>
      </c>
      <c r="EP64" s="3">
        <f>_xlfn.XLOOKUP(B64,'BASE DE EXCEL'!$C:$C,'BASE DE EXCEL'!BJ:BJ,"NO HAY REFERENCIA")</f>
        <v>0</v>
      </c>
      <c r="EQ64" s="3" t="str">
        <f>_xlfn.XLOOKUP(B64,'BASE DE EXCEL'!$C:$C,'BASE DE EXCEL'!BK:BK,"NO HAY REFERENCIA")</f>
        <v>IME850329RH2</v>
      </c>
      <c r="ER64" s="3">
        <f>_xlfn.XLOOKUP(B64,'BASE DE EXCEL'!$C:$C,'BASE DE EXCEL'!BL:BL,"NO HAY REFERENCIA")</f>
        <v>0</v>
      </c>
      <c r="ES64" s="3">
        <f>_xlfn.XLOOKUP(B64,'BASE DE EXCEL'!$C:$C,'BASE DE EXCEL'!BM:BM,"NO HAY REFERENCIA")</f>
        <v>99</v>
      </c>
      <c r="ET64" s="3" t="str">
        <f>_xlfn.XLOOKUP(B64,'BASE DE EXCEL'!$C:$C,'BASE DE EXCEL'!BN:BN,"NO HAY REFERENCIA")</f>
        <v>LOTE: 014/25,LOTE: 082/25</v>
      </c>
      <c r="EU64" s="3">
        <f>_xlfn.XLOOKUP(B64,'BASE DE EXCEL'!$C:$C,'BASE DE EXCEL'!BO:BO,"NO HAY REFERENCIA")</f>
        <v>90</v>
      </c>
      <c r="EV64" s="3">
        <f>_xlfn.XLOOKUP(B64,'BASE DE EXCEL'!$C:$C,'BASE DE EXCEL'!BP:BP,"NO HAY REFERENCIA")</f>
        <v>2517251.4</v>
      </c>
      <c r="EW64" s="3" t="str">
        <f>_xlfn.XLOOKUP(B64,'BASE DE EXCEL'!$C:$C,'BASE DE EXCEL'!BQ:BQ,"NO HAY REFERENCIA")</f>
        <v>KILO,KILO</v>
      </c>
      <c r="EX64" s="3">
        <f>_xlfn.XLOOKUP(B64,'BASE DE EXCEL'!$C:$C,'BASE DE EXCEL'!BR:BR,"NO HAY REFERENCIA")</f>
        <v>0</v>
      </c>
      <c r="EY64" s="3" t="str">
        <f>_xlfn.XLOOKUP(B64,'BASE DE EXCEL'!$C:$C,'BASE DE EXCEL'!BS:BS,"NO HAY REFERENCIA")</f>
        <v>BRASIL (REPUBLICA FEDERATIVA DE)</v>
      </c>
      <c r="EZ64" s="3" t="str">
        <f>_xlfn.XLOOKUP(B64,'BASE DE EXCEL'!$C:$C,'BASE DE EXCEL'!BT:BT,"NO HAY REFERENCIA")</f>
        <v>PAISES BAJOS (REINO DE LOS) (HOLANDA)</v>
      </c>
      <c r="FA64" s="3" t="str">
        <f>_xlfn.XLOOKUP(B64,'BASE DE EXCEL'!$C:$C,'BASE DE EXCEL'!BU:BU,"NO HAY REFERENCIA")</f>
        <v>BRA</v>
      </c>
      <c r="FB64" s="3" t="str">
        <f>_xlfn.XLOOKUP(B64,'BASE DE EXCEL'!$C:$C,'BASE DE EXCEL'!BV:BV,"NO HAY REFERENCIA")</f>
        <v>ZYA</v>
      </c>
      <c r="FC64" s="3">
        <f>_xlfn.XLOOKUP(B64,QUERY!$C:$C,QUERY!D:D)</f>
        <v>430</v>
      </c>
      <c r="FD64" s="4">
        <f>_xlfn.XLOOKUP(B64,QUERY!$C:$C,QUERY!E:E)</f>
        <v>46087</v>
      </c>
      <c r="FE64" s="3">
        <f>_xlfn.XLOOKUP(B64,QUERY!$C:$C,QUERY!F:F)</f>
        <v>3</v>
      </c>
      <c r="FF64" s="4">
        <f>_xlfn.XLOOKUP(B64,QUERY!$C:$C,QUERY!G:G)</f>
        <v>46079</v>
      </c>
      <c r="FG64" s="4">
        <f>_xlfn.XLOOKUP(B64,QUERY!$C:$C,QUERY!H:H)</f>
        <v>46087</v>
      </c>
      <c r="FH64" s="3">
        <f>_xlfn.XLOOKUP(B64,QUERY!$C:$C,QUERY!I:I)</f>
        <v>6</v>
      </c>
      <c r="FI64" s="3" t="str">
        <f>_xlfn.XLOOKUP(B64,QUERY!$C:$C,QUERY!J:J)</f>
        <v>6 a 10 días</v>
      </c>
      <c r="FJ64" s="4">
        <f>_xlfn.XLOOKUP(B64,QUERY!$C:$C,QUERY!K:K)</f>
        <v>46088</v>
      </c>
      <c r="FK64" s="3">
        <f>_xlfn.XLOOKUP(B64,QUERY!$C:$C,QUERY!L:L)</f>
        <v>6</v>
      </c>
      <c r="FL64" s="3" t="str">
        <f>_xlfn.XLOOKUP(B64,QUERY!$C:$C,QUERY!M:M)</f>
        <v>6 a 10 días</v>
      </c>
      <c r="FM64" s="3">
        <f>_xlfn.XLOOKUP(B64,QUERY!$C:$C,QUERY!N:N)</f>
        <v>1</v>
      </c>
      <c r="FN64" s="3" t="str">
        <f>_xlfn.XLOOKUP(B64,QUERY!$C:$C,QUERY!O:O)</f>
        <v>1 día o menos</v>
      </c>
      <c r="FO64" s="3">
        <f>_xlfn.XLOOKUP(B64,QUERY!$C:$C,QUERY!P:P)</f>
        <v>1</v>
      </c>
      <c r="FP64" s="3">
        <f>_xlfn.XLOOKUP(B64,QUERY!$C:$C,QUERY!Q:Q)</f>
        <v>2</v>
      </c>
      <c r="FQ64" s="3" t="str">
        <f>_xlfn.XLOOKUP(B64,QUERY!$C:$C,QUERY!R:R)</f>
        <v>2 a 3 días</v>
      </c>
      <c r="FR64" s="4">
        <f>_xlfn.XLOOKUP(B64,QUERY!$C:$C,QUERY!S:S)</f>
        <v>46090</v>
      </c>
      <c r="FS64" s="3">
        <f>_xlfn.XLOOKUP(B64,QUERY!$C:$C,QUERY!T:T)</f>
        <v>7</v>
      </c>
      <c r="FT64" s="3" t="str">
        <f>_xlfn.XLOOKUP(B64,QUERY!$C:$C,QUERY!U:U)</f>
        <v>6 a 10 días</v>
      </c>
      <c r="FU64" s="3">
        <f>_xlfn.XLOOKUP(B64,QUERY!$C:$C,QUERY!V:V)</f>
        <v>13</v>
      </c>
      <c r="FV64" s="3" t="str">
        <f>_xlfn.XLOOKUP(B64,QUERY!$C:$C,QUERY!W:W)</f>
        <v>11 a 15 días</v>
      </c>
      <c r="FW64" s="4">
        <f>_xlfn.XLOOKUP(B64,QUERY!$C:$C,QUERY!X:X)</f>
        <v>46098</v>
      </c>
      <c r="FX64" s="3">
        <f>_xlfn.XLOOKUP(B64,QUERY!$C:$C,QUERY!Y:Y)</f>
        <v>6</v>
      </c>
      <c r="FY64" s="3">
        <f>_xlfn.XLOOKUP(B64,QUERY!$C:$C,QUERY!Z:Z)</f>
        <v>6</v>
      </c>
      <c r="FZ64" s="4" t="str">
        <f>_xlfn.XLOOKUP(B64,QUERY!$C:$C,QUERY!AA:AA)</f>
        <v>6 a 10 días</v>
      </c>
      <c r="GA64" s="4">
        <f>_xlfn.XLOOKUP(B64,QUERY!$C:$C,QUERY!AB:AB)</f>
        <v>46098</v>
      </c>
      <c r="GB64" s="4">
        <f>_xlfn.XLOOKUP(B64,QUERY!$C:$C,QUERY!AC:AC)</f>
        <v>46098</v>
      </c>
      <c r="GC64" s="3">
        <f>_xlfn.XLOOKUP(B64,QUERY!$C:$C,QUERY!AD:AD)</f>
        <v>0</v>
      </c>
      <c r="GD64" s="4">
        <f>_xlfn.XLOOKUP(B64,QUERY!$C:$C,QUERY!AE:AE)</f>
        <v>46098</v>
      </c>
      <c r="GE64" s="3">
        <f>_xlfn.XLOOKUP(B64,QUERY!$C:$C,QUERY!AF:AF)</f>
        <v>1</v>
      </c>
      <c r="GF64" s="4" t="str">
        <f>_xlfn.XLOOKUP(B64,QUERY!$C:$C,QUERY!AG:AG)</f>
        <v>Es anterior</v>
      </c>
      <c r="GG64" s="3" t="str">
        <f>_xlfn.XLOOKUP(B64,QUERY!$C:$C,QUERY!AH:AH)</f>
        <v>A1</v>
      </c>
      <c r="GH64" s="3" t="str">
        <f>_xlfn.XLOOKUP(B64,QUERY!$C:$C,QUERY!AI:AI)</f>
        <v>ZULEIMA PEREZ RUIZ</v>
      </c>
      <c r="GI64" s="3">
        <f>_xlfn.XLOOKUP(B64,QUERY!$C:$C,QUERY!AJ:AJ)</f>
        <v>265571440</v>
      </c>
      <c r="GJ64" s="3" t="str">
        <f>_xlfn.XLOOKUP(B64,QUERY!$C:$C,QUERY!AK:AK)</f>
        <v>NULL</v>
      </c>
      <c r="GK64" s="3">
        <f>_xlfn.XLOOKUP(B64,QUERY!$C:$C,QUERY!AL:AL)</f>
        <v>6000257</v>
      </c>
      <c r="GL64" s="3" t="str">
        <f>_xlfn.XLOOKUP(B64,QUERY!$C:$C,QUERY!AM:AM)</f>
        <v>Importación</v>
      </c>
      <c r="GM64" s="3" t="str">
        <f>_xlfn.XLOOKUP(B64,QUERY!$C:$C,QUERY!AN:AN)</f>
        <v>ENDAL PLUS (MEDICAMENTO DOSIFICADO DE USO VETERINARIO)</v>
      </c>
      <c r="GN64" s="3" t="str">
        <f>_xlfn.XLOOKUP(B64,QUERY!$C:$C,QUERY!AO:AO)</f>
        <v>SIN CLASIFICACION</v>
      </c>
      <c r="GO64" s="3">
        <f>_xlfn.XLOOKUP(B64,QUERY!$C:$C,QUERY!AP:AP)</f>
        <v>0</v>
      </c>
      <c r="GP64" s="3" t="str">
        <f>_xlfn.XLOOKUP(B64,QUERY!$C:$C,QUERY!AQ:AQ)</f>
        <v>Cargas de Importación</v>
      </c>
      <c r="GQ64" s="3" t="str">
        <f>_xlfn.XLOOKUP(B64,QUERY!$C:$C,QUERY!AR:AR)</f>
        <v>INTERVET MEXICO SA DE CV</v>
      </c>
      <c r="GR64" s="3">
        <f>_xlfn.XLOOKUP(B64,QUERY!$C:$C,QUERY!AS:AS)</f>
        <v>0</v>
      </c>
      <c r="GS64" s="3" t="str">
        <f>_xlfn.XLOOKUP(B64,QUERY!$C:$C,QUERY!AT:AT)</f>
        <v>NINGUNO</v>
      </c>
      <c r="GT64" s="3">
        <f>_xlfn.XLOOKUP(B64,QUERY!$C:$C,QUERY!AU:AU)</f>
        <v>0</v>
      </c>
      <c r="GU64" s="3" t="str">
        <f>_xlfn.XLOOKUP(B64,QUERY!$C:$C,QUERY!AV:AV)</f>
        <v>NINGUNO</v>
      </c>
      <c r="GV64" s="3" t="str">
        <f>_xlfn.XLOOKUP(B64,QUERY!$C:$C,QUERY!AW:AW)</f>
        <v>PRODUCTO TERMINADO</v>
      </c>
      <c r="GW64" s="3" t="str">
        <f>_xlfn.XLOOKUP(B64,QUERY!$C:$C,QUERY!AX:AX)</f>
        <v>Verde</v>
      </c>
      <c r="GX64" s="3" t="str">
        <f>_xlfn.XLOOKUP(B64,QUERY!$C:$C,QUERY!AY:AY)</f>
        <v xml:space="preserve"> MLH TRANSPORTE, S.A. DE C.V.</v>
      </c>
      <c r="GY64" s="3" t="str">
        <f>_xlfn.XLOOKUP(B64,QUERY!$C:$C,QUERY!AZ:AZ)</f>
        <v>TRACTOCAMION ECONOMICO 154</v>
      </c>
      <c r="GZ64" s="3">
        <f>_xlfn.XLOOKUP(B64,QUERY!$C:$C,QUERY!BA:BA)</f>
        <v>0</v>
      </c>
      <c r="HA64" s="3" t="str">
        <f>_xlfn.XLOOKUP(B64,QUERY!$C:$C,QUERY!BB:BB)</f>
        <v>IME850329RH2</v>
      </c>
      <c r="HB64" s="3">
        <f>_xlfn.XLOOKUP(B64,QUERY!$C:$C,QUERY!BC:BC)</f>
        <v>0</v>
      </c>
      <c r="HC64" s="3">
        <f>_xlfn.XLOOKUP(B64,QUERY!$C:$C,QUERY!BD:BD)</f>
        <v>99</v>
      </c>
      <c r="HD64" s="3" t="str">
        <f>_xlfn.XLOOKUP(B64,QUERY!$C:$C,QUERY!BE:BE)</f>
        <v>LOTE: 014/25,LOTE: 082/25</v>
      </c>
      <c r="HE64" s="3">
        <f>_xlfn.XLOOKUP(B64,QUERY!$C:$C,QUERY!BF:BF)</f>
        <v>90</v>
      </c>
      <c r="HF64" s="3" t="str">
        <f>_xlfn.XLOOKUP(B64,QUERY!$C:$C,QUERY!BG:BG)</f>
        <v xml:space="preserve"> 2517251.40</v>
      </c>
      <c r="HG64" s="3" t="str">
        <f>_xlfn.XLOOKUP(B64,QUERY!$C:$C,QUERY!BH:BH)</f>
        <v>KILO,KILO</v>
      </c>
      <c r="HH64" s="3">
        <f>_xlfn.XLOOKUP(B64,QUERY!$C:$C,QUERY!BI:BI)</f>
        <v>0</v>
      </c>
      <c r="HI64" s="3" t="str">
        <f>_xlfn.XLOOKUP(B64,QUERY!$C:$C,QUERY!BJ:BJ)</f>
        <v>BRASIL (REPUBLICA FEDERATIVA DE)</v>
      </c>
      <c r="HJ64" s="3" t="str">
        <f>_xlfn.XLOOKUP(B64,QUERY!$C:$C,QUERY!BK:BK)</f>
        <v>PAISES BAJOS (REINO DE LOS) (HOLANDA)</v>
      </c>
      <c r="HK64" s="3" t="str">
        <f>_xlfn.XLOOKUP(B64,QUERY!$C:$C,QUERY!BL:BL)</f>
        <v>BRA</v>
      </c>
      <c r="HL64" s="3" t="str">
        <f>_xlfn.XLOOKUP(B64,QUERY!$C:$C,QUERY!BM:BM)</f>
        <v>ZYA</v>
      </c>
      <c r="HM64" s="3">
        <f>_xlfn.XLOOKUP(B64,QUERY!$C:$C,QUERY!BN:BN)</f>
        <v>2517252</v>
      </c>
      <c r="HN64" s="3" t="str">
        <f>_xlfn.XLOOKUP(B64,QUERY!$C:$C,QUERY!BO:BO)</f>
        <v>20138.00</v>
      </c>
      <c r="HO64" s="3" t="str">
        <f>_xlfn.XLOOKUP(B64,QUERY!$C:$C,QUERY!BP:BP)</f>
        <v>NULL</v>
      </c>
      <c r="HP64" s="3" t="str">
        <f>_xlfn.XLOOKUP(B64,QUERY!$C:$C,QUERY!BQ:BQ)</f>
        <v>251726.00</v>
      </c>
      <c r="HQ64" s="3" t="str">
        <f>_xlfn.XLOOKUP(B64,QUERY!$C:$C,QUERY!BR:BR)</f>
        <v>108287.97</v>
      </c>
      <c r="HR64" s="3">
        <f>_xlfn.XLOOKUP(B64,QUERY!$C:$C,QUERY!BS:BS)</f>
        <v>0</v>
      </c>
      <c r="HS64" s="3">
        <f>_xlfn.XLOOKUP(B64,QUERY!$C:$C,QUERY!BT:BT)</f>
        <v>0</v>
      </c>
      <c r="HT64" s="3" t="str">
        <f>_xlfn.XLOOKUP(B64,QUERY!$C:$C,QUERY!A:A)</f>
        <v>VERACRUZ</v>
      </c>
      <c r="HU64" s="3" t="str">
        <f>_xlfn.XLOOKUP(B64,QUERY!$C:$C,QUERY!B:B)</f>
        <v>MARÍTIMO VERACRUZ</v>
      </c>
    </row>
    <row r="65" spans="1:229" x14ac:dyDescent="0.25">
      <c r="A65" s="3" t="s">
        <v>90</v>
      </c>
      <c r="B65" s="3" t="s">
        <v>305</v>
      </c>
      <c r="C65" s="3">
        <v>3942</v>
      </c>
      <c r="D65" s="3">
        <v>6000273</v>
      </c>
      <c r="E65" s="3"/>
      <c r="F65" s="3" t="s">
        <v>92</v>
      </c>
      <c r="G65" s="3" t="s">
        <v>93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17.677</v>
      </c>
      <c r="Q65" s="3">
        <v>5735</v>
      </c>
      <c r="R65" s="3">
        <v>430</v>
      </c>
      <c r="S65" s="3" t="s">
        <v>306</v>
      </c>
      <c r="T65" s="3" t="s">
        <v>95</v>
      </c>
      <c r="U65" s="3">
        <v>3508360</v>
      </c>
      <c r="V65" s="3">
        <v>3508360</v>
      </c>
      <c r="W65" s="3">
        <v>0</v>
      </c>
      <c r="X65" s="3">
        <v>0</v>
      </c>
      <c r="Y65" s="3">
        <v>0</v>
      </c>
      <c r="Z65" s="3">
        <v>0</v>
      </c>
      <c r="AA65" s="3" t="s">
        <v>124</v>
      </c>
      <c r="AB65" s="3"/>
      <c r="AC65" s="3">
        <v>737868</v>
      </c>
      <c r="AD65" s="3">
        <v>565.84969000000001</v>
      </c>
      <c r="AE65" s="3">
        <v>808</v>
      </c>
      <c r="AF65" s="3">
        <v>0</v>
      </c>
      <c r="AG65" s="3">
        <v>0</v>
      </c>
      <c r="AH65" s="3">
        <v>0</v>
      </c>
      <c r="AI65" s="3">
        <v>53</v>
      </c>
      <c r="AJ65" s="3">
        <v>462</v>
      </c>
      <c r="AK65" s="3">
        <v>0</v>
      </c>
      <c r="AL65" s="3">
        <v>0</v>
      </c>
      <c r="AM65" s="3">
        <v>330</v>
      </c>
      <c r="AN65" s="3">
        <v>845</v>
      </c>
      <c r="AO65" s="3" t="s">
        <v>97</v>
      </c>
      <c r="AP65" s="3" t="s">
        <v>98</v>
      </c>
      <c r="AQ65" s="3">
        <v>210365432</v>
      </c>
      <c r="AR65" s="3" t="s">
        <v>307</v>
      </c>
      <c r="AS65" s="3" t="s">
        <v>100</v>
      </c>
      <c r="AT65" s="3" t="s">
        <v>308</v>
      </c>
      <c r="AU65" s="3"/>
      <c r="AV65" s="3" t="s">
        <v>102</v>
      </c>
      <c r="AW65" s="3">
        <v>30049099</v>
      </c>
      <c r="AX65" s="3">
        <v>99</v>
      </c>
      <c r="AY65" s="3">
        <v>1304</v>
      </c>
      <c r="AZ65" s="3">
        <v>1304</v>
      </c>
      <c r="BA65" s="3" t="s">
        <v>121</v>
      </c>
      <c r="BB65" s="3"/>
      <c r="BC65" s="3" t="s">
        <v>105</v>
      </c>
      <c r="BD65" s="3" t="s">
        <v>105</v>
      </c>
      <c r="BE65" s="3" t="s">
        <v>106</v>
      </c>
      <c r="BF65" s="3"/>
      <c r="BG65" s="5"/>
      <c r="BH65" s="3"/>
      <c r="BI65" s="3"/>
      <c r="BJ65" s="3" t="s">
        <v>109</v>
      </c>
      <c r="BK65" s="3" t="s">
        <v>309</v>
      </c>
      <c r="BL65" s="3">
        <v>44281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5163.37</v>
      </c>
      <c r="CB65" s="3">
        <v>5600</v>
      </c>
      <c r="CC65" s="3">
        <v>1019.2</v>
      </c>
      <c r="CD65" s="3">
        <v>110542.56</v>
      </c>
      <c r="CE65" s="3" t="s">
        <v>192</v>
      </c>
      <c r="CF65" s="3">
        <v>110542.56</v>
      </c>
      <c r="CG65" s="3">
        <v>0</v>
      </c>
      <c r="CH65" s="3">
        <v>0</v>
      </c>
      <c r="CI65" s="3" t="s">
        <v>112</v>
      </c>
      <c r="CJ65" s="3" t="s">
        <v>112</v>
      </c>
      <c r="CK65" s="3">
        <f>_xlfn.XLOOKUP($B$2,'BASE DE EXCEL'!C:C,'BASE DE EXCEL'!D:D,"NO HAY REFERENCIA")</f>
        <v>470</v>
      </c>
      <c r="CL65" s="5">
        <f>_xlfn.XLOOKUP($B$2,'BASE DE EXCEL'!$C:$C,'BASE DE EXCEL'!F:F,"NO HAY REFERENCIA")</f>
        <v>3</v>
      </c>
      <c r="CM65" s="4">
        <f>_xlfn.XLOOKUP($B$2,'BASE DE EXCEL'!$C:$C,'BASE DE EXCEL'!G:G,"NO HAY REFERENCIA")</f>
        <v>46080</v>
      </c>
      <c r="CN65" s="4">
        <f>_xlfn.XLOOKUP($B$2,'BASE DE EXCEL'!$C:$C,'BASE DE EXCEL'!H:H,"NO HAY REFERENCIA")</f>
        <v>46086</v>
      </c>
      <c r="CO65" s="3">
        <f>_xlfn.XLOOKUP($B$2,'BASE DE EXCEL'!$C:$C,'BASE DE EXCEL'!I:I,"NO HAY REFERENCIA")</f>
        <v>4</v>
      </c>
      <c r="CP65" s="3" t="str">
        <f>_xlfn.XLOOKUP($B$2,'BASE DE EXCEL'!$C:$C,'BASE DE EXCEL'!J:J,"NO HAY REFERENCIA")</f>
        <v>4 a 5 días</v>
      </c>
      <c r="CQ65" s="4">
        <f>_xlfn.XLOOKUP($B$2,'BASE DE EXCEL'!$C:$C,'BASE DE EXCEL'!K:K,"NO HAY REFERENCIA")</f>
        <v>46087</v>
      </c>
      <c r="CR65" s="3">
        <f>_xlfn.XLOOKUP($B$2,'BASE DE EXCEL'!$C:$C,'BASE DE EXCEL'!L:L,"NO HAY REFERENCIA")</f>
        <v>5</v>
      </c>
      <c r="CS65" s="3">
        <f>_xlfn.XLOOKUP($B$2,'BASE DE EXCEL'!$C:$C,'BASE DE EXCEL'!M:M,"NO HAY REFERENCIA")</f>
        <v>6</v>
      </c>
      <c r="CT65" s="3" t="str">
        <f>_xlfn.XLOOKUP($B$2,'BASE DE EXCEL'!$C:$C,'BASE DE EXCEL'!N:N,"NO HAY REFERENCIA")</f>
        <v>6 a 10 días</v>
      </c>
      <c r="CU65" s="3" t="str">
        <f>_xlfn.XLOOKUP($B$2,'BASE DE EXCEL'!$C:$C,'BASE DE EXCEL'!O:O,"NO HAY REFERENCIA")</f>
        <v>On Time</v>
      </c>
      <c r="CV65" s="3" t="str">
        <f>_xlfn.XLOOKUP(B65,'BASE DE EXCEL'!$C:$C,'BASE DE EXCEL'!P:P,"NO HAY REFERENCIA")</f>
        <v>4 a 5 días</v>
      </c>
      <c r="CW65" s="4">
        <f>_xlfn.XLOOKUP(B65,'BASE DE EXCEL'!$C:$C,'BASE DE EXCEL'!Q:Q,"NO HAY REFERENCIA")</f>
        <v>46095</v>
      </c>
      <c r="CX65" s="3">
        <f>_xlfn.XLOOKUP(B65,'BASE DE EXCEL'!$C:$C,'BASE DE EXCEL'!R:R,"NO HAY REFERENCIA")</f>
        <v>5</v>
      </c>
      <c r="CY65" s="3" t="str">
        <f>_xlfn.XLOOKUP(B65,'BASE DE EXCEL'!$C:$C,'BASE DE EXCEL'!S:S,"NO HAY REFERENCIA")</f>
        <v>4 a 5 días</v>
      </c>
      <c r="CZ65" s="3" t="str">
        <f>_xlfn.XLOOKUP(B65,'BASE DE EXCEL'!$C:$C,'BASE DE EXCEL'!T:T,"NO HAY REFERENCIA")</f>
        <v>On Time</v>
      </c>
      <c r="DA65" s="3">
        <f>_xlfn.XLOOKUP(B65,'BASE DE EXCEL'!$C:$C,'BASE DE EXCEL'!U:U,"NO HAY REFERENCIA")</f>
        <v>5</v>
      </c>
      <c r="DB65" s="3" t="str">
        <f>_xlfn.XLOOKUP(B65,'BASE DE EXCEL'!$C:$C,'BASE DE EXCEL'!V:V,"NO HAY REFERENCIA")</f>
        <v>4 a 5 días</v>
      </c>
      <c r="DC65" s="3">
        <f>_xlfn.XLOOKUP(B65,'BASE DE EXCEL'!$C:$C,'BASE DE EXCEL'!W:W,"NO HAY REFERENCIA")</f>
        <v>16</v>
      </c>
      <c r="DD65" s="3" t="str">
        <f>_xlfn.XLOOKUP(B65,'BASE DE EXCEL'!$C:$C,'BASE DE EXCEL'!X:X,"NO HAY REFERENCIA")</f>
        <v>más de 16 días</v>
      </c>
      <c r="DE65" s="3">
        <f>_xlfn.XLOOKUP(B65,'BASE DE EXCEL'!$C:$C,'BASE DE EXCEL'!Y:Y,"NO HAY REFERENCIA")</f>
        <v>1</v>
      </c>
      <c r="DF65" s="3" t="str">
        <f>_xlfn.XLOOKUP(B65,'BASE DE EXCEL'!$C:$C,'BASE DE EXCEL'!Z:Z,"NO HAY REFERENCIA")</f>
        <v>1 día o menos</v>
      </c>
      <c r="DG65" s="3">
        <f>_xlfn.XLOOKUP(B65,'BASE DE EXCEL'!$C:$C,'BASE DE EXCEL'!AA:AA,"NO HAY REFERENCIA")</f>
        <v>3</v>
      </c>
      <c r="DH65" s="3">
        <f>_xlfn.XLOOKUP(B65,'BASE DE EXCEL'!$C:$C,'BASE DE EXCEL'!AB:AB,"NO HAY REFERENCIA")</f>
        <v>1</v>
      </c>
      <c r="DI65" s="3" t="str">
        <f>_xlfn.XLOOKUP(B65,'BASE DE EXCEL'!$C:$C,'BASE DE EXCEL'!AC:AC,"NO HAY REFERENCIA")</f>
        <v>1 día o menos</v>
      </c>
      <c r="DJ65" s="4">
        <f>_xlfn.XLOOKUP(B65,'BASE DE EXCEL'!$C:$C,'BASE DE EXCEL'!AD:AD,"NO HAY REFERENCIA")</f>
        <v>46112</v>
      </c>
      <c r="DK65" s="3">
        <f>_xlfn.XLOOKUP(B65,'BASE DE EXCEL'!$C:$C,'BASE DE EXCEL'!AE:AE,"NO HAY REFERENCIA")</f>
        <v>16</v>
      </c>
      <c r="DL65" s="3">
        <f>_xlfn.XLOOKUP(B65,'BASE DE EXCEL'!$C:$C,'BASE DE EXCEL'!AF:AF,"NO HAY REFERENCIA")</f>
        <v>11</v>
      </c>
      <c r="DM65" s="4">
        <f>_xlfn.XLOOKUP(B65,'BASE DE EXCEL'!$C:$C,'BASE DE EXCEL'!AG:AG,"NO HAY REFERENCIA")</f>
        <v>46111</v>
      </c>
      <c r="DN65" s="4">
        <f>_xlfn.XLOOKUP(B65,'BASE DE EXCEL'!$C:$C,'BASE DE EXCEL'!AH:AH,"NO HAY REFERENCIA")</f>
        <v>46112</v>
      </c>
      <c r="DO65" s="3">
        <f>_xlfn.XLOOKUP(B65,'BASE DE EXCEL'!$C:$C,'BASE DE EXCEL'!AI:AI,"NO HAY REFERENCIA")</f>
        <v>1</v>
      </c>
      <c r="DP65" s="4" t="str">
        <f>_xlfn.XLOOKUP(B65,'BASE DE EXCEL'!$C:$C,'BASE DE EXCEL'!AJ:AJ,"NO HAY REFERENCIA")</f>
        <v>más de 16 días</v>
      </c>
      <c r="DQ65" s="4">
        <f>_xlfn.XLOOKUP(B65,'BASE DE EXCEL'!$C:$C,'BASE DE EXCEL'!AK:AK,"NO HAY REFERENCIA")</f>
        <v>46112</v>
      </c>
      <c r="DR65" s="3">
        <f>_xlfn.XLOOKUP(B65,'BASE DE EXCEL'!$C:$C,'BASE DE EXCEL'!AL:AL,"NO HAY REFERENCIA")</f>
        <v>11</v>
      </c>
      <c r="DS65" s="3" t="str">
        <f>_xlfn.XLOOKUP(B65,'BASE DE EXCEL'!$C:$C,'BASE DE EXCEL'!AM:AM,"NO HAY REFERENCIA")</f>
        <v>11 a 15 días</v>
      </c>
      <c r="DT65" s="3" t="str">
        <f>_xlfn.XLOOKUP(B65,'BASE DE EXCEL'!$C:$C,'BASE DE EXCEL'!AN:AN,"NO HAY REFERENCIA")</f>
        <v>Delayed</v>
      </c>
      <c r="DU65" s="3">
        <f>_xlfn.XLOOKUP(B65,'BASE DE EXCEL'!$C:$C,'BASE DE EXCEL'!AO:AO,"NO HAY REFERENCIA")</f>
        <v>1</v>
      </c>
      <c r="DV65" s="3" t="str">
        <f>_xlfn.XLOOKUP(B65,'BASE DE EXCEL'!$C:$C,'BASE DE EXCEL'!AP:AP,"NO HAY REFERENCIA")</f>
        <v>Es anterior</v>
      </c>
      <c r="DW65" s="3" t="str">
        <f>_xlfn.XLOOKUP(B65,'BASE DE EXCEL'!$C:$C,'BASE DE EXCEL'!AQ:AQ,"NO HAY REFERENCIA")</f>
        <v>A1</v>
      </c>
      <c r="DX65" s="3" t="str">
        <f>_xlfn.XLOOKUP(B65,'BASE DE EXCEL'!$C:$C,'BASE DE EXCEL'!AR:AR,"NO HAY REFERENCIA")</f>
        <v>ZULEIMA PEREZ RUIZ</v>
      </c>
      <c r="DY65" s="3" t="str">
        <f>_xlfn.XLOOKUP(B65,'BASE DE EXCEL'!$C:$C,'BASE DE EXCEL'!AS:AS,"NO HAY REFERENCIA")</f>
        <v>HLCUANR260173197</v>
      </c>
      <c r="DZ65" s="3" t="str">
        <f>_xlfn.XLOOKUP(B65,'BASE DE EXCEL'!$C:$C,'BASE DE EXCEL'!AT:AT,"NO HAY REFERENCIA")</f>
        <v>NULL</v>
      </c>
      <c r="EA65" s="3">
        <f>_xlfn.XLOOKUP(B65,'BASE DE EXCEL'!$C:$C,'BASE DE EXCEL'!AU:AU,"NO HAY REFERENCIA")</f>
        <v>6000273</v>
      </c>
      <c r="EB65" s="3" t="str">
        <f>_xlfn.XLOOKUP(B65,'BASE DE EXCEL'!$C:$C,'BASE DE EXCEL'!AV:AV,"NO HAY REFERENCIA")</f>
        <v>Importación</v>
      </c>
      <c r="EC65" s="3" t="str">
        <f>_xlfn.XLOOKUP(B65,'BASE DE EXCEL'!$C:$C,'BASE DE EXCEL'!AW:AW,"NO HAY REFERENCIA")</f>
        <v>SOLVENS OCULO NASAL (MEDICAMENTO DOSIFICADO DE USO VETERINARIO)</v>
      </c>
      <c r="ED65" s="3" t="str">
        <f>_xlfn.XLOOKUP(B65,'BASE DE EXCEL'!$C:$C,'BASE DE EXCEL'!AX:AX,"NO HAY REFERENCIA")</f>
        <v>SIN CLASIFICACION</v>
      </c>
      <c r="EE65" s="3">
        <f>_xlfn.XLOOKUP(B65,'BASE DE EXCEL'!$C:$C,'BASE DE EXCEL'!AY:AY,"NO HAY REFERENCIA")</f>
        <v>0</v>
      </c>
      <c r="EF65" s="3" t="str">
        <f>_xlfn.XLOOKUP(B65,'BASE DE EXCEL'!$C:$C,'BASE DE EXCEL'!AZ:AZ,"NO HAY REFERENCIA")</f>
        <v>Cargas de Importación</v>
      </c>
      <c r="EG65" s="3" t="str">
        <f>_xlfn.XLOOKUP(B65,'BASE DE EXCEL'!$C:$C,'BASE DE EXCEL'!BA:BA,"NO HAY REFERENCIA")</f>
        <v>INTERVET MEXICO SA DE CV</v>
      </c>
      <c r="EH65" s="3">
        <f>_xlfn.XLOOKUP(B65,'BASE DE EXCEL'!$C:$C,'BASE DE EXCEL'!BB:BB,"NO HAY REFERENCIA")</f>
        <v>0</v>
      </c>
      <c r="EI65" s="3">
        <f>_xlfn.XLOOKUP(B65,'BASE DE EXCEL'!$C:$C,'BASE DE EXCEL'!BC:BC,"NO HAY REFERENCIA")</f>
        <v>0</v>
      </c>
      <c r="EJ65" s="3">
        <f>_xlfn.XLOOKUP(B65,'BASE DE EXCEL'!$C:$C,'BASE DE EXCEL'!BD:BD,"NO HAY REFERENCIA")</f>
        <v>0</v>
      </c>
      <c r="EK65" s="3">
        <f>_xlfn.XLOOKUP(B65,'BASE DE EXCEL'!$C:$C,'BASE DE EXCEL'!BE:BE,"NO HAY REFERENCIA")</f>
        <v>0</v>
      </c>
      <c r="EL65" s="3" t="str">
        <f>_xlfn.XLOOKUP(B65,'BASE DE EXCEL'!$C:$C,'BASE DE EXCEL'!BF:BF,"NO HAY REFERENCIA")</f>
        <v>PRODUCTO TERMINADO</v>
      </c>
      <c r="EM65" s="3" t="str">
        <f>_xlfn.XLOOKUP(B65,'BASE DE EXCEL'!$C:$C,'BASE DE EXCEL'!BG:BG,"NO HAY REFERENCIA")</f>
        <v>Verde</v>
      </c>
      <c r="EN65" s="3" t="str">
        <f>_xlfn.XLOOKUP(B65,'BASE DE EXCEL'!$C:$C,'BASE DE EXCEL'!BH:BH,"NO HAY REFERENCIA")</f>
        <v xml:space="preserve"> SUPER EXPRESS DE CARGA FEDERAL S.A. DE C.V.</v>
      </c>
      <c r="EO65" s="3">
        <f>_xlfn.XLOOKUP(B65,'BASE DE EXCEL'!$C:$C,'BASE DE EXCEL'!BI:BI,"NO HAY REFERENCIA")</f>
        <v>0</v>
      </c>
      <c r="EP65" s="3" t="str">
        <f>_xlfn.XLOOKUP(B65,'BASE DE EXCEL'!$C:$C,'BASE DE EXCEL'!BJ:BJ,"NO HAY REFERENCIA")</f>
        <v>IME-T004</v>
      </c>
      <c r="EQ65" s="3" t="str">
        <f>_xlfn.XLOOKUP(B65,'BASE DE EXCEL'!$C:$C,'BASE DE EXCEL'!BK:BK,"NO HAY REFERENCIA")</f>
        <v>IME850329RH2</v>
      </c>
      <c r="ER65" s="3">
        <f>_xlfn.XLOOKUP(B65,'BASE DE EXCEL'!$C:$C,'BASE DE EXCEL'!BL:BL,"NO HAY REFERENCIA")</f>
        <v>0</v>
      </c>
      <c r="ES65" s="3">
        <f>_xlfn.XLOOKUP(B65,'BASE DE EXCEL'!$C:$C,'BASE DE EXCEL'!BM:BM,"NO HAY REFERENCIA")</f>
        <v>99</v>
      </c>
      <c r="ET65" s="3" t="str">
        <f>_xlfn.XLOOKUP(B65,'BASE DE EXCEL'!$C:$C,'BASE DE EXCEL'!BN:BN,"NO HAY REFERENCIA")</f>
        <v>LOTE: J150A03,LOTE: H095C01,LOTE: H115A02,LOTES: H117A01, H119A01</v>
      </c>
      <c r="EU65" s="3">
        <f>_xlfn.XLOOKUP(B65,'BASE DE EXCEL'!$C:$C,'BASE DE EXCEL'!BO:BO,"NO HAY REFERENCIA")</f>
        <v>90</v>
      </c>
      <c r="EV65" s="3" t="str">
        <f>_xlfn.XLOOKUP(B65,'BASE DE EXCEL'!$C:$C,'BASE DE EXCEL'!BP:BP,"NO HAY REFERENCIA")</f>
        <v xml:space="preserve"> 737868.40, 421660.14, 2348832.00</v>
      </c>
      <c r="EW65" s="3" t="str">
        <f>_xlfn.XLOOKUP(B65,'BASE DE EXCEL'!$C:$C,'BASE DE EXCEL'!BQ:BQ,"NO HAY REFERENCIA")</f>
        <v>KILO,KILO,KILO,KILO</v>
      </c>
      <c r="EX65" s="3">
        <f>_xlfn.XLOOKUP(B65,'BASE DE EXCEL'!$C:$C,'BASE DE EXCEL'!BR:BR,"NO HAY REFERENCIA")</f>
        <v>0</v>
      </c>
      <c r="EY65" s="3" t="str">
        <f>_xlfn.XLOOKUP(B65,'BASE DE EXCEL'!$C:$C,'BASE DE EXCEL'!BS:BS,"NO HAY REFERENCIA")</f>
        <v>PAISES BAJOS (REINO DE LOS) (HOLANDA)</v>
      </c>
      <c r="EZ65" s="3" t="str">
        <f>_xlfn.XLOOKUP(B65,'BASE DE EXCEL'!$C:$C,'BASE DE EXCEL'!BT:BT,"NO HAY REFERENCIA")</f>
        <v>PAISES BAJOS (REINO DE LOS) (HOLANDA)</v>
      </c>
      <c r="FA65" s="3" t="str">
        <f>_xlfn.XLOOKUP(B65,'BASE DE EXCEL'!$C:$C,'BASE DE EXCEL'!BU:BU,"NO HAY REFERENCIA")</f>
        <v>ZYA</v>
      </c>
      <c r="FB65" s="3" t="str">
        <f>_xlfn.XLOOKUP(B65,'BASE DE EXCEL'!$C:$C,'BASE DE EXCEL'!BV:BV,"NO HAY REFERENCIA")</f>
        <v>ZYA</v>
      </c>
      <c r="FC65" s="3">
        <f>_xlfn.XLOOKUP(B65,QUERY!$C:$C,QUERY!D:D)</f>
        <v>430</v>
      </c>
      <c r="FD65" s="4">
        <f>_xlfn.XLOOKUP(B65,QUERY!$C:$C,QUERY!E:E)</f>
        <v>46093</v>
      </c>
      <c r="FE65" s="3">
        <f>_xlfn.XLOOKUP(B65,QUERY!$C:$C,QUERY!F:F)</f>
        <v>3</v>
      </c>
      <c r="FF65" s="4">
        <f>_xlfn.XLOOKUP(B65,QUERY!$C:$C,QUERY!G:G)</f>
        <v>46090</v>
      </c>
      <c r="FG65" s="4">
        <f>_xlfn.XLOOKUP(B65,QUERY!$C:$C,QUERY!H:H)</f>
        <v>46093</v>
      </c>
      <c r="FH65" s="3">
        <f>_xlfn.XLOOKUP(B65,QUERY!$C:$C,QUERY!I:I)</f>
        <v>3</v>
      </c>
      <c r="FI65" s="3" t="str">
        <f>_xlfn.XLOOKUP(B65,QUERY!$C:$C,QUERY!J:J)</f>
        <v>2 a 3 días</v>
      </c>
      <c r="FJ65" s="4">
        <f>_xlfn.XLOOKUP(B65,QUERY!$C:$C,QUERY!K:K)</f>
        <v>46094</v>
      </c>
      <c r="FK65" s="3">
        <f>_xlfn.XLOOKUP(B65,QUERY!$C:$C,QUERY!L:L)</f>
        <v>4</v>
      </c>
      <c r="FL65" s="3" t="str">
        <f>_xlfn.XLOOKUP(B65,QUERY!$C:$C,QUERY!M:M)</f>
        <v>4 a 5 días</v>
      </c>
      <c r="FM65" s="3">
        <f>_xlfn.XLOOKUP(B65,QUERY!$C:$C,QUERY!N:N)</f>
        <v>1</v>
      </c>
      <c r="FN65" s="3" t="str">
        <f>_xlfn.XLOOKUP(B65,QUERY!$C:$C,QUERY!O:O)</f>
        <v>1 día o menos</v>
      </c>
      <c r="FO65" s="3">
        <f>_xlfn.XLOOKUP(B65,QUERY!$C:$C,QUERY!P:P)</f>
        <v>1</v>
      </c>
      <c r="FP65" s="3">
        <f>_xlfn.XLOOKUP(B65,QUERY!$C:$C,QUERY!Q:Q)</f>
        <v>1</v>
      </c>
      <c r="FQ65" s="3" t="str">
        <f>_xlfn.XLOOKUP(B65,QUERY!$C:$C,QUERY!R:R)</f>
        <v>1 día o menos</v>
      </c>
      <c r="FR65" s="4">
        <f>_xlfn.XLOOKUP(B65,QUERY!$C:$C,QUERY!S:S)</f>
        <v>46095</v>
      </c>
      <c r="FS65" s="3">
        <f>_xlfn.XLOOKUP(B65,QUERY!$C:$C,QUERY!T:T)</f>
        <v>5</v>
      </c>
      <c r="FT65" s="3" t="str">
        <f>_xlfn.XLOOKUP(B65,QUERY!$C:$C,QUERY!U:U)</f>
        <v>4 a 5 días</v>
      </c>
      <c r="FU65" s="3">
        <f>_xlfn.XLOOKUP(B65,QUERY!$C:$C,QUERY!V:V)</f>
        <v>16</v>
      </c>
      <c r="FV65" s="3" t="str">
        <f>_xlfn.XLOOKUP(B65,QUERY!$C:$C,QUERY!W:W)</f>
        <v>más de 16 días</v>
      </c>
      <c r="FW65" s="4">
        <f>_xlfn.XLOOKUP(B65,QUERY!$C:$C,QUERY!X:X)</f>
        <v>46112</v>
      </c>
      <c r="FX65" s="3">
        <f>_xlfn.XLOOKUP(B65,QUERY!$C:$C,QUERY!Y:Y)</f>
        <v>10</v>
      </c>
      <c r="FY65" s="3">
        <f>_xlfn.XLOOKUP(B65,QUERY!$C:$C,QUERY!Z:Z)</f>
        <v>11</v>
      </c>
      <c r="FZ65" s="4" t="str">
        <f>_xlfn.XLOOKUP(B65,QUERY!$C:$C,QUERY!AA:AA)</f>
        <v>más de 16 días</v>
      </c>
      <c r="GA65" s="4">
        <f>_xlfn.XLOOKUP(B65,QUERY!$C:$C,QUERY!AB:AB)</f>
        <v>46111</v>
      </c>
      <c r="GB65" s="4">
        <f>_xlfn.XLOOKUP(B65,QUERY!$C:$C,QUERY!AC:AC)</f>
        <v>46112</v>
      </c>
      <c r="GC65" s="3">
        <f>_xlfn.XLOOKUP(B65,QUERY!$C:$C,QUERY!AD:AD)</f>
        <v>1</v>
      </c>
      <c r="GD65" s="4">
        <f>_xlfn.XLOOKUP(B65,QUERY!$C:$C,QUERY!AE:AE)</f>
        <v>46112</v>
      </c>
      <c r="GE65" s="3">
        <f>_xlfn.XLOOKUP(B65,QUERY!$C:$C,QUERY!AF:AF)</f>
        <v>1</v>
      </c>
      <c r="GF65" s="4" t="str">
        <f>_xlfn.XLOOKUP(B65,QUERY!$C:$C,QUERY!AG:AG)</f>
        <v>Es anterior</v>
      </c>
      <c r="GG65" s="3" t="str">
        <f>_xlfn.XLOOKUP(B65,QUERY!$C:$C,QUERY!AH:AH)</f>
        <v>A1</v>
      </c>
      <c r="GH65" s="3" t="str">
        <f>_xlfn.XLOOKUP(B65,QUERY!$C:$C,QUERY!AI:AI)</f>
        <v>ZULEIMA PEREZ RUIZ</v>
      </c>
      <c r="GI65" s="3" t="str">
        <f>_xlfn.XLOOKUP(B65,QUERY!$C:$C,QUERY!AJ:AJ)</f>
        <v>HLCUANR260173197</v>
      </c>
      <c r="GJ65" s="3" t="str">
        <f>_xlfn.XLOOKUP(B65,QUERY!$C:$C,QUERY!AK:AK)</f>
        <v>NULL</v>
      </c>
      <c r="GK65" s="3">
        <f>_xlfn.XLOOKUP(B65,QUERY!$C:$C,QUERY!AL:AL)</f>
        <v>6000273</v>
      </c>
      <c r="GL65" s="3" t="str">
        <f>_xlfn.XLOOKUP(B65,QUERY!$C:$C,QUERY!AM:AM)</f>
        <v>Importación</v>
      </c>
      <c r="GM65" s="3" t="str">
        <f>_xlfn.XLOOKUP(B65,QUERY!$C:$C,QUERY!AN:AN)</f>
        <v>SOLVENS OCULO NASAL (MEDICAMENTO DOSIFICADO DE USO VETERINARIO)</v>
      </c>
      <c r="GN65" s="3" t="str">
        <f>_xlfn.XLOOKUP(B65,QUERY!$C:$C,QUERY!AO:AO)</f>
        <v>SIN CLASIFICACION</v>
      </c>
      <c r="GO65" s="3">
        <f>_xlfn.XLOOKUP(B65,QUERY!$C:$C,QUERY!AP:AP)</f>
        <v>0</v>
      </c>
      <c r="GP65" s="3" t="str">
        <f>_xlfn.XLOOKUP(B65,QUERY!$C:$C,QUERY!AQ:AQ)</f>
        <v>Cargas de Importación</v>
      </c>
      <c r="GQ65" s="3" t="str">
        <f>_xlfn.XLOOKUP(B65,QUERY!$C:$C,QUERY!AR:AR)</f>
        <v>INTERVET MEXICO SA DE CV</v>
      </c>
      <c r="GR65" s="3">
        <f>_xlfn.XLOOKUP(B65,QUERY!$C:$C,QUERY!AS:AS)</f>
        <v>0</v>
      </c>
      <c r="GS65" s="3">
        <f>_xlfn.XLOOKUP(B65,QUERY!$C:$C,QUERY!AT:AT)</f>
        <v>0</v>
      </c>
      <c r="GT65" s="3">
        <f>_xlfn.XLOOKUP(B65,QUERY!$C:$C,QUERY!AU:AU)</f>
        <v>0</v>
      </c>
      <c r="GU65" s="3">
        <f>_xlfn.XLOOKUP(B65,QUERY!$C:$C,QUERY!AV:AV)</f>
        <v>0</v>
      </c>
      <c r="GV65" s="3" t="str">
        <f>_xlfn.XLOOKUP(B65,QUERY!$C:$C,QUERY!AW:AW)</f>
        <v>PRODUCTO TERMINADO</v>
      </c>
      <c r="GW65" s="3" t="str">
        <f>_xlfn.XLOOKUP(B65,QUERY!$C:$C,QUERY!AX:AX)</f>
        <v>Verde</v>
      </c>
      <c r="GX65" s="3" t="str">
        <f>_xlfn.XLOOKUP(B65,QUERY!$C:$C,QUERY!AY:AY)</f>
        <v xml:space="preserve"> SUPER EXPRESS DE CARGA FEDERAL S.A. DE C.V.</v>
      </c>
      <c r="GY65" s="3">
        <f>_xlfn.XLOOKUP(B65,QUERY!$C:$C,QUERY!AZ:AZ)</f>
        <v>0</v>
      </c>
      <c r="GZ65" s="3" t="str">
        <f>_xlfn.XLOOKUP(B65,QUERY!$C:$C,QUERY!BA:BA)</f>
        <v>IME-T004</v>
      </c>
      <c r="HA65" s="3" t="str">
        <f>_xlfn.XLOOKUP(B65,QUERY!$C:$C,QUERY!BB:BB)</f>
        <v>IME850329RH2</v>
      </c>
      <c r="HB65" s="3">
        <f>_xlfn.XLOOKUP(B65,QUERY!$C:$C,QUERY!BC:BC)</f>
        <v>0</v>
      </c>
      <c r="HC65" s="3">
        <f>_xlfn.XLOOKUP(B65,QUERY!$C:$C,QUERY!BD:BD)</f>
        <v>99</v>
      </c>
      <c r="HD65" s="3" t="str">
        <f>_xlfn.XLOOKUP(B65,QUERY!$C:$C,QUERY!BE:BE)</f>
        <v>LOTE: J150A03,LOTE: H095C01,LOTE: H115A02,LOTES: H117A01, H119A01</v>
      </c>
      <c r="HE65" s="3">
        <f>_xlfn.XLOOKUP(B65,QUERY!$C:$C,QUERY!BF:BF)</f>
        <v>90</v>
      </c>
      <c r="HF65" s="3" t="str">
        <f>_xlfn.XLOOKUP(B65,QUERY!$C:$C,QUERY!BG:BG)</f>
        <v xml:space="preserve"> 737868.40, 421660.14, 2348832.00</v>
      </c>
      <c r="HG65" s="3" t="str">
        <f>_xlfn.XLOOKUP(B65,QUERY!$C:$C,QUERY!BH:BH)</f>
        <v>KILO,KILO,KILO,KILO</v>
      </c>
      <c r="HH65" s="3">
        <f>_xlfn.XLOOKUP(B65,QUERY!$C:$C,QUERY!BI:BI)</f>
        <v>0</v>
      </c>
      <c r="HI65" s="3" t="str">
        <f>_xlfn.XLOOKUP(B65,QUERY!$C:$C,QUERY!BJ:BJ)</f>
        <v>PAISES BAJOS (REINO DE LOS) (HOLANDA)</v>
      </c>
      <c r="HJ65" s="3" t="str">
        <f>_xlfn.XLOOKUP(B65,QUERY!$C:$C,QUERY!BK:BK)</f>
        <v>PAISES BAJOS (REINO DE LOS) (HOLANDA)</v>
      </c>
      <c r="HK65" s="3" t="str">
        <f>_xlfn.XLOOKUP(B65,QUERY!$C:$C,QUERY!BL:BL)</f>
        <v>ZYA</v>
      </c>
      <c r="HL65" s="3" t="str">
        <f>_xlfn.XLOOKUP(B65,QUERY!$C:$C,QUERY!BM:BM)</f>
        <v>ZYA</v>
      </c>
      <c r="HM65" s="3">
        <f>_xlfn.XLOOKUP(B65,QUERY!$C:$C,QUERY!BN:BN)</f>
        <v>3508360</v>
      </c>
      <c r="HN65" s="3" t="str">
        <f>_xlfn.XLOOKUP(B65,QUERY!$C:$C,QUERY!BO:BO)</f>
        <v>462.00</v>
      </c>
      <c r="HO65" s="3" t="str">
        <f>_xlfn.XLOOKUP(B65,QUERY!$C:$C,QUERY!BP:BP)</f>
        <v>NULL</v>
      </c>
      <c r="HP65" s="3" t="str">
        <f>_xlfn.XLOOKUP(B65,QUERY!$C:$C,QUERY!BQ:BQ)</f>
        <v>NULL</v>
      </c>
      <c r="HQ65" s="3" t="str">
        <f>_xlfn.XLOOKUP(B65,QUERY!$C:$C,QUERY!BR:BR)</f>
        <v>110542.56</v>
      </c>
      <c r="HR65" s="3">
        <f>_xlfn.XLOOKUP(B65,QUERY!$C:$C,QUERY!BS:BS)</f>
        <v>0</v>
      </c>
      <c r="HS65" s="3">
        <f>_xlfn.XLOOKUP(B65,QUERY!$C:$C,QUERY!BT:BT)</f>
        <v>0</v>
      </c>
      <c r="HT65" s="3" t="str">
        <f>_xlfn.XLOOKUP(B65,QUERY!$C:$C,QUERY!A:A)</f>
        <v>VERACRUZ</v>
      </c>
      <c r="HU65" s="3" t="str">
        <f>_xlfn.XLOOKUP(B65,QUERY!$C:$C,QUERY!B:B)</f>
        <v>MARÍTIMO VERACRUZ</v>
      </c>
    </row>
    <row r="66" spans="1:229" x14ac:dyDescent="0.25">
      <c r="A66" s="3" t="s">
        <v>90</v>
      </c>
      <c r="B66" s="3" t="s">
        <v>305</v>
      </c>
      <c r="C66" s="3">
        <v>3942</v>
      </c>
      <c r="D66" s="3">
        <v>6000273</v>
      </c>
      <c r="E66" s="3"/>
      <c r="F66" s="3" t="s">
        <v>92</v>
      </c>
      <c r="G66" s="3" t="s">
        <v>93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430</v>
      </c>
      <c r="S66" s="3" t="s">
        <v>306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 t="s">
        <v>123</v>
      </c>
      <c r="AB66" s="3"/>
      <c r="AC66" s="3">
        <v>35971</v>
      </c>
      <c r="AD66" s="3">
        <v>49.959719999999997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/>
      <c r="AP66" s="3" t="s">
        <v>98</v>
      </c>
      <c r="AQ66" s="3">
        <v>210365434</v>
      </c>
      <c r="AR66" s="3" t="s">
        <v>307</v>
      </c>
      <c r="AS66" s="3" t="s">
        <v>100</v>
      </c>
      <c r="AT66" s="3">
        <v>0</v>
      </c>
      <c r="AU66" s="3">
        <v>0</v>
      </c>
      <c r="AV66" s="3">
        <v>0</v>
      </c>
      <c r="AW66" s="3">
        <v>30049099</v>
      </c>
      <c r="AX66" s="3">
        <v>99</v>
      </c>
      <c r="AY66" s="3">
        <v>720</v>
      </c>
      <c r="AZ66" s="3">
        <v>720</v>
      </c>
      <c r="BA66" s="3" t="s">
        <v>103</v>
      </c>
      <c r="BB66" s="3"/>
      <c r="BC66" s="3" t="s">
        <v>105</v>
      </c>
      <c r="BD66" s="3" t="s">
        <v>105</v>
      </c>
      <c r="BE66" s="3"/>
      <c r="BF66" s="3"/>
      <c r="BG66" s="5"/>
      <c r="BH66" s="3"/>
      <c r="BI66" s="3"/>
      <c r="BJ66" s="3"/>
      <c r="BK66" s="3" t="s">
        <v>310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 t="s">
        <v>192</v>
      </c>
      <c r="CF66" s="3">
        <v>0</v>
      </c>
      <c r="CG66" s="3">
        <v>0</v>
      </c>
      <c r="CH66" s="3">
        <v>0</v>
      </c>
      <c r="CI66" s="3" t="s">
        <v>112</v>
      </c>
      <c r="CJ66" s="3" t="s">
        <v>112</v>
      </c>
      <c r="CK66" s="3">
        <f>_xlfn.XLOOKUP($B$2,'BASE DE EXCEL'!C:C,'BASE DE EXCEL'!D:D,"NO HAY REFERENCIA")</f>
        <v>470</v>
      </c>
      <c r="CL66" s="5">
        <f>_xlfn.XLOOKUP($B$2,'BASE DE EXCEL'!$C:$C,'BASE DE EXCEL'!F:F,"NO HAY REFERENCIA")</f>
        <v>3</v>
      </c>
      <c r="CM66" s="4">
        <f>_xlfn.XLOOKUP($B$2,'BASE DE EXCEL'!$C:$C,'BASE DE EXCEL'!G:G,"NO HAY REFERENCIA")</f>
        <v>46080</v>
      </c>
      <c r="CN66" s="4">
        <f>_xlfn.XLOOKUP($B$2,'BASE DE EXCEL'!$C:$C,'BASE DE EXCEL'!H:H,"NO HAY REFERENCIA")</f>
        <v>46086</v>
      </c>
      <c r="CO66" s="3">
        <f>_xlfn.XLOOKUP($B$2,'BASE DE EXCEL'!$C:$C,'BASE DE EXCEL'!I:I,"NO HAY REFERENCIA")</f>
        <v>4</v>
      </c>
      <c r="CP66" s="3" t="str">
        <f>_xlfn.XLOOKUP($B$2,'BASE DE EXCEL'!$C:$C,'BASE DE EXCEL'!J:J,"NO HAY REFERENCIA")</f>
        <v>4 a 5 días</v>
      </c>
      <c r="CQ66" s="4">
        <f>_xlfn.XLOOKUP($B$2,'BASE DE EXCEL'!$C:$C,'BASE DE EXCEL'!K:K,"NO HAY REFERENCIA")</f>
        <v>46087</v>
      </c>
      <c r="CR66" s="3">
        <f>_xlfn.XLOOKUP($B$2,'BASE DE EXCEL'!$C:$C,'BASE DE EXCEL'!L:L,"NO HAY REFERENCIA")</f>
        <v>5</v>
      </c>
      <c r="CS66" s="3">
        <f>_xlfn.XLOOKUP($B$2,'BASE DE EXCEL'!$C:$C,'BASE DE EXCEL'!M:M,"NO HAY REFERENCIA")</f>
        <v>6</v>
      </c>
      <c r="CT66" s="3" t="str">
        <f>_xlfn.XLOOKUP($B$2,'BASE DE EXCEL'!$C:$C,'BASE DE EXCEL'!N:N,"NO HAY REFERENCIA")</f>
        <v>6 a 10 días</v>
      </c>
      <c r="CU66" s="3" t="str">
        <f>_xlfn.XLOOKUP($B$2,'BASE DE EXCEL'!$C:$C,'BASE DE EXCEL'!O:O,"NO HAY REFERENCIA")</f>
        <v>On Time</v>
      </c>
      <c r="CV66" s="3" t="str">
        <f>_xlfn.XLOOKUP(B66,'BASE DE EXCEL'!$C:$C,'BASE DE EXCEL'!P:P,"NO HAY REFERENCIA")</f>
        <v>4 a 5 días</v>
      </c>
      <c r="CW66" s="4">
        <f>_xlfn.XLOOKUP(B66,'BASE DE EXCEL'!$C:$C,'BASE DE EXCEL'!Q:Q,"NO HAY REFERENCIA")</f>
        <v>46095</v>
      </c>
      <c r="CX66" s="3">
        <f>_xlfn.XLOOKUP(B66,'BASE DE EXCEL'!$C:$C,'BASE DE EXCEL'!R:R,"NO HAY REFERENCIA")</f>
        <v>5</v>
      </c>
      <c r="CY66" s="3" t="str">
        <f>_xlfn.XLOOKUP(B66,'BASE DE EXCEL'!$C:$C,'BASE DE EXCEL'!S:S,"NO HAY REFERENCIA")</f>
        <v>4 a 5 días</v>
      </c>
      <c r="CZ66" s="3" t="str">
        <f>_xlfn.XLOOKUP(B66,'BASE DE EXCEL'!$C:$C,'BASE DE EXCEL'!T:T,"NO HAY REFERENCIA")</f>
        <v>On Time</v>
      </c>
      <c r="DA66" s="3">
        <f>_xlfn.XLOOKUP(B66,'BASE DE EXCEL'!$C:$C,'BASE DE EXCEL'!U:U,"NO HAY REFERENCIA")</f>
        <v>5</v>
      </c>
      <c r="DB66" s="3" t="str">
        <f>_xlfn.XLOOKUP(B66,'BASE DE EXCEL'!$C:$C,'BASE DE EXCEL'!V:V,"NO HAY REFERENCIA")</f>
        <v>4 a 5 días</v>
      </c>
      <c r="DC66" s="3">
        <f>_xlfn.XLOOKUP(B66,'BASE DE EXCEL'!$C:$C,'BASE DE EXCEL'!W:W,"NO HAY REFERENCIA")</f>
        <v>16</v>
      </c>
      <c r="DD66" s="3" t="str">
        <f>_xlfn.XLOOKUP(B66,'BASE DE EXCEL'!$C:$C,'BASE DE EXCEL'!X:X,"NO HAY REFERENCIA")</f>
        <v>más de 16 días</v>
      </c>
      <c r="DE66" s="3">
        <f>_xlfn.XLOOKUP(B66,'BASE DE EXCEL'!$C:$C,'BASE DE EXCEL'!Y:Y,"NO HAY REFERENCIA")</f>
        <v>1</v>
      </c>
      <c r="DF66" s="3" t="str">
        <f>_xlfn.XLOOKUP(B66,'BASE DE EXCEL'!$C:$C,'BASE DE EXCEL'!Z:Z,"NO HAY REFERENCIA")</f>
        <v>1 día o menos</v>
      </c>
      <c r="DG66" s="3">
        <f>_xlfn.XLOOKUP(B66,'BASE DE EXCEL'!$C:$C,'BASE DE EXCEL'!AA:AA,"NO HAY REFERENCIA")</f>
        <v>3</v>
      </c>
      <c r="DH66" s="3">
        <f>_xlfn.XLOOKUP(B66,'BASE DE EXCEL'!$C:$C,'BASE DE EXCEL'!AB:AB,"NO HAY REFERENCIA")</f>
        <v>1</v>
      </c>
      <c r="DI66" s="3" t="str">
        <f>_xlfn.XLOOKUP(B66,'BASE DE EXCEL'!$C:$C,'BASE DE EXCEL'!AC:AC,"NO HAY REFERENCIA")</f>
        <v>1 día o menos</v>
      </c>
      <c r="DJ66" s="4">
        <f>_xlfn.XLOOKUP(B66,'BASE DE EXCEL'!$C:$C,'BASE DE EXCEL'!AD:AD,"NO HAY REFERENCIA")</f>
        <v>46112</v>
      </c>
      <c r="DK66" s="3">
        <f>_xlfn.XLOOKUP(B66,'BASE DE EXCEL'!$C:$C,'BASE DE EXCEL'!AE:AE,"NO HAY REFERENCIA")</f>
        <v>16</v>
      </c>
      <c r="DL66" s="3">
        <f>_xlfn.XLOOKUP(B66,'BASE DE EXCEL'!$C:$C,'BASE DE EXCEL'!AF:AF,"NO HAY REFERENCIA")</f>
        <v>11</v>
      </c>
      <c r="DM66" s="4">
        <f>_xlfn.XLOOKUP(B66,'BASE DE EXCEL'!$C:$C,'BASE DE EXCEL'!AG:AG,"NO HAY REFERENCIA")</f>
        <v>46111</v>
      </c>
      <c r="DN66" s="4">
        <f>_xlfn.XLOOKUP(B66,'BASE DE EXCEL'!$C:$C,'BASE DE EXCEL'!AH:AH,"NO HAY REFERENCIA")</f>
        <v>46112</v>
      </c>
      <c r="DO66" s="3">
        <f>_xlfn.XLOOKUP(B66,'BASE DE EXCEL'!$C:$C,'BASE DE EXCEL'!AI:AI,"NO HAY REFERENCIA")</f>
        <v>1</v>
      </c>
      <c r="DP66" s="4" t="str">
        <f>_xlfn.XLOOKUP(B66,'BASE DE EXCEL'!$C:$C,'BASE DE EXCEL'!AJ:AJ,"NO HAY REFERENCIA")</f>
        <v>más de 16 días</v>
      </c>
      <c r="DQ66" s="4">
        <f>_xlfn.XLOOKUP(B66,'BASE DE EXCEL'!$C:$C,'BASE DE EXCEL'!AK:AK,"NO HAY REFERENCIA")</f>
        <v>46112</v>
      </c>
      <c r="DR66" s="3">
        <f>_xlfn.XLOOKUP(B66,'BASE DE EXCEL'!$C:$C,'BASE DE EXCEL'!AL:AL,"NO HAY REFERENCIA")</f>
        <v>11</v>
      </c>
      <c r="DS66" s="3" t="str">
        <f>_xlfn.XLOOKUP(B66,'BASE DE EXCEL'!$C:$C,'BASE DE EXCEL'!AM:AM,"NO HAY REFERENCIA")</f>
        <v>11 a 15 días</v>
      </c>
      <c r="DT66" s="3" t="str">
        <f>_xlfn.XLOOKUP(B66,'BASE DE EXCEL'!$C:$C,'BASE DE EXCEL'!AN:AN,"NO HAY REFERENCIA")</f>
        <v>Delayed</v>
      </c>
      <c r="DU66" s="3">
        <f>_xlfn.XLOOKUP(B66,'BASE DE EXCEL'!$C:$C,'BASE DE EXCEL'!AO:AO,"NO HAY REFERENCIA")</f>
        <v>1</v>
      </c>
      <c r="DV66" s="3" t="str">
        <f>_xlfn.XLOOKUP(B66,'BASE DE EXCEL'!$C:$C,'BASE DE EXCEL'!AP:AP,"NO HAY REFERENCIA")</f>
        <v>Es anterior</v>
      </c>
      <c r="DW66" s="3" t="str">
        <f>_xlfn.XLOOKUP(B66,'BASE DE EXCEL'!$C:$C,'BASE DE EXCEL'!AQ:AQ,"NO HAY REFERENCIA")</f>
        <v>A1</v>
      </c>
      <c r="DX66" s="3" t="str">
        <f>_xlfn.XLOOKUP(B66,'BASE DE EXCEL'!$C:$C,'BASE DE EXCEL'!AR:AR,"NO HAY REFERENCIA")</f>
        <v>ZULEIMA PEREZ RUIZ</v>
      </c>
      <c r="DY66" s="3" t="str">
        <f>_xlfn.XLOOKUP(B66,'BASE DE EXCEL'!$C:$C,'BASE DE EXCEL'!AS:AS,"NO HAY REFERENCIA")</f>
        <v>HLCUANR260173197</v>
      </c>
      <c r="DZ66" s="3" t="str">
        <f>_xlfn.XLOOKUP(B66,'BASE DE EXCEL'!$C:$C,'BASE DE EXCEL'!AT:AT,"NO HAY REFERENCIA")</f>
        <v>NULL</v>
      </c>
      <c r="EA66" s="3">
        <f>_xlfn.XLOOKUP(B66,'BASE DE EXCEL'!$C:$C,'BASE DE EXCEL'!AU:AU,"NO HAY REFERENCIA")</f>
        <v>6000273</v>
      </c>
      <c r="EB66" s="3" t="str">
        <f>_xlfn.XLOOKUP(B66,'BASE DE EXCEL'!$C:$C,'BASE DE EXCEL'!AV:AV,"NO HAY REFERENCIA")</f>
        <v>Importación</v>
      </c>
      <c r="EC66" s="3" t="str">
        <f>_xlfn.XLOOKUP(B66,'BASE DE EXCEL'!$C:$C,'BASE DE EXCEL'!AW:AW,"NO HAY REFERENCIA")</f>
        <v>SOLVENS OCULO NASAL (MEDICAMENTO DOSIFICADO DE USO VETERINARIO)</v>
      </c>
      <c r="ED66" s="3" t="str">
        <f>_xlfn.XLOOKUP(B66,'BASE DE EXCEL'!$C:$C,'BASE DE EXCEL'!AX:AX,"NO HAY REFERENCIA")</f>
        <v>SIN CLASIFICACION</v>
      </c>
      <c r="EE66" s="3">
        <f>_xlfn.XLOOKUP(B66,'BASE DE EXCEL'!$C:$C,'BASE DE EXCEL'!AY:AY,"NO HAY REFERENCIA")</f>
        <v>0</v>
      </c>
      <c r="EF66" s="3" t="str">
        <f>_xlfn.XLOOKUP(B66,'BASE DE EXCEL'!$C:$C,'BASE DE EXCEL'!AZ:AZ,"NO HAY REFERENCIA")</f>
        <v>Cargas de Importación</v>
      </c>
      <c r="EG66" s="3" t="str">
        <f>_xlfn.XLOOKUP(B66,'BASE DE EXCEL'!$C:$C,'BASE DE EXCEL'!BA:BA,"NO HAY REFERENCIA")</f>
        <v>INTERVET MEXICO SA DE CV</v>
      </c>
      <c r="EH66" s="3">
        <f>_xlfn.XLOOKUP(B66,'BASE DE EXCEL'!$C:$C,'BASE DE EXCEL'!BB:BB,"NO HAY REFERENCIA")</f>
        <v>0</v>
      </c>
      <c r="EI66" s="3">
        <f>_xlfn.XLOOKUP(B66,'BASE DE EXCEL'!$C:$C,'BASE DE EXCEL'!BC:BC,"NO HAY REFERENCIA")</f>
        <v>0</v>
      </c>
      <c r="EJ66" s="3">
        <f>_xlfn.XLOOKUP(B66,'BASE DE EXCEL'!$C:$C,'BASE DE EXCEL'!BD:BD,"NO HAY REFERENCIA")</f>
        <v>0</v>
      </c>
      <c r="EK66" s="3">
        <f>_xlfn.XLOOKUP(B66,'BASE DE EXCEL'!$C:$C,'BASE DE EXCEL'!BE:BE,"NO HAY REFERENCIA")</f>
        <v>0</v>
      </c>
      <c r="EL66" s="3" t="str">
        <f>_xlfn.XLOOKUP(B66,'BASE DE EXCEL'!$C:$C,'BASE DE EXCEL'!BF:BF,"NO HAY REFERENCIA")</f>
        <v>PRODUCTO TERMINADO</v>
      </c>
      <c r="EM66" s="3" t="str">
        <f>_xlfn.XLOOKUP(B66,'BASE DE EXCEL'!$C:$C,'BASE DE EXCEL'!BG:BG,"NO HAY REFERENCIA")</f>
        <v>Verde</v>
      </c>
      <c r="EN66" s="3" t="str">
        <f>_xlfn.XLOOKUP(B66,'BASE DE EXCEL'!$C:$C,'BASE DE EXCEL'!BH:BH,"NO HAY REFERENCIA")</f>
        <v xml:space="preserve"> SUPER EXPRESS DE CARGA FEDERAL S.A. DE C.V.</v>
      </c>
      <c r="EO66" s="3">
        <f>_xlfn.XLOOKUP(B66,'BASE DE EXCEL'!$C:$C,'BASE DE EXCEL'!BI:BI,"NO HAY REFERENCIA")</f>
        <v>0</v>
      </c>
      <c r="EP66" s="3" t="str">
        <f>_xlfn.XLOOKUP(B66,'BASE DE EXCEL'!$C:$C,'BASE DE EXCEL'!BJ:BJ,"NO HAY REFERENCIA")</f>
        <v>IME-T004</v>
      </c>
      <c r="EQ66" s="3" t="str">
        <f>_xlfn.XLOOKUP(B66,'BASE DE EXCEL'!$C:$C,'BASE DE EXCEL'!BK:BK,"NO HAY REFERENCIA")</f>
        <v>IME850329RH2</v>
      </c>
      <c r="ER66" s="3">
        <f>_xlfn.XLOOKUP(B66,'BASE DE EXCEL'!$C:$C,'BASE DE EXCEL'!BL:BL,"NO HAY REFERENCIA")</f>
        <v>0</v>
      </c>
      <c r="ES66" s="3">
        <f>_xlfn.XLOOKUP(B66,'BASE DE EXCEL'!$C:$C,'BASE DE EXCEL'!BM:BM,"NO HAY REFERENCIA")</f>
        <v>99</v>
      </c>
      <c r="ET66" s="3" t="str">
        <f>_xlfn.XLOOKUP(B66,'BASE DE EXCEL'!$C:$C,'BASE DE EXCEL'!BN:BN,"NO HAY REFERENCIA")</f>
        <v>LOTE: J150A03,LOTE: H095C01,LOTE: H115A02,LOTES: H117A01, H119A01</v>
      </c>
      <c r="EU66" s="3">
        <f>_xlfn.XLOOKUP(B66,'BASE DE EXCEL'!$C:$C,'BASE DE EXCEL'!BO:BO,"NO HAY REFERENCIA")</f>
        <v>90</v>
      </c>
      <c r="EV66" s="3" t="str">
        <f>_xlfn.XLOOKUP(B66,'BASE DE EXCEL'!$C:$C,'BASE DE EXCEL'!BP:BP,"NO HAY REFERENCIA")</f>
        <v xml:space="preserve"> 737868.40, 421660.14, 2348832.00</v>
      </c>
      <c r="EW66" s="3" t="str">
        <f>_xlfn.XLOOKUP(B66,'BASE DE EXCEL'!$C:$C,'BASE DE EXCEL'!BQ:BQ,"NO HAY REFERENCIA")</f>
        <v>KILO,KILO,KILO,KILO</v>
      </c>
      <c r="EX66" s="3">
        <f>_xlfn.XLOOKUP(B66,'BASE DE EXCEL'!$C:$C,'BASE DE EXCEL'!BR:BR,"NO HAY REFERENCIA")</f>
        <v>0</v>
      </c>
      <c r="EY66" s="3" t="str">
        <f>_xlfn.XLOOKUP(B66,'BASE DE EXCEL'!$C:$C,'BASE DE EXCEL'!BS:BS,"NO HAY REFERENCIA")</f>
        <v>PAISES BAJOS (REINO DE LOS) (HOLANDA)</v>
      </c>
      <c r="EZ66" s="3" t="str">
        <f>_xlfn.XLOOKUP(B66,'BASE DE EXCEL'!$C:$C,'BASE DE EXCEL'!BT:BT,"NO HAY REFERENCIA")</f>
        <v>PAISES BAJOS (REINO DE LOS) (HOLANDA)</v>
      </c>
      <c r="FA66" s="3" t="str">
        <f>_xlfn.XLOOKUP(B66,'BASE DE EXCEL'!$C:$C,'BASE DE EXCEL'!BU:BU,"NO HAY REFERENCIA")</f>
        <v>ZYA</v>
      </c>
      <c r="FB66" s="3" t="str">
        <f>_xlfn.XLOOKUP(B66,'BASE DE EXCEL'!$C:$C,'BASE DE EXCEL'!BV:BV,"NO HAY REFERENCIA")</f>
        <v>ZYA</v>
      </c>
      <c r="FC66" s="3">
        <f>_xlfn.XLOOKUP(B66,QUERY!$C:$C,QUERY!D:D)</f>
        <v>430</v>
      </c>
      <c r="FD66" s="4">
        <f>_xlfn.XLOOKUP(B66,QUERY!$C:$C,QUERY!E:E)</f>
        <v>46093</v>
      </c>
      <c r="FE66" s="3">
        <f>_xlfn.XLOOKUP(B66,QUERY!$C:$C,QUERY!F:F)</f>
        <v>3</v>
      </c>
      <c r="FF66" s="4">
        <f>_xlfn.XLOOKUP(B66,QUERY!$C:$C,QUERY!G:G)</f>
        <v>46090</v>
      </c>
      <c r="FG66" s="4">
        <f>_xlfn.XLOOKUP(B66,QUERY!$C:$C,QUERY!H:H)</f>
        <v>46093</v>
      </c>
      <c r="FH66" s="3">
        <f>_xlfn.XLOOKUP(B66,QUERY!$C:$C,QUERY!I:I)</f>
        <v>3</v>
      </c>
      <c r="FI66" s="3" t="str">
        <f>_xlfn.XLOOKUP(B66,QUERY!$C:$C,QUERY!J:J)</f>
        <v>2 a 3 días</v>
      </c>
      <c r="FJ66" s="4">
        <f>_xlfn.XLOOKUP(B66,QUERY!$C:$C,QUERY!K:K)</f>
        <v>46094</v>
      </c>
      <c r="FK66" s="3">
        <f>_xlfn.XLOOKUP(B66,QUERY!$C:$C,QUERY!L:L)</f>
        <v>4</v>
      </c>
      <c r="FL66" s="3" t="str">
        <f>_xlfn.XLOOKUP(B66,QUERY!$C:$C,QUERY!M:M)</f>
        <v>4 a 5 días</v>
      </c>
      <c r="FM66" s="3">
        <f>_xlfn.XLOOKUP(B66,QUERY!$C:$C,QUERY!N:N)</f>
        <v>1</v>
      </c>
      <c r="FN66" s="3" t="str">
        <f>_xlfn.XLOOKUP(B66,QUERY!$C:$C,QUERY!O:O)</f>
        <v>1 día o menos</v>
      </c>
      <c r="FO66" s="3">
        <f>_xlfn.XLOOKUP(B66,QUERY!$C:$C,QUERY!P:P)</f>
        <v>1</v>
      </c>
      <c r="FP66" s="3">
        <f>_xlfn.XLOOKUP(B66,QUERY!$C:$C,QUERY!Q:Q)</f>
        <v>1</v>
      </c>
      <c r="FQ66" s="3" t="str">
        <f>_xlfn.XLOOKUP(B66,QUERY!$C:$C,QUERY!R:R)</f>
        <v>1 día o menos</v>
      </c>
      <c r="FR66" s="4">
        <f>_xlfn.XLOOKUP(B66,QUERY!$C:$C,QUERY!S:S)</f>
        <v>46095</v>
      </c>
      <c r="FS66" s="3">
        <f>_xlfn.XLOOKUP(B66,QUERY!$C:$C,QUERY!T:T)</f>
        <v>5</v>
      </c>
      <c r="FT66" s="3" t="str">
        <f>_xlfn.XLOOKUP(B66,QUERY!$C:$C,QUERY!U:U)</f>
        <v>4 a 5 días</v>
      </c>
      <c r="FU66" s="3">
        <f>_xlfn.XLOOKUP(B66,QUERY!$C:$C,QUERY!V:V)</f>
        <v>16</v>
      </c>
      <c r="FV66" s="3" t="str">
        <f>_xlfn.XLOOKUP(B66,QUERY!$C:$C,QUERY!W:W)</f>
        <v>más de 16 días</v>
      </c>
      <c r="FW66" s="4">
        <f>_xlfn.XLOOKUP(B66,QUERY!$C:$C,QUERY!X:X)</f>
        <v>46112</v>
      </c>
      <c r="FX66" s="3">
        <f>_xlfn.XLOOKUP(B66,QUERY!$C:$C,QUERY!Y:Y)</f>
        <v>10</v>
      </c>
      <c r="FY66" s="3">
        <f>_xlfn.XLOOKUP(B66,QUERY!$C:$C,QUERY!Z:Z)</f>
        <v>11</v>
      </c>
      <c r="FZ66" s="4" t="str">
        <f>_xlfn.XLOOKUP(B66,QUERY!$C:$C,QUERY!AA:AA)</f>
        <v>más de 16 días</v>
      </c>
      <c r="GA66" s="4">
        <f>_xlfn.XLOOKUP(B66,QUERY!$C:$C,QUERY!AB:AB)</f>
        <v>46111</v>
      </c>
      <c r="GB66" s="4">
        <f>_xlfn.XLOOKUP(B66,QUERY!$C:$C,QUERY!AC:AC)</f>
        <v>46112</v>
      </c>
      <c r="GC66" s="3">
        <f>_xlfn.XLOOKUP(B66,QUERY!$C:$C,QUERY!AD:AD)</f>
        <v>1</v>
      </c>
      <c r="GD66" s="4">
        <f>_xlfn.XLOOKUP(B66,QUERY!$C:$C,QUERY!AE:AE)</f>
        <v>46112</v>
      </c>
      <c r="GE66" s="3">
        <f>_xlfn.XLOOKUP(B66,QUERY!$C:$C,QUERY!AF:AF)</f>
        <v>1</v>
      </c>
      <c r="GF66" s="4" t="str">
        <f>_xlfn.XLOOKUP(B66,QUERY!$C:$C,QUERY!AG:AG)</f>
        <v>Es anterior</v>
      </c>
      <c r="GG66" s="3" t="str">
        <f>_xlfn.XLOOKUP(B66,QUERY!$C:$C,QUERY!AH:AH)</f>
        <v>A1</v>
      </c>
      <c r="GH66" s="3" t="str">
        <f>_xlfn.XLOOKUP(B66,QUERY!$C:$C,QUERY!AI:AI)</f>
        <v>ZULEIMA PEREZ RUIZ</v>
      </c>
      <c r="GI66" s="3" t="str">
        <f>_xlfn.XLOOKUP(B66,QUERY!$C:$C,QUERY!AJ:AJ)</f>
        <v>HLCUANR260173197</v>
      </c>
      <c r="GJ66" s="3" t="str">
        <f>_xlfn.XLOOKUP(B66,QUERY!$C:$C,QUERY!AK:AK)</f>
        <v>NULL</v>
      </c>
      <c r="GK66" s="3">
        <f>_xlfn.XLOOKUP(B66,QUERY!$C:$C,QUERY!AL:AL)</f>
        <v>6000273</v>
      </c>
      <c r="GL66" s="3" t="str">
        <f>_xlfn.XLOOKUP(B66,QUERY!$C:$C,QUERY!AM:AM)</f>
        <v>Importación</v>
      </c>
      <c r="GM66" s="3" t="str">
        <f>_xlfn.XLOOKUP(B66,QUERY!$C:$C,QUERY!AN:AN)</f>
        <v>SOLVENS OCULO NASAL (MEDICAMENTO DOSIFICADO DE USO VETERINARIO)</v>
      </c>
      <c r="GN66" s="3" t="str">
        <f>_xlfn.XLOOKUP(B66,QUERY!$C:$C,QUERY!AO:AO)</f>
        <v>SIN CLASIFICACION</v>
      </c>
      <c r="GO66" s="3">
        <f>_xlfn.XLOOKUP(B66,QUERY!$C:$C,QUERY!AP:AP)</f>
        <v>0</v>
      </c>
      <c r="GP66" s="3" t="str">
        <f>_xlfn.XLOOKUP(B66,QUERY!$C:$C,QUERY!AQ:AQ)</f>
        <v>Cargas de Importación</v>
      </c>
      <c r="GQ66" s="3" t="str">
        <f>_xlfn.XLOOKUP(B66,QUERY!$C:$C,QUERY!AR:AR)</f>
        <v>INTERVET MEXICO SA DE CV</v>
      </c>
      <c r="GR66" s="3">
        <f>_xlfn.XLOOKUP(B66,QUERY!$C:$C,QUERY!AS:AS)</f>
        <v>0</v>
      </c>
      <c r="GS66" s="3">
        <f>_xlfn.XLOOKUP(B66,QUERY!$C:$C,QUERY!AT:AT)</f>
        <v>0</v>
      </c>
      <c r="GT66" s="3">
        <f>_xlfn.XLOOKUP(B66,QUERY!$C:$C,QUERY!AU:AU)</f>
        <v>0</v>
      </c>
      <c r="GU66" s="3">
        <f>_xlfn.XLOOKUP(B66,QUERY!$C:$C,QUERY!AV:AV)</f>
        <v>0</v>
      </c>
      <c r="GV66" s="3" t="str">
        <f>_xlfn.XLOOKUP(B66,QUERY!$C:$C,QUERY!AW:AW)</f>
        <v>PRODUCTO TERMINADO</v>
      </c>
      <c r="GW66" s="3" t="str">
        <f>_xlfn.XLOOKUP(B66,QUERY!$C:$C,QUERY!AX:AX)</f>
        <v>Verde</v>
      </c>
      <c r="GX66" s="3" t="str">
        <f>_xlfn.XLOOKUP(B66,QUERY!$C:$C,QUERY!AY:AY)</f>
        <v xml:space="preserve"> SUPER EXPRESS DE CARGA FEDERAL S.A. DE C.V.</v>
      </c>
      <c r="GY66" s="3">
        <f>_xlfn.XLOOKUP(B66,QUERY!$C:$C,QUERY!AZ:AZ)</f>
        <v>0</v>
      </c>
      <c r="GZ66" s="3" t="str">
        <f>_xlfn.XLOOKUP(B66,QUERY!$C:$C,QUERY!BA:BA)</f>
        <v>IME-T004</v>
      </c>
      <c r="HA66" s="3" t="str">
        <f>_xlfn.XLOOKUP(B66,QUERY!$C:$C,QUERY!BB:BB)</f>
        <v>IME850329RH2</v>
      </c>
      <c r="HB66" s="3">
        <f>_xlfn.XLOOKUP(B66,QUERY!$C:$C,QUERY!BC:BC)</f>
        <v>0</v>
      </c>
      <c r="HC66" s="3">
        <f>_xlfn.XLOOKUP(B66,QUERY!$C:$C,QUERY!BD:BD)</f>
        <v>99</v>
      </c>
      <c r="HD66" s="3" t="str">
        <f>_xlfn.XLOOKUP(B66,QUERY!$C:$C,QUERY!BE:BE)</f>
        <v>LOTE: J150A03,LOTE: H095C01,LOTE: H115A02,LOTES: H117A01, H119A01</v>
      </c>
      <c r="HE66" s="3">
        <f>_xlfn.XLOOKUP(B66,QUERY!$C:$C,QUERY!BF:BF)</f>
        <v>90</v>
      </c>
      <c r="HF66" s="3" t="str">
        <f>_xlfn.XLOOKUP(B66,QUERY!$C:$C,QUERY!BG:BG)</f>
        <v xml:space="preserve"> 737868.40, 421660.14, 2348832.00</v>
      </c>
      <c r="HG66" s="3" t="str">
        <f>_xlfn.XLOOKUP(B66,QUERY!$C:$C,QUERY!BH:BH)</f>
        <v>KILO,KILO,KILO,KILO</v>
      </c>
      <c r="HH66" s="3">
        <f>_xlfn.XLOOKUP(B66,QUERY!$C:$C,QUERY!BI:BI)</f>
        <v>0</v>
      </c>
      <c r="HI66" s="3" t="str">
        <f>_xlfn.XLOOKUP(B66,QUERY!$C:$C,QUERY!BJ:BJ)</f>
        <v>PAISES BAJOS (REINO DE LOS) (HOLANDA)</v>
      </c>
      <c r="HJ66" s="3" t="str">
        <f>_xlfn.XLOOKUP(B66,QUERY!$C:$C,QUERY!BK:BK)</f>
        <v>PAISES BAJOS (REINO DE LOS) (HOLANDA)</v>
      </c>
      <c r="HK66" s="3" t="str">
        <f>_xlfn.XLOOKUP(B66,QUERY!$C:$C,QUERY!BL:BL)</f>
        <v>ZYA</v>
      </c>
      <c r="HL66" s="3" t="str">
        <f>_xlfn.XLOOKUP(B66,QUERY!$C:$C,QUERY!BM:BM)</f>
        <v>ZYA</v>
      </c>
      <c r="HM66" s="3">
        <f>_xlfn.XLOOKUP(B66,QUERY!$C:$C,QUERY!BN:BN)</f>
        <v>3508360</v>
      </c>
      <c r="HN66" s="3" t="str">
        <f>_xlfn.XLOOKUP(B66,QUERY!$C:$C,QUERY!BO:BO)</f>
        <v>462.00</v>
      </c>
      <c r="HO66" s="3" t="str">
        <f>_xlfn.XLOOKUP(B66,QUERY!$C:$C,QUERY!BP:BP)</f>
        <v>NULL</v>
      </c>
      <c r="HP66" s="3" t="str">
        <f>_xlfn.XLOOKUP(B66,QUERY!$C:$C,QUERY!BQ:BQ)</f>
        <v>NULL</v>
      </c>
      <c r="HQ66" s="3" t="str">
        <f>_xlfn.XLOOKUP(B66,QUERY!$C:$C,QUERY!BR:BR)</f>
        <v>110542.56</v>
      </c>
      <c r="HR66" s="3">
        <f>_xlfn.XLOOKUP(B66,QUERY!$C:$C,QUERY!BS:BS)</f>
        <v>0</v>
      </c>
      <c r="HS66" s="3">
        <f>_xlfn.XLOOKUP(B66,QUERY!$C:$C,QUERY!BT:BT)</f>
        <v>0</v>
      </c>
      <c r="HT66" s="3" t="str">
        <f>_xlfn.XLOOKUP(B66,QUERY!$C:$C,QUERY!A:A)</f>
        <v>VERACRUZ</v>
      </c>
      <c r="HU66" s="3" t="str">
        <f>_xlfn.XLOOKUP(B66,QUERY!$C:$C,QUERY!B:B)</f>
        <v>MARÍTIMO VERACRUZ</v>
      </c>
    </row>
    <row r="67" spans="1:229" x14ac:dyDescent="0.25">
      <c r="A67" s="3" t="s">
        <v>90</v>
      </c>
      <c r="B67" s="3" t="s">
        <v>305</v>
      </c>
      <c r="C67" s="3">
        <v>3942</v>
      </c>
      <c r="D67" s="3">
        <v>6000273</v>
      </c>
      <c r="E67" s="3"/>
      <c r="F67" s="3" t="s">
        <v>92</v>
      </c>
      <c r="G67" s="3" t="s">
        <v>93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430</v>
      </c>
      <c r="S67" s="3" t="s">
        <v>306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 t="s">
        <v>123</v>
      </c>
      <c r="AB67" s="3"/>
      <c r="AC67" s="3">
        <v>385689</v>
      </c>
      <c r="AD67" s="3">
        <v>706.39011000000005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/>
      <c r="AP67" s="3" t="s">
        <v>98</v>
      </c>
      <c r="AQ67" s="3">
        <v>210365434</v>
      </c>
      <c r="AR67" s="3" t="s">
        <v>307</v>
      </c>
      <c r="AS67" s="3" t="s">
        <v>100</v>
      </c>
      <c r="AT67" s="3">
        <v>0</v>
      </c>
      <c r="AU67" s="3">
        <v>0</v>
      </c>
      <c r="AV67" s="3">
        <v>0</v>
      </c>
      <c r="AW67" s="3">
        <v>30049099</v>
      </c>
      <c r="AX67" s="3">
        <v>99</v>
      </c>
      <c r="AY67" s="3">
        <v>546</v>
      </c>
      <c r="AZ67" s="3">
        <v>546</v>
      </c>
      <c r="BA67" s="3" t="s">
        <v>121</v>
      </c>
      <c r="BB67" s="3"/>
      <c r="BC67" s="3" t="s">
        <v>105</v>
      </c>
      <c r="BD67" s="3" t="s">
        <v>105</v>
      </c>
      <c r="BE67" s="3"/>
      <c r="BF67" s="3"/>
      <c r="BG67" s="5"/>
      <c r="BH67" s="3"/>
      <c r="BI67" s="3"/>
      <c r="BJ67" s="3"/>
      <c r="BK67" s="3" t="s">
        <v>310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 t="s">
        <v>192</v>
      </c>
      <c r="CF67" s="3">
        <v>0</v>
      </c>
      <c r="CG67" s="3">
        <v>0</v>
      </c>
      <c r="CH67" s="3">
        <v>0</v>
      </c>
      <c r="CI67" s="3" t="s">
        <v>112</v>
      </c>
      <c r="CJ67" s="3" t="s">
        <v>112</v>
      </c>
      <c r="CK67" s="3">
        <f>_xlfn.XLOOKUP($B$2,'BASE DE EXCEL'!C:C,'BASE DE EXCEL'!D:D,"NO HAY REFERENCIA")</f>
        <v>470</v>
      </c>
      <c r="CL67" s="5">
        <f>_xlfn.XLOOKUP($B$2,'BASE DE EXCEL'!$C:$C,'BASE DE EXCEL'!F:F,"NO HAY REFERENCIA")</f>
        <v>3</v>
      </c>
      <c r="CM67" s="4">
        <f>_xlfn.XLOOKUP($B$2,'BASE DE EXCEL'!$C:$C,'BASE DE EXCEL'!G:G,"NO HAY REFERENCIA")</f>
        <v>46080</v>
      </c>
      <c r="CN67" s="4">
        <f>_xlfn.XLOOKUP($B$2,'BASE DE EXCEL'!$C:$C,'BASE DE EXCEL'!H:H,"NO HAY REFERENCIA")</f>
        <v>46086</v>
      </c>
      <c r="CO67" s="3">
        <f>_xlfn.XLOOKUP($B$2,'BASE DE EXCEL'!$C:$C,'BASE DE EXCEL'!I:I,"NO HAY REFERENCIA")</f>
        <v>4</v>
      </c>
      <c r="CP67" s="3" t="str">
        <f>_xlfn.XLOOKUP($B$2,'BASE DE EXCEL'!$C:$C,'BASE DE EXCEL'!J:J,"NO HAY REFERENCIA")</f>
        <v>4 a 5 días</v>
      </c>
      <c r="CQ67" s="4">
        <f>_xlfn.XLOOKUP($B$2,'BASE DE EXCEL'!$C:$C,'BASE DE EXCEL'!K:K,"NO HAY REFERENCIA")</f>
        <v>46087</v>
      </c>
      <c r="CR67" s="3">
        <f>_xlfn.XLOOKUP($B$2,'BASE DE EXCEL'!$C:$C,'BASE DE EXCEL'!L:L,"NO HAY REFERENCIA")</f>
        <v>5</v>
      </c>
      <c r="CS67" s="3">
        <f>_xlfn.XLOOKUP($B$2,'BASE DE EXCEL'!$C:$C,'BASE DE EXCEL'!M:M,"NO HAY REFERENCIA")</f>
        <v>6</v>
      </c>
      <c r="CT67" s="3" t="str">
        <f>_xlfn.XLOOKUP($B$2,'BASE DE EXCEL'!$C:$C,'BASE DE EXCEL'!N:N,"NO HAY REFERENCIA")</f>
        <v>6 a 10 días</v>
      </c>
      <c r="CU67" s="3" t="str">
        <f>_xlfn.XLOOKUP($B$2,'BASE DE EXCEL'!$C:$C,'BASE DE EXCEL'!O:O,"NO HAY REFERENCIA")</f>
        <v>On Time</v>
      </c>
      <c r="CV67" s="3" t="str">
        <f>_xlfn.XLOOKUP(B67,'BASE DE EXCEL'!$C:$C,'BASE DE EXCEL'!P:P,"NO HAY REFERENCIA")</f>
        <v>4 a 5 días</v>
      </c>
      <c r="CW67" s="4">
        <f>_xlfn.XLOOKUP(B67,'BASE DE EXCEL'!$C:$C,'BASE DE EXCEL'!Q:Q,"NO HAY REFERENCIA")</f>
        <v>46095</v>
      </c>
      <c r="CX67" s="3">
        <f>_xlfn.XLOOKUP(B67,'BASE DE EXCEL'!$C:$C,'BASE DE EXCEL'!R:R,"NO HAY REFERENCIA")</f>
        <v>5</v>
      </c>
      <c r="CY67" s="3" t="str">
        <f>_xlfn.XLOOKUP(B67,'BASE DE EXCEL'!$C:$C,'BASE DE EXCEL'!S:S,"NO HAY REFERENCIA")</f>
        <v>4 a 5 días</v>
      </c>
      <c r="CZ67" s="3" t="str">
        <f>_xlfn.XLOOKUP(B67,'BASE DE EXCEL'!$C:$C,'BASE DE EXCEL'!T:T,"NO HAY REFERENCIA")</f>
        <v>On Time</v>
      </c>
      <c r="DA67" s="3">
        <f>_xlfn.XLOOKUP(B67,'BASE DE EXCEL'!$C:$C,'BASE DE EXCEL'!U:U,"NO HAY REFERENCIA")</f>
        <v>5</v>
      </c>
      <c r="DB67" s="3" t="str">
        <f>_xlfn.XLOOKUP(B67,'BASE DE EXCEL'!$C:$C,'BASE DE EXCEL'!V:V,"NO HAY REFERENCIA")</f>
        <v>4 a 5 días</v>
      </c>
      <c r="DC67" s="3">
        <f>_xlfn.XLOOKUP(B67,'BASE DE EXCEL'!$C:$C,'BASE DE EXCEL'!W:W,"NO HAY REFERENCIA")</f>
        <v>16</v>
      </c>
      <c r="DD67" s="3" t="str">
        <f>_xlfn.XLOOKUP(B67,'BASE DE EXCEL'!$C:$C,'BASE DE EXCEL'!X:X,"NO HAY REFERENCIA")</f>
        <v>más de 16 días</v>
      </c>
      <c r="DE67" s="3">
        <f>_xlfn.XLOOKUP(B67,'BASE DE EXCEL'!$C:$C,'BASE DE EXCEL'!Y:Y,"NO HAY REFERENCIA")</f>
        <v>1</v>
      </c>
      <c r="DF67" s="3" t="str">
        <f>_xlfn.XLOOKUP(B67,'BASE DE EXCEL'!$C:$C,'BASE DE EXCEL'!Z:Z,"NO HAY REFERENCIA")</f>
        <v>1 día o menos</v>
      </c>
      <c r="DG67" s="3">
        <f>_xlfn.XLOOKUP(B67,'BASE DE EXCEL'!$C:$C,'BASE DE EXCEL'!AA:AA,"NO HAY REFERENCIA")</f>
        <v>3</v>
      </c>
      <c r="DH67" s="3">
        <f>_xlfn.XLOOKUP(B67,'BASE DE EXCEL'!$C:$C,'BASE DE EXCEL'!AB:AB,"NO HAY REFERENCIA")</f>
        <v>1</v>
      </c>
      <c r="DI67" s="3" t="str">
        <f>_xlfn.XLOOKUP(B67,'BASE DE EXCEL'!$C:$C,'BASE DE EXCEL'!AC:AC,"NO HAY REFERENCIA")</f>
        <v>1 día o menos</v>
      </c>
      <c r="DJ67" s="4">
        <f>_xlfn.XLOOKUP(B67,'BASE DE EXCEL'!$C:$C,'BASE DE EXCEL'!AD:AD,"NO HAY REFERENCIA")</f>
        <v>46112</v>
      </c>
      <c r="DK67" s="3">
        <f>_xlfn.XLOOKUP(B67,'BASE DE EXCEL'!$C:$C,'BASE DE EXCEL'!AE:AE,"NO HAY REFERENCIA")</f>
        <v>16</v>
      </c>
      <c r="DL67" s="3">
        <f>_xlfn.XLOOKUP(B67,'BASE DE EXCEL'!$C:$C,'BASE DE EXCEL'!AF:AF,"NO HAY REFERENCIA")</f>
        <v>11</v>
      </c>
      <c r="DM67" s="4">
        <f>_xlfn.XLOOKUP(B67,'BASE DE EXCEL'!$C:$C,'BASE DE EXCEL'!AG:AG,"NO HAY REFERENCIA")</f>
        <v>46111</v>
      </c>
      <c r="DN67" s="4">
        <f>_xlfn.XLOOKUP(B67,'BASE DE EXCEL'!$C:$C,'BASE DE EXCEL'!AH:AH,"NO HAY REFERENCIA")</f>
        <v>46112</v>
      </c>
      <c r="DO67" s="3">
        <f>_xlfn.XLOOKUP(B67,'BASE DE EXCEL'!$C:$C,'BASE DE EXCEL'!AI:AI,"NO HAY REFERENCIA")</f>
        <v>1</v>
      </c>
      <c r="DP67" s="4" t="str">
        <f>_xlfn.XLOOKUP(B67,'BASE DE EXCEL'!$C:$C,'BASE DE EXCEL'!AJ:AJ,"NO HAY REFERENCIA")</f>
        <v>más de 16 días</v>
      </c>
      <c r="DQ67" s="4">
        <f>_xlfn.XLOOKUP(B67,'BASE DE EXCEL'!$C:$C,'BASE DE EXCEL'!AK:AK,"NO HAY REFERENCIA")</f>
        <v>46112</v>
      </c>
      <c r="DR67" s="3">
        <f>_xlfn.XLOOKUP(B67,'BASE DE EXCEL'!$C:$C,'BASE DE EXCEL'!AL:AL,"NO HAY REFERENCIA")</f>
        <v>11</v>
      </c>
      <c r="DS67" s="3" t="str">
        <f>_xlfn.XLOOKUP(B67,'BASE DE EXCEL'!$C:$C,'BASE DE EXCEL'!AM:AM,"NO HAY REFERENCIA")</f>
        <v>11 a 15 días</v>
      </c>
      <c r="DT67" s="3" t="str">
        <f>_xlfn.XLOOKUP(B67,'BASE DE EXCEL'!$C:$C,'BASE DE EXCEL'!AN:AN,"NO HAY REFERENCIA")</f>
        <v>Delayed</v>
      </c>
      <c r="DU67" s="3">
        <f>_xlfn.XLOOKUP(B67,'BASE DE EXCEL'!$C:$C,'BASE DE EXCEL'!AO:AO,"NO HAY REFERENCIA")</f>
        <v>1</v>
      </c>
      <c r="DV67" s="3" t="str">
        <f>_xlfn.XLOOKUP(B67,'BASE DE EXCEL'!$C:$C,'BASE DE EXCEL'!AP:AP,"NO HAY REFERENCIA")</f>
        <v>Es anterior</v>
      </c>
      <c r="DW67" s="3" t="str">
        <f>_xlfn.XLOOKUP(B67,'BASE DE EXCEL'!$C:$C,'BASE DE EXCEL'!AQ:AQ,"NO HAY REFERENCIA")</f>
        <v>A1</v>
      </c>
      <c r="DX67" s="3" t="str">
        <f>_xlfn.XLOOKUP(B67,'BASE DE EXCEL'!$C:$C,'BASE DE EXCEL'!AR:AR,"NO HAY REFERENCIA")</f>
        <v>ZULEIMA PEREZ RUIZ</v>
      </c>
      <c r="DY67" s="3" t="str">
        <f>_xlfn.XLOOKUP(B67,'BASE DE EXCEL'!$C:$C,'BASE DE EXCEL'!AS:AS,"NO HAY REFERENCIA")</f>
        <v>HLCUANR260173197</v>
      </c>
      <c r="DZ67" s="3" t="str">
        <f>_xlfn.XLOOKUP(B67,'BASE DE EXCEL'!$C:$C,'BASE DE EXCEL'!AT:AT,"NO HAY REFERENCIA")</f>
        <v>NULL</v>
      </c>
      <c r="EA67" s="3">
        <f>_xlfn.XLOOKUP(B67,'BASE DE EXCEL'!$C:$C,'BASE DE EXCEL'!AU:AU,"NO HAY REFERENCIA")</f>
        <v>6000273</v>
      </c>
      <c r="EB67" s="3" t="str">
        <f>_xlfn.XLOOKUP(B67,'BASE DE EXCEL'!$C:$C,'BASE DE EXCEL'!AV:AV,"NO HAY REFERENCIA")</f>
        <v>Importación</v>
      </c>
      <c r="EC67" s="3" t="str">
        <f>_xlfn.XLOOKUP(B67,'BASE DE EXCEL'!$C:$C,'BASE DE EXCEL'!AW:AW,"NO HAY REFERENCIA")</f>
        <v>SOLVENS OCULO NASAL (MEDICAMENTO DOSIFICADO DE USO VETERINARIO)</v>
      </c>
      <c r="ED67" s="3" t="str">
        <f>_xlfn.XLOOKUP(B67,'BASE DE EXCEL'!$C:$C,'BASE DE EXCEL'!AX:AX,"NO HAY REFERENCIA")</f>
        <v>SIN CLASIFICACION</v>
      </c>
      <c r="EE67" s="3">
        <f>_xlfn.XLOOKUP(B67,'BASE DE EXCEL'!$C:$C,'BASE DE EXCEL'!AY:AY,"NO HAY REFERENCIA")</f>
        <v>0</v>
      </c>
      <c r="EF67" s="3" t="str">
        <f>_xlfn.XLOOKUP(B67,'BASE DE EXCEL'!$C:$C,'BASE DE EXCEL'!AZ:AZ,"NO HAY REFERENCIA")</f>
        <v>Cargas de Importación</v>
      </c>
      <c r="EG67" s="3" t="str">
        <f>_xlfn.XLOOKUP(B67,'BASE DE EXCEL'!$C:$C,'BASE DE EXCEL'!BA:BA,"NO HAY REFERENCIA")</f>
        <v>INTERVET MEXICO SA DE CV</v>
      </c>
      <c r="EH67" s="3">
        <f>_xlfn.XLOOKUP(B67,'BASE DE EXCEL'!$C:$C,'BASE DE EXCEL'!BB:BB,"NO HAY REFERENCIA")</f>
        <v>0</v>
      </c>
      <c r="EI67" s="3">
        <f>_xlfn.XLOOKUP(B67,'BASE DE EXCEL'!$C:$C,'BASE DE EXCEL'!BC:BC,"NO HAY REFERENCIA")</f>
        <v>0</v>
      </c>
      <c r="EJ67" s="3">
        <f>_xlfn.XLOOKUP(B67,'BASE DE EXCEL'!$C:$C,'BASE DE EXCEL'!BD:BD,"NO HAY REFERENCIA")</f>
        <v>0</v>
      </c>
      <c r="EK67" s="3">
        <f>_xlfn.XLOOKUP(B67,'BASE DE EXCEL'!$C:$C,'BASE DE EXCEL'!BE:BE,"NO HAY REFERENCIA")</f>
        <v>0</v>
      </c>
      <c r="EL67" s="3" t="str">
        <f>_xlfn.XLOOKUP(B67,'BASE DE EXCEL'!$C:$C,'BASE DE EXCEL'!BF:BF,"NO HAY REFERENCIA")</f>
        <v>PRODUCTO TERMINADO</v>
      </c>
      <c r="EM67" s="3" t="str">
        <f>_xlfn.XLOOKUP(B67,'BASE DE EXCEL'!$C:$C,'BASE DE EXCEL'!BG:BG,"NO HAY REFERENCIA")</f>
        <v>Verde</v>
      </c>
      <c r="EN67" s="3" t="str">
        <f>_xlfn.XLOOKUP(B67,'BASE DE EXCEL'!$C:$C,'BASE DE EXCEL'!BH:BH,"NO HAY REFERENCIA")</f>
        <v xml:space="preserve"> SUPER EXPRESS DE CARGA FEDERAL S.A. DE C.V.</v>
      </c>
      <c r="EO67" s="3">
        <f>_xlfn.XLOOKUP(B67,'BASE DE EXCEL'!$C:$C,'BASE DE EXCEL'!BI:BI,"NO HAY REFERENCIA")</f>
        <v>0</v>
      </c>
      <c r="EP67" s="3" t="str">
        <f>_xlfn.XLOOKUP(B67,'BASE DE EXCEL'!$C:$C,'BASE DE EXCEL'!BJ:BJ,"NO HAY REFERENCIA")</f>
        <v>IME-T004</v>
      </c>
      <c r="EQ67" s="3" t="str">
        <f>_xlfn.XLOOKUP(B67,'BASE DE EXCEL'!$C:$C,'BASE DE EXCEL'!BK:BK,"NO HAY REFERENCIA")</f>
        <v>IME850329RH2</v>
      </c>
      <c r="ER67" s="3">
        <f>_xlfn.XLOOKUP(B67,'BASE DE EXCEL'!$C:$C,'BASE DE EXCEL'!BL:BL,"NO HAY REFERENCIA")</f>
        <v>0</v>
      </c>
      <c r="ES67" s="3">
        <f>_xlfn.XLOOKUP(B67,'BASE DE EXCEL'!$C:$C,'BASE DE EXCEL'!BM:BM,"NO HAY REFERENCIA")</f>
        <v>99</v>
      </c>
      <c r="ET67" s="3" t="str">
        <f>_xlfn.XLOOKUP(B67,'BASE DE EXCEL'!$C:$C,'BASE DE EXCEL'!BN:BN,"NO HAY REFERENCIA")</f>
        <v>LOTE: J150A03,LOTE: H095C01,LOTE: H115A02,LOTES: H117A01, H119A01</v>
      </c>
      <c r="EU67" s="3">
        <f>_xlfn.XLOOKUP(B67,'BASE DE EXCEL'!$C:$C,'BASE DE EXCEL'!BO:BO,"NO HAY REFERENCIA")</f>
        <v>90</v>
      </c>
      <c r="EV67" s="3" t="str">
        <f>_xlfn.XLOOKUP(B67,'BASE DE EXCEL'!$C:$C,'BASE DE EXCEL'!BP:BP,"NO HAY REFERENCIA")</f>
        <v xml:space="preserve"> 737868.40, 421660.14, 2348832.00</v>
      </c>
      <c r="EW67" s="3" t="str">
        <f>_xlfn.XLOOKUP(B67,'BASE DE EXCEL'!$C:$C,'BASE DE EXCEL'!BQ:BQ,"NO HAY REFERENCIA")</f>
        <v>KILO,KILO,KILO,KILO</v>
      </c>
      <c r="EX67" s="3">
        <f>_xlfn.XLOOKUP(B67,'BASE DE EXCEL'!$C:$C,'BASE DE EXCEL'!BR:BR,"NO HAY REFERENCIA")</f>
        <v>0</v>
      </c>
      <c r="EY67" s="3" t="str">
        <f>_xlfn.XLOOKUP(B67,'BASE DE EXCEL'!$C:$C,'BASE DE EXCEL'!BS:BS,"NO HAY REFERENCIA")</f>
        <v>PAISES BAJOS (REINO DE LOS) (HOLANDA)</v>
      </c>
      <c r="EZ67" s="3" t="str">
        <f>_xlfn.XLOOKUP(B67,'BASE DE EXCEL'!$C:$C,'BASE DE EXCEL'!BT:BT,"NO HAY REFERENCIA")</f>
        <v>PAISES BAJOS (REINO DE LOS) (HOLANDA)</v>
      </c>
      <c r="FA67" s="3" t="str">
        <f>_xlfn.XLOOKUP(B67,'BASE DE EXCEL'!$C:$C,'BASE DE EXCEL'!BU:BU,"NO HAY REFERENCIA")</f>
        <v>ZYA</v>
      </c>
      <c r="FB67" s="3" t="str">
        <f>_xlfn.XLOOKUP(B67,'BASE DE EXCEL'!$C:$C,'BASE DE EXCEL'!BV:BV,"NO HAY REFERENCIA")</f>
        <v>ZYA</v>
      </c>
      <c r="FC67" s="3">
        <f>_xlfn.XLOOKUP(B67,QUERY!$C:$C,QUERY!D:D)</f>
        <v>430</v>
      </c>
      <c r="FD67" s="4">
        <f>_xlfn.XLOOKUP(B67,QUERY!$C:$C,QUERY!E:E)</f>
        <v>46093</v>
      </c>
      <c r="FE67" s="3">
        <f>_xlfn.XLOOKUP(B67,QUERY!$C:$C,QUERY!F:F)</f>
        <v>3</v>
      </c>
      <c r="FF67" s="4">
        <f>_xlfn.XLOOKUP(B67,QUERY!$C:$C,QUERY!G:G)</f>
        <v>46090</v>
      </c>
      <c r="FG67" s="4">
        <f>_xlfn.XLOOKUP(B67,QUERY!$C:$C,QUERY!H:H)</f>
        <v>46093</v>
      </c>
      <c r="FH67" s="3">
        <f>_xlfn.XLOOKUP(B67,QUERY!$C:$C,QUERY!I:I)</f>
        <v>3</v>
      </c>
      <c r="FI67" s="3" t="str">
        <f>_xlfn.XLOOKUP(B67,QUERY!$C:$C,QUERY!J:J)</f>
        <v>2 a 3 días</v>
      </c>
      <c r="FJ67" s="4">
        <f>_xlfn.XLOOKUP(B67,QUERY!$C:$C,QUERY!K:K)</f>
        <v>46094</v>
      </c>
      <c r="FK67" s="3">
        <f>_xlfn.XLOOKUP(B67,QUERY!$C:$C,QUERY!L:L)</f>
        <v>4</v>
      </c>
      <c r="FL67" s="3" t="str">
        <f>_xlfn.XLOOKUP(B67,QUERY!$C:$C,QUERY!M:M)</f>
        <v>4 a 5 días</v>
      </c>
      <c r="FM67" s="3">
        <f>_xlfn.XLOOKUP(B67,QUERY!$C:$C,QUERY!N:N)</f>
        <v>1</v>
      </c>
      <c r="FN67" s="3" t="str">
        <f>_xlfn.XLOOKUP(B67,QUERY!$C:$C,QUERY!O:O)</f>
        <v>1 día o menos</v>
      </c>
      <c r="FO67" s="3">
        <f>_xlfn.XLOOKUP(B67,QUERY!$C:$C,QUERY!P:P)</f>
        <v>1</v>
      </c>
      <c r="FP67" s="3">
        <f>_xlfn.XLOOKUP(B67,QUERY!$C:$C,QUERY!Q:Q)</f>
        <v>1</v>
      </c>
      <c r="FQ67" s="3" t="str">
        <f>_xlfn.XLOOKUP(B67,QUERY!$C:$C,QUERY!R:R)</f>
        <v>1 día o menos</v>
      </c>
      <c r="FR67" s="4">
        <f>_xlfn.XLOOKUP(B67,QUERY!$C:$C,QUERY!S:S)</f>
        <v>46095</v>
      </c>
      <c r="FS67" s="3">
        <f>_xlfn.XLOOKUP(B67,QUERY!$C:$C,QUERY!T:T)</f>
        <v>5</v>
      </c>
      <c r="FT67" s="3" t="str">
        <f>_xlfn.XLOOKUP(B67,QUERY!$C:$C,QUERY!U:U)</f>
        <v>4 a 5 días</v>
      </c>
      <c r="FU67" s="3">
        <f>_xlfn.XLOOKUP(B67,QUERY!$C:$C,QUERY!V:V)</f>
        <v>16</v>
      </c>
      <c r="FV67" s="3" t="str">
        <f>_xlfn.XLOOKUP(B67,QUERY!$C:$C,QUERY!W:W)</f>
        <v>más de 16 días</v>
      </c>
      <c r="FW67" s="4">
        <f>_xlfn.XLOOKUP(B67,QUERY!$C:$C,QUERY!X:X)</f>
        <v>46112</v>
      </c>
      <c r="FX67" s="3">
        <f>_xlfn.XLOOKUP(B67,QUERY!$C:$C,QUERY!Y:Y)</f>
        <v>10</v>
      </c>
      <c r="FY67" s="3">
        <f>_xlfn.XLOOKUP(B67,QUERY!$C:$C,QUERY!Z:Z)</f>
        <v>11</v>
      </c>
      <c r="FZ67" s="4" t="str">
        <f>_xlfn.XLOOKUP(B67,QUERY!$C:$C,QUERY!AA:AA)</f>
        <v>más de 16 días</v>
      </c>
      <c r="GA67" s="4">
        <f>_xlfn.XLOOKUP(B67,QUERY!$C:$C,QUERY!AB:AB)</f>
        <v>46111</v>
      </c>
      <c r="GB67" s="4">
        <f>_xlfn.XLOOKUP(B67,QUERY!$C:$C,QUERY!AC:AC)</f>
        <v>46112</v>
      </c>
      <c r="GC67" s="3">
        <f>_xlfn.XLOOKUP(B67,QUERY!$C:$C,QUERY!AD:AD)</f>
        <v>1</v>
      </c>
      <c r="GD67" s="4">
        <f>_xlfn.XLOOKUP(B67,QUERY!$C:$C,QUERY!AE:AE)</f>
        <v>46112</v>
      </c>
      <c r="GE67" s="3">
        <f>_xlfn.XLOOKUP(B67,QUERY!$C:$C,QUERY!AF:AF)</f>
        <v>1</v>
      </c>
      <c r="GF67" s="4" t="str">
        <f>_xlfn.XLOOKUP(B67,QUERY!$C:$C,QUERY!AG:AG)</f>
        <v>Es anterior</v>
      </c>
      <c r="GG67" s="3" t="str">
        <f>_xlfn.XLOOKUP(B67,QUERY!$C:$C,QUERY!AH:AH)</f>
        <v>A1</v>
      </c>
      <c r="GH67" s="3" t="str">
        <f>_xlfn.XLOOKUP(B67,QUERY!$C:$C,QUERY!AI:AI)</f>
        <v>ZULEIMA PEREZ RUIZ</v>
      </c>
      <c r="GI67" s="3" t="str">
        <f>_xlfn.XLOOKUP(B67,QUERY!$C:$C,QUERY!AJ:AJ)</f>
        <v>HLCUANR260173197</v>
      </c>
      <c r="GJ67" s="3" t="str">
        <f>_xlfn.XLOOKUP(B67,QUERY!$C:$C,QUERY!AK:AK)</f>
        <v>NULL</v>
      </c>
      <c r="GK67" s="3">
        <f>_xlfn.XLOOKUP(B67,QUERY!$C:$C,QUERY!AL:AL)</f>
        <v>6000273</v>
      </c>
      <c r="GL67" s="3" t="str">
        <f>_xlfn.XLOOKUP(B67,QUERY!$C:$C,QUERY!AM:AM)</f>
        <v>Importación</v>
      </c>
      <c r="GM67" s="3" t="str">
        <f>_xlfn.XLOOKUP(B67,QUERY!$C:$C,QUERY!AN:AN)</f>
        <v>SOLVENS OCULO NASAL (MEDICAMENTO DOSIFICADO DE USO VETERINARIO)</v>
      </c>
      <c r="GN67" s="3" t="str">
        <f>_xlfn.XLOOKUP(B67,QUERY!$C:$C,QUERY!AO:AO)</f>
        <v>SIN CLASIFICACION</v>
      </c>
      <c r="GO67" s="3">
        <f>_xlfn.XLOOKUP(B67,QUERY!$C:$C,QUERY!AP:AP)</f>
        <v>0</v>
      </c>
      <c r="GP67" s="3" t="str">
        <f>_xlfn.XLOOKUP(B67,QUERY!$C:$C,QUERY!AQ:AQ)</f>
        <v>Cargas de Importación</v>
      </c>
      <c r="GQ67" s="3" t="str">
        <f>_xlfn.XLOOKUP(B67,QUERY!$C:$C,QUERY!AR:AR)</f>
        <v>INTERVET MEXICO SA DE CV</v>
      </c>
      <c r="GR67" s="3">
        <f>_xlfn.XLOOKUP(B67,QUERY!$C:$C,QUERY!AS:AS)</f>
        <v>0</v>
      </c>
      <c r="GS67" s="3">
        <f>_xlfn.XLOOKUP(B67,QUERY!$C:$C,QUERY!AT:AT)</f>
        <v>0</v>
      </c>
      <c r="GT67" s="3">
        <f>_xlfn.XLOOKUP(B67,QUERY!$C:$C,QUERY!AU:AU)</f>
        <v>0</v>
      </c>
      <c r="GU67" s="3">
        <f>_xlfn.XLOOKUP(B67,QUERY!$C:$C,QUERY!AV:AV)</f>
        <v>0</v>
      </c>
      <c r="GV67" s="3" t="str">
        <f>_xlfn.XLOOKUP(B67,QUERY!$C:$C,QUERY!AW:AW)</f>
        <v>PRODUCTO TERMINADO</v>
      </c>
      <c r="GW67" s="3" t="str">
        <f>_xlfn.XLOOKUP(B67,QUERY!$C:$C,QUERY!AX:AX)</f>
        <v>Verde</v>
      </c>
      <c r="GX67" s="3" t="str">
        <f>_xlfn.XLOOKUP(B67,QUERY!$C:$C,QUERY!AY:AY)</f>
        <v xml:space="preserve"> SUPER EXPRESS DE CARGA FEDERAL S.A. DE C.V.</v>
      </c>
      <c r="GY67" s="3">
        <f>_xlfn.XLOOKUP(B67,QUERY!$C:$C,QUERY!AZ:AZ)</f>
        <v>0</v>
      </c>
      <c r="GZ67" s="3" t="str">
        <f>_xlfn.XLOOKUP(B67,QUERY!$C:$C,QUERY!BA:BA)</f>
        <v>IME-T004</v>
      </c>
      <c r="HA67" s="3" t="str">
        <f>_xlfn.XLOOKUP(B67,QUERY!$C:$C,QUERY!BB:BB)</f>
        <v>IME850329RH2</v>
      </c>
      <c r="HB67" s="3">
        <f>_xlfn.XLOOKUP(B67,QUERY!$C:$C,QUERY!BC:BC)</f>
        <v>0</v>
      </c>
      <c r="HC67" s="3">
        <f>_xlfn.XLOOKUP(B67,QUERY!$C:$C,QUERY!BD:BD)</f>
        <v>99</v>
      </c>
      <c r="HD67" s="3" t="str">
        <f>_xlfn.XLOOKUP(B67,QUERY!$C:$C,QUERY!BE:BE)</f>
        <v>LOTE: J150A03,LOTE: H095C01,LOTE: H115A02,LOTES: H117A01, H119A01</v>
      </c>
      <c r="HE67" s="3">
        <f>_xlfn.XLOOKUP(B67,QUERY!$C:$C,QUERY!BF:BF)</f>
        <v>90</v>
      </c>
      <c r="HF67" s="3" t="str">
        <f>_xlfn.XLOOKUP(B67,QUERY!$C:$C,QUERY!BG:BG)</f>
        <v xml:space="preserve"> 737868.40, 421660.14, 2348832.00</v>
      </c>
      <c r="HG67" s="3" t="str">
        <f>_xlfn.XLOOKUP(B67,QUERY!$C:$C,QUERY!BH:BH)</f>
        <v>KILO,KILO,KILO,KILO</v>
      </c>
      <c r="HH67" s="3">
        <f>_xlfn.XLOOKUP(B67,QUERY!$C:$C,QUERY!BI:BI)</f>
        <v>0</v>
      </c>
      <c r="HI67" s="3" t="str">
        <f>_xlfn.XLOOKUP(B67,QUERY!$C:$C,QUERY!BJ:BJ)</f>
        <v>PAISES BAJOS (REINO DE LOS) (HOLANDA)</v>
      </c>
      <c r="HJ67" s="3" t="str">
        <f>_xlfn.XLOOKUP(B67,QUERY!$C:$C,QUERY!BK:BK)</f>
        <v>PAISES BAJOS (REINO DE LOS) (HOLANDA)</v>
      </c>
      <c r="HK67" s="3" t="str">
        <f>_xlfn.XLOOKUP(B67,QUERY!$C:$C,QUERY!BL:BL)</f>
        <v>ZYA</v>
      </c>
      <c r="HL67" s="3" t="str">
        <f>_xlfn.XLOOKUP(B67,QUERY!$C:$C,QUERY!BM:BM)</f>
        <v>ZYA</v>
      </c>
      <c r="HM67" s="3">
        <f>_xlfn.XLOOKUP(B67,QUERY!$C:$C,QUERY!BN:BN)</f>
        <v>3508360</v>
      </c>
      <c r="HN67" s="3" t="str">
        <f>_xlfn.XLOOKUP(B67,QUERY!$C:$C,QUERY!BO:BO)</f>
        <v>462.00</v>
      </c>
      <c r="HO67" s="3" t="str">
        <f>_xlfn.XLOOKUP(B67,QUERY!$C:$C,QUERY!BP:BP)</f>
        <v>NULL</v>
      </c>
      <c r="HP67" s="3" t="str">
        <f>_xlfn.XLOOKUP(B67,QUERY!$C:$C,QUERY!BQ:BQ)</f>
        <v>NULL</v>
      </c>
      <c r="HQ67" s="3" t="str">
        <f>_xlfn.XLOOKUP(B67,QUERY!$C:$C,QUERY!BR:BR)</f>
        <v>110542.56</v>
      </c>
      <c r="HR67" s="3">
        <f>_xlfn.XLOOKUP(B67,QUERY!$C:$C,QUERY!BS:BS)</f>
        <v>0</v>
      </c>
      <c r="HS67" s="3">
        <f>_xlfn.XLOOKUP(B67,QUERY!$C:$C,QUERY!BT:BT)</f>
        <v>0</v>
      </c>
      <c r="HT67" s="3" t="str">
        <f>_xlfn.XLOOKUP(B67,QUERY!$C:$C,QUERY!A:A)</f>
        <v>VERACRUZ</v>
      </c>
      <c r="HU67" s="3" t="str">
        <f>_xlfn.XLOOKUP(B67,QUERY!$C:$C,QUERY!B:B)</f>
        <v>MARÍTIMO VERACRUZ</v>
      </c>
    </row>
    <row r="68" spans="1:229" x14ac:dyDescent="0.25">
      <c r="A68" s="3" t="s">
        <v>90</v>
      </c>
      <c r="B68" s="3" t="s">
        <v>305</v>
      </c>
      <c r="C68" s="3">
        <v>3942</v>
      </c>
      <c r="D68" s="3">
        <v>6000273</v>
      </c>
      <c r="E68" s="3"/>
      <c r="F68" s="3" t="s">
        <v>92</v>
      </c>
      <c r="G68" s="3" t="s">
        <v>93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430</v>
      </c>
      <c r="S68" s="3" t="s">
        <v>306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 t="s">
        <v>123</v>
      </c>
      <c r="AB68" s="3"/>
      <c r="AC68" s="3">
        <v>2348832</v>
      </c>
      <c r="AD68" s="3">
        <v>728.32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/>
      <c r="AP68" s="3" t="s">
        <v>98</v>
      </c>
      <c r="AQ68" s="3">
        <v>210365440</v>
      </c>
      <c r="AR68" s="3" t="s">
        <v>307</v>
      </c>
      <c r="AS68" s="3" t="s">
        <v>100</v>
      </c>
      <c r="AT68" s="3">
        <v>0</v>
      </c>
      <c r="AU68" s="3">
        <v>0</v>
      </c>
      <c r="AV68" s="3">
        <v>0</v>
      </c>
      <c r="AW68" s="3">
        <v>30049099</v>
      </c>
      <c r="AX68" s="3">
        <v>99</v>
      </c>
      <c r="AY68" s="3">
        <v>3225</v>
      </c>
      <c r="AZ68" s="3">
        <v>3225</v>
      </c>
      <c r="BA68" s="3" t="s">
        <v>121</v>
      </c>
      <c r="BB68" s="3"/>
      <c r="BC68" s="3" t="s">
        <v>105</v>
      </c>
      <c r="BD68" s="3" t="s">
        <v>105</v>
      </c>
      <c r="BE68" s="3"/>
      <c r="BF68" s="3"/>
      <c r="BG68" s="5"/>
      <c r="BH68" s="3"/>
      <c r="BI68" s="3"/>
      <c r="BJ68" s="3"/>
      <c r="BK68" s="3" t="s">
        <v>311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 t="s">
        <v>192</v>
      </c>
      <c r="CF68" s="3">
        <v>0</v>
      </c>
      <c r="CG68" s="3">
        <v>0</v>
      </c>
      <c r="CH68" s="3">
        <v>0</v>
      </c>
      <c r="CI68" s="3" t="s">
        <v>112</v>
      </c>
      <c r="CJ68" s="3" t="s">
        <v>112</v>
      </c>
      <c r="CK68" s="3">
        <f>_xlfn.XLOOKUP($B$2,'BASE DE EXCEL'!C:C,'BASE DE EXCEL'!D:D,"NO HAY REFERENCIA")</f>
        <v>470</v>
      </c>
      <c r="CL68" s="5">
        <f>_xlfn.XLOOKUP($B$2,'BASE DE EXCEL'!$C:$C,'BASE DE EXCEL'!F:F,"NO HAY REFERENCIA")</f>
        <v>3</v>
      </c>
      <c r="CM68" s="4">
        <f>_xlfn.XLOOKUP($B$2,'BASE DE EXCEL'!$C:$C,'BASE DE EXCEL'!G:G,"NO HAY REFERENCIA")</f>
        <v>46080</v>
      </c>
      <c r="CN68" s="4">
        <f>_xlfn.XLOOKUP($B$2,'BASE DE EXCEL'!$C:$C,'BASE DE EXCEL'!H:H,"NO HAY REFERENCIA")</f>
        <v>46086</v>
      </c>
      <c r="CO68" s="3">
        <f>_xlfn.XLOOKUP($B$2,'BASE DE EXCEL'!$C:$C,'BASE DE EXCEL'!I:I,"NO HAY REFERENCIA")</f>
        <v>4</v>
      </c>
      <c r="CP68" s="3" t="str">
        <f>_xlfn.XLOOKUP($B$2,'BASE DE EXCEL'!$C:$C,'BASE DE EXCEL'!J:J,"NO HAY REFERENCIA")</f>
        <v>4 a 5 días</v>
      </c>
      <c r="CQ68" s="4">
        <f>_xlfn.XLOOKUP($B$2,'BASE DE EXCEL'!$C:$C,'BASE DE EXCEL'!K:K,"NO HAY REFERENCIA")</f>
        <v>46087</v>
      </c>
      <c r="CR68" s="3">
        <f>_xlfn.XLOOKUP($B$2,'BASE DE EXCEL'!$C:$C,'BASE DE EXCEL'!L:L,"NO HAY REFERENCIA")</f>
        <v>5</v>
      </c>
      <c r="CS68" s="3">
        <f>_xlfn.XLOOKUP($B$2,'BASE DE EXCEL'!$C:$C,'BASE DE EXCEL'!M:M,"NO HAY REFERENCIA")</f>
        <v>6</v>
      </c>
      <c r="CT68" s="3" t="str">
        <f>_xlfn.XLOOKUP($B$2,'BASE DE EXCEL'!$C:$C,'BASE DE EXCEL'!N:N,"NO HAY REFERENCIA")</f>
        <v>6 a 10 días</v>
      </c>
      <c r="CU68" s="3" t="str">
        <f>_xlfn.XLOOKUP($B$2,'BASE DE EXCEL'!$C:$C,'BASE DE EXCEL'!O:O,"NO HAY REFERENCIA")</f>
        <v>On Time</v>
      </c>
      <c r="CV68" s="3" t="str">
        <f>_xlfn.XLOOKUP(B68,'BASE DE EXCEL'!$C:$C,'BASE DE EXCEL'!P:P,"NO HAY REFERENCIA")</f>
        <v>4 a 5 días</v>
      </c>
      <c r="CW68" s="4">
        <f>_xlfn.XLOOKUP(B68,'BASE DE EXCEL'!$C:$C,'BASE DE EXCEL'!Q:Q,"NO HAY REFERENCIA")</f>
        <v>46095</v>
      </c>
      <c r="CX68" s="3">
        <f>_xlfn.XLOOKUP(B68,'BASE DE EXCEL'!$C:$C,'BASE DE EXCEL'!R:R,"NO HAY REFERENCIA")</f>
        <v>5</v>
      </c>
      <c r="CY68" s="3" t="str">
        <f>_xlfn.XLOOKUP(B68,'BASE DE EXCEL'!$C:$C,'BASE DE EXCEL'!S:S,"NO HAY REFERENCIA")</f>
        <v>4 a 5 días</v>
      </c>
      <c r="CZ68" s="3" t="str">
        <f>_xlfn.XLOOKUP(B68,'BASE DE EXCEL'!$C:$C,'BASE DE EXCEL'!T:T,"NO HAY REFERENCIA")</f>
        <v>On Time</v>
      </c>
      <c r="DA68" s="3">
        <f>_xlfn.XLOOKUP(B68,'BASE DE EXCEL'!$C:$C,'BASE DE EXCEL'!U:U,"NO HAY REFERENCIA")</f>
        <v>5</v>
      </c>
      <c r="DB68" s="3" t="str">
        <f>_xlfn.XLOOKUP(B68,'BASE DE EXCEL'!$C:$C,'BASE DE EXCEL'!V:V,"NO HAY REFERENCIA")</f>
        <v>4 a 5 días</v>
      </c>
      <c r="DC68" s="3">
        <f>_xlfn.XLOOKUP(B68,'BASE DE EXCEL'!$C:$C,'BASE DE EXCEL'!W:W,"NO HAY REFERENCIA")</f>
        <v>16</v>
      </c>
      <c r="DD68" s="3" t="str">
        <f>_xlfn.XLOOKUP(B68,'BASE DE EXCEL'!$C:$C,'BASE DE EXCEL'!X:X,"NO HAY REFERENCIA")</f>
        <v>más de 16 días</v>
      </c>
      <c r="DE68" s="3">
        <f>_xlfn.XLOOKUP(B68,'BASE DE EXCEL'!$C:$C,'BASE DE EXCEL'!Y:Y,"NO HAY REFERENCIA")</f>
        <v>1</v>
      </c>
      <c r="DF68" s="3" t="str">
        <f>_xlfn.XLOOKUP(B68,'BASE DE EXCEL'!$C:$C,'BASE DE EXCEL'!Z:Z,"NO HAY REFERENCIA")</f>
        <v>1 día o menos</v>
      </c>
      <c r="DG68" s="3">
        <f>_xlfn.XLOOKUP(B68,'BASE DE EXCEL'!$C:$C,'BASE DE EXCEL'!AA:AA,"NO HAY REFERENCIA")</f>
        <v>3</v>
      </c>
      <c r="DH68" s="3">
        <f>_xlfn.XLOOKUP(B68,'BASE DE EXCEL'!$C:$C,'BASE DE EXCEL'!AB:AB,"NO HAY REFERENCIA")</f>
        <v>1</v>
      </c>
      <c r="DI68" s="3" t="str">
        <f>_xlfn.XLOOKUP(B68,'BASE DE EXCEL'!$C:$C,'BASE DE EXCEL'!AC:AC,"NO HAY REFERENCIA")</f>
        <v>1 día o menos</v>
      </c>
      <c r="DJ68" s="4">
        <f>_xlfn.XLOOKUP(B68,'BASE DE EXCEL'!$C:$C,'BASE DE EXCEL'!AD:AD,"NO HAY REFERENCIA")</f>
        <v>46112</v>
      </c>
      <c r="DK68" s="3">
        <f>_xlfn.XLOOKUP(B68,'BASE DE EXCEL'!$C:$C,'BASE DE EXCEL'!AE:AE,"NO HAY REFERENCIA")</f>
        <v>16</v>
      </c>
      <c r="DL68" s="3">
        <f>_xlfn.XLOOKUP(B68,'BASE DE EXCEL'!$C:$C,'BASE DE EXCEL'!AF:AF,"NO HAY REFERENCIA")</f>
        <v>11</v>
      </c>
      <c r="DM68" s="4">
        <f>_xlfn.XLOOKUP(B68,'BASE DE EXCEL'!$C:$C,'BASE DE EXCEL'!AG:AG,"NO HAY REFERENCIA")</f>
        <v>46111</v>
      </c>
      <c r="DN68" s="4">
        <f>_xlfn.XLOOKUP(B68,'BASE DE EXCEL'!$C:$C,'BASE DE EXCEL'!AH:AH,"NO HAY REFERENCIA")</f>
        <v>46112</v>
      </c>
      <c r="DO68" s="3">
        <f>_xlfn.XLOOKUP(B68,'BASE DE EXCEL'!$C:$C,'BASE DE EXCEL'!AI:AI,"NO HAY REFERENCIA")</f>
        <v>1</v>
      </c>
      <c r="DP68" s="4" t="str">
        <f>_xlfn.XLOOKUP(B68,'BASE DE EXCEL'!$C:$C,'BASE DE EXCEL'!AJ:AJ,"NO HAY REFERENCIA")</f>
        <v>más de 16 días</v>
      </c>
      <c r="DQ68" s="4">
        <f>_xlfn.XLOOKUP(B68,'BASE DE EXCEL'!$C:$C,'BASE DE EXCEL'!AK:AK,"NO HAY REFERENCIA")</f>
        <v>46112</v>
      </c>
      <c r="DR68" s="3">
        <f>_xlfn.XLOOKUP(B68,'BASE DE EXCEL'!$C:$C,'BASE DE EXCEL'!AL:AL,"NO HAY REFERENCIA")</f>
        <v>11</v>
      </c>
      <c r="DS68" s="3" t="str">
        <f>_xlfn.XLOOKUP(B68,'BASE DE EXCEL'!$C:$C,'BASE DE EXCEL'!AM:AM,"NO HAY REFERENCIA")</f>
        <v>11 a 15 días</v>
      </c>
      <c r="DT68" s="3" t="str">
        <f>_xlfn.XLOOKUP(B68,'BASE DE EXCEL'!$C:$C,'BASE DE EXCEL'!AN:AN,"NO HAY REFERENCIA")</f>
        <v>Delayed</v>
      </c>
      <c r="DU68" s="3">
        <f>_xlfn.XLOOKUP(B68,'BASE DE EXCEL'!$C:$C,'BASE DE EXCEL'!AO:AO,"NO HAY REFERENCIA")</f>
        <v>1</v>
      </c>
      <c r="DV68" s="3" t="str">
        <f>_xlfn.XLOOKUP(B68,'BASE DE EXCEL'!$C:$C,'BASE DE EXCEL'!AP:AP,"NO HAY REFERENCIA")</f>
        <v>Es anterior</v>
      </c>
      <c r="DW68" s="3" t="str">
        <f>_xlfn.XLOOKUP(B68,'BASE DE EXCEL'!$C:$C,'BASE DE EXCEL'!AQ:AQ,"NO HAY REFERENCIA")</f>
        <v>A1</v>
      </c>
      <c r="DX68" s="3" t="str">
        <f>_xlfn.XLOOKUP(B68,'BASE DE EXCEL'!$C:$C,'BASE DE EXCEL'!AR:AR,"NO HAY REFERENCIA")</f>
        <v>ZULEIMA PEREZ RUIZ</v>
      </c>
      <c r="DY68" s="3" t="str">
        <f>_xlfn.XLOOKUP(B68,'BASE DE EXCEL'!$C:$C,'BASE DE EXCEL'!AS:AS,"NO HAY REFERENCIA")</f>
        <v>HLCUANR260173197</v>
      </c>
      <c r="DZ68" s="3" t="str">
        <f>_xlfn.XLOOKUP(B68,'BASE DE EXCEL'!$C:$C,'BASE DE EXCEL'!AT:AT,"NO HAY REFERENCIA")</f>
        <v>NULL</v>
      </c>
      <c r="EA68" s="3">
        <f>_xlfn.XLOOKUP(B68,'BASE DE EXCEL'!$C:$C,'BASE DE EXCEL'!AU:AU,"NO HAY REFERENCIA")</f>
        <v>6000273</v>
      </c>
      <c r="EB68" s="3" t="str">
        <f>_xlfn.XLOOKUP(B68,'BASE DE EXCEL'!$C:$C,'BASE DE EXCEL'!AV:AV,"NO HAY REFERENCIA")</f>
        <v>Importación</v>
      </c>
      <c r="EC68" s="3" t="str">
        <f>_xlfn.XLOOKUP(B68,'BASE DE EXCEL'!$C:$C,'BASE DE EXCEL'!AW:AW,"NO HAY REFERENCIA")</f>
        <v>SOLVENS OCULO NASAL (MEDICAMENTO DOSIFICADO DE USO VETERINARIO)</v>
      </c>
      <c r="ED68" s="3" t="str">
        <f>_xlfn.XLOOKUP(B68,'BASE DE EXCEL'!$C:$C,'BASE DE EXCEL'!AX:AX,"NO HAY REFERENCIA")</f>
        <v>SIN CLASIFICACION</v>
      </c>
      <c r="EE68" s="3">
        <f>_xlfn.XLOOKUP(B68,'BASE DE EXCEL'!$C:$C,'BASE DE EXCEL'!AY:AY,"NO HAY REFERENCIA")</f>
        <v>0</v>
      </c>
      <c r="EF68" s="3" t="str">
        <f>_xlfn.XLOOKUP(B68,'BASE DE EXCEL'!$C:$C,'BASE DE EXCEL'!AZ:AZ,"NO HAY REFERENCIA")</f>
        <v>Cargas de Importación</v>
      </c>
      <c r="EG68" s="3" t="str">
        <f>_xlfn.XLOOKUP(B68,'BASE DE EXCEL'!$C:$C,'BASE DE EXCEL'!BA:BA,"NO HAY REFERENCIA")</f>
        <v>INTERVET MEXICO SA DE CV</v>
      </c>
      <c r="EH68" s="3">
        <f>_xlfn.XLOOKUP(B68,'BASE DE EXCEL'!$C:$C,'BASE DE EXCEL'!BB:BB,"NO HAY REFERENCIA")</f>
        <v>0</v>
      </c>
      <c r="EI68" s="3">
        <f>_xlfn.XLOOKUP(B68,'BASE DE EXCEL'!$C:$C,'BASE DE EXCEL'!BC:BC,"NO HAY REFERENCIA")</f>
        <v>0</v>
      </c>
      <c r="EJ68" s="3">
        <f>_xlfn.XLOOKUP(B68,'BASE DE EXCEL'!$C:$C,'BASE DE EXCEL'!BD:BD,"NO HAY REFERENCIA")</f>
        <v>0</v>
      </c>
      <c r="EK68" s="3">
        <f>_xlfn.XLOOKUP(B68,'BASE DE EXCEL'!$C:$C,'BASE DE EXCEL'!BE:BE,"NO HAY REFERENCIA")</f>
        <v>0</v>
      </c>
      <c r="EL68" s="3" t="str">
        <f>_xlfn.XLOOKUP(B68,'BASE DE EXCEL'!$C:$C,'BASE DE EXCEL'!BF:BF,"NO HAY REFERENCIA")</f>
        <v>PRODUCTO TERMINADO</v>
      </c>
      <c r="EM68" s="3" t="str">
        <f>_xlfn.XLOOKUP(B68,'BASE DE EXCEL'!$C:$C,'BASE DE EXCEL'!BG:BG,"NO HAY REFERENCIA")</f>
        <v>Verde</v>
      </c>
      <c r="EN68" s="3" t="str">
        <f>_xlfn.XLOOKUP(B68,'BASE DE EXCEL'!$C:$C,'BASE DE EXCEL'!BH:BH,"NO HAY REFERENCIA")</f>
        <v xml:space="preserve"> SUPER EXPRESS DE CARGA FEDERAL S.A. DE C.V.</v>
      </c>
      <c r="EO68" s="3">
        <f>_xlfn.XLOOKUP(B68,'BASE DE EXCEL'!$C:$C,'BASE DE EXCEL'!BI:BI,"NO HAY REFERENCIA")</f>
        <v>0</v>
      </c>
      <c r="EP68" s="3" t="str">
        <f>_xlfn.XLOOKUP(B68,'BASE DE EXCEL'!$C:$C,'BASE DE EXCEL'!BJ:BJ,"NO HAY REFERENCIA")</f>
        <v>IME-T004</v>
      </c>
      <c r="EQ68" s="3" t="str">
        <f>_xlfn.XLOOKUP(B68,'BASE DE EXCEL'!$C:$C,'BASE DE EXCEL'!BK:BK,"NO HAY REFERENCIA")</f>
        <v>IME850329RH2</v>
      </c>
      <c r="ER68" s="3">
        <f>_xlfn.XLOOKUP(B68,'BASE DE EXCEL'!$C:$C,'BASE DE EXCEL'!BL:BL,"NO HAY REFERENCIA")</f>
        <v>0</v>
      </c>
      <c r="ES68" s="3">
        <f>_xlfn.XLOOKUP(B68,'BASE DE EXCEL'!$C:$C,'BASE DE EXCEL'!BM:BM,"NO HAY REFERENCIA")</f>
        <v>99</v>
      </c>
      <c r="ET68" s="3" t="str">
        <f>_xlfn.XLOOKUP(B68,'BASE DE EXCEL'!$C:$C,'BASE DE EXCEL'!BN:BN,"NO HAY REFERENCIA")</f>
        <v>LOTE: J150A03,LOTE: H095C01,LOTE: H115A02,LOTES: H117A01, H119A01</v>
      </c>
      <c r="EU68" s="3">
        <f>_xlfn.XLOOKUP(B68,'BASE DE EXCEL'!$C:$C,'BASE DE EXCEL'!BO:BO,"NO HAY REFERENCIA")</f>
        <v>90</v>
      </c>
      <c r="EV68" s="3" t="str">
        <f>_xlfn.XLOOKUP(B68,'BASE DE EXCEL'!$C:$C,'BASE DE EXCEL'!BP:BP,"NO HAY REFERENCIA")</f>
        <v xml:space="preserve"> 737868.40, 421660.14, 2348832.00</v>
      </c>
      <c r="EW68" s="3" t="str">
        <f>_xlfn.XLOOKUP(B68,'BASE DE EXCEL'!$C:$C,'BASE DE EXCEL'!BQ:BQ,"NO HAY REFERENCIA")</f>
        <v>KILO,KILO,KILO,KILO</v>
      </c>
      <c r="EX68" s="3">
        <f>_xlfn.XLOOKUP(B68,'BASE DE EXCEL'!$C:$C,'BASE DE EXCEL'!BR:BR,"NO HAY REFERENCIA")</f>
        <v>0</v>
      </c>
      <c r="EY68" s="3" t="str">
        <f>_xlfn.XLOOKUP(B68,'BASE DE EXCEL'!$C:$C,'BASE DE EXCEL'!BS:BS,"NO HAY REFERENCIA")</f>
        <v>PAISES BAJOS (REINO DE LOS) (HOLANDA)</v>
      </c>
      <c r="EZ68" s="3" t="str">
        <f>_xlfn.XLOOKUP(B68,'BASE DE EXCEL'!$C:$C,'BASE DE EXCEL'!BT:BT,"NO HAY REFERENCIA")</f>
        <v>PAISES BAJOS (REINO DE LOS) (HOLANDA)</v>
      </c>
      <c r="FA68" s="3" t="str">
        <f>_xlfn.XLOOKUP(B68,'BASE DE EXCEL'!$C:$C,'BASE DE EXCEL'!BU:BU,"NO HAY REFERENCIA")</f>
        <v>ZYA</v>
      </c>
      <c r="FB68" s="3" t="str">
        <f>_xlfn.XLOOKUP(B68,'BASE DE EXCEL'!$C:$C,'BASE DE EXCEL'!BV:BV,"NO HAY REFERENCIA")</f>
        <v>ZYA</v>
      </c>
      <c r="FC68" s="3">
        <f>_xlfn.XLOOKUP(B68,QUERY!$C:$C,QUERY!D:D)</f>
        <v>430</v>
      </c>
      <c r="FD68" s="4">
        <f>_xlfn.XLOOKUP(B68,QUERY!$C:$C,QUERY!E:E)</f>
        <v>46093</v>
      </c>
      <c r="FE68" s="3">
        <f>_xlfn.XLOOKUP(B68,QUERY!$C:$C,QUERY!F:F)</f>
        <v>3</v>
      </c>
      <c r="FF68" s="4">
        <f>_xlfn.XLOOKUP(B68,QUERY!$C:$C,QUERY!G:G)</f>
        <v>46090</v>
      </c>
      <c r="FG68" s="4">
        <f>_xlfn.XLOOKUP(B68,QUERY!$C:$C,QUERY!H:H)</f>
        <v>46093</v>
      </c>
      <c r="FH68" s="3">
        <f>_xlfn.XLOOKUP(B68,QUERY!$C:$C,QUERY!I:I)</f>
        <v>3</v>
      </c>
      <c r="FI68" s="3" t="str">
        <f>_xlfn.XLOOKUP(B68,QUERY!$C:$C,QUERY!J:J)</f>
        <v>2 a 3 días</v>
      </c>
      <c r="FJ68" s="4">
        <f>_xlfn.XLOOKUP(B68,QUERY!$C:$C,QUERY!K:K)</f>
        <v>46094</v>
      </c>
      <c r="FK68" s="3">
        <f>_xlfn.XLOOKUP(B68,QUERY!$C:$C,QUERY!L:L)</f>
        <v>4</v>
      </c>
      <c r="FL68" s="3" t="str">
        <f>_xlfn.XLOOKUP(B68,QUERY!$C:$C,QUERY!M:M)</f>
        <v>4 a 5 días</v>
      </c>
      <c r="FM68" s="3">
        <f>_xlfn.XLOOKUP(B68,QUERY!$C:$C,QUERY!N:N)</f>
        <v>1</v>
      </c>
      <c r="FN68" s="3" t="str">
        <f>_xlfn.XLOOKUP(B68,QUERY!$C:$C,QUERY!O:O)</f>
        <v>1 día o menos</v>
      </c>
      <c r="FO68" s="3">
        <f>_xlfn.XLOOKUP(B68,QUERY!$C:$C,QUERY!P:P)</f>
        <v>1</v>
      </c>
      <c r="FP68" s="3">
        <f>_xlfn.XLOOKUP(B68,QUERY!$C:$C,QUERY!Q:Q)</f>
        <v>1</v>
      </c>
      <c r="FQ68" s="3" t="str">
        <f>_xlfn.XLOOKUP(B68,QUERY!$C:$C,QUERY!R:R)</f>
        <v>1 día o menos</v>
      </c>
      <c r="FR68" s="4">
        <f>_xlfn.XLOOKUP(B68,QUERY!$C:$C,QUERY!S:S)</f>
        <v>46095</v>
      </c>
      <c r="FS68" s="3">
        <f>_xlfn.XLOOKUP(B68,QUERY!$C:$C,QUERY!T:T)</f>
        <v>5</v>
      </c>
      <c r="FT68" s="3" t="str">
        <f>_xlfn.XLOOKUP(B68,QUERY!$C:$C,QUERY!U:U)</f>
        <v>4 a 5 días</v>
      </c>
      <c r="FU68" s="3">
        <f>_xlfn.XLOOKUP(B68,QUERY!$C:$C,QUERY!V:V)</f>
        <v>16</v>
      </c>
      <c r="FV68" s="3" t="str">
        <f>_xlfn.XLOOKUP(B68,QUERY!$C:$C,QUERY!W:W)</f>
        <v>más de 16 días</v>
      </c>
      <c r="FW68" s="4">
        <f>_xlfn.XLOOKUP(B68,QUERY!$C:$C,QUERY!X:X)</f>
        <v>46112</v>
      </c>
      <c r="FX68" s="3">
        <f>_xlfn.XLOOKUP(B68,QUERY!$C:$C,QUERY!Y:Y)</f>
        <v>10</v>
      </c>
      <c r="FY68" s="3">
        <f>_xlfn.XLOOKUP(B68,QUERY!$C:$C,QUERY!Z:Z)</f>
        <v>11</v>
      </c>
      <c r="FZ68" s="4" t="str">
        <f>_xlfn.XLOOKUP(B68,QUERY!$C:$C,QUERY!AA:AA)</f>
        <v>más de 16 días</v>
      </c>
      <c r="GA68" s="4">
        <f>_xlfn.XLOOKUP(B68,QUERY!$C:$C,QUERY!AB:AB)</f>
        <v>46111</v>
      </c>
      <c r="GB68" s="4">
        <f>_xlfn.XLOOKUP(B68,QUERY!$C:$C,QUERY!AC:AC)</f>
        <v>46112</v>
      </c>
      <c r="GC68" s="3">
        <f>_xlfn.XLOOKUP(B68,QUERY!$C:$C,QUERY!AD:AD)</f>
        <v>1</v>
      </c>
      <c r="GD68" s="4">
        <f>_xlfn.XLOOKUP(B68,QUERY!$C:$C,QUERY!AE:AE)</f>
        <v>46112</v>
      </c>
      <c r="GE68" s="3">
        <f>_xlfn.XLOOKUP(B68,QUERY!$C:$C,QUERY!AF:AF)</f>
        <v>1</v>
      </c>
      <c r="GF68" s="4" t="str">
        <f>_xlfn.XLOOKUP(B68,QUERY!$C:$C,QUERY!AG:AG)</f>
        <v>Es anterior</v>
      </c>
      <c r="GG68" s="3" t="str">
        <f>_xlfn.XLOOKUP(B68,QUERY!$C:$C,QUERY!AH:AH)</f>
        <v>A1</v>
      </c>
      <c r="GH68" s="3" t="str">
        <f>_xlfn.XLOOKUP(B68,QUERY!$C:$C,QUERY!AI:AI)</f>
        <v>ZULEIMA PEREZ RUIZ</v>
      </c>
      <c r="GI68" s="3" t="str">
        <f>_xlfn.XLOOKUP(B68,QUERY!$C:$C,QUERY!AJ:AJ)</f>
        <v>HLCUANR260173197</v>
      </c>
      <c r="GJ68" s="3" t="str">
        <f>_xlfn.XLOOKUP(B68,QUERY!$C:$C,QUERY!AK:AK)</f>
        <v>NULL</v>
      </c>
      <c r="GK68" s="3">
        <f>_xlfn.XLOOKUP(B68,QUERY!$C:$C,QUERY!AL:AL)</f>
        <v>6000273</v>
      </c>
      <c r="GL68" s="3" t="str">
        <f>_xlfn.XLOOKUP(B68,QUERY!$C:$C,QUERY!AM:AM)</f>
        <v>Importación</v>
      </c>
      <c r="GM68" s="3" t="str">
        <f>_xlfn.XLOOKUP(B68,QUERY!$C:$C,QUERY!AN:AN)</f>
        <v>SOLVENS OCULO NASAL (MEDICAMENTO DOSIFICADO DE USO VETERINARIO)</v>
      </c>
      <c r="GN68" s="3" t="str">
        <f>_xlfn.XLOOKUP(B68,QUERY!$C:$C,QUERY!AO:AO)</f>
        <v>SIN CLASIFICACION</v>
      </c>
      <c r="GO68" s="3">
        <f>_xlfn.XLOOKUP(B68,QUERY!$C:$C,QUERY!AP:AP)</f>
        <v>0</v>
      </c>
      <c r="GP68" s="3" t="str">
        <f>_xlfn.XLOOKUP(B68,QUERY!$C:$C,QUERY!AQ:AQ)</f>
        <v>Cargas de Importación</v>
      </c>
      <c r="GQ68" s="3" t="str">
        <f>_xlfn.XLOOKUP(B68,QUERY!$C:$C,QUERY!AR:AR)</f>
        <v>INTERVET MEXICO SA DE CV</v>
      </c>
      <c r="GR68" s="3">
        <f>_xlfn.XLOOKUP(B68,QUERY!$C:$C,QUERY!AS:AS)</f>
        <v>0</v>
      </c>
      <c r="GS68" s="3">
        <f>_xlfn.XLOOKUP(B68,QUERY!$C:$C,QUERY!AT:AT)</f>
        <v>0</v>
      </c>
      <c r="GT68" s="3">
        <f>_xlfn.XLOOKUP(B68,QUERY!$C:$C,QUERY!AU:AU)</f>
        <v>0</v>
      </c>
      <c r="GU68" s="3">
        <f>_xlfn.XLOOKUP(B68,QUERY!$C:$C,QUERY!AV:AV)</f>
        <v>0</v>
      </c>
      <c r="GV68" s="3" t="str">
        <f>_xlfn.XLOOKUP(B68,QUERY!$C:$C,QUERY!AW:AW)</f>
        <v>PRODUCTO TERMINADO</v>
      </c>
      <c r="GW68" s="3" t="str">
        <f>_xlfn.XLOOKUP(B68,QUERY!$C:$C,QUERY!AX:AX)</f>
        <v>Verde</v>
      </c>
      <c r="GX68" s="3" t="str">
        <f>_xlfn.XLOOKUP(B68,QUERY!$C:$C,QUERY!AY:AY)</f>
        <v xml:space="preserve"> SUPER EXPRESS DE CARGA FEDERAL S.A. DE C.V.</v>
      </c>
      <c r="GY68" s="3">
        <f>_xlfn.XLOOKUP(B68,QUERY!$C:$C,QUERY!AZ:AZ)</f>
        <v>0</v>
      </c>
      <c r="GZ68" s="3" t="str">
        <f>_xlfn.XLOOKUP(B68,QUERY!$C:$C,QUERY!BA:BA)</f>
        <v>IME-T004</v>
      </c>
      <c r="HA68" s="3" t="str">
        <f>_xlfn.XLOOKUP(B68,QUERY!$C:$C,QUERY!BB:BB)</f>
        <v>IME850329RH2</v>
      </c>
      <c r="HB68" s="3">
        <f>_xlfn.XLOOKUP(B68,QUERY!$C:$C,QUERY!BC:BC)</f>
        <v>0</v>
      </c>
      <c r="HC68" s="3">
        <f>_xlfn.XLOOKUP(B68,QUERY!$C:$C,QUERY!BD:BD)</f>
        <v>99</v>
      </c>
      <c r="HD68" s="3" t="str">
        <f>_xlfn.XLOOKUP(B68,QUERY!$C:$C,QUERY!BE:BE)</f>
        <v>LOTE: J150A03,LOTE: H095C01,LOTE: H115A02,LOTES: H117A01, H119A01</v>
      </c>
      <c r="HE68" s="3">
        <f>_xlfn.XLOOKUP(B68,QUERY!$C:$C,QUERY!BF:BF)</f>
        <v>90</v>
      </c>
      <c r="HF68" s="3" t="str">
        <f>_xlfn.XLOOKUP(B68,QUERY!$C:$C,QUERY!BG:BG)</f>
        <v xml:space="preserve"> 737868.40, 421660.14, 2348832.00</v>
      </c>
      <c r="HG68" s="3" t="str">
        <f>_xlfn.XLOOKUP(B68,QUERY!$C:$C,QUERY!BH:BH)</f>
        <v>KILO,KILO,KILO,KILO</v>
      </c>
      <c r="HH68" s="3">
        <f>_xlfn.XLOOKUP(B68,QUERY!$C:$C,QUERY!BI:BI)</f>
        <v>0</v>
      </c>
      <c r="HI68" s="3" t="str">
        <f>_xlfn.XLOOKUP(B68,QUERY!$C:$C,QUERY!BJ:BJ)</f>
        <v>PAISES BAJOS (REINO DE LOS) (HOLANDA)</v>
      </c>
      <c r="HJ68" s="3" t="str">
        <f>_xlfn.XLOOKUP(B68,QUERY!$C:$C,QUERY!BK:BK)</f>
        <v>PAISES BAJOS (REINO DE LOS) (HOLANDA)</v>
      </c>
      <c r="HK68" s="3" t="str">
        <f>_xlfn.XLOOKUP(B68,QUERY!$C:$C,QUERY!BL:BL)</f>
        <v>ZYA</v>
      </c>
      <c r="HL68" s="3" t="str">
        <f>_xlfn.XLOOKUP(B68,QUERY!$C:$C,QUERY!BM:BM)</f>
        <v>ZYA</v>
      </c>
      <c r="HM68" s="3">
        <f>_xlfn.XLOOKUP(B68,QUERY!$C:$C,QUERY!BN:BN)</f>
        <v>3508360</v>
      </c>
      <c r="HN68" s="3" t="str">
        <f>_xlfn.XLOOKUP(B68,QUERY!$C:$C,QUERY!BO:BO)</f>
        <v>462.00</v>
      </c>
      <c r="HO68" s="3" t="str">
        <f>_xlfn.XLOOKUP(B68,QUERY!$C:$C,QUERY!BP:BP)</f>
        <v>NULL</v>
      </c>
      <c r="HP68" s="3" t="str">
        <f>_xlfn.XLOOKUP(B68,QUERY!$C:$C,QUERY!BQ:BQ)</f>
        <v>NULL</v>
      </c>
      <c r="HQ68" s="3" t="str">
        <f>_xlfn.XLOOKUP(B68,QUERY!$C:$C,QUERY!BR:BR)</f>
        <v>110542.56</v>
      </c>
      <c r="HR68" s="3">
        <f>_xlfn.XLOOKUP(B68,QUERY!$C:$C,QUERY!BS:BS)</f>
        <v>0</v>
      </c>
      <c r="HS68" s="3">
        <f>_xlfn.XLOOKUP(B68,QUERY!$C:$C,QUERY!BT:BT)</f>
        <v>0</v>
      </c>
      <c r="HT68" s="3" t="str">
        <f>_xlfn.XLOOKUP(B68,QUERY!$C:$C,QUERY!A:A)</f>
        <v>VERACRUZ</v>
      </c>
      <c r="HU68" s="3" t="str">
        <f>_xlfn.XLOOKUP(B68,QUERY!$C:$C,QUERY!B:B)</f>
        <v>MARÍTIMO VERACRUZ</v>
      </c>
    </row>
    <row r="69" spans="1:229" x14ac:dyDescent="0.25">
      <c r="A69" s="3" t="s">
        <v>90</v>
      </c>
      <c r="B69" s="3" t="s">
        <v>250</v>
      </c>
      <c r="C69" s="3">
        <v>3942</v>
      </c>
      <c r="D69" s="3">
        <v>6000276</v>
      </c>
      <c r="E69" s="3"/>
      <c r="F69" s="3" t="s">
        <v>92</v>
      </c>
      <c r="G69" s="3" t="s">
        <v>93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10</v>
      </c>
      <c r="O69" s="3">
        <v>1455857</v>
      </c>
      <c r="P69" s="3">
        <v>17.1722</v>
      </c>
      <c r="Q69" s="3">
        <v>2427</v>
      </c>
      <c r="R69" s="3">
        <v>430</v>
      </c>
      <c r="S69" s="3" t="s">
        <v>251</v>
      </c>
      <c r="T69" s="3" t="s">
        <v>252</v>
      </c>
      <c r="U69" s="3">
        <v>17387126</v>
      </c>
      <c r="V69" s="3">
        <v>17387126</v>
      </c>
      <c r="W69" s="3">
        <v>0</v>
      </c>
      <c r="X69" s="3">
        <v>0</v>
      </c>
      <c r="Y69" s="3">
        <v>0</v>
      </c>
      <c r="Z69" s="3">
        <v>0</v>
      </c>
      <c r="AA69" s="3" t="s">
        <v>179</v>
      </c>
      <c r="AB69" s="3"/>
      <c r="AC69" s="3">
        <v>14558569</v>
      </c>
      <c r="AD69" s="3">
        <v>2080.3899700000002</v>
      </c>
      <c r="AE69" s="3">
        <v>354</v>
      </c>
      <c r="AF69" s="3" t="s">
        <v>253</v>
      </c>
      <c r="AG69" s="3">
        <v>1738713</v>
      </c>
      <c r="AH69" s="3">
        <v>0</v>
      </c>
      <c r="AI69" s="3">
        <v>53</v>
      </c>
      <c r="AJ69" s="3">
        <v>139097</v>
      </c>
      <c r="AK69" s="3">
        <v>0</v>
      </c>
      <c r="AL69" s="3">
        <v>0</v>
      </c>
      <c r="AM69" s="3">
        <v>330</v>
      </c>
      <c r="AN69" s="3">
        <v>1878193</v>
      </c>
      <c r="AO69" s="3" t="s">
        <v>97</v>
      </c>
      <c r="AP69" s="3" t="s">
        <v>98</v>
      </c>
      <c r="AQ69" s="3">
        <v>210364127</v>
      </c>
      <c r="AR69" s="3" t="s">
        <v>99</v>
      </c>
      <c r="AS69" s="3" t="s">
        <v>100</v>
      </c>
      <c r="AT69" s="3" t="s">
        <v>254</v>
      </c>
      <c r="AU69" s="3"/>
      <c r="AV69" s="3" t="s">
        <v>146</v>
      </c>
      <c r="AW69" s="3">
        <v>30043999</v>
      </c>
      <c r="AX69" s="3">
        <v>99</v>
      </c>
      <c r="AY69" s="3">
        <v>6998</v>
      </c>
      <c r="AZ69" s="3">
        <v>6998</v>
      </c>
      <c r="BA69" s="3" t="s">
        <v>103</v>
      </c>
      <c r="BB69" s="3"/>
      <c r="BC69" s="3" t="s">
        <v>133</v>
      </c>
      <c r="BD69" s="3" t="s">
        <v>105</v>
      </c>
      <c r="BE69" s="3" t="s">
        <v>106</v>
      </c>
      <c r="BF69" s="3" t="s">
        <v>117</v>
      </c>
      <c r="BG69" s="5"/>
      <c r="BH69" s="3"/>
      <c r="BI69" s="3"/>
      <c r="BJ69" s="3" t="s">
        <v>109</v>
      </c>
      <c r="BK69" s="3" t="s">
        <v>255</v>
      </c>
      <c r="BL69" s="3">
        <v>43852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22189.59</v>
      </c>
      <c r="BY69" s="3">
        <v>0</v>
      </c>
      <c r="BZ69" s="3">
        <v>0</v>
      </c>
      <c r="CA69" s="3">
        <v>5172.67</v>
      </c>
      <c r="CB69" s="3">
        <v>18000</v>
      </c>
      <c r="CC69" s="3">
        <v>3003.2</v>
      </c>
      <c r="CD69" s="3">
        <v>157480.93</v>
      </c>
      <c r="CE69" s="3" t="s">
        <v>192</v>
      </c>
      <c r="CF69" s="3">
        <v>157480.93</v>
      </c>
      <c r="CG69" s="3">
        <v>0</v>
      </c>
      <c r="CH69" s="3">
        <v>0</v>
      </c>
      <c r="CI69" s="3" t="s">
        <v>112</v>
      </c>
      <c r="CJ69" s="3" t="s">
        <v>112</v>
      </c>
      <c r="CK69" s="3">
        <f>_xlfn.XLOOKUP($B$2,'BASE DE EXCEL'!C:C,'BASE DE EXCEL'!D:D,"NO HAY REFERENCIA")</f>
        <v>470</v>
      </c>
      <c r="CL69" s="5">
        <f>_xlfn.XLOOKUP($B$2,'BASE DE EXCEL'!$C:$C,'BASE DE EXCEL'!F:F,"NO HAY REFERENCIA")</f>
        <v>3</v>
      </c>
      <c r="CM69" s="4">
        <f>_xlfn.XLOOKUP($B$2,'BASE DE EXCEL'!$C:$C,'BASE DE EXCEL'!G:G,"NO HAY REFERENCIA")</f>
        <v>46080</v>
      </c>
      <c r="CN69" s="4">
        <f>_xlfn.XLOOKUP($B$2,'BASE DE EXCEL'!$C:$C,'BASE DE EXCEL'!H:H,"NO HAY REFERENCIA")</f>
        <v>46086</v>
      </c>
      <c r="CO69" s="3">
        <f>_xlfn.XLOOKUP($B$2,'BASE DE EXCEL'!$C:$C,'BASE DE EXCEL'!I:I,"NO HAY REFERENCIA")</f>
        <v>4</v>
      </c>
      <c r="CP69" s="3" t="str">
        <f>_xlfn.XLOOKUP($B$2,'BASE DE EXCEL'!$C:$C,'BASE DE EXCEL'!J:J,"NO HAY REFERENCIA")</f>
        <v>4 a 5 días</v>
      </c>
      <c r="CQ69" s="4">
        <f>_xlfn.XLOOKUP($B$2,'BASE DE EXCEL'!$C:$C,'BASE DE EXCEL'!K:K,"NO HAY REFERENCIA")</f>
        <v>46087</v>
      </c>
      <c r="CR69" s="3">
        <f>_xlfn.XLOOKUP($B$2,'BASE DE EXCEL'!$C:$C,'BASE DE EXCEL'!L:L,"NO HAY REFERENCIA")</f>
        <v>5</v>
      </c>
      <c r="CS69" s="3">
        <f>_xlfn.XLOOKUP($B$2,'BASE DE EXCEL'!$C:$C,'BASE DE EXCEL'!M:M,"NO HAY REFERENCIA")</f>
        <v>6</v>
      </c>
      <c r="CT69" s="3" t="str">
        <f>_xlfn.XLOOKUP($B$2,'BASE DE EXCEL'!$C:$C,'BASE DE EXCEL'!N:N,"NO HAY REFERENCIA")</f>
        <v>6 a 10 días</v>
      </c>
      <c r="CU69" s="3" t="str">
        <f>_xlfn.XLOOKUP($B$2,'BASE DE EXCEL'!$C:$C,'BASE DE EXCEL'!O:O,"NO HAY REFERENCIA")</f>
        <v>On Time</v>
      </c>
      <c r="CV69" s="3" t="str">
        <f>_xlfn.XLOOKUP(B69,'BASE DE EXCEL'!$C:$C,'BASE DE EXCEL'!P:P,"NO HAY REFERENCIA")</f>
        <v>6 a 10 días</v>
      </c>
      <c r="CW69" s="4">
        <f>_xlfn.XLOOKUP(B69,'BASE DE EXCEL'!$C:$C,'BASE DE EXCEL'!Q:Q,"NO HAY REFERENCIA")</f>
        <v>46084</v>
      </c>
      <c r="CX69" s="3">
        <f>_xlfn.XLOOKUP(B69,'BASE DE EXCEL'!$C:$C,'BASE DE EXCEL'!R:R,"NO HAY REFERENCIA")</f>
        <v>6</v>
      </c>
      <c r="CY69" s="3" t="str">
        <f>_xlfn.XLOOKUP(B69,'BASE DE EXCEL'!$C:$C,'BASE DE EXCEL'!S:S,"NO HAY REFERENCIA")</f>
        <v>6 a 10 días</v>
      </c>
      <c r="CZ69" s="3" t="str">
        <f>_xlfn.XLOOKUP(B69,'BASE DE EXCEL'!$C:$C,'BASE DE EXCEL'!T:T,"NO HAY REFERENCIA")</f>
        <v>On Time</v>
      </c>
      <c r="DA69" s="3">
        <f>_xlfn.XLOOKUP(B69,'BASE DE EXCEL'!$C:$C,'BASE DE EXCEL'!U:U,"NO HAY REFERENCIA")</f>
        <v>7</v>
      </c>
      <c r="DB69" s="3" t="str">
        <f>_xlfn.XLOOKUP(B69,'BASE DE EXCEL'!$C:$C,'BASE DE EXCEL'!V:V,"NO HAY REFERENCIA")</f>
        <v>4 a 5 días</v>
      </c>
      <c r="DC69" s="3">
        <f>_xlfn.XLOOKUP(B69,'BASE DE EXCEL'!$C:$C,'BASE DE EXCEL'!W:W,"NO HAY REFERENCIA")</f>
        <v>18</v>
      </c>
      <c r="DD69" s="3" t="str">
        <f>_xlfn.XLOOKUP(B69,'BASE DE EXCEL'!$C:$C,'BASE DE EXCEL'!X:X,"NO HAY REFERENCIA")</f>
        <v>más de 16 días</v>
      </c>
      <c r="DE69" s="3">
        <f>_xlfn.XLOOKUP(B69,'BASE DE EXCEL'!$C:$C,'BASE DE EXCEL'!Y:Y,"NO HAY REFERENCIA")</f>
        <v>1</v>
      </c>
      <c r="DF69" s="3" t="str">
        <f>_xlfn.XLOOKUP(B69,'BASE DE EXCEL'!$C:$C,'BASE DE EXCEL'!Z:Z,"NO HAY REFERENCIA")</f>
        <v>1 día o menos</v>
      </c>
      <c r="DG69" s="3">
        <f>_xlfn.XLOOKUP(B69,'BASE DE EXCEL'!$C:$C,'BASE DE EXCEL'!AA:AA,"NO HAY REFERENCIA")</f>
        <v>3</v>
      </c>
      <c r="DH69" s="3">
        <f>_xlfn.XLOOKUP(B69,'BASE DE EXCEL'!$C:$C,'BASE DE EXCEL'!AB:AB,"NO HAY REFERENCIA")</f>
        <v>1</v>
      </c>
      <c r="DI69" s="3" t="str">
        <f>_xlfn.XLOOKUP(B69,'BASE DE EXCEL'!$C:$C,'BASE DE EXCEL'!AC:AC,"NO HAY REFERENCIA")</f>
        <v>1 día o menos</v>
      </c>
      <c r="DJ69" s="4">
        <f>_xlfn.XLOOKUP(B69,'BASE DE EXCEL'!$C:$C,'BASE DE EXCEL'!AD:AD,"NO HAY REFERENCIA")</f>
        <v>46101</v>
      </c>
      <c r="DK69" s="3">
        <f>_xlfn.XLOOKUP(B69,'BASE DE EXCEL'!$C:$C,'BASE DE EXCEL'!AE:AE,"NO HAY REFERENCIA")</f>
        <v>16</v>
      </c>
      <c r="DL69" s="3">
        <f>_xlfn.XLOOKUP(B69,'BASE DE EXCEL'!$C:$C,'BASE DE EXCEL'!AF:AF,"NO HAY REFERENCIA")</f>
        <v>13</v>
      </c>
      <c r="DM69" s="4">
        <f>_xlfn.XLOOKUP(B69,'BASE DE EXCEL'!$C:$C,'BASE DE EXCEL'!AG:AG,"NO HAY REFERENCIA")</f>
        <v>46100</v>
      </c>
      <c r="DN69" s="4">
        <f>_xlfn.XLOOKUP(B69,'BASE DE EXCEL'!$C:$C,'BASE DE EXCEL'!AH:AH,"NO HAY REFERENCIA")</f>
        <v>46101</v>
      </c>
      <c r="DO69" s="3">
        <f>_xlfn.XLOOKUP(B69,'BASE DE EXCEL'!$C:$C,'BASE DE EXCEL'!AI:AI,"NO HAY REFERENCIA")</f>
        <v>1</v>
      </c>
      <c r="DP69" s="4" t="str">
        <f>_xlfn.XLOOKUP(B69,'BASE DE EXCEL'!$C:$C,'BASE DE EXCEL'!AJ:AJ,"NO HAY REFERENCIA")</f>
        <v>más de 16 días</v>
      </c>
      <c r="DQ69" s="4">
        <f>_xlfn.XLOOKUP(B69,'BASE DE EXCEL'!$C:$C,'BASE DE EXCEL'!AK:AK,"NO HAY REFERENCIA")</f>
        <v>46101</v>
      </c>
      <c r="DR69" s="3">
        <f>_xlfn.XLOOKUP(B69,'BASE DE EXCEL'!$C:$C,'BASE DE EXCEL'!AL:AL,"NO HAY REFERENCIA")</f>
        <v>13</v>
      </c>
      <c r="DS69" s="3" t="str">
        <f>_xlfn.XLOOKUP(B69,'BASE DE EXCEL'!$C:$C,'BASE DE EXCEL'!AM:AM,"NO HAY REFERENCIA")</f>
        <v>11 a 15 días</v>
      </c>
      <c r="DT69" s="3" t="str">
        <f>_xlfn.XLOOKUP(B69,'BASE DE EXCEL'!$C:$C,'BASE DE EXCEL'!AN:AN,"NO HAY REFERENCIA")</f>
        <v>Delayed</v>
      </c>
      <c r="DU69" s="3">
        <f>_xlfn.XLOOKUP(B69,'BASE DE EXCEL'!$C:$C,'BASE DE EXCEL'!AO:AO,"NO HAY REFERENCIA")</f>
        <v>1</v>
      </c>
      <c r="DV69" s="3" t="str">
        <f>_xlfn.XLOOKUP(B69,'BASE DE EXCEL'!$C:$C,'BASE DE EXCEL'!AP:AP,"NO HAY REFERENCIA")</f>
        <v>Es anterior</v>
      </c>
      <c r="DW69" s="3" t="str">
        <f>_xlfn.XLOOKUP(B69,'BASE DE EXCEL'!$C:$C,'BASE DE EXCEL'!AQ:AQ,"NO HAY REFERENCIA")</f>
        <v>A1</v>
      </c>
      <c r="DX69" s="3" t="str">
        <f>_xlfn.XLOOKUP(B69,'BASE DE EXCEL'!$C:$C,'BASE DE EXCEL'!AR:AR,"NO HAY REFERENCIA")</f>
        <v>ZULEIMA PEREZ RUIZ</v>
      </c>
      <c r="DY69" s="3" t="str">
        <f>_xlfn.XLOOKUP(B69,'BASE DE EXCEL'!$C:$C,'BASE DE EXCEL'!AS:AS,"NO HAY REFERENCIA")</f>
        <v>HLCUANR260153680</v>
      </c>
      <c r="DZ69" s="3" t="str">
        <f>_xlfn.XLOOKUP(B69,'BASE DE EXCEL'!$C:$C,'BASE DE EXCEL'!AT:AT,"NO HAY REFERENCIA")</f>
        <v>NULL</v>
      </c>
      <c r="EA69" s="3">
        <f>_xlfn.XLOOKUP(B69,'BASE DE EXCEL'!$C:$C,'BASE DE EXCEL'!AU:AU,"NO HAY REFERENCIA")</f>
        <v>6000276</v>
      </c>
      <c r="EB69" s="3" t="str">
        <f>_xlfn.XLOOKUP(B69,'BASE DE EXCEL'!$C:$C,'BASE DE EXCEL'!AV:AV,"NO HAY REFERENCIA")</f>
        <v>Importación</v>
      </c>
      <c r="EC69" s="3" t="str">
        <f>_xlfn.XLOOKUP(B69,'BASE DE EXCEL'!$C:$C,'BASE DE EXCEL'!AW:AW,"NO HAY REFERENCIA")</f>
        <v>REVALOR H  (MEDICAMENTO DOSIFICADO DE USO VETERINARIO)</v>
      </c>
      <c r="ED69" s="3" t="str">
        <f>_xlfn.XLOOKUP(B69,'BASE DE EXCEL'!$C:$C,'BASE DE EXCEL'!AX:AX,"NO HAY REFERENCIA")</f>
        <v>SIN CLASIFICACION</v>
      </c>
      <c r="EE69" s="3">
        <f>_xlfn.XLOOKUP(B69,'BASE DE EXCEL'!$C:$C,'BASE DE EXCEL'!AY:AY,"NO HAY REFERENCIA")</f>
        <v>0</v>
      </c>
      <c r="EF69" s="3" t="str">
        <f>_xlfn.XLOOKUP(B69,'BASE DE EXCEL'!$C:$C,'BASE DE EXCEL'!AZ:AZ,"NO HAY REFERENCIA")</f>
        <v>Cargas de Importación</v>
      </c>
      <c r="EG69" s="3" t="str">
        <f>_xlfn.XLOOKUP(B69,'BASE DE EXCEL'!$C:$C,'BASE DE EXCEL'!BA:BA,"NO HAY REFERENCIA")</f>
        <v>INTERVET MEXICO SA DE CV</v>
      </c>
      <c r="EH69" s="3">
        <f>_xlfn.XLOOKUP(B69,'BASE DE EXCEL'!$C:$C,'BASE DE EXCEL'!BB:BB,"NO HAY REFERENCIA")</f>
        <v>0</v>
      </c>
      <c r="EI69" s="3" t="str">
        <f>_xlfn.XLOOKUP(B69,'BASE DE EXCEL'!$C:$C,'BASE DE EXCEL'!BC:BC,"NO HAY REFERENCIA")</f>
        <v>NINGUNO</v>
      </c>
      <c r="EJ69" s="3">
        <f>_xlfn.XLOOKUP(B69,'BASE DE EXCEL'!$C:$C,'BASE DE EXCEL'!BD:BD,"NO HAY REFERENCIA")</f>
        <v>0</v>
      </c>
      <c r="EK69" s="3" t="str">
        <f>_xlfn.XLOOKUP(B69,'BASE DE EXCEL'!$C:$C,'BASE DE EXCEL'!BE:BE,"NO HAY REFERENCIA")</f>
        <v>NINGUNO</v>
      </c>
      <c r="EL69" s="3" t="str">
        <f>_xlfn.XLOOKUP(B69,'BASE DE EXCEL'!$C:$C,'BASE DE EXCEL'!BF:BF,"NO HAY REFERENCIA")</f>
        <v>PRODUCTO TERMINADO</v>
      </c>
      <c r="EM69" s="3" t="str">
        <f>_xlfn.XLOOKUP(B69,'BASE DE EXCEL'!$C:$C,'BASE DE EXCEL'!BG:BG,"NO HAY REFERENCIA")</f>
        <v>Verde</v>
      </c>
      <c r="EN69" s="3" t="str">
        <f>_xlfn.XLOOKUP(B69,'BASE DE EXCEL'!$C:$C,'BASE DE EXCEL'!BH:BH,"NO HAY REFERENCIA")</f>
        <v xml:space="preserve"> MLH TRANSPORTE, S.A. DE C.V.</v>
      </c>
      <c r="EO69" s="3" t="str">
        <f>_xlfn.XLOOKUP(B69,'BASE DE EXCEL'!$C:$C,'BASE DE EXCEL'!BI:BI,"NO HAY REFERENCIA")</f>
        <v>ECONOMICO 132</v>
      </c>
      <c r="EP69" s="3">
        <f>_xlfn.XLOOKUP(B69,'BASE DE EXCEL'!$C:$C,'BASE DE EXCEL'!BJ:BJ,"NO HAY REFERENCIA")</f>
        <v>0</v>
      </c>
      <c r="EQ69" s="3" t="str">
        <f>_xlfn.XLOOKUP(B69,'BASE DE EXCEL'!$C:$C,'BASE DE EXCEL'!BK:BK,"NO HAY REFERENCIA")</f>
        <v>IME850329RH2</v>
      </c>
      <c r="ER69" s="3">
        <f>_xlfn.XLOOKUP(B69,'BASE DE EXCEL'!$C:$C,'BASE DE EXCEL'!BL:BL,"NO HAY REFERENCIA")</f>
        <v>0</v>
      </c>
      <c r="ES69" s="3">
        <f>_xlfn.XLOOKUP(B69,'BASE DE EXCEL'!$C:$C,'BASE DE EXCEL'!BM:BM,"NO HAY REFERENCIA")</f>
        <v>99</v>
      </c>
      <c r="ET69" s="3" t="str">
        <f>_xlfn.XLOOKUP(B69,'BASE DE EXCEL'!$C:$C,'BASE DE EXCEL'!BN:BN,"NO HAY REFERENCIA")</f>
        <v>LOTE: B011P01,LOTE: B021P01,LOTE: B010P01,LOTE: 25M3058C01</v>
      </c>
      <c r="EU69" s="3">
        <f>_xlfn.XLOOKUP(B69,'BASE DE EXCEL'!$C:$C,'BASE DE EXCEL'!BO:BO,"NO HAY REFERENCIA")</f>
        <v>90</v>
      </c>
      <c r="EV69" s="3">
        <f>_xlfn.XLOOKUP(B69,'BASE DE EXCEL'!$C:$C,'BASE DE EXCEL'!BP:BP,"NO HAY REFERENCIA")</f>
        <v>17387126.420000002</v>
      </c>
      <c r="EW69" s="3" t="str">
        <f>_xlfn.XLOOKUP(B69,'BASE DE EXCEL'!$C:$C,'BASE DE EXCEL'!BQ:BQ,"NO HAY REFERENCIA")</f>
        <v>KILO,KILO</v>
      </c>
      <c r="EX69" s="3">
        <f>_xlfn.XLOOKUP(B69,'BASE DE EXCEL'!$C:$C,'BASE DE EXCEL'!BR:BR,"NO HAY REFERENCIA")</f>
        <v>0</v>
      </c>
      <c r="EY69" s="3" t="str">
        <f>_xlfn.XLOOKUP(B69,'BASE DE EXCEL'!$C:$C,'BASE DE EXCEL'!BS:BS,"NO HAY REFERENCIA")</f>
        <v>AUSTRIA (REPUBLICA DE)</v>
      </c>
      <c r="EZ69" s="3" t="str">
        <f>_xlfn.XLOOKUP(B69,'BASE DE EXCEL'!$C:$C,'BASE DE EXCEL'!BT:BT,"NO HAY REFERENCIA")</f>
        <v>PAISES BAJOS (REINO DE LOS) (HOLANDA)</v>
      </c>
      <c r="FA69" s="3" t="str">
        <f>_xlfn.XLOOKUP(B69,'BASE DE EXCEL'!$C:$C,'BASE DE EXCEL'!BU:BU,"NO HAY REFERENCIA")</f>
        <v>AUT</v>
      </c>
      <c r="FB69" s="3" t="str">
        <f>_xlfn.XLOOKUP(B69,'BASE DE EXCEL'!$C:$C,'BASE DE EXCEL'!BV:BV,"NO HAY REFERENCIA")</f>
        <v>ZYA</v>
      </c>
      <c r="FC69" s="3">
        <f>_xlfn.XLOOKUP(B69,QUERY!$C:$C,QUERY!D:D)</f>
        <v>430</v>
      </c>
      <c r="FD69" s="4">
        <f>_xlfn.XLOOKUP(B69,QUERY!$C:$C,QUERY!E:E)</f>
        <v>46080</v>
      </c>
      <c r="FE69" s="3">
        <f>_xlfn.XLOOKUP(B69,QUERY!$C:$C,QUERY!F:F)</f>
        <v>2</v>
      </c>
      <c r="FF69" s="4">
        <f>_xlfn.XLOOKUP(B69,QUERY!$C:$C,QUERY!G:G)</f>
        <v>46077</v>
      </c>
      <c r="FG69" s="4">
        <f>_xlfn.XLOOKUP(B69,QUERY!$C:$C,QUERY!H:H)</f>
        <v>46080</v>
      </c>
      <c r="FH69" s="3">
        <f>_xlfn.XLOOKUP(B69,QUERY!$C:$C,QUERY!I:I)</f>
        <v>3</v>
      </c>
      <c r="FI69" s="3" t="str">
        <f>_xlfn.XLOOKUP(B69,QUERY!$C:$C,QUERY!J:J)</f>
        <v>2 a 3 días</v>
      </c>
      <c r="FJ69" s="4">
        <f>_xlfn.XLOOKUP(B69,QUERY!$C:$C,QUERY!K:K)</f>
        <v>46083</v>
      </c>
      <c r="FK69" s="3">
        <f>_xlfn.XLOOKUP(B69,QUERY!$C:$C,QUERY!L:L)</f>
        <v>4</v>
      </c>
      <c r="FL69" s="3" t="str">
        <f>_xlfn.XLOOKUP(B69,QUERY!$C:$C,QUERY!M:M)</f>
        <v>4 a 5 días</v>
      </c>
      <c r="FM69" s="3">
        <f>_xlfn.XLOOKUP(B69,QUERY!$C:$C,QUERY!N:N)</f>
        <v>1</v>
      </c>
      <c r="FN69" s="3" t="str">
        <f>_xlfn.XLOOKUP(B69,QUERY!$C:$C,QUERY!O:O)</f>
        <v>1 día o menos</v>
      </c>
      <c r="FO69" s="3">
        <f>_xlfn.XLOOKUP(B69,QUERY!$C:$C,QUERY!P:P)</f>
        <v>1</v>
      </c>
      <c r="FP69" s="3">
        <f>_xlfn.XLOOKUP(B69,QUERY!$C:$C,QUERY!Q:Q)</f>
        <v>1</v>
      </c>
      <c r="FQ69" s="3" t="str">
        <f>_xlfn.XLOOKUP(B69,QUERY!$C:$C,QUERY!R:R)</f>
        <v>1 día o menos</v>
      </c>
      <c r="FR69" s="4">
        <f>_xlfn.XLOOKUP(B69,QUERY!$C:$C,QUERY!S:S)</f>
        <v>46084</v>
      </c>
      <c r="FS69" s="3">
        <f>_xlfn.XLOOKUP(B69,QUERY!$C:$C,QUERY!T:T)</f>
        <v>5</v>
      </c>
      <c r="FT69" s="3" t="str">
        <f>_xlfn.XLOOKUP(B69,QUERY!$C:$C,QUERY!U:U)</f>
        <v>4 a 5 días</v>
      </c>
      <c r="FU69" s="3">
        <f>_xlfn.XLOOKUP(B69,QUERY!$C:$C,QUERY!V:V)</f>
        <v>18</v>
      </c>
      <c r="FV69" s="3" t="str">
        <f>_xlfn.XLOOKUP(B69,QUERY!$C:$C,QUERY!W:W)</f>
        <v>más de 16 días</v>
      </c>
      <c r="FW69" s="4">
        <f>_xlfn.XLOOKUP(B69,QUERY!$C:$C,QUERY!X:X)</f>
        <v>46101</v>
      </c>
      <c r="FX69" s="3">
        <f>_xlfn.XLOOKUP(B69,QUERY!$C:$C,QUERY!Y:Y)</f>
        <v>12</v>
      </c>
      <c r="FY69" s="3">
        <f>_xlfn.XLOOKUP(B69,QUERY!$C:$C,QUERY!Z:Z)</f>
        <v>13</v>
      </c>
      <c r="FZ69" s="4" t="str">
        <f>_xlfn.XLOOKUP(B69,QUERY!$C:$C,QUERY!AA:AA)</f>
        <v>más de 16 días</v>
      </c>
      <c r="GA69" s="4">
        <f>_xlfn.XLOOKUP(B69,QUERY!$C:$C,QUERY!AB:AB)</f>
        <v>46100</v>
      </c>
      <c r="GB69" s="4">
        <f>_xlfn.XLOOKUP(B69,QUERY!$C:$C,QUERY!AC:AC)</f>
        <v>46101</v>
      </c>
      <c r="GC69" s="3">
        <f>_xlfn.XLOOKUP(B69,QUERY!$C:$C,QUERY!AD:AD)</f>
        <v>1</v>
      </c>
      <c r="GD69" s="4">
        <f>_xlfn.XLOOKUP(B69,QUERY!$C:$C,QUERY!AE:AE)</f>
        <v>46101</v>
      </c>
      <c r="GE69" s="3">
        <f>_xlfn.XLOOKUP(B69,QUERY!$C:$C,QUERY!AF:AF)</f>
        <v>1</v>
      </c>
      <c r="GF69" s="4" t="str">
        <f>_xlfn.XLOOKUP(B69,QUERY!$C:$C,QUERY!AG:AG)</f>
        <v>Es anterior</v>
      </c>
      <c r="GG69" s="3" t="str">
        <f>_xlfn.XLOOKUP(B69,QUERY!$C:$C,QUERY!AH:AH)</f>
        <v>A1</v>
      </c>
      <c r="GH69" s="3" t="str">
        <f>_xlfn.XLOOKUP(B69,QUERY!$C:$C,QUERY!AI:AI)</f>
        <v>ZULEIMA PEREZ RUIZ</v>
      </c>
      <c r="GI69" s="3" t="str">
        <f>_xlfn.XLOOKUP(B69,QUERY!$C:$C,QUERY!AJ:AJ)</f>
        <v>HLCUANR260153680</v>
      </c>
      <c r="GJ69" s="3" t="str">
        <f>_xlfn.XLOOKUP(B69,QUERY!$C:$C,QUERY!AK:AK)</f>
        <v>NULL</v>
      </c>
      <c r="GK69" s="3">
        <f>_xlfn.XLOOKUP(B69,QUERY!$C:$C,QUERY!AL:AL)</f>
        <v>6000276</v>
      </c>
      <c r="GL69" s="3" t="str">
        <f>_xlfn.XLOOKUP(B69,QUERY!$C:$C,QUERY!AM:AM)</f>
        <v>Importación</v>
      </c>
      <c r="GM69" s="3" t="str">
        <f>_xlfn.XLOOKUP(B69,QUERY!$C:$C,QUERY!AN:AN)</f>
        <v>REVALOR H  (MEDICAMENTO DOSIFICADO DE USO VETERINARIO)</v>
      </c>
      <c r="GN69" s="3" t="str">
        <f>_xlfn.XLOOKUP(B69,QUERY!$C:$C,QUERY!AO:AO)</f>
        <v>SIN CLASIFICACION</v>
      </c>
      <c r="GO69" s="3">
        <f>_xlfn.XLOOKUP(B69,QUERY!$C:$C,QUERY!AP:AP)</f>
        <v>0</v>
      </c>
      <c r="GP69" s="3" t="str">
        <f>_xlfn.XLOOKUP(B69,QUERY!$C:$C,QUERY!AQ:AQ)</f>
        <v>Cargas de Importación</v>
      </c>
      <c r="GQ69" s="3" t="str">
        <f>_xlfn.XLOOKUP(B69,QUERY!$C:$C,QUERY!AR:AR)</f>
        <v>INTERVET MEXICO SA DE CV</v>
      </c>
      <c r="GR69" s="3">
        <f>_xlfn.XLOOKUP(B69,QUERY!$C:$C,QUERY!AS:AS)</f>
        <v>0</v>
      </c>
      <c r="GS69" s="3" t="str">
        <f>_xlfn.XLOOKUP(B69,QUERY!$C:$C,QUERY!AT:AT)</f>
        <v>NINGUNO</v>
      </c>
      <c r="GT69" s="3">
        <f>_xlfn.XLOOKUP(B69,QUERY!$C:$C,QUERY!AU:AU)</f>
        <v>0</v>
      </c>
      <c r="GU69" s="3" t="str">
        <f>_xlfn.XLOOKUP(B69,QUERY!$C:$C,QUERY!AV:AV)</f>
        <v>NINGUNO</v>
      </c>
      <c r="GV69" s="3" t="str">
        <f>_xlfn.XLOOKUP(B69,QUERY!$C:$C,QUERY!AW:AW)</f>
        <v>PRODUCTO TERMINADO</v>
      </c>
      <c r="GW69" s="3" t="str">
        <f>_xlfn.XLOOKUP(B69,QUERY!$C:$C,QUERY!AX:AX)</f>
        <v>Verde</v>
      </c>
      <c r="GX69" s="3" t="str">
        <f>_xlfn.XLOOKUP(B69,QUERY!$C:$C,QUERY!AY:AY)</f>
        <v xml:space="preserve"> MLH TRANSPORTE, S.A. DE C.V.</v>
      </c>
      <c r="GY69" s="3" t="str">
        <f>_xlfn.XLOOKUP(B69,QUERY!$C:$C,QUERY!AZ:AZ)</f>
        <v>ECONOMICO 132</v>
      </c>
      <c r="GZ69" s="3">
        <f>_xlfn.XLOOKUP(B69,QUERY!$C:$C,QUERY!BA:BA)</f>
        <v>0</v>
      </c>
      <c r="HA69" s="3" t="str">
        <f>_xlfn.XLOOKUP(B69,QUERY!$C:$C,QUERY!BB:BB)</f>
        <v>IME850329RH2</v>
      </c>
      <c r="HB69" s="3">
        <f>_xlfn.XLOOKUP(B69,QUERY!$C:$C,QUERY!BC:BC)</f>
        <v>0</v>
      </c>
      <c r="HC69" s="3">
        <f>_xlfn.XLOOKUP(B69,QUERY!$C:$C,QUERY!BD:BD)</f>
        <v>99</v>
      </c>
      <c r="HD69" s="3" t="str">
        <f>_xlfn.XLOOKUP(B69,QUERY!$C:$C,QUERY!BE:BE)</f>
        <v>LOTE: B011P01,LOTE: B021P01,LOTE: B010P01,LOTE: 25M3058C01</v>
      </c>
      <c r="HE69" s="3">
        <f>_xlfn.XLOOKUP(B69,QUERY!$C:$C,QUERY!BF:BF)</f>
        <v>90</v>
      </c>
      <c r="HF69" s="3" t="str">
        <f>_xlfn.XLOOKUP(B69,QUERY!$C:$C,QUERY!BG:BG)</f>
        <v xml:space="preserve"> 17387126.42</v>
      </c>
      <c r="HG69" s="3" t="str">
        <f>_xlfn.XLOOKUP(B69,QUERY!$C:$C,QUERY!BH:BH)</f>
        <v>KILO,KILO</v>
      </c>
      <c r="HH69" s="3">
        <f>_xlfn.XLOOKUP(B69,QUERY!$C:$C,QUERY!BI:BI)</f>
        <v>0</v>
      </c>
      <c r="HI69" s="3" t="str">
        <f>_xlfn.XLOOKUP(B69,QUERY!$C:$C,QUERY!BJ:BJ)</f>
        <v>AUSTRIA (REPUBLICA DE)</v>
      </c>
      <c r="HJ69" s="3" t="str">
        <f>_xlfn.XLOOKUP(B69,QUERY!$C:$C,QUERY!BK:BK)</f>
        <v>PAISES BAJOS (REINO DE LOS) (HOLANDA)</v>
      </c>
      <c r="HK69" s="3" t="str">
        <f>_xlfn.XLOOKUP(B69,QUERY!$C:$C,QUERY!BL:BL)</f>
        <v>AUT</v>
      </c>
      <c r="HL69" s="3" t="str">
        <f>_xlfn.XLOOKUP(B69,QUERY!$C:$C,QUERY!BM:BM)</f>
        <v>ZYA</v>
      </c>
      <c r="HM69" s="3">
        <f>_xlfn.XLOOKUP(B69,QUERY!$C:$C,QUERY!BN:BN)</f>
        <v>17387126</v>
      </c>
      <c r="HN69" s="3" t="str">
        <f>_xlfn.XLOOKUP(B69,QUERY!$C:$C,QUERY!BO:BO)</f>
        <v>139097.00</v>
      </c>
      <c r="HO69" s="3" t="str">
        <f>_xlfn.XLOOKUP(B69,QUERY!$C:$C,QUERY!BP:BP)</f>
        <v>NULL</v>
      </c>
      <c r="HP69" s="3" t="str">
        <f>_xlfn.XLOOKUP(B69,QUERY!$C:$C,QUERY!BQ:BQ)</f>
        <v>1738713.00</v>
      </c>
      <c r="HQ69" s="3" t="str">
        <f>_xlfn.XLOOKUP(B69,QUERY!$C:$C,QUERY!BR:BR)</f>
        <v>157480.93</v>
      </c>
      <c r="HR69" s="3">
        <f>_xlfn.XLOOKUP(B69,QUERY!$C:$C,QUERY!BS:BS)</f>
        <v>0</v>
      </c>
      <c r="HS69" s="3">
        <f>_xlfn.XLOOKUP(B69,QUERY!$C:$C,QUERY!BT:BT)</f>
        <v>0</v>
      </c>
      <c r="HT69" s="3" t="str">
        <f>_xlfn.XLOOKUP(B69,QUERY!$C:$C,QUERY!A:A)</f>
        <v>VERACRUZ</v>
      </c>
      <c r="HU69" s="3" t="str">
        <f>_xlfn.XLOOKUP(B69,QUERY!$C:$C,QUERY!B:B)</f>
        <v>MARÍTIMO VERACRUZ</v>
      </c>
    </row>
    <row r="70" spans="1:229" x14ac:dyDescent="0.25">
      <c r="A70" s="3" t="s">
        <v>90</v>
      </c>
      <c r="B70" s="3" t="s">
        <v>250</v>
      </c>
      <c r="C70" s="3">
        <v>3942</v>
      </c>
      <c r="D70" s="3">
        <v>6000276</v>
      </c>
      <c r="E70" s="3"/>
      <c r="F70" s="3" t="s">
        <v>92</v>
      </c>
      <c r="G70" s="3" t="s">
        <v>93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</v>
      </c>
      <c r="O70" s="3">
        <v>282856</v>
      </c>
      <c r="P70" s="3">
        <v>0</v>
      </c>
      <c r="Q70" s="3">
        <v>0</v>
      </c>
      <c r="R70" s="3">
        <v>430</v>
      </c>
      <c r="S70" s="3" t="s">
        <v>251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256</v>
      </c>
      <c r="AB70" s="3"/>
      <c r="AC70" s="3">
        <v>2828557</v>
      </c>
      <c r="AD70" s="3">
        <v>164.25998999999999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/>
      <c r="AP70" s="3" t="s">
        <v>98</v>
      </c>
      <c r="AQ70" s="3">
        <v>210364127</v>
      </c>
      <c r="AR70" s="3" t="s">
        <v>99</v>
      </c>
      <c r="AS70" s="3" t="s">
        <v>100</v>
      </c>
      <c r="AT70" s="3">
        <v>0</v>
      </c>
      <c r="AU70" s="3">
        <v>0</v>
      </c>
      <c r="AV70" s="3">
        <v>0</v>
      </c>
      <c r="AW70" s="3">
        <v>30049099</v>
      </c>
      <c r="AX70" s="3">
        <v>99</v>
      </c>
      <c r="AY70" s="3">
        <v>17220</v>
      </c>
      <c r="AZ70" s="3">
        <v>17220</v>
      </c>
      <c r="BA70" s="3" t="s">
        <v>103</v>
      </c>
      <c r="BB70" s="3"/>
      <c r="BC70" s="3" t="s">
        <v>133</v>
      </c>
      <c r="BD70" s="3" t="s">
        <v>105</v>
      </c>
      <c r="BE70" s="3"/>
      <c r="BF70" s="3"/>
      <c r="BG70" s="5"/>
      <c r="BH70" s="3"/>
      <c r="BI70" s="3"/>
      <c r="BJ70" s="3"/>
      <c r="BK70" s="3" t="s">
        <v>255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 t="s">
        <v>192</v>
      </c>
      <c r="CF70" s="3">
        <v>0</v>
      </c>
      <c r="CG70" s="3">
        <v>0</v>
      </c>
      <c r="CH70" s="3">
        <v>0</v>
      </c>
      <c r="CI70" s="3" t="s">
        <v>112</v>
      </c>
      <c r="CJ70" s="3" t="s">
        <v>112</v>
      </c>
      <c r="CK70" s="3">
        <f>_xlfn.XLOOKUP($B$2,'BASE DE EXCEL'!C:C,'BASE DE EXCEL'!D:D,"NO HAY REFERENCIA")</f>
        <v>470</v>
      </c>
      <c r="CL70" s="5">
        <f>_xlfn.XLOOKUP($B$2,'BASE DE EXCEL'!$C:$C,'BASE DE EXCEL'!F:F,"NO HAY REFERENCIA")</f>
        <v>3</v>
      </c>
      <c r="CM70" s="4">
        <f>_xlfn.XLOOKUP($B$2,'BASE DE EXCEL'!$C:$C,'BASE DE EXCEL'!G:G,"NO HAY REFERENCIA")</f>
        <v>46080</v>
      </c>
      <c r="CN70" s="4">
        <f>_xlfn.XLOOKUP($B$2,'BASE DE EXCEL'!$C:$C,'BASE DE EXCEL'!H:H,"NO HAY REFERENCIA")</f>
        <v>46086</v>
      </c>
      <c r="CO70" s="3">
        <f>_xlfn.XLOOKUP($B$2,'BASE DE EXCEL'!$C:$C,'BASE DE EXCEL'!I:I,"NO HAY REFERENCIA")</f>
        <v>4</v>
      </c>
      <c r="CP70" s="3" t="str">
        <f>_xlfn.XLOOKUP($B$2,'BASE DE EXCEL'!$C:$C,'BASE DE EXCEL'!J:J,"NO HAY REFERENCIA")</f>
        <v>4 a 5 días</v>
      </c>
      <c r="CQ70" s="4">
        <f>_xlfn.XLOOKUP($B$2,'BASE DE EXCEL'!$C:$C,'BASE DE EXCEL'!K:K,"NO HAY REFERENCIA")</f>
        <v>46087</v>
      </c>
      <c r="CR70" s="3">
        <f>_xlfn.XLOOKUP($B$2,'BASE DE EXCEL'!$C:$C,'BASE DE EXCEL'!L:L,"NO HAY REFERENCIA")</f>
        <v>5</v>
      </c>
      <c r="CS70" s="3">
        <f>_xlfn.XLOOKUP($B$2,'BASE DE EXCEL'!$C:$C,'BASE DE EXCEL'!M:M,"NO HAY REFERENCIA")</f>
        <v>6</v>
      </c>
      <c r="CT70" s="3" t="str">
        <f>_xlfn.XLOOKUP($B$2,'BASE DE EXCEL'!$C:$C,'BASE DE EXCEL'!N:N,"NO HAY REFERENCIA")</f>
        <v>6 a 10 días</v>
      </c>
      <c r="CU70" s="3" t="str">
        <f>_xlfn.XLOOKUP($B$2,'BASE DE EXCEL'!$C:$C,'BASE DE EXCEL'!O:O,"NO HAY REFERENCIA")</f>
        <v>On Time</v>
      </c>
      <c r="CV70" s="3" t="str">
        <f>_xlfn.XLOOKUP(B70,'BASE DE EXCEL'!$C:$C,'BASE DE EXCEL'!P:P,"NO HAY REFERENCIA")</f>
        <v>6 a 10 días</v>
      </c>
      <c r="CW70" s="4">
        <f>_xlfn.XLOOKUP(B70,'BASE DE EXCEL'!$C:$C,'BASE DE EXCEL'!Q:Q,"NO HAY REFERENCIA")</f>
        <v>46084</v>
      </c>
      <c r="CX70" s="3">
        <f>_xlfn.XLOOKUP(B70,'BASE DE EXCEL'!$C:$C,'BASE DE EXCEL'!R:R,"NO HAY REFERENCIA")</f>
        <v>6</v>
      </c>
      <c r="CY70" s="3" t="str">
        <f>_xlfn.XLOOKUP(B70,'BASE DE EXCEL'!$C:$C,'BASE DE EXCEL'!S:S,"NO HAY REFERENCIA")</f>
        <v>6 a 10 días</v>
      </c>
      <c r="CZ70" s="3" t="str">
        <f>_xlfn.XLOOKUP(B70,'BASE DE EXCEL'!$C:$C,'BASE DE EXCEL'!T:T,"NO HAY REFERENCIA")</f>
        <v>On Time</v>
      </c>
      <c r="DA70" s="3">
        <f>_xlfn.XLOOKUP(B70,'BASE DE EXCEL'!$C:$C,'BASE DE EXCEL'!U:U,"NO HAY REFERENCIA")</f>
        <v>7</v>
      </c>
      <c r="DB70" s="3" t="str">
        <f>_xlfn.XLOOKUP(B70,'BASE DE EXCEL'!$C:$C,'BASE DE EXCEL'!V:V,"NO HAY REFERENCIA")</f>
        <v>4 a 5 días</v>
      </c>
      <c r="DC70" s="3">
        <f>_xlfn.XLOOKUP(B70,'BASE DE EXCEL'!$C:$C,'BASE DE EXCEL'!W:W,"NO HAY REFERENCIA")</f>
        <v>18</v>
      </c>
      <c r="DD70" s="3" t="str">
        <f>_xlfn.XLOOKUP(B70,'BASE DE EXCEL'!$C:$C,'BASE DE EXCEL'!X:X,"NO HAY REFERENCIA")</f>
        <v>más de 16 días</v>
      </c>
      <c r="DE70" s="3">
        <f>_xlfn.XLOOKUP(B70,'BASE DE EXCEL'!$C:$C,'BASE DE EXCEL'!Y:Y,"NO HAY REFERENCIA")</f>
        <v>1</v>
      </c>
      <c r="DF70" s="3" t="str">
        <f>_xlfn.XLOOKUP(B70,'BASE DE EXCEL'!$C:$C,'BASE DE EXCEL'!Z:Z,"NO HAY REFERENCIA")</f>
        <v>1 día o menos</v>
      </c>
      <c r="DG70" s="3">
        <f>_xlfn.XLOOKUP(B70,'BASE DE EXCEL'!$C:$C,'BASE DE EXCEL'!AA:AA,"NO HAY REFERENCIA")</f>
        <v>3</v>
      </c>
      <c r="DH70" s="3">
        <f>_xlfn.XLOOKUP(B70,'BASE DE EXCEL'!$C:$C,'BASE DE EXCEL'!AB:AB,"NO HAY REFERENCIA")</f>
        <v>1</v>
      </c>
      <c r="DI70" s="3" t="str">
        <f>_xlfn.XLOOKUP(B70,'BASE DE EXCEL'!$C:$C,'BASE DE EXCEL'!AC:AC,"NO HAY REFERENCIA")</f>
        <v>1 día o menos</v>
      </c>
      <c r="DJ70" s="4">
        <f>_xlfn.XLOOKUP(B70,'BASE DE EXCEL'!$C:$C,'BASE DE EXCEL'!AD:AD,"NO HAY REFERENCIA")</f>
        <v>46101</v>
      </c>
      <c r="DK70" s="3">
        <f>_xlfn.XLOOKUP(B70,'BASE DE EXCEL'!$C:$C,'BASE DE EXCEL'!AE:AE,"NO HAY REFERENCIA")</f>
        <v>16</v>
      </c>
      <c r="DL70" s="3">
        <f>_xlfn.XLOOKUP(B70,'BASE DE EXCEL'!$C:$C,'BASE DE EXCEL'!AF:AF,"NO HAY REFERENCIA")</f>
        <v>13</v>
      </c>
      <c r="DM70" s="4">
        <f>_xlfn.XLOOKUP(B70,'BASE DE EXCEL'!$C:$C,'BASE DE EXCEL'!AG:AG,"NO HAY REFERENCIA")</f>
        <v>46100</v>
      </c>
      <c r="DN70" s="4">
        <f>_xlfn.XLOOKUP(B70,'BASE DE EXCEL'!$C:$C,'BASE DE EXCEL'!AH:AH,"NO HAY REFERENCIA")</f>
        <v>46101</v>
      </c>
      <c r="DO70" s="3">
        <f>_xlfn.XLOOKUP(B70,'BASE DE EXCEL'!$C:$C,'BASE DE EXCEL'!AI:AI,"NO HAY REFERENCIA")</f>
        <v>1</v>
      </c>
      <c r="DP70" s="4" t="str">
        <f>_xlfn.XLOOKUP(B70,'BASE DE EXCEL'!$C:$C,'BASE DE EXCEL'!AJ:AJ,"NO HAY REFERENCIA")</f>
        <v>más de 16 días</v>
      </c>
      <c r="DQ70" s="4">
        <f>_xlfn.XLOOKUP(B70,'BASE DE EXCEL'!$C:$C,'BASE DE EXCEL'!AK:AK,"NO HAY REFERENCIA")</f>
        <v>46101</v>
      </c>
      <c r="DR70" s="3">
        <f>_xlfn.XLOOKUP(B70,'BASE DE EXCEL'!$C:$C,'BASE DE EXCEL'!AL:AL,"NO HAY REFERENCIA")</f>
        <v>13</v>
      </c>
      <c r="DS70" s="3" t="str">
        <f>_xlfn.XLOOKUP(B70,'BASE DE EXCEL'!$C:$C,'BASE DE EXCEL'!AM:AM,"NO HAY REFERENCIA")</f>
        <v>11 a 15 días</v>
      </c>
      <c r="DT70" s="3" t="str">
        <f>_xlfn.XLOOKUP(B70,'BASE DE EXCEL'!$C:$C,'BASE DE EXCEL'!AN:AN,"NO HAY REFERENCIA")</f>
        <v>Delayed</v>
      </c>
      <c r="DU70" s="3">
        <f>_xlfn.XLOOKUP(B70,'BASE DE EXCEL'!$C:$C,'BASE DE EXCEL'!AO:AO,"NO HAY REFERENCIA")</f>
        <v>1</v>
      </c>
      <c r="DV70" s="3" t="str">
        <f>_xlfn.XLOOKUP(B70,'BASE DE EXCEL'!$C:$C,'BASE DE EXCEL'!AP:AP,"NO HAY REFERENCIA")</f>
        <v>Es anterior</v>
      </c>
      <c r="DW70" s="3" t="str">
        <f>_xlfn.XLOOKUP(B70,'BASE DE EXCEL'!$C:$C,'BASE DE EXCEL'!AQ:AQ,"NO HAY REFERENCIA")</f>
        <v>A1</v>
      </c>
      <c r="DX70" s="3" t="str">
        <f>_xlfn.XLOOKUP(B70,'BASE DE EXCEL'!$C:$C,'BASE DE EXCEL'!AR:AR,"NO HAY REFERENCIA")</f>
        <v>ZULEIMA PEREZ RUIZ</v>
      </c>
      <c r="DY70" s="3" t="str">
        <f>_xlfn.XLOOKUP(B70,'BASE DE EXCEL'!$C:$C,'BASE DE EXCEL'!AS:AS,"NO HAY REFERENCIA")</f>
        <v>HLCUANR260153680</v>
      </c>
      <c r="DZ70" s="3" t="str">
        <f>_xlfn.XLOOKUP(B70,'BASE DE EXCEL'!$C:$C,'BASE DE EXCEL'!AT:AT,"NO HAY REFERENCIA")</f>
        <v>NULL</v>
      </c>
      <c r="EA70" s="3">
        <f>_xlfn.XLOOKUP(B70,'BASE DE EXCEL'!$C:$C,'BASE DE EXCEL'!AU:AU,"NO HAY REFERENCIA")</f>
        <v>6000276</v>
      </c>
      <c r="EB70" s="3" t="str">
        <f>_xlfn.XLOOKUP(B70,'BASE DE EXCEL'!$C:$C,'BASE DE EXCEL'!AV:AV,"NO HAY REFERENCIA")</f>
        <v>Importación</v>
      </c>
      <c r="EC70" s="3" t="str">
        <f>_xlfn.XLOOKUP(B70,'BASE DE EXCEL'!$C:$C,'BASE DE EXCEL'!AW:AW,"NO HAY REFERENCIA")</f>
        <v>REVALOR H  (MEDICAMENTO DOSIFICADO DE USO VETERINARIO)</v>
      </c>
      <c r="ED70" s="3" t="str">
        <f>_xlfn.XLOOKUP(B70,'BASE DE EXCEL'!$C:$C,'BASE DE EXCEL'!AX:AX,"NO HAY REFERENCIA")</f>
        <v>SIN CLASIFICACION</v>
      </c>
      <c r="EE70" s="3">
        <f>_xlfn.XLOOKUP(B70,'BASE DE EXCEL'!$C:$C,'BASE DE EXCEL'!AY:AY,"NO HAY REFERENCIA")</f>
        <v>0</v>
      </c>
      <c r="EF70" s="3" t="str">
        <f>_xlfn.XLOOKUP(B70,'BASE DE EXCEL'!$C:$C,'BASE DE EXCEL'!AZ:AZ,"NO HAY REFERENCIA")</f>
        <v>Cargas de Importación</v>
      </c>
      <c r="EG70" s="3" t="str">
        <f>_xlfn.XLOOKUP(B70,'BASE DE EXCEL'!$C:$C,'BASE DE EXCEL'!BA:BA,"NO HAY REFERENCIA")</f>
        <v>INTERVET MEXICO SA DE CV</v>
      </c>
      <c r="EH70" s="3">
        <f>_xlfn.XLOOKUP(B70,'BASE DE EXCEL'!$C:$C,'BASE DE EXCEL'!BB:BB,"NO HAY REFERENCIA")</f>
        <v>0</v>
      </c>
      <c r="EI70" s="3" t="str">
        <f>_xlfn.XLOOKUP(B70,'BASE DE EXCEL'!$C:$C,'BASE DE EXCEL'!BC:BC,"NO HAY REFERENCIA")</f>
        <v>NINGUNO</v>
      </c>
      <c r="EJ70" s="3">
        <f>_xlfn.XLOOKUP(B70,'BASE DE EXCEL'!$C:$C,'BASE DE EXCEL'!BD:BD,"NO HAY REFERENCIA")</f>
        <v>0</v>
      </c>
      <c r="EK70" s="3" t="str">
        <f>_xlfn.XLOOKUP(B70,'BASE DE EXCEL'!$C:$C,'BASE DE EXCEL'!BE:BE,"NO HAY REFERENCIA")</f>
        <v>NINGUNO</v>
      </c>
      <c r="EL70" s="3" t="str">
        <f>_xlfn.XLOOKUP(B70,'BASE DE EXCEL'!$C:$C,'BASE DE EXCEL'!BF:BF,"NO HAY REFERENCIA")</f>
        <v>PRODUCTO TERMINADO</v>
      </c>
      <c r="EM70" s="3" t="str">
        <f>_xlfn.XLOOKUP(B70,'BASE DE EXCEL'!$C:$C,'BASE DE EXCEL'!BG:BG,"NO HAY REFERENCIA")</f>
        <v>Verde</v>
      </c>
      <c r="EN70" s="3" t="str">
        <f>_xlfn.XLOOKUP(B70,'BASE DE EXCEL'!$C:$C,'BASE DE EXCEL'!BH:BH,"NO HAY REFERENCIA")</f>
        <v xml:space="preserve"> MLH TRANSPORTE, S.A. DE C.V.</v>
      </c>
      <c r="EO70" s="3" t="str">
        <f>_xlfn.XLOOKUP(B70,'BASE DE EXCEL'!$C:$C,'BASE DE EXCEL'!BI:BI,"NO HAY REFERENCIA")</f>
        <v>ECONOMICO 132</v>
      </c>
      <c r="EP70" s="3">
        <f>_xlfn.XLOOKUP(B70,'BASE DE EXCEL'!$C:$C,'BASE DE EXCEL'!BJ:BJ,"NO HAY REFERENCIA")</f>
        <v>0</v>
      </c>
      <c r="EQ70" s="3" t="str">
        <f>_xlfn.XLOOKUP(B70,'BASE DE EXCEL'!$C:$C,'BASE DE EXCEL'!BK:BK,"NO HAY REFERENCIA")</f>
        <v>IME850329RH2</v>
      </c>
      <c r="ER70" s="3">
        <f>_xlfn.XLOOKUP(B70,'BASE DE EXCEL'!$C:$C,'BASE DE EXCEL'!BL:BL,"NO HAY REFERENCIA")</f>
        <v>0</v>
      </c>
      <c r="ES70" s="3">
        <f>_xlfn.XLOOKUP(B70,'BASE DE EXCEL'!$C:$C,'BASE DE EXCEL'!BM:BM,"NO HAY REFERENCIA")</f>
        <v>99</v>
      </c>
      <c r="ET70" s="3" t="str">
        <f>_xlfn.XLOOKUP(B70,'BASE DE EXCEL'!$C:$C,'BASE DE EXCEL'!BN:BN,"NO HAY REFERENCIA")</f>
        <v>LOTE: B011P01,LOTE: B021P01,LOTE: B010P01,LOTE: 25M3058C01</v>
      </c>
      <c r="EU70" s="3">
        <f>_xlfn.XLOOKUP(B70,'BASE DE EXCEL'!$C:$C,'BASE DE EXCEL'!BO:BO,"NO HAY REFERENCIA")</f>
        <v>90</v>
      </c>
      <c r="EV70" s="3">
        <f>_xlfn.XLOOKUP(B70,'BASE DE EXCEL'!$C:$C,'BASE DE EXCEL'!BP:BP,"NO HAY REFERENCIA")</f>
        <v>17387126.420000002</v>
      </c>
      <c r="EW70" s="3" t="str">
        <f>_xlfn.XLOOKUP(B70,'BASE DE EXCEL'!$C:$C,'BASE DE EXCEL'!BQ:BQ,"NO HAY REFERENCIA")</f>
        <v>KILO,KILO</v>
      </c>
      <c r="EX70" s="3">
        <f>_xlfn.XLOOKUP(B70,'BASE DE EXCEL'!$C:$C,'BASE DE EXCEL'!BR:BR,"NO HAY REFERENCIA")</f>
        <v>0</v>
      </c>
      <c r="EY70" s="3" t="str">
        <f>_xlfn.XLOOKUP(B70,'BASE DE EXCEL'!$C:$C,'BASE DE EXCEL'!BS:BS,"NO HAY REFERENCIA")</f>
        <v>AUSTRIA (REPUBLICA DE)</v>
      </c>
      <c r="EZ70" s="3" t="str">
        <f>_xlfn.XLOOKUP(B70,'BASE DE EXCEL'!$C:$C,'BASE DE EXCEL'!BT:BT,"NO HAY REFERENCIA")</f>
        <v>PAISES BAJOS (REINO DE LOS) (HOLANDA)</v>
      </c>
      <c r="FA70" s="3" t="str">
        <f>_xlfn.XLOOKUP(B70,'BASE DE EXCEL'!$C:$C,'BASE DE EXCEL'!BU:BU,"NO HAY REFERENCIA")</f>
        <v>AUT</v>
      </c>
      <c r="FB70" s="3" t="str">
        <f>_xlfn.XLOOKUP(B70,'BASE DE EXCEL'!$C:$C,'BASE DE EXCEL'!BV:BV,"NO HAY REFERENCIA")</f>
        <v>ZYA</v>
      </c>
      <c r="FC70" s="3">
        <f>_xlfn.XLOOKUP(B70,QUERY!$C:$C,QUERY!D:D)</f>
        <v>430</v>
      </c>
      <c r="FD70" s="4">
        <f>_xlfn.XLOOKUP(B70,QUERY!$C:$C,QUERY!E:E)</f>
        <v>46080</v>
      </c>
      <c r="FE70" s="3">
        <f>_xlfn.XLOOKUP(B70,QUERY!$C:$C,QUERY!F:F)</f>
        <v>2</v>
      </c>
      <c r="FF70" s="4">
        <f>_xlfn.XLOOKUP(B70,QUERY!$C:$C,QUERY!G:G)</f>
        <v>46077</v>
      </c>
      <c r="FG70" s="4">
        <f>_xlfn.XLOOKUP(B70,QUERY!$C:$C,QUERY!H:H)</f>
        <v>46080</v>
      </c>
      <c r="FH70" s="3">
        <f>_xlfn.XLOOKUP(B70,QUERY!$C:$C,QUERY!I:I)</f>
        <v>3</v>
      </c>
      <c r="FI70" s="3" t="str">
        <f>_xlfn.XLOOKUP(B70,QUERY!$C:$C,QUERY!J:J)</f>
        <v>2 a 3 días</v>
      </c>
      <c r="FJ70" s="4">
        <f>_xlfn.XLOOKUP(B70,QUERY!$C:$C,QUERY!K:K)</f>
        <v>46083</v>
      </c>
      <c r="FK70" s="3">
        <f>_xlfn.XLOOKUP(B70,QUERY!$C:$C,QUERY!L:L)</f>
        <v>4</v>
      </c>
      <c r="FL70" s="3" t="str">
        <f>_xlfn.XLOOKUP(B70,QUERY!$C:$C,QUERY!M:M)</f>
        <v>4 a 5 días</v>
      </c>
      <c r="FM70" s="3">
        <f>_xlfn.XLOOKUP(B70,QUERY!$C:$C,QUERY!N:N)</f>
        <v>1</v>
      </c>
      <c r="FN70" s="3" t="str">
        <f>_xlfn.XLOOKUP(B70,QUERY!$C:$C,QUERY!O:O)</f>
        <v>1 día o menos</v>
      </c>
      <c r="FO70" s="3">
        <f>_xlfn.XLOOKUP(B70,QUERY!$C:$C,QUERY!P:P)</f>
        <v>1</v>
      </c>
      <c r="FP70" s="3">
        <f>_xlfn.XLOOKUP(B70,QUERY!$C:$C,QUERY!Q:Q)</f>
        <v>1</v>
      </c>
      <c r="FQ70" s="3" t="str">
        <f>_xlfn.XLOOKUP(B70,QUERY!$C:$C,QUERY!R:R)</f>
        <v>1 día o menos</v>
      </c>
      <c r="FR70" s="4">
        <f>_xlfn.XLOOKUP(B70,QUERY!$C:$C,QUERY!S:S)</f>
        <v>46084</v>
      </c>
      <c r="FS70" s="3">
        <f>_xlfn.XLOOKUP(B70,QUERY!$C:$C,QUERY!T:T)</f>
        <v>5</v>
      </c>
      <c r="FT70" s="3" t="str">
        <f>_xlfn.XLOOKUP(B70,QUERY!$C:$C,QUERY!U:U)</f>
        <v>4 a 5 días</v>
      </c>
      <c r="FU70" s="3">
        <f>_xlfn.XLOOKUP(B70,QUERY!$C:$C,QUERY!V:V)</f>
        <v>18</v>
      </c>
      <c r="FV70" s="3" t="str">
        <f>_xlfn.XLOOKUP(B70,QUERY!$C:$C,QUERY!W:W)</f>
        <v>más de 16 días</v>
      </c>
      <c r="FW70" s="4">
        <f>_xlfn.XLOOKUP(B70,QUERY!$C:$C,QUERY!X:X)</f>
        <v>46101</v>
      </c>
      <c r="FX70" s="3">
        <f>_xlfn.XLOOKUP(B70,QUERY!$C:$C,QUERY!Y:Y)</f>
        <v>12</v>
      </c>
      <c r="FY70" s="3">
        <f>_xlfn.XLOOKUP(B70,QUERY!$C:$C,QUERY!Z:Z)</f>
        <v>13</v>
      </c>
      <c r="FZ70" s="4" t="str">
        <f>_xlfn.XLOOKUP(B70,QUERY!$C:$C,QUERY!AA:AA)</f>
        <v>más de 16 días</v>
      </c>
      <c r="GA70" s="4">
        <f>_xlfn.XLOOKUP(B70,QUERY!$C:$C,QUERY!AB:AB)</f>
        <v>46100</v>
      </c>
      <c r="GB70" s="4">
        <f>_xlfn.XLOOKUP(B70,QUERY!$C:$C,QUERY!AC:AC)</f>
        <v>46101</v>
      </c>
      <c r="GC70" s="3">
        <f>_xlfn.XLOOKUP(B70,QUERY!$C:$C,QUERY!AD:AD)</f>
        <v>1</v>
      </c>
      <c r="GD70" s="4">
        <f>_xlfn.XLOOKUP(B70,QUERY!$C:$C,QUERY!AE:AE)</f>
        <v>46101</v>
      </c>
      <c r="GE70" s="3">
        <f>_xlfn.XLOOKUP(B70,QUERY!$C:$C,QUERY!AF:AF)</f>
        <v>1</v>
      </c>
      <c r="GF70" s="4" t="str">
        <f>_xlfn.XLOOKUP(B70,QUERY!$C:$C,QUERY!AG:AG)</f>
        <v>Es anterior</v>
      </c>
      <c r="GG70" s="3" t="str">
        <f>_xlfn.XLOOKUP(B70,QUERY!$C:$C,QUERY!AH:AH)</f>
        <v>A1</v>
      </c>
      <c r="GH70" s="3" t="str">
        <f>_xlfn.XLOOKUP(B70,QUERY!$C:$C,QUERY!AI:AI)</f>
        <v>ZULEIMA PEREZ RUIZ</v>
      </c>
      <c r="GI70" s="3" t="str">
        <f>_xlfn.XLOOKUP(B70,QUERY!$C:$C,QUERY!AJ:AJ)</f>
        <v>HLCUANR260153680</v>
      </c>
      <c r="GJ70" s="3" t="str">
        <f>_xlfn.XLOOKUP(B70,QUERY!$C:$C,QUERY!AK:AK)</f>
        <v>NULL</v>
      </c>
      <c r="GK70" s="3">
        <f>_xlfn.XLOOKUP(B70,QUERY!$C:$C,QUERY!AL:AL)</f>
        <v>6000276</v>
      </c>
      <c r="GL70" s="3" t="str">
        <f>_xlfn.XLOOKUP(B70,QUERY!$C:$C,QUERY!AM:AM)</f>
        <v>Importación</v>
      </c>
      <c r="GM70" s="3" t="str">
        <f>_xlfn.XLOOKUP(B70,QUERY!$C:$C,QUERY!AN:AN)</f>
        <v>REVALOR H  (MEDICAMENTO DOSIFICADO DE USO VETERINARIO)</v>
      </c>
      <c r="GN70" s="3" t="str">
        <f>_xlfn.XLOOKUP(B70,QUERY!$C:$C,QUERY!AO:AO)</f>
        <v>SIN CLASIFICACION</v>
      </c>
      <c r="GO70" s="3">
        <f>_xlfn.XLOOKUP(B70,QUERY!$C:$C,QUERY!AP:AP)</f>
        <v>0</v>
      </c>
      <c r="GP70" s="3" t="str">
        <f>_xlfn.XLOOKUP(B70,QUERY!$C:$C,QUERY!AQ:AQ)</f>
        <v>Cargas de Importación</v>
      </c>
      <c r="GQ70" s="3" t="str">
        <f>_xlfn.XLOOKUP(B70,QUERY!$C:$C,QUERY!AR:AR)</f>
        <v>INTERVET MEXICO SA DE CV</v>
      </c>
      <c r="GR70" s="3">
        <f>_xlfn.XLOOKUP(B70,QUERY!$C:$C,QUERY!AS:AS)</f>
        <v>0</v>
      </c>
      <c r="GS70" s="3" t="str">
        <f>_xlfn.XLOOKUP(B70,QUERY!$C:$C,QUERY!AT:AT)</f>
        <v>NINGUNO</v>
      </c>
      <c r="GT70" s="3">
        <f>_xlfn.XLOOKUP(B70,QUERY!$C:$C,QUERY!AU:AU)</f>
        <v>0</v>
      </c>
      <c r="GU70" s="3" t="str">
        <f>_xlfn.XLOOKUP(B70,QUERY!$C:$C,QUERY!AV:AV)</f>
        <v>NINGUNO</v>
      </c>
      <c r="GV70" s="3" t="str">
        <f>_xlfn.XLOOKUP(B70,QUERY!$C:$C,QUERY!AW:AW)</f>
        <v>PRODUCTO TERMINADO</v>
      </c>
      <c r="GW70" s="3" t="str">
        <f>_xlfn.XLOOKUP(B70,QUERY!$C:$C,QUERY!AX:AX)</f>
        <v>Verde</v>
      </c>
      <c r="GX70" s="3" t="str">
        <f>_xlfn.XLOOKUP(B70,QUERY!$C:$C,QUERY!AY:AY)</f>
        <v xml:space="preserve"> MLH TRANSPORTE, S.A. DE C.V.</v>
      </c>
      <c r="GY70" s="3" t="str">
        <f>_xlfn.XLOOKUP(B70,QUERY!$C:$C,QUERY!AZ:AZ)</f>
        <v>ECONOMICO 132</v>
      </c>
      <c r="GZ70" s="3">
        <f>_xlfn.XLOOKUP(B70,QUERY!$C:$C,QUERY!BA:BA)</f>
        <v>0</v>
      </c>
      <c r="HA70" s="3" t="str">
        <f>_xlfn.XLOOKUP(B70,QUERY!$C:$C,QUERY!BB:BB)</f>
        <v>IME850329RH2</v>
      </c>
      <c r="HB70" s="3">
        <f>_xlfn.XLOOKUP(B70,QUERY!$C:$C,QUERY!BC:BC)</f>
        <v>0</v>
      </c>
      <c r="HC70" s="3">
        <f>_xlfn.XLOOKUP(B70,QUERY!$C:$C,QUERY!BD:BD)</f>
        <v>99</v>
      </c>
      <c r="HD70" s="3" t="str">
        <f>_xlfn.XLOOKUP(B70,QUERY!$C:$C,QUERY!BE:BE)</f>
        <v>LOTE: B011P01,LOTE: B021P01,LOTE: B010P01,LOTE: 25M3058C01</v>
      </c>
      <c r="HE70" s="3">
        <f>_xlfn.XLOOKUP(B70,QUERY!$C:$C,QUERY!BF:BF)</f>
        <v>90</v>
      </c>
      <c r="HF70" s="3" t="str">
        <f>_xlfn.XLOOKUP(B70,QUERY!$C:$C,QUERY!BG:BG)</f>
        <v xml:space="preserve"> 17387126.42</v>
      </c>
      <c r="HG70" s="3" t="str">
        <f>_xlfn.XLOOKUP(B70,QUERY!$C:$C,QUERY!BH:BH)</f>
        <v>KILO,KILO</v>
      </c>
      <c r="HH70" s="3">
        <f>_xlfn.XLOOKUP(B70,QUERY!$C:$C,QUERY!BI:BI)</f>
        <v>0</v>
      </c>
      <c r="HI70" s="3" t="str">
        <f>_xlfn.XLOOKUP(B70,QUERY!$C:$C,QUERY!BJ:BJ)</f>
        <v>AUSTRIA (REPUBLICA DE)</v>
      </c>
      <c r="HJ70" s="3" t="str">
        <f>_xlfn.XLOOKUP(B70,QUERY!$C:$C,QUERY!BK:BK)</f>
        <v>PAISES BAJOS (REINO DE LOS) (HOLANDA)</v>
      </c>
      <c r="HK70" s="3" t="str">
        <f>_xlfn.XLOOKUP(B70,QUERY!$C:$C,QUERY!BL:BL)</f>
        <v>AUT</v>
      </c>
      <c r="HL70" s="3" t="str">
        <f>_xlfn.XLOOKUP(B70,QUERY!$C:$C,QUERY!BM:BM)</f>
        <v>ZYA</v>
      </c>
      <c r="HM70" s="3">
        <f>_xlfn.XLOOKUP(B70,QUERY!$C:$C,QUERY!BN:BN)</f>
        <v>17387126</v>
      </c>
      <c r="HN70" s="3" t="str">
        <f>_xlfn.XLOOKUP(B70,QUERY!$C:$C,QUERY!BO:BO)</f>
        <v>139097.00</v>
      </c>
      <c r="HO70" s="3" t="str">
        <f>_xlfn.XLOOKUP(B70,QUERY!$C:$C,QUERY!BP:BP)</f>
        <v>NULL</v>
      </c>
      <c r="HP70" s="3" t="str">
        <f>_xlfn.XLOOKUP(B70,QUERY!$C:$C,QUERY!BQ:BQ)</f>
        <v>1738713.00</v>
      </c>
      <c r="HQ70" s="3" t="str">
        <f>_xlfn.XLOOKUP(B70,QUERY!$C:$C,QUERY!BR:BR)</f>
        <v>157480.93</v>
      </c>
      <c r="HR70" s="3">
        <f>_xlfn.XLOOKUP(B70,QUERY!$C:$C,QUERY!BS:BS)</f>
        <v>0</v>
      </c>
      <c r="HS70" s="3">
        <f>_xlfn.XLOOKUP(B70,QUERY!$C:$C,QUERY!BT:BT)</f>
        <v>0</v>
      </c>
      <c r="HT70" s="3" t="str">
        <f>_xlfn.XLOOKUP(B70,QUERY!$C:$C,QUERY!A:A)</f>
        <v>VERACRUZ</v>
      </c>
      <c r="HU70" s="3" t="str">
        <f>_xlfn.XLOOKUP(B70,QUERY!$C:$C,QUERY!B:B)</f>
        <v>MARÍTIMO VERACRUZ</v>
      </c>
    </row>
    <row r="71" spans="1:229" x14ac:dyDescent="0.25">
      <c r="A71" s="3" t="s">
        <v>90</v>
      </c>
      <c r="B71" s="3" t="s">
        <v>257</v>
      </c>
      <c r="C71" s="3">
        <v>3942</v>
      </c>
      <c r="D71" s="3">
        <v>6000303</v>
      </c>
      <c r="E71" s="3"/>
      <c r="F71" s="3" t="s">
        <v>92</v>
      </c>
      <c r="G71" s="3" t="s">
        <v>93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17.1722</v>
      </c>
      <c r="Q71" s="3">
        <v>3874</v>
      </c>
      <c r="R71" s="3">
        <v>430</v>
      </c>
      <c r="S71" s="3" t="s">
        <v>258</v>
      </c>
      <c r="T71" s="3" t="s">
        <v>95</v>
      </c>
      <c r="U71" s="3">
        <v>17566160</v>
      </c>
      <c r="V71" s="3">
        <v>17566160</v>
      </c>
      <c r="W71" s="3">
        <v>0</v>
      </c>
      <c r="X71" s="3">
        <v>0</v>
      </c>
      <c r="Y71" s="3">
        <v>0</v>
      </c>
      <c r="Z71" s="3">
        <v>0</v>
      </c>
      <c r="AA71" s="3" t="s">
        <v>220</v>
      </c>
      <c r="AB71" s="3"/>
      <c r="AC71" s="3">
        <v>321379</v>
      </c>
      <c r="AD71" s="3">
        <v>645.33936000000006</v>
      </c>
      <c r="AE71" s="3">
        <v>808</v>
      </c>
      <c r="AF71" s="3">
        <v>0</v>
      </c>
      <c r="AG71" s="3">
        <v>0</v>
      </c>
      <c r="AH71" s="3">
        <v>0</v>
      </c>
      <c r="AI71" s="3">
        <v>53</v>
      </c>
      <c r="AJ71" s="3">
        <v>462</v>
      </c>
      <c r="AK71" s="3">
        <v>0</v>
      </c>
      <c r="AL71" s="3">
        <v>0</v>
      </c>
      <c r="AM71" s="3">
        <v>330</v>
      </c>
      <c r="AN71" s="3">
        <v>845</v>
      </c>
      <c r="AO71" s="3" t="s">
        <v>97</v>
      </c>
      <c r="AP71" s="3" t="s">
        <v>98</v>
      </c>
      <c r="AQ71" s="3">
        <v>210364287</v>
      </c>
      <c r="AR71" s="3" t="s">
        <v>99</v>
      </c>
      <c r="AS71" s="3" t="s">
        <v>100</v>
      </c>
      <c r="AT71" s="3" t="s">
        <v>259</v>
      </c>
      <c r="AU71" s="3"/>
      <c r="AV71" s="3" t="s">
        <v>146</v>
      </c>
      <c r="AW71" s="3">
        <v>30024201</v>
      </c>
      <c r="AX71" s="3">
        <v>99</v>
      </c>
      <c r="AY71" s="3">
        <v>498</v>
      </c>
      <c r="AZ71" s="3">
        <v>498</v>
      </c>
      <c r="BA71" s="3" t="s">
        <v>103</v>
      </c>
      <c r="BB71" s="3"/>
      <c r="BC71" s="3" t="s">
        <v>105</v>
      </c>
      <c r="BD71" s="3" t="s">
        <v>105</v>
      </c>
      <c r="BE71" s="3" t="s">
        <v>106</v>
      </c>
      <c r="BF71" s="3" t="s">
        <v>107</v>
      </c>
      <c r="BG71" s="5" t="s">
        <v>260</v>
      </c>
      <c r="BH71" s="3" t="s">
        <v>148</v>
      </c>
      <c r="BI71" s="3"/>
      <c r="BJ71" s="3" t="s">
        <v>109</v>
      </c>
      <c r="BK71" s="3" t="s">
        <v>261</v>
      </c>
      <c r="BL71" s="3">
        <v>43966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44379.18</v>
      </c>
      <c r="BY71" s="3">
        <v>0</v>
      </c>
      <c r="BZ71" s="3">
        <v>0</v>
      </c>
      <c r="CA71" s="3">
        <v>26829.06</v>
      </c>
      <c r="CB71" s="3">
        <v>18000</v>
      </c>
      <c r="CC71" s="3">
        <v>4283.2</v>
      </c>
      <c r="CD71" s="3">
        <v>250436.84</v>
      </c>
      <c r="CE71" s="3" t="s">
        <v>192</v>
      </c>
      <c r="CF71" s="3">
        <v>250436.84</v>
      </c>
      <c r="CG71" s="3">
        <v>0</v>
      </c>
      <c r="CH71" s="3">
        <v>0</v>
      </c>
      <c r="CI71" s="3" t="s">
        <v>112</v>
      </c>
      <c r="CJ71" s="3" t="s">
        <v>112</v>
      </c>
      <c r="CK71" s="3">
        <f>_xlfn.XLOOKUP($B$2,'BASE DE EXCEL'!C:C,'BASE DE EXCEL'!D:D,"NO HAY REFERENCIA")</f>
        <v>470</v>
      </c>
      <c r="CL71" s="5">
        <f>_xlfn.XLOOKUP($B$2,'BASE DE EXCEL'!$C:$C,'BASE DE EXCEL'!F:F,"NO HAY REFERENCIA")</f>
        <v>3</v>
      </c>
      <c r="CM71" s="4">
        <f>_xlfn.XLOOKUP($B$2,'BASE DE EXCEL'!$C:$C,'BASE DE EXCEL'!G:G,"NO HAY REFERENCIA")</f>
        <v>46080</v>
      </c>
      <c r="CN71" s="4">
        <f>_xlfn.XLOOKUP($B$2,'BASE DE EXCEL'!$C:$C,'BASE DE EXCEL'!H:H,"NO HAY REFERENCIA")</f>
        <v>46086</v>
      </c>
      <c r="CO71" s="3">
        <f>_xlfn.XLOOKUP($B$2,'BASE DE EXCEL'!$C:$C,'BASE DE EXCEL'!I:I,"NO HAY REFERENCIA")</f>
        <v>4</v>
      </c>
      <c r="CP71" s="3" t="str">
        <f>_xlfn.XLOOKUP($B$2,'BASE DE EXCEL'!$C:$C,'BASE DE EXCEL'!J:J,"NO HAY REFERENCIA")</f>
        <v>4 a 5 días</v>
      </c>
      <c r="CQ71" s="4">
        <f>_xlfn.XLOOKUP($B$2,'BASE DE EXCEL'!$C:$C,'BASE DE EXCEL'!K:K,"NO HAY REFERENCIA")</f>
        <v>46087</v>
      </c>
      <c r="CR71" s="3">
        <f>_xlfn.XLOOKUP($B$2,'BASE DE EXCEL'!$C:$C,'BASE DE EXCEL'!L:L,"NO HAY REFERENCIA")</f>
        <v>5</v>
      </c>
      <c r="CS71" s="3">
        <f>_xlfn.XLOOKUP($B$2,'BASE DE EXCEL'!$C:$C,'BASE DE EXCEL'!M:M,"NO HAY REFERENCIA")</f>
        <v>6</v>
      </c>
      <c r="CT71" s="3" t="str">
        <f>_xlfn.XLOOKUP($B$2,'BASE DE EXCEL'!$C:$C,'BASE DE EXCEL'!N:N,"NO HAY REFERENCIA")</f>
        <v>6 a 10 días</v>
      </c>
      <c r="CU71" s="3" t="str">
        <f>_xlfn.XLOOKUP($B$2,'BASE DE EXCEL'!$C:$C,'BASE DE EXCEL'!O:O,"NO HAY REFERENCIA")</f>
        <v>On Time</v>
      </c>
      <c r="CV71" s="3" t="str">
        <f>_xlfn.XLOOKUP(B71,'BASE DE EXCEL'!$C:$C,'BASE DE EXCEL'!P:P,"NO HAY REFERENCIA")</f>
        <v>6 a 10 días</v>
      </c>
      <c r="CW71" s="4">
        <f>_xlfn.XLOOKUP(B71,'BASE DE EXCEL'!$C:$C,'BASE DE EXCEL'!Q:Q,"NO HAY REFERENCIA")</f>
        <v>46086</v>
      </c>
      <c r="CX71" s="3">
        <f>_xlfn.XLOOKUP(B71,'BASE DE EXCEL'!$C:$C,'BASE DE EXCEL'!R:R,"NO HAY REFERENCIA")</f>
        <v>8</v>
      </c>
      <c r="CY71" s="3" t="str">
        <f>_xlfn.XLOOKUP(B71,'BASE DE EXCEL'!$C:$C,'BASE DE EXCEL'!S:S,"NO HAY REFERENCIA")</f>
        <v>6 a 10 días</v>
      </c>
      <c r="CZ71" s="3" t="str">
        <f>_xlfn.XLOOKUP(B71,'BASE DE EXCEL'!$C:$C,'BASE DE EXCEL'!T:T,"NO HAY REFERENCIA")</f>
        <v>Delayed</v>
      </c>
      <c r="DA71" s="3">
        <f>_xlfn.XLOOKUP(B71,'BASE DE EXCEL'!$C:$C,'BASE DE EXCEL'!U:U,"NO HAY REFERENCIA")</f>
        <v>9</v>
      </c>
      <c r="DB71" s="3" t="str">
        <f>_xlfn.XLOOKUP(B71,'BASE DE EXCEL'!$C:$C,'BASE DE EXCEL'!V:V,"NO HAY REFERENCIA")</f>
        <v>6 a 10 días</v>
      </c>
      <c r="DC71" s="3">
        <f>_xlfn.XLOOKUP(B71,'BASE DE EXCEL'!$C:$C,'BASE DE EXCEL'!W:W,"NO HAY REFERENCIA")</f>
        <v>20</v>
      </c>
      <c r="DD71" s="3" t="str">
        <f>_xlfn.XLOOKUP(B71,'BASE DE EXCEL'!$C:$C,'BASE DE EXCEL'!X:X,"NO HAY REFERENCIA")</f>
        <v>más de 16 días</v>
      </c>
      <c r="DE71" s="3">
        <f>_xlfn.XLOOKUP(B71,'BASE DE EXCEL'!$C:$C,'BASE DE EXCEL'!Y:Y,"NO HAY REFERENCIA")</f>
        <v>1</v>
      </c>
      <c r="DF71" s="3" t="str">
        <f>_xlfn.XLOOKUP(B71,'BASE DE EXCEL'!$C:$C,'BASE DE EXCEL'!Z:Z,"NO HAY REFERENCIA")</f>
        <v>1 día o menos</v>
      </c>
      <c r="DG71" s="3">
        <f>_xlfn.XLOOKUP(B71,'BASE DE EXCEL'!$C:$C,'BASE DE EXCEL'!AA:AA,"NO HAY REFERENCIA")</f>
        <v>7</v>
      </c>
      <c r="DH71" s="3">
        <f>_xlfn.XLOOKUP(B71,'BASE DE EXCEL'!$C:$C,'BASE DE EXCEL'!AB:AB,"NO HAY REFERENCIA")</f>
        <v>1</v>
      </c>
      <c r="DI71" s="3" t="str">
        <f>_xlfn.XLOOKUP(B71,'BASE DE EXCEL'!$C:$C,'BASE DE EXCEL'!AC:AC,"NO HAY REFERENCIA")</f>
        <v>1 día o menos</v>
      </c>
      <c r="DJ71" s="4">
        <f>_xlfn.XLOOKUP(B71,'BASE DE EXCEL'!$C:$C,'BASE DE EXCEL'!AD:AD,"NO HAY REFERENCIA")</f>
        <v>46105</v>
      </c>
      <c r="DK71" s="3">
        <f>_xlfn.XLOOKUP(B71,'BASE DE EXCEL'!$C:$C,'BASE DE EXCEL'!AE:AE,"NO HAY REFERENCIA")</f>
        <v>18</v>
      </c>
      <c r="DL71" s="3">
        <f>_xlfn.XLOOKUP(B71,'BASE DE EXCEL'!$C:$C,'BASE DE EXCEL'!AF:AF,"NO HAY REFERENCIA")</f>
        <v>13</v>
      </c>
      <c r="DM71" s="4">
        <f>_xlfn.XLOOKUP(B71,'BASE DE EXCEL'!$C:$C,'BASE DE EXCEL'!AG:AG,"NO HAY REFERENCIA")</f>
        <v>46104</v>
      </c>
      <c r="DN71" s="4">
        <f>_xlfn.XLOOKUP(B71,'BASE DE EXCEL'!$C:$C,'BASE DE EXCEL'!AH:AH,"NO HAY REFERENCIA")</f>
        <v>46105</v>
      </c>
      <c r="DO71" s="3">
        <f>_xlfn.XLOOKUP(B71,'BASE DE EXCEL'!$C:$C,'BASE DE EXCEL'!AI:AI,"NO HAY REFERENCIA")</f>
        <v>1</v>
      </c>
      <c r="DP71" s="4" t="str">
        <f>_xlfn.XLOOKUP(B71,'BASE DE EXCEL'!$C:$C,'BASE DE EXCEL'!AJ:AJ,"NO HAY REFERENCIA")</f>
        <v>más de 16 días</v>
      </c>
      <c r="DQ71" s="4">
        <f>_xlfn.XLOOKUP(B71,'BASE DE EXCEL'!$C:$C,'BASE DE EXCEL'!AK:AK,"NO HAY REFERENCIA")</f>
        <v>46105</v>
      </c>
      <c r="DR71" s="3">
        <f>_xlfn.XLOOKUP(B71,'BASE DE EXCEL'!$C:$C,'BASE DE EXCEL'!AL:AL,"NO HAY REFERENCIA")</f>
        <v>13</v>
      </c>
      <c r="DS71" s="3" t="str">
        <f>_xlfn.XLOOKUP(B71,'BASE DE EXCEL'!$C:$C,'BASE DE EXCEL'!AM:AM,"NO HAY REFERENCIA")</f>
        <v>11 a 15 días</v>
      </c>
      <c r="DT71" s="3" t="str">
        <f>_xlfn.XLOOKUP(B71,'BASE DE EXCEL'!$C:$C,'BASE DE EXCEL'!AN:AN,"NO HAY REFERENCIA")</f>
        <v>Delayed</v>
      </c>
      <c r="DU71" s="3">
        <f>_xlfn.XLOOKUP(B71,'BASE DE EXCEL'!$C:$C,'BASE DE EXCEL'!AO:AO,"NO HAY REFERENCIA")</f>
        <v>1</v>
      </c>
      <c r="DV71" s="3" t="str">
        <f>_xlfn.XLOOKUP(B71,'BASE DE EXCEL'!$C:$C,'BASE DE EXCEL'!AP:AP,"NO HAY REFERENCIA")</f>
        <v>Es anterior</v>
      </c>
      <c r="DW71" s="3" t="str">
        <f>_xlfn.XLOOKUP(B71,'BASE DE EXCEL'!$C:$C,'BASE DE EXCEL'!AQ:AQ,"NO HAY REFERENCIA")</f>
        <v>A1</v>
      </c>
      <c r="DX71" s="3" t="str">
        <f>_xlfn.XLOOKUP(B71,'BASE DE EXCEL'!$C:$C,'BASE DE EXCEL'!AR:AR,"NO HAY REFERENCIA")</f>
        <v>ZULEIMA PEREZ RUIZ</v>
      </c>
      <c r="DY71" s="3" t="str">
        <f>_xlfn.XLOOKUP(B71,'BASE DE EXCEL'!$C:$C,'BASE DE EXCEL'!AS:AS,"NO HAY REFERENCIA")</f>
        <v>HLCURTM260162366</v>
      </c>
      <c r="DZ71" s="3" t="str">
        <f>_xlfn.XLOOKUP(B71,'BASE DE EXCEL'!$C:$C,'BASE DE EXCEL'!AT:AT,"NO HAY REFERENCIA")</f>
        <v>NULL</v>
      </c>
      <c r="EA71" s="3">
        <f>_xlfn.XLOOKUP(B71,'BASE DE EXCEL'!$C:$C,'BASE DE EXCEL'!AU:AU,"NO HAY REFERENCIA")</f>
        <v>6000303</v>
      </c>
      <c r="EB71" s="3" t="str">
        <f>_xlfn.XLOOKUP(B71,'BASE DE EXCEL'!$C:$C,'BASE DE EXCEL'!AV:AV,"NO HAY REFERENCIA")</f>
        <v>Importación</v>
      </c>
      <c r="EC71" s="3" t="str">
        <f>_xlfn.XLOOKUP(B71,'BASE DE EXCEL'!$C:$C,'BASE DE EXCEL'!AW:AW,"NO HAY REFERENCIA")</f>
        <v>NOBILIS MA5+CLONE 30 (VACUNA DE USO VETERINARIO)</v>
      </c>
      <c r="ED71" s="3" t="str">
        <f>_xlfn.XLOOKUP(B71,'BASE DE EXCEL'!$C:$C,'BASE DE EXCEL'!AX:AX,"NO HAY REFERENCIA")</f>
        <v>SIN CLASIFICACION</v>
      </c>
      <c r="EE71" s="3">
        <f>_xlfn.XLOOKUP(B71,'BASE DE EXCEL'!$C:$C,'BASE DE EXCEL'!AY:AY,"NO HAY REFERENCIA")</f>
        <v>0</v>
      </c>
      <c r="EF71" s="3" t="str">
        <f>_xlfn.XLOOKUP(B71,'BASE DE EXCEL'!$C:$C,'BASE DE EXCEL'!AZ:AZ,"NO HAY REFERENCIA")</f>
        <v>Cargas de Importación</v>
      </c>
      <c r="EG71" s="3" t="str">
        <f>_xlfn.XLOOKUP(B71,'BASE DE EXCEL'!$C:$C,'BASE DE EXCEL'!BA:BA,"NO HAY REFERENCIA")</f>
        <v>INTERVET MEXICO SA DE CV</v>
      </c>
      <c r="EH71" s="3">
        <f>_xlfn.XLOOKUP(B71,'BASE DE EXCEL'!$C:$C,'BASE DE EXCEL'!BB:BB,"NO HAY REFERENCIA")</f>
        <v>0</v>
      </c>
      <c r="EI71" s="3" t="str">
        <f>_xlfn.XLOOKUP(B71,'BASE DE EXCEL'!$C:$C,'BASE DE EXCEL'!BC:BC,"NO HAY REFERENCIA")</f>
        <v>FALTA RRNA</v>
      </c>
      <c r="EJ71" s="3">
        <f>_xlfn.XLOOKUP(B71,'BASE DE EXCEL'!$C:$C,'BASE DE EXCEL'!BD:BD,"NO HAY REFERENCIA")</f>
        <v>0</v>
      </c>
      <c r="EK71" s="3" t="str">
        <f>_xlfn.XLOOKUP(B71,'BASE DE EXCEL'!$C:$C,'BASE DE EXCEL'!BE:BE,"NO HAY REFERENCIA")</f>
        <v>FALTA RRNA</v>
      </c>
      <c r="EL71" s="3" t="str">
        <f>_xlfn.XLOOKUP(B71,'BASE DE EXCEL'!$C:$C,'BASE DE EXCEL'!BF:BF,"NO HAY REFERENCIA")</f>
        <v>PRODUCTO TERMINADO</v>
      </c>
      <c r="EM71" s="3" t="str">
        <f>_xlfn.XLOOKUP(B71,'BASE DE EXCEL'!$C:$C,'BASE DE EXCEL'!BG:BG,"NO HAY REFERENCIA")</f>
        <v>Verde</v>
      </c>
      <c r="EN71" s="3" t="str">
        <f>_xlfn.XLOOKUP(B71,'BASE DE EXCEL'!$C:$C,'BASE DE EXCEL'!BH:BH,"NO HAY REFERENCIA")</f>
        <v xml:space="preserve"> MLH TRANSPORTE, S.A. DE C.V.</v>
      </c>
      <c r="EO71" s="3" t="str">
        <f>_xlfn.XLOOKUP(B71,'BASE DE EXCEL'!$C:$C,'BASE DE EXCEL'!BI:BI,"NO HAY REFERENCIA")</f>
        <v>TRACTOCAMION ECO 107</v>
      </c>
      <c r="EP71" s="3">
        <f>_xlfn.XLOOKUP(B71,'BASE DE EXCEL'!$C:$C,'BASE DE EXCEL'!BJ:BJ,"NO HAY REFERENCIA")</f>
        <v>0</v>
      </c>
      <c r="EQ71" s="3" t="str">
        <f>_xlfn.XLOOKUP(B71,'BASE DE EXCEL'!$C:$C,'BASE DE EXCEL'!BK:BK,"NO HAY REFERENCIA")</f>
        <v>IME850329RH2</v>
      </c>
      <c r="ER71" s="3">
        <f>_xlfn.XLOOKUP(B71,'BASE DE EXCEL'!$C:$C,'BASE DE EXCEL'!BL:BL,"NO HAY REFERENCIA")</f>
        <v>0</v>
      </c>
      <c r="ES71" s="3" t="str">
        <f>_xlfn.XLOOKUP(B71,'BASE DE EXCEL'!$C:$C,'BASE DE EXCEL'!BM:BM,"NO HAY REFERENCIA")</f>
        <v>00,99</v>
      </c>
      <c r="ET71" s="3" t="str">
        <f>_xlfn.XLOOKUP(B71,'BASE DE EXCEL'!$C:$C,'BASE DE EXCEL'!BN:BN,"NO HAY REFERENCIA")</f>
        <v>LOTE: SCBA207A11,LOTE: A053A01,LOTE: A224A01,LOTE: A198A02,LOTE: A489D01,LOTE: A061A01,LOTE: A247B01,LOTE: A436A02,LOTE: A142A01</v>
      </c>
      <c r="EU71" s="3">
        <f>_xlfn.XLOOKUP(B71,'BASE DE EXCEL'!$C:$C,'BASE DE EXCEL'!BO:BO,"NO HAY REFERENCIA")</f>
        <v>90</v>
      </c>
      <c r="EV71" s="3" t="str">
        <f>_xlfn.XLOOKUP(B71,'BASE DE EXCEL'!$C:$C,'BASE DE EXCEL'!BP:BP,"NO HAY REFERENCIA")</f>
        <v xml:space="preserve"> 321379.32, 13019554.91, 1145829.89, 3079396.80</v>
      </c>
      <c r="EW71" s="3" t="str">
        <f>_xlfn.XLOOKUP(B71,'BASE DE EXCEL'!$C:$C,'BASE DE EXCEL'!BQ:BQ,"NO HAY REFERENCIA")</f>
        <v>KILO,KILO,KILO,KILO,KILO,KILO,KILO,KILO,KILO</v>
      </c>
      <c r="EX71" s="3">
        <f>_xlfn.XLOOKUP(B71,'BASE DE EXCEL'!$C:$C,'BASE DE EXCEL'!BR:BR,"NO HAY REFERENCIA")</f>
        <v>0</v>
      </c>
      <c r="EY71" s="3" t="str">
        <f>_xlfn.XLOOKUP(B71,'BASE DE EXCEL'!$C:$C,'BASE DE EXCEL'!BS:BS,"NO HAY REFERENCIA")</f>
        <v>PAISES BAJOS (REINO DE LOS) (HOLANDA)</v>
      </c>
      <c r="EZ71" s="3" t="str">
        <f>_xlfn.XLOOKUP(B71,'BASE DE EXCEL'!$C:$C,'BASE DE EXCEL'!BT:BT,"NO HAY REFERENCIA")</f>
        <v>PAISES BAJOS (REINO DE LOS) (HOLANDA)</v>
      </c>
      <c r="FA71" s="3" t="str">
        <f>_xlfn.XLOOKUP(B71,'BASE DE EXCEL'!$C:$C,'BASE DE EXCEL'!BU:BU,"NO HAY REFERENCIA")</f>
        <v>ZYA</v>
      </c>
      <c r="FB71" s="3" t="str">
        <f>_xlfn.XLOOKUP(B71,'BASE DE EXCEL'!$C:$C,'BASE DE EXCEL'!BV:BV,"NO HAY REFERENCIA")</f>
        <v>ZYA</v>
      </c>
      <c r="FC71" s="3">
        <f>_xlfn.XLOOKUP(B71,QUERY!$C:$C,QUERY!D:D)</f>
        <v>430</v>
      </c>
      <c r="FD71" s="4">
        <f>_xlfn.XLOOKUP(B71,QUERY!$C:$C,QUERY!E:E)</f>
        <v>46084</v>
      </c>
      <c r="FE71" s="3">
        <f>_xlfn.XLOOKUP(B71,QUERY!$C:$C,QUERY!F:F)</f>
        <v>3</v>
      </c>
      <c r="FF71" s="4">
        <f>_xlfn.XLOOKUP(B71,QUERY!$C:$C,QUERY!G:G)</f>
        <v>46077</v>
      </c>
      <c r="FG71" s="4">
        <f>_xlfn.XLOOKUP(B71,QUERY!$C:$C,QUERY!H:H)</f>
        <v>46084</v>
      </c>
      <c r="FH71" s="3">
        <f>_xlfn.XLOOKUP(B71,QUERY!$C:$C,QUERY!I:I)</f>
        <v>5</v>
      </c>
      <c r="FI71" s="3" t="str">
        <f>_xlfn.XLOOKUP(B71,QUERY!$C:$C,QUERY!J:J)</f>
        <v>4 a 5 días</v>
      </c>
      <c r="FJ71" s="4">
        <f>_xlfn.XLOOKUP(B71,QUERY!$C:$C,QUERY!K:K)</f>
        <v>46085</v>
      </c>
      <c r="FK71" s="3">
        <f>_xlfn.XLOOKUP(B71,QUERY!$C:$C,QUERY!L:L)</f>
        <v>6</v>
      </c>
      <c r="FL71" s="3" t="str">
        <f>_xlfn.XLOOKUP(B71,QUERY!$C:$C,QUERY!M:M)</f>
        <v>6 a 10 días</v>
      </c>
      <c r="FM71" s="3">
        <f>_xlfn.XLOOKUP(B71,QUERY!$C:$C,QUERY!N:N)</f>
        <v>1</v>
      </c>
      <c r="FN71" s="3" t="str">
        <f>_xlfn.XLOOKUP(B71,QUERY!$C:$C,QUERY!O:O)</f>
        <v>1 día o menos</v>
      </c>
      <c r="FO71" s="3">
        <f>_xlfn.XLOOKUP(B71,QUERY!$C:$C,QUERY!P:P)</f>
        <v>1</v>
      </c>
      <c r="FP71" s="3">
        <f>_xlfn.XLOOKUP(B71,QUERY!$C:$C,QUERY!Q:Q)</f>
        <v>1</v>
      </c>
      <c r="FQ71" s="3" t="str">
        <f>_xlfn.XLOOKUP(B71,QUERY!$C:$C,QUERY!R:R)</f>
        <v>1 día o menos</v>
      </c>
      <c r="FR71" s="4">
        <f>_xlfn.XLOOKUP(B71,QUERY!$C:$C,QUERY!S:S)</f>
        <v>46086</v>
      </c>
      <c r="FS71" s="3">
        <f>_xlfn.XLOOKUP(B71,QUERY!$C:$C,QUERY!T:T)</f>
        <v>7</v>
      </c>
      <c r="FT71" s="3" t="str">
        <f>_xlfn.XLOOKUP(B71,QUERY!$C:$C,QUERY!U:U)</f>
        <v>6 a 10 días</v>
      </c>
      <c r="FU71" s="3">
        <f>_xlfn.XLOOKUP(B71,QUERY!$C:$C,QUERY!V:V)</f>
        <v>20</v>
      </c>
      <c r="FV71" s="3" t="str">
        <f>_xlfn.XLOOKUP(B71,QUERY!$C:$C,QUERY!W:W)</f>
        <v>más de 16 días</v>
      </c>
      <c r="FW71" s="4">
        <f>_xlfn.XLOOKUP(B71,QUERY!$C:$C,QUERY!X:X)</f>
        <v>46105</v>
      </c>
      <c r="FX71" s="3">
        <f>_xlfn.XLOOKUP(B71,QUERY!$C:$C,QUERY!Y:Y)</f>
        <v>12</v>
      </c>
      <c r="FY71" s="3">
        <f>_xlfn.XLOOKUP(B71,QUERY!$C:$C,QUERY!Z:Z)</f>
        <v>13</v>
      </c>
      <c r="FZ71" s="4" t="str">
        <f>_xlfn.XLOOKUP(B71,QUERY!$C:$C,QUERY!AA:AA)</f>
        <v>más de 16 días</v>
      </c>
      <c r="GA71" s="4">
        <f>_xlfn.XLOOKUP(B71,QUERY!$C:$C,QUERY!AB:AB)</f>
        <v>46104</v>
      </c>
      <c r="GB71" s="4">
        <f>_xlfn.XLOOKUP(B71,QUERY!$C:$C,QUERY!AC:AC)</f>
        <v>46105</v>
      </c>
      <c r="GC71" s="3">
        <f>_xlfn.XLOOKUP(B71,QUERY!$C:$C,QUERY!AD:AD)</f>
        <v>1</v>
      </c>
      <c r="GD71" s="4">
        <f>_xlfn.XLOOKUP(B71,QUERY!$C:$C,QUERY!AE:AE)</f>
        <v>46105</v>
      </c>
      <c r="GE71" s="3">
        <f>_xlfn.XLOOKUP(B71,QUERY!$C:$C,QUERY!AF:AF)</f>
        <v>1</v>
      </c>
      <c r="GF71" s="4" t="str">
        <f>_xlfn.XLOOKUP(B71,QUERY!$C:$C,QUERY!AG:AG)</f>
        <v>Es anterior</v>
      </c>
      <c r="GG71" s="3" t="str">
        <f>_xlfn.XLOOKUP(B71,QUERY!$C:$C,QUERY!AH:AH)</f>
        <v>A1</v>
      </c>
      <c r="GH71" s="3" t="str">
        <f>_xlfn.XLOOKUP(B71,QUERY!$C:$C,QUERY!AI:AI)</f>
        <v>ZULEIMA PEREZ RUIZ</v>
      </c>
      <c r="GI71" s="3" t="str">
        <f>_xlfn.XLOOKUP(B71,QUERY!$C:$C,QUERY!AJ:AJ)</f>
        <v>HLCURTM260162366</v>
      </c>
      <c r="GJ71" s="3" t="str">
        <f>_xlfn.XLOOKUP(B71,QUERY!$C:$C,QUERY!AK:AK)</f>
        <v>NULL</v>
      </c>
      <c r="GK71" s="3">
        <f>_xlfn.XLOOKUP(B71,QUERY!$C:$C,QUERY!AL:AL)</f>
        <v>6000303</v>
      </c>
      <c r="GL71" s="3" t="str">
        <f>_xlfn.XLOOKUP(B71,QUERY!$C:$C,QUERY!AM:AM)</f>
        <v>Importación</v>
      </c>
      <c r="GM71" s="3" t="str">
        <f>_xlfn.XLOOKUP(B71,QUERY!$C:$C,QUERY!AN:AN)</f>
        <v>NOBILIS MA5+CLONE 30 (VACUNA DE USO VETERINARIO)</v>
      </c>
      <c r="GN71" s="3" t="str">
        <f>_xlfn.XLOOKUP(B71,QUERY!$C:$C,QUERY!AO:AO)</f>
        <v>SIN CLASIFICACION</v>
      </c>
      <c r="GO71" s="3">
        <f>_xlfn.XLOOKUP(B71,QUERY!$C:$C,QUERY!AP:AP)</f>
        <v>0</v>
      </c>
      <c r="GP71" s="3" t="str">
        <f>_xlfn.XLOOKUP(B71,QUERY!$C:$C,QUERY!AQ:AQ)</f>
        <v>Cargas de Importación</v>
      </c>
      <c r="GQ71" s="3" t="str">
        <f>_xlfn.XLOOKUP(B71,QUERY!$C:$C,QUERY!AR:AR)</f>
        <v>INTERVET MEXICO SA DE CV</v>
      </c>
      <c r="GR71" s="3">
        <f>_xlfn.XLOOKUP(B71,QUERY!$C:$C,QUERY!AS:AS)</f>
        <v>0</v>
      </c>
      <c r="GS71" s="3" t="str">
        <f>_xlfn.XLOOKUP(B71,QUERY!$C:$C,QUERY!AT:AT)</f>
        <v>FALTA RRNA</v>
      </c>
      <c r="GT71" s="3">
        <f>_xlfn.XLOOKUP(B71,QUERY!$C:$C,QUERY!AU:AU)</f>
        <v>0</v>
      </c>
      <c r="GU71" s="3" t="str">
        <f>_xlfn.XLOOKUP(B71,QUERY!$C:$C,QUERY!AV:AV)</f>
        <v>FALTA RRNA</v>
      </c>
      <c r="GV71" s="3" t="str">
        <f>_xlfn.XLOOKUP(B71,QUERY!$C:$C,QUERY!AW:AW)</f>
        <v>PRODUCTO TERMINADO</v>
      </c>
      <c r="GW71" s="3" t="str">
        <f>_xlfn.XLOOKUP(B71,QUERY!$C:$C,QUERY!AX:AX)</f>
        <v>Verde</v>
      </c>
      <c r="GX71" s="3" t="str">
        <f>_xlfn.XLOOKUP(B71,QUERY!$C:$C,QUERY!AY:AY)</f>
        <v xml:space="preserve"> MLH TRANSPORTE, S.A. DE C.V.</v>
      </c>
      <c r="GY71" s="3" t="str">
        <f>_xlfn.XLOOKUP(B71,QUERY!$C:$C,QUERY!AZ:AZ)</f>
        <v>TRACTOCAMION ECO 107</v>
      </c>
      <c r="GZ71" s="3">
        <f>_xlfn.XLOOKUP(B71,QUERY!$C:$C,QUERY!BA:BA)</f>
        <v>0</v>
      </c>
      <c r="HA71" s="3" t="str">
        <f>_xlfn.XLOOKUP(B71,QUERY!$C:$C,QUERY!BB:BB)</f>
        <v>IME850329RH2</v>
      </c>
      <c r="HB71" s="3">
        <f>_xlfn.XLOOKUP(B71,QUERY!$C:$C,QUERY!BC:BC)</f>
        <v>0</v>
      </c>
      <c r="HC71" s="3">
        <f>_xlfn.XLOOKUP(B71,QUERY!$C:$C,QUERY!BD:BD)</f>
        <v>0.99</v>
      </c>
      <c r="HD71" s="3" t="str">
        <f>_xlfn.XLOOKUP(B71,QUERY!$C:$C,QUERY!BE:BE)</f>
        <v>LOTE: SCBA207A11,LOTE: A053A01,LOTE: A224A01,LOTE: A142A01,LOTE: A247B01,LOTE: A436A02,LOTE: A198A02,LOTE: A489D01,LOTE: A061A01</v>
      </c>
      <c r="HE71" s="3">
        <f>_xlfn.XLOOKUP(B71,QUERY!$C:$C,QUERY!BF:BF)</f>
        <v>90</v>
      </c>
      <c r="HF71" s="3" t="str">
        <f>_xlfn.XLOOKUP(B71,QUERY!$C:$C,QUERY!BG:BG)</f>
        <v xml:space="preserve"> 321379.32, 13019554.91, 1145829.89, 3079396.80</v>
      </c>
      <c r="HG71" s="3" t="str">
        <f>_xlfn.XLOOKUP(B71,QUERY!$C:$C,QUERY!BH:BH)</f>
        <v>KILO,KILO,KILO,KILO,KILO,KILO,KILO,KILO,KILO</v>
      </c>
      <c r="HH71" s="3">
        <f>_xlfn.XLOOKUP(B71,QUERY!$C:$C,QUERY!BI:BI)</f>
        <v>0</v>
      </c>
      <c r="HI71" s="3" t="str">
        <f>_xlfn.XLOOKUP(B71,QUERY!$C:$C,QUERY!BJ:BJ)</f>
        <v>PAISES BAJOS (REINO DE LOS) (HOLANDA)</v>
      </c>
      <c r="HJ71" s="3" t="str">
        <f>_xlfn.XLOOKUP(B71,QUERY!$C:$C,QUERY!BK:BK)</f>
        <v>PAISES BAJOS (REINO DE LOS) (HOLANDA)</v>
      </c>
      <c r="HK71" s="3" t="str">
        <f>_xlfn.XLOOKUP(B71,QUERY!$C:$C,QUERY!BL:BL)</f>
        <v>ZYA</v>
      </c>
      <c r="HL71" s="3" t="str">
        <f>_xlfn.XLOOKUP(B71,QUERY!$C:$C,QUERY!BM:BM)</f>
        <v>ZYA</v>
      </c>
      <c r="HM71" s="3">
        <f>_xlfn.XLOOKUP(B71,QUERY!$C:$C,QUERY!BN:BN)</f>
        <v>17566160</v>
      </c>
      <c r="HN71" s="3" t="str">
        <f>_xlfn.XLOOKUP(B71,QUERY!$C:$C,QUERY!BO:BO)</f>
        <v>462.00</v>
      </c>
      <c r="HO71" s="3" t="str">
        <f>_xlfn.XLOOKUP(B71,QUERY!$C:$C,QUERY!BP:BP)</f>
        <v>NULL</v>
      </c>
      <c r="HP71" s="3" t="str">
        <f>_xlfn.XLOOKUP(B71,QUERY!$C:$C,QUERY!BQ:BQ)</f>
        <v>NULL</v>
      </c>
      <c r="HQ71" s="3" t="str">
        <f>_xlfn.XLOOKUP(B71,QUERY!$C:$C,QUERY!BR:BR)</f>
        <v>250436.84</v>
      </c>
      <c r="HR71" s="3">
        <f>_xlfn.XLOOKUP(B71,QUERY!$C:$C,QUERY!BS:BS)</f>
        <v>0</v>
      </c>
      <c r="HS71" s="3">
        <f>_xlfn.XLOOKUP(B71,QUERY!$C:$C,QUERY!BT:BT)</f>
        <v>0</v>
      </c>
      <c r="HT71" s="3" t="str">
        <f>_xlfn.XLOOKUP(B71,QUERY!$C:$C,QUERY!A:A)</f>
        <v>VERACRUZ</v>
      </c>
      <c r="HU71" s="3" t="str">
        <f>_xlfn.XLOOKUP(B71,QUERY!$C:$C,QUERY!B:B)</f>
        <v>MARÍTIMO VERACRUZ</v>
      </c>
    </row>
    <row r="72" spans="1:229" x14ac:dyDescent="0.25">
      <c r="A72" s="3" t="s">
        <v>90</v>
      </c>
      <c r="B72" s="3" t="s">
        <v>257</v>
      </c>
      <c r="C72" s="3">
        <v>3942</v>
      </c>
      <c r="D72" s="3">
        <v>6000303</v>
      </c>
      <c r="E72" s="3"/>
      <c r="F72" s="3" t="s">
        <v>92</v>
      </c>
      <c r="G72" s="3" t="s">
        <v>93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430</v>
      </c>
      <c r="S72" s="3" t="s">
        <v>258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262</v>
      </c>
      <c r="AB72" s="3"/>
      <c r="AC72" s="3">
        <v>414126</v>
      </c>
      <c r="AD72" s="3">
        <v>690.21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/>
      <c r="AP72" s="3" t="s">
        <v>98</v>
      </c>
      <c r="AQ72" s="3">
        <v>210365020</v>
      </c>
      <c r="AR72" s="3" t="s">
        <v>99</v>
      </c>
      <c r="AS72" s="3" t="s">
        <v>100</v>
      </c>
      <c r="AT72" s="3">
        <v>0</v>
      </c>
      <c r="AU72" s="3">
        <v>0</v>
      </c>
      <c r="AV72" s="3">
        <v>0</v>
      </c>
      <c r="AW72" s="3">
        <v>30024201</v>
      </c>
      <c r="AX72" s="3">
        <v>99</v>
      </c>
      <c r="AY72" s="3">
        <v>600</v>
      </c>
      <c r="AZ72" s="3">
        <v>600</v>
      </c>
      <c r="BA72" s="3" t="s">
        <v>103</v>
      </c>
      <c r="BB72" s="3"/>
      <c r="BC72" s="3" t="s">
        <v>105</v>
      </c>
      <c r="BD72" s="3" t="s">
        <v>105</v>
      </c>
      <c r="BE72" s="3"/>
      <c r="BF72" s="3"/>
      <c r="BG72" s="5"/>
      <c r="BH72" s="3"/>
      <c r="BI72" s="3"/>
      <c r="BJ72" s="3"/>
      <c r="BK72" s="3" t="s">
        <v>263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 t="s">
        <v>192</v>
      </c>
      <c r="CF72" s="3">
        <v>0</v>
      </c>
      <c r="CG72" s="3">
        <v>0</v>
      </c>
      <c r="CH72" s="3">
        <v>0</v>
      </c>
      <c r="CI72" s="3" t="s">
        <v>112</v>
      </c>
      <c r="CJ72" s="3" t="s">
        <v>112</v>
      </c>
      <c r="CK72" s="3">
        <f>_xlfn.XLOOKUP($B$2,'BASE DE EXCEL'!C:C,'BASE DE EXCEL'!D:D,"NO HAY REFERENCIA")</f>
        <v>470</v>
      </c>
      <c r="CL72" s="5">
        <f>_xlfn.XLOOKUP($B$2,'BASE DE EXCEL'!$C:$C,'BASE DE EXCEL'!F:F,"NO HAY REFERENCIA")</f>
        <v>3</v>
      </c>
      <c r="CM72" s="4">
        <f>_xlfn.XLOOKUP($B$2,'BASE DE EXCEL'!$C:$C,'BASE DE EXCEL'!G:G,"NO HAY REFERENCIA")</f>
        <v>46080</v>
      </c>
      <c r="CN72" s="4">
        <f>_xlfn.XLOOKUP($B$2,'BASE DE EXCEL'!$C:$C,'BASE DE EXCEL'!H:H,"NO HAY REFERENCIA")</f>
        <v>46086</v>
      </c>
      <c r="CO72" s="3">
        <f>_xlfn.XLOOKUP($B$2,'BASE DE EXCEL'!$C:$C,'BASE DE EXCEL'!I:I,"NO HAY REFERENCIA")</f>
        <v>4</v>
      </c>
      <c r="CP72" s="3" t="str">
        <f>_xlfn.XLOOKUP($B$2,'BASE DE EXCEL'!$C:$C,'BASE DE EXCEL'!J:J,"NO HAY REFERENCIA")</f>
        <v>4 a 5 días</v>
      </c>
      <c r="CQ72" s="4">
        <f>_xlfn.XLOOKUP($B$2,'BASE DE EXCEL'!$C:$C,'BASE DE EXCEL'!K:K,"NO HAY REFERENCIA")</f>
        <v>46087</v>
      </c>
      <c r="CR72" s="3">
        <f>_xlfn.XLOOKUP($B$2,'BASE DE EXCEL'!$C:$C,'BASE DE EXCEL'!L:L,"NO HAY REFERENCIA")</f>
        <v>5</v>
      </c>
      <c r="CS72" s="3">
        <f>_xlfn.XLOOKUP($B$2,'BASE DE EXCEL'!$C:$C,'BASE DE EXCEL'!M:M,"NO HAY REFERENCIA")</f>
        <v>6</v>
      </c>
      <c r="CT72" s="3" t="str">
        <f>_xlfn.XLOOKUP($B$2,'BASE DE EXCEL'!$C:$C,'BASE DE EXCEL'!N:N,"NO HAY REFERENCIA")</f>
        <v>6 a 10 días</v>
      </c>
      <c r="CU72" s="3" t="str">
        <f>_xlfn.XLOOKUP($B$2,'BASE DE EXCEL'!$C:$C,'BASE DE EXCEL'!O:O,"NO HAY REFERENCIA")</f>
        <v>On Time</v>
      </c>
      <c r="CV72" s="3" t="str">
        <f>_xlfn.XLOOKUP(B72,'BASE DE EXCEL'!$C:$C,'BASE DE EXCEL'!P:P,"NO HAY REFERENCIA")</f>
        <v>6 a 10 días</v>
      </c>
      <c r="CW72" s="4">
        <f>_xlfn.XLOOKUP(B72,'BASE DE EXCEL'!$C:$C,'BASE DE EXCEL'!Q:Q,"NO HAY REFERENCIA")</f>
        <v>46086</v>
      </c>
      <c r="CX72" s="3">
        <f>_xlfn.XLOOKUP(B72,'BASE DE EXCEL'!$C:$C,'BASE DE EXCEL'!R:R,"NO HAY REFERENCIA")</f>
        <v>8</v>
      </c>
      <c r="CY72" s="3" t="str">
        <f>_xlfn.XLOOKUP(B72,'BASE DE EXCEL'!$C:$C,'BASE DE EXCEL'!S:S,"NO HAY REFERENCIA")</f>
        <v>6 a 10 días</v>
      </c>
      <c r="CZ72" s="3" t="str">
        <f>_xlfn.XLOOKUP(B72,'BASE DE EXCEL'!$C:$C,'BASE DE EXCEL'!T:T,"NO HAY REFERENCIA")</f>
        <v>Delayed</v>
      </c>
      <c r="DA72" s="3">
        <f>_xlfn.XLOOKUP(B72,'BASE DE EXCEL'!$C:$C,'BASE DE EXCEL'!U:U,"NO HAY REFERENCIA")</f>
        <v>9</v>
      </c>
      <c r="DB72" s="3" t="str">
        <f>_xlfn.XLOOKUP(B72,'BASE DE EXCEL'!$C:$C,'BASE DE EXCEL'!V:V,"NO HAY REFERENCIA")</f>
        <v>6 a 10 días</v>
      </c>
      <c r="DC72" s="3">
        <f>_xlfn.XLOOKUP(B72,'BASE DE EXCEL'!$C:$C,'BASE DE EXCEL'!W:W,"NO HAY REFERENCIA")</f>
        <v>20</v>
      </c>
      <c r="DD72" s="3" t="str">
        <f>_xlfn.XLOOKUP(B72,'BASE DE EXCEL'!$C:$C,'BASE DE EXCEL'!X:X,"NO HAY REFERENCIA")</f>
        <v>más de 16 días</v>
      </c>
      <c r="DE72" s="3">
        <f>_xlfn.XLOOKUP(B72,'BASE DE EXCEL'!$C:$C,'BASE DE EXCEL'!Y:Y,"NO HAY REFERENCIA")</f>
        <v>1</v>
      </c>
      <c r="DF72" s="3" t="str">
        <f>_xlfn.XLOOKUP(B72,'BASE DE EXCEL'!$C:$C,'BASE DE EXCEL'!Z:Z,"NO HAY REFERENCIA")</f>
        <v>1 día o menos</v>
      </c>
      <c r="DG72" s="3">
        <f>_xlfn.XLOOKUP(B72,'BASE DE EXCEL'!$C:$C,'BASE DE EXCEL'!AA:AA,"NO HAY REFERENCIA")</f>
        <v>7</v>
      </c>
      <c r="DH72" s="3">
        <f>_xlfn.XLOOKUP(B72,'BASE DE EXCEL'!$C:$C,'BASE DE EXCEL'!AB:AB,"NO HAY REFERENCIA")</f>
        <v>1</v>
      </c>
      <c r="DI72" s="3" t="str">
        <f>_xlfn.XLOOKUP(B72,'BASE DE EXCEL'!$C:$C,'BASE DE EXCEL'!AC:AC,"NO HAY REFERENCIA")</f>
        <v>1 día o menos</v>
      </c>
      <c r="DJ72" s="4">
        <f>_xlfn.XLOOKUP(B72,'BASE DE EXCEL'!$C:$C,'BASE DE EXCEL'!AD:AD,"NO HAY REFERENCIA")</f>
        <v>46105</v>
      </c>
      <c r="DK72" s="3">
        <f>_xlfn.XLOOKUP(B72,'BASE DE EXCEL'!$C:$C,'BASE DE EXCEL'!AE:AE,"NO HAY REFERENCIA")</f>
        <v>18</v>
      </c>
      <c r="DL72" s="3">
        <f>_xlfn.XLOOKUP(B72,'BASE DE EXCEL'!$C:$C,'BASE DE EXCEL'!AF:AF,"NO HAY REFERENCIA")</f>
        <v>13</v>
      </c>
      <c r="DM72" s="4">
        <f>_xlfn.XLOOKUP(B72,'BASE DE EXCEL'!$C:$C,'BASE DE EXCEL'!AG:AG,"NO HAY REFERENCIA")</f>
        <v>46104</v>
      </c>
      <c r="DN72" s="4">
        <f>_xlfn.XLOOKUP(B72,'BASE DE EXCEL'!$C:$C,'BASE DE EXCEL'!AH:AH,"NO HAY REFERENCIA")</f>
        <v>46105</v>
      </c>
      <c r="DO72" s="3">
        <f>_xlfn.XLOOKUP(B72,'BASE DE EXCEL'!$C:$C,'BASE DE EXCEL'!AI:AI,"NO HAY REFERENCIA")</f>
        <v>1</v>
      </c>
      <c r="DP72" s="4" t="str">
        <f>_xlfn.XLOOKUP(B72,'BASE DE EXCEL'!$C:$C,'BASE DE EXCEL'!AJ:AJ,"NO HAY REFERENCIA")</f>
        <v>más de 16 días</v>
      </c>
      <c r="DQ72" s="4">
        <f>_xlfn.XLOOKUP(B72,'BASE DE EXCEL'!$C:$C,'BASE DE EXCEL'!AK:AK,"NO HAY REFERENCIA")</f>
        <v>46105</v>
      </c>
      <c r="DR72" s="3">
        <f>_xlfn.XLOOKUP(B72,'BASE DE EXCEL'!$C:$C,'BASE DE EXCEL'!AL:AL,"NO HAY REFERENCIA")</f>
        <v>13</v>
      </c>
      <c r="DS72" s="3" t="str">
        <f>_xlfn.XLOOKUP(B72,'BASE DE EXCEL'!$C:$C,'BASE DE EXCEL'!AM:AM,"NO HAY REFERENCIA")</f>
        <v>11 a 15 días</v>
      </c>
      <c r="DT72" s="3" t="str">
        <f>_xlfn.XLOOKUP(B72,'BASE DE EXCEL'!$C:$C,'BASE DE EXCEL'!AN:AN,"NO HAY REFERENCIA")</f>
        <v>Delayed</v>
      </c>
      <c r="DU72" s="3">
        <f>_xlfn.XLOOKUP(B72,'BASE DE EXCEL'!$C:$C,'BASE DE EXCEL'!AO:AO,"NO HAY REFERENCIA")</f>
        <v>1</v>
      </c>
      <c r="DV72" s="3" t="str">
        <f>_xlfn.XLOOKUP(B72,'BASE DE EXCEL'!$C:$C,'BASE DE EXCEL'!AP:AP,"NO HAY REFERENCIA")</f>
        <v>Es anterior</v>
      </c>
      <c r="DW72" s="3" t="str">
        <f>_xlfn.XLOOKUP(B72,'BASE DE EXCEL'!$C:$C,'BASE DE EXCEL'!AQ:AQ,"NO HAY REFERENCIA")</f>
        <v>A1</v>
      </c>
      <c r="DX72" s="3" t="str">
        <f>_xlfn.XLOOKUP(B72,'BASE DE EXCEL'!$C:$C,'BASE DE EXCEL'!AR:AR,"NO HAY REFERENCIA")</f>
        <v>ZULEIMA PEREZ RUIZ</v>
      </c>
      <c r="DY72" s="3" t="str">
        <f>_xlfn.XLOOKUP(B72,'BASE DE EXCEL'!$C:$C,'BASE DE EXCEL'!AS:AS,"NO HAY REFERENCIA")</f>
        <v>HLCURTM260162366</v>
      </c>
      <c r="DZ72" s="3" t="str">
        <f>_xlfn.XLOOKUP(B72,'BASE DE EXCEL'!$C:$C,'BASE DE EXCEL'!AT:AT,"NO HAY REFERENCIA")</f>
        <v>NULL</v>
      </c>
      <c r="EA72" s="3">
        <f>_xlfn.XLOOKUP(B72,'BASE DE EXCEL'!$C:$C,'BASE DE EXCEL'!AU:AU,"NO HAY REFERENCIA")</f>
        <v>6000303</v>
      </c>
      <c r="EB72" s="3" t="str">
        <f>_xlfn.XLOOKUP(B72,'BASE DE EXCEL'!$C:$C,'BASE DE EXCEL'!AV:AV,"NO HAY REFERENCIA")</f>
        <v>Importación</v>
      </c>
      <c r="EC72" s="3" t="str">
        <f>_xlfn.XLOOKUP(B72,'BASE DE EXCEL'!$C:$C,'BASE DE EXCEL'!AW:AW,"NO HAY REFERENCIA")</f>
        <v>NOBILIS MA5+CLONE 30 (VACUNA DE USO VETERINARIO)</v>
      </c>
      <c r="ED72" s="3" t="str">
        <f>_xlfn.XLOOKUP(B72,'BASE DE EXCEL'!$C:$C,'BASE DE EXCEL'!AX:AX,"NO HAY REFERENCIA")</f>
        <v>SIN CLASIFICACION</v>
      </c>
      <c r="EE72" s="3">
        <f>_xlfn.XLOOKUP(B72,'BASE DE EXCEL'!$C:$C,'BASE DE EXCEL'!AY:AY,"NO HAY REFERENCIA")</f>
        <v>0</v>
      </c>
      <c r="EF72" s="3" t="str">
        <f>_xlfn.XLOOKUP(B72,'BASE DE EXCEL'!$C:$C,'BASE DE EXCEL'!AZ:AZ,"NO HAY REFERENCIA")</f>
        <v>Cargas de Importación</v>
      </c>
      <c r="EG72" s="3" t="str">
        <f>_xlfn.XLOOKUP(B72,'BASE DE EXCEL'!$C:$C,'BASE DE EXCEL'!BA:BA,"NO HAY REFERENCIA")</f>
        <v>INTERVET MEXICO SA DE CV</v>
      </c>
      <c r="EH72" s="3">
        <f>_xlfn.XLOOKUP(B72,'BASE DE EXCEL'!$C:$C,'BASE DE EXCEL'!BB:BB,"NO HAY REFERENCIA")</f>
        <v>0</v>
      </c>
      <c r="EI72" s="3" t="str">
        <f>_xlfn.XLOOKUP(B72,'BASE DE EXCEL'!$C:$C,'BASE DE EXCEL'!BC:BC,"NO HAY REFERENCIA")</f>
        <v>FALTA RRNA</v>
      </c>
      <c r="EJ72" s="3">
        <f>_xlfn.XLOOKUP(B72,'BASE DE EXCEL'!$C:$C,'BASE DE EXCEL'!BD:BD,"NO HAY REFERENCIA")</f>
        <v>0</v>
      </c>
      <c r="EK72" s="3" t="str">
        <f>_xlfn.XLOOKUP(B72,'BASE DE EXCEL'!$C:$C,'BASE DE EXCEL'!BE:BE,"NO HAY REFERENCIA")</f>
        <v>FALTA RRNA</v>
      </c>
      <c r="EL72" s="3" t="str">
        <f>_xlfn.XLOOKUP(B72,'BASE DE EXCEL'!$C:$C,'BASE DE EXCEL'!BF:BF,"NO HAY REFERENCIA")</f>
        <v>PRODUCTO TERMINADO</v>
      </c>
      <c r="EM72" s="3" t="str">
        <f>_xlfn.XLOOKUP(B72,'BASE DE EXCEL'!$C:$C,'BASE DE EXCEL'!BG:BG,"NO HAY REFERENCIA")</f>
        <v>Verde</v>
      </c>
      <c r="EN72" s="3" t="str">
        <f>_xlfn.XLOOKUP(B72,'BASE DE EXCEL'!$C:$C,'BASE DE EXCEL'!BH:BH,"NO HAY REFERENCIA")</f>
        <v xml:space="preserve"> MLH TRANSPORTE, S.A. DE C.V.</v>
      </c>
      <c r="EO72" s="3" t="str">
        <f>_xlfn.XLOOKUP(B72,'BASE DE EXCEL'!$C:$C,'BASE DE EXCEL'!BI:BI,"NO HAY REFERENCIA")</f>
        <v>TRACTOCAMION ECO 107</v>
      </c>
      <c r="EP72" s="3">
        <f>_xlfn.XLOOKUP(B72,'BASE DE EXCEL'!$C:$C,'BASE DE EXCEL'!BJ:BJ,"NO HAY REFERENCIA")</f>
        <v>0</v>
      </c>
      <c r="EQ72" s="3" t="str">
        <f>_xlfn.XLOOKUP(B72,'BASE DE EXCEL'!$C:$C,'BASE DE EXCEL'!BK:BK,"NO HAY REFERENCIA")</f>
        <v>IME850329RH2</v>
      </c>
      <c r="ER72" s="3">
        <f>_xlfn.XLOOKUP(B72,'BASE DE EXCEL'!$C:$C,'BASE DE EXCEL'!BL:BL,"NO HAY REFERENCIA")</f>
        <v>0</v>
      </c>
      <c r="ES72" s="3" t="str">
        <f>_xlfn.XLOOKUP(B72,'BASE DE EXCEL'!$C:$C,'BASE DE EXCEL'!BM:BM,"NO HAY REFERENCIA")</f>
        <v>00,99</v>
      </c>
      <c r="ET72" s="3" t="str">
        <f>_xlfn.XLOOKUP(B72,'BASE DE EXCEL'!$C:$C,'BASE DE EXCEL'!BN:BN,"NO HAY REFERENCIA")</f>
        <v>LOTE: SCBA207A11,LOTE: A053A01,LOTE: A224A01,LOTE: A198A02,LOTE: A489D01,LOTE: A061A01,LOTE: A247B01,LOTE: A436A02,LOTE: A142A01</v>
      </c>
      <c r="EU72" s="3">
        <f>_xlfn.XLOOKUP(B72,'BASE DE EXCEL'!$C:$C,'BASE DE EXCEL'!BO:BO,"NO HAY REFERENCIA")</f>
        <v>90</v>
      </c>
      <c r="EV72" s="3" t="str">
        <f>_xlfn.XLOOKUP(B72,'BASE DE EXCEL'!$C:$C,'BASE DE EXCEL'!BP:BP,"NO HAY REFERENCIA")</f>
        <v xml:space="preserve"> 321379.32, 13019554.91, 1145829.89, 3079396.80</v>
      </c>
      <c r="EW72" s="3" t="str">
        <f>_xlfn.XLOOKUP(B72,'BASE DE EXCEL'!$C:$C,'BASE DE EXCEL'!BQ:BQ,"NO HAY REFERENCIA")</f>
        <v>KILO,KILO,KILO,KILO,KILO,KILO,KILO,KILO,KILO</v>
      </c>
      <c r="EX72" s="3">
        <f>_xlfn.XLOOKUP(B72,'BASE DE EXCEL'!$C:$C,'BASE DE EXCEL'!BR:BR,"NO HAY REFERENCIA")</f>
        <v>0</v>
      </c>
      <c r="EY72" s="3" t="str">
        <f>_xlfn.XLOOKUP(B72,'BASE DE EXCEL'!$C:$C,'BASE DE EXCEL'!BS:BS,"NO HAY REFERENCIA")</f>
        <v>PAISES BAJOS (REINO DE LOS) (HOLANDA)</v>
      </c>
      <c r="EZ72" s="3" t="str">
        <f>_xlfn.XLOOKUP(B72,'BASE DE EXCEL'!$C:$C,'BASE DE EXCEL'!BT:BT,"NO HAY REFERENCIA")</f>
        <v>PAISES BAJOS (REINO DE LOS) (HOLANDA)</v>
      </c>
      <c r="FA72" s="3" t="str">
        <f>_xlfn.XLOOKUP(B72,'BASE DE EXCEL'!$C:$C,'BASE DE EXCEL'!BU:BU,"NO HAY REFERENCIA")</f>
        <v>ZYA</v>
      </c>
      <c r="FB72" s="3" t="str">
        <f>_xlfn.XLOOKUP(B72,'BASE DE EXCEL'!$C:$C,'BASE DE EXCEL'!BV:BV,"NO HAY REFERENCIA")</f>
        <v>ZYA</v>
      </c>
      <c r="FC72" s="3">
        <f>_xlfn.XLOOKUP(B72,QUERY!$C:$C,QUERY!D:D)</f>
        <v>430</v>
      </c>
      <c r="FD72" s="4">
        <f>_xlfn.XLOOKUP(B72,QUERY!$C:$C,QUERY!E:E)</f>
        <v>46084</v>
      </c>
      <c r="FE72" s="3">
        <f>_xlfn.XLOOKUP(B72,QUERY!$C:$C,QUERY!F:F)</f>
        <v>3</v>
      </c>
      <c r="FF72" s="4">
        <f>_xlfn.XLOOKUP(B72,QUERY!$C:$C,QUERY!G:G)</f>
        <v>46077</v>
      </c>
      <c r="FG72" s="4">
        <f>_xlfn.XLOOKUP(B72,QUERY!$C:$C,QUERY!H:H)</f>
        <v>46084</v>
      </c>
      <c r="FH72" s="3">
        <f>_xlfn.XLOOKUP(B72,QUERY!$C:$C,QUERY!I:I)</f>
        <v>5</v>
      </c>
      <c r="FI72" s="3" t="str">
        <f>_xlfn.XLOOKUP(B72,QUERY!$C:$C,QUERY!J:J)</f>
        <v>4 a 5 días</v>
      </c>
      <c r="FJ72" s="4">
        <f>_xlfn.XLOOKUP(B72,QUERY!$C:$C,QUERY!K:K)</f>
        <v>46085</v>
      </c>
      <c r="FK72" s="3">
        <f>_xlfn.XLOOKUP(B72,QUERY!$C:$C,QUERY!L:L)</f>
        <v>6</v>
      </c>
      <c r="FL72" s="3" t="str">
        <f>_xlfn.XLOOKUP(B72,QUERY!$C:$C,QUERY!M:M)</f>
        <v>6 a 10 días</v>
      </c>
      <c r="FM72" s="3">
        <f>_xlfn.XLOOKUP(B72,QUERY!$C:$C,QUERY!N:N)</f>
        <v>1</v>
      </c>
      <c r="FN72" s="3" t="str">
        <f>_xlfn.XLOOKUP(B72,QUERY!$C:$C,QUERY!O:O)</f>
        <v>1 día o menos</v>
      </c>
      <c r="FO72" s="3">
        <f>_xlfn.XLOOKUP(B72,QUERY!$C:$C,QUERY!P:P)</f>
        <v>1</v>
      </c>
      <c r="FP72" s="3">
        <f>_xlfn.XLOOKUP(B72,QUERY!$C:$C,QUERY!Q:Q)</f>
        <v>1</v>
      </c>
      <c r="FQ72" s="3" t="str">
        <f>_xlfn.XLOOKUP(B72,QUERY!$C:$C,QUERY!R:R)</f>
        <v>1 día o menos</v>
      </c>
      <c r="FR72" s="4">
        <f>_xlfn.XLOOKUP(B72,QUERY!$C:$C,QUERY!S:S)</f>
        <v>46086</v>
      </c>
      <c r="FS72" s="3">
        <f>_xlfn.XLOOKUP(B72,QUERY!$C:$C,QUERY!T:T)</f>
        <v>7</v>
      </c>
      <c r="FT72" s="3" t="str">
        <f>_xlfn.XLOOKUP(B72,QUERY!$C:$C,QUERY!U:U)</f>
        <v>6 a 10 días</v>
      </c>
      <c r="FU72" s="3">
        <f>_xlfn.XLOOKUP(B72,QUERY!$C:$C,QUERY!V:V)</f>
        <v>20</v>
      </c>
      <c r="FV72" s="3" t="str">
        <f>_xlfn.XLOOKUP(B72,QUERY!$C:$C,QUERY!W:W)</f>
        <v>más de 16 días</v>
      </c>
      <c r="FW72" s="4">
        <f>_xlfn.XLOOKUP(B72,QUERY!$C:$C,QUERY!X:X)</f>
        <v>46105</v>
      </c>
      <c r="FX72" s="3">
        <f>_xlfn.XLOOKUP(B72,QUERY!$C:$C,QUERY!Y:Y)</f>
        <v>12</v>
      </c>
      <c r="FY72" s="3">
        <f>_xlfn.XLOOKUP(B72,QUERY!$C:$C,QUERY!Z:Z)</f>
        <v>13</v>
      </c>
      <c r="FZ72" s="4" t="str">
        <f>_xlfn.XLOOKUP(B72,QUERY!$C:$C,QUERY!AA:AA)</f>
        <v>más de 16 días</v>
      </c>
      <c r="GA72" s="4">
        <f>_xlfn.XLOOKUP(B72,QUERY!$C:$C,QUERY!AB:AB)</f>
        <v>46104</v>
      </c>
      <c r="GB72" s="4">
        <f>_xlfn.XLOOKUP(B72,QUERY!$C:$C,QUERY!AC:AC)</f>
        <v>46105</v>
      </c>
      <c r="GC72" s="3">
        <f>_xlfn.XLOOKUP(B72,QUERY!$C:$C,QUERY!AD:AD)</f>
        <v>1</v>
      </c>
      <c r="GD72" s="4">
        <f>_xlfn.XLOOKUP(B72,QUERY!$C:$C,QUERY!AE:AE)</f>
        <v>46105</v>
      </c>
      <c r="GE72" s="3">
        <f>_xlfn.XLOOKUP(B72,QUERY!$C:$C,QUERY!AF:AF)</f>
        <v>1</v>
      </c>
      <c r="GF72" s="4" t="str">
        <f>_xlfn.XLOOKUP(B72,QUERY!$C:$C,QUERY!AG:AG)</f>
        <v>Es anterior</v>
      </c>
      <c r="GG72" s="3" t="str">
        <f>_xlfn.XLOOKUP(B72,QUERY!$C:$C,QUERY!AH:AH)</f>
        <v>A1</v>
      </c>
      <c r="GH72" s="3" t="str">
        <f>_xlfn.XLOOKUP(B72,QUERY!$C:$C,QUERY!AI:AI)</f>
        <v>ZULEIMA PEREZ RUIZ</v>
      </c>
      <c r="GI72" s="3" t="str">
        <f>_xlfn.XLOOKUP(B72,QUERY!$C:$C,QUERY!AJ:AJ)</f>
        <v>HLCURTM260162366</v>
      </c>
      <c r="GJ72" s="3" t="str">
        <f>_xlfn.XLOOKUP(B72,QUERY!$C:$C,QUERY!AK:AK)</f>
        <v>NULL</v>
      </c>
      <c r="GK72" s="3">
        <f>_xlfn.XLOOKUP(B72,QUERY!$C:$C,QUERY!AL:AL)</f>
        <v>6000303</v>
      </c>
      <c r="GL72" s="3" t="str">
        <f>_xlfn.XLOOKUP(B72,QUERY!$C:$C,QUERY!AM:AM)</f>
        <v>Importación</v>
      </c>
      <c r="GM72" s="3" t="str">
        <f>_xlfn.XLOOKUP(B72,QUERY!$C:$C,QUERY!AN:AN)</f>
        <v>NOBILIS MA5+CLONE 30 (VACUNA DE USO VETERINARIO)</v>
      </c>
      <c r="GN72" s="3" t="str">
        <f>_xlfn.XLOOKUP(B72,QUERY!$C:$C,QUERY!AO:AO)</f>
        <v>SIN CLASIFICACION</v>
      </c>
      <c r="GO72" s="3">
        <f>_xlfn.XLOOKUP(B72,QUERY!$C:$C,QUERY!AP:AP)</f>
        <v>0</v>
      </c>
      <c r="GP72" s="3" t="str">
        <f>_xlfn.XLOOKUP(B72,QUERY!$C:$C,QUERY!AQ:AQ)</f>
        <v>Cargas de Importación</v>
      </c>
      <c r="GQ72" s="3" t="str">
        <f>_xlfn.XLOOKUP(B72,QUERY!$C:$C,QUERY!AR:AR)</f>
        <v>INTERVET MEXICO SA DE CV</v>
      </c>
      <c r="GR72" s="3">
        <f>_xlfn.XLOOKUP(B72,QUERY!$C:$C,QUERY!AS:AS)</f>
        <v>0</v>
      </c>
      <c r="GS72" s="3" t="str">
        <f>_xlfn.XLOOKUP(B72,QUERY!$C:$C,QUERY!AT:AT)</f>
        <v>FALTA RRNA</v>
      </c>
      <c r="GT72" s="3">
        <f>_xlfn.XLOOKUP(B72,QUERY!$C:$C,QUERY!AU:AU)</f>
        <v>0</v>
      </c>
      <c r="GU72" s="3" t="str">
        <f>_xlfn.XLOOKUP(B72,QUERY!$C:$C,QUERY!AV:AV)</f>
        <v>FALTA RRNA</v>
      </c>
      <c r="GV72" s="3" t="str">
        <f>_xlfn.XLOOKUP(B72,QUERY!$C:$C,QUERY!AW:AW)</f>
        <v>PRODUCTO TERMINADO</v>
      </c>
      <c r="GW72" s="3" t="str">
        <f>_xlfn.XLOOKUP(B72,QUERY!$C:$C,QUERY!AX:AX)</f>
        <v>Verde</v>
      </c>
      <c r="GX72" s="3" t="str">
        <f>_xlfn.XLOOKUP(B72,QUERY!$C:$C,QUERY!AY:AY)</f>
        <v xml:space="preserve"> MLH TRANSPORTE, S.A. DE C.V.</v>
      </c>
      <c r="GY72" s="3" t="str">
        <f>_xlfn.XLOOKUP(B72,QUERY!$C:$C,QUERY!AZ:AZ)</f>
        <v>TRACTOCAMION ECO 107</v>
      </c>
      <c r="GZ72" s="3">
        <f>_xlfn.XLOOKUP(B72,QUERY!$C:$C,QUERY!BA:BA)</f>
        <v>0</v>
      </c>
      <c r="HA72" s="3" t="str">
        <f>_xlfn.XLOOKUP(B72,QUERY!$C:$C,QUERY!BB:BB)</f>
        <v>IME850329RH2</v>
      </c>
      <c r="HB72" s="3">
        <f>_xlfn.XLOOKUP(B72,QUERY!$C:$C,QUERY!BC:BC)</f>
        <v>0</v>
      </c>
      <c r="HC72" s="3">
        <f>_xlfn.XLOOKUP(B72,QUERY!$C:$C,QUERY!BD:BD)</f>
        <v>0.99</v>
      </c>
      <c r="HD72" s="3" t="str">
        <f>_xlfn.XLOOKUP(B72,QUERY!$C:$C,QUERY!BE:BE)</f>
        <v>LOTE: SCBA207A11,LOTE: A053A01,LOTE: A224A01,LOTE: A142A01,LOTE: A247B01,LOTE: A436A02,LOTE: A198A02,LOTE: A489D01,LOTE: A061A01</v>
      </c>
      <c r="HE72" s="3">
        <f>_xlfn.XLOOKUP(B72,QUERY!$C:$C,QUERY!BF:BF)</f>
        <v>90</v>
      </c>
      <c r="HF72" s="3" t="str">
        <f>_xlfn.XLOOKUP(B72,QUERY!$C:$C,QUERY!BG:BG)</f>
        <v xml:space="preserve"> 321379.32, 13019554.91, 1145829.89, 3079396.80</v>
      </c>
      <c r="HG72" s="3" t="str">
        <f>_xlfn.XLOOKUP(B72,QUERY!$C:$C,QUERY!BH:BH)</f>
        <v>KILO,KILO,KILO,KILO,KILO,KILO,KILO,KILO,KILO</v>
      </c>
      <c r="HH72" s="3">
        <f>_xlfn.XLOOKUP(B72,QUERY!$C:$C,QUERY!BI:BI)</f>
        <v>0</v>
      </c>
      <c r="HI72" s="3" t="str">
        <f>_xlfn.XLOOKUP(B72,QUERY!$C:$C,QUERY!BJ:BJ)</f>
        <v>PAISES BAJOS (REINO DE LOS) (HOLANDA)</v>
      </c>
      <c r="HJ72" s="3" t="str">
        <f>_xlfn.XLOOKUP(B72,QUERY!$C:$C,QUERY!BK:BK)</f>
        <v>PAISES BAJOS (REINO DE LOS) (HOLANDA)</v>
      </c>
      <c r="HK72" s="3" t="str">
        <f>_xlfn.XLOOKUP(B72,QUERY!$C:$C,QUERY!BL:BL)</f>
        <v>ZYA</v>
      </c>
      <c r="HL72" s="3" t="str">
        <f>_xlfn.XLOOKUP(B72,QUERY!$C:$C,QUERY!BM:BM)</f>
        <v>ZYA</v>
      </c>
      <c r="HM72" s="3">
        <f>_xlfn.XLOOKUP(B72,QUERY!$C:$C,QUERY!BN:BN)</f>
        <v>17566160</v>
      </c>
      <c r="HN72" s="3" t="str">
        <f>_xlfn.XLOOKUP(B72,QUERY!$C:$C,QUERY!BO:BO)</f>
        <v>462.00</v>
      </c>
      <c r="HO72" s="3" t="str">
        <f>_xlfn.XLOOKUP(B72,QUERY!$C:$C,QUERY!BP:BP)</f>
        <v>NULL</v>
      </c>
      <c r="HP72" s="3" t="str">
        <f>_xlfn.XLOOKUP(B72,QUERY!$C:$C,QUERY!BQ:BQ)</f>
        <v>NULL</v>
      </c>
      <c r="HQ72" s="3" t="str">
        <f>_xlfn.XLOOKUP(B72,QUERY!$C:$C,QUERY!BR:BR)</f>
        <v>250436.84</v>
      </c>
      <c r="HR72" s="3">
        <f>_xlfn.XLOOKUP(B72,QUERY!$C:$C,QUERY!BS:BS)</f>
        <v>0</v>
      </c>
      <c r="HS72" s="3">
        <f>_xlfn.XLOOKUP(B72,QUERY!$C:$C,QUERY!BT:BT)</f>
        <v>0</v>
      </c>
      <c r="HT72" s="3" t="str">
        <f>_xlfn.XLOOKUP(B72,QUERY!$C:$C,QUERY!A:A)</f>
        <v>VERACRUZ</v>
      </c>
      <c r="HU72" s="3" t="str">
        <f>_xlfn.XLOOKUP(B72,QUERY!$C:$C,QUERY!B:B)</f>
        <v>MARÍTIMO VERACRUZ</v>
      </c>
    </row>
    <row r="73" spans="1:229" x14ac:dyDescent="0.25">
      <c r="A73" s="3" t="s">
        <v>90</v>
      </c>
      <c r="B73" s="3" t="s">
        <v>257</v>
      </c>
      <c r="C73" s="3">
        <v>3942</v>
      </c>
      <c r="D73" s="3">
        <v>6000303</v>
      </c>
      <c r="E73" s="3"/>
      <c r="F73" s="3" t="s">
        <v>92</v>
      </c>
      <c r="G73" s="3" t="s">
        <v>93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430</v>
      </c>
      <c r="S73" s="3" t="s">
        <v>258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 t="s">
        <v>264</v>
      </c>
      <c r="AB73" s="3"/>
      <c r="AC73" s="3">
        <v>3268642</v>
      </c>
      <c r="AD73" s="3">
        <v>356.10001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/>
      <c r="AP73" s="3" t="s">
        <v>98</v>
      </c>
      <c r="AQ73" s="3">
        <v>210365020</v>
      </c>
      <c r="AR73" s="3" t="s">
        <v>99</v>
      </c>
      <c r="AS73" s="3" t="s">
        <v>100</v>
      </c>
      <c r="AT73" s="3">
        <v>0</v>
      </c>
      <c r="AU73" s="3">
        <v>0</v>
      </c>
      <c r="AV73" s="3">
        <v>0</v>
      </c>
      <c r="AW73" s="3">
        <v>30024201</v>
      </c>
      <c r="AX73" s="3">
        <v>99</v>
      </c>
      <c r="AY73" s="3">
        <v>9179</v>
      </c>
      <c r="AZ73" s="3">
        <v>9179</v>
      </c>
      <c r="BA73" s="3" t="s">
        <v>103</v>
      </c>
      <c r="BB73" s="3"/>
      <c r="BC73" s="3" t="s">
        <v>105</v>
      </c>
      <c r="BD73" s="3" t="s">
        <v>105</v>
      </c>
      <c r="BE73" s="3"/>
      <c r="BF73" s="3"/>
      <c r="BG73" s="5"/>
      <c r="BH73" s="3"/>
      <c r="BI73" s="3"/>
      <c r="BJ73" s="3"/>
      <c r="BK73" s="3" t="s">
        <v>263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 t="s">
        <v>192</v>
      </c>
      <c r="CF73" s="3">
        <v>0</v>
      </c>
      <c r="CG73" s="3">
        <v>0</v>
      </c>
      <c r="CH73" s="3">
        <v>0</v>
      </c>
      <c r="CI73" s="3" t="s">
        <v>112</v>
      </c>
      <c r="CJ73" s="3" t="s">
        <v>112</v>
      </c>
      <c r="CK73" s="3">
        <f>_xlfn.XLOOKUP($B$2,'BASE DE EXCEL'!C:C,'BASE DE EXCEL'!D:D,"NO HAY REFERENCIA")</f>
        <v>470</v>
      </c>
      <c r="CL73" s="5">
        <f>_xlfn.XLOOKUP($B$2,'BASE DE EXCEL'!$C:$C,'BASE DE EXCEL'!F:F,"NO HAY REFERENCIA")</f>
        <v>3</v>
      </c>
      <c r="CM73" s="4">
        <f>_xlfn.XLOOKUP($B$2,'BASE DE EXCEL'!$C:$C,'BASE DE EXCEL'!G:G,"NO HAY REFERENCIA")</f>
        <v>46080</v>
      </c>
      <c r="CN73" s="4">
        <f>_xlfn.XLOOKUP($B$2,'BASE DE EXCEL'!$C:$C,'BASE DE EXCEL'!H:H,"NO HAY REFERENCIA")</f>
        <v>46086</v>
      </c>
      <c r="CO73" s="3">
        <f>_xlfn.XLOOKUP($B$2,'BASE DE EXCEL'!$C:$C,'BASE DE EXCEL'!I:I,"NO HAY REFERENCIA")</f>
        <v>4</v>
      </c>
      <c r="CP73" s="3" t="str">
        <f>_xlfn.XLOOKUP($B$2,'BASE DE EXCEL'!$C:$C,'BASE DE EXCEL'!J:J,"NO HAY REFERENCIA")</f>
        <v>4 a 5 días</v>
      </c>
      <c r="CQ73" s="4">
        <f>_xlfn.XLOOKUP($B$2,'BASE DE EXCEL'!$C:$C,'BASE DE EXCEL'!K:K,"NO HAY REFERENCIA")</f>
        <v>46087</v>
      </c>
      <c r="CR73" s="3">
        <f>_xlfn.XLOOKUP($B$2,'BASE DE EXCEL'!$C:$C,'BASE DE EXCEL'!L:L,"NO HAY REFERENCIA")</f>
        <v>5</v>
      </c>
      <c r="CS73" s="3">
        <f>_xlfn.XLOOKUP($B$2,'BASE DE EXCEL'!$C:$C,'BASE DE EXCEL'!M:M,"NO HAY REFERENCIA")</f>
        <v>6</v>
      </c>
      <c r="CT73" s="3" t="str">
        <f>_xlfn.XLOOKUP($B$2,'BASE DE EXCEL'!$C:$C,'BASE DE EXCEL'!N:N,"NO HAY REFERENCIA")</f>
        <v>6 a 10 días</v>
      </c>
      <c r="CU73" s="3" t="str">
        <f>_xlfn.XLOOKUP($B$2,'BASE DE EXCEL'!$C:$C,'BASE DE EXCEL'!O:O,"NO HAY REFERENCIA")</f>
        <v>On Time</v>
      </c>
      <c r="CV73" s="3" t="str">
        <f>_xlfn.XLOOKUP(B73,'BASE DE EXCEL'!$C:$C,'BASE DE EXCEL'!P:P,"NO HAY REFERENCIA")</f>
        <v>6 a 10 días</v>
      </c>
      <c r="CW73" s="4">
        <f>_xlfn.XLOOKUP(B73,'BASE DE EXCEL'!$C:$C,'BASE DE EXCEL'!Q:Q,"NO HAY REFERENCIA")</f>
        <v>46086</v>
      </c>
      <c r="CX73" s="3">
        <f>_xlfn.XLOOKUP(B73,'BASE DE EXCEL'!$C:$C,'BASE DE EXCEL'!R:R,"NO HAY REFERENCIA")</f>
        <v>8</v>
      </c>
      <c r="CY73" s="3" t="str">
        <f>_xlfn.XLOOKUP(B73,'BASE DE EXCEL'!$C:$C,'BASE DE EXCEL'!S:S,"NO HAY REFERENCIA")</f>
        <v>6 a 10 días</v>
      </c>
      <c r="CZ73" s="3" t="str">
        <f>_xlfn.XLOOKUP(B73,'BASE DE EXCEL'!$C:$C,'BASE DE EXCEL'!T:T,"NO HAY REFERENCIA")</f>
        <v>Delayed</v>
      </c>
      <c r="DA73" s="3">
        <f>_xlfn.XLOOKUP(B73,'BASE DE EXCEL'!$C:$C,'BASE DE EXCEL'!U:U,"NO HAY REFERENCIA")</f>
        <v>9</v>
      </c>
      <c r="DB73" s="3" t="str">
        <f>_xlfn.XLOOKUP(B73,'BASE DE EXCEL'!$C:$C,'BASE DE EXCEL'!V:V,"NO HAY REFERENCIA")</f>
        <v>6 a 10 días</v>
      </c>
      <c r="DC73" s="3">
        <f>_xlfn.XLOOKUP(B73,'BASE DE EXCEL'!$C:$C,'BASE DE EXCEL'!W:W,"NO HAY REFERENCIA")</f>
        <v>20</v>
      </c>
      <c r="DD73" s="3" t="str">
        <f>_xlfn.XLOOKUP(B73,'BASE DE EXCEL'!$C:$C,'BASE DE EXCEL'!X:X,"NO HAY REFERENCIA")</f>
        <v>más de 16 días</v>
      </c>
      <c r="DE73" s="3">
        <f>_xlfn.XLOOKUP(B73,'BASE DE EXCEL'!$C:$C,'BASE DE EXCEL'!Y:Y,"NO HAY REFERENCIA")</f>
        <v>1</v>
      </c>
      <c r="DF73" s="3" t="str">
        <f>_xlfn.XLOOKUP(B73,'BASE DE EXCEL'!$C:$C,'BASE DE EXCEL'!Z:Z,"NO HAY REFERENCIA")</f>
        <v>1 día o menos</v>
      </c>
      <c r="DG73" s="3">
        <f>_xlfn.XLOOKUP(B73,'BASE DE EXCEL'!$C:$C,'BASE DE EXCEL'!AA:AA,"NO HAY REFERENCIA")</f>
        <v>7</v>
      </c>
      <c r="DH73" s="3">
        <f>_xlfn.XLOOKUP(B73,'BASE DE EXCEL'!$C:$C,'BASE DE EXCEL'!AB:AB,"NO HAY REFERENCIA")</f>
        <v>1</v>
      </c>
      <c r="DI73" s="3" t="str">
        <f>_xlfn.XLOOKUP(B73,'BASE DE EXCEL'!$C:$C,'BASE DE EXCEL'!AC:AC,"NO HAY REFERENCIA")</f>
        <v>1 día o menos</v>
      </c>
      <c r="DJ73" s="4">
        <f>_xlfn.XLOOKUP(B73,'BASE DE EXCEL'!$C:$C,'BASE DE EXCEL'!AD:AD,"NO HAY REFERENCIA")</f>
        <v>46105</v>
      </c>
      <c r="DK73" s="3">
        <f>_xlfn.XLOOKUP(B73,'BASE DE EXCEL'!$C:$C,'BASE DE EXCEL'!AE:AE,"NO HAY REFERENCIA")</f>
        <v>18</v>
      </c>
      <c r="DL73" s="3">
        <f>_xlfn.XLOOKUP(B73,'BASE DE EXCEL'!$C:$C,'BASE DE EXCEL'!AF:AF,"NO HAY REFERENCIA")</f>
        <v>13</v>
      </c>
      <c r="DM73" s="4">
        <f>_xlfn.XLOOKUP(B73,'BASE DE EXCEL'!$C:$C,'BASE DE EXCEL'!AG:AG,"NO HAY REFERENCIA")</f>
        <v>46104</v>
      </c>
      <c r="DN73" s="4">
        <f>_xlfn.XLOOKUP(B73,'BASE DE EXCEL'!$C:$C,'BASE DE EXCEL'!AH:AH,"NO HAY REFERENCIA")</f>
        <v>46105</v>
      </c>
      <c r="DO73" s="3">
        <f>_xlfn.XLOOKUP(B73,'BASE DE EXCEL'!$C:$C,'BASE DE EXCEL'!AI:AI,"NO HAY REFERENCIA")</f>
        <v>1</v>
      </c>
      <c r="DP73" s="4" t="str">
        <f>_xlfn.XLOOKUP(B73,'BASE DE EXCEL'!$C:$C,'BASE DE EXCEL'!AJ:AJ,"NO HAY REFERENCIA")</f>
        <v>más de 16 días</v>
      </c>
      <c r="DQ73" s="4">
        <f>_xlfn.XLOOKUP(B73,'BASE DE EXCEL'!$C:$C,'BASE DE EXCEL'!AK:AK,"NO HAY REFERENCIA")</f>
        <v>46105</v>
      </c>
      <c r="DR73" s="3">
        <f>_xlfn.XLOOKUP(B73,'BASE DE EXCEL'!$C:$C,'BASE DE EXCEL'!AL:AL,"NO HAY REFERENCIA")</f>
        <v>13</v>
      </c>
      <c r="DS73" s="3" t="str">
        <f>_xlfn.XLOOKUP(B73,'BASE DE EXCEL'!$C:$C,'BASE DE EXCEL'!AM:AM,"NO HAY REFERENCIA")</f>
        <v>11 a 15 días</v>
      </c>
      <c r="DT73" s="3" t="str">
        <f>_xlfn.XLOOKUP(B73,'BASE DE EXCEL'!$C:$C,'BASE DE EXCEL'!AN:AN,"NO HAY REFERENCIA")</f>
        <v>Delayed</v>
      </c>
      <c r="DU73" s="3">
        <f>_xlfn.XLOOKUP(B73,'BASE DE EXCEL'!$C:$C,'BASE DE EXCEL'!AO:AO,"NO HAY REFERENCIA")</f>
        <v>1</v>
      </c>
      <c r="DV73" s="3" t="str">
        <f>_xlfn.XLOOKUP(B73,'BASE DE EXCEL'!$C:$C,'BASE DE EXCEL'!AP:AP,"NO HAY REFERENCIA")</f>
        <v>Es anterior</v>
      </c>
      <c r="DW73" s="3" t="str">
        <f>_xlfn.XLOOKUP(B73,'BASE DE EXCEL'!$C:$C,'BASE DE EXCEL'!AQ:AQ,"NO HAY REFERENCIA")</f>
        <v>A1</v>
      </c>
      <c r="DX73" s="3" t="str">
        <f>_xlfn.XLOOKUP(B73,'BASE DE EXCEL'!$C:$C,'BASE DE EXCEL'!AR:AR,"NO HAY REFERENCIA")</f>
        <v>ZULEIMA PEREZ RUIZ</v>
      </c>
      <c r="DY73" s="3" t="str">
        <f>_xlfn.XLOOKUP(B73,'BASE DE EXCEL'!$C:$C,'BASE DE EXCEL'!AS:AS,"NO HAY REFERENCIA")</f>
        <v>HLCURTM260162366</v>
      </c>
      <c r="DZ73" s="3" t="str">
        <f>_xlfn.XLOOKUP(B73,'BASE DE EXCEL'!$C:$C,'BASE DE EXCEL'!AT:AT,"NO HAY REFERENCIA")</f>
        <v>NULL</v>
      </c>
      <c r="EA73" s="3">
        <f>_xlfn.XLOOKUP(B73,'BASE DE EXCEL'!$C:$C,'BASE DE EXCEL'!AU:AU,"NO HAY REFERENCIA")</f>
        <v>6000303</v>
      </c>
      <c r="EB73" s="3" t="str">
        <f>_xlfn.XLOOKUP(B73,'BASE DE EXCEL'!$C:$C,'BASE DE EXCEL'!AV:AV,"NO HAY REFERENCIA")</f>
        <v>Importación</v>
      </c>
      <c r="EC73" s="3" t="str">
        <f>_xlfn.XLOOKUP(B73,'BASE DE EXCEL'!$C:$C,'BASE DE EXCEL'!AW:AW,"NO HAY REFERENCIA")</f>
        <v>NOBILIS MA5+CLONE 30 (VACUNA DE USO VETERINARIO)</v>
      </c>
      <c r="ED73" s="3" t="str">
        <f>_xlfn.XLOOKUP(B73,'BASE DE EXCEL'!$C:$C,'BASE DE EXCEL'!AX:AX,"NO HAY REFERENCIA")</f>
        <v>SIN CLASIFICACION</v>
      </c>
      <c r="EE73" s="3">
        <f>_xlfn.XLOOKUP(B73,'BASE DE EXCEL'!$C:$C,'BASE DE EXCEL'!AY:AY,"NO HAY REFERENCIA")</f>
        <v>0</v>
      </c>
      <c r="EF73" s="3" t="str">
        <f>_xlfn.XLOOKUP(B73,'BASE DE EXCEL'!$C:$C,'BASE DE EXCEL'!AZ:AZ,"NO HAY REFERENCIA")</f>
        <v>Cargas de Importación</v>
      </c>
      <c r="EG73" s="3" t="str">
        <f>_xlfn.XLOOKUP(B73,'BASE DE EXCEL'!$C:$C,'BASE DE EXCEL'!BA:BA,"NO HAY REFERENCIA")</f>
        <v>INTERVET MEXICO SA DE CV</v>
      </c>
      <c r="EH73" s="3">
        <f>_xlfn.XLOOKUP(B73,'BASE DE EXCEL'!$C:$C,'BASE DE EXCEL'!BB:BB,"NO HAY REFERENCIA")</f>
        <v>0</v>
      </c>
      <c r="EI73" s="3" t="str">
        <f>_xlfn.XLOOKUP(B73,'BASE DE EXCEL'!$C:$C,'BASE DE EXCEL'!BC:BC,"NO HAY REFERENCIA")</f>
        <v>FALTA RRNA</v>
      </c>
      <c r="EJ73" s="3">
        <f>_xlfn.XLOOKUP(B73,'BASE DE EXCEL'!$C:$C,'BASE DE EXCEL'!BD:BD,"NO HAY REFERENCIA")</f>
        <v>0</v>
      </c>
      <c r="EK73" s="3" t="str">
        <f>_xlfn.XLOOKUP(B73,'BASE DE EXCEL'!$C:$C,'BASE DE EXCEL'!BE:BE,"NO HAY REFERENCIA")</f>
        <v>FALTA RRNA</v>
      </c>
      <c r="EL73" s="3" t="str">
        <f>_xlfn.XLOOKUP(B73,'BASE DE EXCEL'!$C:$C,'BASE DE EXCEL'!BF:BF,"NO HAY REFERENCIA")</f>
        <v>PRODUCTO TERMINADO</v>
      </c>
      <c r="EM73" s="3" t="str">
        <f>_xlfn.XLOOKUP(B73,'BASE DE EXCEL'!$C:$C,'BASE DE EXCEL'!BG:BG,"NO HAY REFERENCIA")</f>
        <v>Verde</v>
      </c>
      <c r="EN73" s="3" t="str">
        <f>_xlfn.XLOOKUP(B73,'BASE DE EXCEL'!$C:$C,'BASE DE EXCEL'!BH:BH,"NO HAY REFERENCIA")</f>
        <v xml:space="preserve"> MLH TRANSPORTE, S.A. DE C.V.</v>
      </c>
      <c r="EO73" s="3" t="str">
        <f>_xlfn.XLOOKUP(B73,'BASE DE EXCEL'!$C:$C,'BASE DE EXCEL'!BI:BI,"NO HAY REFERENCIA")</f>
        <v>TRACTOCAMION ECO 107</v>
      </c>
      <c r="EP73" s="3">
        <f>_xlfn.XLOOKUP(B73,'BASE DE EXCEL'!$C:$C,'BASE DE EXCEL'!BJ:BJ,"NO HAY REFERENCIA")</f>
        <v>0</v>
      </c>
      <c r="EQ73" s="3" t="str">
        <f>_xlfn.XLOOKUP(B73,'BASE DE EXCEL'!$C:$C,'BASE DE EXCEL'!BK:BK,"NO HAY REFERENCIA")</f>
        <v>IME850329RH2</v>
      </c>
      <c r="ER73" s="3">
        <f>_xlfn.XLOOKUP(B73,'BASE DE EXCEL'!$C:$C,'BASE DE EXCEL'!BL:BL,"NO HAY REFERENCIA")</f>
        <v>0</v>
      </c>
      <c r="ES73" s="3" t="str">
        <f>_xlfn.XLOOKUP(B73,'BASE DE EXCEL'!$C:$C,'BASE DE EXCEL'!BM:BM,"NO HAY REFERENCIA")</f>
        <v>00,99</v>
      </c>
      <c r="ET73" s="3" t="str">
        <f>_xlfn.XLOOKUP(B73,'BASE DE EXCEL'!$C:$C,'BASE DE EXCEL'!BN:BN,"NO HAY REFERENCIA")</f>
        <v>LOTE: SCBA207A11,LOTE: A053A01,LOTE: A224A01,LOTE: A198A02,LOTE: A489D01,LOTE: A061A01,LOTE: A247B01,LOTE: A436A02,LOTE: A142A01</v>
      </c>
      <c r="EU73" s="3">
        <f>_xlfn.XLOOKUP(B73,'BASE DE EXCEL'!$C:$C,'BASE DE EXCEL'!BO:BO,"NO HAY REFERENCIA")</f>
        <v>90</v>
      </c>
      <c r="EV73" s="3" t="str">
        <f>_xlfn.XLOOKUP(B73,'BASE DE EXCEL'!$C:$C,'BASE DE EXCEL'!BP:BP,"NO HAY REFERENCIA")</f>
        <v xml:space="preserve"> 321379.32, 13019554.91, 1145829.89, 3079396.80</v>
      </c>
      <c r="EW73" s="3" t="str">
        <f>_xlfn.XLOOKUP(B73,'BASE DE EXCEL'!$C:$C,'BASE DE EXCEL'!BQ:BQ,"NO HAY REFERENCIA")</f>
        <v>KILO,KILO,KILO,KILO,KILO,KILO,KILO,KILO,KILO</v>
      </c>
      <c r="EX73" s="3">
        <f>_xlfn.XLOOKUP(B73,'BASE DE EXCEL'!$C:$C,'BASE DE EXCEL'!BR:BR,"NO HAY REFERENCIA")</f>
        <v>0</v>
      </c>
      <c r="EY73" s="3" t="str">
        <f>_xlfn.XLOOKUP(B73,'BASE DE EXCEL'!$C:$C,'BASE DE EXCEL'!BS:BS,"NO HAY REFERENCIA")</f>
        <v>PAISES BAJOS (REINO DE LOS) (HOLANDA)</v>
      </c>
      <c r="EZ73" s="3" t="str">
        <f>_xlfn.XLOOKUP(B73,'BASE DE EXCEL'!$C:$C,'BASE DE EXCEL'!BT:BT,"NO HAY REFERENCIA")</f>
        <v>PAISES BAJOS (REINO DE LOS) (HOLANDA)</v>
      </c>
      <c r="FA73" s="3" t="str">
        <f>_xlfn.XLOOKUP(B73,'BASE DE EXCEL'!$C:$C,'BASE DE EXCEL'!BU:BU,"NO HAY REFERENCIA")</f>
        <v>ZYA</v>
      </c>
      <c r="FB73" s="3" t="str">
        <f>_xlfn.XLOOKUP(B73,'BASE DE EXCEL'!$C:$C,'BASE DE EXCEL'!BV:BV,"NO HAY REFERENCIA")</f>
        <v>ZYA</v>
      </c>
      <c r="FC73" s="3">
        <f>_xlfn.XLOOKUP(B73,QUERY!$C:$C,QUERY!D:D)</f>
        <v>430</v>
      </c>
      <c r="FD73" s="4">
        <f>_xlfn.XLOOKUP(B73,QUERY!$C:$C,QUERY!E:E)</f>
        <v>46084</v>
      </c>
      <c r="FE73" s="3">
        <f>_xlfn.XLOOKUP(B73,QUERY!$C:$C,QUERY!F:F)</f>
        <v>3</v>
      </c>
      <c r="FF73" s="4">
        <f>_xlfn.XLOOKUP(B73,QUERY!$C:$C,QUERY!G:G)</f>
        <v>46077</v>
      </c>
      <c r="FG73" s="4">
        <f>_xlfn.XLOOKUP(B73,QUERY!$C:$C,QUERY!H:H)</f>
        <v>46084</v>
      </c>
      <c r="FH73" s="3">
        <f>_xlfn.XLOOKUP(B73,QUERY!$C:$C,QUERY!I:I)</f>
        <v>5</v>
      </c>
      <c r="FI73" s="3" t="str">
        <f>_xlfn.XLOOKUP(B73,QUERY!$C:$C,QUERY!J:J)</f>
        <v>4 a 5 días</v>
      </c>
      <c r="FJ73" s="4">
        <f>_xlfn.XLOOKUP(B73,QUERY!$C:$C,QUERY!K:K)</f>
        <v>46085</v>
      </c>
      <c r="FK73" s="3">
        <f>_xlfn.XLOOKUP(B73,QUERY!$C:$C,QUERY!L:L)</f>
        <v>6</v>
      </c>
      <c r="FL73" s="3" t="str">
        <f>_xlfn.XLOOKUP(B73,QUERY!$C:$C,QUERY!M:M)</f>
        <v>6 a 10 días</v>
      </c>
      <c r="FM73" s="3">
        <f>_xlfn.XLOOKUP(B73,QUERY!$C:$C,QUERY!N:N)</f>
        <v>1</v>
      </c>
      <c r="FN73" s="3" t="str">
        <f>_xlfn.XLOOKUP(B73,QUERY!$C:$C,QUERY!O:O)</f>
        <v>1 día o menos</v>
      </c>
      <c r="FO73" s="3">
        <f>_xlfn.XLOOKUP(B73,QUERY!$C:$C,QUERY!P:P)</f>
        <v>1</v>
      </c>
      <c r="FP73" s="3">
        <f>_xlfn.XLOOKUP(B73,QUERY!$C:$C,QUERY!Q:Q)</f>
        <v>1</v>
      </c>
      <c r="FQ73" s="3" t="str">
        <f>_xlfn.XLOOKUP(B73,QUERY!$C:$C,QUERY!R:R)</f>
        <v>1 día o menos</v>
      </c>
      <c r="FR73" s="4">
        <f>_xlfn.XLOOKUP(B73,QUERY!$C:$C,QUERY!S:S)</f>
        <v>46086</v>
      </c>
      <c r="FS73" s="3">
        <f>_xlfn.XLOOKUP(B73,QUERY!$C:$C,QUERY!T:T)</f>
        <v>7</v>
      </c>
      <c r="FT73" s="3" t="str">
        <f>_xlfn.XLOOKUP(B73,QUERY!$C:$C,QUERY!U:U)</f>
        <v>6 a 10 días</v>
      </c>
      <c r="FU73" s="3">
        <f>_xlfn.XLOOKUP(B73,QUERY!$C:$C,QUERY!V:V)</f>
        <v>20</v>
      </c>
      <c r="FV73" s="3" t="str">
        <f>_xlfn.XLOOKUP(B73,QUERY!$C:$C,QUERY!W:W)</f>
        <v>más de 16 días</v>
      </c>
      <c r="FW73" s="4">
        <f>_xlfn.XLOOKUP(B73,QUERY!$C:$C,QUERY!X:X)</f>
        <v>46105</v>
      </c>
      <c r="FX73" s="3">
        <f>_xlfn.XLOOKUP(B73,QUERY!$C:$C,QUERY!Y:Y)</f>
        <v>12</v>
      </c>
      <c r="FY73" s="3">
        <f>_xlfn.XLOOKUP(B73,QUERY!$C:$C,QUERY!Z:Z)</f>
        <v>13</v>
      </c>
      <c r="FZ73" s="4" t="str">
        <f>_xlfn.XLOOKUP(B73,QUERY!$C:$C,QUERY!AA:AA)</f>
        <v>más de 16 días</v>
      </c>
      <c r="GA73" s="4">
        <f>_xlfn.XLOOKUP(B73,QUERY!$C:$C,QUERY!AB:AB)</f>
        <v>46104</v>
      </c>
      <c r="GB73" s="4">
        <f>_xlfn.XLOOKUP(B73,QUERY!$C:$C,QUERY!AC:AC)</f>
        <v>46105</v>
      </c>
      <c r="GC73" s="3">
        <f>_xlfn.XLOOKUP(B73,QUERY!$C:$C,QUERY!AD:AD)</f>
        <v>1</v>
      </c>
      <c r="GD73" s="4">
        <f>_xlfn.XLOOKUP(B73,QUERY!$C:$C,QUERY!AE:AE)</f>
        <v>46105</v>
      </c>
      <c r="GE73" s="3">
        <f>_xlfn.XLOOKUP(B73,QUERY!$C:$C,QUERY!AF:AF)</f>
        <v>1</v>
      </c>
      <c r="GF73" s="4" t="str">
        <f>_xlfn.XLOOKUP(B73,QUERY!$C:$C,QUERY!AG:AG)</f>
        <v>Es anterior</v>
      </c>
      <c r="GG73" s="3" t="str">
        <f>_xlfn.XLOOKUP(B73,QUERY!$C:$C,QUERY!AH:AH)</f>
        <v>A1</v>
      </c>
      <c r="GH73" s="3" t="str">
        <f>_xlfn.XLOOKUP(B73,QUERY!$C:$C,QUERY!AI:AI)</f>
        <v>ZULEIMA PEREZ RUIZ</v>
      </c>
      <c r="GI73" s="3" t="str">
        <f>_xlfn.XLOOKUP(B73,QUERY!$C:$C,QUERY!AJ:AJ)</f>
        <v>HLCURTM260162366</v>
      </c>
      <c r="GJ73" s="3" t="str">
        <f>_xlfn.XLOOKUP(B73,QUERY!$C:$C,QUERY!AK:AK)</f>
        <v>NULL</v>
      </c>
      <c r="GK73" s="3">
        <f>_xlfn.XLOOKUP(B73,QUERY!$C:$C,QUERY!AL:AL)</f>
        <v>6000303</v>
      </c>
      <c r="GL73" s="3" t="str">
        <f>_xlfn.XLOOKUP(B73,QUERY!$C:$C,QUERY!AM:AM)</f>
        <v>Importación</v>
      </c>
      <c r="GM73" s="3" t="str">
        <f>_xlfn.XLOOKUP(B73,QUERY!$C:$C,QUERY!AN:AN)</f>
        <v>NOBILIS MA5+CLONE 30 (VACUNA DE USO VETERINARIO)</v>
      </c>
      <c r="GN73" s="3" t="str">
        <f>_xlfn.XLOOKUP(B73,QUERY!$C:$C,QUERY!AO:AO)</f>
        <v>SIN CLASIFICACION</v>
      </c>
      <c r="GO73" s="3">
        <f>_xlfn.XLOOKUP(B73,QUERY!$C:$C,QUERY!AP:AP)</f>
        <v>0</v>
      </c>
      <c r="GP73" s="3" t="str">
        <f>_xlfn.XLOOKUP(B73,QUERY!$C:$C,QUERY!AQ:AQ)</f>
        <v>Cargas de Importación</v>
      </c>
      <c r="GQ73" s="3" t="str">
        <f>_xlfn.XLOOKUP(B73,QUERY!$C:$C,QUERY!AR:AR)</f>
        <v>INTERVET MEXICO SA DE CV</v>
      </c>
      <c r="GR73" s="3">
        <f>_xlfn.XLOOKUP(B73,QUERY!$C:$C,QUERY!AS:AS)</f>
        <v>0</v>
      </c>
      <c r="GS73" s="3" t="str">
        <f>_xlfn.XLOOKUP(B73,QUERY!$C:$C,QUERY!AT:AT)</f>
        <v>FALTA RRNA</v>
      </c>
      <c r="GT73" s="3">
        <f>_xlfn.XLOOKUP(B73,QUERY!$C:$C,QUERY!AU:AU)</f>
        <v>0</v>
      </c>
      <c r="GU73" s="3" t="str">
        <f>_xlfn.XLOOKUP(B73,QUERY!$C:$C,QUERY!AV:AV)</f>
        <v>FALTA RRNA</v>
      </c>
      <c r="GV73" s="3" t="str">
        <f>_xlfn.XLOOKUP(B73,QUERY!$C:$C,QUERY!AW:AW)</f>
        <v>PRODUCTO TERMINADO</v>
      </c>
      <c r="GW73" s="3" t="str">
        <f>_xlfn.XLOOKUP(B73,QUERY!$C:$C,QUERY!AX:AX)</f>
        <v>Verde</v>
      </c>
      <c r="GX73" s="3" t="str">
        <f>_xlfn.XLOOKUP(B73,QUERY!$C:$C,QUERY!AY:AY)</f>
        <v xml:space="preserve"> MLH TRANSPORTE, S.A. DE C.V.</v>
      </c>
      <c r="GY73" s="3" t="str">
        <f>_xlfn.XLOOKUP(B73,QUERY!$C:$C,QUERY!AZ:AZ)</f>
        <v>TRACTOCAMION ECO 107</v>
      </c>
      <c r="GZ73" s="3">
        <f>_xlfn.XLOOKUP(B73,QUERY!$C:$C,QUERY!BA:BA)</f>
        <v>0</v>
      </c>
      <c r="HA73" s="3" t="str">
        <f>_xlfn.XLOOKUP(B73,QUERY!$C:$C,QUERY!BB:BB)</f>
        <v>IME850329RH2</v>
      </c>
      <c r="HB73" s="3">
        <f>_xlfn.XLOOKUP(B73,QUERY!$C:$C,QUERY!BC:BC)</f>
        <v>0</v>
      </c>
      <c r="HC73" s="3">
        <f>_xlfn.XLOOKUP(B73,QUERY!$C:$C,QUERY!BD:BD)</f>
        <v>0.99</v>
      </c>
      <c r="HD73" s="3" t="str">
        <f>_xlfn.XLOOKUP(B73,QUERY!$C:$C,QUERY!BE:BE)</f>
        <v>LOTE: SCBA207A11,LOTE: A053A01,LOTE: A224A01,LOTE: A142A01,LOTE: A247B01,LOTE: A436A02,LOTE: A198A02,LOTE: A489D01,LOTE: A061A01</v>
      </c>
      <c r="HE73" s="3">
        <f>_xlfn.XLOOKUP(B73,QUERY!$C:$C,QUERY!BF:BF)</f>
        <v>90</v>
      </c>
      <c r="HF73" s="3" t="str">
        <f>_xlfn.XLOOKUP(B73,QUERY!$C:$C,QUERY!BG:BG)</f>
        <v xml:space="preserve"> 321379.32, 13019554.91, 1145829.89, 3079396.80</v>
      </c>
      <c r="HG73" s="3" t="str">
        <f>_xlfn.XLOOKUP(B73,QUERY!$C:$C,QUERY!BH:BH)</f>
        <v>KILO,KILO,KILO,KILO,KILO,KILO,KILO,KILO,KILO</v>
      </c>
      <c r="HH73" s="3">
        <f>_xlfn.XLOOKUP(B73,QUERY!$C:$C,QUERY!BI:BI)</f>
        <v>0</v>
      </c>
      <c r="HI73" s="3" t="str">
        <f>_xlfn.XLOOKUP(B73,QUERY!$C:$C,QUERY!BJ:BJ)</f>
        <v>PAISES BAJOS (REINO DE LOS) (HOLANDA)</v>
      </c>
      <c r="HJ73" s="3" t="str">
        <f>_xlfn.XLOOKUP(B73,QUERY!$C:$C,QUERY!BK:BK)</f>
        <v>PAISES BAJOS (REINO DE LOS) (HOLANDA)</v>
      </c>
      <c r="HK73" s="3" t="str">
        <f>_xlfn.XLOOKUP(B73,QUERY!$C:$C,QUERY!BL:BL)</f>
        <v>ZYA</v>
      </c>
      <c r="HL73" s="3" t="str">
        <f>_xlfn.XLOOKUP(B73,QUERY!$C:$C,QUERY!BM:BM)</f>
        <v>ZYA</v>
      </c>
      <c r="HM73" s="3">
        <f>_xlfn.XLOOKUP(B73,QUERY!$C:$C,QUERY!BN:BN)</f>
        <v>17566160</v>
      </c>
      <c r="HN73" s="3" t="str">
        <f>_xlfn.XLOOKUP(B73,QUERY!$C:$C,QUERY!BO:BO)</f>
        <v>462.00</v>
      </c>
      <c r="HO73" s="3" t="str">
        <f>_xlfn.XLOOKUP(B73,QUERY!$C:$C,QUERY!BP:BP)</f>
        <v>NULL</v>
      </c>
      <c r="HP73" s="3" t="str">
        <f>_xlfn.XLOOKUP(B73,QUERY!$C:$C,QUERY!BQ:BQ)</f>
        <v>NULL</v>
      </c>
      <c r="HQ73" s="3" t="str">
        <f>_xlfn.XLOOKUP(B73,QUERY!$C:$C,QUERY!BR:BR)</f>
        <v>250436.84</v>
      </c>
      <c r="HR73" s="3">
        <f>_xlfn.XLOOKUP(B73,QUERY!$C:$C,QUERY!BS:BS)</f>
        <v>0</v>
      </c>
      <c r="HS73" s="3">
        <f>_xlfn.XLOOKUP(B73,QUERY!$C:$C,QUERY!BT:BT)</f>
        <v>0</v>
      </c>
      <c r="HT73" s="3" t="str">
        <f>_xlfn.XLOOKUP(B73,QUERY!$C:$C,QUERY!A:A)</f>
        <v>VERACRUZ</v>
      </c>
      <c r="HU73" s="3" t="str">
        <f>_xlfn.XLOOKUP(B73,QUERY!$C:$C,QUERY!B:B)</f>
        <v>MARÍTIMO VERACRUZ</v>
      </c>
    </row>
    <row r="74" spans="1:229" x14ac:dyDescent="0.25">
      <c r="A74" s="3" t="s">
        <v>90</v>
      </c>
      <c r="B74" s="3" t="s">
        <v>257</v>
      </c>
      <c r="C74" s="3">
        <v>3942</v>
      </c>
      <c r="D74" s="3">
        <v>6000303</v>
      </c>
      <c r="E74" s="3"/>
      <c r="F74" s="3" t="s">
        <v>92</v>
      </c>
      <c r="G74" s="3" t="s">
        <v>93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430</v>
      </c>
      <c r="S74" s="3" t="s">
        <v>258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 t="s">
        <v>265</v>
      </c>
      <c r="AB74" s="3"/>
      <c r="AC74" s="3">
        <v>6402146</v>
      </c>
      <c r="AD74" s="3">
        <v>741.58995000000004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/>
      <c r="AP74" s="3" t="s">
        <v>98</v>
      </c>
      <c r="AQ74" s="3">
        <v>210365020</v>
      </c>
      <c r="AR74" s="3" t="s">
        <v>99</v>
      </c>
      <c r="AS74" s="3" t="s">
        <v>100</v>
      </c>
      <c r="AT74" s="3">
        <v>0</v>
      </c>
      <c r="AU74" s="3">
        <v>0</v>
      </c>
      <c r="AV74" s="3">
        <v>0</v>
      </c>
      <c r="AW74" s="3">
        <v>30024201</v>
      </c>
      <c r="AX74" s="3">
        <v>99</v>
      </c>
      <c r="AY74" s="3">
        <v>8633</v>
      </c>
      <c r="AZ74" s="3">
        <v>8633</v>
      </c>
      <c r="BA74" s="3" t="s">
        <v>103</v>
      </c>
      <c r="BB74" s="3"/>
      <c r="BC74" s="3" t="s">
        <v>105</v>
      </c>
      <c r="BD74" s="3" t="s">
        <v>105</v>
      </c>
      <c r="BE74" s="3"/>
      <c r="BF74" s="3"/>
      <c r="BG74" s="5"/>
      <c r="BH74" s="3"/>
      <c r="BI74" s="3"/>
      <c r="BJ74" s="3"/>
      <c r="BK74" s="3" t="s">
        <v>263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 t="s">
        <v>192</v>
      </c>
      <c r="CF74" s="3">
        <v>0</v>
      </c>
      <c r="CG74" s="3">
        <v>0</v>
      </c>
      <c r="CH74" s="3">
        <v>0</v>
      </c>
      <c r="CI74" s="3" t="s">
        <v>112</v>
      </c>
      <c r="CJ74" s="3" t="s">
        <v>112</v>
      </c>
      <c r="CK74" s="3">
        <f>_xlfn.XLOOKUP($B$2,'BASE DE EXCEL'!C:C,'BASE DE EXCEL'!D:D,"NO HAY REFERENCIA")</f>
        <v>470</v>
      </c>
      <c r="CL74" s="5">
        <f>_xlfn.XLOOKUP($B$2,'BASE DE EXCEL'!$C:$C,'BASE DE EXCEL'!F:F,"NO HAY REFERENCIA")</f>
        <v>3</v>
      </c>
      <c r="CM74" s="4">
        <f>_xlfn.XLOOKUP($B$2,'BASE DE EXCEL'!$C:$C,'BASE DE EXCEL'!G:G,"NO HAY REFERENCIA")</f>
        <v>46080</v>
      </c>
      <c r="CN74" s="4">
        <f>_xlfn.XLOOKUP($B$2,'BASE DE EXCEL'!$C:$C,'BASE DE EXCEL'!H:H,"NO HAY REFERENCIA")</f>
        <v>46086</v>
      </c>
      <c r="CO74" s="3">
        <f>_xlfn.XLOOKUP($B$2,'BASE DE EXCEL'!$C:$C,'BASE DE EXCEL'!I:I,"NO HAY REFERENCIA")</f>
        <v>4</v>
      </c>
      <c r="CP74" s="3" t="str">
        <f>_xlfn.XLOOKUP($B$2,'BASE DE EXCEL'!$C:$C,'BASE DE EXCEL'!J:J,"NO HAY REFERENCIA")</f>
        <v>4 a 5 días</v>
      </c>
      <c r="CQ74" s="4">
        <f>_xlfn.XLOOKUP($B$2,'BASE DE EXCEL'!$C:$C,'BASE DE EXCEL'!K:K,"NO HAY REFERENCIA")</f>
        <v>46087</v>
      </c>
      <c r="CR74" s="3">
        <f>_xlfn.XLOOKUP($B$2,'BASE DE EXCEL'!$C:$C,'BASE DE EXCEL'!L:L,"NO HAY REFERENCIA")</f>
        <v>5</v>
      </c>
      <c r="CS74" s="3">
        <f>_xlfn.XLOOKUP($B$2,'BASE DE EXCEL'!$C:$C,'BASE DE EXCEL'!M:M,"NO HAY REFERENCIA")</f>
        <v>6</v>
      </c>
      <c r="CT74" s="3" t="str">
        <f>_xlfn.XLOOKUP($B$2,'BASE DE EXCEL'!$C:$C,'BASE DE EXCEL'!N:N,"NO HAY REFERENCIA")</f>
        <v>6 a 10 días</v>
      </c>
      <c r="CU74" s="3" t="str">
        <f>_xlfn.XLOOKUP($B$2,'BASE DE EXCEL'!$C:$C,'BASE DE EXCEL'!O:O,"NO HAY REFERENCIA")</f>
        <v>On Time</v>
      </c>
      <c r="CV74" s="3" t="str">
        <f>_xlfn.XLOOKUP(B74,'BASE DE EXCEL'!$C:$C,'BASE DE EXCEL'!P:P,"NO HAY REFERENCIA")</f>
        <v>6 a 10 días</v>
      </c>
      <c r="CW74" s="4">
        <f>_xlfn.XLOOKUP(B74,'BASE DE EXCEL'!$C:$C,'BASE DE EXCEL'!Q:Q,"NO HAY REFERENCIA")</f>
        <v>46086</v>
      </c>
      <c r="CX74" s="3">
        <f>_xlfn.XLOOKUP(B74,'BASE DE EXCEL'!$C:$C,'BASE DE EXCEL'!R:R,"NO HAY REFERENCIA")</f>
        <v>8</v>
      </c>
      <c r="CY74" s="3" t="str">
        <f>_xlfn.XLOOKUP(B74,'BASE DE EXCEL'!$C:$C,'BASE DE EXCEL'!S:S,"NO HAY REFERENCIA")</f>
        <v>6 a 10 días</v>
      </c>
      <c r="CZ74" s="3" t="str">
        <f>_xlfn.XLOOKUP(B74,'BASE DE EXCEL'!$C:$C,'BASE DE EXCEL'!T:T,"NO HAY REFERENCIA")</f>
        <v>Delayed</v>
      </c>
      <c r="DA74" s="3">
        <f>_xlfn.XLOOKUP(B74,'BASE DE EXCEL'!$C:$C,'BASE DE EXCEL'!U:U,"NO HAY REFERENCIA")</f>
        <v>9</v>
      </c>
      <c r="DB74" s="3" t="str">
        <f>_xlfn.XLOOKUP(B74,'BASE DE EXCEL'!$C:$C,'BASE DE EXCEL'!V:V,"NO HAY REFERENCIA")</f>
        <v>6 a 10 días</v>
      </c>
      <c r="DC74" s="3">
        <f>_xlfn.XLOOKUP(B74,'BASE DE EXCEL'!$C:$C,'BASE DE EXCEL'!W:W,"NO HAY REFERENCIA")</f>
        <v>20</v>
      </c>
      <c r="DD74" s="3" t="str">
        <f>_xlfn.XLOOKUP(B74,'BASE DE EXCEL'!$C:$C,'BASE DE EXCEL'!X:X,"NO HAY REFERENCIA")</f>
        <v>más de 16 días</v>
      </c>
      <c r="DE74" s="3">
        <f>_xlfn.XLOOKUP(B74,'BASE DE EXCEL'!$C:$C,'BASE DE EXCEL'!Y:Y,"NO HAY REFERENCIA")</f>
        <v>1</v>
      </c>
      <c r="DF74" s="3" t="str">
        <f>_xlfn.XLOOKUP(B74,'BASE DE EXCEL'!$C:$C,'BASE DE EXCEL'!Z:Z,"NO HAY REFERENCIA")</f>
        <v>1 día o menos</v>
      </c>
      <c r="DG74" s="3">
        <f>_xlfn.XLOOKUP(B74,'BASE DE EXCEL'!$C:$C,'BASE DE EXCEL'!AA:AA,"NO HAY REFERENCIA")</f>
        <v>7</v>
      </c>
      <c r="DH74" s="3">
        <f>_xlfn.XLOOKUP(B74,'BASE DE EXCEL'!$C:$C,'BASE DE EXCEL'!AB:AB,"NO HAY REFERENCIA")</f>
        <v>1</v>
      </c>
      <c r="DI74" s="3" t="str">
        <f>_xlfn.XLOOKUP(B74,'BASE DE EXCEL'!$C:$C,'BASE DE EXCEL'!AC:AC,"NO HAY REFERENCIA")</f>
        <v>1 día o menos</v>
      </c>
      <c r="DJ74" s="4">
        <f>_xlfn.XLOOKUP(B74,'BASE DE EXCEL'!$C:$C,'BASE DE EXCEL'!AD:AD,"NO HAY REFERENCIA")</f>
        <v>46105</v>
      </c>
      <c r="DK74" s="3">
        <f>_xlfn.XLOOKUP(B74,'BASE DE EXCEL'!$C:$C,'BASE DE EXCEL'!AE:AE,"NO HAY REFERENCIA")</f>
        <v>18</v>
      </c>
      <c r="DL74" s="3">
        <f>_xlfn.XLOOKUP(B74,'BASE DE EXCEL'!$C:$C,'BASE DE EXCEL'!AF:AF,"NO HAY REFERENCIA")</f>
        <v>13</v>
      </c>
      <c r="DM74" s="4">
        <f>_xlfn.XLOOKUP(B74,'BASE DE EXCEL'!$C:$C,'BASE DE EXCEL'!AG:AG,"NO HAY REFERENCIA")</f>
        <v>46104</v>
      </c>
      <c r="DN74" s="4">
        <f>_xlfn.XLOOKUP(B74,'BASE DE EXCEL'!$C:$C,'BASE DE EXCEL'!AH:AH,"NO HAY REFERENCIA")</f>
        <v>46105</v>
      </c>
      <c r="DO74" s="3">
        <f>_xlfn.XLOOKUP(B74,'BASE DE EXCEL'!$C:$C,'BASE DE EXCEL'!AI:AI,"NO HAY REFERENCIA")</f>
        <v>1</v>
      </c>
      <c r="DP74" s="4" t="str">
        <f>_xlfn.XLOOKUP(B74,'BASE DE EXCEL'!$C:$C,'BASE DE EXCEL'!AJ:AJ,"NO HAY REFERENCIA")</f>
        <v>más de 16 días</v>
      </c>
      <c r="DQ74" s="4">
        <f>_xlfn.XLOOKUP(B74,'BASE DE EXCEL'!$C:$C,'BASE DE EXCEL'!AK:AK,"NO HAY REFERENCIA")</f>
        <v>46105</v>
      </c>
      <c r="DR74" s="3">
        <f>_xlfn.XLOOKUP(B74,'BASE DE EXCEL'!$C:$C,'BASE DE EXCEL'!AL:AL,"NO HAY REFERENCIA")</f>
        <v>13</v>
      </c>
      <c r="DS74" s="3" t="str">
        <f>_xlfn.XLOOKUP(B74,'BASE DE EXCEL'!$C:$C,'BASE DE EXCEL'!AM:AM,"NO HAY REFERENCIA")</f>
        <v>11 a 15 días</v>
      </c>
      <c r="DT74" s="3" t="str">
        <f>_xlfn.XLOOKUP(B74,'BASE DE EXCEL'!$C:$C,'BASE DE EXCEL'!AN:AN,"NO HAY REFERENCIA")</f>
        <v>Delayed</v>
      </c>
      <c r="DU74" s="3">
        <f>_xlfn.XLOOKUP(B74,'BASE DE EXCEL'!$C:$C,'BASE DE EXCEL'!AO:AO,"NO HAY REFERENCIA")</f>
        <v>1</v>
      </c>
      <c r="DV74" s="3" t="str">
        <f>_xlfn.XLOOKUP(B74,'BASE DE EXCEL'!$C:$C,'BASE DE EXCEL'!AP:AP,"NO HAY REFERENCIA")</f>
        <v>Es anterior</v>
      </c>
      <c r="DW74" s="3" t="str">
        <f>_xlfn.XLOOKUP(B74,'BASE DE EXCEL'!$C:$C,'BASE DE EXCEL'!AQ:AQ,"NO HAY REFERENCIA")</f>
        <v>A1</v>
      </c>
      <c r="DX74" s="3" t="str">
        <f>_xlfn.XLOOKUP(B74,'BASE DE EXCEL'!$C:$C,'BASE DE EXCEL'!AR:AR,"NO HAY REFERENCIA")</f>
        <v>ZULEIMA PEREZ RUIZ</v>
      </c>
      <c r="DY74" s="3" t="str">
        <f>_xlfn.XLOOKUP(B74,'BASE DE EXCEL'!$C:$C,'BASE DE EXCEL'!AS:AS,"NO HAY REFERENCIA")</f>
        <v>HLCURTM260162366</v>
      </c>
      <c r="DZ74" s="3" t="str">
        <f>_xlfn.XLOOKUP(B74,'BASE DE EXCEL'!$C:$C,'BASE DE EXCEL'!AT:AT,"NO HAY REFERENCIA")</f>
        <v>NULL</v>
      </c>
      <c r="EA74" s="3">
        <f>_xlfn.XLOOKUP(B74,'BASE DE EXCEL'!$C:$C,'BASE DE EXCEL'!AU:AU,"NO HAY REFERENCIA")</f>
        <v>6000303</v>
      </c>
      <c r="EB74" s="3" t="str">
        <f>_xlfn.XLOOKUP(B74,'BASE DE EXCEL'!$C:$C,'BASE DE EXCEL'!AV:AV,"NO HAY REFERENCIA")</f>
        <v>Importación</v>
      </c>
      <c r="EC74" s="3" t="str">
        <f>_xlfn.XLOOKUP(B74,'BASE DE EXCEL'!$C:$C,'BASE DE EXCEL'!AW:AW,"NO HAY REFERENCIA")</f>
        <v>NOBILIS MA5+CLONE 30 (VACUNA DE USO VETERINARIO)</v>
      </c>
      <c r="ED74" s="3" t="str">
        <f>_xlfn.XLOOKUP(B74,'BASE DE EXCEL'!$C:$C,'BASE DE EXCEL'!AX:AX,"NO HAY REFERENCIA")</f>
        <v>SIN CLASIFICACION</v>
      </c>
      <c r="EE74" s="3">
        <f>_xlfn.XLOOKUP(B74,'BASE DE EXCEL'!$C:$C,'BASE DE EXCEL'!AY:AY,"NO HAY REFERENCIA")</f>
        <v>0</v>
      </c>
      <c r="EF74" s="3" t="str">
        <f>_xlfn.XLOOKUP(B74,'BASE DE EXCEL'!$C:$C,'BASE DE EXCEL'!AZ:AZ,"NO HAY REFERENCIA")</f>
        <v>Cargas de Importación</v>
      </c>
      <c r="EG74" s="3" t="str">
        <f>_xlfn.XLOOKUP(B74,'BASE DE EXCEL'!$C:$C,'BASE DE EXCEL'!BA:BA,"NO HAY REFERENCIA")</f>
        <v>INTERVET MEXICO SA DE CV</v>
      </c>
      <c r="EH74" s="3">
        <f>_xlfn.XLOOKUP(B74,'BASE DE EXCEL'!$C:$C,'BASE DE EXCEL'!BB:BB,"NO HAY REFERENCIA")</f>
        <v>0</v>
      </c>
      <c r="EI74" s="3" t="str">
        <f>_xlfn.XLOOKUP(B74,'BASE DE EXCEL'!$C:$C,'BASE DE EXCEL'!BC:BC,"NO HAY REFERENCIA")</f>
        <v>FALTA RRNA</v>
      </c>
      <c r="EJ74" s="3">
        <f>_xlfn.XLOOKUP(B74,'BASE DE EXCEL'!$C:$C,'BASE DE EXCEL'!BD:BD,"NO HAY REFERENCIA")</f>
        <v>0</v>
      </c>
      <c r="EK74" s="3" t="str">
        <f>_xlfn.XLOOKUP(B74,'BASE DE EXCEL'!$C:$C,'BASE DE EXCEL'!BE:BE,"NO HAY REFERENCIA")</f>
        <v>FALTA RRNA</v>
      </c>
      <c r="EL74" s="3" t="str">
        <f>_xlfn.XLOOKUP(B74,'BASE DE EXCEL'!$C:$C,'BASE DE EXCEL'!BF:BF,"NO HAY REFERENCIA")</f>
        <v>PRODUCTO TERMINADO</v>
      </c>
      <c r="EM74" s="3" t="str">
        <f>_xlfn.XLOOKUP(B74,'BASE DE EXCEL'!$C:$C,'BASE DE EXCEL'!BG:BG,"NO HAY REFERENCIA")</f>
        <v>Verde</v>
      </c>
      <c r="EN74" s="3" t="str">
        <f>_xlfn.XLOOKUP(B74,'BASE DE EXCEL'!$C:$C,'BASE DE EXCEL'!BH:BH,"NO HAY REFERENCIA")</f>
        <v xml:space="preserve"> MLH TRANSPORTE, S.A. DE C.V.</v>
      </c>
      <c r="EO74" s="3" t="str">
        <f>_xlfn.XLOOKUP(B74,'BASE DE EXCEL'!$C:$C,'BASE DE EXCEL'!BI:BI,"NO HAY REFERENCIA")</f>
        <v>TRACTOCAMION ECO 107</v>
      </c>
      <c r="EP74" s="3">
        <f>_xlfn.XLOOKUP(B74,'BASE DE EXCEL'!$C:$C,'BASE DE EXCEL'!BJ:BJ,"NO HAY REFERENCIA")</f>
        <v>0</v>
      </c>
      <c r="EQ74" s="3" t="str">
        <f>_xlfn.XLOOKUP(B74,'BASE DE EXCEL'!$C:$C,'BASE DE EXCEL'!BK:BK,"NO HAY REFERENCIA")</f>
        <v>IME850329RH2</v>
      </c>
      <c r="ER74" s="3">
        <f>_xlfn.XLOOKUP(B74,'BASE DE EXCEL'!$C:$C,'BASE DE EXCEL'!BL:BL,"NO HAY REFERENCIA")</f>
        <v>0</v>
      </c>
      <c r="ES74" s="3" t="str">
        <f>_xlfn.XLOOKUP(B74,'BASE DE EXCEL'!$C:$C,'BASE DE EXCEL'!BM:BM,"NO HAY REFERENCIA")</f>
        <v>00,99</v>
      </c>
      <c r="ET74" s="3" t="str">
        <f>_xlfn.XLOOKUP(B74,'BASE DE EXCEL'!$C:$C,'BASE DE EXCEL'!BN:BN,"NO HAY REFERENCIA")</f>
        <v>LOTE: SCBA207A11,LOTE: A053A01,LOTE: A224A01,LOTE: A198A02,LOTE: A489D01,LOTE: A061A01,LOTE: A247B01,LOTE: A436A02,LOTE: A142A01</v>
      </c>
      <c r="EU74" s="3">
        <f>_xlfn.XLOOKUP(B74,'BASE DE EXCEL'!$C:$C,'BASE DE EXCEL'!BO:BO,"NO HAY REFERENCIA")</f>
        <v>90</v>
      </c>
      <c r="EV74" s="3" t="str">
        <f>_xlfn.XLOOKUP(B74,'BASE DE EXCEL'!$C:$C,'BASE DE EXCEL'!BP:BP,"NO HAY REFERENCIA")</f>
        <v xml:space="preserve"> 321379.32, 13019554.91, 1145829.89, 3079396.80</v>
      </c>
      <c r="EW74" s="3" t="str">
        <f>_xlfn.XLOOKUP(B74,'BASE DE EXCEL'!$C:$C,'BASE DE EXCEL'!BQ:BQ,"NO HAY REFERENCIA")</f>
        <v>KILO,KILO,KILO,KILO,KILO,KILO,KILO,KILO,KILO</v>
      </c>
      <c r="EX74" s="3">
        <f>_xlfn.XLOOKUP(B74,'BASE DE EXCEL'!$C:$C,'BASE DE EXCEL'!BR:BR,"NO HAY REFERENCIA")</f>
        <v>0</v>
      </c>
      <c r="EY74" s="3" t="str">
        <f>_xlfn.XLOOKUP(B74,'BASE DE EXCEL'!$C:$C,'BASE DE EXCEL'!BS:BS,"NO HAY REFERENCIA")</f>
        <v>PAISES BAJOS (REINO DE LOS) (HOLANDA)</v>
      </c>
      <c r="EZ74" s="3" t="str">
        <f>_xlfn.XLOOKUP(B74,'BASE DE EXCEL'!$C:$C,'BASE DE EXCEL'!BT:BT,"NO HAY REFERENCIA")</f>
        <v>PAISES BAJOS (REINO DE LOS) (HOLANDA)</v>
      </c>
      <c r="FA74" s="3" t="str">
        <f>_xlfn.XLOOKUP(B74,'BASE DE EXCEL'!$C:$C,'BASE DE EXCEL'!BU:BU,"NO HAY REFERENCIA")</f>
        <v>ZYA</v>
      </c>
      <c r="FB74" s="3" t="str">
        <f>_xlfn.XLOOKUP(B74,'BASE DE EXCEL'!$C:$C,'BASE DE EXCEL'!BV:BV,"NO HAY REFERENCIA")</f>
        <v>ZYA</v>
      </c>
      <c r="FC74" s="3">
        <f>_xlfn.XLOOKUP(B74,QUERY!$C:$C,QUERY!D:D)</f>
        <v>430</v>
      </c>
      <c r="FD74" s="4">
        <f>_xlfn.XLOOKUP(B74,QUERY!$C:$C,QUERY!E:E)</f>
        <v>46084</v>
      </c>
      <c r="FE74" s="3">
        <f>_xlfn.XLOOKUP(B74,QUERY!$C:$C,QUERY!F:F)</f>
        <v>3</v>
      </c>
      <c r="FF74" s="4">
        <f>_xlfn.XLOOKUP(B74,QUERY!$C:$C,QUERY!G:G)</f>
        <v>46077</v>
      </c>
      <c r="FG74" s="4">
        <f>_xlfn.XLOOKUP(B74,QUERY!$C:$C,QUERY!H:H)</f>
        <v>46084</v>
      </c>
      <c r="FH74" s="3">
        <f>_xlfn.XLOOKUP(B74,QUERY!$C:$C,QUERY!I:I)</f>
        <v>5</v>
      </c>
      <c r="FI74" s="3" t="str">
        <f>_xlfn.XLOOKUP(B74,QUERY!$C:$C,QUERY!J:J)</f>
        <v>4 a 5 días</v>
      </c>
      <c r="FJ74" s="4">
        <f>_xlfn.XLOOKUP(B74,QUERY!$C:$C,QUERY!K:K)</f>
        <v>46085</v>
      </c>
      <c r="FK74" s="3">
        <f>_xlfn.XLOOKUP(B74,QUERY!$C:$C,QUERY!L:L)</f>
        <v>6</v>
      </c>
      <c r="FL74" s="3" t="str">
        <f>_xlfn.XLOOKUP(B74,QUERY!$C:$C,QUERY!M:M)</f>
        <v>6 a 10 días</v>
      </c>
      <c r="FM74" s="3">
        <f>_xlfn.XLOOKUP(B74,QUERY!$C:$C,QUERY!N:N)</f>
        <v>1</v>
      </c>
      <c r="FN74" s="3" t="str">
        <f>_xlfn.XLOOKUP(B74,QUERY!$C:$C,QUERY!O:O)</f>
        <v>1 día o menos</v>
      </c>
      <c r="FO74" s="3">
        <f>_xlfn.XLOOKUP(B74,QUERY!$C:$C,QUERY!P:P)</f>
        <v>1</v>
      </c>
      <c r="FP74" s="3">
        <f>_xlfn.XLOOKUP(B74,QUERY!$C:$C,QUERY!Q:Q)</f>
        <v>1</v>
      </c>
      <c r="FQ74" s="3" t="str">
        <f>_xlfn.XLOOKUP(B74,QUERY!$C:$C,QUERY!R:R)</f>
        <v>1 día o menos</v>
      </c>
      <c r="FR74" s="4">
        <f>_xlfn.XLOOKUP(B74,QUERY!$C:$C,QUERY!S:S)</f>
        <v>46086</v>
      </c>
      <c r="FS74" s="3">
        <f>_xlfn.XLOOKUP(B74,QUERY!$C:$C,QUERY!T:T)</f>
        <v>7</v>
      </c>
      <c r="FT74" s="3" t="str">
        <f>_xlfn.XLOOKUP(B74,QUERY!$C:$C,QUERY!U:U)</f>
        <v>6 a 10 días</v>
      </c>
      <c r="FU74" s="3">
        <f>_xlfn.XLOOKUP(B74,QUERY!$C:$C,QUERY!V:V)</f>
        <v>20</v>
      </c>
      <c r="FV74" s="3" t="str">
        <f>_xlfn.XLOOKUP(B74,QUERY!$C:$C,QUERY!W:W)</f>
        <v>más de 16 días</v>
      </c>
      <c r="FW74" s="4">
        <f>_xlfn.XLOOKUP(B74,QUERY!$C:$C,QUERY!X:X)</f>
        <v>46105</v>
      </c>
      <c r="FX74" s="3">
        <f>_xlfn.XLOOKUP(B74,QUERY!$C:$C,QUERY!Y:Y)</f>
        <v>12</v>
      </c>
      <c r="FY74" s="3">
        <f>_xlfn.XLOOKUP(B74,QUERY!$C:$C,QUERY!Z:Z)</f>
        <v>13</v>
      </c>
      <c r="FZ74" s="4" t="str">
        <f>_xlfn.XLOOKUP(B74,QUERY!$C:$C,QUERY!AA:AA)</f>
        <v>más de 16 días</v>
      </c>
      <c r="GA74" s="4">
        <f>_xlfn.XLOOKUP(B74,QUERY!$C:$C,QUERY!AB:AB)</f>
        <v>46104</v>
      </c>
      <c r="GB74" s="4">
        <f>_xlfn.XLOOKUP(B74,QUERY!$C:$C,QUERY!AC:AC)</f>
        <v>46105</v>
      </c>
      <c r="GC74" s="3">
        <f>_xlfn.XLOOKUP(B74,QUERY!$C:$C,QUERY!AD:AD)</f>
        <v>1</v>
      </c>
      <c r="GD74" s="4">
        <f>_xlfn.XLOOKUP(B74,QUERY!$C:$C,QUERY!AE:AE)</f>
        <v>46105</v>
      </c>
      <c r="GE74" s="3">
        <f>_xlfn.XLOOKUP(B74,QUERY!$C:$C,QUERY!AF:AF)</f>
        <v>1</v>
      </c>
      <c r="GF74" s="4" t="str">
        <f>_xlfn.XLOOKUP(B74,QUERY!$C:$C,QUERY!AG:AG)</f>
        <v>Es anterior</v>
      </c>
      <c r="GG74" s="3" t="str">
        <f>_xlfn.XLOOKUP(B74,QUERY!$C:$C,QUERY!AH:AH)</f>
        <v>A1</v>
      </c>
      <c r="GH74" s="3" t="str">
        <f>_xlfn.XLOOKUP(B74,QUERY!$C:$C,QUERY!AI:AI)</f>
        <v>ZULEIMA PEREZ RUIZ</v>
      </c>
      <c r="GI74" s="3" t="str">
        <f>_xlfn.XLOOKUP(B74,QUERY!$C:$C,QUERY!AJ:AJ)</f>
        <v>HLCURTM260162366</v>
      </c>
      <c r="GJ74" s="3" t="str">
        <f>_xlfn.XLOOKUP(B74,QUERY!$C:$C,QUERY!AK:AK)</f>
        <v>NULL</v>
      </c>
      <c r="GK74" s="3">
        <f>_xlfn.XLOOKUP(B74,QUERY!$C:$C,QUERY!AL:AL)</f>
        <v>6000303</v>
      </c>
      <c r="GL74" s="3" t="str">
        <f>_xlfn.XLOOKUP(B74,QUERY!$C:$C,QUERY!AM:AM)</f>
        <v>Importación</v>
      </c>
      <c r="GM74" s="3" t="str">
        <f>_xlfn.XLOOKUP(B74,QUERY!$C:$C,QUERY!AN:AN)</f>
        <v>NOBILIS MA5+CLONE 30 (VACUNA DE USO VETERINARIO)</v>
      </c>
      <c r="GN74" s="3" t="str">
        <f>_xlfn.XLOOKUP(B74,QUERY!$C:$C,QUERY!AO:AO)</f>
        <v>SIN CLASIFICACION</v>
      </c>
      <c r="GO74" s="3">
        <f>_xlfn.XLOOKUP(B74,QUERY!$C:$C,QUERY!AP:AP)</f>
        <v>0</v>
      </c>
      <c r="GP74" s="3" t="str">
        <f>_xlfn.XLOOKUP(B74,QUERY!$C:$C,QUERY!AQ:AQ)</f>
        <v>Cargas de Importación</v>
      </c>
      <c r="GQ74" s="3" t="str">
        <f>_xlfn.XLOOKUP(B74,QUERY!$C:$C,QUERY!AR:AR)</f>
        <v>INTERVET MEXICO SA DE CV</v>
      </c>
      <c r="GR74" s="3">
        <f>_xlfn.XLOOKUP(B74,QUERY!$C:$C,QUERY!AS:AS)</f>
        <v>0</v>
      </c>
      <c r="GS74" s="3" t="str">
        <f>_xlfn.XLOOKUP(B74,QUERY!$C:$C,QUERY!AT:AT)</f>
        <v>FALTA RRNA</v>
      </c>
      <c r="GT74" s="3">
        <f>_xlfn.XLOOKUP(B74,QUERY!$C:$C,QUERY!AU:AU)</f>
        <v>0</v>
      </c>
      <c r="GU74" s="3" t="str">
        <f>_xlfn.XLOOKUP(B74,QUERY!$C:$C,QUERY!AV:AV)</f>
        <v>FALTA RRNA</v>
      </c>
      <c r="GV74" s="3" t="str">
        <f>_xlfn.XLOOKUP(B74,QUERY!$C:$C,QUERY!AW:AW)</f>
        <v>PRODUCTO TERMINADO</v>
      </c>
      <c r="GW74" s="3" t="str">
        <f>_xlfn.XLOOKUP(B74,QUERY!$C:$C,QUERY!AX:AX)</f>
        <v>Verde</v>
      </c>
      <c r="GX74" s="3" t="str">
        <f>_xlfn.XLOOKUP(B74,QUERY!$C:$C,QUERY!AY:AY)</f>
        <v xml:space="preserve"> MLH TRANSPORTE, S.A. DE C.V.</v>
      </c>
      <c r="GY74" s="3" t="str">
        <f>_xlfn.XLOOKUP(B74,QUERY!$C:$C,QUERY!AZ:AZ)</f>
        <v>TRACTOCAMION ECO 107</v>
      </c>
      <c r="GZ74" s="3">
        <f>_xlfn.XLOOKUP(B74,QUERY!$C:$C,QUERY!BA:BA)</f>
        <v>0</v>
      </c>
      <c r="HA74" s="3" t="str">
        <f>_xlfn.XLOOKUP(B74,QUERY!$C:$C,QUERY!BB:BB)</f>
        <v>IME850329RH2</v>
      </c>
      <c r="HB74" s="3">
        <f>_xlfn.XLOOKUP(B74,QUERY!$C:$C,QUERY!BC:BC)</f>
        <v>0</v>
      </c>
      <c r="HC74" s="3">
        <f>_xlfn.XLOOKUP(B74,QUERY!$C:$C,QUERY!BD:BD)</f>
        <v>0.99</v>
      </c>
      <c r="HD74" s="3" t="str">
        <f>_xlfn.XLOOKUP(B74,QUERY!$C:$C,QUERY!BE:BE)</f>
        <v>LOTE: SCBA207A11,LOTE: A053A01,LOTE: A224A01,LOTE: A142A01,LOTE: A247B01,LOTE: A436A02,LOTE: A198A02,LOTE: A489D01,LOTE: A061A01</v>
      </c>
      <c r="HE74" s="3">
        <f>_xlfn.XLOOKUP(B74,QUERY!$C:$C,QUERY!BF:BF)</f>
        <v>90</v>
      </c>
      <c r="HF74" s="3" t="str">
        <f>_xlfn.XLOOKUP(B74,QUERY!$C:$C,QUERY!BG:BG)</f>
        <v xml:space="preserve"> 321379.32, 13019554.91, 1145829.89, 3079396.80</v>
      </c>
      <c r="HG74" s="3" t="str">
        <f>_xlfn.XLOOKUP(B74,QUERY!$C:$C,QUERY!BH:BH)</f>
        <v>KILO,KILO,KILO,KILO,KILO,KILO,KILO,KILO,KILO</v>
      </c>
      <c r="HH74" s="3">
        <f>_xlfn.XLOOKUP(B74,QUERY!$C:$C,QUERY!BI:BI)</f>
        <v>0</v>
      </c>
      <c r="HI74" s="3" t="str">
        <f>_xlfn.XLOOKUP(B74,QUERY!$C:$C,QUERY!BJ:BJ)</f>
        <v>PAISES BAJOS (REINO DE LOS) (HOLANDA)</v>
      </c>
      <c r="HJ74" s="3" t="str">
        <f>_xlfn.XLOOKUP(B74,QUERY!$C:$C,QUERY!BK:BK)</f>
        <v>PAISES BAJOS (REINO DE LOS) (HOLANDA)</v>
      </c>
      <c r="HK74" s="3" t="str">
        <f>_xlfn.XLOOKUP(B74,QUERY!$C:$C,QUERY!BL:BL)</f>
        <v>ZYA</v>
      </c>
      <c r="HL74" s="3" t="str">
        <f>_xlfn.XLOOKUP(B74,QUERY!$C:$C,QUERY!BM:BM)</f>
        <v>ZYA</v>
      </c>
      <c r="HM74" s="3">
        <f>_xlfn.XLOOKUP(B74,QUERY!$C:$C,QUERY!BN:BN)</f>
        <v>17566160</v>
      </c>
      <c r="HN74" s="3" t="str">
        <f>_xlfn.XLOOKUP(B74,QUERY!$C:$C,QUERY!BO:BO)</f>
        <v>462.00</v>
      </c>
      <c r="HO74" s="3" t="str">
        <f>_xlfn.XLOOKUP(B74,QUERY!$C:$C,QUERY!BP:BP)</f>
        <v>NULL</v>
      </c>
      <c r="HP74" s="3" t="str">
        <f>_xlfn.XLOOKUP(B74,QUERY!$C:$C,QUERY!BQ:BQ)</f>
        <v>NULL</v>
      </c>
      <c r="HQ74" s="3" t="str">
        <f>_xlfn.XLOOKUP(B74,QUERY!$C:$C,QUERY!BR:BR)</f>
        <v>250436.84</v>
      </c>
      <c r="HR74" s="3">
        <f>_xlfn.XLOOKUP(B74,QUERY!$C:$C,QUERY!BS:BS)</f>
        <v>0</v>
      </c>
      <c r="HS74" s="3">
        <f>_xlfn.XLOOKUP(B74,QUERY!$C:$C,QUERY!BT:BT)</f>
        <v>0</v>
      </c>
      <c r="HT74" s="3" t="str">
        <f>_xlfn.XLOOKUP(B74,QUERY!$C:$C,QUERY!A:A)</f>
        <v>VERACRUZ</v>
      </c>
      <c r="HU74" s="3" t="str">
        <f>_xlfn.XLOOKUP(B74,QUERY!$C:$C,QUERY!B:B)</f>
        <v>MARÍTIMO VERACRUZ</v>
      </c>
    </row>
    <row r="75" spans="1:229" x14ac:dyDescent="0.25">
      <c r="A75" s="3" t="s">
        <v>90</v>
      </c>
      <c r="B75" s="3" t="s">
        <v>257</v>
      </c>
      <c r="C75" s="3">
        <v>3942</v>
      </c>
      <c r="D75" s="3">
        <v>6000303</v>
      </c>
      <c r="E75" s="3"/>
      <c r="F75" s="3" t="s">
        <v>92</v>
      </c>
      <c r="G75" s="3" t="s">
        <v>93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430</v>
      </c>
      <c r="S75" s="3" t="s">
        <v>258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 t="s">
        <v>266</v>
      </c>
      <c r="AB75" s="3"/>
      <c r="AC75" s="3">
        <v>730403</v>
      </c>
      <c r="AD75" s="3">
        <v>507.92975999999999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/>
      <c r="AP75" s="3" t="s">
        <v>98</v>
      </c>
      <c r="AQ75" s="3">
        <v>210365020</v>
      </c>
      <c r="AR75" s="3" t="s">
        <v>99</v>
      </c>
      <c r="AS75" s="3" t="s">
        <v>100</v>
      </c>
      <c r="AT75" s="3">
        <v>0</v>
      </c>
      <c r="AU75" s="3">
        <v>0</v>
      </c>
      <c r="AV75" s="3">
        <v>0</v>
      </c>
      <c r="AW75" s="3">
        <v>30024201</v>
      </c>
      <c r="AX75" s="3">
        <v>99</v>
      </c>
      <c r="AY75" s="3">
        <v>1438</v>
      </c>
      <c r="AZ75" s="3">
        <v>1438</v>
      </c>
      <c r="BA75" s="3" t="s">
        <v>103</v>
      </c>
      <c r="BB75" s="3"/>
      <c r="BC75" s="3" t="s">
        <v>105</v>
      </c>
      <c r="BD75" s="3" t="s">
        <v>105</v>
      </c>
      <c r="BE75" s="3"/>
      <c r="BF75" s="3"/>
      <c r="BG75" s="5"/>
      <c r="BH75" s="3"/>
      <c r="BI75" s="3"/>
      <c r="BJ75" s="3"/>
      <c r="BK75" s="3" t="s">
        <v>263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 t="s">
        <v>192</v>
      </c>
      <c r="CF75" s="3">
        <v>0</v>
      </c>
      <c r="CG75" s="3">
        <v>0</v>
      </c>
      <c r="CH75" s="3">
        <v>0</v>
      </c>
      <c r="CI75" s="3" t="s">
        <v>112</v>
      </c>
      <c r="CJ75" s="3" t="s">
        <v>112</v>
      </c>
      <c r="CK75" s="3">
        <f>_xlfn.XLOOKUP($B$2,'BASE DE EXCEL'!C:C,'BASE DE EXCEL'!D:D,"NO HAY REFERENCIA")</f>
        <v>470</v>
      </c>
      <c r="CL75" s="5">
        <f>_xlfn.XLOOKUP($B$2,'BASE DE EXCEL'!$C:$C,'BASE DE EXCEL'!F:F,"NO HAY REFERENCIA")</f>
        <v>3</v>
      </c>
      <c r="CM75" s="4">
        <f>_xlfn.XLOOKUP($B$2,'BASE DE EXCEL'!$C:$C,'BASE DE EXCEL'!G:G,"NO HAY REFERENCIA")</f>
        <v>46080</v>
      </c>
      <c r="CN75" s="4">
        <f>_xlfn.XLOOKUP($B$2,'BASE DE EXCEL'!$C:$C,'BASE DE EXCEL'!H:H,"NO HAY REFERENCIA")</f>
        <v>46086</v>
      </c>
      <c r="CO75" s="3">
        <f>_xlfn.XLOOKUP($B$2,'BASE DE EXCEL'!$C:$C,'BASE DE EXCEL'!I:I,"NO HAY REFERENCIA")</f>
        <v>4</v>
      </c>
      <c r="CP75" s="3" t="str">
        <f>_xlfn.XLOOKUP($B$2,'BASE DE EXCEL'!$C:$C,'BASE DE EXCEL'!J:J,"NO HAY REFERENCIA")</f>
        <v>4 a 5 días</v>
      </c>
      <c r="CQ75" s="4">
        <f>_xlfn.XLOOKUP($B$2,'BASE DE EXCEL'!$C:$C,'BASE DE EXCEL'!K:K,"NO HAY REFERENCIA")</f>
        <v>46087</v>
      </c>
      <c r="CR75" s="3">
        <f>_xlfn.XLOOKUP($B$2,'BASE DE EXCEL'!$C:$C,'BASE DE EXCEL'!L:L,"NO HAY REFERENCIA")</f>
        <v>5</v>
      </c>
      <c r="CS75" s="3">
        <f>_xlfn.XLOOKUP($B$2,'BASE DE EXCEL'!$C:$C,'BASE DE EXCEL'!M:M,"NO HAY REFERENCIA")</f>
        <v>6</v>
      </c>
      <c r="CT75" s="3" t="str">
        <f>_xlfn.XLOOKUP($B$2,'BASE DE EXCEL'!$C:$C,'BASE DE EXCEL'!N:N,"NO HAY REFERENCIA")</f>
        <v>6 a 10 días</v>
      </c>
      <c r="CU75" s="3" t="str">
        <f>_xlfn.XLOOKUP($B$2,'BASE DE EXCEL'!$C:$C,'BASE DE EXCEL'!O:O,"NO HAY REFERENCIA")</f>
        <v>On Time</v>
      </c>
      <c r="CV75" s="3" t="str">
        <f>_xlfn.XLOOKUP(B75,'BASE DE EXCEL'!$C:$C,'BASE DE EXCEL'!P:P,"NO HAY REFERENCIA")</f>
        <v>6 a 10 días</v>
      </c>
      <c r="CW75" s="4">
        <f>_xlfn.XLOOKUP(B75,'BASE DE EXCEL'!$C:$C,'BASE DE EXCEL'!Q:Q,"NO HAY REFERENCIA")</f>
        <v>46086</v>
      </c>
      <c r="CX75" s="3">
        <f>_xlfn.XLOOKUP(B75,'BASE DE EXCEL'!$C:$C,'BASE DE EXCEL'!R:R,"NO HAY REFERENCIA")</f>
        <v>8</v>
      </c>
      <c r="CY75" s="3" t="str">
        <f>_xlfn.XLOOKUP(B75,'BASE DE EXCEL'!$C:$C,'BASE DE EXCEL'!S:S,"NO HAY REFERENCIA")</f>
        <v>6 a 10 días</v>
      </c>
      <c r="CZ75" s="3" t="str">
        <f>_xlfn.XLOOKUP(B75,'BASE DE EXCEL'!$C:$C,'BASE DE EXCEL'!T:T,"NO HAY REFERENCIA")</f>
        <v>Delayed</v>
      </c>
      <c r="DA75" s="3">
        <f>_xlfn.XLOOKUP(B75,'BASE DE EXCEL'!$C:$C,'BASE DE EXCEL'!U:U,"NO HAY REFERENCIA")</f>
        <v>9</v>
      </c>
      <c r="DB75" s="3" t="str">
        <f>_xlfn.XLOOKUP(B75,'BASE DE EXCEL'!$C:$C,'BASE DE EXCEL'!V:V,"NO HAY REFERENCIA")</f>
        <v>6 a 10 días</v>
      </c>
      <c r="DC75" s="3">
        <f>_xlfn.XLOOKUP(B75,'BASE DE EXCEL'!$C:$C,'BASE DE EXCEL'!W:W,"NO HAY REFERENCIA")</f>
        <v>20</v>
      </c>
      <c r="DD75" s="3" t="str">
        <f>_xlfn.XLOOKUP(B75,'BASE DE EXCEL'!$C:$C,'BASE DE EXCEL'!X:X,"NO HAY REFERENCIA")</f>
        <v>más de 16 días</v>
      </c>
      <c r="DE75" s="3">
        <f>_xlfn.XLOOKUP(B75,'BASE DE EXCEL'!$C:$C,'BASE DE EXCEL'!Y:Y,"NO HAY REFERENCIA")</f>
        <v>1</v>
      </c>
      <c r="DF75" s="3" t="str">
        <f>_xlfn.XLOOKUP(B75,'BASE DE EXCEL'!$C:$C,'BASE DE EXCEL'!Z:Z,"NO HAY REFERENCIA")</f>
        <v>1 día o menos</v>
      </c>
      <c r="DG75" s="3">
        <f>_xlfn.XLOOKUP(B75,'BASE DE EXCEL'!$C:$C,'BASE DE EXCEL'!AA:AA,"NO HAY REFERENCIA")</f>
        <v>7</v>
      </c>
      <c r="DH75" s="3">
        <f>_xlfn.XLOOKUP(B75,'BASE DE EXCEL'!$C:$C,'BASE DE EXCEL'!AB:AB,"NO HAY REFERENCIA")</f>
        <v>1</v>
      </c>
      <c r="DI75" s="3" t="str">
        <f>_xlfn.XLOOKUP(B75,'BASE DE EXCEL'!$C:$C,'BASE DE EXCEL'!AC:AC,"NO HAY REFERENCIA")</f>
        <v>1 día o menos</v>
      </c>
      <c r="DJ75" s="4">
        <f>_xlfn.XLOOKUP(B75,'BASE DE EXCEL'!$C:$C,'BASE DE EXCEL'!AD:AD,"NO HAY REFERENCIA")</f>
        <v>46105</v>
      </c>
      <c r="DK75" s="3">
        <f>_xlfn.XLOOKUP(B75,'BASE DE EXCEL'!$C:$C,'BASE DE EXCEL'!AE:AE,"NO HAY REFERENCIA")</f>
        <v>18</v>
      </c>
      <c r="DL75" s="3">
        <f>_xlfn.XLOOKUP(B75,'BASE DE EXCEL'!$C:$C,'BASE DE EXCEL'!AF:AF,"NO HAY REFERENCIA")</f>
        <v>13</v>
      </c>
      <c r="DM75" s="4">
        <f>_xlfn.XLOOKUP(B75,'BASE DE EXCEL'!$C:$C,'BASE DE EXCEL'!AG:AG,"NO HAY REFERENCIA")</f>
        <v>46104</v>
      </c>
      <c r="DN75" s="4">
        <f>_xlfn.XLOOKUP(B75,'BASE DE EXCEL'!$C:$C,'BASE DE EXCEL'!AH:AH,"NO HAY REFERENCIA")</f>
        <v>46105</v>
      </c>
      <c r="DO75" s="3">
        <f>_xlfn.XLOOKUP(B75,'BASE DE EXCEL'!$C:$C,'BASE DE EXCEL'!AI:AI,"NO HAY REFERENCIA")</f>
        <v>1</v>
      </c>
      <c r="DP75" s="4" t="str">
        <f>_xlfn.XLOOKUP(B75,'BASE DE EXCEL'!$C:$C,'BASE DE EXCEL'!AJ:AJ,"NO HAY REFERENCIA")</f>
        <v>más de 16 días</v>
      </c>
      <c r="DQ75" s="4">
        <f>_xlfn.XLOOKUP(B75,'BASE DE EXCEL'!$C:$C,'BASE DE EXCEL'!AK:AK,"NO HAY REFERENCIA")</f>
        <v>46105</v>
      </c>
      <c r="DR75" s="3">
        <f>_xlfn.XLOOKUP(B75,'BASE DE EXCEL'!$C:$C,'BASE DE EXCEL'!AL:AL,"NO HAY REFERENCIA")</f>
        <v>13</v>
      </c>
      <c r="DS75" s="3" t="str">
        <f>_xlfn.XLOOKUP(B75,'BASE DE EXCEL'!$C:$C,'BASE DE EXCEL'!AM:AM,"NO HAY REFERENCIA")</f>
        <v>11 a 15 días</v>
      </c>
      <c r="DT75" s="3" t="str">
        <f>_xlfn.XLOOKUP(B75,'BASE DE EXCEL'!$C:$C,'BASE DE EXCEL'!AN:AN,"NO HAY REFERENCIA")</f>
        <v>Delayed</v>
      </c>
      <c r="DU75" s="3">
        <f>_xlfn.XLOOKUP(B75,'BASE DE EXCEL'!$C:$C,'BASE DE EXCEL'!AO:AO,"NO HAY REFERENCIA")</f>
        <v>1</v>
      </c>
      <c r="DV75" s="3" t="str">
        <f>_xlfn.XLOOKUP(B75,'BASE DE EXCEL'!$C:$C,'BASE DE EXCEL'!AP:AP,"NO HAY REFERENCIA")</f>
        <v>Es anterior</v>
      </c>
      <c r="DW75" s="3" t="str">
        <f>_xlfn.XLOOKUP(B75,'BASE DE EXCEL'!$C:$C,'BASE DE EXCEL'!AQ:AQ,"NO HAY REFERENCIA")</f>
        <v>A1</v>
      </c>
      <c r="DX75" s="3" t="str">
        <f>_xlfn.XLOOKUP(B75,'BASE DE EXCEL'!$C:$C,'BASE DE EXCEL'!AR:AR,"NO HAY REFERENCIA")</f>
        <v>ZULEIMA PEREZ RUIZ</v>
      </c>
      <c r="DY75" s="3" t="str">
        <f>_xlfn.XLOOKUP(B75,'BASE DE EXCEL'!$C:$C,'BASE DE EXCEL'!AS:AS,"NO HAY REFERENCIA")</f>
        <v>HLCURTM260162366</v>
      </c>
      <c r="DZ75" s="3" t="str">
        <f>_xlfn.XLOOKUP(B75,'BASE DE EXCEL'!$C:$C,'BASE DE EXCEL'!AT:AT,"NO HAY REFERENCIA")</f>
        <v>NULL</v>
      </c>
      <c r="EA75" s="3">
        <f>_xlfn.XLOOKUP(B75,'BASE DE EXCEL'!$C:$C,'BASE DE EXCEL'!AU:AU,"NO HAY REFERENCIA")</f>
        <v>6000303</v>
      </c>
      <c r="EB75" s="3" t="str">
        <f>_xlfn.XLOOKUP(B75,'BASE DE EXCEL'!$C:$C,'BASE DE EXCEL'!AV:AV,"NO HAY REFERENCIA")</f>
        <v>Importación</v>
      </c>
      <c r="EC75" s="3" t="str">
        <f>_xlfn.XLOOKUP(B75,'BASE DE EXCEL'!$C:$C,'BASE DE EXCEL'!AW:AW,"NO HAY REFERENCIA")</f>
        <v>NOBILIS MA5+CLONE 30 (VACUNA DE USO VETERINARIO)</v>
      </c>
      <c r="ED75" s="3" t="str">
        <f>_xlfn.XLOOKUP(B75,'BASE DE EXCEL'!$C:$C,'BASE DE EXCEL'!AX:AX,"NO HAY REFERENCIA")</f>
        <v>SIN CLASIFICACION</v>
      </c>
      <c r="EE75" s="3">
        <f>_xlfn.XLOOKUP(B75,'BASE DE EXCEL'!$C:$C,'BASE DE EXCEL'!AY:AY,"NO HAY REFERENCIA")</f>
        <v>0</v>
      </c>
      <c r="EF75" s="3" t="str">
        <f>_xlfn.XLOOKUP(B75,'BASE DE EXCEL'!$C:$C,'BASE DE EXCEL'!AZ:AZ,"NO HAY REFERENCIA")</f>
        <v>Cargas de Importación</v>
      </c>
      <c r="EG75" s="3" t="str">
        <f>_xlfn.XLOOKUP(B75,'BASE DE EXCEL'!$C:$C,'BASE DE EXCEL'!BA:BA,"NO HAY REFERENCIA")</f>
        <v>INTERVET MEXICO SA DE CV</v>
      </c>
      <c r="EH75" s="3">
        <f>_xlfn.XLOOKUP(B75,'BASE DE EXCEL'!$C:$C,'BASE DE EXCEL'!BB:BB,"NO HAY REFERENCIA")</f>
        <v>0</v>
      </c>
      <c r="EI75" s="3" t="str">
        <f>_xlfn.XLOOKUP(B75,'BASE DE EXCEL'!$C:$C,'BASE DE EXCEL'!BC:BC,"NO HAY REFERENCIA")</f>
        <v>FALTA RRNA</v>
      </c>
      <c r="EJ75" s="3">
        <f>_xlfn.XLOOKUP(B75,'BASE DE EXCEL'!$C:$C,'BASE DE EXCEL'!BD:BD,"NO HAY REFERENCIA")</f>
        <v>0</v>
      </c>
      <c r="EK75" s="3" t="str">
        <f>_xlfn.XLOOKUP(B75,'BASE DE EXCEL'!$C:$C,'BASE DE EXCEL'!BE:BE,"NO HAY REFERENCIA")</f>
        <v>FALTA RRNA</v>
      </c>
      <c r="EL75" s="3" t="str">
        <f>_xlfn.XLOOKUP(B75,'BASE DE EXCEL'!$C:$C,'BASE DE EXCEL'!BF:BF,"NO HAY REFERENCIA")</f>
        <v>PRODUCTO TERMINADO</v>
      </c>
      <c r="EM75" s="3" t="str">
        <f>_xlfn.XLOOKUP(B75,'BASE DE EXCEL'!$C:$C,'BASE DE EXCEL'!BG:BG,"NO HAY REFERENCIA")</f>
        <v>Verde</v>
      </c>
      <c r="EN75" s="3" t="str">
        <f>_xlfn.XLOOKUP(B75,'BASE DE EXCEL'!$C:$C,'BASE DE EXCEL'!BH:BH,"NO HAY REFERENCIA")</f>
        <v xml:space="preserve"> MLH TRANSPORTE, S.A. DE C.V.</v>
      </c>
      <c r="EO75" s="3" t="str">
        <f>_xlfn.XLOOKUP(B75,'BASE DE EXCEL'!$C:$C,'BASE DE EXCEL'!BI:BI,"NO HAY REFERENCIA")</f>
        <v>TRACTOCAMION ECO 107</v>
      </c>
      <c r="EP75" s="3">
        <f>_xlfn.XLOOKUP(B75,'BASE DE EXCEL'!$C:$C,'BASE DE EXCEL'!BJ:BJ,"NO HAY REFERENCIA")</f>
        <v>0</v>
      </c>
      <c r="EQ75" s="3" t="str">
        <f>_xlfn.XLOOKUP(B75,'BASE DE EXCEL'!$C:$C,'BASE DE EXCEL'!BK:BK,"NO HAY REFERENCIA")</f>
        <v>IME850329RH2</v>
      </c>
      <c r="ER75" s="3">
        <f>_xlfn.XLOOKUP(B75,'BASE DE EXCEL'!$C:$C,'BASE DE EXCEL'!BL:BL,"NO HAY REFERENCIA")</f>
        <v>0</v>
      </c>
      <c r="ES75" s="3" t="str">
        <f>_xlfn.XLOOKUP(B75,'BASE DE EXCEL'!$C:$C,'BASE DE EXCEL'!BM:BM,"NO HAY REFERENCIA")</f>
        <v>00,99</v>
      </c>
      <c r="ET75" s="3" t="str">
        <f>_xlfn.XLOOKUP(B75,'BASE DE EXCEL'!$C:$C,'BASE DE EXCEL'!BN:BN,"NO HAY REFERENCIA")</f>
        <v>LOTE: SCBA207A11,LOTE: A053A01,LOTE: A224A01,LOTE: A198A02,LOTE: A489D01,LOTE: A061A01,LOTE: A247B01,LOTE: A436A02,LOTE: A142A01</v>
      </c>
      <c r="EU75" s="3">
        <f>_xlfn.XLOOKUP(B75,'BASE DE EXCEL'!$C:$C,'BASE DE EXCEL'!BO:BO,"NO HAY REFERENCIA")</f>
        <v>90</v>
      </c>
      <c r="EV75" s="3" t="str">
        <f>_xlfn.XLOOKUP(B75,'BASE DE EXCEL'!$C:$C,'BASE DE EXCEL'!BP:BP,"NO HAY REFERENCIA")</f>
        <v xml:space="preserve"> 321379.32, 13019554.91, 1145829.89, 3079396.80</v>
      </c>
      <c r="EW75" s="3" t="str">
        <f>_xlfn.XLOOKUP(B75,'BASE DE EXCEL'!$C:$C,'BASE DE EXCEL'!BQ:BQ,"NO HAY REFERENCIA")</f>
        <v>KILO,KILO,KILO,KILO,KILO,KILO,KILO,KILO,KILO</v>
      </c>
      <c r="EX75" s="3">
        <f>_xlfn.XLOOKUP(B75,'BASE DE EXCEL'!$C:$C,'BASE DE EXCEL'!BR:BR,"NO HAY REFERENCIA")</f>
        <v>0</v>
      </c>
      <c r="EY75" s="3" t="str">
        <f>_xlfn.XLOOKUP(B75,'BASE DE EXCEL'!$C:$C,'BASE DE EXCEL'!BS:BS,"NO HAY REFERENCIA")</f>
        <v>PAISES BAJOS (REINO DE LOS) (HOLANDA)</v>
      </c>
      <c r="EZ75" s="3" t="str">
        <f>_xlfn.XLOOKUP(B75,'BASE DE EXCEL'!$C:$C,'BASE DE EXCEL'!BT:BT,"NO HAY REFERENCIA")</f>
        <v>PAISES BAJOS (REINO DE LOS) (HOLANDA)</v>
      </c>
      <c r="FA75" s="3" t="str">
        <f>_xlfn.XLOOKUP(B75,'BASE DE EXCEL'!$C:$C,'BASE DE EXCEL'!BU:BU,"NO HAY REFERENCIA")</f>
        <v>ZYA</v>
      </c>
      <c r="FB75" s="3" t="str">
        <f>_xlfn.XLOOKUP(B75,'BASE DE EXCEL'!$C:$C,'BASE DE EXCEL'!BV:BV,"NO HAY REFERENCIA")</f>
        <v>ZYA</v>
      </c>
      <c r="FC75" s="3">
        <f>_xlfn.XLOOKUP(B75,QUERY!$C:$C,QUERY!D:D)</f>
        <v>430</v>
      </c>
      <c r="FD75" s="4">
        <f>_xlfn.XLOOKUP(B75,QUERY!$C:$C,QUERY!E:E)</f>
        <v>46084</v>
      </c>
      <c r="FE75" s="3">
        <f>_xlfn.XLOOKUP(B75,QUERY!$C:$C,QUERY!F:F)</f>
        <v>3</v>
      </c>
      <c r="FF75" s="4">
        <f>_xlfn.XLOOKUP(B75,QUERY!$C:$C,QUERY!G:G)</f>
        <v>46077</v>
      </c>
      <c r="FG75" s="4">
        <f>_xlfn.XLOOKUP(B75,QUERY!$C:$C,QUERY!H:H)</f>
        <v>46084</v>
      </c>
      <c r="FH75" s="3">
        <f>_xlfn.XLOOKUP(B75,QUERY!$C:$C,QUERY!I:I)</f>
        <v>5</v>
      </c>
      <c r="FI75" s="3" t="str">
        <f>_xlfn.XLOOKUP(B75,QUERY!$C:$C,QUERY!J:J)</f>
        <v>4 a 5 días</v>
      </c>
      <c r="FJ75" s="4">
        <f>_xlfn.XLOOKUP(B75,QUERY!$C:$C,QUERY!K:K)</f>
        <v>46085</v>
      </c>
      <c r="FK75" s="3">
        <f>_xlfn.XLOOKUP(B75,QUERY!$C:$C,QUERY!L:L)</f>
        <v>6</v>
      </c>
      <c r="FL75" s="3" t="str">
        <f>_xlfn.XLOOKUP(B75,QUERY!$C:$C,QUERY!M:M)</f>
        <v>6 a 10 días</v>
      </c>
      <c r="FM75" s="3">
        <f>_xlfn.XLOOKUP(B75,QUERY!$C:$C,QUERY!N:N)</f>
        <v>1</v>
      </c>
      <c r="FN75" s="3" t="str">
        <f>_xlfn.XLOOKUP(B75,QUERY!$C:$C,QUERY!O:O)</f>
        <v>1 día o menos</v>
      </c>
      <c r="FO75" s="3">
        <f>_xlfn.XLOOKUP(B75,QUERY!$C:$C,QUERY!P:P)</f>
        <v>1</v>
      </c>
      <c r="FP75" s="3">
        <f>_xlfn.XLOOKUP(B75,QUERY!$C:$C,QUERY!Q:Q)</f>
        <v>1</v>
      </c>
      <c r="FQ75" s="3" t="str">
        <f>_xlfn.XLOOKUP(B75,QUERY!$C:$C,QUERY!R:R)</f>
        <v>1 día o menos</v>
      </c>
      <c r="FR75" s="4">
        <f>_xlfn.XLOOKUP(B75,QUERY!$C:$C,QUERY!S:S)</f>
        <v>46086</v>
      </c>
      <c r="FS75" s="3">
        <f>_xlfn.XLOOKUP(B75,QUERY!$C:$C,QUERY!T:T)</f>
        <v>7</v>
      </c>
      <c r="FT75" s="3" t="str">
        <f>_xlfn.XLOOKUP(B75,QUERY!$C:$C,QUERY!U:U)</f>
        <v>6 a 10 días</v>
      </c>
      <c r="FU75" s="3">
        <f>_xlfn.XLOOKUP(B75,QUERY!$C:$C,QUERY!V:V)</f>
        <v>20</v>
      </c>
      <c r="FV75" s="3" t="str">
        <f>_xlfn.XLOOKUP(B75,QUERY!$C:$C,QUERY!W:W)</f>
        <v>más de 16 días</v>
      </c>
      <c r="FW75" s="4">
        <f>_xlfn.XLOOKUP(B75,QUERY!$C:$C,QUERY!X:X)</f>
        <v>46105</v>
      </c>
      <c r="FX75" s="3">
        <f>_xlfn.XLOOKUP(B75,QUERY!$C:$C,QUERY!Y:Y)</f>
        <v>12</v>
      </c>
      <c r="FY75" s="3">
        <f>_xlfn.XLOOKUP(B75,QUERY!$C:$C,QUERY!Z:Z)</f>
        <v>13</v>
      </c>
      <c r="FZ75" s="4" t="str">
        <f>_xlfn.XLOOKUP(B75,QUERY!$C:$C,QUERY!AA:AA)</f>
        <v>más de 16 días</v>
      </c>
      <c r="GA75" s="4">
        <f>_xlfn.XLOOKUP(B75,QUERY!$C:$C,QUERY!AB:AB)</f>
        <v>46104</v>
      </c>
      <c r="GB75" s="4">
        <f>_xlfn.XLOOKUP(B75,QUERY!$C:$C,QUERY!AC:AC)</f>
        <v>46105</v>
      </c>
      <c r="GC75" s="3">
        <f>_xlfn.XLOOKUP(B75,QUERY!$C:$C,QUERY!AD:AD)</f>
        <v>1</v>
      </c>
      <c r="GD75" s="4">
        <f>_xlfn.XLOOKUP(B75,QUERY!$C:$C,QUERY!AE:AE)</f>
        <v>46105</v>
      </c>
      <c r="GE75" s="3">
        <f>_xlfn.XLOOKUP(B75,QUERY!$C:$C,QUERY!AF:AF)</f>
        <v>1</v>
      </c>
      <c r="GF75" s="4" t="str">
        <f>_xlfn.XLOOKUP(B75,QUERY!$C:$C,QUERY!AG:AG)</f>
        <v>Es anterior</v>
      </c>
      <c r="GG75" s="3" t="str">
        <f>_xlfn.XLOOKUP(B75,QUERY!$C:$C,QUERY!AH:AH)</f>
        <v>A1</v>
      </c>
      <c r="GH75" s="3" t="str">
        <f>_xlfn.XLOOKUP(B75,QUERY!$C:$C,QUERY!AI:AI)</f>
        <v>ZULEIMA PEREZ RUIZ</v>
      </c>
      <c r="GI75" s="3" t="str">
        <f>_xlfn.XLOOKUP(B75,QUERY!$C:$C,QUERY!AJ:AJ)</f>
        <v>HLCURTM260162366</v>
      </c>
      <c r="GJ75" s="3" t="str">
        <f>_xlfn.XLOOKUP(B75,QUERY!$C:$C,QUERY!AK:AK)</f>
        <v>NULL</v>
      </c>
      <c r="GK75" s="3">
        <f>_xlfn.XLOOKUP(B75,QUERY!$C:$C,QUERY!AL:AL)</f>
        <v>6000303</v>
      </c>
      <c r="GL75" s="3" t="str">
        <f>_xlfn.XLOOKUP(B75,QUERY!$C:$C,QUERY!AM:AM)</f>
        <v>Importación</v>
      </c>
      <c r="GM75" s="3" t="str">
        <f>_xlfn.XLOOKUP(B75,QUERY!$C:$C,QUERY!AN:AN)</f>
        <v>NOBILIS MA5+CLONE 30 (VACUNA DE USO VETERINARIO)</v>
      </c>
      <c r="GN75" s="3" t="str">
        <f>_xlfn.XLOOKUP(B75,QUERY!$C:$C,QUERY!AO:AO)</f>
        <v>SIN CLASIFICACION</v>
      </c>
      <c r="GO75" s="3">
        <f>_xlfn.XLOOKUP(B75,QUERY!$C:$C,QUERY!AP:AP)</f>
        <v>0</v>
      </c>
      <c r="GP75" s="3" t="str">
        <f>_xlfn.XLOOKUP(B75,QUERY!$C:$C,QUERY!AQ:AQ)</f>
        <v>Cargas de Importación</v>
      </c>
      <c r="GQ75" s="3" t="str">
        <f>_xlfn.XLOOKUP(B75,QUERY!$C:$C,QUERY!AR:AR)</f>
        <v>INTERVET MEXICO SA DE CV</v>
      </c>
      <c r="GR75" s="3">
        <f>_xlfn.XLOOKUP(B75,QUERY!$C:$C,QUERY!AS:AS)</f>
        <v>0</v>
      </c>
      <c r="GS75" s="3" t="str">
        <f>_xlfn.XLOOKUP(B75,QUERY!$C:$C,QUERY!AT:AT)</f>
        <v>FALTA RRNA</v>
      </c>
      <c r="GT75" s="3">
        <f>_xlfn.XLOOKUP(B75,QUERY!$C:$C,QUERY!AU:AU)</f>
        <v>0</v>
      </c>
      <c r="GU75" s="3" t="str">
        <f>_xlfn.XLOOKUP(B75,QUERY!$C:$C,QUERY!AV:AV)</f>
        <v>FALTA RRNA</v>
      </c>
      <c r="GV75" s="3" t="str">
        <f>_xlfn.XLOOKUP(B75,QUERY!$C:$C,QUERY!AW:AW)</f>
        <v>PRODUCTO TERMINADO</v>
      </c>
      <c r="GW75" s="3" t="str">
        <f>_xlfn.XLOOKUP(B75,QUERY!$C:$C,QUERY!AX:AX)</f>
        <v>Verde</v>
      </c>
      <c r="GX75" s="3" t="str">
        <f>_xlfn.XLOOKUP(B75,QUERY!$C:$C,QUERY!AY:AY)</f>
        <v xml:space="preserve"> MLH TRANSPORTE, S.A. DE C.V.</v>
      </c>
      <c r="GY75" s="3" t="str">
        <f>_xlfn.XLOOKUP(B75,QUERY!$C:$C,QUERY!AZ:AZ)</f>
        <v>TRACTOCAMION ECO 107</v>
      </c>
      <c r="GZ75" s="3">
        <f>_xlfn.XLOOKUP(B75,QUERY!$C:$C,QUERY!BA:BA)</f>
        <v>0</v>
      </c>
      <c r="HA75" s="3" t="str">
        <f>_xlfn.XLOOKUP(B75,QUERY!$C:$C,QUERY!BB:BB)</f>
        <v>IME850329RH2</v>
      </c>
      <c r="HB75" s="3">
        <f>_xlfn.XLOOKUP(B75,QUERY!$C:$C,QUERY!BC:BC)</f>
        <v>0</v>
      </c>
      <c r="HC75" s="3">
        <f>_xlfn.XLOOKUP(B75,QUERY!$C:$C,QUERY!BD:BD)</f>
        <v>0.99</v>
      </c>
      <c r="HD75" s="3" t="str">
        <f>_xlfn.XLOOKUP(B75,QUERY!$C:$C,QUERY!BE:BE)</f>
        <v>LOTE: SCBA207A11,LOTE: A053A01,LOTE: A224A01,LOTE: A142A01,LOTE: A247B01,LOTE: A436A02,LOTE: A198A02,LOTE: A489D01,LOTE: A061A01</v>
      </c>
      <c r="HE75" s="3">
        <f>_xlfn.XLOOKUP(B75,QUERY!$C:$C,QUERY!BF:BF)</f>
        <v>90</v>
      </c>
      <c r="HF75" s="3" t="str">
        <f>_xlfn.XLOOKUP(B75,QUERY!$C:$C,QUERY!BG:BG)</f>
        <v xml:space="preserve"> 321379.32, 13019554.91, 1145829.89, 3079396.80</v>
      </c>
      <c r="HG75" s="3" t="str">
        <f>_xlfn.XLOOKUP(B75,QUERY!$C:$C,QUERY!BH:BH)</f>
        <v>KILO,KILO,KILO,KILO,KILO,KILO,KILO,KILO,KILO</v>
      </c>
      <c r="HH75" s="3">
        <f>_xlfn.XLOOKUP(B75,QUERY!$C:$C,QUERY!BI:BI)</f>
        <v>0</v>
      </c>
      <c r="HI75" s="3" t="str">
        <f>_xlfn.XLOOKUP(B75,QUERY!$C:$C,QUERY!BJ:BJ)</f>
        <v>PAISES BAJOS (REINO DE LOS) (HOLANDA)</v>
      </c>
      <c r="HJ75" s="3" t="str">
        <f>_xlfn.XLOOKUP(B75,QUERY!$C:$C,QUERY!BK:BK)</f>
        <v>PAISES BAJOS (REINO DE LOS) (HOLANDA)</v>
      </c>
      <c r="HK75" s="3" t="str">
        <f>_xlfn.XLOOKUP(B75,QUERY!$C:$C,QUERY!BL:BL)</f>
        <v>ZYA</v>
      </c>
      <c r="HL75" s="3" t="str">
        <f>_xlfn.XLOOKUP(B75,QUERY!$C:$C,QUERY!BM:BM)</f>
        <v>ZYA</v>
      </c>
      <c r="HM75" s="3">
        <f>_xlfn.XLOOKUP(B75,QUERY!$C:$C,QUERY!BN:BN)</f>
        <v>17566160</v>
      </c>
      <c r="HN75" s="3" t="str">
        <f>_xlfn.XLOOKUP(B75,QUERY!$C:$C,QUERY!BO:BO)</f>
        <v>462.00</v>
      </c>
      <c r="HO75" s="3" t="str">
        <f>_xlfn.XLOOKUP(B75,QUERY!$C:$C,QUERY!BP:BP)</f>
        <v>NULL</v>
      </c>
      <c r="HP75" s="3" t="str">
        <f>_xlfn.XLOOKUP(B75,QUERY!$C:$C,QUERY!BQ:BQ)</f>
        <v>NULL</v>
      </c>
      <c r="HQ75" s="3" t="str">
        <f>_xlfn.XLOOKUP(B75,QUERY!$C:$C,QUERY!BR:BR)</f>
        <v>250436.84</v>
      </c>
      <c r="HR75" s="3">
        <f>_xlfn.XLOOKUP(B75,QUERY!$C:$C,QUERY!BS:BS)</f>
        <v>0</v>
      </c>
      <c r="HS75" s="3">
        <f>_xlfn.XLOOKUP(B75,QUERY!$C:$C,QUERY!BT:BT)</f>
        <v>0</v>
      </c>
      <c r="HT75" s="3" t="str">
        <f>_xlfn.XLOOKUP(B75,QUERY!$C:$C,QUERY!A:A)</f>
        <v>VERACRUZ</v>
      </c>
      <c r="HU75" s="3" t="str">
        <f>_xlfn.XLOOKUP(B75,QUERY!$C:$C,QUERY!B:B)</f>
        <v>MARÍTIMO VERACRUZ</v>
      </c>
    </row>
    <row r="76" spans="1:229" x14ac:dyDescent="0.25">
      <c r="A76" s="3" t="s">
        <v>90</v>
      </c>
      <c r="B76" s="3" t="s">
        <v>257</v>
      </c>
      <c r="C76" s="3">
        <v>3942</v>
      </c>
      <c r="D76" s="3">
        <v>6000303</v>
      </c>
      <c r="E76" s="3"/>
      <c r="F76" s="3" t="s">
        <v>92</v>
      </c>
      <c r="G76" s="3" t="s">
        <v>93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430</v>
      </c>
      <c r="S76" s="3" t="s">
        <v>258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 t="s">
        <v>267</v>
      </c>
      <c r="AB76" s="3"/>
      <c r="AC76" s="3">
        <v>2204237</v>
      </c>
      <c r="AD76" s="3">
        <v>416.67995999999999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/>
      <c r="AP76" s="3" t="s">
        <v>98</v>
      </c>
      <c r="AQ76" s="3">
        <v>210365020</v>
      </c>
      <c r="AR76" s="3" t="s">
        <v>99</v>
      </c>
      <c r="AS76" s="3" t="s">
        <v>100</v>
      </c>
      <c r="AT76" s="3">
        <v>0</v>
      </c>
      <c r="AU76" s="3">
        <v>0</v>
      </c>
      <c r="AV76" s="3">
        <v>0</v>
      </c>
      <c r="AW76" s="3">
        <v>30024201</v>
      </c>
      <c r="AX76" s="3">
        <v>99</v>
      </c>
      <c r="AY76" s="3">
        <v>5290</v>
      </c>
      <c r="AZ76" s="3">
        <v>5290</v>
      </c>
      <c r="BA76" s="3" t="s">
        <v>103</v>
      </c>
      <c r="BB76" s="3"/>
      <c r="BC76" s="3" t="s">
        <v>105</v>
      </c>
      <c r="BD76" s="3" t="s">
        <v>105</v>
      </c>
      <c r="BE76" s="3"/>
      <c r="BF76" s="3"/>
      <c r="BG76" s="5"/>
      <c r="BH76" s="3"/>
      <c r="BI76" s="3"/>
      <c r="BJ76" s="3"/>
      <c r="BK76" s="3" t="s">
        <v>263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 t="s">
        <v>192</v>
      </c>
      <c r="CF76" s="3">
        <v>0</v>
      </c>
      <c r="CG76" s="3">
        <v>0</v>
      </c>
      <c r="CH76" s="3">
        <v>0</v>
      </c>
      <c r="CI76" s="3" t="s">
        <v>112</v>
      </c>
      <c r="CJ76" s="3" t="s">
        <v>112</v>
      </c>
      <c r="CK76" s="3">
        <f>_xlfn.XLOOKUP($B$2,'BASE DE EXCEL'!C:C,'BASE DE EXCEL'!D:D,"NO HAY REFERENCIA")</f>
        <v>470</v>
      </c>
      <c r="CL76" s="5">
        <f>_xlfn.XLOOKUP($B$2,'BASE DE EXCEL'!$C:$C,'BASE DE EXCEL'!F:F,"NO HAY REFERENCIA")</f>
        <v>3</v>
      </c>
      <c r="CM76" s="4">
        <f>_xlfn.XLOOKUP($B$2,'BASE DE EXCEL'!$C:$C,'BASE DE EXCEL'!G:G,"NO HAY REFERENCIA")</f>
        <v>46080</v>
      </c>
      <c r="CN76" s="4">
        <f>_xlfn.XLOOKUP($B$2,'BASE DE EXCEL'!$C:$C,'BASE DE EXCEL'!H:H,"NO HAY REFERENCIA")</f>
        <v>46086</v>
      </c>
      <c r="CO76" s="3">
        <f>_xlfn.XLOOKUP($B$2,'BASE DE EXCEL'!$C:$C,'BASE DE EXCEL'!I:I,"NO HAY REFERENCIA")</f>
        <v>4</v>
      </c>
      <c r="CP76" s="3" t="str">
        <f>_xlfn.XLOOKUP($B$2,'BASE DE EXCEL'!$C:$C,'BASE DE EXCEL'!J:J,"NO HAY REFERENCIA")</f>
        <v>4 a 5 días</v>
      </c>
      <c r="CQ76" s="4">
        <f>_xlfn.XLOOKUP($B$2,'BASE DE EXCEL'!$C:$C,'BASE DE EXCEL'!K:K,"NO HAY REFERENCIA")</f>
        <v>46087</v>
      </c>
      <c r="CR76" s="3">
        <f>_xlfn.XLOOKUP($B$2,'BASE DE EXCEL'!$C:$C,'BASE DE EXCEL'!L:L,"NO HAY REFERENCIA")</f>
        <v>5</v>
      </c>
      <c r="CS76" s="3">
        <f>_xlfn.XLOOKUP($B$2,'BASE DE EXCEL'!$C:$C,'BASE DE EXCEL'!M:M,"NO HAY REFERENCIA")</f>
        <v>6</v>
      </c>
      <c r="CT76" s="3" t="str">
        <f>_xlfn.XLOOKUP($B$2,'BASE DE EXCEL'!$C:$C,'BASE DE EXCEL'!N:N,"NO HAY REFERENCIA")</f>
        <v>6 a 10 días</v>
      </c>
      <c r="CU76" s="3" t="str">
        <f>_xlfn.XLOOKUP($B$2,'BASE DE EXCEL'!$C:$C,'BASE DE EXCEL'!O:O,"NO HAY REFERENCIA")</f>
        <v>On Time</v>
      </c>
      <c r="CV76" s="3" t="str">
        <f>_xlfn.XLOOKUP(B76,'BASE DE EXCEL'!$C:$C,'BASE DE EXCEL'!P:P,"NO HAY REFERENCIA")</f>
        <v>6 a 10 días</v>
      </c>
      <c r="CW76" s="4">
        <f>_xlfn.XLOOKUP(B76,'BASE DE EXCEL'!$C:$C,'BASE DE EXCEL'!Q:Q,"NO HAY REFERENCIA")</f>
        <v>46086</v>
      </c>
      <c r="CX76" s="3">
        <f>_xlfn.XLOOKUP(B76,'BASE DE EXCEL'!$C:$C,'BASE DE EXCEL'!R:R,"NO HAY REFERENCIA")</f>
        <v>8</v>
      </c>
      <c r="CY76" s="3" t="str">
        <f>_xlfn.XLOOKUP(B76,'BASE DE EXCEL'!$C:$C,'BASE DE EXCEL'!S:S,"NO HAY REFERENCIA")</f>
        <v>6 a 10 días</v>
      </c>
      <c r="CZ76" s="3" t="str">
        <f>_xlfn.XLOOKUP(B76,'BASE DE EXCEL'!$C:$C,'BASE DE EXCEL'!T:T,"NO HAY REFERENCIA")</f>
        <v>Delayed</v>
      </c>
      <c r="DA76" s="3">
        <f>_xlfn.XLOOKUP(B76,'BASE DE EXCEL'!$C:$C,'BASE DE EXCEL'!U:U,"NO HAY REFERENCIA")</f>
        <v>9</v>
      </c>
      <c r="DB76" s="3" t="str">
        <f>_xlfn.XLOOKUP(B76,'BASE DE EXCEL'!$C:$C,'BASE DE EXCEL'!V:V,"NO HAY REFERENCIA")</f>
        <v>6 a 10 días</v>
      </c>
      <c r="DC76" s="3">
        <f>_xlfn.XLOOKUP(B76,'BASE DE EXCEL'!$C:$C,'BASE DE EXCEL'!W:W,"NO HAY REFERENCIA")</f>
        <v>20</v>
      </c>
      <c r="DD76" s="3" t="str">
        <f>_xlfn.XLOOKUP(B76,'BASE DE EXCEL'!$C:$C,'BASE DE EXCEL'!X:X,"NO HAY REFERENCIA")</f>
        <v>más de 16 días</v>
      </c>
      <c r="DE76" s="3">
        <f>_xlfn.XLOOKUP(B76,'BASE DE EXCEL'!$C:$C,'BASE DE EXCEL'!Y:Y,"NO HAY REFERENCIA")</f>
        <v>1</v>
      </c>
      <c r="DF76" s="3" t="str">
        <f>_xlfn.XLOOKUP(B76,'BASE DE EXCEL'!$C:$C,'BASE DE EXCEL'!Z:Z,"NO HAY REFERENCIA")</f>
        <v>1 día o menos</v>
      </c>
      <c r="DG76" s="3">
        <f>_xlfn.XLOOKUP(B76,'BASE DE EXCEL'!$C:$C,'BASE DE EXCEL'!AA:AA,"NO HAY REFERENCIA")</f>
        <v>7</v>
      </c>
      <c r="DH76" s="3">
        <f>_xlfn.XLOOKUP(B76,'BASE DE EXCEL'!$C:$C,'BASE DE EXCEL'!AB:AB,"NO HAY REFERENCIA")</f>
        <v>1</v>
      </c>
      <c r="DI76" s="3" t="str">
        <f>_xlfn.XLOOKUP(B76,'BASE DE EXCEL'!$C:$C,'BASE DE EXCEL'!AC:AC,"NO HAY REFERENCIA")</f>
        <v>1 día o menos</v>
      </c>
      <c r="DJ76" s="4">
        <f>_xlfn.XLOOKUP(B76,'BASE DE EXCEL'!$C:$C,'BASE DE EXCEL'!AD:AD,"NO HAY REFERENCIA")</f>
        <v>46105</v>
      </c>
      <c r="DK76" s="3">
        <f>_xlfn.XLOOKUP(B76,'BASE DE EXCEL'!$C:$C,'BASE DE EXCEL'!AE:AE,"NO HAY REFERENCIA")</f>
        <v>18</v>
      </c>
      <c r="DL76" s="3">
        <f>_xlfn.XLOOKUP(B76,'BASE DE EXCEL'!$C:$C,'BASE DE EXCEL'!AF:AF,"NO HAY REFERENCIA")</f>
        <v>13</v>
      </c>
      <c r="DM76" s="4">
        <f>_xlfn.XLOOKUP(B76,'BASE DE EXCEL'!$C:$C,'BASE DE EXCEL'!AG:AG,"NO HAY REFERENCIA")</f>
        <v>46104</v>
      </c>
      <c r="DN76" s="4">
        <f>_xlfn.XLOOKUP(B76,'BASE DE EXCEL'!$C:$C,'BASE DE EXCEL'!AH:AH,"NO HAY REFERENCIA")</f>
        <v>46105</v>
      </c>
      <c r="DO76" s="3">
        <f>_xlfn.XLOOKUP(B76,'BASE DE EXCEL'!$C:$C,'BASE DE EXCEL'!AI:AI,"NO HAY REFERENCIA")</f>
        <v>1</v>
      </c>
      <c r="DP76" s="4" t="str">
        <f>_xlfn.XLOOKUP(B76,'BASE DE EXCEL'!$C:$C,'BASE DE EXCEL'!AJ:AJ,"NO HAY REFERENCIA")</f>
        <v>más de 16 días</v>
      </c>
      <c r="DQ76" s="4">
        <f>_xlfn.XLOOKUP(B76,'BASE DE EXCEL'!$C:$C,'BASE DE EXCEL'!AK:AK,"NO HAY REFERENCIA")</f>
        <v>46105</v>
      </c>
      <c r="DR76" s="3">
        <f>_xlfn.XLOOKUP(B76,'BASE DE EXCEL'!$C:$C,'BASE DE EXCEL'!AL:AL,"NO HAY REFERENCIA")</f>
        <v>13</v>
      </c>
      <c r="DS76" s="3" t="str">
        <f>_xlfn.XLOOKUP(B76,'BASE DE EXCEL'!$C:$C,'BASE DE EXCEL'!AM:AM,"NO HAY REFERENCIA")</f>
        <v>11 a 15 días</v>
      </c>
      <c r="DT76" s="3" t="str">
        <f>_xlfn.XLOOKUP(B76,'BASE DE EXCEL'!$C:$C,'BASE DE EXCEL'!AN:AN,"NO HAY REFERENCIA")</f>
        <v>Delayed</v>
      </c>
      <c r="DU76" s="3">
        <f>_xlfn.XLOOKUP(B76,'BASE DE EXCEL'!$C:$C,'BASE DE EXCEL'!AO:AO,"NO HAY REFERENCIA")</f>
        <v>1</v>
      </c>
      <c r="DV76" s="3" t="str">
        <f>_xlfn.XLOOKUP(B76,'BASE DE EXCEL'!$C:$C,'BASE DE EXCEL'!AP:AP,"NO HAY REFERENCIA")</f>
        <v>Es anterior</v>
      </c>
      <c r="DW76" s="3" t="str">
        <f>_xlfn.XLOOKUP(B76,'BASE DE EXCEL'!$C:$C,'BASE DE EXCEL'!AQ:AQ,"NO HAY REFERENCIA")</f>
        <v>A1</v>
      </c>
      <c r="DX76" s="3" t="str">
        <f>_xlfn.XLOOKUP(B76,'BASE DE EXCEL'!$C:$C,'BASE DE EXCEL'!AR:AR,"NO HAY REFERENCIA")</f>
        <v>ZULEIMA PEREZ RUIZ</v>
      </c>
      <c r="DY76" s="3" t="str">
        <f>_xlfn.XLOOKUP(B76,'BASE DE EXCEL'!$C:$C,'BASE DE EXCEL'!AS:AS,"NO HAY REFERENCIA")</f>
        <v>HLCURTM260162366</v>
      </c>
      <c r="DZ76" s="3" t="str">
        <f>_xlfn.XLOOKUP(B76,'BASE DE EXCEL'!$C:$C,'BASE DE EXCEL'!AT:AT,"NO HAY REFERENCIA")</f>
        <v>NULL</v>
      </c>
      <c r="EA76" s="3">
        <f>_xlfn.XLOOKUP(B76,'BASE DE EXCEL'!$C:$C,'BASE DE EXCEL'!AU:AU,"NO HAY REFERENCIA")</f>
        <v>6000303</v>
      </c>
      <c r="EB76" s="3" t="str">
        <f>_xlfn.XLOOKUP(B76,'BASE DE EXCEL'!$C:$C,'BASE DE EXCEL'!AV:AV,"NO HAY REFERENCIA")</f>
        <v>Importación</v>
      </c>
      <c r="EC76" s="3" t="str">
        <f>_xlfn.XLOOKUP(B76,'BASE DE EXCEL'!$C:$C,'BASE DE EXCEL'!AW:AW,"NO HAY REFERENCIA")</f>
        <v>NOBILIS MA5+CLONE 30 (VACUNA DE USO VETERINARIO)</v>
      </c>
      <c r="ED76" s="3" t="str">
        <f>_xlfn.XLOOKUP(B76,'BASE DE EXCEL'!$C:$C,'BASE DE EXCEL'!AX:AX,"NO HAY REFERENCIA")</f>
        <v>SIN CLASIFICACION</v>
      </c>
      <c r="EE76" s="3">
        <f>_xlfn.XLOOKUP(B76,'BASE DE EXCEL'!$C:$C,'BASE DE EXCEL'!AY:AY,"NO HAY REFERENCIA")</f>
        <v>0</v>
      </c>
      <c r="EF76" s="3" t="str">
        <f>_xlfn.XLOOKUP(B76,'BASE DE EXCEL'!$C:$C,'BASE DE EXCEL'!AZ:AZ,"NO HAY REFERENCIA")</f>
        <v>Cargas de Importación</v>
      </c>
      <c r="EG76" s="3" t="str">
        <f>_xlfn.XLOOKUP(B76,'BASE DE EXCEL'!$C:$C,'BASE DE EXCEL'!BA:BA,"NO HAY REFERENCIA")</f>
        <v>INTERVET MEXICO SA DE CV</v>
      </c>
      <c r="EH76" s="3">
        <f>_xlfn.XLOOKUP(B76,'BASE DE EXCEL'!$C:$C,'BASE DE EXCEL'!BB:BB,"NO HAY REFERENCIA")</f>
        <v>0</v>
      </c>
      <c r="EI76" s="3" t="str">
        <f>_xlfn.XLOOKUP(B76,'BASE DE EXCEL'!$C:$C,'BASE DE EXCEL'!BC:BC,"NO HAY REFERENCIA")</f>
        <v>FALTA RRNA</v>
      </c>
      <c r="EJ76" s="3">
        <f>_xlfn.XLOOKUP(B76,'BASE DE EXCEL'!$C:$C,'BASE DE EXCEL'!BD:BD,"NO HAY REFERENCIA")</f>
        <v>0</v>
      </c>
      <c r="EK76" s="3" t="str">
        <f>_xlfn.XLOOKUP(B76,'BASE DE EXCEL'!$C:$C,'BASE DE EXCEL'!BE:BE,"NO HAY REFERENCIA")</f>
        <v>FALTA RRNA</v>
      </c>
      <c r="EL76" s="3" t="str">
        <f>_xlfn.XLOOKUP(B76,'BASE DE EXCEL'!$C:$C,'BASE DE EXCEL'!BF:BF,"NO HAY REFERENCIA")</f>
        <v>PRODUCTO TERMINADO</v>
      </c>
      <c r="EM76" s="3" t="str">
        <f>_xlfn.XLOOKUP(B76,'BASE DE EXCEL'!$C:$C,'BASE DE EXCEL'!BG:BG,"NO HAY REFERENCIA")</f>
        <v>Verde</v>
      </c>
      <c r="EN76" s="3" t="str">
        <f>_xlfn.XLOOKUP(B76,'BASE DE EXCEL'!$C:$C,'BASE DE EXCEL'!BH:BH,"NO HAY REFERENCIA")</f>
        <v xml:space="preserve"> MLH TRANSPORTE, S.A. DE C.V.</v>
      </c>
      <c r="EO76" s="3" t="str">
        <f>_xlfn.XLOOKUP(B76,'BASE DE EXCEL'!$C:$C,'BASE DE EXCEL'!BI:BI,"NO HAY REFERENCIA")</f>
        <v>TRACTOCAMION ECO 107</v>
      </c>
      <c r="EP76" s="3">
        <f>_xlfn.XLOOKUP(B76,'BASE DE EXCEL'!$C:$C,'BASE DE EXCEL'!BJ:BJ,"NO HAY REFERENCIA")</f>
        <v>0</v>
      </c>
      <c r="EQ76" s="3" t="str">
        <f>_xlfn.XLOOKUP(B76,'BASE DE EXCEL'!$C:$C,'BASE DE EXCEL'!BK:BK,"NO HAY REFERENCIA")</f>
        <v>IME850329RH2</v>
      </c>
      <c r="ER76" s="3">
        <f>_xlfn.XLOOKUP(B76,'BASE DE EXCEL'!$C:$C,'BASE DE EXCEL'!BL:BL,"NO HAY REFERENCIA")</f>
        <v>0</v>
      </c>
      <c r="ES76" s="3" t="str">
        <f>_xlfn.XLOOKUP(B76,'BASE DE EXCEL'!$C:$C,'BASE DE EXCEL'!BM:BM,"NO HAY REFERENCIA")</f>
        <v>00,99</v>
      </c>
      <c r="ET76" s="3" t="str">
        <f>_xlfn.XLOOKUP(B76,'BASE DE EXCEL'!$C:$C,'BASE DE EXCEL'!BN:BN,"NO HAY REFERENCIA")</f>
        <v>LOTE: SCBA207A11,LOTE: A053A01,LOTE: A224A01,LOTE: A198A02,LOTE: A489D01,LOTE: A061A01,LOTE: A247B01,LOTE: A436A02,LOTE: A142A01</v>
      </c>
      <c r="EU76" s="3">
        <f>_xlfn.XLOOKUP(B76,'BASE DE EXCEL'!$C:$C,'BASE DE EXCEL'!BO:BO,"NO HAY REFERENCIA")</f>
        <v>90</v>
      </c>
      <c r="EV76" s="3" t="str">
        <f>_xlfn.XLOOKUP(B76,'BASE DE EXCEL'!$C:$C,'BASE DE EXCEL'!BP:BP,"NO HAY REFERENCIA")</f>
        <v xml:space="preserve"> 321379.32, 13019554.91, 1145829.89, 3079396.80</v>
      </c>
      <c r="EW76" s="3" t="str">
        <f>_xlfn.XLOOKUP(B76,'BASE DE EXCEL'!$C:$C,'BASE DE EXCEL'!BQ:BQ,"NO HAY REFERENCIA")</f>
        <v>KILO,KILO,KILO,KILO,KILO,KILO,KILO,KILO,KILO</v>
      </c>
      <c r="EX76" s="3">
        <f>_xlfn.XLOOKUP(B76,'BASE DE EXCEL'!$C:$C,'BASE DE EXCEL'!BR:BR,"NO HAY REFERENCIA")</f>
        <v>0</v>
      </c>
      <c r="EY76" s="3" t="str">
        <f>_xlfn.XLOOKUP(B76,'BASE DE EXCEL'!$C:$C,'BASE DE EXCEL'!BS:BS,"NO HAY REFERENCIA")</f>
        <v>PAISES BAJOS (REINO DE LOS) (HOLANDA)</v>
      </c>
      <c r="EZ76" s="3" t="str">
        <f>_xlfn.XLOOKUP(B76,'BASE DE EXCEL'!$C:$C,'BASE DE EXCEL'!BT:BT,"NO HAY REFERENCIA")</f>
        <v>PAISES BAJOS (REINO DE LOS) (HOLANDA)</v>
      </c>
      <c r="FA76" s="3" t="str">
        <f>_xlfn.XLOOKUP(B76,'BASE DE EXCEL'!$C:$C,'BASE DE EXCEL'!BU:BU,"NO HAY REFERENCIA")</f>
        <v>ZYA</v>
      </c>
      <c r="FB76" s="3" t="str">
        <f>_xlfn.XLOOKUP(B76,'BASE DE EXCEL'!$C:$C,'BASE DE EXCEL'!BV:BV,"NO HAY REFERENCIA")</f>
        <v>ZYA</v>
      </c>
      <c r="FC76" s="3">
        <f>_xlfn.XLOOKUP(B76,QUERY!$C:$C,QUERY!D:D)</f>
        <v>430</v>
      </c>
      <c r="FD76" s="4">
        <f>_xlfn.XLOOKUP(B76,QUERY!$C:$C,QUERY!E:E)</f>
        <v>46084</v>
      </c>
      <c r="FE76" s="3">
        <f>_xlfn.XLOOKUP(B76,QUERY!$C:$C,QUERY!F:F)</f>
        <v>3</v>
      </c>
      <c r="FF76" s="4">
        <f>_xlfn.XLOOKUP(B76,QUERY!$C:$C,QUERY!G:G)</f>
        <v>46077</v>
      </c>
      <c r="FG76" s="4">
        <f>_xlfn.XLOOKUP(B76,QUERY!$C:$C,QUERY!H:H)</f>
        <v>46084</v>
      </c>
      <c r="FH76" s="3">
        <f>_xlfn.XLOOKUP(B76,QUERY!$C:$C,QUERY!I:I)</f>
        <v>5</v>
      </c>
      <c r="FI76" s="3" t="str">
        <f>_xlfn.XLOOKUP(B76,QUERY!$C:$C,QUERY!J:J)</f>
        <v>4 a 5 días</v>
      </c>
      <c r="FJ76" s="4">
        <f>_xlfn.XLOOKUP(B76,QUERY!$C:$C,QUERY!K:K)</f>
        <v>46085</v>
      </c>
      <c r="FK76" s="3">
        <f>_xlfn.XLOOKUP(B76,QUERY!$C:$C,QUERY!L:L)</f>
        <v>6</v>
      </c>
      <c r="FL76" s="3" t="str">
        <f>_xlfn.XLOOKUP(B76,QUERY!$C:$C,QUERY!M:M)</f>
        <v>6 a 10 días</v>
      </c>
      <c r="FM76" s="3">
        <f>_xlfn.XLOOKUP(B76,QUERY!$C:$C,QUERY!N:N)</f>
        <v>1</v>
      </c>
      <c r="FN76" s="3" t="str">
        <f>_xlfn.XLOOKUP(B76,QUERY!$C:$C,QUERY!O:O)</f>
        <v>1 día o menos</v>
      </c>
      <c r="FO76" s="3">
        <f>_xlfn.XLOOKUP(B76,QUERY!$C:$C,QUERY!P:P)</f>
        <v>1</v>
      </c>
      <c r="FP76" s="3">
        <f>_xlfn.XLOOKUP(B76,QUERY!$C:$C,QUERY!Q:Q)</f>
        <v>1</v>
      </c>
      <c r="FQ76" s="3" t="str">
        <f>_xlfn.XLOOKUP(B76,QUERY!$C:$C,QUERY!R:R)</f>
        <v>1 día o menos</v>
      </c>
      <c r="FR76" s="4">
        <f>_xlfn.XLOOKUP(B76,QUERY!$C:$C,QUERY!S:S)</f>
        <v>46086</v>
      </c>
      <c r="FS76" s="3">
        <f>_xlfn.XLOOKUP(B76,QUERY!$C:$C,QUERY!T:T)</f>
        <v>7</v>
      </c>
      <c r="FT76" s="3" t="str">
        <f>_xlfn.XLOOKUP(B76,QUERY!$C:$C,QUERY!U:U)</f>
        <v>6 a 10 días</v>
      </c>
      <c r="FU76" s="3">
        <f>_xlfn.XLOOKUP(B76,QUERY!$C:$C,QUERY!V:V)</f>
        <v>20</v>
      </c>
      <c r="FV76" s="3" t="str">
        <f>_xlfn.XLOOKUP(B76,QUERY!$C:$C,QUERY!W:W)</f>
        <v>más de 16 días</v>
      </c>
      <c r="FW76" s="4">
        <f>_xlfn.XLOOKUP(B76,QUERY!$C:$C,QUERY!X:X)</f>
        <v>46105</v>
      </c>
      <c r="FX76" s="3">
        <f>_xlfn.XLOOKUP(B76,QUERY!$C:$C,QUERY!Y:Y)</f>
        <v>12</v>
      </c>
      <c r="FY76" s="3">
        <f>_xlfn.XLOOKUP(B76,QUERY!$C:$C,QUERY!Z:Z)</f>
        <v>13</v>
      </c>
      <c r="FZ76" s="4" t="str">
        <f>_xlfn.XLOOKUP(B76,QUERY!$C:$C,QUERY!AA:AA)</f>
        <v>más de 16 días</v>
      </c>
      <c r="GA76" s="4">
        <f>_xlfn.XLOOKUP(B76,QUERY!$C:$C,QUERY!AB:AB)</f>
        <v>46104</v>
      </c>
      <c r="GB76" s="4">
        <f>_xlfn.XLOOKUP(B76,QUERY!$C:$C,QUERY!AC:AC)</f>
        <v>46105</v>
      </c>
      <c r="GC76" s="3">
        <f>_xlfn.XLOOKUP(B76,QUERY!$C:$C,QUERY!AD:AD)</f>
        <v>1</v>
      </c>
      <c r="GD76" s="4">
        <f>_xlfn.XLOOKUP(B76,QUERY!$C:$C,QUERY!AE:AE)</f>
        <v>46105</v>
      </c>
      <c r="GE76" s="3">
        <f>_xlfn.XLOOKUP(B76,QUERY!$C:$C,QUERY!AF:AF)</f>
        <v>1</v>
      </c>
      <c r="GF76" s="4" t="str">
        <f>_xlfn.XLOOKUP(B76,QUERY!$C:$C,QUERY!AG:AG)</f>
        <v>Es anterior</v>
      </c>
      <c r="GG76" s="3" t="str">
        <f>_xlfn.XLOOKUP(B76,QUERY!$C:$C,QUERY!AH:AH)</f>
        <v>A1</v>
      </c>
      <c r="GH76" s="3" t="str">
        <f>_xlfn.XLOOKUP(B76,QUERY!$C:$C,QUERY!AI:AI)</f>
        <v>ZULEIMA PEREZ RUIZ</v>
      </c>
      <c r="GI76" s="3" t="str">
        <f>_xlfn.XLOOKUP(B76,QUERY!$C:$C,QUERY!AJ:AJ)</f>
        <v>HLCURTM260162366</v>
      </c>
      <c r="GJ76" s="3" t="str">
        <f>_xlfn.XLOOKUP(B76,QUERY!$C:$C,QUERY!AK:AK)</f>
        <v>NULL</v>
      </c>
      <c r="GK76" s="3">
        <f>_xlfn.XLOOKUP(B76,QUERY!$C:$C,QUERY!AL:AL)</f>
        <v>6000303</v>
      </c>
      <c r="GL76" s="3" t="str">
        <f>_xlfn.XLOOKUP(B76,QUERY!$C:$C,QUERY!AM:AM)</f>
        <v>Importación</v>
      </c>
      <c r="GM76" s="3" t="str">
        <f>_xlfn.XLOOKUP(B76,QUERY!$C:$C,QUERY!AN:AN)</f>
        <v>NOBILIS MA5+CLONE 30 (VACUNA DE USO VETERINARIO)</v>
      </c>
      <c r="GN76" s="3" t="str">
        <f>_xlfn.XLOOKUP(B76,QUERY!$C:$C,QUERY!AO:AO)</f>
        <v>SIN CLASIFICACION</v>
      </c>
      <c r="GO76" s="3">
        <f>_xlfn.XLOOKUP(B76,QUERY!$C:$C,QUERY!AP:AP)</f>
        <v>0</v>
      </c>
      <c r="GP76" s="3" t="str">
        <f>_xlfn.XLOOKUP(B76,QUERY!$C:$C,QUERY!AQ:AQ)</f>
        <v>Cargas de Importación</v>
      </c>
      <c r="GQ76" s="3" t="str">
        <f>_xlfn.XLOOKUP(B76,QUERY!$C:$C,QUERY!AR:AR)</f>
        <v>INTERVET MEXICO SA DE CV</v>
      </c>
      <c r="GR76" s="3">
        <f>_xlfn.XLOOKUP(B76,QUERY!$C:$C,QUERY!AS:AS)</f>
        <v>0</v>
      </c>
      <c r="GS76" s="3" t="str">
        <f>_xlfn.XLOOKUP(B76,QUERY!$C:$C,QUERY!AT:AT)</f>
        <v>FALTA RRNA</v>
      </c>
      <c r="GT76" s="3">
        <f>_xlfn.XLOOKUP(B76,QUERY!$C:$C,QUERY!AU:AU)</f>
        <v>0</v>
      </c>
      <c r="GU76" s="3" t="str">
        <f>_xlfn.XLOOKUP(B76,QUERY!$C:$C,QUERY!AV:AV)</f>
        <v>FALTA RRNA</v>
      </c>
      <c r="GV76" s="3" t="str">
        <f>_xlfn.XLOOKUP(B76,QUERY!$C:$C,QUERY!AW:AW)</f>
        <v>PRODUCTO TERMINADO</v>
      </c>
      <c r="GW76" s="3" t="str">
        <f>_xlfn.XLOOKUP(B76,QUERY!$C:$C,QUERY!AX:AX)</f>
        <v>Verde</v>
      </c>
      <c r="GX76" s="3" t="str">
        <f>_xlfn.XLOOKUP(B76,QUERY!$C:$C,QUERY!AY:AY)</f>
        <v xml:space="preserve"> MLH TRANSPORTE, S.A. DE C.V.</v>
      </c>
      <c r="GY76" s="3" t="str">
        <f>_xlfn.XLOOKUP(B76,QUERY!$C:$C,QUERY!AZ:AZ)</f>
        <v>TRACTOCAMION ECO 107</v>
      </c>
      <c r="GZ76" s="3">
        <f>_xlfn.XLOOKUP(B76,QUERY!$C:$C,QUERY!BA:BA)</f>
        <v>0</v>
      </c>
      <c r="HA76" s="3" t="str">
        <f>_xlfn.XLOOKUP(B76,QUERY!$C:$C,QUERY!BB:BB)</f>
        <v>IME850329RH2</v>
      </c>
      <c r="HB76" s="3">
        <f>_xlfn.XLOOKUP(B76,QUERY!$C:$C,QUERY!BC:BC)</f>
        <v>0</v>
      </c>
      <c r="HC76" s="3">
        <f>_xlfn.XLOOKUP(B76,QUERY!$C:$C,QUERY!BD:BD)</f>
        <v>0.99</v>
      </c>
      <c r="HD76" s="3" t="str">
        <f>_xlfn.XLOOKUP(B76,QUERY!$C:$C,QUERY!BE:BE)</f>
        <v>LOTE: SCBA207A11,LOTE: A053A01,LOTE: A224A01,LOTE: A142A01,LOTE: A247B01,LOTE: A436A02,LOTE: A198A02,LOTE: A489D01,LOTE: A061A01</v>
      </c>
      <c r="HE76" s="3">
        <f>_xlfn.XLOOKUP(B76,QUERY!$C:$C,QUERY!BF:BF)</f>
        <v>90</v>
      </c>
      <c r="HF76" s="3" t="str">
        <f>_xlfn.XLOOKUP(B76,QUERY!$C:$C,QUERY!BG:BG)</f>
        <v xml:space="preserve"> 321379.32, 13019554.91, 1145829.89, 3079396.80</v>
      </c>
      <c r="HG76" s="3" t="str">
        <f>_xlfn.XLOOKUP(B76,QUERY!$C:$C,QUERY!BH:BH)</f>
        <v>KILO,KILO,KILO,KILO,KILO,KILO,KILO,KILO,KILO</v>
      </c>
      <c r="HH76" s="3">
        <f>_xlfn.XLOOKUP(B76,QUERY!$C:$C,QUERY!BI:BI)</f>
        <v>0</v>
      </c>
      <c r="HI76" s="3" t="str">
        <f>_xlfn.XLOOKUP(B76,QUERY!$C:$C,QUERY!BJ:BJ)</f>
        <v>PAISES BAJOS (REINO DE LOS) (HOLANDA)</v>
      </c>
      <c r="HJ76" s="3" t="str">
        <f>_xlfn.XLOOKUP(B76,QUERY!$C:$C,QUERY!BK:BK)</f>
        <v>PAISES BAJOS (REINO DE LOS) (HOLANDA)</v>
      </c>
      <c r="HK76" s="3" t="str">
        <f>_xlfn.XLOOKUP(B76,QUERY!$C:$C,QUERY!BL:BL)</f>
        <v>ZYA</v>
      </c>
      <c r="HL76" s="3" t="str">
        <f>_xlfn.XLOOKUP(B76,QUERY!$C:$C,QUERY!BM:BM)</f>
        <v>ZYA</v>
      </c>
      <c r="HM76" s="3">
        <f>_xlfn.XLOOKUP(B76,QUERY!$C:$C,QUERY!BN:BN)</f>
        <v>17566160</v>
      </c>
      <c r="HN76" s="3" t="str">
        <f>_xlfn.XLOOKUP(B76,QUERY!$C:$C,QUERY!BO:BO)</f>
        <v>462.00</v>
      </c>
      <c r="HO76" s="3" t="str">
        <f>_xlfn.XLOOKUP(B76,QUERY!$C:$C,QUERY!BP:BP)</f>
        <v>NULL</v>
      </c>
      <c r="HP76" s="3" t="str">
        <f>_xlfn.XLOOKUP(B76,QUERY!$C:$C,QUERY!BQ:BQ)</f>
        <v>NULL</v>
      </c>
      <c r="HQ76" s="3" t="str">
        <f>_xlfn.XLOOKUP(B76,QUERY!$C:$C,QUERY!BR:BR)</f>
        <v>250436.84</v>
      </c>
      <c r="HR76" s="3">
        <f>_xlfn.XLOOKUP(B76,QUERY!$C:$C,QUERY!BS:BS)</f>
        <v>0</v>
      </c>
      <c r="HS76" s="3">
        <f>_xlfn.XLOOKUP(B76,QUERY!$C:$C,QUERY!BT:BT)</f>
        <v>0</v>
      </c>
      <c r="HT76" s="3" t="str">
        <f>_xlfn.XLOOKUP(B76,QUERY!$C:$C,QUERY!A:A)</f>
        <v>VERACRUZ</v>
      </c>
      <c r="HU76" s="3" t="str">
        <f>_xlfn.XLOOKUP(B76,QUERY!$C:$C,QUERY!B:B)</f>
        <v>MARÍTIMO VERACRUZ</v>
      </c>
    </row>
    <row r="77" spans="1:229" x14ac:dyDescent="0.25">
      <c r="A77" s="3" t="s">
        <v>90</v>
      </c>
      <c r="B77" s="3" t="s">
        <v>257</v>
      </c>
      <c r="C77" s="3">
        <v>3942</v>
      </c>
      <c r="D77" s="3">
        <v>6000303</v>
      </c>
      <c r="E77" s="3"/>
      <c r="F77" s="3" t="s">
        <v>92</v>
      </c>
      <c r="G77" s="3" t="s">
        <v>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430</v>
      </c>
      <c r="S77" s="3" t="s">
        <v>258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 t="s">
        <v>160</v>
      </c>
      <c r="AB77" s="3"/>
      <c r="AC77" s="3">
        <v>1145830</v>
      </c>
      <c r="AD77" s="3">
        <v>3071.9302899999998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/>
      <c r="AP77" s="3" t="s">
        <v>98</v>
      </c>
      <c r="AQ77" s="3">
        <v>210365021</v>
      </c>
      <c r="AR77" s="3" t="s">
        <v>99</v>
      </c>
      <c r="AS77" s="3" t="s">
        <v>100</v>
      </c>
      <c r="AT77" s="3">
        <v>0</v>
      </c>
      <c r="AU77" s="3">
        <v>0</v>
      </c>
      <c r="AV77" s="3">
        <v>0</v>
      </c>
      <c r="AW77" s="3">
        <v>30042099</v>
      </c>
      <c r="AX77" s="3">
        <v>0</v>
      </c>
      <c r="AY77" s="3">
        <v>373</v>
      </c>
      <c r="AZ77" s="3">
        <v>373</v>
      </c>
      <c r="BA77" s="3" t="s">
        <v>121</v>
      </c>
      <c r="BB77" s="3"/>
      <c r="BC77" s="3" t="s">
        <v>105</v>
      </c>
      <c r="BD77" s="3" t="s">
        <v>105</v>
      </c>
      <c r="BE77" s="3"/>
      <c r="BF77" s="3"/>
      <c r="BG77" s="5"/>
      <c r="BH77" s="3"/>
      <c r="BI77" s="3"/>
      <c r="BJ77" s="3"/>
      <c r="BK77" s="3" t="s">
        <v>268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 t="s">
        <v>192</v>
      </c>
      <c r="CF77" s="3">
        <v>0</v>
      </c>
      <c r="CG77" s="3">
        <v>0</v>
      </c>
      <c r="CH77" s="3">
        <v>0</v>
      </c>
      <c r="CI77" s="3" t="s">
        <v>112</v>
      </c>
      <c r="CJ77" s="3" t="s">
        <v>112</v>
      </c>
      <c r="CK77" s="3">
        <f>_xlfn.XLOOKUP($B$2,'BASE DE EXCEL'!C:C,'BASE DE EXCEL'!D:D,"NO HAY REFERENCIA")</f>
        <v>470</v>
      </c>
      <c r="CL77" s="5">
        <f>_xlfn.XLOOKUP($B$2,'BASE DE EXCEL'!$C:$C,'BASE DE EXCEL'!F:F,"NO HAY REFERENCIA")</f>
        <v>3</v>
      </c>
      <c r="CM77" s="4">
        <f>_xlfn.XLOOKUP($B$2,'BASE DE EXCEL'!$C:$C,'BASE DE EXCEL'!G:G,"NO HAY REFERENCIA")</f>
        <v>46080</v>
      </c>
      <c r="CN77" s="4">
        <f>_xlfn.XLOOKUP($B$2,'BASE DE EXCEL'!$C:$C,'BASE DE EXCEL'!H:H,"NO HAY REFERENCIA")</f>
        <v>46086</v>
      </c>
      <c r="CO77" s="3">
        <f>_xlfn.XLOOKUP($B$2,'BASE DE EXCEL'!$C:$C,'BASE DE EXCEL'!I:I,"NO HAY REFERENCIA")</f>
        <v>4</v>
      </c>
      <c r="CP77" s="3" t="str">
        <f>_xlfn.XLOOKUP($B$2,'BASE DE EXCEL'!$C:$C,'BASE DE EXCEL'!J:J,"NO HAY REFERENCIA")</f>
        <v>4 a 5 días</v>
      </c>
      <c r="CQ77" s="4">
        <f>_xlfn.XLOOKUP($B$2,'BASE DE EXCEL'!$C:$C,'BASE DE EXCEL'!K:K,"NO HAY REFERENCIA")</f>
        <v>46087</v>
      </c>
      <c r="CR77" s="3">
        <f>_xlfn.XLOOKUP($B$2,'BASE DE EXCEL'!$C:$C,'BASE DE EXCEL'!L:L,"NO HAY REFERENCIA")</f>
        <v>5</v>
      </c>
      <c r="CS77" s="3">
        <f>_xlfn.XLOOKUP($B$2,'BASE DE EXCEL'!$C:$C,'BASE DE EXCEL'!M:M,"NO HAY REFERENCIA")</f>
        <v>6</v>
      </c>
      <c r="CT77" s="3" t="str">
        <f>_xlfn.XLOOKUP($B$2,'BASE DE EXCEL'!$C:$C,'BASE DE EXCEL'!N:N,"NO HAY REFERENCIA")</f>
        <v>6 a 10 días</v>
      </c>
      <c r="CU77" s="3" t="str">
        <f>_xlfn.XLOOKUP($B$2,'BASE DE EXCEL'!$C:$C,'BASE DE EXCEL'!O:O,"NO HAY REFERENCIA")</f>
        <v>On Time</v>
      </c>
      <c r="CV77" s="3" t="str">
        <f>_xlfn.XLOOKUP(B77,'BASE DE EXCEL'!$C:$C,'BASE DE EXCEL'!P:P,"NO HAY REFERENCIA")</f>
        <v>6 a 10 días</v>
      </c>
      <c r="CW77" s="4">
        <f>_xlfn.XLOOKUP(B77,'BASE DE EXCEL'!$C:$C,'BASE DE EXCEL'!Q:Q,"NO HAY REFERENCIA")</f>
        <v>46086</v>
      </c>
      <c r="CX77" s="3">
        <f>_xlfn.XLOOKUP(B77,'BASE DE EXCEL'!$C:$C,'BASE DE EXCEL'!R:R,"NO HAY REFERENCIA")</f>
        <v>8</v>
      </c>
      <c r="CY77" s="3" t="str">
        <f>_xlfn.XLOOKUP(B77,'BASE DE EXCEL'!$C:$C,'BASE DE EXCEL'!S:S,"NO HAY REFERENCIA")</f>
        <v>6 a 10 días</v>
      </c>
      <c r="CZ77" s="3" t="str">
        <f>_xlfn.XLOOKUP(B77,'BASE DE EXCEL'!$C:$C,'BASE DE EXCEL'!T:T,"NO HAY REFERENCIA")</f>
        <v>Delayed</v>
      </c>
      <c r="DA77" s="3">
        <f>_xlfn.XLOOKUP(B77,'BASE DE EXCEL'!$C:$C,'BASE DE EXCEL'!U:U,"NO HAY REFERENCIA")</f>
        <v>9</v>
      </c>
      <c r="DB77" s="3" t="str">
        <f>_xlfn.XLOOKUP(B77,'BASE DE EXCEL'!$C:$C,'BASE DE EXCEL'!V:V,"NO HAY REFERENCIA")</f>
        <v>6 a 10 días</v>
      </c>
      <c r="DC77" s="3">
        <f>_xlfn.XLOOKUP(B77,'BASE DE EXCEL'!$C:$C,'BASE DE EXCEL'!W:W,"NO HAY REFERENCIA")</f>
        <v>20</v>
      </c>
      <c r="DD77" s="3" t="str">
        <f>_xlfn.XLOOKUP(B77,'BASE DE EXCEL'!$C:$C,'BASE DE EXCEL'!X:X,"NO HAY REFERENCIA")</f>
        <v>más de 16 días</v>
      </c>
      <c r="DE77" s="3">
        <f>_xlfn.XLOOKUP(B77,'BASE DE EXCEL'!$C:$C,'BASE DE EXCEL'!Y:Y,"NO HAY REFERENCIA")</f>
        <v>1</v>
      </c>
      <c r="DF77" s="3" t="str">
        <f>_xlfn.XLOOKUP(B77,'BASE DE EXCEL'!$C:$C,'BASE DE EXCEL'!Z:Z,"NO HAY REFERENCIA")</f>
        <v>1 día o menos</v>
      </c>
      <c r="DG77" s="3">
        <f>_xlfn.XLOOKUP(B77,'BASE DE EXCEL'!$C:$C,'BASE DE EXCEL'!AA:AA,"NO HAY REFERENCIA")</f>
        <v>7</v>
      </c>
      <c r="DH77" s="3">
        <f>_xlfn.XLOOKUP(B77,'BASE DE EXCEL'!$C:$C,'BASE DE EXCEL'!AB:AB,"NO HAY REFERENCIA")</f>
        <v>1</v>
      </c>
      <c r="DI77" s="3" t="str">
        <f>_xlfn.XLOOKUP(B77,'BASE DE EXCEL'!$C:$C,'BASE DE EXCEL'!AC:AC,"NO HAY REFERENCIA")</f>
        <v>1 día o menos</v>
      </c>
      <c r="DJ77" s="4">
        <f>_xlfn.XLOOKUP(B77,'BASE DE EXCEL'!$C:$C,'BASE DE EXCEL'!AD:AD,"NO HAY REFERENCIA")</f>
        <v>46105</v>
      </c>
      <c r="DK77" s="3">
        <f>_xlfn.XLOOKUP(B77,'BASE DE EXCEL'!$C:$C,'BASE DE EXCEL'!AE:AE,"NO HAY REFERENCIA")</f>
        <v>18</v>
      </c>
      <c r="DL77" s="3">
        <f>_xlfn.XLOOKUP(B77,'BASE DE EXCEL'!$C:$C,'BASE DE EXCEL'!AF:AF,"NO HAY REFERENCIA")</f>
        <v>13</v>
      </c>
      <c r="DM77" s="4">
        <f>_xlfn.XLOOKUP(B77,'BASE DE EXCEL'!$C:$C,'BASE DE EXCEL'!AG:AG,"NO HAY REFERENCIA")</f>
        <v>46104</v>
      </c>
      <c r="DN77" s="4">
        <f>_xlfn.XLOOKUP(B77,'BASE DE EXCEL'!$C:$C,'BASE DE EXCEL'!AH:AH,"NO HAY REFERENCIA")</f>
        <v>46105</v>
      </c>
      <c r="DO77" s="3">
        <f>_xlfn.XLOOKUP(B77,'BASE DE EXCEL'!$C:$C,'BASE DE EXCEL'!AI:AI,"NO HAY REFERENCIA")</f>
        <v>1</v>
      </c>
      <c r="DP77" s="4" t="str">
        <f>_xlfn.XLOOKUP(B77,'BASE DE EXCEL'!$C:$C,'BASE DE EXCEL'!AJ:AJ,"NO HAY REFERENCIA")</f>
        <v>más de 16 días</v>
      </c>
      <c r="DQ77" s="4">
        <f>_xlfn.XLOOKUP(B77,'BASE DE EXCEL'!$C:$C,'BASE DE EXCEL'!AK:AK,"NO HAY REFERENCIA")</f>
        <v>46105</v>
      </c>
      <c r="DR77" s="3">
        <f>_xlfn.XLOOKUP(B77,'BASE DE EXCEL'!$C:$C,'BASE DE EXCEL'!AL:AL,"NO HAY REFERENCIA")</f>
        <v>13</v>
      </c>
      <c r="DS77" s="3" t="str">
        <f>_xlfn.XLOOKUP(B77,'BASE DE EXCEL'!$C:$C,'BASE DE EXCEL'!AM:AM,"NO HAY REFERENCIA")</f>
        <v>11 a 15 días</v>
      </c>
      <c r="DT77" s="3" t="str">
        <f>_xlfn.XLOOKUP(B77,'BASE DE EXCEL'!$C:$C,'BASE DE EXCEL'!AN:AN,"NO HAY REFERENCIA")</f>
        <v>Delayed</v>
      </c>
      <c r="DU77" s="3">
        <f>_xlfn.XLOOKUP(B77,'BASE DE EXCEL'!$C:$C,'BASE DE EXCEL'!AO:AO,"NO HAY REFERENCIA")</f>
        <v>1</v>
      </c>
      <c r="DV77" s="3" t="str">
        <f>_xlfn.XLOOKUP(B77,'BASE DE EXCEL'!$C:$C,'BASE DE EXCEL'!AP:AP,"NO HAY REFERENCIA")</f>
        <v>Es anterior</v>
      </c>
      <c r="DW77" s="3" t="str">
        <f>_xlfn.XLOOKUP(B77,'BASE DE EXCEL'!$C:$C,'BASE DE EXCEL'!AQ:AQ,"NO HAY REFERENCIA")</f>
        <v>A1</v>
      </c>
      <c r="DX77" s="3" t="str">
        <f>_xlfn.XLOOKUP(B77,'BASE DE EXCEL'!$C:$C,'BASE DE EXCEL'!AR:AR,"NO HAY REFERENCIA")</f>
        <v>ZULEIMA PEREZ RUIZ</v>
      </c>
      <c r="DY77" s="3" t="str">
        <f>_xlfn.XLOOKUP(B77,'BASE DE EXCEL'!$C:$C,'BASE DE EXCEL'!AS:AS,"NO HAY REFERENCIA")</f>
        <v>HLCURTM260162366</v>
      </c>
      <c r="DZ77" s="3" t="str">
        <f>_xlfn.XLOOKUP(B77,'BASE DE EXCEL'!$C:$C,'BASE DE EXCEL'!AT:AT,"NO HAY REFERENCIA")</f>
        <v>NULL</v>
      </c>
      <c r="EA77" s="3">
        <f>_xlfn.XLOOKUP(B77,'BASE DE EXCEL'!$C:$C,'BASE DE EXCEL'!AU:AU,"NO HAY REFERENCIA")</f>
        <v>6000303</v>
      </c>
      <c r="EB77" s="3" t="str">
        <f>_xlfn.XLOOKUP(B77,'BASE DE EXCEL'!$C:$C,'BASE DE EXCEL'!AV:AV,"NO HAY REFERENCIA")</f>
        <v>Importación</v>
      </c>
      <c r="EC77" s="3" t="str">
        <f>_xlfn.XLOOKUP(B77,'BASE DE EXCEL'!$C:$C,'BASE DE EXCEL'!AW:AW,"NO HAY REFERENCIA")</f>
        <v>NOBILIS MA5+CLONE 30 (VACUNA DE USO VETERINARIO)</v>
      </c>
      <c r="ED77" s="3" t="str">
        <f>_xlfn.XLOOKUP(B77,'BASE DE EXCEL'!$C:$C,'BASE DE EXCEL'!AX:AX,"NO HAY REFERENCIA")</f>
        <v>SIN CLASIFICACION</v>
      </c>
      <c r="EE77" s="3">
        <f>_xlfn.XLOOKUP(B77,'BASE DE EXCEL'!$C:$C,'BASE DE EXCEL'!AY:AY,"NO HAY REFERENCIA")</f>
        <v>0</v>
      </c>
      <c r="EF77" s="3" t="str">
        <f>_xlfn.XLOOKUP(B77,'BASE DE EXCEL'!$C:$C,'BASE DE EXCEL'!AZ:AZ,"NO HAY REFERENCIA")</f>
        <v>Cargas de Importación</v>
      </c>
      <c r="EG77" s="3" t="str">
        <f>_xlfn.XLOOKUP(B77,'BASE DE EXCEL'!$C:$C,'BASE DE EXCEL'!BA:BA,"NO HAY REFERENCIA")</f>
        <v>INTERVET MEXICO SA DE CV</v>
      </c>
      <c r="EH77" s="3">
        <f>_xlfn.XLOOKUP(B77,'BASE DE EXCEL'!$C:$C,'BASE DE EXCEL'!BB:BB,"NO HAY REFERENCIA")</f>
        <v>0</v>
      </c>
      <c r="EI77" s="3" t="str">
        <f>_xlfn.XLOOKUP(B77,'BASE DE EXCEL'!$C:$C,'BASE DE EXCEL'!BC:BC,"NO HAY REFERENCIA")</f>
        <v>FALTA RRNA</v>
      </c>
      <c r="EJ77" s="3">
        <f>_xlfn.XLOOKUP(B77,'BASE DE EXCEL'!$C:$C,'BASE DE EXCEL'!BD:BD,"NO HAY REFERENCIA")</f>
        <v>0</v>
      </c>
      <c r="EK77" s="3" t="str">
        <f>_xlfn.XLOOKUP(B77,'BASE DE EXCEL'!$C:$C,'BASE DE EXCEL'!BE:BE,"NO HAY REFERENCIA")</f>
        <v>FALTA RRNA</v>
      </c>
      <c r="EL77" s="3" t="str">
        <f>_xlfn.XLOOKUP(B77,'BASE DE EXCEL'!$C:$C,'BASE DE EXCEL'!BF:BF,"NO HAY REFERENCIA")</f>
        <v>PRODUCTO TERMINADO</v>
      </c>
      <c r="EM77" s="3" t="str">
        <f>_xlfn.XLOOKUP(B77,'BASE DE EXCEL'!$C:$C,'BASE DE EXCEL'!BG:BG,"NO HAY REFERENCIA")</f>
        <v>Verde</v>
      </c>
      <c r="EN77" s="3" t="str">
        <f>_xlfn.XLOOKUP(B77,'BASE DE EXCEL'!$C:$C,'BASE DE EXCEL'!BH:BH,"NO HAY REFERENCIA")</f>
        <v xml:space="preserve"> MLH TRANSPORTE, S.A. DE C.V.</v>
      </c>
      <c r="EO77" s="3" t="str">
        <f>_xlfn.XLOOKUP(B77,'BASE DE EXCEL'!$C:$C,'BASE DE EXCEL'!BI:BI,"NO HAY REFERENCIA")</f>
        <v>TRACTOCAMION ECO 107</v>
      </c>
      <c r="EP77" s="3">
        <f>_xlfn.XLOOKUP(B77,'BASE DE EXCEL'!$C:$C,'BASE DE EXCEL'!BJ:BJ,"NO HAY REFERENCIA")</f>
        <v>0</v>
      </c>
      <c r="EQ77" s="3" t="str">
        <f>_xlfn.XLOOKUP(B77,'BASE DE EXCEL'!$C:$C,'BASE DE EXCEL'!BK:BK,"NO HAY REFERENCIA")</f>
        <v>IME850329RH2</v>
      </c>
      <c r="ER77" s="3">
        <f>_xlfn.XLOOKUP(B77,'BASE DE EXCEL'!$C:$C,'BASE DE EXCEL'!BL:BL,"NO HAY REFERENCIA")</f>
        <v>0</v>
      </c>
      <c r="ES77" s="3" t="str">
        <f>_xlfn.XLOOKUP(B77,'BASE DE EXCEL'!$C:$C,'BASE DE EXCEL'!BM:BM,"NO HAY REFERENCIA")</f>
        <v>00,99</v>
      </c>
      <c r="ET77" s="3" t="str">
        <f>_xlfn.XLOOKUP(B77,'BASE DE EXCEL'!$C:$C,'BASE DE EXCEL'!BN:BN,"NO HAY REFERENCIA")</f>
        <v>LOTE: SCBA207A11,LOTE: A053A01,LOTE: A224A01,LOTE: A198A02,LOTE: A489D01,LOTE: A061A01,LOTE: A247B01,LOTE: A436A02,LOTE: A142A01</v>
      </c>
      <c r="EU77" s="3">
        <f>_xlfn.XLOOKUP(B77,'BASE DE EXCEL'!$C:$C,'BASE DE EXCEL'!BO:BO,"NO HAY REFERENCIA")</f>
        <v>90</v>
      </c>
      <c r="EV77" s="3" t="str">
        <f>_xlfn.XLOOKUP(B77,'BASE DE EXCEL'!$C:$C,'BASE DE EXCEL'!BP:BP,"NO HAY REFERENCIA")</f>
        <v xml:space="preserve"> 321379.32, 13019554.91, 1145829.89, 3079396.80</v>
      </c>
      <c r="EW77" s="3" t="str">
        <f>_xlfn.XLOOKUP(B77,'BASE DE EXCEL'!$C:$C,'BASE DE EXCEL'!BQ:BQ,"NO HAY REFERENCIA")</f>
        <v>KILO,KILO,KILO,KILO,KILO,KILO,KILO,KILO,KILO</v>
      </c>
      <c r="EX77" s="3">
        <f>_xlfn.XLOOKUP(B77,'BASE DE EXCEL'!$C:$C,'BASE DE EXCEL'!BR:BR,"NO HAY REFERENCIA")</f>
        <v>0</v>
      </c>
      <c r="EY77" s="3" t="str">
        <f>_xlfn.XLOOKUP(B77,'BASE DE EXCEL'!$C:$C,'BASE DE EXCEL'!BS:BS,"NO HAY REFERENCIA")</f>
        <v>PAISES BAJOS (REINO DE LOS) (HOLANDA)</v>
      </c>
      <c r="EZ77" s="3" t="str">
        <f>_xlfn.XLOOKUP(B77,'BASE DE EXCEL'!$C:$C,'BASE DE EXCEL'!BT:BT,"NO HAY REFERENCIA")</f>
        <v>PAISES BAJOS (REINO DE LOS) (HOLANDA)</v>
      </c>
      <c r="FA77" s="3" t="str">
        <f>_xlfn.XLOOKUP(B77,'BASE DE EXCEL'!$C:$C,'BASE DE EXCEL'!BU:BU,"NO HAY REFERENCIA")</f>
        <v>ZYA</v>
      </c>
      <c r="FB77" s="3" t="str">
        <f>_xlfn.XLOOKUP(B77,'BASE DE EXCEL'!$C:$C,'BASE DE EXCEL'!BV:BV,"NO HAY REFERENCIA")</f>
        <v>ZYA</v>
      </c>
      <c r="FC77" s="3">
        <f>_xlfn.XLOOKUP(B77,QUERY!$C:$C,QUERY!D:D)</f>
        <v>430</v>
      </c>
      <c r="FD77" s="4">
        <f>_xlfn.XLOOKUP(B77,QUERY!$C:$C,QUERY!E:E)</f>
        <v>46084</v>
      </c>
      <c r="FE77" s="3">
        <f>_xlfn.XLOOKUP(B77,QUERY!$C:$C,QUERY!F:F)</f>
        <v>3</v>
      </c>
      <c r="FF77" s="4">
        <f>_xlfn.XLOOKUP(B77,QUERY!$C:$C,QUERY!G:G)</f>
        <v>46077</v>
      </c>
      <c r="FG77" s="4">
        <f>_xlfn.XLOOKUP(B77,QUERY!$C:$C,QUERY!H:H)</f>
        <v>46084</v>
      </c>
      <c r="FH77" s="3">
        <f>_xlfn.XLOOKUP(B77,QUERY!$C:$C,QUERY!I:I)</f>
        <v>5</v>
      </c>
      <c r="FI77" s="3" t="str">
        <f>_xlfn.XLOOKUP(B77,QUERY!$C:$C,QUERY!J:J)</f>
        <v>4 a 5 días</v>
      </c>
      <c r="FJ77" s="4">
        <f>_xlfn.XLOOKUP(B77,QUERY!$C:$C,QUERY!K:K)</f>
        <v>46085</v>
      </c>
      <c r="FK77" s="3">
        <f>_xlfn.XLOOKUP(B77,QUERY!$C:$C,QUERY!L:L)</f>
        <v>6</v>
      </c>
      <c r="FL77" s="3" t="str">
        <f>_xlfn.XLOOKUP(B77,QUERY!$C:$C,QUERY!M:M)</f>
        <v>6 a 10 días</v>
      </c>
      <c r="FM77" s="3">
        <f>_xlfn.XLOOKUP(B77,QUERY!$C:$C,QUERY!N:N)</f>
        <v>1</v>
      </c>
      <c r="FN77" s="3" t="str">
        <f>_xlfn.XLOOKUP(B77,QUERY!$C:$C,QUERY!O:O)</f>
        <v>1 día o menos</v>
      </c>
      <c r="FO77" s="3">
        <f>_xlfn.XLOOKUP(B77,QUERY!$C:$C,QUERY!P:P)</f>
        <v>1</v>
      </c>
      <c r="FP77" s="3">
        <f>_xlfn.XLOOKUP(B77,QUERY!$C:$C,QUERY!Q:Q)</f>
        <v>1</v>
      </c>
      <c r="FQ77" s="3" t="str">
        <f>_xlfn.XLOOKUP(B77,QUERY!$C:$C,QUERY!R:R)</f>
        <v>1 día o menos</v>
      </c>
      <c r="FR77" s="4">
        <f>_xlfn.XLOOKUP(B77,QUERY!$C:$C,QUERY!S:S)</f>
        <v>46086</v>
      </c>
      <c r="FS77" s="3">
        <f>_xlfn.XLOOKUP(B77,QUERY!$C:$C,QUERY!T:T)</f>
        <v>7</v>
      </c>
      <c r="FT77" s="3" t="str">
        <f>_xlfn.XLOOKUP(B77,QUERY!$C:$C,QUERY!U:U)</f>
        <v>6 a 10 días</v>
      </c>
      <c r="FU77" s="3">
        <f>_xlfn.XLOOKUP(B77,QUERY!$C:$C,QUERY!V:V)</f>
        <v>20</v>
      </c>
      <c r="FV77" s="3" t="str">
        <f>_xlfn.XLOOKUP(B77,QUERY!$C:$C,QUERY!W:W)</f>
        <v>más de 16 días</v>
      </c>
      <c r="FW77" s="4">
        <f>_xlfn.XLOOKUP(B77,QUERY!$C:$C,QUERY!X:X)</f>
        <v>46105</v>
      </c>
      <c r="FX77" s="3">
        <f>_xlfn.XLOOKUP(B77,QUERY!$C:$C,QUERY!Y:Y)</f>
        <v>12</v>
      </c>
      <c r="FY77" s="3">
        <f>_xlfn.XLOOKUP(B77,QUERY!$C:$C,QUERY!Z:Z)</f>
        <v>13</v>
      </c>
      <c r="FZ77" s="4" t="str">
        <f>_xlfn.XLOOKUP(B77,QUERY!$C:$C,QUERY!AA:AA)</f>
        <v>más de 16 días</v>
      </c>
      <c r="GA77" s="4">
        <f>_xlfn.XLOOKUP(B77,QUERY!$C:$C,QUERY!AB:AB)</f>
        <v>46104</v>
      </c>
      <c r="GB77" s="4">
        <f>_xlfn.XLOOKUP(B77,QUERY!$C:$C,QUERY!AC:AC)</f>
        <v>46105</v>
      </c>
      <c r="GC77" s="3">
        <f>_xlfn.XLOOKUP(B77,QUERY!$C:$C,QUERY!AD:AD)</f>
        <v>1</v>
      </c>
      <c r="GD77" s="4">
        <f>_xlfn.XLOOKUP(B77,QUERY!$C:$C,QUERY!AE:AE)</f>
        <v>46105</v>
      </c>
      <c r="GE77" s="3">
        <f>_xlfn.XLOOKUP(B77,QUERY!$C:$C,QUERY!AF:AF)</f>
        <v>1</v>
      </c>
      <c r="GF77" s="4" t="str">
        <f>_xlfn.XLOOKUP(B77,QUERY!$C:$C,QUERY!AG:AG)</f>
        <v>Es anterior</v>
      </c>
      <c r="GG77" s="3" t="str">
        <f>_xlfn.XLOOKUP(B77,QUERY!$C:$C,QUERY!AH:AH)</f>
        <v>A1</v>
      </c>
      <c r="GH77" s="3" t="str">
        <f>_xlfn.XLOOKUP(B77,QUERY!$C:$C,QUERY!AI:AI)</f>
        <v>ZULEIMA PEREZ RUIZ</v>
      </c>
      <c r="GI77" s="3" t="str">
        <f>_xlfn.XLOOKUP(B77,QUERY!$C:$C,QUERY!AJ:AJ)</f>
        <v>HLCURTM260162366</v>
      </c>
      <c r="GJ77" s="3" t="str">
        <f>_xlfn.XLOOKUP(B77,QUERY!$C:$C,QUERY!AK:AK)</f>
        <v>NULL</v>
      </c>
      <c r="GK77" s="3">
        <f>_xlfn.XLOOKUP(B77,QUERY!$C:$C,QUERY!AL:AL)</f>
        <v>6000303</v>
      </c>
      <c r="GL77" s="3" t="str">
        <f>_xlfn.XLOOKUP(B77,QUERY!$C:$C,QUERY!AM:AM)</f>
        <v>Importación</v>
      </c>
      <c r="GM77" s="3" t="str">
        <f>_xlfn.XLOOKUP(B77,QUERY!$C:$C,QUERY!AN:AN)</f>
        <v>NOBILIS MA5+CLONE 30 (VACUNA DE USO VETERINARIO)</v>
      </c>
      <c r="GN77" s="3" t="str">
        <f>_xlfn.XLOOKUP(B77,QUERY!$C:$C,QUERY!AO:AO)</f>
        <v>SIN CLASIFICACION</v>
      </c>
      <c r="GO77" s="3">
        <f>_xlfn.XLOOKUP(B77,QUERY!$C:$C,QUERY!AP:AP)</f>
        <v>0</v>
      </c>
      <c r="GP77" s="3" t="str">
        <f>_xlfn.XLOOKUP(B77,QUERY!$C:$C,QUERY!AQ:AQ)</f>
        <v>Cargas de Importación</v>
      </c>
      <c r="GQ77" s="3" t="str">
        <f>_xlfn.XLOOKUP(B77,QUERY!$C:$C,QUERY!AR:AR)</f>
        <v>INTERVET MEXICO SA DE CV</v>
      </c>
      <c r="GR77" s="3">
        <f>_xlfn.XLOOKUP(B77,QUERY!$C:$C,QUERY!AS:AS)</f>
        <v>0</v>
      </c>
      <c r="GS77" s="3" t="str">
        <f>_xlfn.XLOOKUP(B77,QUERY!$C:$C,QUERY!AT:AT)</f>
        <v>FALTA RRNA</v>
      </c>
      <c r="GT77" s="3">
        <f>_xlfn.XLOOKUP(B77,QUERY!$C:$C,QUERY!AU:AU)</f>
        <v>0</v>
      </c>
      <c r="GU77" s="3" t="str">
        <f>_xlfn.XLOOKUP(B77,QUERY!$C:$C,QUERY!AV:AV)</f>
        <v>FALTA RRNA</v>
      </c>
      <c r="GV77" s="3" t="str">
        <f>_xlfn.XLOOKUP(B77,QUERY!$C:$C,QUERY!AW:AW)</f>
        <v>PRODUCTO TERMINADO</v>
      </c>
      <c r="GW77" s="3" t="str">
        <f>_xlfn.XLOOKUP(B77,QUERY!$C:$C,QUERY!AX:AX)</f>
        <v>Verde</v>
      </c>
      <c r="GX77" s="3" t="str">
        <f>_xlfn.XLOOKUP(B77,QUERY!$C:$C,QUERY!AY:AY)</f>
        <v xml:space="preserve"> MLH TRANSPORTE, S.A. DE C.V.</v>
      </c>
      <c r="GY77" s="3" t="str">
        <f>_xlfn.XLOOKUP(B77,QUERY!$C:$C,QUERY!AZ:AZ)</f>
        <v>TRACTOCAMION ECO 107</v>
      </c>
      <c r="GZ77" s="3">
        <f>_xlfn.XLOOKUP(B77,QUERY!$C:$C,QUERY!BA:BA)</f>
        <v>0</v>
      </c>
      <c r="HA77" s="3" t="str">
        <f>_xlfn.XLOOKUP(B77,QUERY!$C:$C,QUERY!BB:BB)</f>
        <v>IME850329RH2</v>
      </c>
      <c r="HB77" s="3">
        <f>_xlfn.XLOOKUP(B77,QUERY!$C:$C,QUERY!BC:BC)</f>
        <v>0</v>
      </c>
      <c r="HC77" s="3">
        <f>_xlfn.XLOOKUP(B77,QUERY!$C:$C,QUERY!BD:BD)</f>
        <v>0.99</v>
      </c>
      <c r="HD77" s="3" t="str">
        <f>_xlfn.XLOOKUP(B77,QUERY!$C:$C,QUERY!BE:BE)</f>
        <v>LOTE: SCBA207A11,LOTE: A053A01,LOTE: A224A01,LOTE: A142A01,LOTE: A247B01,LOTE: A436A02,LOTE: A198A02,LOTE: A489D01,LOTE: A061A01</v>
      </c>
      <c r="HE77" s="3">
        <f>_xlfn.XLOOKUP(B77,QUERY!$C:$C,QUERY!BF:BF)</f>
        <v>90</v>
      </c>
      <c r="HF77" s="3" t="str">
        <f>_xlfn.XLOOKUP(B77,QUERY!$C:$C,QUERY!BG:BG)</f>
        <v xml:space="preserve"> 321379.32, 13019554.91, 1145829.89, 3079396.80</v>
      </c>
      <c r="HG77" s="3" t="str">
        <f>_xlfn.XLOOKUP(B77,QUERY!$C:$C,QUERY!BH:BH)</f>
        <v>KILO,KILO,KILO,KILO,KILO,KILO,KILO,KILO,KILO</v>
      </c>
      <c r="HH77" s="3">
        <f>_xlfn.XLOOKUP(B77,QUERY!$C:$C,QUERY!BI:BI)</f>
        <v>0</v>
      </c>
      <c r="HI77" s="3" t="str">
        <f>_xlfn.XLOOKUP(B77,QUERY!$C:$C,QUERY!BJ:BJ)</f>
        <v>PAISES BAJOS (REINO DE LOS) (HOLANDA)</v>
      </c>
      <c r="HJ77" s="3" t="str">
        <f>_xlfn.XLOOKUP(B77,QUERY!$C:$C,QUERY!BK:BK)</f>
        <v>PAISES BAJOS (REINO DE LOS) (HOLANDA)</v>
      </c>
      <c r="HK77" s="3" t="str">
        <f>_xlfn.XLOOKUP(B77,QUERY!$C:$C,QUERY!BL:BL)</f>
        <v>ZYA</v>
      </c>
      <c r="HL77" s="3" t="str">
        <f>_xlfn.XLOOKUP(B77,QUERY!$C:$C,QUERY!BM:BM)</f>
        <v>ZYA</v>
      </c>
      <c r="HM77" s="3">
        <f>_xlfn.XLOOKUP(B77,QUERY!$C:$C,QUERY!BN:BN)</f>
        <v>17566160</v>
      </c>
      <c r="HN77" s="3" t="str">
        <f>_xlfn.XLOOKUP(B77,QUERY!$C:$C,QUERY!BO:BO)</f>
        <v>462.00</v>
      </c>
      <c r="HO77" s="3" t="str">
        <f>_xlfn.XLOOKUP(B77,QUERY!$C:$C,QUERY!BP:BP)</f>
        <v>NULL</v>
      </c>
      <c r="HP77" s="3" t="str">
        <f>_xlfn.XLOOKUP(B77,QUERY!$C:$C,QUERY!BQ:BQ)</f>
        <v>NULL</v>
      </c>
      <c r="HQ77" s="3" t="str">
        <f>_xlfn.XLOOKUP(B77,QUERY!$C:$C,QUERY!BR:BR)</f>
        <v>250436.84</v>
      </c>
      <c r="HR77" s="3">
        <f>_xlfn.XLOOKUP(B77,QUERY!$C:$C,QUERY!BS:BS)</f>
        <v>0</v>
      </c>
      <c r="HS77" s="3">
        <f>_xlfn.XLOOKUP(B77,QUERY!$C:$C,QUERY!BT:BT)</f>
        <v>0</v>
      </c>
      <c r="HT77" s="3" t="str">
        <f>_xlfn.XLOOKUP(B77,QUERY!$C:$C,QUERY!A:A)</f>
        <v>VERACRUZ</v>
      </c>
      <c r="HU77" s="3" t="str">
        <f>_xlfn.XLOOKUP(B77,QUERY!$C:$C,QUERY!B:B)</f>
        <v>MARÍTIMO VERACRUZ</v>
      </c>
    </row>
    <row r="78" spans="1:229" x14ac:dyDescent="0.25">
      <c r="A78" s="3" t="s">
        <v>90</v>
      </c>
      <c r="B78" s="3" t="s">
        <v>257</v>
      </c>
      <c r="C78" s="3">
        <v>3942</v>
      </c>
      <c r="D78" s="3">
        <v>6000303</v>
      </c>
      <c r="E78" s="3"/>
      <c r="F78" s="3" t="s">
        <v>92</v>
      </c>
      <c r="G78" s="3" t="s">
        <v>93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430</v>
      </c>
      <c r="S78" s="3" t="s">
        <v>258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 t="s">
        <v>218</v>
      </c>
      <c r="AB78" s="3"/>
      <c r="AC78" s="3">
        <v>1296641</v>
      </c>
      <c r="AD78" s="3">
        <v>1029.08016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/>
      <c r="AP78" s="3" t="s">
        <v>98</v>
      </c>
      <c r="AQ78" s="3">
        <v>210365022</v>
      </c>
      <c r="AR78" s="3" t="s">
        <v>99</v>
      </c>
      <c r="AS78" s="3" t="s">
        <v>100</v>
      </c>
      <c r="AT78" s="3">
        <v>0</v>
      </c>
      <c r="AU78" s="3">
        <v>0</v>
      </c>
      <c r="AV78" s="3">
        <v>0</v>
      </c>
      <c r="AW78" s="3">
        <v>30024201</v>
      </c>
      <c r="AX78" s="3">
        <v>99</v>
      </c>
      <c r="AY78" s="3">
        <v>1260</v>
      </c>
      <c r="AZ78" s="3">
        <v>1260</v>
      </c>
      <c r="BA78" s="3" t="s">
        <v>103</v>
      </c>
      <c r="BB78" s="3"/>
      <c r="BC78" s="3" t="s">
        <v>105</v>
      </c>
      <c r="BD78" s="3" t="s">
        <v>105</v>
      </c>
      <c r="BE78" s="3"/>
      <c r="BF78" s="3"/>
      <c r="BG78" s="5"/>
      <c r="BH78" s="3"/>
      <c r="BI78" s="3"/>
      <c r="BJ78" s="3"/>
      <c r="BK78" s="3" t="s">
        <v>269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 t="s">
        <v>192</v>
      </c>
      <c r="CF78" s="3">
        <v>0</v>
      </c>
      <c r="CG78" s="3">
        <v>0</v>
      </c>
      <c r="CH78" s="3">
        <v>0</v>
      </c>
      <c r="CI78" s="3" t="s">
        <v>112</v>
      </c>
      <c r="CJ78" s="3" t="s">
        <v>112</v>
      </c>
      <c r="CK78" s="3">
        <f>_xlfn.XLOOKUP($B$2,'BASE DE EXCEL'!C:C,'BASE DE EXCEL'!D:D,"NO HAY REFERENCIA")</f>
        <v>470</v>
      </c>
      <c r="CL78" s="5">
        <f>_xlfn.XLOOKUP($B$2,'BASE DE EXCEL'!$C:$C,'BASE DE EXCEL'!F:F,"NO HAY REFERENCIA")</f>
        <v>3</v>
      </c>
      <c r="CM78" s="4">
        <f>_xlfn.XLOOKUP($B$2,'BASE DE EXCEL'!$C:$C,'BASE DE EXCEL'!G:G,"NO HAY REFERENCIA")</f>
        <v>46080</v>
      </c>
      <c r="CN78" s="4">
        <f>_xlfn.XLOOKUP($B$2,'BASE DE EXCEL'!$C:$C,'BASE DE EXCEL'!H:H,"NO HAY REFERENCIA")</f>
        <v>46086</v>
      </c>
      <c r="CO78" s="3">
        <f>_xlfn.XLOOKUP($B$2,'BASE DE EXCEL'!$C:$C,'BASE DE EXCEL'!I:I,"NO HAY REFERENCIA")</f>
        <v>4</v>
      </c>
      <c r="CP78" s="3" t="str">
        <f>_xlfn.XLOOKUP($B$2,'BASE DE EXCEL'!$C:$C,'BASE DE EXCEL'!J:J,"NO HAY REFERENCIA")</f>
        <v>4 a 5 días</v>
      </c>
      <c r="CQ78" s="4">
        <f>_xlfn.XLOOKUP($B$2,'BASE DE EXCEL'!$C:$C,'BASE DE EXCEL'!K:K,"NO HAY REFERENCIA")</f>
        <v>46087</v>
      </c>
      <c r="CR78" s="3">
        <f>_xlfn.XLOOKUP($B$2,'BASE DE EXCEL'!$C:$C,'BASE DE EXCEL'!L:L,"NO HAY REFERENCIA")</f>
        <v>5</v>
      </c>
      <c r="CS78" s="3">
        <f>_xlfn.XLOOKUP($B$2,'BASE DE EXCEL'!$C:$C,'BASE DE EXCEL'!M:M,"NO HAY REFERENCIA")</f>
        <v>6</v>
      </c>
      <c r="CT78" s="3" t="str">
        <f>_xlfn.XLOOKUP($B$2,'BASE DE EXCEL'!$C:$C,'BASE DE EXCEL'!N:N,"NO HAY REFERENCIA")</f>
        <v>6 a 10 días</v>
      </c>
      <c r="CU78" s="3" t="str">
        <f>_xlfn.XLOOKUP($B$2,'BASE DE EXCEL'!$C:$C,'BASE DE EXCEL'!O:O,"NO HAY REFERENCIA")</f>
        <v>On Time</v>
      </c>
      <c r="CV78" s="3" t="str">
        <f>_xlfn.XLOOKUP(B78,'BASE DE EXCEL'!$C:$C,'BASE DE EXCEL'!P:P,"NO HAY REFERENCIA")</f>
        <v>6 a 10 días</v>
      </c>
      <c r="CW78" s="4">
        <f>_xlfn.XLOOKUP(B78,'BASE DE EXCEL'!$C:$C,'BASE DE EXCEL'!Q:Q,"NO HAY REFERENCIA")</f>
        <v>46086</v>
      </c>
      <c r="CX78" s="3">
        <f>_xlfn.XLOOKUP(B78,'BASE DE EXCEL'!$C:$C,'BASE DE EXCEL'!R:R,"NO HAY REFERENCIA")</f>
        <v>8</v>
      </c>
      <c r="CY78" s="3" t="str">
        <f>_xlfn.XLOOKUP(B78,'BASE DE EXCEL'!$C:$C,'BASE DE EXCEL'!S:S,"NO HAY REFERENCIA")</f>
        <v>6 a 10 días</v>
      </c>
      <c r="CZ78" s="3" t="str">
        <f>_xlfn.XLOOKUP(B78,'BASE DE EXCEL'!$C:$C,'BASE DE EXCEL'!T:T,"NO HAY REFERENCIA")</f>
        <v>Delayed</v>
      </c>
      <c r="DA78" s="3">
        <f>_xlfn.XLOOKUP(B78,'BASE DE EXCEL'!$C:$C,'BASE DE EXCEL'!U:U,"NO HAY REFERENCIA")</f>
        <v>9</v>
      </c>
      <c r="DB78" s="3" t="str">
        <f>_xlfn.XLOOKUP(B78,'BASE DE EXCEL'!$C:$C,'BASE DE EXCEL'!V:V,"NO HAY REFERENCIA")</f>
        <v>6 a 10 días</v>
      </c>
      <c r="DC78" s="3">
        <f>_xlfn.XLOOKUP(B78,'BASE DE EXCEL'!$C:$C,'BASE DE EXCEL'!W:W,"NO HAY REFERENCIA")</f>
        <v>20</v>
      </c>
      <c r="DD78" s="3" t="str">
        <f>_xlfn.XLOOKUP(B78,'BASE DE EXCEL'!$C:$C,'BASE DE EXCEL'!X:X,"NO HAY REFERENCIA")</f>
        <v>más de 16 días</v>
      </c>
      <c r="DE78" s="3">
        <f>_xlfn.XLOOKUP(B78,'BASE DE EXCEL'!$C:$C,'BASE DE EXCEL'!Y:Y,"NO HAY REFERENCIA")</f>
        <v>1</v>
      </c>
      <c r="DF78" s="3" t="str">
        <f>_xlfn.XLOOKUP(B78,'BASE DE EXCEL'!$C:$C,'BASE DE EXCEL'!Z:Z,"NO HAY REFERENCIA")</f>
        <v>1 día o menos</v>
      </c>
      <c r="DG78" s="3">
        <f>_xlfn.XLOOKUP(B78,'BASE DE EXCEL'!$C:$C,'BASE DE EXCEL'!AA:AA,"NO HAY REFERENCIA")</f>
        <v>7</v>
      </c>
      <c r="DH78" s="3">
        <f>_xlfn.XLOOKUP(B78,'BASE DE EXCEL'!$C:$C,'BASE DE EXCEL'!AB:AB,"NO HAY REFERENCIA")</f>
        <v>1</v>
      </c>
      <c r="DI78" s="3" t="str">
        <f>_xlfn.XLOOKUP(B78,'BASE DE EXCEL'!$C:$C,'BASE DE EXCEL'!AC:AC,"NO HAY REFERENCIA")</f>
        <v>1 día o menos</v>
      </c>
      <c r="DJ78" s="4">
        <f>_xlfn.XLOOKUP(B78,'BASE DE EXCEL'!$C:$C,'BASE DE EXCEL'!AD:AD,"NO HAY REFERENCIA")</f>
        <v>46105</v>
      </c>
      <c r="DK78" s="3">
        <f>_xlfn.XLOOKUP(B78,'BASE DE EXCEL'!$C:$C,'BASE DE EXCEL'!AE:AE,"NO HAY REFERENCIA")</f>
        <v>18</v>
      </c>
      <c r="DL78" s="3">
        <f>_xlfn.XLOOKUP(B78,'BASE DE EXCEL'!$C:$C,'BASE DE EXCEL'!AF:AF,"NO HAY REFERENCIA")</f>
        <v>13</v>
      </c>
      <c r="DM78" s="4">
        <f>_xlfn.XLOOKUP(B78,'BASE DE EXCEL'!$C:$C,'BASE DE EXCEL'!AG:AG,"NO HAY REFERENCIA")</f>
        <v>46104</v>
      </c>
      <c r="DN78" s="4">
        <f>_xlfn.XLOOKUP(B78,'BASE DE EXCEL'!$C:$C,'BASE DE EXCEL'!AH:AH,"NO HAY REFERENCIA")</f>
        <v>46105</v>
      </c>
      <c r="DO78" s="3">
        <f>_xlfn.XLOOKUP(B78,'BASE DE EXCEL'!$C:$C,'BASE DE EXCEL'!AI:AI,"NO HAY REFERENCIA")</f>
        <v>1</v>
      </c>
      <c r="DP78" s="4" t="str">
        <f>_xlfn.XLOOKUP(B78,'BASE DE EXCEL'!$C:$C,'BASE DE EXCEL'!AJ:AJ,"NO HAY REFERENCIA")</f>
        <v>más de 16 días</v>
      </c>
      <c r="DQ78" s="4">
        <f>_xlfn.XLOOKUP(B78,'BASE DE EXCEL'!$C:$C,'BASE DE EXCEL'!AK:AK,"NO HAY REFERENCIA")</f>
        <v>46105</v>
      </c>
      <c r="DR78" s="3">
        <f>_xlfn.XLOOKUP(B78,'BASE DE EXCEL'!$C:$C,'BASE DE EXCEL'!AL:AL,"NO HAY REFERENCIA")</f>
        <v>13</v>
      </c>
      <c r="DS78" s="3" t="str">
        <f>_xlfn.XLOOKUP(B78,'BASE DE EXCEL'!$C:$C,'BASE DE EXCEL'!AM:AM,"NO HAY REFERENCIA")</f>
        <v>11 a 15 días</v>
      </c>
      <c r="DT78" s="3" t="str">
        <f>_xlfn.XLOOKUP(B78,'BASE DE EXCEL'!$C:$C,'BASE DE EXCEL'!AN:AN,"NO HAY REFERENCIA")</f>
        <v>Delayed</v>
      </c>
      <c r="DU78" s="3">
        <f>_xlfn.XLOOKUP(B78,'BASE DE EXCEL'!$C:$C,'BASE DE EXCEL'!AO:AO,"NO HAY REFERENCIA")</f>
        <v>1</v>
      </c>
      <c r="DV78" s="3" t="str">
        <f>_xlfn.XLOOKUP(B78,'BASE DE EXCEL'!$C:$C,'BASE DE EXCEL'!AP:AP,"NO HAY REFERENCIA")</f>
        <v>Es anterior</v>
      </c>
      <c r="DW78" s="3" t="str">
        <f>_xlfn.XLOOKUP(B78,'BASE DE EXCEL'!$C:$C,'BASE DE EXCEL'!AQ:AQ,"NO HAY REFERENCIA")</f>
        <v>A1</v>
      </c>
      <c r="DX78" s="3" t="str">
        <f>_xlfn.XLOOKUP(B78,'BASE DE EXCEL'!$C:$C,'BASE DE EXCEL'!AR:AR,"NO HAY REFERENCIA")</f>
        <v>ZULEIMA PEREZ RUIZ</v>
      </c>
      <c r="DY78" s="3" t="str">
        <f>_xlfn.XLOOKUP(B78,'BASE DE EXCEL'!$C:$C,'BASE DE EXCEL'!AS:AS,"NO HAY REFERENCIA")</f>
        <v>HLCURTM260162366</v>
      </c>
      <c r="DZ78" s="3" t="str">
        <f>_xlfn.XLOOKUP(B78,'BASE DE EXCEL'!$C:$C,'BASE DE EXCEL'!AT:AT,"NO HAY REFERENCIA")</f>
        <v>NULL</v>
      </c>
      <c r="EA78" s="3">
        <f>_xlfn.XLOOKUP(B78,'BASE DE EXCEL'!$C:$C,'BASE DE EXCEL'!AU:AU,"NO HAY REFERENCIA")</f>
        <v>6000303</v>
      </c>
      <c r="EB78" s="3" t="str">
        <f>_xlfn.XLOOKUP(B78,'BASE DE EXCEL'!$C:$C,'BASE DE EXCEL'!AV:AV,"NO HAY REFERENCIA")</f>
        <v>Importación</v>
      </c>
      <c r="EC78" s="3" t="str">
        <f>_xlfn.XLOOKUP(B78,'BASE DE EXCEL'!$C:$C,'BASE DE EXCEL'!AW:AW,"NO HAY REFERENCIA")</f>
        <v>NOBILIS MA5+CLONE 30 (VACUNA DE USO VETERINARIO)</v>
      </c>
      <c r="ED78" s="3" t="str">
        <f>_xlfn.XLOOKUP(B78,'BASE DE EXCEL'!$C:$C,'BASE DE EXCEL'!AX:AX,"NO HAY REFERENCIA")</f>
        <v>SIN CLASIFICACION</v>
      </c>
      <c r="EE78" s="3">
        <f>_xlfn.XLOOKUP(B78,'BASE DE EXCEL'!$C:$C,'BASE DE EXCEL'!AY:AY,"NO HAY REFERENCIA")</f>
        <v>0</v>
      </c>
      <c r="EF78" s="3" t="str">
        <f>_xlfn.XLOOKUP(B78,'BASE DE EXCEL'!$C:$C,'BASE DE EXCEL'!AZ:AZ,"NO HAY REFERENCIA")</f>
        <v>Cargas de Importación</v>
      </c>
      <c r="EG78" s="3" t="str">
        <f>_xlfn.XLOOKUP(B78,'BASE DE EXCEL'!$C:$C,'BASE DE EXCEL'!BA:BA,"NO HAY REFERENCIA")</f>
        <v>INTERVET MEXICO SA DE CV</v>
      </c>
      <c r="EH78" s="3">
        <f>_xlfn.XLOOKUP(B78,'BASE DE EXCEL'!$C:$C,'BASE DE EXCEL'!BB:BB,"NO HAY REFERENCIA")</f>
        <v>0</v>
      </c>
      <c r="EI78" s="3" t="str">
        <f>_xlfn.XLOOKUP(B78,'BASE DE EXCEL'!$C:$C,'BASE DE EXCEL'!BC:BC,"NO HAY REFERENCIA")</f>
        <v>FALTA RRNA</v>
      </c>
      <c r="EJ78" s="3">
        <f>_xlfn.XLOOKUP(B78,'BASE DE EXCEL'!$C:$C,'BASE DE EXCEL'!BD:BD,"NO HAY REFERENCIA")</f>
        <v>0</v>
      </c>
      <c r="EK78" s="3" t="str">
        <f>_xlfn.XLOOKUP(B78,'BASE DE EXCEL'!$C:$C,'BASE DE EXCEL'!BE:BE,"NO HAY REFERENCIA")</f>
        <v>FALTA RRNA</v>
      </c>
      <c r="EL78" s="3" t="str">
        <f>_xlfn.XLOOKUP(B78,'BASE DE EXCEL'!$C:$C,'BASE DE EXCEL'!BF:BF,"NO HAY REFERENCIA")</f>
        <v>PRODUCTO TERMINADO</v>
      </c>
      <c r="EM78" s="3" t="str">
        <f>_xlfn.XLOOKUP(B78,'BASE DE EXCEL'!$C:$C,'BASE DE EXCEL'!BG:BG,"NO HAY REFERENCIA")</f>
        <v>Verde</v>
      </c>
      <c r="EN78" s="3" t="str">
        <f>_xlfn.XLOOKUP(B78,'BASE DE EXCEL'!$C:$C,'BASE DE EXCEL'!BH:BH,"NO HAY REFERENCIA")</f>
        <v xml:space="preserve"> MLH TRANSPORTE, S.A. DE C.V.</v>
      </c>
      <c r="EO78" s="3" t="str">
        <f>_xlfn.XLOOKUP(B78,'BASE DE EXCEL'!$C:$C,'BASE DE EXCEL'!BI:BI,"NO HAY REFERENCIA")</f>
        <v>TRACTOCAMION ECO 107</v>
      </c>
      <c r="EP78" s="3">
        <f>_xlfn.XLOOKUP(B78,'BASE DE EXCEL'!$C:$C,'BASE DE EXCEL'!BJ:BJ,"NO HAY REFERENCIA")</f>
        <v>0</v>
      </c>
      <c r="EQ78" s="3" t="str">
        <f>_xlfn.XLOOKUP(B78,'BASE DE EXCEL'!$C:$C,'BASE DE EXCEL'!BK:BK,"NO HAY REFERENCIA")</f>
        <v>IME850329RH2</v>
      </c>
      <c r="ER78" s="3">
        <f>_xlfn.XLOOKUP(B78,'BASE DE EXCEL'!$C:$C,'BASE DE EXCEL'!BL:BL,"NO HAY REFERENCIA")</f>
        <v>0</v>
      </c>
      <c r="ES78" s="3" t="str">
        <f>_xlfn.XLOOKUP(B78,'BASE DE EXCEL'!$C:$C,'BASE DE EXCEL'!BM:BM,"NO HAY REFERENCIA")</f>
        <v>00,99</v>
      </c>
      <c r="ET78" s="3" t="str">
        <f>_xlfn.XLOOKUP(B78,'BASE DE EXCEL'!$C:$C,'BASE DE EXCEL'!BN:BN,"NO HAY REFERENCIA")</f>
        <v>LOTE: SCBA207A11,LOTE: A053A01,LOTE: A224A01,LOTE: A198A02,LOTE: A489D01,LOTE: A061A01,LOTE: A247B01,LOTE: A436A02,LOTE: A142A01</v>
      </c>
      <c r="EU78" s="3">
        <f>_xlfn.XLOOKUP(B78,'BASE DE EXCEL'!$C:$C,'BASE DE EXCEL'!BO:BO,"NO HAY REFERENCIA")</f>
        <v>90</v>
      </c>
      <c r="EV78" s="3" t="str">
        <f>_xlfn.XLOOKUP(B78,'BASE DE EXCEL'!$C:$C,'BASE DE EXCEL'!BP:BP,"NO HAY REFERENCIA")</f>
        <v xml:space="preserve"> 321379.32, 13019554.91, 1145829.89, 3079396.80</v>
      </c>
      <c r="EW78" s="3" t="str">
        <f>_xlfn.XLOOKUP(B78,'BASE DE EXCEL'!$C:$C,'BASE DE EXCEL'!BQ:BQ,"NO HAY REFERENCIA")</f>
        <v>KILO,KILO,KILO,KILO,KILO,KILO,KILO,KILO,KILO</v>
      </c>
      <c r="EX78" s="3">
        <f>_xlfn.XLOOKUP(B78,'BASE DE EXCEL'!$C:$C,'BASE DE EXCEL'!BR:BR,"NO HAY REFERENCIA")</f>
        <v>0</v>
      </c>
      <c r="EY78" s="3" t="str">
        <f>_xlfn.XLOOKUP(B78,'BASE DE EXCEL'!$C:$C,'BASE DE EXCEL'!BS:BS,"NO HAY REFERENCIA")</f>
        <v>PAISES BAJOS (REINO DE LOS) (HOLANDA)</v>
      </c>
      <c r="EZ78" s="3" t="str">
        <f>_xlfn.XLOOKUP(B78,'BASE DE EXCEL'!$C:$C,'BASE DE EXCEL'!BT:BT,"NO HAY REFERENCIA")</f>
        <v>PAISES BAJOS (REINO DE LOS) (HOLANDA)</v>
      </c>
      <c r="FA78" s="3" t="str">
        <f>_xlfn.XLOOKUP(B78,'BASE DE EXCEL'!$C:$C,'BASE DE EXCEL'!BU:BU,"NO HAY REFERENCIA")</f>
        <v>ZYA</v>
      </c>
      <c r="FB78" s="3" t="str">
        <f>_xlfn.XLOOKUP(B78,'BASE DE EXCEL'!$C:$C,'BASE DE EXCEL'!BV:BV,"NO HAY REFERENCIA")</f>
        <v>ZYA</v>
      </c>
      <c r="FC78" s="3">
        <f>_xlfn.XLOOKUP(B78,QUERY!$C:$C,QUERY!D:D)</f>
        <v>430</v>
      </c>
      <c r="FD78" s="4">
        <f>_xlfn.XLOOKUP(B78,QUERY!$C:$C,QUERY!E:E)</f>
        <v>46084</v>
      </c>
      <c r="FE78" s="3">
        <f>_xlfn.XLOOKUP(B78,QUERY!$C:$C,QUERY!F:F)</f>
        <v>3</v>
      </c>
      <c r="FF78" s="4">
        <f>_xlfn.XLOOKUP(B78,QUERY!$C:$C,QUERY!G:G)</f>
        <v>46077</v>
      </c>
      <c r="FG78" s="4">
        <f>_xlfn.XLOOKUP(B78,QUERY!$C:$C,QUERY!H:H)</f>
        <v>46084</v>
      </c>
      <c r="FH78" s="3">
        <f>_xlfn.XLOOKUP(B78,QUERY!$C:$C,QUERY!I:I)</f>
        <v>5</v>
      </c>
      <c r="FI78" s="3" t="str">
        <f>_xlfn.XLOOKUP(B78,QUERY!$C:$C,QUERY!J:J)</f>
        <v>4 a 5 días</v>
      </c>
      <c r="FJ78" s="4">
        <f>_xlfn.XLOOKUP(B78,QUERY!$C:$C,QUERY!K:K)</f>
        <v>46085</v>
      </c>
      <c r="FK78" s="3">
        <f>_xlfn.XLOOKUP(B78,QUERY!$C:$C,QUERY!L:L)</f>
        <v>6</v>
      </c>
      <c r="FL78" s="3" t="str">
        <f>_xlfn.XLOOKUP(B78,QUERY!$C:$C,QUERY!M:M)</f>
        <v>6 a 10 días</v>
      </c>
      <c r="FM78" s="3">
        <f>_xlfn.XLOOKUP(B78,QUERY!$C:$C,QUERY!N:N)</f>
        <v>1</v>
      </c>
      <c r="FN78" s="3" t="str">
        <f>_xlfn.XLOOKUP(B78,QUERY!$C:$C,QUERY!O:O)</f>
        <v>1 día o menos</v>
      </c>
      <c r="FO78" s="3">
        <f>_xlfn.XLOOKUP(B78,QUERY!$C:$C,QUERY!P:P)</f>
        <v>1</v>
      </c>
      <c r="FP78" s="3">
        <f>_xlfn.XLOOKUP(B78,QUERY!$C:$C,QUERY!Q:Q)</f>
        <v>1</v>
      </c>
      <c r="FQ78" s="3" t="str">
        <f>_xlfn.XLOOKUP(B78,QUERY!$C:$C,QUERY!R:R)</f>
        <v>1 día o menos</v>
      </c>
      <c r="FR78" s="4">
        <f>_xlfn.XLOOKUP(B78,QUERY!$C:$C,QUERY!S:S)</f>
        <v>46086</v>
      </c>
      <c r="FS78" s="3">
        <f>_xlfn.XLOOKUP(B78,QUERY!$C:$C,QUERY!T:T)</f>
        <v>7</v>
      </c>
      <c r="FT78" s="3" t="str">
        <f>_xlfn.XLOOKUP(B78,QUERY!$C:$C,QUERY!U:U)</f>
        <v>6 a 10 días</v>
      </c>
      <c r="FU78" s="3">
        <f>_xlfn.XLOOKUP(B78,QUERY!$C:$C,QUERY!V:V)</f>
        <v>20</v>
      </c>
      <c r="FV78" s="3" t="str">
        <f>_xlfn.XLOOKUP(B78,QUERY!$C:$C,QUERY!W:W)</f>
        <v>más de 16 días</v>
      </c>
      <c r="FW78" s="4">
        <f>_xlfn.XLOOKUP(B78,QUERY!$C:$C,QUERY!X:X)</f>
        <v>46105</v>
      </c>
      <c r="FX78" s="3">
        <f>_xlfn.XLOOKUP(B78,QUERY!$C:$C,QUERY!Y:Y)</f>
        <v>12</v>
      </c>
      <c r="FY78" s="3">
        <f>_xlfn.XLOOKUP(B78,QUERY!$C:$C,QUERY!Z:Z)</f>
        <v>13</v>
      </c>
      <c r="FZ78" s="4" t="str">
        <f>_xlfn.XLOOKUP(B78,QUERY!$C:$C,QUERY!AA:AA)</f>
        <v>más de 16 días</v>
      </c>
      <c r="GA78" s="4">
        <f>_xlfn.XLOOKUP(B78,QUERY!$C:$C,QUERY!AB:AB)</f>
        <v>46104</v>
      </c>
      <c r="GB78" s="4">
        <f>_xlfn.XLOOKUP(B78,QUERY!$C:$C,QUERY!AC:AC)</f>
        <v>46105</v>
      </c>
      <c r="GC78" s="3">
        <f>_xlfn.XLOOKUP(B78,QUERY!$C:$C,QUERY!AD:AD)</f>
        <v>1</v>
      </c>
      <c r="GD78" s="4">
        <f>_xlfn.XLOOKUP(B78,QUERY!$C:$C,QUERY!AE:AE)</f>
        <v>46105</v>
      </c>
      <c r="GE78" s="3">
        <f>_xlfn.XLOOKUP(B78,QUERY!$C:$C,QUERY!AF:AF)</f>
        <v>1</v>
      </c>
      <c r="GF78" s="4" t="str">
        <f>_xlfn.XLOOKUP(B78,QUERY!$C:$C,QUERY!AG:AG)</f>
        <v>Es anterior</v>
      </c>
      <c r="GG78" s="3" t="str">
        <f>_xlfn.XLOOKUP(B78,QUERY!$C:$C,QUERY!AH:AH)</f>
        <v>A1</v>
      </c>
      <c r="GH78" s="3" t="str">
        <f>_xlfn.XLOOKUP(B78,QUERY!$C:$C,QUERY!AI:AI)</f>
        <v>ZULEIMA PEREZ RUIZ</v>
      </c>
      <c r="GI78" s="3" t="str">
        <f>_xlfn.XLOOKUP(B78,QUERY!$C:$C,QUERY!AJ:AJ)</f>
        <v>HLCURTM260162366</v>
      </c>
      <c r="GJ78" s="3" t="str">
        <f>_xlfn.XLOOKUP(B78,QUERY!$C:$C,QUERY!AK:AK)</f>
        <v>NULL</v>
      </c>
      <c r="GK78" s="3">
        <f>_xlfn.XLOOKUP(B78,QUERY!$C:$C,QUERY!AL:AL)</f>
        <v>6000303</v>
      </c>
      <c r="GL78" s="3" t="str">
        <f>_xlfn.XLOOKUP(B78,QUERY!$C:$C,QUERY!AM:AM)</f>
        <v>Importación</v>
      </c>
      <c r="GM78" s="3" t="str">
        <f>_xlfn.XLOOKUP(B78,QUERY!$C:$C,QUERY!AN:AN)</f>
        <v>NOBILIS MA5+CLONE 30 (VACUNA DE USO VETERINARIO)</v>
      </c>
      <c r="GN78" s="3" t="str">
        <f>_xlfn.XLOOKUP(B78,QUERY!$C:$C,QUERY!AO:AO)</f>
        <v>SIN CLASIFICACION</v>
      </c>
      <c r="GO78" s="3">
        <f>_xlfn.XLOOKUP(B78,QUERY!$C:$C,QUERY!AP:AP)</f>
        <v>0</v>
      </c>
      <c r="GP78" s="3" t="str">
        <f>_xlfn.XLOOKUP(B78,QUERY!$C:$C,QUERY!AQ:AQ)</f>
        <v>Cargas de Importación</v>
      </c>
      <c r="GQ78" s="3" t="str">
        <f>_xlfn.XLOOKUP(B78,QUERY!$C:$C,QUERY!AR:AR)</f>
        <v>INTERVET MEXICO SA DE CV</v>
      </c>
      <c r="GR78" s="3">
        <f>_xlfn.XLOOKUP(B78,QUERY!$C:$C,QUERY!AS:AS)</f>
        <v>0</v>
      </c>
      <c r="GS78" s="3" t="str">
        <f>_xlfn.XLOOKUP(B78,QUERY!$C:$C,QUERY!AT:AT)</f>
        <v>FALTA RRNA</v>
      </c>
      <c r="GT78" s="3">
        <f>_xlfn.XLOOKUP(B78,QUERY!$C:$C,QUERY!AU:AU)</f>
        <v>0</v>
      </c>
      <c r="GU78" s="3" t="str">
        <f>_xlfn.XLOOKUP(B78,QUERY!$C:$C,QUERY!AV:AV)</f>
        <v>FALTA RRNA</v>
      </c>
      <c r="GV78" s="3" t="str">
        <f>_xlfn.XLOOKUP(B78,QUERY!$C:$C,QUERY!AW:AW)</f>
        <v>PRODUCTO TERMINADO</v>
      </c>
      <c r="GW78" s="3" t="str">
        <f>_xlfn.XLOOKUP(B78,QUERY!$C:$C,QUERY!AX:AX)</f>
        <v>Verde</v>
      </c>
      <c r="GX78" s="3" t="str">
        <f>_xlfn.XLOOKUP(B78,QUERY!$C:$C,QUERY!AY:AY)</f>
        <v xml:space="preserve"> MLH TRANSPORTE, S.A. DE C.V.</v>
      </c>
      <c r="GY78" s="3" t="str">
        <f>_xlfn.XLOOKUP(B78,QUERY!$C:$C,QUERY!AZ:AZ)</f>
        <v>TRACTOCAMION ECO 107</v>
      </c>
      <c r="GZ78" s="3">
        <f>_xlfn.XLOOKUP(B78,QUERY!$C:$C,QUERY!BA:BA)</f>
        <v>0</v>
      </c>
      <c r="HA78" s="3" t="str">
        <f>_xlfn.XLOOKUP(B78,QUERY!$C:$C,QUERY!BB:BB)</f>
        <v>IME850329RH2</v>
      </c>
      <c r="HB78" s="3">
        <f>_xlfn.XLOOKUP(B78,QUERY!$C:$C,QUERY!BC:BC)</f>
        <v>0</v>
      </c>
      <c r="HC78" s="3">
        <f>_xlfn.XLOOKUP(B78,QUERY!$C:$C,QUERY!BD:BD)</f>
        <v>0.99</v>
      </c>
      <c r="HD78" s="3" t="str">
        <f>_xlfn.XLOOKUP(B78,QUERY!$C:$C,QUERY!BE:BE)</f>
        <v>LOTE: SCBA207A11,LOTE: A053A01,LOTE: A224A01,LOTE: A142A01,LOTE: A247B01,LOTE: A436A02,LOTE: A198A02,LOTE: A489D01,LOTE: A061A01</v>
      </c>
      <c r="HE78" s="3">
        <f>_xlfn.XLOOKUP(B78,QUERY!$C:$C,QUERY!BF:BF)</f>
        <v>90</v>
      </c>
      <c r="HF78" s="3" t="str">
        <f>_xlfn.XLOOKUP(B78,QUERY!$C:$C,QUERY!BG:BG)</f>
        <v xml:space="preserve"> 321379.32, 13019554.91, 1145829.89, 3079396.80</v>
      </c>
      <c r="HG78" s="3" t="str">
        <f>_xlfn.XLOOKUP(B78,QUERY!$C:$C,QUERY!BH:BH)</f>
        <v>KILO,KILO,KILO,KILO,KILO,KILO,KILO,KILO,KILO</v>
      </c>
      <c r="HH78" s="3">
        <f>_xlfn.XLOOKUP(B78,QUERY!$C:$C,QUERY!BI:BI)</f>
        <v>0</v>
      </c>
      <c r="HI78" s="3" t="str">
        <f>_xlfn.XLOOKUP(B78,QUERY!$C:$C,QUERY!BJ:BJ)</f>
        <v>PAISES BAJOS (REINO DE LOS) (HOLANDA)</v>
      </c>
      <c r="HJ78" s="3" t="str">
        <f>_xlfn.XLOOKUP(B78,QUERY!$C:$C,QUERY!BK:BK)</f>
        <v>PAISES BAJOS (REINO DE LOS) (HOLANDA)</v>
      </c>
      <c r="HK78" s="3" t="str">
        <f>_xlfn.XLOOKUP(B78,QUERY!$C:$C,QUERY!BL:BL)</f>
        <v>ZYA</v>
      </c>
      <c r="HL78" s="3" t="str">
        <f>_xlfn.XLOOKUP(B78,QUERY!$C:$C,QUERY!BM:BM)</f>
        <v>ZYA</v>
      </c>
      <c r="HM78" s="3">
        <f>_xlfn.XLOOKUP(B78,QUERY!$C:$C,QUERY!BN:BN)</f>
        <v>17566160</v>
      </c>
      <c r="HN78" s="3" t="str">
        <f>_xlfn.XLOOKUP(B78,QUERY!$C:$C,QUERY!BO:BO)</f>
        <v>462.00</v>
      </c>
      <c r="HO78" s="3" t="str">
        <f>_xlfn.XLOOKUP(B78,QUERY!$C:$C,QUERY!BP:BP)</f>
        <v>NULL</v>
      </c>
      <c r="HP78" s="3" t="str">
        <f>_xlfn.XLOOKUP(B78,QUERY!$C:$C,QUERY!BQ:BQ)</f>
        <v>NULL</v>
      </c>
      <c r="HQ78" s="3" t="str">
        <f>_xlfn.XLOOKUP(B78,QUERY!$C:$C,QUERY!BR:BR)</f>
        <v>250436.84</v>
      </c>
      <c r="HR78" s="3">
        <f>_xlfn.XLOOKUP(B78,QUERY!$C:$C,QUERY!BS:BS)</f>
        <v>0</v>
      </c>
      <c r="HS78" s="3">
        <f>_xlfn.XLOOKUP(B78,QUERY!$C:$C,QUERY!BT:BT)</f>
        <v>0</v>
      </c>
      <c r="HT78" s="3" t="str">
        <f>_xlfn.XLOOKUP(B78,QUERY!$C:$C,QUERY!A:A)</f>
        <v>VERACRUZ</v>
      </c>
      <c r="HU78" s="3" t="str">
        <f>_xlfn.XLOOKUP(B78,QUERY!$C:$C,QUERY!B:B)</f>
        <v>MARÍTIMO VERACRUZ</v>
      </c>
    </row>
    <row r="79" spans="1:229" x14ac:dyDescent="0.25">
      <c r="A79" s="3" t="s">
        <v>90</v>
      </c>
      <c r="B79" s="3" t="s">
        <v>257</v>
      </c>
      <c r="C79" s="3">
        <v>3942</v>
      </c>
      <c r="D79" s="3">
        <v>6000303</v>
      </c>
      <c r="E79" s="3"/>
      <c r="F79" s="3" t="s">
        <v>92</v>
      </c>
      <c r="G79" s="3" t="s">
        <v>93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430</v>
      </c>
      <c r="S79" s="3" t="s">
        <v>258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 t="s">
        <v>270</v>
      </c>
      <c r="AB79" s="3"/>
      <c r="AC79" s="3">
        <v>1782756</v>
      </c>
      <c r="AD79" s="3">
        <v>825.35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/>
      <c r="AP79" s="3" t="s">
        <v>98</v>
      </c>
      <c r="AQ79" s="3">
        <v>210365022</v>
      </c>
      <c r="AR79" s="3" t="s">
        <v>99</v>
      </c>
      <c r="AS79" s="3" t="s">
        <v>100</v>
      </c>
      <c r="AT79" s="3">
        <v>0</v>
      </c>
      <c r="AU79" s="3">
        <v>0</v>
      </c>
      <c r="AV79" s="3">
        <v>0</v>
      </c>
      <c r="AW79" s="3">
        <v>30024201</v>
      </c>
      <c r="AX79" s="3">
        <v>99</v>
      </c>
      <c r="AY79" s="3">
        <v>2160</v>
      </c>
      <c r="AZ79" s="3">
        <v>2160</v>
      </c>
      <c r="BA79" s="3" t="s">
        <v>103</v>
      </c>
      <c r="BB79" s="3"/>
      <c r="BC79" s="3" t="s">
        <v>105</v>
      </c>
      <c r="BD79" s="3" t="s">
        <v>105</v>
      </c>
      <c r="BE79" s="3"/>
      <c r="BF79" s="3"/>
      <c r="BG79" s="5"/>
      <c r="BH79" s="3"/>
      <c r="BI79" s="3"/>
      <c r="BJ79" s="3"/>
      <c r="BK79" s="3" t="s">
        <v>269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 t="s">
        <v>192</v>
      </c>
      <c r="CF79" s="3">
        <v>0</v>
      </c>
      <c r="CG79" s="3">
        <v>0</v>
      </c>
      <c r="CH79" s="3">
        <v>0</v>
      </c>
      <c r="CI79" s="3" t="s">
        <v>112</v>
      </c>
      <c r="CJ79" s="3" t="s">
        <v>112</v>
      </c>
      <c r="CK79" s="3">
        <f>_xlfn.XLOOKUP($B$2,'BASE DE EXCEL'!C:C,'BASE DE EXCEL'!D:D,"NO HAY REFERENCIA")</f>
        <v>470</v>
      </c>
      <c r="CL79" s="5">
        <f>_xlfn.XLOOKUP($B$2,'BASE DE EXCEL'!$C:$C,'BASE DE EXCEL'!F:F,"NO HAY REFERENCIA")</f>
        <v>3</v>
      </c>
      <c r="CM79" s="4">
        <f>_xlfn.XLOOKUP($B$2,'BASE DE EXCEL'!$C:$C,'BASE DE EXCEL'!G:G,"NO HAY REFERENCIA")</f>
        <v>46080</v>
      </c>
      <c r="CN79" s="4">
        <f>_xlfn.XLOOKUP($B$2,'BASE DE EXCEL'!$C:$C,'BASE DE EXCEL'!H:H,"NO HAY REFERENCIA")</f>
        <v>46086</v>
      </c>
      <c r="CO79" s="3">
        <f>_xlfn.XLOOKUP($B$2,'BASE DE EXCEL'!$C:$C,'BASE DE EXCEL'!I:I,"NO HAY REFERENCIA")</f>
        <v>4</v>
      </c>
      <c r="CP79" s="3" t="str">
        <f>_xlfn.XLOOKUP($B$2,'BASE DE EXCEL'!$C:$C,'BASE DE EXCEL'!J:J,"NO HAY REFERENCIA")</f>
        <v>4 a 5 días</v>
      </c>
      <c r="CQ79" s="4">
        <f>_xlfn.XLOOKUP($B$2,'BASE DE EXCEL'!$C:$C,'BASE DE EXCEL'!K:K,"NO HAY REFERENCIA")</f>
        <v>46087</v>
      </c>
      <c r="CR79" s="3">
        <f>_xlfn.XLOOKUP($B$2,'BASE DE EXCEL'!$C:$C,'BASE DE EXCEL'!L:L,"NO HAY REFERENCIA")</f>
        <v>5</v>
      </c>
      <c r="CS79" s="3">
        <f>_xlfn.XLOOKUP($B$2,'BASE DE EXCEL'!$C:$C,'BASE DE EXCEL'!M:M,"NO HAY REFERENCIA")</f>
        <v>6</v>
      </c>
      <c r="CT79" s="3" t="str">
        <f>_xlfn.XLOOKUP($B$2,'BASE DE EXCEL'!$C:$C,'BASE DE EXCEL'!N:N,"NO HAY REFERENCIA")</f>
        <v>6 a 10 días</v>
      </c>
      <c r="CU79" s="3" t="str">
        <f>_xlfn.XLOOKUP($B$2,'BASE DE EXCEL'!$C:$C,'BASE DE EXCEL'!O:O,"NO HAY REFERENCIA")</f>
        <v>On Time</v>
      </c>
      <c r="CV79" s="3" t="str">
        <f>_xlfn.XLOOKUP(B79,'BASE DE EXCEL'!$C:$C,'BASE DE EXCEL'!P:P,"NO HAY REFERENCIA")</f>
        <v>6 a 10 días</v>
      </c>
      <c r="CW79" s="4">
        <f>_xlfn.XLOOKUP(B79,'BASE DE EXCEL'!$C:$C,'BASE DE EXCEL'!Q:Q,"NO HAY REFERENCIA")</f>
        <v>46086</v>
      </c>
      <c r="CX79" s="3">
        <f>_xlfn.XLOOKUP(B79,'BASE DE EXCEL'!$C:$C,'BASE DE EXCEL'!R:R,"NO HAY REFERENCIA")</f>
        <v>8</v>
      </c>
      <c r="CY79" s="3" t="str">
        <f>_xlfn.XLOOKUP(B79,'BASE DE EXCEL'!$C:$C,'BASE DE EXCEL'!S:S,"NO HAY REFERENCIA")</f>
        <v>6 a 10 días</v>
      </c>
      <c r="CZ79" s="3" t="str">
        <f>_xlfn.XLOOKUP(B79,'BASE DE EXCEL'!$C:$C,'BASE DE EXCEL'!T:T,"NO HAY REFERENCIA")</f>
        <v>Delayed</v>
      </c>
      <c r="DA79" s="3">
        <f>_xlfn.XLOOKUP(B79,'BASE DE EXCEL'!$C:$C,'BASE DE EXCEL'!U:U,"NO HAY REFERENCIA")</f>
        <v>9</v>
      </c>
      <c r="DB79" s="3" t="str">
        <f>_xlfn.XLOOKUP(B79,'BASE DE EXCEL'!$C:$C,'BASE DE EXCEL'!V:V,"NO HAY REFERENCIA")</f>
        <v>6 a 10 días</v>
      </c>
      <c r="DC79" s="3">
        <f>_xlfn.XLOOKUP(B79,'BASE DE EXCEL'!$C:$C,'BASE DE EXCEL'!W:W,"NO HAY REFERENCIA")</f>
        <v>20</v>
      </c>
      <c r="DD79" s="3" t="str">
        <f>_xlfn.XLOOKUP(B79,'BASE DE EXCEL'!$C:$C,'BASE DE EXCEL'!X:X,"NO HAY REFERENCIA")</f>
        <v>más de 16 días</v>
      </c>
      <c r="DE79" s="3">
        <f>_xlfn.XLOOKUP(B79,'BASE DE EXCEL'!$C:$C,'BASE DE EXCEL'!Y:Y,"NO HAY REFERENCIA")</f>
        <v>1</v>
      </c>
      <c r="DF79" s="3" t="str">
        <f>_xlfn.XLOOKUP(B79,'BASE DE EXCEL'!$C:$C,'BASE DE EXCEL'!Z:Z,"NO HAY REFERENCIA")</f>
        <v>1 día o menos</v>
      </c>
      <c r="DG79" s="3">
        <f>_xlfn.XLOOKUP(B79,'BASE DE EXCEL'!$C:$C,'BASE DE EXCEL'!AA:AA,"NO HAY REFERENCIA")</f>
        <v>7</v>
      </c>
      <c r="DH79" s="3">
        <f>_xlfn.XLOOKUP(B79,'BASE DE EXCEL'!$C:$C,'BASE DE EXCEL'!AB:AB,"NO HAY REFERENCIA")</f>
        <v>1</v>
      </c>
      <c r="DI79" s="3" t="str">
        <f>_xlfn.XLOOKUP(B79,'BASE DE EXCEL'!$C:$C,'BASE DE EXCEL'!AC:AC,"NO HAY REFERENCIA")</f>
        <v>1 día o menos</v>
      </c>
      <c r="DJ79" s="4">
        <f>_xlfn.XLOOKUP(B79,'BASE DE EXCEL'!$C:$C,'BASE DE EXCEL'!AD:AD,"NO HAY REFERENCIA")</f>
        <v>46105</v>
      </c>
      <c r="DK79" s="3">
        <f>_xlfn.XLOOKUP(B79,'BASE DE EXCEL'!$C:$C,'BASE DE EXCEL'!AE:AE,"NO HAY REFERENCIA")</f>
        <v>18</v>
      </c>
      <c r="DL79" s="3">
        <f>_xlfn.XLOOKUP(B79,'BASE DE EXCEL'!$C:$C,'BASE DE EXCEL'!AF:AF,"NO HAY REFERENCIA")</f>
        <v>13</v>
      </c>
      <c r="DM79" s="4">
        <f>_xlfn.XLOOKUP(B79,'BASE DE EXCEL'!$C:$C,'BASE DE EXCEL'!AG:AG,"NO HAY REFERENCIA")</f>
        <v>46104</v>
      </c>
      <c r="DN79" s="4">
        <f>_xlfn.XLOOKUP(B79,'BASE DE EXCEL'!$C:$C,'BASE DE EXCEL'!AH:AH,"NO HAY REFERENCIA")</f>
        <v>46105</v>
      </c>
      <c r="DO79" s="3">
        <f>_xlfn.XLOOKUP(B79,'BASE DE EXCEL'!$C:$C,'BASE DE EXCEL'!AI:AI,"NO HAY REFERENCIA")</f>
        <v>1</v>
      </c>
      <c r="DP79" s="4" t="str">
        <f>_xlfn.XLOOKUP(B79,'BASE DE EXCEL'!$C:$C,'BASE DE EXCEL'!AJ:AJ,"NO HAY REFERENCIA")</f>
        <v>más de 16 días</v>
      </c>
      <c r="DQ79" s="4">
        <f>_xlfn.XLOOKUP(B79,'BASE DE EXCEL'!$C:$C,'BASE DE EXCEL'!AK:AK,"NO HAY REFERENCIA")</f>
        <v>46105</v>
      </c>
      <c r="DR79" s="3">
        <f>_xlfn.XLOOKUP(B79,'BASE DE EXCEL'!$C:$C,'BASE DE EXCEL'!AL:AL,"NO HAY REFERENCIA")</f>
        <v>13</v>
      </c>
      <c r="DS79" s="3" t="str">
        <f>_xlfn.XLOOKUP(B79,'BASE DE EXCEL'!$C:$C,'BASE DE EXCEL'!AM:AM,"NO HAY REFERENCIA")</f>
        <v>11 a 15 días</v>
      </c>
      <c r="DT79" s="3" t="str">
        <f>_xlfn.XLOOKUP(B79,'BASE DE EXCEL'!$C:$C,'BASE DE EXCEL'!AN:AN,"NO HAY REFERENCIA")</f>
        <v>Delayed</v>
      </c>
      <c r="DU79" s="3">
        <f>_xlfn.XLOOKUP(B79,'BASE DE EXCEL'!$C:$C,'BASE DE EXCEL'!AO:AO,"NO HAY REFERENCIA")</f>
        <v>1</v>
      </c>
      <c r="DV79" s="3" t="str">
        <f>_xlfn.XLOOKUP(B79,'BASE DE EXCEL'!$C:$C,'BASE DE EXCEL'!AP:AP,"NO HAY REFERENCIA")</f>
        <v>Es anterior</v>
      </c>
      <c r="DW79" s="3" t="str">
        <f>_xlfn.XLOOKUP(B79,'BASE DE EXCEL'!$C:$C,'BASE DE EXCEL'!AQ:AQ,"NO HAY REFERENCIA")</f>
        <v>A1</v>
      </c>
      <c r="DX79" s="3" t="str">
        <f>_xlfn.XLOOKUP(B79,'BASE DE EXCEL'!$C:$C,'BASE DE EXCEL'!AR:AR,"NO HAY REFERENCIA")</f>
        <v>ZULEIMA PEREZ RUIZ</v>
      </c>
      <c r="DY79" s="3" t="str">
        <f>_xlfn.XLOOKUP(B79,'BASE DE EXCEL'!$C:$C,'BASE DE EXCEL'!AS:AS,"NO HAY REFERENCIA")</f>
        <v>HLCURTM260162366</v>
      </c>
      <c r="DZ79" s="3" t="str">
        <f>_xlfn.XLOOKUP(B79,'BASE DE EXCEL'!$C:$C,'BASE DE EXCEL'!AT:AT,"NO HAY REFERENCIA")</f>
        <v>NULL</v>
      </c>
      <c r="EA79" s="3">
        <f>_xlfn.XLOOKUP(B79,'BASE DE EXCEL'!$C:$C,'BASE DE EXCEL'!AU:AU,"NO HAY REFERENCIA")</f>
        <v>6000303</v>
      </c>
      <c r="EB79" s="3" t="str">
        <f>_xlfn.XLOOKUP(B79,'BASE DE EXCEL'!$C:$C,'BASE DE EXCEL'!AV:AV,"NO HAY REFERENCIA")</f>
        <v>Importación</v>
      </c>
      <c r="EC79" s="3" t="str">
        <f>_xlfn.XLOOKUP(B79,'BASE DE EXCEL'!$C:$C,'BASE DE EXCEL'!AW:AW,"NO HAY REFERENCIA")</f>
        <v>NOBILIS MA5+CLONE 30 (VACUNA DE USO VETERINARIO)</v>
      </c>
      <c r="ED79" s="3" t="str">
        <f>_xlfn.XLOOKUP(B79,'BASE DE EXCEL'!$C:$C,'BASE DE EXCEL'!AX:AX,"NO HAY REFERENCIA")</f>
        <v>SIN CLASIFICACION</v>
      </c>
      <c r="EE79" s="3">
        <f>_xlfn.XLOOKUP(B79,'BASE DE EXCEL'!$C:$C,'BASE DE EXCEL'!AY:AY,"NO HAY REFERENCIA")</f>
        <v>0</v>
      </c>
      <c r="EF79" s="3" t="str">
        <f>_xlfn.XLOOKUP(B79,'BASE DE EXCEL'!$C:$C,'BASE DE EXCEL'!AZ:AZ,"NO HAY REFERENCIA")</f>
        <v>Cargas de Importación</v>
      </c>
      <c r="EG79" s="3" t="str">
        <f>_xlfn.XLOOKUP(B79,'BASE DE EXCEL'!$C:$C,'BASE DE EXCEL'!BA:BA,"NO HAY REFERENCIA")</f>
        <v>INTERVET MEXICO SA DE CV</v>
      </c>
      <c r="EH79" s="3">
        <f>_xlfn.XLOOKUP(B79,'BASE DE EXCEL'!$C:$C,'BASE DE EXCEL'!BB:BB,"NO HAY REFERENCIA")</f>
        <v>0</v>
      </c>
      <c r="EI79" s="3" t="str">
        <f>_xlfn.XLOOKUP(B79,'BASE DE EXCEL'!$C:$C,'BASE DE EXCEL'!BC:BC,"NO HAY REFERENCIA")</f>
        <v>FALTA RRNA</v>
      </c>
      <c r="EJ79" s="3">
        <f>_xlfn.XLOOKUP(B79,'BASE DE EXCEL'!$C:$C,'BASE DE EXCEL'!BD:BD,"NO HAY REFERENCIA")</f>
        <v>0</v>
      </c>
      <c r="EK79" s="3" t="str">
        <f>_xlfn.XLOOKUP(B79,'BASE DE EXCEL'!$C:$C,'BASE DE EXCEL'!BE:BE,"NO HAY REFERENCIA")</f>
        <v>FALTA RRNA</v>
      </c>
      <c r="EL79" s="3" t="str">
        <f>_xlfn.XLOOKUP(B79,'BASE DE EXCEL'!$C:$C,'BASE DE EXCEL'!BF:BF,"NO HAY REFERENCIA")</f>
        <v>PRODUCTO TERMINADO</v>
      </c>
      <c r="EM79" s="3" t="str">
        <f>_xlfn.XLOOKUP(B79,'BASE DE EXCEL'!$C:$C,'BASE DE EXCEL'!BG:BG,"NO HAY REFERENCIA")</f>
        <v>Verde</v>
      </c>
      <c r="EN79" s="3" t="str">
        <f>_xlfn.XLOOKUP(B79,'BASE DE EXCEL'!$C:$C,'BASE DE EXCEL'!BH:BH,"NO HAY REFERENCIA")</f>
        <v xml:space="preserve"> MLH TRANSPORTE, S.A. DE C.V.</v>
      </c>
      <c r="EO79" s="3" t="str">
        <f>_xlfn.XLOOKUP(B79,'BASE DE EXCEL'!$C:$C,'BASE DE EXCEL'!BI:BI,"NO HAY REFERENCIA")</f>
        <v>TRACTOCAMION ECO 107</v>
      </c>
      <c r="EP79" s="3">
        <f>_xlfn.XLOOKUP(B79,'BASE DE EXCEL'!$C:$C,'BASE DE EXCEL'!BJ:BJ,"NO HAY REFERENCIA")</f>
        <v>0</v>
      </c>
      <c r="EQ79" s="3" t="str">
        <f>_xlfn.XLOOKUP(B79,'BASE DE EXCEL'!$C:$C,'BASE DE EXCEL'!BK:BK,"NO HAY REFERENCIA")</f>
        <v>IME850329RH2</v>
      </c>
      <c r="ER79" s="3">
        <f>_xlfn.XLOOKUP(B79,'BASE DE EXCEL'!$C:$C,'BASE DE EXCEL'!BL:BL,"NO HAY REFERENCIA")</f>
        <v>0</v>
      </c>
      <c r="ES79" s="3" t="str">
        <f>_xlfn.XLOOKUP(B79,'BASE DE EXCEL'!$C:$C,'BASE DE EXCEL'!BM:BM,"NO HAY REFERENCIA")</f>
        <v>00,99</v>
      </c>
      <c r="ET79" s="3" t="str">
        <f>_xlfn.XLOOKUP(B79,'BASE DE EXCEL'!$C:$C,'BASE DE EXCEL'!BN:BN,"NO HAY REFERENCIA")</f>
        <v>LOTE: SCBA207A11,LOTE: A053A01,LOTE: A224A01,LOTE: A198A02,LOTE: A489D01,LOTE: A061A01,LOTE: A247B01,LOTE: A436A02,LOTE: A142A01</v>
      </c>
      <c r="EU79" s="3">
        <f>_xlfn.XLOOKUP(B79,'BASE DE EXCEL'!$C:$C,'BASE DE EXCEL'!BO:BO,"NO HAY REFERENCIA")</f>
        <v>90</v>
      </c>
      <c r="EV79" s="3" t="str">
        <f>_xlfn.XLOOKUP(B79,'BASE DE EXCEL'!$C:$C,'BASE DE EXCEL'!BP:BP,"NO HAY REFERENCIA")</f>
        <v xml:space="preserve"> 321379.32, 13019554.91, 1145829.89, 3079396.80</v>
      </c>
      <c r="EW79" s="3" t="str">
        <f>_xlfn.XLOOKUP(B79,'BASE DE EXCEL'!$C:$C,'BASE DE EXCEL'!BQ:BQ,"NO HAY REFERENCIA")</f>
        <v>KILO,KILO,KILO,KILO,KILO,KILO,KILO,KILO,KILO</v>
      </c>
      <c r="EX79" s="3">
        <f>_xlfn.XLOOKUP(B79,'BASE DE EXCEL'!$C:$C,'BASE DE EXCEL'!BR:BR,"NO HAY REFERENCIA")</f>
        <v>0</v>
      </c>
      <c r="EY79" s="3" t="str">
        <f>_xlfn.XLOOKUP(B79,'BASE DE EXCEL'!$C:$C,'BASE DE EXCEL'!BS:BS,"NO HAY REFERENCIA")</f>
        <v>PAISES BAJOS (REINO DE LOS) (HOLANDA)</v>
      </c>
      <c r="EZ79" s="3" t="str">
        <f>_xlfn.XLOOKUP(B79,'BASE DE EXCEL'!$C:$C,'BASE DE EXCEL'!BT:BT,"NO HAY REFERENCIA")</f>
        <v>PAISES BAJOS (REINO DE LOS) (HOLANDA)</v>
      </c>
      <c r="FA79" s="3" t="str">
        <f>_xlfn.XLOOKUP(B79,'BASE DE EXCEL'!$C:$C,'BASE DE EXCEL'!BU:BU,"NO HAY REFERENCIA")</f>
        <v>ZYA</v>
      </c>
      <c r="FB79" s="3" t="str">
        <f>_xlfn.XLOOKUP(B79,'BASE DE EXCEL'!$C:$C,'BASE DE EXCEL'!BV:BV,"NO HAY REFERENCIA")</f>
        <v>ZYA</v>
      </c>
      <c r="FC79" s="3">
        <f>_xlfn.XLOOKUP(B79,QUERY!$C:$C,QUERY!D:D)</f>
        <v>430</v>
      </c>
      <c r="FD79" s="4">
        <f>_xlfn.XLOOKUP(B79,QUERY!$C:$C,QUERY!E:E)</f>
        <v>46084</v>
      </c>
      <c r="FE79" s="3">
        <f>_xlfn.XLOOKUP(B79,QUERY!$C:$C,QUERY!F:F)</f>
        <v>3</v>
      </c>
      <c r="FF79" s="4">
        <f>_xlfn.XLOOKUP(B79,QUERY!$C:$C,QUERY!G:G)</f>
        <v>46077</v>
      </c>
      <c r="FG79" s="4">
        <f>_xlfn.XLOOKUP(B79,QUERY!$C:$C,QUERY!H:H)</f>
        <v>46084</v>
      </c>
      <c r="FH79" s="3">
        <f>_xlfn.XLOOKUP(B79,QUERY!$C:$C,QUERY!I:I)</f>
        <v>5</v>
      </c>
      <c r="FI79" s="3" t="str">
        <f>_xlfn.XLOOKUP(B79,QUERY!$C:$C,QUERY!J:J)</f>
        <v>4 a 5 días</v>
      </c>
      <c r="FJ79" s="4">
        <f>_xlfn.XLOOKUP(B79,QUERY!$C:$C,QUERY!K:K)</f>
        <v>46085</v>
      </c>
      <c r="FK79" s="3">
        <f>_xlfn.XLOOKUP(B79,QUERY!$C:$C,QUERY!L:L)</f>
        <v>6</v>
      </c>
      <c r="FL79" s="3" t="str">
        <f>_xlfn.XLOOKUP(B79,QUERY!$C:$C,QUERY!M:M)</f>
        <v>6 a 10 días</v>
      </c>
      <c r="FM79" s="3">
        <f>_xlfn.XLOOKUP(B79,QUERY!$C:$C,QUERY!N:N)</f>
        <v>1</v>
      </c>
      <c r="FN79" s="3" t="str">
        <f>_xlfn.XLOOKUP(B79,QUERY!$C:$C,QUERY!O:O)</f>
        <v>1 día o menos</v>
      </c>
      <c r="FO79" s="3">
        <f>_xlfn.XLOOKUP(B79,QUERY!$C:$C,QUERY!P:P)</f>
        <v>1</v>
      </c>
      <c r="FP79" s="3">
        <f>_xlfn.XLOOKUP(B79,QUERY!$C:$C,QUERY!Q:Q)</f>
        <v>1</v>
      </c>
      <c r="FQ79" s="3" t="str">
        <f>_xlfn.XLOOKUP(B79,QUERY!$C:$C,QUERY!R:R)</f>
        <v>1 día o menos</v>
      </c>
      <c r="FR79" s="4">
        <f>_xlfn.XLOOKUP(B79,QUERY!$C:$C,QUERY!S:S)</f>
        <v>46086</v>
      </c>
      <c r="FS79" s="3">
        <f>_xlfn.XLOOKUP(B79,QUERY!$C:$C,QUERY!T:T)</f>
        <v>7</v>
      </c>
      <c r="FT79" s="3" t="str">
        <f>_xlfn.XLOOKUP(B79,QUERY!$C:$C,QUERY!U:U)</f>
        <v>6 a 10 días</v>
      </c>
      <c r="FU79" s="3">
        <f>_xlfn.XLOOKUP(B79,QUERY!$C:$C,QUERY!V:V)</f>
        <v>20</v>
      </c>
      <c r="FV79" s="3" t="str">
        <f>_xlfn.XLOOKUP(B79,QUERY!$C:$C,QUERY!W:W)</f>
        <v>más de 16 días</v>
      </c>
      <c r="FW79" s="4">
        <f>_xlfn.XLOOKUP(B79,QUERY!$C:$C,QUERY!X:X)</f>
        <v>46105</v>
      </c>
      <c r="FX79" s="3">
        <f>_xlfn.XLOOKUP(B79,QUERY!$C:$C,QUERY!Y:Y)</f>
        <v>12</v>
      </c>
      <c r="FY79" s="3">
        <f>_xlfn.XLOOKUP(B79,QUERY!$C:$C,QUERY!Z:Z)</f>
        <v>13</v>
      </c>
      <c r="FZ79" s="4" t="str">
        <f>_xlfn.XLOOKUP(B79,QUERY!$C:$C,QUERY!AA:AA)</f>
        <v>más de 16 días</v>
      </c>
      <c r="GA79" s="4">
        <f>_xlfn.XLOOKUP(B79,QUERY!$C:$C,QUERY!AB:AB)</f>
        <v>46104</v>
      </c>
      <c r="GB79" s="4">
        <f>_xlfn.XLOOKUP(B79,QUERY!$C:$C,QUERY!AC:AC)</f>
        <v>46105</v>
      </c>
      <c r="GC79" s="3">
        <f>_xlfn.XLOOKUP(B79,QUERY!$C:$C,QUERY!AD:AD)</f>
        <v>1</v>
      </c>
      <c r="GD79" s="4">
        <f>_xlfn.XLOOKUP(B79,QUERY!$C:$C,QUERY!AE:AE)</f>
        <v>46105</v>
      </c>
      <c r="GE79" s="3">
        <f>_xlfn.XLOOKUP(B79,QUERY!$C:$C,QUERY!AF:AF)</f>
        <v>1</v>
      </c>
      <c r="GF79" s="4" t="str">
        <f>_xlfn.XLOOKUP(B79,QUERY!$C:$C,QUERY!AG:AG)</f>
        <v>Es anterior</v>
      </c>
      <c r="GG79" s="3" t="str">
        <f>_xlfn.XLOOKUP(B79,QUERY!$C:$C,QUERY!AH:AH)</f>
        <v>A1</v>
      </c>
      <c r="GH79" s="3" t="str">
        <f>_xlfn.XLOOKUP(B79,QUERY!$C:$C,QUERY!AI:AI)</f>
        <v>ZULEIMA PEREZ RUIZ</v>
      </c>
      <c r="GI79" s="3" t="str">
        <f>_xlfn.XLOOKUP(B79,QUERY!$C:$C,QUERY!AJ:AJ)</f>
        <v>HLCURTM260162366</v>
      </c>
      <c r="GJ79" s="3" t="str">
        <f>_xlfn.XLOOKUP(B79,QUERY!$C:$C,QUERY!AK:AK)</f>
        <v>NULL</v>
      </c>
      <c r="GK79" s="3">
        <f>_xlfn.XLOOKUP(B79,QUERY!$C:$C,QUERY!AL:AL)</f>
        <v>6000303</v>
      </c>
      <c r="GL79" s="3" t="str">
        <f>_xlfn.XLOOKUP(B79,QUERY!$C:$C,QUERY!AM:AM)</f>
        <v>Importación</v>
      </c>
      <c r="GM79" s="3" t="str">
        <f>_xlfn.XLOOKUP(B79,QUERY!$C:$C,QUERY!AN:AN)</f>
        <v>NOBILIS MA5+CLONE 30 (VACUNA DE USO VETERINARIO)</v>
      </c>
      <c r="GN79" s="3" t="str">
        <f>_xlfn.XLOOKUP(B79,QUERY!$C:$C,QUERY!AO:AO)</f>
        <v>SIN CLASIFICACION</v>
      </c>
      <c r="GO79" s="3">
        <f>_xlfn.XLOOKUP(B79,QUERY!$C:$C,QUERY!AP:AP)</f>
        <v>0</v>
      </c>
      <c r="GP79" s="3" t="str">
        <f>_xlfn.XLOOKUP(B79,QUERY!$C:$C,QUERY!AQ:AQ)</f>
        <v>Cargas de Importación</v>
      </c>
      <c r="GQ79" s="3" t="str">
        <f>_xlfn.XLOOKUP(B79,QUERY!$C:$C,QUERY!AR:AR)</f>
        <v>INTERVET MEXICO SA DE CV</v>
      </c>
      <c r="GR79" s="3">
        <f>_xlfn.XLOOKUP(B79,QUERY!$C:$C,QUERY!AS:AS)</f>
        <v>0</v>
      </c>
      <c r="GS79" s="3" t="str">
        <f>_xlfn.XLOOKUP(B79,QUERY!$C:$C,QUERY!AT:AT)</f>
        <v>FALTA RRNA</v>
      </c>
      <c r="GT79" s="3">
        <f>_xlfn.XLOOKUP(B79,QUERY!$C:$C,QUERY!AU:AU)</f>
        <v>0</v>
      </c>
      <c r="GU79" s="3" t="str">
        <f>_xlfn.XLOOKUP(B79,QUERY!$C:$C,QUERY!AV:AV)</f>
        <v>FALTA RRNA</v>
      </c>
      <c r="GV79" s="3" t="str">
        <f>_xlfn.XLOOKUP(B79,QUERY!$C:$C,QUERY!AW:AW)</f>
        <v>PRODUCTO TERMINADO</v>
      </c>
      <c r="GW79" s="3" t="str">
        <f>_xlfn.XLOOKUP(B79,QUERY!$C:$C,QUERY!AX:AX)</f>
        <v>Verde</v>
      </c>
      <c r="GX79" s="3" t="str">
        <f>_xlfn.XLOOKUP(B79,QUERY!$C:$C,QUERY!AY:AY)</f>
        <v xml:space="preserve"> MLH TRANSPORTE, S.A. DE C.V.</v>
      </c>
      <c r="GY79" s="3" t="str">
        <f>_xlfn.XLOOKUP(B79,QUERY!$C:$C,QUERY!AZ:AZ)</f>
        <v>TRACTOCAMION ECO 107</v>
      </c>
      <c r="GZ79" s="3">
        <f>_xlfn.XLOOKUP(B79,QUERY!$C:$C,QUERY!BA:BA)</f>
        <v>0</v>
      </c>
      <c r="HA79" s="3" t="str">
        <f>_xlfn.XLOOKUP(B79,QUERY!$C:$C,QUERY!BB:BB)</f>
        <v>IME850329RH2</v>
      </c>
      <c r="HB79" s="3">
        <f>_xlfn.XLOOKUP(B79,QUERY!$C:$C,QUERY!BC:BC)</f>
        <v>0</v>
      </c>
      <c r="HC79" s="3">
        <f>_xlfn.XLOOKUP(B79,QUERY!$C:$C,QUERY!BD:BD)</f>
        <v>0.99</v>
      </c>
      <c r="HD79" s="3" t="str">
        <f>_xlfn.XLOOKUP(B79,QUERY!$C:$C,QUERY!BE:BE)</f>
        <v>LOTE: SCBA207A11,LOTE: A053A01,LOTE: A224A01,LOTE: A142A01,LOTE: A247B01,LOTE: A436A02,LOTE: A198A02,LOTE: A489D01,LOTE: A061A01</v>
      </c>
      <c r="HE79" s="3">
        <f>_xlfn.XLOOKUP(B79,QUERY!$C:$C,QUERY!BF:BF)</f>
        <v>90</v>
      </c>
      <c r="HF79" s="3" t="str">
        <f>_xlfn.XLOOKUP(B79,QUERY!$C:$C,QUERY!BG:BG)</f>
        <v xml:space="preserve"> 321379.32, 13019554.91, 1145829.89, 3079396.80</v>
      </c>
      <c r="HG79" s="3" t="str">
        <f>_xlfn.XLOOKUP(B79,QUERY!$C:$C,QUERY!BH:BH)</f>
        <v>KILO,KILO,KILO,KILO,KILO,KILO,KILO,KILO,KILO</v>
      </c>
      <c r="HH79" s="3">
        <f>_xlfn.XLOOKUP(B79,QUERY!$C:$C,QUERY!BI:BI)</f>
        <v>0</v>
      </c>
      <c r="HI79" s="3" t="str">
        <f>_xlfn.XLOOKUP(B79,QUERY!$C:$C,QUERY!BJ:BJ)</f>
        <v>PAISES BAJOS (REINO DE LOS) (HOLANDA)</v>
      </c>
      <c r="HJ79" s="3" t="str">
        <f>_xlfn.XLOOKUP(B79,QUERY!$C:$C,QUERY!BK:BK)</f>
        <v>PAISES BAJOS (REINO DE LOS) (HOLANDA)</v>
      </c>
      <c r="HK79" s="3" t="str">
        <f>_xlfn.XLOOKUP(B79,QUERY!$C:$C,QUERY!BL:BL)</f>
        <v>ZYA</v>
      </c>
      <c r="HL79" s="3" t="str">
        <f>_xlfn.XLOOKUP(B79,QUERY!$C:$C,QUERY!BM:BM)</f>
        <v>ZYA</v>
      </c>
      <c r="HM79" s="3">
        <f>_xlfn.XLOOKUP(B79,QUERY!$C:$C,QUERY!BN:BN)</f>
        <v>17566160</v>
      </c>
      <c r="HN79" s="3" t="str">
        <f>_xlfn.XLOOKUP(B79,QUERY!$C:$C,QUERY!BO:BO)</f>
        <v>462.00</v>
      </c>
      <c r="HO79" s="3" t="str">
        <f>_xlfn.XLOOKUP(B79,QUERY!$C:$C,QUERY!BP:BP)</f>
        <v>NULL</v>
      </c>
      <c r="HP79" s="3" t="str">
        <f>_xlfn.XLOOKUP(B79,QUERY!$C:$C,QUERY!BQ:BQ)</f>
        <v>NULL</v>
      </c>
      <c r="HQ79" s="3" t="str">
        <f>_xlfn.XLOOKUP(B79,QUERY!$C:$C,QUERY!BR:BR)</f>
        <v>250436.84</v>
      </c>
      <c r="HR79" s="3">
        <f>_xlfn.XLOOKUP(B79,QUERY!$C:$C,QUERY!BS:BS)</f>
        <v>0</v>
      </c>
      <c r="HS79" s="3">
        <f>_xlfn.XLOOKUP(B79,QUERY!$C:$C,QUERY!BT:BT)</f>
        <v>0</v>
      </c>
      <c r="HT79" s="3" t="str">
        <f>_xlfn.XLOOKUP(B79,QUERY!$C:$C,QUERY!A:A)</f>
        <v>VERACRUZ</v>
      </c>
      <c r="HU79" s="3" t="str">
        <f>_xlfn.XLOOKUP(B79,QUERY!$C:$C,QUERY!B:B)</f>
        <v>MARÍTIMO VERACRUZ</v>
      </c>
    </row>
    <row r="80" spans="1:229" x14ac:dyDescent="0.25">
      <c r="A80" s="3" t="s">
        <v>90</v>
      </c>
      <c r="B80" s="3" t="s">
        <v>293</v>
      </c>
      <c r="C80" s="3">
        <v>3942</v>
      </c>
      <c r="D80" s="3">
        <v>6000375</v>
      </c>
      <c r="E80" s="3"/>
      <c r="F80" s="3" t="s">
        <v>92</v>
      </c>
      <c r="G80" s="3" t="s">
        <v>93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17.1722</v>
      </c>
      <c r="Q80" s="3">
        <v>785</v>
      </c>
      <c r="R80" s="3">
        <v>430</v>
      </c>
      <c r="S80" s="3"/>
      <c r="T80" s="3" t="s">
        <v>294</v>
      </c>
      <c r="U80" s="3">
        <v>36277920</v>
      </c>
      <c r="V80" s="3">
        <v>36277920</v>
      </c>
      <c r="W80" s="3">
        <v>0</v>
      </c>
      <c r="X80" s="3">
        <v>0</v>
      </c>
      <c r="Y80" s="3">
        <v>0</v>
      </c>
      <c r="Z80" s="3">
        <v>0</v>
      </c>
      <c r="AA80" s="3" t="s">
        <v>295</v>
      </c>
      <c r="AB80" s="3"/>
      <c r="AC80" s="3">
        <v>5140800</v>
      </c>
      <c r="AD80" s="3">
        <v>1680</v>
      </c>
      <c r="AE80" s="3">
        <v>808</v>
      </c>
      <c r="AF80" s="3">
        <v>0</v>
      </c>
      <c r="AG80" s="3">
        <v>0</v>
      </c>
      <c r="AH80" s="3">
        <v>0</v>
      </c>
      <c r="AI80" s="3">
        <v>53</v>
      </c>
      <c r="AJ80" s="3">
        <v>462</v>
      </c>
      <c r="AK80" s="3">
        <v>0</v>
      </c>
      <c r="AL80" s="3">
        <v>0</v>
      </c>
      <c r="AM80" s="3">
        <v>330</v>
      </c>
      <c r="AN80" s="3">
        <v>845</v>
      </c>
      <c r="AO80" s="3" t="s">
        <v>97</v>
      </c>
      <c r="AP80" s="3" t="s">
        <v>98</v>
      </c>
      <c r="AQ80" s="3">
        <v>210365021</v>
      </c>
      <c r="AR80" s="3" t="s">
        <v>99</v>
      </c>
      <c r="AS80" s="3" t="s">
        <v>100</v>
      </c>
      <c r="AT80" s="3" t="s">
        <v>259</v>
      </c>
      <c r="AU80" s="3"/>
      <c r="AV80" s="3" t="s">
        <v>146</v>
      </c>
      <c r="AW80" s="3">
        <v>30024201</v>
      </c>
      <c r="AX80" s="3">
        <v>99</v>
      </c>
      <c r="AY80" s="3">
        <v>3060</v>
      </c>
      <c r="AZ80" s="3">
        <v>3060</v>
      </c>
      <c r="BA80" s="3" t="s">
        <v>103</v>
      </c>
      <c r="BB80" s="3"/>
      <c r="BC80" s="3" t="s">
        <v>105</v>
      </c>
      <c r="BD80" s="3" t="s">
        <v>105</v>
      </c>
      <c r="BE80" s="3" t="s">
        <v>106</v>
      </c>
      <c r="BF80" s="3" t="s">
        <v>107</v>
      </c>
      <c r="BG80" s="5" t="s">
        <v>296</v>
      </c>
      <c r="BH80" s="3" t="s">
        <v>297</v>
      </c>
      <c r="BI80" s="3"/>
      <c r="BJ80" s="3" t="s">
        <v>109</v>
      </c>
      <c r="BK80" s="3" t="s">
        <v>298</v>
      </c>
      <c r="BL80" s="3">
        <v>44019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44379.18</v>
      </c>
      <c r="BY80" s="3">
        <v>0</v>
      </c>
      <c r="BZ80" s="3">
        <v>0</v>
      </c>
      <c r="CA80" s="3">
        <v>0</v>
      </c>
      <c r="CB80" s="3">
        <v>18000</v>
      </c>
      <c r="CC80" s="3">
        <v>3342.4</v>
      </c>
      <c r="CD80" s="3">
        <v>138155.07999999999</v>
      </c>
      <c r="CE80" s="3" t="s">
        <v>192</v>
      </c>
      <c r="CF80" s="3">
        <v>138155.07999999999</v>
      </c>
      <c r="CG80" s="3">
        <v>0</v>
      </c>
      <c r="CH80" s="3">
        <v>0</v>
      </c>
      <c r="CI80" s="3" t="s">
        <v>299</v>
      </c>
      <c r="CJ80" s="3" t="s">
        <v>112</v>
      </c>
      <c r="CK80" s="3">
        <f>_xlfn.XLOOKUP($B$2,'BASE DE EXCEL'!C:C,'BASE DE EXCEL'!D:D,"NO HAY REFERENCIA")</f>
        <v>470</v>
      </c>
      <c r="CL80" s="5">
        <f>_xlfn.XLOOKUP($B$2,'BASE DE EXCEL'!$C:$C,'BASE DE EXCEL'!F:F,"NO HAY REFERENCIA")</f>
        <v>3</v>
      </c>
      <c r="CM80" s="4">
        <f>_xlfn.XLOOKUP($B$2,'BASE DE EXCEL'!$C:$C,'BASE DE EXCEL'!G:G,"NO HAY REFERENCIA")</f>
        <v>46080</v>
      </c>
      <c r="CN80" s="4">
        <f>_xlfn.XLOOKUP($B$2,'BASE DE EXCEL'!$C:$C,'BASE DE EXCEL'!H:H,"NO HAY REFERENCIA")</f>
        <v>46086</v>
      </c>
      <c r="CO80" s="3">
        <f>_xlfn.XLOOKUP($B$2,'BASE DE EXCEL'!$C:$C,'BASE DE EXCEL'!I:I,"NO HAY REFERENCIA")</f>
        <v>4</v>
      </c>
      <c r="CP80" s="3" t="str">
        <f>_xlfn.XLOOKUP($B$2,'BASE DE EXCEL'!$C:$C,'BASE DE EXCEL'!J:J,"NO HAY REFERENCIA")</f>
        <v>4 a 5 días</v>
      </c>
      <c r="CQ80" s="4">
        <f>_xlfn.XLOOKUP($B$2,'BASE DE EXCEL'!$C:$C,'BASE DE EXCEL'!K:K,"NO HAY REFERENCIA")</f>
        <v>46087</v>
      </c>
      <c r="CR80" s="3">
        <f>_xlfn.XLOOKUP($B$2,'BASE DE EXCEL'!$C:$C,'BASE DE EXCEL'!L:L,"NO HAY REFERENCIA")</f>
        <v>5</v>
      </c>
      <c r="CS80" s="3">
        <f>_xlfn.XLOOKUP($B$2,'BASE DE EXCEL'!$C:$C,'BASE DE EXCEL'!M:M,"NO HAY REFERENCIA")</f>
        <v>6</v>
      </c>
      <c r="CT80" s="3" t="str">
        <f>_xlfn.XLOOKUP($B$2,'BASE DE EXCEL'!$C:$C,'BASE DE EXCEL'!N:N,"NO HAY REFERENCIA")</f>
        <v>6 a 10 días</v>
      </c>
      <c r="CU80" s="3" t="str">
        <f>_xlfn.XLOOKUP($B$2,'BASE DE EXCEL'!$C:$C,'BASE DE EXCEL'!O:O,"NO HAY REFERENCIA")</f>
        <v>On Time</v>
      </c>
      <c r="CV80" s="3" t="str">
        <f>_xlfn.XLOOKUP(B80,'BASE DE EXCEL'!$C:$C,'BASE DE EXCEL'!P:P,"NO HAY REFERENCIA")</f>
        <v>16 o más días</v>
      </c>
      <c r="CW80" s="4">
        <f>_xlfn.XLOOKUP(B80,'BASE DE EXCEL'!$C:$C,'BASE DE EXCEL'!Q:Q,"NO HAY REFERENCIA")</f>
        <v>46094</v>
      </c>
      <c r="CX80" s="3">
        <f>_xlfn.XLOOKUP(B80,'BASE DE EXCEL'!$C:$C,'BASE DE EXCEL'!R:R,"NO HAY REFERENCIA")</f>
        <v>14</v>
      </c>
      <c r="CY80" s="3" t="str">
        <f>_xlfn.XLOOKUP(B80,'BASE DE EXCEL'!$C:$C,'BASE DE EXCEL'!S:S,"NO HAY REFERENCIA")</f>
        <v>11 a 15 días</v>
      </c>
      <c r="CZ80" s="3" t="str">
        <f>_xlfn.XLOOKUP(B80,'BASE DE EXCEL'!$C:$C,'BASE DE EXCEL'!T:T,"NO HAY REFERENCIA")</f>
        <v>Delayed</v>
      </c>
      <c r="DA80" s="3">
        <f>_xlfn.XLOOKUP(B80,'BASE DE EXCEL'!$C:$C,'BASE DE EXCEL'!U:U,"NO HAY REFERENCIA")</f>
        <v>0</v>
      </c>
      <c r="DB80" s="3" t="str">
        <f>_xlfn.XLOOKUP(B80,'BASE DE EXCEL'!$C:$C,'BASE DE EXCEL'!V:V,"NO HAY REFERENCIA")</f>
        <v>Sin Dato</v>
      </c>
      <c r="DC80" s="3">
        <f>_xlfn.XLOOKUP(B80,'BASE DE EXCEL'!$C:$C,'BASE DE EXCEL'!W:W,"NO HAY REFERENCIA")</f>
        <v>20</v>
      </c>
      <c r="DD80" s="3" t="str">
        <f>_xlfn.XLOOKUP(B80,'BASE DE EXCEL'!$C:$C,'BASE DE EXCEL'!X:X,"NO HAY REFERENCIA")</f>
        <v>más de 16 días</v>
      </c>
      <c r="DE80" s="3">
        <f>_xlfn.XLOOKUP(B80,'BASE DE EXCEL'!$C:$C,'BASE DE EXCEL'!Y:Y,"NO HAY REFERENCIA")</f>
        <v>1</v>
      </c>
      <c r="DF80" s="3" t="str">
        <f>_xlfn.XLOOKUP(B80,'BASE DE EXCEL'!$C:$C,'BASE DE EXCEL'!Z:Z,"NO HAY REFERENCIA")</f>
        <v>1 día o menos</v>
      </c>
      <c r="DG80" s="3">
        <f>_xlfn.XLOOKUP(B80,'BASE DE EXCEL'!$C:$C,'BASE DE EXCEL'!AA:AA,"NO HAY REFERENCIA")</f>
        <v>15</v>
      </c>
      <c r="DH80" s="3">
        <f>_xlfn.XLOOKUP(B80,'BASE DE EXCEL'!$C:$C,'BASE DE EXCEL'!AB:AB,"NO HAY REFERENCIA")</f>
        <v>-46091</v>
      </c>
      <c r="DI80" s="3" t="str">
        <f>_xlfn.XLOOKUP(B80,'BASE DE EXCEL'!$C:$C,'BASE DE EXCEL'!AC:AC,"NO HAY REFERENCIA")</f>
        <v>SIN DATO</v>
      </c>
      <c r="DJ80" s="4">
        <f>_xlfn.XLOOKUP(B80,'BASE DE EXCEL'!$C:$C,'BASE DE EXCEL'!AD:AD,"NO HAY REFERENCIA")</f>
        <v>46105</v>
      </c>
      <c r="DK80" s="3">
        <f>_xlfn.XLOOKUP(B80,'BASE DE EXCEL'!$C:$C,'BASE DE EXCEL'!AE:AE,"NO HAY REFERENCIA")</f>
        <v>46105</v>
      </c>
      <c r="DL80" s="3">
        <f>_xlfn.XLOOKUP(B80,'BASE DE EXCEL'!$C:$C,'BASE DE EXCEL'!AF:AF,"NO HAY REFERENCIA")</f>
        <v>32931</v>
      </c>
      <c r="DM80" s="4">
        <f>_xlfn.XLOOKUP(B80,'BASE DE EXCEL'!$C:$C,'BASE DE EXCEL'!AG:AG,"NO HAY REFERENCIA")</f>
        <v>46107</v>
      </c>
      <c r="DN80" s="4">
        <f>_xlfn.XLOOKUP(B80,'BASE DE EXCEL'!$C:$C,'BASE DE EXCEL'!AH:AH,"NO HAY REFERENCIA")</f>
        <v>46105</v>
      </c>
      <c r="DO80" s="3">
        <f>_xlfn.XLOOKUP(B80,'BASE DE EXCEL'!$C:$C,'BASE DE EXCEL'!AI:AI,"NO HAY REFERENCIA")</f>
        <v>-2</v>
      </c>
      <c r="DP80" s="4" t="str">
        <f>_xlfn.XLOOKUP(B80,'BASE DE EXCEL'!$C:$C,'BASE DE EXCEL'!AJ:AJ,"NO HAY REFERENCIA")</f>
        <v>SIN DATO</v>
      </c>
      <c r="DQ80" s="4">
        <f>_xlfn.XLOOKUP(B80,'BASE DE EXCEL'!$C:$C,'BASE DE EXCEL'!AK:AK,"NO HAY REFERENCIA")</f>
        <v>46105</v>
      </c>
      <c r="DR80" s="3">
        <f>_xlfn.XLOOKUP(B80,'BASE DE EXCEL'!$C:$C,'BASE DE EXCEL'!AL:AL,"NO HAY REFERENCIA")</f>
        <v>7</v>
      </c>
      <c r="DS80" s="3" t="str">
        <f>_xlfn.XLOOKUP(B80,'BASE DE EXCEL'!$C:$C,'BASE DE EXCEL'!AM:AM,"NO HAY REFERENCIA")</f>
        <v>6 a 10 días</v>
      </c>
      <c r="DT80" s="3" t="str">
        <f>_xlfn.XLOOKUP(B80,'BASE DE EXCEL'!$C:$C,'BASE DE EXCEL'!AN:AN,"NO HAY REFERENCIA")</f>
        <v>Delayed</v>
      </c>
      <c r="DU80" s="3">
        <f>_xlfn.XLOOKUP(B80,'BASE DE EXCEL'!$C:$C,'BASE DE EXCEL'!AO:AO,"NO HAY REFERENCIA")</f>
        <v>0</v>
      </c>
      <c r="DV80" s="3" t="str">
        <f>_xlfn.XLOOKUP(B80,'BASE DE EXCEL'!$C:$C,'BASE DE EXCEL'!AP:AP,"NO HAY REFERENCIA")</f>
        <v>Es anterior</v>
      </c>
      <c r="DW80" s="3" t="str">
        <f>_xlfn.XLOOKUP(B80,'BASE DE EXCEL'!$C:$C,'BASE DE EXCEL'!AQ:AQ,"NO HAY REFERENCIA")</f>
        <v>A1</v>
      </c>
      <c r="DX80" s="3" t="str">
        <f>_xlfn.XLOOKUP(B80,'BASE DE EXCEL'!$C:$C,'BASE DE EXCEL'!AR:AR,"NO HAY REFERENCIA")</f>
        <v>ZULEIMA PEREZ RUIZ</v>
      </c>
      <c r="DY80" s="3" t="str">
        <f>_xlfn.XLOOKUP(B80,'BASE DE EXCEL'!$C:$C,'BASE DE EXCEL'!AS:AS,"NO HAY REFERENCIA")</f>
        <v>HLCURTM260162366</v>
      </c>
      <c r="DZ80" s="3" t="str">
        <f>_xlfn.XLOOKUP(B80,'BASE DE EXCEL'!$C:$C,'BASE DE EXCEL'!AT:AT,"NO HAY REFERENCIA")</f>
        <v>NULL</v>
      </c>
      <c r="EA80" s="3">
        <f>_xlfn.XLOOKUP(B80,'BASE DE EXCEL'!$C:$C,'BASE DE EXCEL'!AU:AU,"NO HAY REFERENCIA")</f>
        <v>6000375</v>
      </c>
      <c r="EB80" s="3" t="str">
        <f>_xlfn.XLOOKUP(B80,'BASE DE EXCEL'!$C:$C,'BASE DE EXCEL'!AV:AV,"NO HAY REFERENCIA")</f>
        <v>Importación</v>
      </c>
      <c r="EC80" s="3" t="str">
        <f>_xlfn.XLOOKUP(B80,'BASE DE EXCEL'!$C:$C,'BASE DE EXCEL'!AW:AW,"NO HAY REFERENCIA")</f>
        <v>PORCILIS PCV M HYO ID (VACUNA DE USO VETERINARIO)</v>
      </c>
      <c r="ED80" s="3" t="str">
        <f>_xlfn.XLOOKUP(B80,'BASE DE EXCEL'!$C:$C,'BASE DE EXCEL'!AX:AX,"NO HAY REFERENCIA")</f>
        <v>SIN CLASIFICACION</v>
      </c>
      <c r="EE80" s="3">
        <f>_xlfn.XLOOKUP(B80,'BASE DE EXCEL'!$C:$C,'BASE DE EXCEL'!AY:AY,"NO HAY REFERENCIA")</f>
        <v>0</v>
      </c>
      <c r="EF80" s="3" t="str">
        <f>_xlfn.XLOOKUP(B80,'BASE DE EXCEL'!$C:$C,'BASE DE EXCEL'!AZ:AZ,"NO HAY REFERENCIA")</f>
        <v>Cargas de Importación</v>
      </c>
      <c r="EG80" s="3" t="str">
        <f>_xlfn.XLOOKUP(B80,'BASE DE EXCEL'!$C:$C,'BASE DE EXCEL'!BA:BA,"NO HAY REFERENCIA")</f>
        <v>INTERVET MEXICO SA DE CV</v>
      </c>
      <c r="EH80" s="3">
        <f>_xlfn.XLOOKUP(B80,'BASE DE EXCEL'!$C:$C,'BASE DE EXCEL'!BB:BB,"NO HAY REFERENCIA")</f>
        <v>0</v>
      </c>
      <c r="EI80" s="3" t="str">
        <f>_xlfn.XLOOKUP(B80,'BASE DE EXCEL'!$C:$C,'BASE DE EXCEL'!BC:BC,"NO HAY REFERENCIA")</f>
        <v>FALTA RRNA</v>
      </c>
      <c r="EJ80" s="3" t="str">
        <f>_xlfn.XLOOKUP(B80,'BASE DE EXCEL'!$C:$C,'BASE DE EXCEL'!BD:BD,"NO HAY REFERENCIA")</f>
        <v xml:space="preserve">PENDIENTE CZB </v>
      </c>
      <c r="EK80" s="3" t="str">
        <f>_xlfn.XLOOKUP(B80,'BASE DE EXCEL'!$C:$C,'BASE DE EXCEL'!BE:BE,"NO HAY REFERENCIA")</f>
        <v>FALTA RRNA</v>
      </c>
      <c r="EL80" s="3" t="str">
        <f>_xlfn.XLOOKUP(B80,'BASE DE EXCEL'!$C:$C,'BASE DE EXCEL'!BF:BF,"NO HAY REFERENCIA")</f>
        <v>PRODUCTO TERMINADO</v>
      </c>
      <c r="EM80" s="3" t="str">
        <f>_xlfn.XLOOKUP(B80,'BASE DE EXCEL'!$C:$C,'BASE DE EXCEL'!BG:BG,"NO HAY REFERENCIA")</f>
        <v>Verde</v>
      </c>
      <c r="EN80" s="3" t="str">
        <f>_xlfn.XLOOKUP(B80,'BASE DE EXCEL'!$C:$C,'BASE DE EXCEL'!BH:BH,"NO HAY REFERENCIA")</f>
        <v xml:space="preserve"> SERVEX TRANSPORTES SA DE CV</v>
      </c>
      <c r="EO80" s="3" t="str">
        <f>_xlfn.XLOOKUP(B80,'BASE DE EXCEL'!$C:$C,'BASE DE EXCEL'!BI:BI,"NO HAY REFERENCIA")</f>
        <v>CAMION ECONOMICO 029</v>
      </c>
      <c r="EP80" s="3">
        <f>_xlfn.XLOOKUP(B80,'BASE DE EXCEL'!$C:$C,'BASE DE EXCEL'!BJ:BJ,"NO HAY REFERENCIA")</f>
        <v>0</v>
      </c>
      <c r="EQ80" s="3" t="str">
        <f>_xlfn.XLOOKUP(B80,'BASE DE EXCEL'!$C:$C,'BASE DE EXCEL'!BK:BK,"NO HAY REFERENCIA")</f>
        <v>IME850329RH2</v>
      </c>
      <c r="ER80" s="3">
        <f>_xlfn.XLOOKUP(B80,'BASE DE EXCEL'!$C:$C,'BASE DE EXCEL'!BL:BL,"NO HAY REFERENCIA")</f>
        <v>0</v>
      </c>
      <c r="ES80" s="3">
        <f>_xlfn.XLOOKUP(B80,'BASE DE EXCEL'!$C:$C,'BASE DE EXCEL'!BM:BM,"NO HAY REFERENCIA")</f>
        <v>99</v>
      </c>
      <c r="ET80" s="3" t="str">
        <f>_xlfn.XLOOKUP(B80,'BASE DE EXCEL'!$C:$C,'BASE DE EXCEL'!BN:BN,"NO HAY REFERENCIA")</f>
        <v>LOTE: A019A01,LOTE: A019A02,LOTE: A020A01</v>
      </c>
      <c r="EU80" s="3">
        <f>_xlfn.XLOOKUP(B80,'BASE DE EXCEL'!$C:$C,'BASE DE EXCEL'!BO:BO,"NO HAY REFERENCIA")</f>
        <v>90</v>
      </c>
      <c r="EV80" s="3" t="str">
        <f>_xlfn.XLOOKUP(B80,'BASE DE EXCEL'!$C:$C,'BASE DE EXCEL'!BP:BP,"NO HAY REFERENCIA")</f>
        <v xml:space="preserve"> 11491200.00, 24786720.00</v>
      </c>
      <c r="EW80" s="3" t="str">
        <f>_xlfn.XLOOKUP(B80,'BASE DE EXCEL'!$C:$C,'BASE DE EXCEL'!BQ:BQ,"NO HAY REFERENCIA")</f>
        <v>KILO,KILO,KILO</v>
      </c>
      <c r="EX80" s="3">
        <f>_xlfn.XLOOKUP(B80,'BASE DE EXCEL'!$C:$C,'BASE DE EXCEL'!BR:BR,"NO HAY REFERENCIA")</f>
        <v>0</v>
      </c>
      <c r="EY80" s="3" t="str">
        <f>_xlfn.XLOOKUP(B80,'BASE DE EXCEL'!$C:$C,'BASE DE EXCEL'!BS:BS,"NO HAY REFERENCIA")</f>
        <v>PAISES BAJOS (REINO DE LOS) (HOLANDA)</v>
      </c>
      <c r="EZ80" s="3" t="str">
        <f>_xlfn.XLOOKUP(B80,'BASE DE EXCEL'!$C:$C,'BASE DE EXCEL'!BT:BT,"NO HAY REFERENCIA")</f>
        <v>PAISES BAJOS (REINO DE LOS) (HOLANDA)</v>
      </c>
      <c r="FA80" s="3" t="str">
        <f>_xlfn.XLOOKUP(B80,'BASE DE EXCEL'!$C:$C,'BASE DE EXCEL'!BU:BU,"NO HAY REFERENCIA")</f>
        <v>ZYA</v>
      </c>
      <c r="FB80" s="3" t="str">
        <f>_xlfn.XLOOKUP(B80,'BASE DE EXCEL'!$C:$C,'BASE DE EXCEL'!BV:BV,"NO HAY REFERENCIA")</f>
        <v>ZYA</v>
      </c>
      <c r="FC80" s="3">
        <f>_xlfn.XLOOKUP(B80,QUERY!$C:$C,QUERY!D:D)</f>
        <v>430</v>
      </c>
      <c r="FD80" s="4">
        <f>_xlfn.XLOOKUP(B80,QUERY!$C:$C,QUERY!E:E)</f>
        <v>46092</v>
      </c>
      <c r="FE80" s="3">
        <f>_xlfn.XLOOKUP(B80,QUERY!$C:$C,QUERY!F:F)</f>
        <v>3</v>
      </c>
      <c r="FF80" s="4">
        <f>_xlfn.XLOOKUP(B80,QUERY!$C:$C,QUERY!G:G)</f>
        <v>46077</v>
      </c>
      <c r="FG80" s="4">
        <f>_xlfn.XLOOKUP(B80,QUERY!$C:$C,QUERY!H:H)</f>
        <v>46092</v>
      </c>
      <c r="FH80" s="3">
        <f>_xlfn.XLOOKUP(B80,QUERY!$C:$C,QUERY!I:I)</f>
        <v>11</v>
      </c>
      <c r="FI80" s="3" t="str">
        <f>_xlfn.XLOOKUP(B80,QUERY!$C:$C,QUERY!J:J)</f>
        <v>11 a 15 días</v>
      </c>
      <c r="FJ80" s="4">
        <f>_xlfn.XLOOKUP(B80,QUERY!$C:$C,QUERY!K:K)</f>
        <v>46093</v>
      </c>
      <c r="FK80" s="3">
        <f>_xlfn.XLOOKUP(B80,QUERY!$C:$C,QUERY!L:L)</f>
        <v>12</v>
      </c>
      <c r="FL80" s="3" t="str">
        <f>_xlfn.XLOOKUP(B80,QUERY!$C:$C,QUERY!M:M)</f>
        <v>11 a 15 días</v>
      </c>
      <c r="FM80" s="3">
        <f>_xlfn.XLOOKUP(B80,QUERY!$C:$C,QUERY!N:N)</f>
        <v>1</v>
      </c>
      <c r="FN80" s="3" t="str">
        <f>_xlfn.XLOOKUP(B80,QUERY!$C:$C,QUERY!O:O)</f>
        <v>1 día o menos</v>
      </c>
      <c r="FO80" s="3">
        <f>_xlfn.XLOOKUP(B80,QUERY!$C:$C,QUERY!P:P)</f>
        <v>1</v>
      </c>
      <c r="FP80" s="3">
        <f>_xlfn.XLOOKUP(B80,QUERY!$C:$C,QUERY!Q:Q)</f>
        <v>1</v>
      </c>
      <c r="FQ80" s="3" t="str">
        <f>_xlfn.XLOOKUP(B80,QUERY!$C:$C,QUERY!R:R)</f>
        <v>1 día o menos</v>
      </c>
      <c r="FR80" s="4">
        <f>_xlfn.XLOOKUP(B80,QUERY!$C:$C,QUERY!S:S)</f>
        <v>46094</v>
      </c>
      <c r="FS80" s="3">
        <f>_xlfn.XLOOKUP(B80,QUERY!$C:$C,QUERY!T:T)</f>
        <v>13</v>
      </c>
      <c r="FT80" s="3" t="str">
        <f>_xlfn.XLOOKUP(B80,QUERY!$C:$C,QUERY!U:U)</f>
        <v>11 a 15 días</v>
      </c>
      <c r="FU80" s="3">
        <f>_xlfn.XLOOKUP(B80,QUERY!$C:$C,QUERY!V:V)</f>
        <v>20</v>
      </c>
      <c r="FV80" s="3" t="str">
        <f>_xlfn.XLOOKUP(B80,QUERY!$C:$C,QUERY!W:W)</f>
        <v>más de 16 días</v>
      </c>
      <c r="FW80" s="4">
        <f>_xlfn.XLOOKUP(B80,QUERY!$C:$C,QUERY!X:X)</f>
        <v>46105</v>
      </c>
      <c r="FX80" s="3">
        <f>_xlfn.XLOOKUP(B80,QUERY!$C:$C,QUERY!Y:Y)</f>
        <v>7</v>
      </c>
      <c r="FY80" s="3">
        <f>_xlfn.XLOOKUP(B80,QUERY!$C:$C,QUERY!Z:Z)</f>
        <v>7</v>
      </c>
      <c r="FZ80" s="4" t="str">
        <f>_xlfn.XLOOKUP(B80,QUERY!$C:$C,QUERY!AA:AA)</f>
        <v>11 a 15 días</v>
      </c>
      <c r="GA80" s="4">
        <f>_xlfn.XLOOKUP(B80,QUERY!$C:$C,QUERY!AB:AB)</f>
        <v>46105</v>
      </c>
      <c r="GB80" s="4">
        <f>_xlfn.XLOOKUP(B80,QUERY!$C:$C,QUERY!AC:AC)</f>
        <v>46105</v>
      </c>
      <c r="GC80" s="3">
        <f>_xlfn.XLOOKUP(B80,QUERY!$C:$C,QUERY!AD:AD)</f>
        <v>0</v>
      </c>
      <c r="GD80" s="4">
        <f>_xlfn.XLOOKUP(B80,QUERY!$C:$C,QUERY!AE:AE)</f>
        <v>46105</v>
      </c>
      <c r="GE80" s="3">
        <f>_xlfn.XLOOKUP(B80,QUERY!$C:$C,QUERY!AF:AF)</f>
        <v>1</v>
      </c>
      <c r="GF80" s="4" t="str">
        <f>_xlfn.XLOOKUP(B80,QUERY!$C:$C,QUERY!AG:AG)</f>
        <v>Es anterior</v>
      </c>
      <c r="GG80" s="3" t="str">
        <f>_xlfn.XLOOKUP(B80,QUERY!$C:$C,QUERY!AH:AH)</f>
        <v>A1</v>
      </c>
      <c r="GH80" s="3" t="str">
        <f>_xlfn.XLOOKUP(B80,QUERY!$C:$C,QUERY!AI:AI)</f>
        <v>ZULEIMA PEREZ RUIZ</v>
      </c>
      <c r="GI80" s="3" t="str">
        <f>_xlfn.XLOOKUP(B80,QUERY!$C:$C,QUERY!AJ:AJ)</f>
        <v>HLCURTM260162366</v>
      </c>
      <c r="GJ80" s="3" t="str">
        <f>_xlfn.XLOOKUP(B80,QUERY!$C:$C,QUERY!AK:AK)</f>
        <v>NULL</v>
      </c>
      <c r="GK80" s="3">
        <f>_xlfn.XLOOKUP(B80,QUERY!$C:$C,QUERY!AL:AL)</f>
        <v>6000375</v>
      </c>
      <c r="GL80" s="3" t="str">
        <f>_xlfn.XLOOKUP(B80,QUERY!$C:$C,QUERY!AM:AM)</f>
        <v>Importación</v>
      </c>
      <c r="GM80" s="3" t="str">
        <f>_xlfn.XLOOKUP(B80,QUERY!$C:$C,QUERY!AN:AN)</f>
        <v>PORCILIS PCV M HYO ID (VACUNA DE USO VETERINARIO)</v>
      </c>
      <c r="GN80" s="3" t="str">
        <f>_xlfn.XLOOKUP(B80,QUERY!$C:$C,QUERY!AO:AO)</f>
        <v>SIN CLASIFICACION</v>
      </c>
      <c r="GO80" s="3">
        <f>_xlfn.XLOOKUP(B80,QUERY!$C:$C,QUERY!AP:AP)</f>
        <v>0</v>
      </c>
      <c r="GP80" s="3" t="str">
        <f>_xlfn.XLOOKUP(B80,QUERY!$C:$C,QUERY!AQ:AQ)</f>
        <v>Cargas de Importación</v>
      </c>
      <c r="GQ80" s="3" t="str">
        <f>_xlfn.XLOOKUP(B80,QUERY!$C:$C,QUERY!AR:AR)</f>
        <v>INTERVET MEXICO SA DE CV</v>
      </c>
      <c r="GR80" s="3">
        <f>_xlfn.XLOOKUP(B80,QUERY!$C:$C,QUERY!AS:AS)</f>
        <v>0</v>
      </c>
      <c r="GS80" s="3" t="str">
        <f>_xlfn.XLOOKUP(B80,QUERY!$C:$C,QUERY!AT:AT)</f>
        <v>FALTA RRNA</v>
      </c>
      <c r="GT80" s="3" t="str">
        <f>_xlfn.XLOOKUP(B80,QUERY!$C:$C,QUERY!AU:AU)</f>
        <v xml:space="preserve">PENDIENTE CZB </v>
      </c>
      <c r="GU80" s="3" t="str">
        <f>_xlfn.XLOOKUP(B80,QUERY!$C:$C,QUERY!AV:AV)</f>
        <v>FALTA RRNA</v>
      </c>
      <c r="GV80" s="3" t="str">
        <f>_xlfn.XLOOKUP(B80,QUERY!$C:$C,QUERY!AW:AW)</f>
        <v>PRODUCTO TERMINADO</v>
      </c>
      <c r="GW80" s="3" t="str">
        <f>_xlfn.XLOOKUP(B80,QUERY!$C:$C,QUERY!AX:AX)</f>
        <v>Verde</v>
      </c>
      <c r="GX80" s="3" t="str">
        <f>_xlfn.XLOOKUP(B80,QUERY!$C:$C,QUERY!AY:AY)</f>
        <v xml:space="preserve"> SERVEX TRANSPORTES SA DE CV</v>
      </c>
      <c r="GY80" s="3" t="str">
        <f>_xlfn.XLOOKUP(B80,QUERY!$C:$C,QUERY!AZ:AZ)</f>
        <v>CAMION ECONOMICO 029</v>
      </c>
      <c r="GZ80" s="3">
        <f>_xlfn.XLOOKUP(B80,QUERY!$C:$C,QUERY!BA:BA)</f>
        <v>0</v>
      </c>
      <c r="HA80" s="3" t="str">
        <f>_xlfn.XLOOKUP(B80,QUERY!$C:$C,QUERY!BB:BB)</f>
        <v>IME850329RH2</v>
      </c>
      <c r="HB80" s="3">
        <f>_xlfn.XLOOKUP(B80,QUERY!$C:$C,QUERY!BC:BC)</f>
        <v>0</v>
      </c>
      <c r="HC80" s="3">
        <f>_xlfn.XLOOKUP(B80,QUERY!$C:$C,QUERY!BD:BD)</f>
        <v>99</v>
      </c>
      <c r="HD80" s="3" t="str">
        <f>_xlfn.XLOOKUP(B80,QUERY!$C:$C,QUERY!BE:BE)</f>
        <v>LOTE: A019A01,LOTE: A019A02,LOTE: A020A01</v>
      </c>
      <c r="HE80" s="3">
        <f>_xlfn.XLOOKUP(B80,QUERY!$C:$C,QUERY!BF:BF)</f>
        <v>90</v>
      </c>
      <c r="HF80" s="3" t="str">
        <f>_xlfn.XLOOKUP(B80,QUERY!$C:$C,QUERY!BG:BG)</f>
        <v xml:space="preserve"> 11491200.00, 24786720.00</v>
      </c>
      <c r="HG80" s="3" t="str">
        <f>_xlfn.XLOOKUP(B80,QUERY!$C:$C,QUERY!BH:BH)</f>
        <v>KILO,KILO,KILO</v>
      </c>
      <c r="HH80" s="3">
        <f>_xlfn.XLOOKUP(B80,QUERY!$C:$C,QUERY!BI:BI)</f>
        <v>0</v>
      </c>
      <c r="HI80" s="3" t="str">
        <f>_xlfn.XLOOKUP(B80,QUERY!$C:$C,QUERY!BJ:BJ)</f>
        <v>PAISES BAJOS (REINO DE LOS) (HOLANDA)</v>
      </c>
      <c r="HJ80" s="3" t="str">
        <f>_xlfn.XLOOKUP(B80,QUERY!$C:$C,QUERY!BK:BK)</f>
        <v>PAISES BAJOS (REINO DE LOS) (HOLANDA)</v>
      </c>
      <c r="HK80" s="3" t="str">
        <f>_xlfn.XLOOKUP(B80,QUERY!$C:$C,QUERY!BL:BL)</f>
        <v>ZYA</v>
      </c>
      <c r="HL80" s="3" t="str">
        <f>_xlfn.XLOOKUP(B80,QUERY!$C:$C,QUERY!BM:BM)</f>
        <v>ZYA</v>
      </c>
      <c r="HM80" s="3">
        <f>_xlfn.XLOOKUP(B80,QUERY!$C:$C,QUERY!BN:BN)</f>
        <v>36277920</v>
      </c>
      <c r="HN80" s="3" t="str">
        <f>_xlfn.XLOOKUP(B80,QUERY!$C:$C,QUERY!BO:BO)</f>
        <v>462.00</v>
      </c>
      <c r="HO80" s="3" t="str">
        <f>_xlfn.XLOOKUP(B80,QUERY!$C:$C,QUERY!BP:BP)</f>
        <v>NULL</v>
      </c>
      <c r="HP80" s="3" t="str">
        <f>_xlfn.XLOOKUP(B80,QUERY!$C:$C,QUERY!BQ:BQ)</f>
        <v>NULL</v>
      </c>
      <c r="HQ80" s="3" t="str">
        <f>_xlfn.XLOOKUP(B80,QUERY!$C:$C,QUERY!BR:BR)</f>
        <v>138155.08</v>
      </c>
      <c r="HR80" s="3">
        <f>_xlfn.XLOOKUP(B80,QUERY!$C:$C,QUERY!BS:BS)</f>
        <v>0</v>
      </c>
      <c r="HS80" s="3">
        <f>_xlfn.XLOOKUP(B80,QUERY!$C:$C,QUERY!BT:BT)</f>
        <v>0</v>
      </c>
      <c r="HT80" s="3" t="str">
        <f>_xlfn.XLOOKUP(B80,QUERY!$C:$C,QUERY!A:A)</f>
        <v>VERACRUZ</v>
      </c>
      <c r="HU80" s="3" t="str">
        <f>_xlfn.XLOOKUP(B80,QUERY!$C:$C,QUERY!B:B)</f>
        <v>MARÍTIMO VERACRUZ</v>
      </c>
    </row>
    <row r="81" spans="1:229" x14ac:dyDescent="0.25">
      <c r="A81" s="3" t="s">
        <v>90</v>
      </c>
      <c r="B81" s="3" t="s">
        <v>293</v>
      </c>
      <c r="C81" s="3">
        <v>3942</v>
      </c>
      <c r="D81" s="3">
        <v>6000375</v>
      </c>
      <c r="E81" s="3"/>
      <c r="F81" s="3" t="s">
        <v>92</v>
      </c>
      <c r="G81" s="3" t="s">
        <v>93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430</v>
      </c>
      <c r="S81" s="3"/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 t="s">
        <v>295</v>
      </c>
      <c r="AB81" s="3"/>
      <c r="AC81" s="3">
        <v>6350400</v>
      </c>
      <c r="AD81" s="3">
        <v>1680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/>
      <c r="AP81" s="3" t="s">
        <v>98</v>
      </c>
      <c r="AQ81" s="3">
        <v>210365021</v>
      </c>
      <c r="AR81" s="3" t="s">
        <v>99</v>
      </c>
      <c r="AS81" s="3" t="s">
        <v>100</v>
      </c>
      <c r="AT81" s="3">
        <v>0</v>
      </c>
      <c r="AU81" s="3">
        <v>0</v>
      </c>
      <c r="AV81" s="3">
        <v>0</v>
      </c>
      <c r="AW81" s="3">
        <v>30024201</v>
      </c>
      <c r="AX81" s="3">
        <v>99</v>
      </c>
      <c r="AY81" s="3">
        <v>3780</v>
      </c>
      <c r="AZ81" s="3">
        <v>3780</v>
      </c>
      <c r="BA81" s="3" t="s">
        <v>103</v>
      </c>
      <c r="BB81" s="3"/>
      <c r="BC81" s="3" t="s">
        <v>105</v>
      </c>
      <c r="BD81" s="3" t="s">
        <v>105</v>
      </c>
      <c r="BE81" s="3"/>
      <c r="BF81" s="3"/>
      <c r="BG81" s="5"/>
      <c r="BH81" s="3"/>
      <c r="BI81" s="3"/>
      <c r="BJ81" s="3"/>
      <c r="BK81" s="3" t="s">
        <v>298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 t="s">
        <v>192</v>
      </c>
      <c r="CF81" s="3">
        <v>0</v>
      </c>
      <c r="CG81" s="3">
        <v>0</v>
      </c>
      <c r="CH81" s="3">
        <v>0</v>
      </c>
      <c r="CI81" s="3" t="s">
        <v>299</v>
      </c>
      <c r="CJ81" s="3" t="s">
        <v>112</v>
      </c>
      <c r="CK81" s="3">
        <f>_xlfn.XLOOKUP($B$2,'BASE DE EXCEL'!C:C,'BASE DE EXCEL'!D:D,"NO HAY REFERENCIA")</f>
        <v>470</v>
      </c>
      <c r="CL81" s="5">
        <f>_xlfn.XLOOKUP($B$2,'BASE DE EXCEL'!$C:$C,'BASE DE EXCEL'!F:F,"NO HAY REFERENCIA")</f>
        <v>3</v>
      </c>
      <c r="CM81" s="4">
        <f>_xlfn.XLOOKUP($B$2,'BASE DE EXCEL'!$C:$C,'BASE DE EXCEL'!G:G,"NO HAY REFERENCIA")</f>
        <v>46080</v>
      </c>
      <c r="CN81" s="4">
        <f>_xlfn.XLOOKUP($B$2,'BASE DE EXCEL'!$C:$C,'BASE DE EXCEL'!H:H,"NO HAY REFERENCIA")</f>
        <v>46086</v>
      </c>
      <c r="CO81" s="3">
        <f>_xlfn.XLOOKUP($B$2,'BASE DE EXCEL'!$C:$C,'BASE DE EXCEL'!I:I,"NO HAY REFERENCIA")</f>
        <v>4</v>
      </c>
      <c r="CP81" s="3" t="str">
        <f>_xlfn.XLOOKUP($B$2,'BASE DE EXCEL'!$C:$C,'BASE DE EXCEL'!J:J,"NO HAY REFERENCIA")</f>
        <v>4 a 5 días</v>
      </c>
      <c r="CQ81" s="4">
        <f>_xlfn.XLOOKUP($B$2,'BASE DE EXCEL'!$C:$C,'BASE DE EXCEL'!K:K,"NO HAY REFERENCIA")</f>
        <v>46087</v>
      </c>
      <c r="CR81" s="3">
        <f>_xlfn.XLOOKUP($B$2,'BASE DE EXCEL'!$C:$C,'BASE DE EXCEL'!L:L,"NO HAY REFERENCIA")</f>
        <v>5</v>
      </c>
      <c r="CS81" s="3">
        <f>_xlfn.XLOOKUP($B$2,'BASE DE EXCEL'!$C:$C,'BASE DE EXCEL'!M:M,"NO HAY REFERENCIA")</f>
        <v>6</v>
      </c>
      <c r="CT81" s="3" t="str">
        <f>_xlfn.XLOOKUP($B$2,'BASE DE EXCEL'!$C:$C,'BASE DE EXCEL'!N:N,"NO HAY REFERENCIA")</f>
        <v>6 a 10 días</v>
      </c>
      <c r="CU81" s="3" t="str">
        <f>_xlfn.XLOOKUP($B$2,'BASE DE EXCEL'!$C:$C,'BASE DE EXCEL'!O:O,"NO HAY REFERENCIA")</f>
        <v>On Time</v>
      </c>
      <c r="CV81" s="3" t="str">
        <f>_xlfn.XLOOKUP(B81,'BASE DE EXCEL'!$C:$C,'BASE DE EXCEL'!P:P,"NO HAY REFERENCIA")</f>
        <v>16 o más días</v>
      </c>
      <c r="CW81" s="4">
        <f>_xlfn.XLOOKUP(B81,'BASE DE EXCEL'!$C:$C,'BASE DE EXCEL'!Q:Q,"NO HAY REFERENCIA")</f>
        <v>46094</v>
      </c>
      <c r="CX81" s="3">
        <f>_xlfn.XLOOKUP(B81,'BASE DE EXCEL'!$C:$C,'BASE DE EXCEL'!R:R,"NO HAY REFERENCIA")</f>
        <v>14</v>
      </c>
      <c r="CY81" s="3" t="str">
        <f>_xlfn.XLOOKUP(B81,'BASE DE EXCEL'!$C:$C,'BASE DE EXCEL'!S:S,"NO HAY REFERENCIA")</f>
        <v>11 a 15 días</v>
      </c>
      <c r="CZ81" s="3" t="str">
        <f>_xlfn.XLOOKUP(B81,'BASE DE EXCEL'!$C:$C,'BASE DE EXCEL'!T:T,"NO HAY REFERENCIA")</f>
        <v>Delayed</v>
      </c>
      <c r="DA81" s="3">
        <f>_xlfn.XLOOKUP(B81,'BASE DE EXCEL'!$C:$C,'BASE DE EXCEL'!U:U,"NO HAY REFERENCIA")</f>
        <v>0</v>
      </c>
      <c r="DB81" s="3" t="str">
        <f>_xlfn.XLOOKUP(B81,'BASE DE EXCEL'!$C:$C,'BASE DE EXCEL'!V:V,"NO HAY REFERENCIA")</f>
        <v>Sin Dato</v>
      </c>
      <c r="DC81" s="3">
        <f>_xlfn.XLOOKUP(B81,'BASE DE EXCEL'!$C:$C,'BASE DE EXCEL'!W:W,"NO HAY REFERENCIA")</f>
        <v>20</v>
      </c>
      <c r="DD81" s="3" t="str">
        <f>_xlfn.XLOOKUP(B81,'BASE DE EXCEL'!$C:$C,'BASE DE EXCEL'!X:X,"NO HAY REFERENCIA")</f>
        <v>más de 16 días</v>
      </c>
      <c r="DE81" s="3">
        <f>_xlfn.XLOOKUP(B81,'BASE DE EXCEL'!$C:$C,'BASE DE EXCEL'!Y:Y,"NO HAY REFERENCIA")</f>
        <v>1</v>
      </c>
      <c r="DF81" s="3" t="str">
        <f>_xlfn.XLOOKUP(B81,'BASE DE EXCEL'!$C:$C,'BASE DE EXCEL'!Z:Z,"NO HAY REFERENCIA")</f>
        <v>1 día o menos</v>
      </c>
      <c r="DG81" s="3">
        <f>_xlfn.XLOOKUP(B81,'BASE DE EXCEL'!$C:$C,'BASE DE EXCEL'!AA:AA,"NO HAY REFERENCIA")</f>
        <v>15</v>
      </c>
      <c r="DH81" s="3">
        <f>_xlfn.XLOOKUP(B81,'BASE DE EXCEL'!$C:$C,'BASE DE EXCEL'!AB:AB,"NO HAY REFERENCIA")</f>
        <v>-46091</v>
      </c>
      <c r="DI81" s="3" t="str">
        <f>_xlfn.XLOOKUP(B81,'BASE DE EXCEL'!$C:$C,'BASE DE EXCEL'!AC:AC,"NO HAY REFERENCIA")</f>
        <v>SIN DATO</v>
      </c>
      <c r="DJ81" s="4">
        <f>_xlfn.XLOOKUP(B81,'BASE DE EXCEL'!$C:$C,'BASE DE EXCEL'!AD:AD,"NO HAY REFERENCIA")</f>
        <v>46105</v>
      </c>
      <c r="DK81" s="3">
        <f>_xlfn.XLOOKUP(B81,'BASE DE EXCEL'!$C:$C,'BASE DE EXCEL'!AE:AE,"NO HAY REFERENCIA")</f>
        <v>46105</v>
      </c>
      <c r="DL81" s="3">
        <f>_xlfn.XLOOKUP(B81,'BASE DE EXCEL'!$C:$C,'BASE DE EXCEL'!AF:AF,"NO HAY REFERENCIA")</f>
        <v>32931</v>
      </c>
      <c r="DM81" s="4">
        <f>_xlfn.XLOOKUP(B81,'BASE DE EXCEL'!$C:$C,'BASE DE EXCEL'!AG:AG,"NO HAY REFERENCIA")</f>
        <v>46107</v>
      </c>
      <c r="DN81" s="4">
        <f>_xlfn.XLOOKUP(B81,'BASE DE EXCEL'!$C:$C,'BASE DE EXCEL'!AH:AH,"NO HAY REFERENCIA")</f>
        <v>46105</v>
      </c>
      <c r="DO81" s="3">
        <f>_xlfn.XLOOKUP(B81,'BASE DE EXCEL'!$C:$C,'BASE DE EXCEL'!AI:AI,"NO HAY REFERENCIA")</f>
        <v>-2</v>
      </c>
      <c r="DP81" s="4" t="str">
        <f>_xlfn.XLOOKUP(B81,'BASE DE EXCEL'!$C:$C,'BASE DE EXCEL'!AJ:AJ,"NO HAY REFERENCIA")</f>
        <v>SIN DATO</v>
      </c>
      <c r="DQ81" s="4">
        <f>_xlfn.XLOOKUP(B81,'BASE DE EXCEL'!$C:$C,'BASE DE EXCEL'!AK:AK,"NO HAY REFERENCIA")</f>
        <v>46105</v>
      </c>
      <c r="DR81" s="3">
        <f>_xlfn.XLOOKUP(B81,'BASE DE EXCEL'!$C:$C,'BASE DE EXCEL'!AL:AL,"NO HAY REFERENCIA")</f>
        <v>7</v>
      </c>
      <c r="DS81" s="3" t="str">
        <f>_xlfn.XLOOKUP(B81,'BASE DE EXCEL'!$C:$C,'BASE DE EXCEL'!AM:AM,"NO HAY REFERENCIA")</f>
        <v>6 a 10 días</v>
      </c>
      <c r="DT81" s="3" t="str">
        <f>_xlfn.XLOOKUP(B81,'BASE DE EXCEL'!$C:$C,'BASE DE EXCEL'!AN:AN,"NO HAY REFERENCIA")</f>
        <v>Delayed</v>
      </c>
      <c r="DU81" s="3">
        <f>_xlfn.XLOOKUP(B81,'BASE DE EXCEL'!$C:$C,'BASE DE EXCEL'!AO:AO,"NO HAY REFERENCIA")</f>
        <v>0</v>
      </c>
      <c r="DV81" s="3" t="str">
        <f>_xlfn.XLOOKUP(B81,'BASE DE EXCEL'!$C:$C,'BASE DE EXCEL'!AP:AP,"NO HAY REFERENCIA")</f>
        <v>Es anterior</v>
      </c>
      <c r="DW81" s="3" t="str">
        <f>_xlfn.XLOOKUP(B81,'BASE DE EXCEL'!$C:$C,'BASE DE EXCEL'!AQ:AQ,"NO HAY REFERENCIA")</f>
        <v>A1</v>
      </c>
      <c r="DX81" s="3" t="str">
        <f>_xlfn.XLOOKUP(B81,'BASE DE EXCEL'!$C:$C,'BASE DE EXCEL'!AR:AR,"NO HAY REFERENCIA")</f>
        <v>ZULEIMA PEREZ RUIZ</v>
      </c>
      <c r="DY81" s="3" t="str">
        <f>_xlfn.XLOOKUP(B81,'BASE DE EXCEL'!$C:$C,'BASE DE EXCEL'!AS:AS,"NO HAY REFERENCIA")</f>
        <v>HLCURTM260162366</v>
      </c>
      <c r="DZ81" s="3" t="str">
        <f>_xlfn.XLOOKUP(B81,'BASE DE EXCEL'!$C:$C,'BASE DE EXCEL'!AT:AT,"NO HAY REFERENCIA")</f>
        <v>NULL</v>
      </c>
      <c r="EA81" s="3">
        <f>_xlfn.XLOOKUP(B81,'BASE DE EXCEL'!$C:$C,'BASE DE EXCEL'!AU:AU,"NO HAY REFERENCIA")</f>
        <v>6000375</v>
      </c>
      <c r="EB81" s="3" t="str">
        <f>_xlfn.XLOOKUP(B81,'BASE DE EXCEL'!$C:$C,'BASE DE EXCEL'!AV:AV,"NO HAY REFERENCIA")</f>
        <v>Importación</v>
      </c>
      <c r="EC81" s="3" t="str">
        <f>_xlfn.XLOOKUP(B81,'BASE DE EXCEL'!$C:$C,'BASE DE EXCEL'!AW:AW,"NO HAY REFERENCIA")</f>
        <v>PORCILIS PCV M HYO ID (VACUNA DE USO VETERINARIO)</v>
      </c>
      <c r="ED81" s="3" t="str">
        <f>_xlfn.XLOOKUP(B81,'BASE DE EXCEL'!$C:$C,'BASE DE EXCEL'!AX:AX,"NO HAY REFERENCIA")</f>
        <v>SIN CLASIFICACION</v>
      </c>
      <c r="EE81" s="3">
        <f>_xlfn.XLOOKUP(B81,'BASE DE EXCEL'!$C:$C,'BASE DE EXCEL'!AY:AY,"NO HAY REFERENCIA")</f>
        <v>0</v>
      </c>
      <c r="EF81" s="3" t="str">
        <f>_xlfn.XLOOKUP(B81,'BASE DE EXCEL'!$C:$C,'BASE DE EXCEL'!AZ:AZ,"NO HAY REFERENCIA")</f>
        <v>Cargas de Importación</v>
      </c>
      <c r="EG81" s="3" t="str">
        <f>_xlfn.XLOOKUP(B81,'BASE DE EXCEL'!$C:$C,'BASE DE EXCEL'!BA:BA,"NO HAY REFERENCIA")</f>
        <v>INTERVET MEXICO SA DE CV</v>
      </c>
      <c r="EH81" s="3">
        <f>_xlfn.XLOOKUP(B81,'BASE DE EXCEL'!$C:$C,'BASE DE EXCEL'!BB:BB,"NO HAY REFERENCIA")</f>
        <v>0</v>
      </c>
      <c r="EI81" s="3" t="str">
        <f>_xlfn.XLOOKUP(B81,'BASE DE EXCEL'!$C:$C,'BASE DE EXCEL'!BC:BC,"NO HAY REFERENCIA")</f>
        <v>FALTA RRNA</v>
      </c>
      <c r="EJ81" s="3" t="str">
        <f>_xlfn.XLOOKUP(B81,'BASE DE EXCEL'!$C:$C,'BASE DE EXCEL'!BD:BD,"NO HAY REFERENCIA")</f>
        <v xml:space="preserve">PENDIENTE CZB </v>
      </c>
      <c r="EK81" s="3" t="str">
        <f>_xlfn.XLOOKUP(B81,'BASE DE EXCEL'!$C:$C,'BASE DE EXCEL'!BE:BE,"NO HAY REFERENCIA")</f>
        <v>FALTA RRNA</v>
      </c>
      <c r="EL81" s="3" t="str">
        <f>_xlfn.XLOOKUP(B81,'BASE DE EXCEL'!$C:$C,'BASE DE EXCEL'!BF:BF,"NO HAY REFERENCIA")</f>
        <v>PRODUCTO TERMINADO</v>
      </c>
      <c r="EM81" s="3" t="str">
        <f>_xlfn.XLOOKUP(B81,'BASE DE EXCEL'!$C:$C,'BASE DE EXCEL'!BG:BG,"NO HAY REFERENCIA")</f>
        <v>Verde</v>
      </c>
      <c r="EN81" s="3" t="str">
        <f>_xlfn.XLOOKUP(B81,'BASE DE EXCEL'!$C:$C,'BASE DE EXCEL'!BH:BH,"NO HAY REFERENCIA")</f>
        <v xml:space="preserve"> SERVEX TRANSPORTES SA DE CV</v>
      </c>
      <c r="EO81" s="3" t="str">
        <f>_xlfn.XLOOKUP(B81,'BASE DE EXCEL'!$C:$C,'BASE DE EXCEL'!BI:BI,"NO HAY REFERENCIA")</f>
        <v>CAMION ECONOMICO 029</v>
      </c>
      <c r="EP81" s="3">
        <f>_xlfn.XLOOKUP(B81,'BASE DE EXCEL'!$C:$C,'BASE DE EXCEL'!BJ:BJ,"NO HAY REFERENCIA")</f>
        <v>0</v>
      </c>
      <c r="EQ81" s="3" t="str">
        <f>_xlfn.XLOOKUP(B81,'BASE DE EXCEL'!$C:$C,'BASE DE EXCEL'!BK:BK,"NO HAY REFERENCIA")</f>
        <v>IME850329RH2</v>
      </c>
      <c r="ER81" s="3">
        <f>_xlfn.XLOOKUP(B81,'BASE DE EXCEL'!$C:$C,'BASE DE EXCEL'!BL:BL,"NO HAY REFERENCIA")</f>
        <v>0</v>
      </c>
      <c r="ES81" s="3">
        <f>_xlfn.XLOOKUP(B81,'BASE DE EXCEL'!$C:$C,'BASE DE EXCEL'!BM:BM,"NO HAY REFERENCIA")</f>
        <v>99</v>
      </c>
      <c r="ET81" s="3" t="str">
        <f>_xlfn.XLOOKUP(B81,'BASE DE EXCEL'!$C:$C,'BASE DE EXCEL'!BN:BN,"NO HAY REFERENCIA")</f>
        <v>LOTE: A019A01,LOTE: A019A02,LOTE: A020A01</v>
      </c>
      <c r="EU81" s="3">
        <f>_xlfn.XLOOKUP(B81,'BASE DE EXCEL'!$C:$C,'BASE DE EXCEL'!BO:BO,"NO HAY REFERENCIA")</f>
        <v>90</v>
      </c>
      <c r="EV81" s="3" t="str">
        <f>_xlfn.XLOOKUP(B81,'BASE DE EXCEL'!$C:$C,'BASE DE EXCEL'!BP:BP,"NO HAY REFERENCIA")</f>
        <v xml:space="preserve"> 11491200.00, 24786720.00</v>
      </c>
      <c r="EW81" s="3" t="str">
        <f>_xlfn.XLOOKUP(B81,'BASE DE EXCEL'!$C:$C,'BASE DE EXCEL'!BQ:BQ,"NO HAY REFERENCIA")</f>
        <v>KILO,KILO,KILO</v>
      </c>
      <c r="EX81" s="3">
        <f>_xlfn.XLOOKUP(B81,'BASE DE EXCEL'!$C:$C,'BASE DE EXCEL'!BR:BR,"NO HAY REFERENCIA")</f>
        <v>0</v>
      </c>
      <c r="EY81" s="3" t="str">
        <f>_xlfn.XLOOKUP(B81,'BASE DE EXCEL'!$C:$C,'BASE DE EXCEL'!BS:BS,"NO HAY REFERENCIA")</f>
        <v>PAISES BAJOS (REINO DE LOS) (HOLANDA)</v>
      </c>
      <c r="EZ81" s="3" t="str">
        <f>_xlfn.XLOOKUP(B81,'BASE DE EXCEL'!$C:$C,'BASE DE EXCEL'!BT:BT,"NO HAY REFERENCIA")</f>
        <v>PAISES BAJOS (REINO DE LOS) (HOLANDA)</v>
      </c>
      <c r="FA81" s="3" t="str">
        <f>_xlfn.XLOOKUP(B81,'BASE DE EXCEL'!$C:$C,'BASE DE EXCEL'!BU:BU,"NO HAY REFERENCIA")</f>
        <v>ZYA</v>
      </c>
      <c r="FB81" s="3" t="str">
        <f>_xlfn.XLOOKUP(B81,'BASE DE EXCEL'!$C:$C,'BASE DE EXCEL'!BV:BV,"NO HAY REFERENCIA")</f>
        <v>ZYA</v>
      </c>
      <c r="FC81" s="3">
        <f>_xlfn.XLOOKUP(B81,QUERY!$C:$C,QUERY!D:D)</f>
        <v>430</v>
      </c>
      <c r="FD81" s="4">
        <f>_xlfn.XLOOKUP(B81,QUERY!$C:$C,QUERY!E:E)</f>
        <v>46092</v>
      </c>
      <c r="FE81" s="3">
        <f>_xlfn.XLOOKUP(B81,QUERY!$C:$C,QUERY!F:F)</f>
        <v>3</v>
      </c>
      <c r="FF81" s="4">
        <f>_xlfn.XLOOKUP(B81,QUERY!$C:$C,QUERY!G:G)</f>
        <v>46077</v>
      </c>
      <c r="FG81" s="4">
        <f>_xlfn.XLOOKUP(B81,QUERY!$C:$C,QUERY!H:H)</f>
        <v>46092</v>
      </c>
      <c r="FH81" s="3">
        <f>_xlfn.XLOOKUP(B81,QUERY!$C:$C,QUERY!I:I)</f>
        <v>11</v>
      </c>
      <c r="FI81" s="3" t="str">
        <f>_xlfn.XLOOKUP(B81,QUERY!$C:$C,QUERY!J:J)</f>
        <v>11 a 15 días</v>
      </c>
      <c r="FJ81" s="4">
        <f>_xlfn.XLOOKUP(B81,QUERY!$C:$C,QUERY!K:K)</f>
        <v>46093</v>
      </c>
      <c r="FK81" s="3">
        <f>_xlfn.XLOOKUP(B81,QUERY!$C:$C,QUERY!L:L)</f>
        <v>12</v>
      </c>
      <c r="FL81" s="3" t="str">
        <f>_xlfn.XLOOKUP(B81,QUERY!$C:$C,QUERY!M:M)</f>
        <v>11 a 15 días</v>
      </c>
      <c r="FM81" s="3">
        <f>_xlfn.XLOOKUP(B81,QUERY!$C:$C,QUERY!N:N)</f>
        <v>1</v>
      </c>
      <c r="FN81" s="3" t="str">
        <f>_xlfn.XLOOKUP(B81,QUERY!$C:$C,QUERY!O:O)</f>
        <v>1 día o menos</v>
      </c>
      <c r="FO81" s="3">
        <f>_xlfn.XLOOKUP(B81,QUERY!$C:$C,QUERY!P:P)</f>
        <v>1</v>
      </c>
      <c r="FP81" s="3">
        <f>_xlfn.XLOOKUP(B81,QUERY!$C:$C,QUERY!Q:Q)</f>
        <v>1</v>
      </c>
      <c r="FQ81" s="3" t="str">
        <f>_xlfn.XLOOKUP(B81,QUERY!$C:$C,QUERY!R:R)</f>
        <v>1 día o menos</v>
      </c>
      <c r="FR81" s="4">
        <f>_xlfn.XLOOKUP(B81,QUERY!$C:$C,QUERY!S:S)</f>
        <v>46094</v>
      </c>
      <c r="FS81" s="3">
        <f>_xlfn.XLOOKUP(B81,QUERY!$C:$C,QUERY!T:T)</f>
        <v>13</v>
      </c>
      <c r="FT81" s="3" t="str">
        <f>_xlfn.XLOOKUP(B81,QUERY!$C:$C,QUERY!U:U)</f>
        <v>11 a 15 días</v>
      </c>
      <c r="FU81" s="3">
        <f>_xlfn.XLOOKUP(B81,QUERY!$C:$C,QUERY!V:V)</f>
        <v>20</v>
      </c>
      <c r="FV81" s="3" t="str">
        <f>_xlfn.XLOOKUP(B81,QUERY!$C:$C,QUERY!W:W)</f>
        <v>más de 16 días</v>
      </c>
      <c r="FW81" s="4">
        <f>_xlfn.XLOOKUP(B81,QUERY!$C:$C,QUERY!X:X)</f>
        <v>46105</v>
      </c>
      <c r="FX81" s="3">
        <f>_xlfn.XLOOKUP(B81,QUERY!$C:$C,QUERY!Y:Y)</f>
        <v>7</v>
      </c>
      <c r="FY81" s="3">
        <f>_xlfn.XLOOKUP(B81,QUERY!$C:$C,QUERY!Z:Z)</f>
        <v>7</v>
      </c>
      <c r="FZ81" s="4" t="str">
        <f>_xlfn.XLOOKUP(B81,QUERY!$C:$C,QUERY!AA:AA)</f>
        <v>11 a 15 días</v>
      </c>
      <c r="GA81" s="4">
        <f>_xlfn.XLOOKUP(B81,QUERY!$C:$C,QUERY!AB:AB)</f>
        <v>46105</v>
      </c>
      <c r="GB81" s="4">
        <f>_xlfn.XLOOKUP(B81,QUERY!$C:$C,QUERY!AC:AC)</f>
        <v>46105</v>
      </c>
      <c r="GC81" s="3">
        <f>_xlfn.XLOOKUP(B81,QUERY!$C:$C,QUERY!AD:AD)</f>
        <v>0</v>
      </c>
      <c r="GD81" s="4">
        <f>_xlfn.XLOOKUP(B81,QUERY!$C:$C,QUERY!AE:AE)</f>
        <v>46105</v>
      </c>
      <c r="GE81" s="3">
        <f>_xlfn.XLOOKUP(B81,QUERY!$C:$C,QUERY!AF:AF)</f>
        <v>1</v>
      </c>
      <c r="GF81" s="4" t="str">
        <f>_xlfn.XLOOKUP(B81,QUERY!$C:$C,QUERY!AG:AG)</f>
        <v>Es anterior</v>
      </c>
      <c r="GG81" s="3" t="str">
        <f>_xlfn.XLOOKUP(B81,QUERY!$C:$C,QUERY!AH:AH)</f>
        <v>A1</v>
      </c>
      <c r="GH81" s="3" t="str">
        <f>_xlfn.XLOOKUP(B81,QUERY!$C:$C,QUERY!AI:AI)</f>
        <v>ZULEIMA PEREZ RUIZ</v>
      </c>
      <c r="GI81" s="3" t="str">
        <f>_xlfn.XLOOKUP(B81,QUERY!$C:$C,QUERY!AJ:AJ)</f>
        <v>HLCURTM260162366</v>
      </c>
      <c r="GJ81" s="3" t="str">
        <f>_xlfn.XLOOKUP(B81,QUERY!$C:$C,QUERY!AK:AK)</f>
        <v>NULL</v>
      </c>
      <c r="GK81" s="3">
        <f>_xlfn.XLOOKUP(B81,QUERY!$C:$C,QUERY!AL:AL)</f>
        <v>6000375</v>
      </c>
      <c r="GL81" s="3" t="str">
        <f>_xlfn.XLOOKUP(B81,QUERY!$C:$C,QUERY!AM:AM)</f>
        <v>Importación</v>
      </c>
      <c r="GM81" s="3" t="str">
        <f>_xlfn.XLOOKUP(B81,QUERY!$C:$C,QUERY!AN:AN)</f>
        <v>PORCILIS PCV M HYO ID (VACUNA DE USO VETERINARIO)</v>
      </c>
      <c r="GN81" s="3" t="str">
        <f>_xlfn.XLOOKUP(B81,QUERY!$C:$C,QUERY!AO:AO)</f>
        <v>SIN CLASIFICACION</v>
      </c>
      <c r="GO81" s="3">
        <f>_xlfn.XLOOKUP(B81,QUERY!$C:$C,QUERY!AP:AP)</f>
        <v>0</v>
      </c>
      <c r="GP81" s="3" t="str">
        <f>_xlfn.XLOOKUP(B81,QUERY!$C:$C,QUERY!AQ:AQ)</f>
        <v>Cargas de Importación</v>
      </c>
      <c r="GQ81" s="3" t="str">
        <f>_xlfn.XLOOKUP(B81,QUERY!$C:$C,QUERY!AR:AR)</f>
        <v>INTERVET MEXICO SA DE CV</v>
      </c>
      <c r="GR81" s="3">
        <f>_xlfn.XLOOKUP(B81,QUERY!$C:$C,QUERY!AS:AS)</f>
        <v>0</v>
      </c>
      <c r="GS81" s="3" t="str">
        <f>_xlfn.XLOOKUP(B81,QUERY!$C:$C,QUERY!AT:AT)</f>
        <v>FALTA RRNA</v>
      </c>
      <c r="GT81" s="3" t="str">
        <f>_xlfn.XLOOKUP(B81,QUERY!$C:$C,QUERY!AU:AU)</f>
        <v xml:space="preserve">PENDIENTE CZB </v>
      </c>
      <c r="GU81" s="3" t="str">
        <f>_xlfn.XLOOKUP(B81,QUERY!$C:$C,QUERY!AV:AV)</f>
        <v>FALTA RRNA</v>
      </c>
      <c r="GV81" s="3" t="str">
        <f>_xlfn.XLOOKUP(B81,QUERY!$C:$C,QUERY!AW:AW)</f>
        <v>PRODUCTO TERMINADO</v>
      </c>
      <c r="GW81" s="3" t="str">
        <f>_xlfn.XLOOKUP(B81,QUERY!$C:$C,QUERY!AX:AX)</f>
        <v>Verde</v>
      </c>
      <c r="GX81" s="3" t="str">
        <f>_xlfn.XLOOKUP(B81,QUERY!$C:$C,QUERY!AY:AY)</f>
        <v xml:space="preserve"> SERVEX TRANSPORTES SA DE CV</v>
      </c>
      <c r="GY81" s="3" t="str">
        <f>_xlfn.XLOOKUP(B81,QUERY!$C:$C,QUERY!AZ:AZ)</f>
        <v>CAMION ECONOMICO 029</v>
      </c>
      <c r="GZ81" s="3">
        <f>_xlfn.XLOOKUP(B81,QUERY!$C:$C,QUERY!BA:BA)</f>
        <v>0</v>
      </c>
      <c r="HA81" s="3" t="str">
        <f>_xlfn.XLOOKUP(B81,QUERY!$C:$C,QUERY!BB:BB)</f>
        <v>IME850329RH2</v>
      </c>
      <c r="HB81" s="3">
        <f>_xlfn.XLOOKUP(B81,QUERY!$C:$C,QUERY!BC:BC)</f>
        <v>0</v>
      </c>
      <c r="HC81" s="3">
        <f>_xlfn.XLOOKUP(B81,QUERY!$C:$C,QUERY!BD:BD)</f>
        <v>99</v>
      </c>
      <c r="HD81" s="3" t="str">
        <f>_xlfn.XLOOKUP(B81,QUERY!$C:$C,QUERY!BE:BE)</f>
        <v>LOTE: A019A01,LOTE: A019A02,LOTE: A020A01</v>
      </c>
      <c r="HE81" s="3">
        <f>_xlfn.XLOOKUP(B81,QUERY!$C:$C,QUERY!BF:BF)</f>
        <v>90</v>
      </c>
      <c r="HF81" s="3" t="str">
        <f>_xlfn.XLOOKUP(B81,QUERY!$C:$C,QUERY!BG:BG)</f>
        <v xml:space="preserve"> 11491200.00, 24786720.00</v>
      </c>
      <c r="HG81" s="3" t="str">
        <f>_xlfn.XLOOKUP(B81,QUERY!$C:$C,QUERY!BH:BH)</f>
        <v>KILO,KILO,KILO</v>
      </c>
      <c r="HH81" s="3">
        <f>_xlfn.XLOOKUP(B81,QUERY!$C:$C,QUERY!BI:BI)</f>
        <v>0</v>
      </c>
      <c r="HI81" s="3" t="str">
        <f>_xlfn.XLOOKUP(B81,QUERY!$C:$C,QUERY!BJ:BJ)</f>
        <v>PAISES BAJOS (REINO DE LOS) (HOLANDA)</v>
      </c>
      <c r="HJ81" s="3" t="str">
        <f>_xlfn.XLOOKUP(B81,QUERY!$C:$C,QUERY!BK:BK)</f>
        <v>PAISES BAJOS (REINO DE LOS) (HOLANDA)</v>
      </c>
      <c r="HK81" s="3" t="str">
        <f>_xlfn.XLOOKUP(B81,QUERY!$C:$C,QUERY!BL:BL)</f>
        <v>ZYA</v>
      </c>
      <c r="HL81" s="3" t="str">
        <f>_xlfn.XLOOKUP(B81,QUERY!$C:$C,QUERY!BM:BM)</f>
        <v>ZYA</v>
      </c>
      <c r="HM81" s="3">
        <f>_xlfn.XLOOKUP(B81,QUERY!$C:$C,QUERY!BN:BN)</f>
        <v>36277920</v>
      </c>
      <c r="HN81" s="3" t="str">
        <f>_xlfn.XLOOKUP(B81,QUERY!$C:$C,QUERY!BO:BO)</f>
        <v>462.00</v>
      </c>
      <c r="HO81" s="3" t="str">
        <f>_xlfn.XLOOKUP(B81,QUERY!$C:$C,QUERY!BP:BP)</f>
        <v>NULL</v>
      </c>
      <c r="HP81" s="3" t="str">
        <f>_xlfn.XLOOKUP(B81,QUERY!$C:$C,QUERY!BQ:BQ)</f>
        <v>NULL</v>
      </c>
      <c r="HQ81" s="3" t="str">
        <f>_xlfn.XLOOKUP(B81,QUERY!$C:$C,QUERY!BR:BR)</f>
        <v>138155.08</v>
      </c>
      <c r="HR81" s="3">
        <f>_xlfn.XLOOKUP(B81,QUERY!$C:$C,QUERY!BS:BS)</f>
        <v>0</v>
      </c>
      <c r="HS81" s="3">
        <f>_xlfn.XLOOKUP(B81,QUERY!$C:$C,QUERY!BT:BT)</f>
        <v>0</v>
      </c>
      <c r="HT81" s="3" t="str">
        <f>_xlfn.XLOOKUP(B81,QUERY!$C:$C,QUERY!A:A)</f>
        <v>VERACRUZ</v>
      </c>
      <c r="HU81" s="3" t="str">
        <f>_xlfn.XLOOKUP(B81,QUERY!$C:$C,QUERY!B:B)</f>
        <v>MARÍTIMO VERACRUZ</v>
      </c>
    </row>
    <row r="82" spans="1:229" x14ac:dyDescent="0.25">
      <c r="A82" s="3" t="s">
        <v>90</v>
      </c>
      <c r="B82" s="3" t="s">
        <v>293</v>
      </c>
      <c r="C82" s="3">
        <v>3942</v>
      </c>
      <c r="D82" s="3">
        <v>6000375</v>
      </c>
      <c r="E82" s="3"/>
      <c r="F82" s="3" t="s">
        <v>92</v>
      </c>
      <c r="G82" s="3" t="s">
        <v>93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430</v>
      </c>
      <c r="S82" s="3"/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 t="s">
        <v>295</v>
      </c>
      <c r="AB82" s="3"/>
      <c r="AC82" s="3">
        <v>24786720</v>
      </c>
      <c r="AD82" s="3">
        <v>1680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/>
      <c r="AP82" s="3" t="s">
        <v>98</v>
      </c>
      <c r="AQ82" s="3">
        <v>210365022</v>
      </c>
      <c r="AR82" s="3" t="s">
        <v>99</v>
      </c>
      <c r="AS82" s="3" t="s">
        <v>100</v>
      </c>
      <c r="AT82" s="3">
        <v>0</v>
      </c>
      <c r="AU82" s="3">
        <v>0</v>
      </c>
      <c r="AV82" s="3">
        <v>0</v>
      </c>
      <c r="AW82" s="3">
        <v>30024201</v>
      </c>
      <c r="AX82" s="3">
        <v>99</v>
      </c>
      <c r="AY82" s="3">
        <v>14754</v>
      </c>
      <c r="AZ82" s="3">
        <v>14754</v>
      </c>
      <c r="BA82" s="3" t="s">
        <v>103</v>
      </c>
      <c r="BB82" s="3"/>
      <c r="BC82" s="3" t="s">
        <v>105</v>
      </c>
      <c r="BD82" s="3" t="s">
        <v>105</v>
      </c>
      <c r="BE82" s="3"/>
      <c r="BF82" s="3"/>
      <c r="BG82" s="5"/>
      <c r="BH82" s="3"/>
      <c r="BI82" s="3"/>
      <c r="BJ82" s="3"/>
      <c r="BK82" s="3" t="s">
        <v>300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 t="s">
        <v>192</v>
      </c>
      <c r="CF82" s="3">
        <v>0</v>
      </c>
      <c r="CG82" s="3">
        <v>0</v>
      </c>
      <c r="CH82" s="3">
        <v>0</v>
      </c>
      <c r="CI82" s="3" t="s">
        <v>299</v>
      </c>
      <c r="CJ82" s="3" t="s">
        <v>112</v>
      </c>
      <c r="CK82" s="3">
        <f>_xlfn.XLOOKUP($B$2,'BASE DE EXCEL'!C:C,'BASE DE EXCEL'!D:D,"NO HAY REFERENCIA")</f>
        <v>470</v>
      </c>
      <c r="CL82" s="5">
        <f>_xlfn.XLOOKUP($B$2,'BASE DE EXCEL'!$C:$C,'BASE DE EXCEL'!F:F,"NO HAY REFERENCIA")</f>
        <v>3</v>
      </c>
      <c r="CM82" s="4">
        <f>_xlfn.XLOOKUP($B$2,'BASE DE EXCEL'!$C:$C,'BASE DE EXCEL'!G:G,"NO HAY REFERENCIA")</f>
        <v>46080</v>
      </c>
      <c r="CN82" s="4">
        <f>_xlfn.XLOOKUP($B$2,'BASE DE EXCEL'!$C:$C,'BASE DE EXCEL'!H:H,"NO HAY REFERENCIA")</f>
        <v>46086</v>
      </c>
      <c r="CO82" s="3">
        <f>_xlfn.XLOOKUP($B$2,'BASE DE EXCEL'!$C:$C,'BASE DE EXCEL'!I:I,"NO HAY REFERENCIA")</f>
        <v>4</v>
      </c>
      <c r="CP82" s="3" t="str">
        <f>_xlfn.XLOOKUP($B$2,'BASE DE EXCEL'!$C:$C,'BASE DE EXCEL'!J:J,"NO HAY REFERENCIA")</f>
        <v>4 a 5 días</v>
      </c>
      <c r="CQ82" s="4">
        <f>_xlfn.XLOOKUP($B$2,'BASE DE EXCEL'!$C:$C,'BASE DE EXCEL'!K:K,"NO HAY REFERENCIA")</f>
        <v>46087</v>
      </c>
      <c r="CR82" s="3">
        <f>_xlfn.XLOOKUP($B$2,'BASE DE EXCEL'!$C:$C,'BASE DE EXCEL'!L:L,"NO HAY REFERENCIA")</f>
        <v>5</v>
      </c>
      <c r="CS82" s="3">
        <f>_xlfn.XLOOKUP($B$2,'BASE DE EXCEL'!$C:$C,'BASE DE EXCEL'!M:M,"NO HAY REFERENCIA")</f>
        <v>6</v>
      </c>
      <c r="CT82" s="3" t="str">
        <f>_xlfn.XLOOKUP($B$2,'BASE DE EXCEL'!$C:$C,'BASE DE EXCEL'!N:N,"NO HAY REFERENCIA")</f>
        <v>6 a 10 días</v>
      </c>
      <c r="CU82" s="3" t="str">
        <f>_xlfn.XLOOKUP($B$2,'BASE DE EXCEL'!$C:$C,'BASE DE EXCEL'!O:O,"NO HAY REFERENCIA")</f>
        <v>On Time</v>
      </c>
      <c r="CV82" s="3" t="str">
        <f>_xlfn.XLOOKUP(B82,'BASE DE EXCEL'!$C:$C,'BASE DE EXCEL'!P:P,"NO HAY REFERENCIA")</f>
        <v>16 o más días</v>
      </c>
      <c r="CW82" s="4">
        <f>_xlfn.XLOOKUP(B82,'BASE DE EXCEL'!$C:$C,'BASE DE EXCEL'!Q:Q,"NO HAY REFERENCIA")</f>
        <v>46094</v>
      </c>
      <c r="CX82" s="3">
        <f>_xlfn.XLOOKUP(B82,'BASE DE EXCEL'!$C:$C,'BASE DE EXCEL'!R:R,"NO HAY REFERENCIA")</f>
        <v>14</v>
      </c>
      <c r="CY82" s="3" t="str">
        <f>_xlfn.XLOOKUP(B82,'BASE DE EXCEL'!$C:$C,'BASE DE EXCEL'!S:S,"NO HAY REFERENCIA")</f>
        <v>11 a 15 días</v>
      </c>
      <c r="CZ82" s="3" t="str">
        <f>_xlfn.XLOOKUP(B82,'BASE DE EXCEL'!$C:$C,'BASE DE EXCEL'!T:T,"NO HAY REFERENCIA")</f>
        <v>Delayed</v>
      </c>
      <c r="DA82" s="3">
        <f>_xlfn.XLOOKUP(B82,'BASE DE EXCEL'!$C:$C,'BASE DE EXCEL'!U:U,"NO HAY REFERENCIA")</f>
        <v>0</v>
      </c>
      <c r="DB82" s="3" t="str">
        <f>_xlfn.XLOOKUP(B82,'BASE DE EXCEL'!$C:$C,'BASE DE EXCEL'!V:V,"NO HAY REFERENCIA")</f>
        <v>Sin Dato</v>
      </c>
      <c r="DC82" s="3">
        <f>_xlfn.XLOOKUP(B82,'BASE DE EXCEL'!$C:$C,'BASE DE EXCEL'!W:W,"NO HAY REFERENCIA")</f>
        <v>20</v>
      </c>
      <c r="DD82" s="3" t="str">
        <f>_xlfn.XLOOKUP(B82,'BASE DE EXCEL'!$C:$C,'BASE DE EXCEL'!X:X,"NO HAY REFERENCIA")</f>
        <v>más de 16 días</v>
      </c>
      <c r="DE82" s="3">
        <f>_xlfn.XLOOKUP(B82,'BASE DE EXCEL'!$C:$C,'BASE DE EXCEL'!Y:Y,"NO HAY REFERENCIA")</f>
        <v>1</v>
      </c>
      <c r="DF82" s="3" t="str">
        <f>_xlfn.XLOOKUP(B82,'BASE DE EXCEL'!$C:$C,'BASE DE EXCEL'!Z:Z,"NO HAY REFERENCIA")</f>
        <v>1 día o menos</v>
      </c>
      <c r="DG82" s="3">
        <f>_xlfn.XLOOKUP(B82,'BASE DE EXCEL'!$C:$C,'BASE DE EXCEL'!AA:AA,"NO HAY REFERENCIA")</f>
        <v>15</v>
      </c>
      <c r="DH82" s="3">
        <f>_xlfn.XLOOKUP(B82,'BASE DE EXCEL'!$C:$C,'BASE DE EXCEL'!AB:AB,"NO HAY REFERENCIA")</f>
        <v>-46091</v>
      </c>
      <c r="DI82" s="3" t="str">
        <f>_xlfn.XLOOKUP(B82,'BASE DE EXCEL'!$C:$C,'BASE DE EXCEL'!AC:AC,"NO HAY REFERENCIA")</f>
        <v>SIN DATO</v>
      </c>
      <c r="DJ82" s="4">
        <f>_xlfn.XLOOKUP(B82,'BASE DE EXCEL'!$C:$C,'BASE DE EXCEL'!AD:AD,"NO HAY REFERENCIA")</f>
        <v>46105</v>
      </c>
      <c r="DK82" s="3">
        <f>_xlfn.XLOOKUP(B82,'BASE DE EXCEL'!$C:$C,'BASE DE EXCEL'!AE:AE,"NO HAY REFERENCIA")</f>
        <v>46105</v>
      </c>
      <c r="DL82" s="3">
        <f>_xlfn.XLOOKUP(B82,'BASE DE EXCEL'!$C:$C,'BASE DE EXCEL'!AF:AF,"NO HAY REFERENCIA")</f>
        <v>32931</v>
      </c>
      <c r="DM82" s="4">
        <f>_xlfn.XLOOKUP(B82,'BASE DE EXCEL'!$C:$C,'BASE DE EXCEL'!AG:AG,"NO HAY REFERENCIA")</f>
        <v>46107</v>
      </c>
      <c r="DN82" s="4">
        <f>_xlfn.XLOOKUP(B82,'BASE DE EXCEL'!$C:$C,'BASE DE EXCEL'!AH:AH,"NO HAY REFERENCIA")</f>
        <v>46105</v>
      </c>
      <c r="DO82" s="3">
        <f>_xlfn.XLOOKUP(B82,'BASE DE EXCEL'!$C:$C,'BASE DE EXCEL'!AI:AI,"NO HAY REFERENCIA")</f>
        <v>-2</v>
      </c>
      <c r="DP82" s="4" t="str">
        <f>_xlfn.XLOOKUP(B82,'BASE DE EXCEL'!$C:$C,'BASE DE EXCEL'!AJ:AJ,"NO HAY REFERENCIA")</f>
        <v>SIN DATO</v>
      </c>
      <c r="DQ82" s="4">
        <f>_xlfn.XLOOKUP(B82,'BASE DE EXCEL'!$C:$C,'BASE DE EXCEL'!AK:AK,"NO HAY REFERENCIA")</f>
        <v>46105</v>
      </c>
      <c r="DR82" s="3">
        <f>_xlfn.XLOOKUP(B82,'BASE DE EXCEL'!$C:$C,'BASE DE EXCEL'!AL:AL,"NO HAY REFERENCIA")</f>
        <v>7</v>
      </c>
      <c r="DS82" s="3" t="str">
        <f>_xlfn.XLOOKUP(B82,'BASE DE EXCEL'!$C:$C,'BASE DE EXCEL'!AM:AM,"NO HAY REFERENCIA")</f>
        <v>6 a 10 días</v>
      </c>
      <c r="DT82" s="3" t="str">
        <f>_xlfn.XLOOKUP(B82,'BASE DE EXCEL'!$C:$C,'BASE DE EXCEL'!AN:AN,"NO HAY REFERENCIA")</f>
        <v>Delayed</v>
      </c>
      <c r="DU82" s="3">
        <f>_xlfn.XLOOKUP(B82,'BASE DE EXCEL'!$C:$C,'BASE DE EXCEL'!AO:AO,"NO HAY REFERENCIA")</f>
        <v>0</v>
      </c>
      <c r="DV82" s="3" t="str">
        <f>_xlfn.XLOOKUP(B82,'BASE DE EXCEL'!$C:$C,'BASE DE EXCEL'!AP:AP,"NO HAY REFERENCIA")</f>
        <v>Es anterior</v>
      </c>
      <c r="DW82" s="3" t="str">
        <f>_xlfn.XLOOKUP(B82,'BASE DE EXCEL'!$C:$C,'BASE DE EXCEL'!AQ:AQ,"NO HAY REFERENCIA")</f>
        <v>A1</v>
      </c>
      <c r="DX82" s="3" t="str">
        <f>_xlfn.XLOOKUP(B82,'BASE DE EXCEL'!$C:$C,'BASE DE EXCEL'!AR:AR,"NO HAY REFERENCIA")</f>
        <v>ZULEIMA PEREZ RUIZ</v>
      </c>
      <c r="DY82" s="3" t="str">
        <f>_xlfn.XLOOKUP(B82,'BASE DE EXCEL'!$C:$C,'BASE DE EXCEL'!AS:AS,"NO HAY REFERENCIA")</f>
        <v>HLCURTM260162366</v>
      </c>
      <c r="DZ82" s="3" t="str">
        <f>_xlfn.XLOOKUP(B82,'BASE DE EXCEL'!$C:$C,'BASE DE EXCEL'!AT:AT,"NO HAY REFERENCIA")</f>
        <v>NULL</v>
      </c>
      <c r="EA82" s="3">
        <f>_xlfn.XLOOKUP(B82,'BASE DE EXCEL'!$C:$C,'BASE DE EXCEL'!AU:AU,"NO HAY REFERENCIA")</f>
        <v>6000375</v>
      </c>
      <c r="EB82" s="3" t="str">
        <f>_xlfn.XLOOKUP(B82,'BASE DE EXCEL'!$C:$C,'BASE DE EXCEL'!AV:AV,"NO HAY REFERENCIA")</f>
        <v>Importación</v>
      </c>
      <c r="EC82" s="3" t="str">
        <f>_xlfn.XLOOKUP(B82,'BASE DE EXCEL'!$C:$C,'BASE DE EXCEL'!AW:AW,"NO HAY REFERENCIA")</f>
        <v>PORCILIS PCV M HYO ID (VACUNA DE USO VETERINARIO)</v>
      </c>
      <c r="ED82" s="3" t="str">
        <f>_xlfn.XLOOKUP(B82,'BASE DE EXCEL'!$C:$C,'BASE DE EXCEL'!AX:AX,"NO HAY REFERENCIA")</f>
        <v>SIN CLASIFICACION</v>
      </c>
      <c r="EE82" s="3">
        <f>_xlfn.XLOOKUP(B82,'BASE DE EXCEL'!$C:$C,'BASE DE EXCEL'!AY:AY,"NO HAY REFERENCIA")</f>
        <v>0</v>
      </c>
      <c r="EF82" s="3" t="str">
        <f>_xlfn.XLOOKUP(B82,'BASE DE EXCEL'!$C:$C,'BASE DE EXCEL'!AZ:AZ,"NO HAY REFERENCIA")</f>
        <v>Cargas de Importación</v>
      </c>
      <c r="EG82" s="3" t="str">
        <f>_xlfn.XLOOKUP(B82,'BASE DE EXCEL'!$C:$C,'BASE DE EXCEL'!BA:BA,"NO HAY REFERENCIA")</f>
        <v>INTERVET MEXICO SA DE CV</v>
      </c>
      <c r="EH82" s="3">
        <f>_xlfn.XLOOKUP(B82,'BASE DE EXCEL'!$C:$C,'BASE DE EXCEL'!BB:BB,"NO HAY REFERENCIA")</f>
        <v>0</v>
      </c>
      <c r="EI82" s="3" t="str">
        <f>_xlfn.XLOOKUP(B82,'BASE DE EXCEL'!$C:$C,'BASE DE EXCEL'!BC:BC,"NO HAY REFERENCIA")</f>
        <v>FALTA RRNA</v>
      </c>
      <c r="EJ82" s="3" t="str">
        <f>_xlfn.XLOOKUP(B82,'BASE DE EXCEL'!$C:$C,'BASE DE EXCEL'!BD:BD,"NO HAY REFERENCIA")</f>
        <v xml:space="preserve">PENDIENTE CZB </v>
      </c>
      <c r="EK82" s="3" t="str">
        <f>_xlfn.XLOOKUP(B82,'BASE DE EXCEL'!$C:$C,'BASE DE EXCEL'!BE:BE,"NO HAY REFERENCIA")</f>
        <v>FALTA RRNA</v>
      </c>
      <c r="EL82" s="3" t="str">
        <f>_xlfn.XLOOKUP(B82,'BASE DE EXCEL'!$C:$C,'BASE DE EXCEL'!BF:BF,"NO HAY REFERENCIA")</f>
        <v>PRODUCTO TERMINADO</v>
      </c>
      <c r="EM82" s="3" t="str">
        <f>_xlfn.XLOOKUP(B82,'BASE DE EXCEL'!$C:$C,'BASE DE EXCEL'!BG:BG,"NO HAY REFERENCIA")</f>
        <v>Verde</v>
      </c>
      <c r="EN82" s="3" t="str">
        <f>_xlfn.XLOOKUP(B82,'BASE DE EXCEL'!$C:$C,'BASE DE EXCEL'!BH:BH,"NO HAY REFERENCIA")</f>
        <v xml:space="preserve"> SERVEX TRANSPORTES SA DE CV</v>
      </c>
      <c r="EO82" s="3" t="str">
        <f>_xlfn.XLOOKUP(B82,'BASE DE EXCEL'!$C:$C,'BASE DE EXCEL'!BI:BI,"NO HAY REFERENCIA")</f>
        <v>CAMION ECONOMICO 029</v>
      </c>
      <c r="EP82" s="3">
        <f>_xlfn.XLOOKUP(B82,'BASE DE EXCEL'!$C:$C,'BASE DE EXCEL'!BJ:BJ,"NO HAY REFERENCIA")</f>
        <v>0</v>
      </c>
      <c r="EQ82" s="3" t="str">
        <f>_xlfn.XLOOKUP(B82,'BASE DE EXCEL'!$C:$C,'BASE DE EXCEL'!BK:BK,"NO HAY REFERENCIA")</f>
        <v>IME850329RH2</v>
      </c>
      <c r="ER82" s="3">
        <f>_xlfn.XLOOKUP(B82,'BASE DE EXCEL'!$C:$C,'BASE DE EXCEL'!BL:BL,"NO HAY REFERENCIA")</f>
        <v>0</v>
      </c>
      <c r="ES82" s="3">
        <f>_xlfn.XLOOKUP(B82,'BASE DE EXCEL'!$C:$C,'BASE DE EXCEL'!BM:BM,"NO HAY REFERENCIA")</f>
        <v>99</v>
      </c>
      <c r="ET82" s="3" t="str">
        <f>_xlfn.XLOOKUP(B82,'BASE DE EXCEL'!$C:$C,'BASE DE EXCEL'!BN:BN,"NO HAY REFERENCIA")</f>
        <v>LOTE: A019A01,LOTE: A019A02,LOTE: A020A01</v>
      </c>
      <c r="EU82" s="3">
        <f>_xlfn.XLOOKUP(B82,'BASE DE EXCEL'!$C:$C,'BASE DE EXCEL'!BO:BO,"NO HAY REFERENCIA")</f>
        <v>90</v>
      </c>
      <c r="EV82" s="3" t="str">
        <f>_xlfn.XLOOKUP(B82,'BASE DE EXCEL'!$C:$C,'BASE DE EXCEL'!BP:BP,"NO HAY REFERENCIA")</f>
        <v xml:space="preserve"> 11491200.00, 24786720.00</v>
      </c>
      <c r="EW82" s="3" t="str">
        <f>_xlfn.XLOOKUP(B82,'BASE DE EXCEL'!$C:$C,'BASE DE EXCEL'!BQ:BQ,"NO HAY REFERENCIA")</f>
        <v>KILO,KILO,KILO</v>
      </c>
      <c r="EX82" s="3">
        <f>_xlfn.XLOOKUP(B82,'BASE DE EXCEL'!$C:$C,'BASE DE EXCEL'!BR:BR,"NO HAY REFERENCIA")</f>
        <v>0</v>
      </c>
      <c r="EY82" s="3" t="str">
        <f>_xlfn.XLOOKUP(B82,'BASE DE EXCEL'!$C:$C,'BASE DE EXCEL'!BS:BS,"NO HAY REFERENCIA")</f>
        <v>PAISES BAJOS (REINO DE LOS) (HOLANDA)</v>
      </c>
      <c r="EZ82" s="3" t="str">
        <f>_xlfn.XLOOKUP(B82,'BASE DE EXCEL'!$C:$C,'BASE DE EXCEL'!BT:BT,"NO HAY REFERENCIA")</f>
        <v>PAISES BAJOS (REINO DE LOS) (HOLANDA)</v>
      </c>
      <c r="FA82" s="3" t="str">
        <f>_xlfn.XLOOKUP(B82,'BASE DE EXCEL'!$C:$C,'BASE DE EXCEL'!BU:BU,"NO HAY REFERENCIA")</f>
        <v>ZYA</v>
      </c>
      <c r="FB82" s="3" t="str">
        <f>_xlfn.XLOOKUP(B82,'BASE DE EXCEL'!$C:$C,'BASE DE EXCEL'!BV:BV,"NO HAY REFERENCIA")</f>
        <v>ZYA</v>
      </c>
      <c r="FC82" s="3">
        <f>_xlfn.XLOOKUP(B82,QUERY!$C:$C,QUERY!D:D)</f>
        <v>430</v>
      </c>
      <c r="FD82" s="4">
        <f>_xlfn.XLOOKUP(B82,QUERY!$C:$C,QUERY!E:E)</f>
        <v>46092</v>
      </c>
      <c r="FE82" s="3">
        <f>_xlfn.XLOOKUP(B82,QUERY!$C:$C,QUERY!F:F)</f>
        <v>3</v>
      </c>
      <c r="FF82" s="4">
        <f>_xlfn.XLOOKUP(B82,QUERY!$C:$C,QUERY!G:G)</f>
        <v>46077</v>
      </c>
      <c r="FG82" s="4">
        <f>_xlfn.XLOOKUP(B82,QUERY!$C:$C,QUERY!H:H)</f>
        <v>46092</v>
      </c>
      <c r="FH82" s="3">
        <f>_xlfn.XLOOKUP(B82,QUERY!$C:$C,QUERY!I:I)</f>
        <v>11</v>
      </c>
      <c r="FI82" s="3" t="str">
        <f>_xlfn.XLOOKUP(B82,QUERY!$C:$C,QUERY!J:J)</f>
        <v>11 a 15 días</v>
      </c>
      <c r="FJ82" s="4">
        <f>_xlfn.XLOOKUP(B82,QUERY!$C:$C,QUERY!K:K)</f>
        <v>46093</v>
      </c>
      <c r="FK82" s="3">
        <f>_xlfn.XLOOKUP(B82,QUERY!$C:$C,QUERY!L:L)</f>
        <v>12</v>
      </c>
      <c r="FL82" s="3" t="str">
        <f>_xlfn.XLOOKUP(B82,QUERY!$C:$C,QUERY!M:M)</f>
        <v>11 a 15 días</v>
      </c>
      <c r="FM82" s="3">
        <f>_xlfn.XLOOKUP(B82,QUERY!$C:$C,QUERY!N:N)</f>
        <v>1</v>
      </c>
      <c r="FN82" s="3" t="str">
        <f>_xlfn.XLOOKUP(B82,QUERY!$C:$C,QUERY!O:O)</f>
        <v>1 día o menos</v>
      </c>
      <c r="FO82" s="3">
        <f>_xlfn.XLOOKUP(B82,QUERY!$C:$C,QUERY!P:P)</f>
        <v>1</v>
      </c>
      <c r="FP82" s="3">
        <f>_xlfn.XLOOKUP(B82,QUERY!$C:$C,QUERY!Q:Q)</f>
        <v>1</v>
      </c>
      <c r="FQ82" s="3" t="str">
        <f>_xlfn.XLOOKUP(B82,QUERY!$C:$C,QUERY!R:R)</f>
        <v>1 día o menos</v>
      </c>
      <c r="FR82" s="4">
        <f>_xlfn.XLOOKUP(B82,QUERY!$C:$C,QUERY!S:S)</f>
        <v>46094</v>
      </c>
      <c r="FS82" s="3">
        <f>_xlfn.XLOOKUP(B82,QUERY!$C:$C,QUERY!T:T)</f>
        <v>13</v>
      </c>
      <c r="FT82" s="3" t="str">
        <f>_xlfn.XLOOKUP(B82,QUERY!$C:$C,QUERY!U:U)</f>
        <v>11 a 15 días</v>
      </c>
      <c r="FU82" s="3">
        <f>_xlfn.XLOOKUP(B82,QUERY!$C:$C,QUERY!V:V)</f>
        <v>20</v>
      </c>
      <c r="FV82" s="3" t="str">
        <f>_xlfn.XLOOKUP(B82,QUERY!$C:$C,QUERY!W:W)</f>
        <v>más de 16 días</v>
      </c>
      <c r="FW82" s="4">
        <f>_xlfn.XLOOKUP(B82,QUERY!$C:$C,QUERY!X:X)</f>
        <v>46105</v>
      </c>
      <c r="FX82" s="3">
        <f>_xlfn.XLOOKUP(B82,QUERY!$C:$C,QUERY!Y:Y)</f>
        <v>7</v>
      </c>
      <c r="FY82" s="3">
        <f>_xlfn.XLOOKUP(B82,QUERY!$C:$C,QUERY!Z:Z)</f>
        <v>7</v>
      </c>
      <c r="FZ82" s="4" t="str">
        <f>_xlfn.XLOOKUP(B82,QUERY!$C:$C,QUERY!AA:AA)</f>
        <v>11 a 15 días</v>
      </c>
      <c r="GA82" s="4">
        <f>_xlfn.XLOOKUP(B82,QUERY!$C:$C,QUERY!AB:AB)</f>
        <v>46105</v>
      </c>
      <c r="GB82" s="4">
        <f>_xlfn.XLOOKUP(B82,QUERY!$C:$C,QUERY!AC:AC)</f>
        <v>46105</v>
      </c>
      <c r="GC82" s="3">
        <f>_xlfn.XLOOKUP(B82,QUERY!$C:$C,QUERY!AD:AD)</f>
        <v>0</v>
      </c>
      <c r="GD82" s="4">
        <f>_xlfn.XLOOKUP(B82,QUERY!$C:$C,QUERY!AE:AE)</f>
        <v>46105</v>
      </c>
      <c r="GE82" s="3">
        <f>_xlfn.XLOOKUP(B82,QUERY!$C:$C,QUERY!AF:AF)</f>
        <v>1</v>
      </c>
      <c r="GF82" s="4" t="str">
        <f>_xlfn.XLOOKUP(B82,QUERY!$C:$C,QUERY!AG:AG)</f>
        <v>Es anterior</v>
      </c>
      <c r="GG82" s="3" t="str">
        <f>_xlfn.XLOOKUP(B82,QUERY!$C:$C,QUERY!AH:AH)</f>
        <v>A1</v>
      </c>
      <c r="GH82" s="3" t="str">
        <f>_xlfn.XLOOKUP(B82,QUERY!$C:$C,QUERY!AI:AI)</f>
        <v>ZULEIMA PEREZ RUIZ</v>
      </c>
      <c r="GI82" s="3" t="str">
        <f>_xlfn.XLOOKUP(B82,QUERY!$C:$C,QUERY!AJ:AJ)</f>
        <v>HLCURTM260162366</v>
      </c>
      <c r="GJ82" s="3" t="str">
        <f>_xlfn.XLOOKUP(B82,QUERY!$C:$C,QUERY!AK:AK)</f>
        <v>NULL</v>
      </c>
      <c r="GK82" s="3">
        <f>_xlfn.XLOOKUP(B82,QUERY!$C:$C,QUERY!AL:AL)</f>
        <v>6000375</v>
      </c>
      <c r="GL82" s="3" t="str">
        <f>_xlfn.XLOOKUP(B82,QUERY!$C:$C,QUERY!AM:AM)</f>
        <v>Importación</v>
      </c>
      <c r="GM82" s="3" t="str">
        <f>_xlfn.XLOOKUP(B82,QUERY!$C:$C,QUERY!AN:AN)</f>
        <v>PORCILIS PCV M HYO ID (VACUNA DE USO VETERINARIO)</v>
      </c>
      <c r="GN82" s="3" t="str">
        <f>_xlfn.XLOOKUP(B82,QUERY!$C:$C,QUERY!AO:AO)</f>
        <v>SIN CLASIFICACION</v>
      </c>
      <c r="GO82" s="3">
        <f>_xlfn.XLOOKUP(B82,QUERY!$C:$C,QUERY!AP:AP)</f>
        <v>0</v>
      </c>
      <c r="GP82" s="3" t="str">
        <f>_xlfn.XLOOKUP(B82,QUERY!$C:$C,QUERY!AQ:AQ)</f>
        <v>Cargas de Importación</v>
      </c>
      <c r="GQ82" s="3" t="str">
        <f>_xlfn.XLOOKUP(B82,QUERY!$C:$C,QUERY!AR:AR)</f>
        <v>INTERVET MEXICO SA DE CV</v>
      </c>
      <c r="GR82" s="3">
        <f>_xlfn.XLOOKUP(B82,QUERY!$C:$C,QUERY!AS:AS)</f>
        <v>0</v>
      </c>
      <c r="GS82" s="3" t="str">
        <f>_xlfn.XLOOKUP(B82,QUERY!$C:$C,QUERY!AT:AT)</f>
        <v>FALTA RRNA</v>
      </c>
      <c r="GT82" s="3" t="str">
        <f>_xlfn.XLOOKUP(B82,QUERY!$C:$C,QUERY!AU:AU)</f>
        <v xml:space="preserve">PENDIENTE CZB </v>
      </c>
      <c r="GU82" s="3" t="str">
        <f>_xlfn.XLOOKUP(B82,QUERY!$C:$C,QUERY!AV:AV)</f>
        <v>FALTA RRNA</v>
      </c>
      <c r="GV82" s="3" t="str">
        <f>_xlfn.XLOOKUP(B82,QUERY!$C:$C,QUERY!AW:AW)</f>
        <v>PRODUCTO TERMINADO</v>
      </c>
      <c r="GW82" s="3" t="str">
        <f>_xlfn.XLOOKUP(B82,QUERY!$C:$C,QUERY!AX:AX)</f>
        <v>Verde</v>
      </c>
      <c r="GX82" s="3" t="str">
        <f>_xlfn.XLOOKUP(B82,QUERY!$C:$C,QUERY!AY:AY)</f>
        <v xml:space="preserve"> SERVEX TRANSPORTES SA DE CV</v>
      </c>
      <c r="GY82" s="3" t="str">
        <f>_xlfn.XLOOKUP(B82,QUERY!$C:$C,QUERY!AZ:AZ)</f>
        <v>CAMION ECONOMICO 029</v>
      </c>
      <c r="GZ82" s="3">
        <f>_xlfn.XLOOKUP(B82,QUERY!$C:$C,QUERY!BA:BA)</f>
        <v>0</v>
      </c>
      <c r="HA82" s="3" t="str">
        <f>_xlfn.XLOOKUP(B82,QUERY!$C:$C,QUERY!BB:BB)</f>
        <v>IME850329RH2</v>
      </c>
      <c r="HB82" s="3">
        <f>_xlfn.XLOOKUP(B82,QUERY!$C:$C,QUERY!BC:BC)</f>
        <v>0</v>
      </c>
      <c r="HC82" s="3">
        <f>_xlfn.XLOOKUP(B82,QUERY!$C:$C,QUERY!BD:BD)</f>
        <v>99</v>
      </c>
      <c r="HD82" s="3" t="str">
        <f>_xlfn.XLOOKUP(B82,QUERY!$C:$C,QUERY!BE:BE)</f>
        <v>LOTE: A019A01,LOTE: A019A02,LOTE: A020A01</v>
      </c>
      <c r="HE82" s="3">
        <f>_xlfn.XLOOKUP(B82,QUERY!$C:$C,QUERY!BF:BF)</f>
        <v>90</v>
      </c>
      <c r="HF82" s="3" t="str">
        <f>_xlfn.XLOOKUP(B82,QUERY!$C:$C,QUERY!BG:BG)</f>
        <v xml:space="preserve"> 11491200.00, 24786720.00</v>
      </c>
      <c r="HG82" s="3" t="str">
        <f>_xlfn.XLOOKUP(B82,QUERY!$C:$C,QUERY!BH:BH)</f>
        <v>KILO,KILO,KILO</v>
      </c>
      <c r="HH82" s="3">
        <f>_xlfn.XLOOKUP(B82,QUERY!$C:$C,QUERY!BI:BI)</f>
        <v>0</v>
      </c>
      <c r="HI82" s="3" t="str">
        <f>_xlfn.XLOOKUP(B82,QUERY!$C:$C,QUERY!BJ:BJ)</f>
        <v>PAISES BAJOS (REINO DE LOS) (HOLANDA)</v>
      </c>
      <c r="HJ82" s="3" t="str">
        <f>_xlfn.XLOOKUP(B82,QUERY!$C:$C,QUERY!BK:BK)</f>
        <v>PAISES BAJOS (REINO DE LOS) (HOLANDA)</v>
      </c>
      <c r="HK82" s="3" t="str">
        <f>_xlfn.XLOOKUP(B82,QUERY!$C:$C,QUERY!BL:BL)</f>
        <v>ZYA</v>
      </c>
      <c r="HL82" s="3" t="str">
        <f>_xlfn.XLOOKUP(B82,QUERY!$C:$C,QUERY!BM:BM)</f>
        <v>ZYA</v>
      </c>
      <c r="HM82" s="3">
        <f>_xlfn.XLOOKUP(B82,QUERY!$C:$C,QUERY!BN:BN)</f>
        <v>36277920</v>
      </c>
      <c r="HN82" s="3" t="str">
        <f>_xlfn.XLOOKUP(B82,QUERY!$C:$C,QUERY!BO:BO)</f>
        <v>462.00</v>
      </c>
      <c r="HO82" s="3" t="str">
        <f>_xlfn.XLOOKUP(B82,QUERY!$C:$C,QUERY!BP:BP)</f>
        <v>NULL</v>
      </c>
      <c r="HP82" s="3" t="str">
        <f>_xlfn.XLOOKUP(B82,QUERY!$C:$C,QUERY!BQ:BQ)</f>
        <v>NULL</v>
      </c>
      <c r="HQ82" s="3" t="str">
        <f>_xlfn.XLOOKUP(B82,QUERY!$C:$C,QUERY!BR:BR)</f>
        <v>138155.08</v>
      </c>
      <c r="HR82" s="3">
        <f>_xlfn.XLOOKUP(B82,QUERY!$C:$C,QUERY!BS:BS)</f>
        <v>0</v>
      </c>
      <c r="HS82" s="3">
        <f>_xlfn.XLOOKUP(B82,QUERY!$C:$C,QUERY!BT:BT)</f>
        <v>0</v>
      </c>
      <c r="HT82" s="3" t="str">
        <f>_xlfn.XLOOKUP(B82,QUERY!$C:$C,QUERY!A:A)</f>
        <v>VERACRUZ</v>
      </c>
      <c r="HU82" s="3" t="str">
        <f>_xlfn.XLOOKUP(B82,QUERY!$C:$C,QUERY!B:B)</f>
        <v>MARÍTIMO VERACRUZ</v>
      </c>
    </row>
    <row r="83" spans="1:229" x14ac:dyDescent="0.25">
      <c r="A83" s="3" t="s">
        <v>90</v>
      </c>
      <c r="B83" s="3" t="s">
        <v>343</v>
      </c>
      <c r="C83" s="3">
        <v>3942</v>
      </c>
      <c r="D83" s="3">
        <v>6000418</v>
      </c>
      <c r="E83" s="3">
        <v>6000303</v>
      </c>
      <c r="F83" s="3" t="s">
        <v>92</v>
      </c>
      <c r="G83" s="3" t="s">
        <v>342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17.1722</v>
      </c>
      <c r="Q83" s="3">
        <v>3874</v>
      </c>
      <c r="R83" s="3">
        <v>430</v>
      </c>
      <c r="S83" s="3" t="s">
        <v>258</v>
      </c>
      <c r="T83" s="3" t="s">
        <v>95</v>
      </c>
      <c r="U83" s="3">
        <v>17566160</v>
      </c>
      <c r="V83" s="3">
        <v>17566160</v>
      </c>
      <c r="W83" s="3">
        <v>0</v>
      </c>
      <c r="X83" s="3">
        <v>0</v>
      </c>
      <c r="Y83" s="3">
        <v>0</v>
      </c>
      <c r="Z83" s="3">
        <v>0</v>
      </c>
      <c r="AA83" s="3" t="s">
        <v>220</v>
      </c>
      <c r="AB83" s="3"/>
      <c r="AC83" s="3">
        <v>321379</v>
      </c>
      <c r="AD83" s="3">
        <v>645.33936000000006</v>
      </c>
      <c r="AE83" s="3">
        <v>808</v>
      </c>
      <c r="AF83" s="3">
        <v>0</v>
      </c>
      <c r="AG83" s="3">
        <v>0</v>
      </c>
      <c r="AH83" s="3">
        <v>0</v>
      </c>
      <c r="AI83" s="3">
        <v>0</v>
      </c>
      <c r="AJ83" s="3">
        <v>444</v>
      </c>
      <c r="AK83" s="3">
        <v>0</v>
      </c>
      <c r="AL83" s="3">
        <v>0</v>
      </c>
      <c r="AM83" s="3">
        <v>330</v>
      </c>
      <c r="AN83" s="3">
        <v>444</v>
      </c>
      <c r="AO83" s="3" t="s">
        <v>97</v>
      </c>
      <c r="AP83" s="3" t="s">
        <v>98</v>
      </c>
      <c r="AQ83" s="3">
        <v>210364287</v>
      </c>
      <c r="AR83" s="3" t="s">
        <v>99</v>
      </c>
      <c r="AS83" s="3" t="s">
        <v>100</v>
      </c>
      <c r="AT83" s="3" t="s">
        <v>259</v>
      </c>
      <c r="AU83" s="3"/>
      <c r="AV83" s="3"/>
      <c r="AW83" s="3">
        <v>30024201</v>
      </c>
      <c r="AX83" s="3">
        <v>99</v>
      </c>
      <c r="AY83" s="3">
        <v>498</v>
      </c>
      <c r="AZ83" s="3">
        <v>498</v>
      </c>
      <c r="BA83" s="3" t="s">
        <v>103</v>
      </c>
      <c r="BB83" s="3"/>
      <c r="BC83" s="3" t="s">
        <v>105</v>
      </c>
      <c r="BD83" s="3" t="s">
        <v>105</v>
      </c>
      <c r="BE83" s="3" t="s">
        <v>106</v>
      </c>
      <c r="BF83" s="3"/>
      <c r="BG83" s="5" t="s">
        <v>260</v>
      </c>
      <c r="BH83" s="3" t="s">
        <v>148</v>
      </c>
      <c r="BI83" s="3"/>
      <c r="BJ83" s="3" t="s">
        <v>109</v>
      </c>
      <c r="BK83" s="3" t="s">
        <v>261</v>
      </c>
      <c r="BL83" s="3">
        <v>43966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44379.18</v>
      </c>
      <c r="BY83" s="3">
        <v>0</v>
      </c>
      <c r="BZ83" s="3">
        <v>0</v>
      </c>
      <c r="CA83" s="3">
        <v>26829.06</v>
      </c>
      <c r="CB83" s="3">
        <v>18000</v>
      </c>
      <c r="CC83" s="3">
        <v>4283.2</v>
      </c>
      <c r="CD83" s="3">
        <v>250436.84</v>
      </c>
      <c r="CE83" s="3" t="s">
        <v>192</v>
      </c>
      <c r="CF83" s="3">
        <v>250436.84</v>
      </c>
      <c r="CG83" s="3">
        <v>0</v>
      </c>
      <c r="CH83" s="3">
        <v>0</v>
      </c>
      <c r="CI83" s="3" t="s">
        <v>112</v>
      </c>
      <c r="CJ83" s="3" t="s">
        <v>112</v>
      </c>
      <c r="CK83" s="3">
        <f>_xlfn.XLOOKUP($B$2,'BASE DE EXCEL'!C:C,'BASE DE EXCEL'!D:D,"NO HAY REFERENCIA")</f>
        <v>470</v>
      </c>
      <c r="CL83" s="5">
        <f>_xlfn.XLOOKUP($B$2,'BASE DE EXCEL'!$C:$C,'BASE DE EXCEL'!F:F,"NO HAY REFERENCIA")</f>
        <v>3</v>
      </c>
      <c r="CM83" s="4">
        <f>_xlfn.XLOOKUP($B$2,'BASE DE EXCEL'!$C:$C,'BASE DE EXCEL'!G:G,"NO HAY REFERENCIA")</f>
        <v>46080</v>
      </c>
      <c r="CN83" s="4">
        <f>_xlfn.XLOOKUP($B$2,'BASE DE EXCEL'!$C:$C,'BASE DE EXCEL'!H:H,"NO HAY REFERENCIA")</f>
        <v>46086</v>
      </c>
      <c r="CO83" s="3">
        <f>_xlfn.XLOOKUP($B$2,'BASE DE EXCEL'!$C:$C,'BASE DE EXCEL'!I:I,"NO HAY REFERENCIA")</f>
        <v>4</v>
      </c>
      <c r="CP83" s="3" t="str">
        <f>_xlfn.XLOOKUP($B$2,'BASE DE EXCEL'!$C:$C,'BASE DE EXCEL'!J:J,"NO HAY REFERENCIA")</f>
        <v>4 a 5 días</v>
      </c>
      <c r="CQ83" s="4">
        <f>_xlfn.XLOOKUP($B$2,'BASE DE EXCEL'!$C:$C,'BASE DE EXCEL'!K:K,"NO HAY REFERENCIA")</f>
        <v>46087</v>
      </c>
      <c r="CR83" s="3">
        <f>_xlfn.XLOOKUP($B$2,'BASE DE EXCEL'!$C:$C,'BASE DE EXCEL'!L:L,"NO HAY REFERENCIA")</f>
        <v>5</v>
      </c>
      <c r="CS83" s="3">
        <f>_xlfn.XLOOKUP($B$2,'BASE DE EXCEL'!$C:$C,'BASE DE EXCEL'!M:M,"NO HAY REFERENCIA")</f>
        <v>6</v>
      </c>
      <c r="CT83" s="3" t="str">
        <f>_xlfn.XLOOKUP($B$2,'BASE DE EXCEL'!$C:$C,'BASE DE EXCEL'!N:N,"NO HAY REFERENCIA")</f>
        <v>6 a 10 días</v>
      </c>
      <c r="CU83" s="3" t="str">
        <f>_xlfn.XLOOKUP($B$2,'BASE DE EXCEL'!$C:$C,'BASE DE EXCEL'!O:O,"NO HAY REFERENCIA")</f>
        <v>On Time</v>
      </c>
      <c r="CV83" s="3" t="str">
        <f>_xlfn.XLOOKUP(B83,'BASE DE EXCEL'!$C:$C,'BASE DE EXCEL'!P:P,"NO HAY REFERENCIA")</f>
        <v>11 a 15 días</v>
      </c>
      <c r="CW83" s="4">
        <f>_xlfn.XLOOKUP(B83,'BASE DE EXCEL'!$C:$C,'BASE DE EXCEL'!Q:Q,"NO HAY REFERENCIA")</f>
        <v>46094</v>
      </c>
      <c r="CX83" s="3">
        <f>_xlfn.XLOOKUP(B83,'BASE DE EXCEL'!$C:$C,'BASE DE EXCEL'!R:R,"NO HAY REFERENCIA")</f>
        <v>14</v>
      </c>
      <c r="CY83" s="3" t="str">
        <f>_xlfn.XLOOKUP(B83,'BASE DE EXCEL'!$C:$C,'BASE DE EXCEL'!S:S,"NO HAY REFERENCIA")</f>
        <v>11 a 15 días</v>
      </c>
      <c r="CZ83" s="3" t="str">
        <f>_xlfn.XLOOKUP(B83,'BASE DE EXCEL'!$C:$C,'BASE DE EXCEL'!T:T,"NO HAY REFERENCIA")</f>
        <v>Delayed</v>
      </c>
      <c r="DA83" s="3">
        <f>_xlfn.XLOOKUP(B83,'BASE DE EXCEL'!$C:$C,'BASE DE EXCEL'!U:U,"NO HAY REFERENCIA")</f>
        <v>0</v>
      </c>
      <c r="DB83" s="3" t="str">
        <f>_xlfn.XLOOKUP(B83,'BASE DE EXCEL'!$C:$C,'BASE DE EXCEL'!V:V,"NO HAY REFERENCIA")</f>
        <v>Sin Dato</v>
      </c>
      <c r="DC83" s="3">
        <f>_xlfn.XLOOKUP(B83,'BASE DE EXCEL'!$C:$C,'BASE DE EXCEL'!W:W,"NO HAY REFERENCIA")</f>
        <v>20</v>
      </c>
      <c r="DD83" s="3" t="str">
        <f>_xlfn.XLOOKUP(B83,'BASE DE EXCEL'!$C:$C,'BASE DE EXCEL'!X:X,"NO HAY REFERENCIA")</f>
        <v>más de 16 días</v>
      </c>
      <c r="DE83" s="3">
        <f>_xlfn.XLOOKUP(B83,'BASE DE EXCEL'!$C:$C,'BASE DE EXCEL'!Y:Y,"NO HAY REFERENCIA")</f>
        <v>0</v>
      </c>
      <c r="DF83" s="3" t="str">
        <f>_xlfn.XLOOKUP(B83,'BASE DE EXCEL'!$C:$C,'BASE DE EXCEL'!Z:Z,"NO HAY REFERENCIA")</f>
        <v>1 día o menos</v>
      </c>
      <c r="DG83" s="3">
        <f>_xlfn.XLOOKUP(B83,'BASE DE EXCEL'!$C:$C,'BASE DE EXCEL'!AA:AA,"NO HAY REFERENCIA")</f>
        <v>14</v>
      </c>
      <c r="DH83" s="3">
        <f>_xlfn.XLOOKUP(B83,'BASE DE EXCEL'!$C:$C,'BASE DE EXCEL'!AB:AB,"NO HAY REFERENCIA")</f>
        <v>-46089</v>
      </c>
      <c r="DI83" s="3" t="str">
        <f>_xlfn.XLOOKUP(B83,'BASE DE EXCEL'!$C:$C,'BASE DE EXCEL'!AC:AC,"NO HAY REFERENCIA")</f>
        <v>SIN DATO</v>
      </c>
      <c r="DJ83" s="4">
        <f>_xlfn.XLOOKUP(B83,'BASE DE EXCEL'!$C:$C,'BASE DE EXCEL'!AD:AD,"NO HAY REFERENCIA")</f>
        <v>46105</v>
      </c>
      <c r="DK83" s="3">
        <f>_xlfn.XLOOKUP(B83,'BASE DE EXCEL'!$C:$C,'BASE DE EXCEL'!AE:AE,"NO HAY REFERENCIA")</f>
        <v>46102</v>
      </c>
      <c r="DL83" s="3">
        <f>_xlfn.XLOOKUP(B83,'BASE DE EXCEL'!$C:$C,'BASE DE EXCEL'!AF:AF,"NO HAY REFERENCIA")</f>
        <v>32931</v>
      </c>
      <c r="DM83" s="4">
        <f>_xlfn.XLOOKUP(B83,'BASE DE EXCEL'!$C:$C,'BASE DE EXCEL'!AG:AG,"NO HAY REFERENCIA")</f>
        <v>46104</v>
      </c>
      <c r="DN83" s="4">
        <f>_xlfn.XLOOKUP(B83,'BASE DE EXCEL'!$C:$C,'BASE DE EXCEL'!AH:AH,"NO HAY REFERENCIA")</f>
        <v>46105</v>
      </c>
      <c r="DO83" s="3">
        <f>_xlfn.XLOOKUP(B83,'BASE DE EXCEL'!$C:$C,'BASE DE EXCEL'!AI:AI,"NO HAY REFERENCIA")</f>
        <v>1</v>
      </c>
      <c r="DP83" s="4" t="str">
        <f>_xlfn.XLOOKUP(B83,'BASE DE EXCEL'!$C:$C,'BASE DE EXCEL'!AJ:AJ,"NO HAY REFERENCIA")</f>
        <v>SIN DATO</v>
      </c>
      <c r="DQ83" s="4">
        <f>_xlfn.XLOOKUP(B83,'BASE DE EXCEL'!$C:$C,'BASE DE EXCEL'!AK:AK,"NO HAY REFERENCIA")</f>
        <v>46105</v>
      </c>
      <c r="DR83" s="3">
        <f>_xlfn.XLOOKUP(B83,'BASE DE EXCEL'!$C:$C,'BASE DE EXCEL'!AL:AL,"NO HAY REFERENCIA")</f>
        <v>7</v>
      </c>
      <c r="DS83" s="3" t="str">
        <f>_xlfn.XLOOKUP(B83,'BASE DE EXCEL'!$C:$C,'BASE DE EXCEL'!AM:AM,"NO HAY REFERENCIA")</f>
        <v>6 a 10 días</v>
      </c>
      <c r="DT83" s="3" t="str">
        <f>_xlfn.XLOOKUP(B83,'BASE DE EXCEL'!$C:$C,'BASE DE EXCEL'!AN:AN,"NO HAY REFERENCIA")</f>
        <v>Delayed</v>
      </c>
      <c r="DU83" s="3">
        <f>_xlfn.XLOOKUP(B83,'BASE DE EXCEL'!$C:$C,'BASE DE EXCEL'!AO:AO,"NO HAY REFERENCIA")</f>
        <v>0</v>
      </c>
      <c r="DV83" s="3" t="str">
        <f>_xlfn.XLOOKUP(B83,'BASE DE EXCEL'!$C:$C,'BASE DE EXCEL'!AP:AP,"NO HAY REFERENCIA")</f>
        <v>Es anterior</v>
      </c>
      <c r="DW83" s="3" t="str">
        <f>_xlfn.XLOOKUP(B83,'BASE DE EXCEL'!$C:$C,'BASE DE EXCEL'!AQ:AQ,"NO HAY REFERENCIA")</f>
        <v>R1</v>
      </c>
      <c r="DX83" s="3" t="str">
        <f>_xlfn.XLOOKUP(B83,'BASE DE EXCEL'!$C:$C,'BASE DE EXCEL'!AR:AR,"NO HAY REFERENCIA")</f>
        <v>ZULEIMA PEREZ RUIZ</v>
      </c>
      <c r="DY83" s="3" t="str">
        <f>_xlfn.XLOOKUP(B83,'BASE DE EXCEL'!$C:$C,'BASE DE EXCEL'!AS:AS,"NO HAY REFERENCIA")</f>
        <v>HLCURTM260162366</v>
      </c>
      <c r="DZ83" s="3" t="str">
        <f>_xlfn.XLOOKUP(B83,'BASE DE EXCEL'!$C:$C,'BASE DE EXCEL'!AT:AT,"NO HAY REFERENCIA")</f>
        <v>NULL</v>
      </c>
      <c r="EA83" s="3">
        <f>_xlfn.XLOOKUP(B83,'BASE DE EXCEL'!$C:$C,'BASE DE EXCEL'!AU:AU,"NO HAY REFERENCIA")</f>
        <v>6000418</v>
      </c>
      <c r="EB83" s="3" t="str">
        <f>_xlfn.XLOOKUP(B83,'BASE DE EXCEL'!$C:$C,'BASE DE EXCEL'!AV:AV,"NO HAY REFERENCIA")</f>
        <v>Importación</v>
      </c>
      <c r="EC83" s="3" t="str">
        <f>_xlfn.XLOOKUP(B83,'BASE DE EXCEL'!$C:$C,'BASE DE EXCEL'!AW:AW,"NO HAY REFERENCIA")</f>
        <v>NOBILIS MA5+CLONE 30 (VACUNA DE USO VETERINARIO)</v>
      </c>
      <c r="ED83" s="3" t="str">
        <f>_xlfn.XLOOKUP(B83,'BASE DE EXCEL'!$C:$C,'BASE DE EXCEL'!AX:AX,"NO HAY REFERENCIA")</f>
        <v>SIN CLASIFICACION</v>
      </c>
      <c r="EE83" s="3">
        <f>_xlfn.XLOOKUP(B83,'BASE DE EXCEL'!$C:$C,'BASE DE EXCEL'!AY:AY,"NO HAY REFERENCIA")</f>
        <v>0</v>
      </c>
      <c r="EF83" s="3" t="str">
        <f>_xlfn.XLOOKUP(B83,'BASE DE EXCEL'!$C:$C,'BASE DE EXCEL'!AZ:AZ,"NO HAY REFERENCIA")</f>
        <v>Cargas de Importación</v>
      </c>
      <c r="EG83" s="3" t="str">
        <f>_xlfn.XLOOKUP(B83,'BASE DE EXCEL'!$C:$C,'BASE DE EXCEL'!BA:BA,"NO HAY REFERENCIA")</f>
        <v>INTERVET MEXICO SA DE CV</v>
      </c>
      <c r="EH83" s="3">
        <f>_xlfn.XLOOKUP(B83,'BASE DE EXCEL'!$C:$C,'BASE DE EXCEL'!BB:BB,"NO HAY REFERENCIA")</f>
        <v>0</v>
      </c>
      <c r="EI83" s="3">
        <f>_xlfn.XLOOKUP(B83,'BASE DE EXCEL'!$C:$C,'BASE DE EXCEL'!BC:BC,"NO HAY REFERENCIA")</f>
        <v>0</v>
      </c>
      <c r="EJ83" s="3">
        <f>_xlfn.XLOOKUP(B83,'BASE DE EXCEL'!$C:$C,'BASE DE EXCEL'!BD:BD,"NO HAY REFERENCIA")</f>
        <v>0</v>
      </c>
      <c r="EK83" s="3">
        <f>_xlfn.XLOOKUP(B83,'BASE DE EXCEL'!$C:$C,'BASE DE EXCEL'!BE:BE,"NO HAY REFERENCIA")</f>
        <v>0</v>
      </c>
      <c r="EL83" s="3">
        <f>_xlfn.XLOOKUP(B83,'BASE DE EXCEL'!$C:$C,'BASE DE EXCEL'!BF:BF,"NO HAY REFERENCIA")</f>
        <v>0</v>
      </c>
      <c r="EM83" s="3" t="str">
        <f>_xlfn.XLOOKUP(B83,'BASE DE EXCEL'!$C:$C,'BASE DE EXCEL'!BG:BG,"NO HAY REFERENCIA")</f>
        <v>Verde</v>
      </c>
      <c r="EN83" s="3" t="str">
        <f>_xlfn.XLOOKUP(B83,'BASE DE EXCEL'!$C:$C,'BASE DE EXCEL'!BH:BH,"NO HAY REFERENCIA")</f>
        <v>NULL</v>
      </c>
      <c r="EO83" s="3">
        <f>_xlfn.XLOOKUP(B83,'BASE DE EXCEL'!$C:$C,'BASE DE EXCEL'!BI:BI,"NO HAY REFERENCIA")</f>
        <v>0</v>
      </c>
      <c r="EP83" s="3">
        <f>_xlfn.XLOOKUP(B83,'BASE DE EXCEL'!$C:$C,'BASE DE EXCEL'!BJ:BJ,"NO HAY REFERENCIA")</f>
        <v>0</v>
      </c>
      <c r="EQ83" s="3" t="str">
        <f>_xlfn.XLOOKUP(B83,'BASE DE EXCEL'!$C:$C,'BASE DE EXCEL'!BK:BK,"NO HAY REFERENCIA")</f>
        <v>IME850329RH2</v>
      </c>
      <c r="ER83" s="3">
        <f>_xlfn.XLOOKUP(B83,'BASE DE EXCEL'!$C:$C,'BASE DE EXCEL'!BL:BL,"NO HAY REFERENCIA")</f>
        <v>0</v>
      </c>
      <c r="ES83" s="3" t="str">
        <f>_xlfn.XLOOKUP(B83,'BASE DE EXCEL'!$C:$C,'BASE DE EXCEL'!BM:BM,"NO HAY REFERENCIA")</f>
        <v>00,99</v>
      </c>
      <c r="ET83" s="3" t="str">
        <f>_xlfn.XLOOKUP(B83,'BASE DE EXCEL'!$C:$C,'BASE DE EXCEL'!BN:BN,"NO HAY REFERENCIA")</f>
        <v>LOTE: SCBA207A11,LOTE: A053A01,LOTE: A224A01,LOTE: A142A01,LOTE: A247B01,LOTE: A436A02,LOTE: A198A02,LOTE: A489D01,LOTE: A061A01</v>
      </c>
      <c r="EU83" s="3">
        <f>_xlfn.XLOOKUP(B83,'BASE DE EXCEL'!$C:$C,'BASE DE EXCEL'!BO:BO,"NO HAY REFERENCIA")</f>
        <v>90</v>
      </c>
      <c r="EV83" s="3" t="str">
        <f>_xlfn.XLOOKUP(B83,'BASE DE EXCEL'!$C:$C,'BASE DE EXCEL'!BP:BP,"NO HAY REFERENCIA")</f>
        <v xml:space="preserve"> 321379.32, 13019554.91, 1145829.89, 3079396.80</v>
      </c>
      <c r="EW83" s="3" t="str">
        <f>_xlfn.XLOOKUP(B83,'BASE DE EXCEL'!$C:$C,'BASE DE EXCEL'!BQ:BQ,"NO HAY REFERENCIA")</f>
        <v>KILO,KILO,KILO,KILO,KILO,KILO,KILO,KILO,KILO</v>
      </c>
      <c r="EX83" s="3">
        <f>_xlfn.XLOOKUP(B83,'BASE DE EXCEL'!$C:$C,'BASE DE EXCEL'!BR:BR,"NO HAY REFERENCIA")</f>
        <v>0</v>
      </c>
      <c r="EY83" s="3" t="str">
        <f>_xlfn.XLOOKUP(B83,'BASE DE EXCEL'!$C:$C,'BASE DE EXCEL'!BS:BS,"NO HAY REFERENCIA")</f>
        <v>PAISES BAJOS (REINO DE LOS) (HOLANDA)</v>
      </c>
      <c r="EZ83" s="3" t="str">
        <f>_xlfn.XLOOKUP(B83,'BASE DE EXCEL'!$C:$C,'BASE DE EXCEL'!BT:BT,"NO HAY REFERENCIA")</f>
        <v>PAISES BAJOS (REINO DE LOS) (HOLANDA)</v>
      </c>
      <c r="FA83" s="3" t="str">
        <f>_xlfn.XLOOKUP(B83,'BASE DE EXCEL'!$C:$C,'BASE DE EXCEL'!BU:BU,"NO HAY REFERENCIA")</f>
        <v>ZYA</v>
      </c>
      <c r="FB83" s="3" t="str">
        <f>_xlfn.XLOOKUP(B83,'BASE DE EXCEL'!$C:$C,'BASE DE EXCEL'!BV:BV,"NO HAY REFERENCIA")</f>
        <v>ZYA</v>
      </c>
      <c r="FC83" s="3">
        <f>_xlfn.XLOOKUP(B83,QUERY!$C:$C,QUERY!D:D)</f>
        <v>430</v>
      </c>
      <c r="FD83" s="4">
        <f>_xlfn.XLOOKUP(B83,QUERY!$C:$C,QUERY!E:E)</f>
        <v>46091</v>
      </c>
      <c r="FE83" s="3">
        <f>_xlfn.XLOOKUP(B83,QUERY!$C:$C,QUERY!F:F)</f>
        <v>3</v>
      </c>
      <c r="FF83" s="4">
        <f>_xlfn.XLOOKUP(B83,QUERY!$C:$C,QUERY!G:G)</f>
        <v>46077</v>
      </c>
      <c r="FG83" s="4">
        <f>_xlfn.XLOOKUP(B83,QUERY!$C:$C,QUERY!H:H)</f>
        <v>46091</v>
      </c>
      <c r="FH83" s="3">
        <f>_xlfn.XLOOKUP(B83,QUERY!$C:$C,QUERY!I:I)</f>
        <v>10</v>
      </c>
      <c r="FI83" s="3" t="str">
        <f>_xlfn.XLOOKUP(B83,QUERY!$C:$C,QUERY!J:J)</f>
        <v>6 a 10 días</v>
      </c>
      <c r="FJ83" s="4">
        <f>_xlfn.XLOOKUP(B83,QUERY!$C:$C,QUERY!K:K)</f>
        <v>46091</v>
      </c>
      <c r="FK83" s="3">
        <f>_xlfn.XLOOKUP(B83,QUERY!$C:$C,QUERY!L:L)</f>
        <v>10</v>
      </c>
      <c r="FL83" s="3" t="str">
        <f>_xlfn.XLOOKUP(B83,QUERY!$C:$C,QUERY!M:M)</f>
        <v>6 a 10 días</v>
      </c>
      <c r="FM83" s="3">
        <f>_xlfn.XLOOKUP(B83,QUERY!$C:$C,QUERY!N:N)</f>
        <v>0</v>
      </c>
      <c r="FN83" s="3" t="str">
        <f>_xlfn.XLOOKUP(B83,QUERY!$C:$C,QUERY!O:O)</f>
        <v>1 día o menos</v>
      </c>
      <c r="FO83" s="3">
        <f>_xlfn.XLOOKUP(B83,QUERY!$C:$C,QUERY!P:P)</f>
        <v>0</v>
      </c>
      <c r="FP83" s="3">
        <f>_xlfn.XLOOKUP(B83,QUERY!$C:$C,QUERY!Q:Q)</f>
        <v>0</v>
      </c>
      <c r="FQ83" s="3" t="str">
        <f>_xlfn.XLOOKUP(B83,QUERY!$C:$C,QUERY!R:R)</f>
        <v>1 día o menos</v>
      </c>
      <c r="FR83" s="4">
        <f>_xlfn.XLOOKUP(B83,QUERY!$C:$C,QUERY!S:S)</f>
        <v>46091</v>
      </c>
      <c r="FS83" s="3">
        <f>_xlfn.XLOOKUP(B83,QUERY!$C:$C,QUERY!T:T)</f>
        <v>10</v>
      </c>
      <c r="FT83" s="3" t="str">
        <f>_xlfn.XLOOKUP(B83,QUERY!$C:$C,QUERY!U:U)</f>
        <v>6 a 10 días</v>
      </c>
      <c r="FU83" s="3">
        <f>_xlfn.XLOOKUP(B83,QUERY!$C:$C,QUERY!V:V)</f>
        <v>20</v>
      </c>
      <c r="FV83" s="3" t="str">
        <f>_xlfn.XLOOKUP(B83,QUERY!$C:$C,QUERY!W:W)</f>
        <v>más de 16 días</v>
      </c>
      <c r="FW83" s="4">
        <f>_xlfn.XLOOKUP(B83,QUERY!$C:$C,QUERY!X:X)</f>
        <v>46105</v>
      </c>
      <c r="FX83" s="3">
        <f>_xlfn.XLOOKUP(B83,QUERY!$C:$C,QUERY!Y:Y)</f>
        <v>9</v>
      </c>
      <c r="FY83" s="3">
        <f>_xlfn.XLOOKUP(B83,QUERY!$C:$C,QUERY!Z:Z)</f>
        <v>10</v>
      </c>
      <c r="FZ83" s="4" t="str">
        <f>_xlfn.XLOOKUP(B83,QUERY!$C:$C,QUERY!AA:AA)</f>
        <v>11 a 15 días</v>
      </c>
      <c r="GA83" s="4">
        <f>_xlfn.XLOOKUP(B83,QUERY!$C:$C,QUERY!AB:AB)</f>
        <v>46104</v>
      </c>
      <c r="GB83" s="4">
        <f>_xlfn.XLOOKUP(B83,QUERY!$C:$C,QUERY!AC:AC)</f>
        <v>46105</v>
      </c>
      <c r="GC83" s="3">
        <f>_xlfn.XLOOKUP(B83,QUERY!$C:$C,QUERY!AD:AD)</f>
        <v>1</v>
      </c>
      <c r="GD83" s="4">
        <f>_xlfn.XLOOKUP(B83,QUERY!$C:$C,QUERY!AE:AE)</f>
        <v>46105</v>
      </c>
      <c r="GE83" s="3">
        <f>_xlfn.XLOOKUP(B83,QUERY!$C:$C,QUERY!AF:AF)</f>
        <v>1</v>
      </c>
      <c r="GF83" s="4" t="str">
        <f>_xlfn.XLOOKUP(B83,QUERY!$C:$C,QUERY!AG:AG)</f>
        <v>Es anterior</v>
      </c>
      <c r="GG83" s="3" t="str">
        <f>_xlfn.XLOOKUP(B83,QUERY!$C:$C,QUERY!AH:AH)</f>
        <v>R1</v>
      </c>
      <c r="GH83" s="3" t="str">
        <f>_xlfn.XLOOKUP(B83,QUERY!$C:$C,QUERY!AI:AI)</f>
        <v>ZULEIMA PEREZ RUIZ</v>
      </c>
      <c r="GI83" s="3" t="str">
        <f>_xlfn.XLOOKUP(B83,QUERY!$C:$C,QUERY!AJ:AJ)</f>
        <v>HLCURTM260162366</v>
      </c>
      <c r="GJ83" s="3" t="str">
        <f>_xlfn.XLOOKUP(B83,QUERY!$C:$C,QUERY!AK:AK)</f>
        <v>NULL</v>
      </c>
      <c r="GK83" s="3">
        <f>_xlfn.XLOOKUP(B83,QUERY!$C:$C,QUERY!AL:AL)</f>
        <v>6000418</v>
      </c>
      <c r="GL83" s="3" t="str">
        <f>_xlfn.XLOOKUP(B83,QUERY!$C:$C,QUERY!AM:AM)</f>
        <v>Importación</v>
      </c>
      <c r="GM83" s="3" t="str">
        <f>_xlfn.XLOOKUP(B83,QUERY!$C:$C,QUERY!AN:AN)</f>
        <v>NOBILIS MA5+CLONE 30 (VACUNA DE USO VETERINARIO)</v>
      </c>
      <c r="GN83" s="3" t="str">
        <f>_xlfn.XLOOKUP(B83,QUERY!$C:$C,QUERY!AO:AO)</f>
        <v>SIN CLASIFICACION</v>
      </c>
      <c r="GO83" s="3">
        <f>_xlfn.XLOOKUP(B83,QUERY!$C:$C,QUERY!AP:AP)</f>
        <v>0</v>
      </c>
      <c r="GP83" s="3" t="str">
        <f>_xlfn.XLOOKUP(B83,QUERY!$C:$C,QUERY!AQ:AQ)</f>
        <v>Cargas de Importación</v>
      </c>
      <c r="GQ83" s="3" t="str">
        <f>_xlfn.XLOOKUP(B83,QUERY!$C:$C,QUERY!AR:AR)</f>
        <v>INTERVET MEXICO SA DE CV</v>
      </c>
      <c r="GR83" s="3">
        <f>_xlfn.XLOOKUP(B83,QUERY!$C:$C,QUERY!AS:AS)</f>
        <v>0</v>
      </c>
      <c r="GS83" s="3">
        <f>_xlfn.XLOOKUP(B83,QUERY!$C:$C,QUERY!AT:AT)</f>
        <v>0</v>
      </c>
      <c r="GT83" s="3">
        <f>_xlfn.XLOOKUP(B83,QUERY!$C:$C,QUERY!AU:AU)</f>
        <v>0</v>
      </c>
      <c r="GU83" s="3">
        <f>_xlfn.XLOOKUP(B83,QUERY!$C:$C,QUERY!AV:AV)</f>
        <v>0</v>
      </c>
      <c r="GV83" s="3">
        <f>_xlfn.XLOOKUP(B83,QUERY!$C:$C,QUERY!AW:AW)</f>
        <v>0</v>
      </c>
      <c r="GW83" s="3" t="str">
        <f>_xlfn.XLOOKUP(B83,QUERY!$C:$C,QUERY!AX:AX)</f>
        <v>Verde</v>
      </c>
      <c r="GX83" s="3" t="str">
        <f>_xlfn.XLOOKUP(B83,QUERY!$C:$C,QUERY!AY:AY)</f>
        <v>NULL</v>
      </c>
      <c r="GY83" s="3">
        <f>_xlfn.XLOOKUP(B83,QUERY!$C:$C,QUERY!AZ:AZ)</f>
        <v>0</v>
      </c>
      <c r="GZ83" s="3">
        <f>_xlfn.XLOOKUP(B83,QUERY!$C:$C,QUERY!BA:BA)</f>
        <v>0</v>
      </c>
      <c r="HA83" s="3" t="str">
        <f>_xlfn.XLOOKUP(B83,QUERY!$C:$C,QUERY!BB:BB)</f>
        <v>IME850329RH2</v>
      </c>
      <c r="HB83" s="3">
        <f>_xlfn.XLOOKUP(B83,QUERY!$C:$C,QUERY!BC:BC)</f>
        <v>0</v>
      </c>
      <c r="HC83" s="3">
        <f>_xlfn.XLOOKUP(B83,QUERY!$C:$C,QUERY!BD:BD)</f>
        <v>0.99</v>
      </c>
      <c r="HD83" s="3" t="str">
        <f>_xlfn.XLOOKUP(B83,QUERY!$C:$C,QUERY!BE:BE)</f>
        <v>LOTE: SCBA207A11,LOTE: A053A01,LOTE: A224A01,LOTE: A142A01,LOTE: A247B01,LOTE: A436A02,LOTE: A198A02,LOTE: A489D01,LOTE: A061A01</v>
      </c>
      <c r="HE83" s="3">
        <f>_xlfn.XLOOKUP(B83,QUERY!$C:$C,QUERY!BF:BF)</f>
        <v>90</v>
      </c>
      <c r="HF83" s="3" t="str">
        <f>_xlfn.XLOOKUP(B83,QUERY!$C:$C,QUERY!BG:BG)</f>
        <v xml:space="preserve"> 321379.32, 13019554.91, 1145829.89, 3079396.80</v>
      </c>
      <c r="HG83" s="3" t="str">
        <f>_xlfn.XLOOKUP(B83,QUERY!$C:$C,QUERY!BH:BH)</f>
        <v>KILO,KILO,KILO,KILO,KILO,KILO,KILO,KILO,KILO</v>
      </c>
      <c r="HH83" s="3">
        <f>_xlfn.XLOOKUP(B83,QUERY!$C:$C,QUERY!BI:BI)</f>
        <v>0</v>
      </c>
      <c r="HI83" s="3" t="str">
        <f>_xlfn.XLOOKUP(B83,QUERY!$C:$C,QUERY!BJ:BJ)</f>
        <v>PAISES BAJOS (REINO DE LOS) (HOLANDA)</v>
      </c>
      <c r="HJ83" s="3" t="str">
        <f>_xlfn.XLOOKUP(B83,QUERY!$C:$C,QUERY!BK:BK)</f>
        <v>PAISES BAJOS (REINO DE LOS) (HOLANDA)</v>
      </c>
      <c r="HK83" s="3" t="str">
        <f>_xlfn.XLOOKUP(B83,QUERY!$C:$C,QUERY!BL:BL)</f>
        <v>ZYA</v>
      </c>
      <c r="HL83" s="3" t="str">
        <f>_xlfn.XLOOKUP(B83,QUERY!$C:$C,QUERY!BM:BM)</f>
        <v>ZYA</v>
      </c>
      <c r="HM83" s="3">
        <f>_xlfn.XLOOKUP(B83,QUERY!$C:$C,QUERY!BN:BN)</f>
        <v>17566160</v>
      </c>
      <c r="HN83" s="3" t="str">
        <f>_xlfn.XLOOKUP(B83,QUERY!$C:$C,QUERY!BO:BO)</f>
        <v>444.00</v>
      </c>
      <c r="HO83" s="3" t="str">
        <f>_xlfn.XLOOKUP(B83,QUERY!$C:$C,QUERY!BP:BP)</f>
        <v>NULL</v>
      </c>
      <c r="HP83" s="3" t="str">
        <f>_xlfn.XLOOKUP(B83,QUERY!$C:$C,QUERY!BQ:BQ)</f>
        <v>NULL</v>
      </c>
      <c r="HQ83" s="3" t="str">
        <f>_xlfn.XLOOKUP(B83,QUERY!$C:$C,QUERY!BR:BR)</f>
        <v>250436.84</v>
      </c>
      <c r="HR83" s="3">
        <f>_xlfn.XLOOKUP(B83,QUERY!$C:$C,QUERY!BS:BS)</f>
        <v>0</v>
      </c>
      <c r="HS83" s="3">
        <f>_xlfn.XLOOKUP(B83,QUERY!$C:$C,QUERY!BT:BT)</f>
        <v>0</v>
      </c>
      <c r="HT83" s="3" t="str">
        <f>_xlfn.XLOOKUP(B83,QUERY!$C:$C,QUERY!A:A)</f>
        <v>VERACRUZ</v>
      </c>
      <c r="HU83" s="3" t="str">
        <f>_xlfn.XLOOKUP(B83,QUERY!$C:$C,QUERY!B:B)</f>
        <v>MARÍTIMO VERACRUZ</v>
      </c>
    </row>
    <row r="84" spans="1:229" x14ac:dyDescent="0.25">
      <c r="A84" s="3" t="s">
        <v>90</v>
      </c>
      <c r="B84" s="3" t="s">
        <v>343</v>
      </c>
      <c r="C84" s="3">
        <v>3942</v>
      </c>
      <c r="D84" s="3">
        <v>6000418</v>
      </c>
      <c r="E84" s="3">
        <v>6000303</v>
      </c>
      <c r="F84" s="3" t="s">
        <v>92</v>
      </c>
      <c r="G84" s="3" t="s">
        <v>342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430</v>
      </c>
      <c r="S84" s="3" t="s">
        <v>258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 t="s">
        <v>262</v>
      </c>
      <c r="AB84" s="3"/>
      <c r="AC84" s="3">
        <v>414126</v>
      </c>
      <c r="AD84" s="3">
        <v>690.21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/>
      <c r="AP84" s="3" t="s">
        <v>98</v>
      </c>
      <c r="AQ84" s="3">
        <v>210365020</v>
      </c>
      <c r="AR84" s="3" t="s">
        <v>99</v>
      </c>
      <c r="AS84" s="3" t="s">
        <v>100</v>
      </c>
      <c r="AT84" s="3">
        <v>0</v>
      </c>
      <c r="AU84" s="3">
        <v>0</v>
      </c>
      <c r="AV84" s="3">
        <v>0</v>
      </c>
      <c r="AW84" s="3">
        <v>30024201</v>
      </c>
      <c r="AX84" s="3">
        <v>99</v>
      </c>
      <c r="AY84" s="3">
        <v>600</v>
      </c>
      <c r="AZ84" s="3">
        <v>600</v>
      </c>
      <c r="BA84" s="3" t="s">
        <v>103</v>
      </c>
      <c r="BB84" s="3"/>
      <c r="BC84" s="3" t="s">
        <v>105</v>
      </c>
      <c r="BD84" s="3" t="s">
        <v>105</v>
      </c>
      <c r="BE84" s="3"/>
      <c r="BF84" s="3"/>
      <c r="BG84" s="5"/>
      <c r="BH84" s="3"/>
      <c r="BI84" s="3"/>
      <c r="BJ84" s="3"/>
      <c r="BK84" s="3" t="s">
        <v>263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 t="s">
        <v>192</v>
      </c>
      <c r="CF84" s="3">
        <v>0</v>
      </c>
      <c r="CG84" s="3">
        <v>0</v>
      </c>
      <c r="CH84" s="3">
        <v>0</v>
      </c>
      <c r="CI84" s="3" t="s">
        <v>112</v>
      </c>
      <c r="CJ84" s="3" t="s">
        <v>112</v>
      </c>
      <c r="CK84" s="3">
        <f>_xlfn.XLOOKUP($B$2,'BASE DE EXCEL'!C:C,'BASE DE EXCEL'!D:D,"NO HAY REFERENCIA")</f>
        <v>470</v>
      </c>
      <c r="CL84" s="5">
        <f>_xlfn.XLOOKUP($B$2,'BASE DE EXCEL'!$C:$C,'BASE DE EXCEL'!F:F,"NO HAY REFERENCIA")</f>
        <v>3</v>
      </c>
      <c r="CM84" s="4">
        <f>_xlfn.XLOOKUP($B$2,'BASE DE EXCEL'!$C:$C,'BASE DE EXCEL'!G:G,"NO HAY REFERENCIA")</f>
        <v>46080</v>
      </c>
      <c r="CN84" s="4">
        <f>_xlfn.XLOOKUP($B$2,'BASE DE EXCEL'!$C:$C,'BASE DE EXCEL'!H:H,"NO HAY REFERENCIA")</f>
        <v>46086</v>
      </c>
      <c r="CO84" s="3">
        <f>_xlfn.XLOOKUP($B$2,'BASE DE EXCEL'!$C:$C,'BASE DE EXCEL'!I:I,"NO HAY REFERENCIA")</f>
        <v>4</v>
      </c>
      <c r="CP84" s="3" t="str">
        <f>_xlfn.XLOOKUP($B$2,'BASE DE EXCEL'!$C:$C,'BASE DE EXCEL'!J:J,"NO HAY REFERENCIA")</f>
        <v>4 a 5 días</v>
      </c>
      <c r="CQ84" s="4">
        <f>_xlfn.XLOOKUP($B$2,'BASE DE EXCEL'!$C:$C,'BASE DE EXCEL'!K:K,"NO HAY REFERENCIA")</f>
        <v>46087</v>
      </c>
      <c r="CR84" s="3">
        <f>_xlfn.XLOOKUP($B$2,'BASE DE EXCEL'!$C:$C,'BASE DE EXCEL'!L:L,"NO HAY REFERENCIA")</f>
        <v>5</v>
      </c>
      <c r="CS84" s="3">
        <f>_xlfn.XLOOKUP($B$2,'BASE DE EXCEL'!$C:$C,'BASE DE EXCEL'!M:M,"NO HAY REFERENCIA")</f>
        <v>6</v>
      </c>
      <c r="CT84" s="3" t="str">
        <f>_xlfn.XLOOKUP($B$2,'BASE DE EXCEL'!$C:$C,'BASE DE EXCEL'!N:N,"NO HAY REFERENCIA")</f>
        <v>6 a 10 días</v>
      </c>
      <c r="CU84" s="3" t="str">
        <f>_xlfn.XLOOKUP($B$2,'BASE DE EXCEL'!$C:$C,'BASE DE EXCEL'!O:O,"NO HAY REFERENCIA")</f>
        <v>On Time</v>
      </c>
      <c r="CV84" s="3" t="str">
        <f>_xlfn.XLOOKUP(B84,'BASE DE EXCEL'!$C:$C,'BASE DE EXCEL'!P:P,"NO HAY REFERENCIA")</f>
        <v>11 a 15 días</v>
      </c>
      <c r="CW84" s="4">
        <f>_xlfn.XLOOKUP(B84,'BASE DE EXCEL'!$C:$C,'BASE DE EXCEL'!Q:Q,"NO HAY REFERENCIA")</f>
        <v>46094</v>
      </c>
      <c r="CX84" s="3">
        <f>_xlfn.XLOOKUP(B84,'BASE DE EXCEL'!$C:$C,'BASE DE EXCEL'!R:R,"NO HAY REFERENCIA")</f>
        <v>14</v>
      </c>
      <c r="CY84" s="3" t="str">
        <f>_xlfn.XLOOKUP(B84,'BASE DE EXCEL'!$C:$C,'BASE DE EXCEL'!S:S,"NO HAY REFERENCIA")</f>
        <v>11 a 15 días</v>
      </c>
      <c r="CZ84" s="3" t="str">
        <f>_xlfn.XLOOKUP(B84,'BASE DE EXCEL'!$C:$C,'BASE DE EXCEL'!T:T,"NO HAY REFERENCIA")</f>
        <v>Delayed</v>
      </c>
      <c r="DA84" s="3">
        <f>_xlfn.XLOOKUP(B84,'BASE DE EXCEL'!$C:$C,'BASE DE EXCEL'!U:U,"NO HAY REFERENCIA")</f>
        <v>0</v>
      </c>
      <c r="DB84" s="3" t="str">
        <f>_xlfn.XLOOKUP(B84,'BASE DE EXCEL'!$C:$C,'BASE DE EXCEL'!V:V,"NO HAY REFERENCIA")</f>
        <v>Sin Dato</v>
      </c>
      <c r="DC84" s="3">
        <f>_xlfn.XLOOKUP(B84,'BASE DE EXCEL'!$C:$C,'BASE DE EXCEL'!W:W,"NO HAY REFERENCIA")</f>
        <v>20</v>
      </c>
      <c r="DD84" s="3" t="str">
        <f>_xlfn.XLOOKUP(B84,'BASE DE EXCEL'!$C:$C,'BASE DE EXCEL'!X:X,"NO HAY REFERENCIA")</f>
        <v>más de 16 días</v>
      </c>
      <c r="DE84" s="3">
        <f>_xlfn.XLOOKUP(B84,'BASE DE EXCEL'!$C:$C,'BASE DE EXCEL'!Y:Y,"NO HAY REFERENCIA")</f>
        <v>0</v>
      </c>
      <c r="DF84" s="3" t="str">
        <f>_xlfn.XLOOKUP(B84,'BASE DE EXCEL'!$C:$C,'BASE DE EXCEL'!Z:Z,"NO HAY REFERENCIA")</f>
        <v>1 día o menos</v>
      </c>
      <c r="DG84" s="3">
        <f>_xlfn.XLOOKUP(B84,'BASE DE EXCEL'!$C:$C,'BASE DE EXCEL'!AA:AA,"NO HAY REFERENCIA")</f>
        <v>14</v>
      </c>
      <c r="DH84" s="3">
        <f>_xlfn.XLOOKUP(B84,'BASE DE EXCEL'!$C:$C,'BASE DE EXCEL'!AB:AB,"NO HAY REFERENCIA")</f>
        <v>-46089</v>
      </c>
      <c r="DI84" s="3" t="str">
        <f>_xlfn.XLOOKUP(B84,'BASE DE EXCEL'!$C:$C,'BASE DE EXCEL'!AC:AC,"NO HAY REFERENCIA")</f>
        <v>SIN DATO</v>
      </c>
      <c r="DJ84" s="4">
        <f>_xlfn.XLOOKUP(B84,'BASE DE EXCEL'!$C:$C,'BASE DE EXCEL'!AD:AD,"NO HAY REFERENCIA")</f>
        <v>46105</v>
      </c>
      <c r="DK84" s="3">
        <f>_xlfn.XLOOKUP(B84,'BASE DE EXCEL'!$C:$C,'BASE DE EXCEL'!AE:AE,"NO HAY REFERENCIA")</f>
        <v>46102</v>
      </c>
      <c r="DL84" s="3">
        <f>_xlfn.XLOOKUP(B84,'BASE DE EXCEL'!$C:$C,'BASE DE EXCEL'!AF:AF,"NO HAY REFERENCIA")</f>
        <v>32931</v>
      </c>
      <c r="DM84" s="4">
        <f>_xlfn.XLOOKUP(B84,'BASE DE EXCEL'!$C:$C,'BASE DE EXCEL'!AG:AG,"NO HAY REFERENCIA")</f>
        <v>46104</v>
      </c>
      <c r="DN84" s="4">
        <f>_xlfn.XLOOKUP(B84,'BASE DE EXCEL'!$C:$C,'BASE DE EXCEL'!AH:AH,"NO HAY REFERENCIA")</f>
        <v>46105</v>
      </c>
      <c r="DO84" s="3">
        <f>_xlfn.XLOOKUP(B84,'BASE DE EXCEL'!$C:$C,'BASE DE EXCEL'!AI:AI,"NO HAY REFERENCIA")</f>
        <v>1</v>
      </c>
      <c r="DP84" s="4" t="str">
        <f>_xlfn.XLOOKUP(B84,'BASE DE EXCEL'!$C:$C,'BASE DE EXCEL'!AJ:AJ,"NO HAY REFERENCIA")</f>
        <v>SIN DATO</v>
      </c>
      <c r="DQ84" s="4">
        <f>_xlfn.XLOOKUP(B84,'BASE DE EXCEL'!$C:$C,'BASE DE EXCEL'!AK:AK,"NO HAY REFERENCIA")</f>
        <v>46105</v>
      </c>
      <c r="DR84" s="3">
        <f>_xlfn.XLOOKUP(B84,'BASE DE EXCEL'!$C:$C,'BASE DE EXCEL'!AL:AL,"NO HAY REFERENCIA")</f>
        <v>7</v>
      </c>
      <c r="DS84" s="3" t="str">
        <f>_xlfn.XLOOKUP(B84,'BASE DE EXCEL'!$C:$C,'BASE DE EXCEL'!AM:AM,"NO HAY REFERENCIA")</f>
        <v>6 a 10 días</v>
      </c>
      <c r="DT84" s="3" t="str">
        <f>_xlfn.XLOOKUP(B84,'BASE DE EXCEL'!$C:$C,'BASE DE EXCEL'!AN:AN,"NO HAY REFERENCIA")</f>
        <v>Delayed</v>
      </c>
      <c r="DU84" s="3">
        <f>_xlfn.XLOOKUP(B84,'BASE DE EXCEL'!$C:$C,'BASE DE EXCEL'!AO:AO,"NO HAY REFERENCIA")</f>
        <v>0</v>
      </c>
      <c r="DV84" s="3" t="str">
        <f>_xlfn.XLOOKUP(B84,'BASE DE EXCEL'!$C:$C,'BASE DE EXCEL'!AP:AP,"NO HAY REFERENCIA")</f>
        <v>Es anterior</v>
      </c>
      <c r="DW84" s="3" t="str">
        <f>_xlfn.XLOOKUP(B84,'BASE DE EXCEL'!$C:$C,'BASE DE EXCEL'!AQ:AQ,"NO HAY REFERENCIA")</f>
        <v>R1</v>
      </c>
      <c r="DX84" s="3" t="str">
        <f>_xlfn.XLOOKUP(B84,'BASE DE EXCEL'!$C:$C,'BASE DE EXCEL'!AR:AR,"NO HAY REFERENCIA")</f>
        <v>ZULEIMA PEREZ RUIZ</v>
      </c>
      <c r="DY84" s="3" t="str">
        <f>_xlfn.XLOOKUP(B84,'BASE DE EXCEL'!$C:$C,'BASE DE EXCEL'!AS:AS,"NO HAY REFERENCIA")</f>
        <v>HLCURTM260162366</v>
      </c>
      <c r="DZ84" s="3" t="str">
        <f>_xlfn.XLOOKUP(B84,'BASE DE EXCEL'!$C:$C,'BASE DE EXCEL'!AT:AT,"NO HAY REFERENCIA")</f>
        <v>NULL</v>
      </c>
      <c r="EA84" s="3">
        <f>_xlfn.XLOOKUP(B84,'BASE DE EXCEL'!$C:$C,'BASE DE EXCEL'!AU:AU,"NO HAY REFERENCIA")</f>
        <v>6000418</v>
      </c>
      <c r="EB84" s="3" t="str">
        <f>_xlfn.XLOOKUP(B84,'BASE DE EXCEL'!$C:$C,'BASE DE EXCEL'!AV:AV,"NO HAY REFERENCIA")</f>
        <v>Importación</v>
      </c>
      <c r="EC84" s="3" t="str">
        <f>_xlfn.XLOOKUP(B84,'BASE DE EXCEL'!$C:$C,'BASE DE EXCEL'!AW:AW,"NO HAY REFERENCIA")</f>
        <v>NOBILIS MA5+CLONE 30 (VACUNA DE USO VETERINARIO)</v>
      </c>
      <c r="ED84" s="3" t="str">
        <f>_xlfn.XLOOKUP(B84,'BASE DE EXCEL'!$C:$C,'BASE DE EXCEL'!AX:AX,"NO HAY REFERENCIA")</f>
        <v>SIN CLASIFICACION</v>
      </c>
      <c r="EE84" s="3">
        <f>_xlfn.XLOOKUP(B84,'BASE DE EXCEL'!$C:$C,'BASE DE EXCEL'!AY:AY,"NO HAY REFERENCIA")</f>
        <v>0</v>
      </c>
      <c r="EF84" s="3" t="str">
        <f>_xlfn.XLOOKUP(B84,'BASE DE EXCEL'!$C:$C,'BASE DE EXCEL'!AZ:AZ,"NO HAY REFERENCIA")</f>
        <v>Cargas de Importación</v>
      </c>
      <c r="EG84" s="3" t="str">
        <f>_xlfn.XLOOKUP(B84,'BASE DE EXCEL'!$C:$C,'BASE DE EXCEL'!BA:BA,"NO HAY REFERENCIA")</f>
        <v>INTERVET MEXICO SA DE CV</v>
      </c>
      <c r="EH84" s="3">
        <f>_xlfn.XLOOKUP(B84,'BASE DE EXCEL'!$C:$C,'BASE DE EXCEL'!BB:BB,"NO HAY REFERENCIA")</f>
        <v>0</v>
      </c>
      <c r="EI84" s="3">
        <f>_xlfn.XLOOKUP(B84,'BASE DE EXCEL'!$C:$C,'BASE DE EXCEL'!BC:BC,"NO HAY REFERENCIA")</f>
        <v>0</v>
      </c>
      <c r="EJ84" s="3">
        <f>_xlfn.XLOOKUP(B84,'BASE DE EXCEL'!$C:$C,'BASE DE EXCEL'!BD:BD,"NO HAY REFERENCIA")</f>
        <v>0</v>
      </c>
      <c r="EK84" s="3">
        <f>_xlfn.XLOOKUP(B84,'BASE DE EXCEL'!$C:$C,'BASE DE EXCEL'!BE:BE,"NO HAY REFERENCIA")</f>
        <v>0</v>
      </c>
      <c r="EL84" s="3">
        <f>_xlfn.XLOOKUP(B84,'BASE DE EXCEL'!$C:$C,'BASE DE EXCEL'!BF:BF,"NO HAY REFERENCIA")</f>
        <v>0</v>
      </c>
      <c r="EM84" s="3" t="str">
        <f>_xlfn.XLOOKUP(B84,'BASE DE EXCEL'!$C:$C,'BASE DE EXCEL'!BG:BG,"NO HAY REFERENCIA")</f>
        <v>Verde</v>
      </c>
      <c r="EN84" s="3" t="str">
        <f>_xlfn.XLOOKUP(B84,'BASE DE EXCEL'!$C:$C,'BASE DE EXCEL'!BH:BH,"NO HAY REFERENCIA")</f>
        <v>NULL</v>
      </c>
      <c r="EO84" s="3">
        <f>_xlfn.XLOOKUP(B84,'BASE DE EXCEL'!$C:$C,'BASE DE EXCEL'!BI:BI,"NO HAY REFERENCIA")</f>
        <v>0</v>
      </c>
      <c r="EP84" s="3">
        <f>_xlfn.XLOOKUP(B84,'BASE DE EXCEL'!$C:$C,'BASE DE EXCEL'!BJ:BJ,"NO HAY REFERENCIA")</f>
        <v>0</v>
      </c>
      <c r="EQ84" s="3" t="str">
        <f>_xlfn.XLOOKUP(B84,'BASE DE EXCEL'!$C:$C,'BASE DE EXCEL'!BK:BK,"NO HAY REFERENCIA")</f>
        <v>IME850329RH2</v>
      </c>
      <c r="ER84" s="3">
        <f>_xlfn.XLOOKUP(B84,'BASE DE EXCEL'!$C:$C,'BASE DE EXCEL'!BL:BL,"NO HAY REFERENCIA")</f>
        <v>0</v>
      </c>
      <c r="ES84" s="3" t="str">
        <f>_xlfn.XLOOKUP(B84,'BASE DE EXCEL'!$C:$C,'BASE DE EXCEL'!BM:BM,"NO HAY REFERENCIA")</f>
        <v>00,99</v>
      </c>
      <c r="ET84" s="3" t="str">
        <f>_xlfn.XLOOKUP(B84,'BASE DE EXCEL'!$C:$C,'BASE DE EXCEL'!BN:BN,"NO HAY REFERENCIA")</f>
        <v>LOTE: SCBA207A11,LOTE: A053A01,LOTE: A224A01,LOTE: A142A01,LOTE: A247B01,LOTE: A436A02,LOTE: A198A02,LOTE: A489D01,LOTE: A061A01</v>
      </c>
      <c r="EU84" s="3">
        <f>_xlfn.XLOOKUP(B84,'BASE DE EXCEL'!$C:$C,'BASE DE EXCEL'!BO:BO,"NO HAY REFERENCIA")</f>
        <v>90</v>
      </c>
      <c r="EV84" s="3" t="str">
        <f>_xlfn.XLOOKUP(B84,'BASE DE EXCEL'!$C:$C,'BASE DE EXCEL'!BP:BP,"NO HAY REFERENCIA")</f>
        <v xml:space="preserve"> 321379.32, 13019554.91, 1145829.89, 3079396.80</v>
      </c>
      <c r="EW84" s="3" t="str">
        <f>_xlfn.XLOOKUP(B84,'BASE DE EXCEL'!$C:$C,'BASE DE EXCEL'!BQ:BQ,"NO HAY REFERENCIA")</f>
        <v>KILO,KILO,KILO,KILO,KILO,KILO,KILO,KILO,KILO</v>
      </c>
      <c r="EX84" s="3">
        <f>_xlfn.XLOOKUP(B84,'BASE DE EXCEL'!$C:$C,'BASE DE EXCEL'!BR:BR,"NO HAY REFERENCIA")</f>
        <v>0</v>
      </c>
      <c r="EY84" s="3" t="str">
        <f>_xlfn.XLOOKUP(B84,'BASE DE EXCEL'!$C:$C,'BASE DE EXCEL'!BS:BS,"NO HAY REFERENCIA")</f>
        <v>PAISES BAJOS (REINO DE LOS) (HOLANDA)</v>
      </c>
      <c r="EZ84" s="3" t="str">
        <f>_xlfn.XLOOKUP(B84,'BASE DE EXCEL'!$C:$C,'BASE DE EXCEL'!BT:BT,"NO HAY REFERENCIA")</f>
        <v>PAISES BAJOS (REINO DE LOS) (HOLANDA)</v>
      </c>
      <c r="FA84" s="3" t="str">
        <f>_xlfn.XLOOKUP(B84,'BASE DE EXCEL'!$C:$C,'BASE DE EXCEL'!BU:BU,"NO HAY REFERENCIA")</f>
        <v>ZYA</v>
      </c>
      <c r="FB84" s="3" t="str">
        <f>_xlfn.XLOOKUP(B84,'BASE DE EXCEL'!$C:$C,'BASE DE EXCEL'!BV:BV,"NO HAY REFERENCIA")</f>
        <v>ZYA</v>
      </c>
      <c r="FC84" s="3">
        <f>_xlfn.XLOOKUP(B84,QUERY!$C:$C,QUERY!D:D)</f>
        <v>430</v>
      </c>
      <c r="FD84" s="4">
        <f>_xlfn.XLOOKUP(B84,QUERY!$C:$C,QUERY!E:E)</f>
        <v>46091</v>
      </c>
      <c r="FE84" s="3">
        <f>_xlfn.XLOOKUP(B84,QUERY!$C:$C,QUERY!F:F)</f>
        <v>3</v>
      </c>
      <c r="FF84" s="4">
        <f>_xlfn.XLOOKUP(B84,QUERY!$C:$C,QUERY!G:G)</f>
        <v>46077</v>
      </c>
      <c r="FG84" s="4">
        <f>_xlfn.XLOOKUP(B84,QUERY!$C:$C,QUERY!H:H)</f>
        <v>46091</v>
      </c>
      <c r="FH84" s="3">
        <f>_xlfn.XLOOKUP(B84,QUERY!$C:$C,QUERY!I:I)</f>
        <v>10</v>
      </c>
      <c r="FI84" s="3" t="str">
        <f>_xlfn.XLOOKUP(B84,QUERY!$C:$C,QUERY!J:J)</f>
        <v>6 a 10 días</v>
      </c>
      <c r="FJ84" s="4">
        <f>_xlfn.XLOOKUP(B84,QUERY!$C:$C,QUERY!K:K)</f>
        <v>46091</v>
      </c>
      <c r="FK84" s="3">
        <f>_xlfn.XLOOKUP(B84,QUERY!$C:$C,QUERY!L:L)</f>
        <v>10</v>
      </c>
      <c r="FL84" s="3" t="str">
        <f>_xlfn.XLOOKUP(B84,QUERY!$C:$C,QUERY!M:M)</f>
        <v>6 a 10 días</v>
      </c>
      <c r="FM84" s="3">
        <f>_xlfn.XLOOKUP(B84,QUERY!$C:$C,QUERY!N:N)</f>
        <v>0</v>
      </c>
      <c r="FN84" s="3" t="str">
        <f>_xlfn.XLOOKUP(B84,QUERY!$C:$C,QUERY!O:O)</f>
        <v>1 día o menos</v>
      </c>
      <c r="FO84" s="3">
        <f>_xlfn.XLOOKUP(B84,QUERY!$C:$C,QUERY!P:P)</f>
        <v>0</v>
      </c>
      <c r="FP84" s="3">
        <f>_xlfn.XLOOKUP(B84,QUERY!$C:$C,QUERY!Q:Q)</f>
        <v>0</v>
      </c>
      <c r="FQ84" s="3" t="str">
        <f>_xlfn.XLOOKUP(B84,QUERY!$C:$C,QUERY!R:R)</f>
        <v>1 día o menos</v>
      </c>
      <c r="FR84" s="4">
        <f>_xlfn.XLOOKUP(B84,QUERY!$C:$C,QUERY!S:S)</f>
        <v>46091</v>
      </c>
      <c r="FS84" s="3">
        <f>_xlfn.XLOOKUP(B84,QUERY!$C:$C,QUERY!T:T)</f>
        <v>10</v>
      </c>
      <c r="FT84" s="3" t="str">
        <f>_xlfn.XLOOKUP(B84,QUERY!$C:$C,QUERY!U:U)</f>
        <v>6 a 10 días</v>
      </c>
      <c r="FU84" s="3">
        <f>_xlfn.XLOOKUP(B84,QUERY!$C:$C,QUERY!V:V)</f>
        <v>20</v>
      </c>
      <c r="FV84" s="3" t="str">
        <f>_xlfn.XLOOKUP(B84,QUERY!$C:$C,QUERY!W:W)</f>
        <v>más de 16 días</v>
      </c>
      <c r="FW84" s="4">
        <f>_xlfn.XLOOKUP(B84,QUERY!$C:$C,QUERY!X:X)</f>
        <v>46105</v>
      </c>
      <c r="FX84" s="3">
        <f>_xlfn.XLOOKUP(B84,QUERY!$C:$C,QUERY!Y:Y)</f>
        <v>9</v>
      </c>
      <c r="FY84" s="3">
        <f>_xlfn.XLOOKUP(B84,QUERY!$C:$C,QUERY!Z:Z)</f>
        <v>10</v>
      </c>
      <c r="FZ84" s="4" t="str">
        <f>_xlfn.XLOOKUP(B84,QUERY!$C:$C,QUERY!AA:AA)</f>
        <v>11 a 15 días</v>
      </c>
      <c r="GA84" s="4">
        <f>_xlfn.XLOOKUP(B84,QUERY!$C:$C,QUERY!AB:AB)</f>
        <v>46104</v>
      </c>
      <c r="GB84" s="4">
        <f>_xlfn.XLOOKUP(B84,QUERY!$C:$C,QUERY!AC:AC)</f>
        <v>46105</v>
      </c>
      <c r="GC84" s="3">
        <f>_xlfn.XLOOKUP(B84,QUERY!$C:$C,QUERY!AD:AD)</f>
        <v>1</v>
      </c>
      <c r="GD84" s="4">
        <f>_xlfn.XLOOKUP(B84,QUERY!$C:$C,QUERY!AE:AE)</f>
        <v>46105</v>
      </c>
      <c r="GE84" s="3">
        <f>_xlfn.XLOOKUP(B84,QUERY!$C:$C,QUERY!AF:AF)</f>
        <v>1</v>
      </c>
      <c r="GF84" s="4" t="str">
        <f>_xlfn.XLOOKUP(B84,QUERY!$C:$C,QUERY!AG:AG)</f>
        <v>Es anterior</v>
      </c>
      <c r="GG84" s="3" t="str">
        <f>_xlfn.XLOOKUP(B84,QUERY!$C:$C,QUERY!AH:AH)</f>
        <v>R1</v>
      </c>
      <c r="GH84" s="3" t="str">
        <f>_xlfn.XLOOKUP(B84,QUERY!$C:$C,QUERY!AI:AI)</f>
        <v>ZULEIMA PEREZ RUIZ</v>
      </c>
      <c r="GI84" s="3" t="str">
        <f>_xlfn.XLOOKUP(B84,QUERY!$C:$C,QUERY!AJ:AJ)</f>
        <v>HLCURTM260162366</v>
      </c>
      <c r="GJ84" s="3" t="str">
        <f>_xlfn.XLOOKUP(B84,QUERY!$C:$C,QUERY!AK:AK)</f>
        <v>NULL</v>
      </c>
      <c r="GK84" s="3">
        <f>_xlfn.XLOOKUP(B84,QUERY!$C:$C,QUERY!AL:AL)</f>
        <v>6000418</v>
      </c>
      <c r="GL84" s="3" t="str">
        <f>_xlfn.XLOOKUP(B84,QUERY!$C:$C,QUERY!AM:AM)</f>
        <v>Importación</v>
      </c>
      <c r="GM84" s="3" t="str">
        <f>_xlfn.XLOOKUP(B84,QUERY!$C:$C,QUERY!AN:AN)</f>
        <v>NOBILIS MA5+CLONE 30 (VACUNA DE USO VETERINARIO)</v>
      </c>
      <c r="GN84" s="3" t="str">
        <f>_xlfn.XLOOKUP(B84,QUERY!$C:$C,QUERY!AO:AO)</f>
        <v>SIN CLASIFICACION</v>
      </c>
      <c r="GO84" s="3">
        <f>_xlfn.XLOOKUP(B84,QUERY!$C:$C,QUERY!AP:AP)</f>
        <v>0</v>
      </c>
      <c r="GP84" s="3" t="str">
        <f>_xlfn.XLOOKUP(B84,QUERY!$C:$C,QUERY!AQ:AQ)</f>
        <v>Cargas de Importación</v>
      </c>
      <c r="GQ84" s="3" t="str">
        <f>_xlfn.XLOOKUP(B84,QUERY!$C:$C,QUERY!AR:AR)</f>
        <v>INTERVET MEXICO SA DE CV</v>
      </c>
      <c r="GR84" s="3">
        <f>_xlfn.XLOOKUP(B84,QUERY!$C:$C,QUERY!AS:AS)</f>
        <v>0</v>
      </c>
      <c r="GS84" s="3">
        <f>_xlfn.XLOOKUP(B84,QUERY!$C:$C,QUERY!AT:AT)</f>
        <v>0</v>
      </c>
      <c r="GT84" s="3">
        <f>_xlfn.XLOOKUP(B84,QUERY!$C:$C,QUERY!AU:AU)</f>
        <v>0</v>
      </c>
      <c r="GU84" s="3">
        <f>_xlfn.XLOOKUP(B84,QUERY!$C:$C,QUERY!AV:AV)</f>
        <v>0</v>
      </c>
      <c r="GV84" s="3">
        <f>_xlfn.XLOOKUP(B84,QUERY!$C:$C,QUERY!AW:AW)</f>
        <v>0</v>
      </c>
      <c r="GW84" s="3" t="str">
        <f>_xlfn.XLOOKUP(B84,QUERY!$C:$C,QUERY!AX:AX)</f>
        <v>Verde</v>
      </c>
      <c r="GX84" s="3" t="str">
        <f>_xlfn.XLOOKUP(B84,QUERY!$C:$C,QUERY!AY:AY)</f>
        <v>NULL</v>
      </c>
      <c r="GY84" s="3">
        <f>_xlfn.XLOOKUP(B84,QUERY!$C:$C,QUERY!AZ:AZ)</f>
        <v>0</v>
      </c>
      <c r="GZ84" s="3">
        <f>_xlfn.XLOOKUP(B84,QUERY!$C:$C,QUERY!BA:BA)</f>
        <v>0</v>
      </c>
      <c r="HA84" s="3" t="str">
        <f>_xlfn.XLOOKUP(B84,QUERY!$C:$C,QUERY!BB:BB)</f>
        <v>IME850329RH2</v>
      </c>
      <c r="HB84" s="3">
        <f>_xlfn.XLOOKUP(B84,QUERY!$C:$C,QUERY!BC:BC)</f>
        <v>0</v>
      </c>
      <c r="HC84" s="3">
        <f>_xlfn.XLOOKUP(B84,QUERY!$C:$C,QUERY!BD:BD)</f>
        <v>0.99</v>
      </c>
      <c r="HD84" s="3" t="str">
        <f>_xlfn.XLOOKUP(B84,QUERY!$C:$C,QUERY!BE:BE)</f>
        <v>LOTE: SCBA207A11,LOTE: A053A01,LOTE: A224A01,LOTE: A142A01,LOTE: A247B01,LOTE: A436A02,LOTE: A198A02,LOTE: A489D01,LOTE: A061A01</v>
      </c>
      <c r="HE84" s="3">
        <f>_xlfn.XLOOKUP(B84,QUERY!$C:$C,QUERY!BF:BF)</f>
        <v>90</v>
      </c>
      <c r="HF84" s="3" t="str">
        <f>_xlfn.XLOOKUP(B84,QUERY!$C:$C,QUERY!BG:BG)</f>
        <v xml:space="preserve"> 321379.32, 13019554.91, 1145829.89, 3079396.80</v>
      </c>
      <c r="HG84" s="3" t="str">
        <f>_xlfn.XLOOKUP(B84,QUERY!$C:$C,QUERY!BH:BH)</f>
        <v>KILO,KILO,KILO,KILO,KILO,KILO,KILO,KILO,KILO</v>
      </c>
      <c r="HH84" s="3">
        <f>_xlfn.XLOOKUP(B84,QUERY!$C:$C,QUERY!BI:BI)</f>
        <v>0</v>
      </c>
      <c r="HI84" s="3" t="str">
        <f>_xlfn.XLOOKUP(B84,QUERY!$C:$C,QUERY!BJ:BJ)</f>
        <v>PAISES BAJOS (REINO DE LOS) (HOLANDA)</v>
      </c>
      <c r="HJ84" s="3" t="str">
        <f>_xlfn.XLOOKUP(B84,QUERY!$C:$C,QUERY!BK:BK)</f>
        <v>PAISES BAJOS (REINO DE LOS) (HOLANDA)</v>
      </c>
      <c r="HK84" s="3" t="str">
        <f>_xlfn.XLOOKUP(B84,QUERY!$C:$C,QUERY!BL:BL)</f>
        <v>ZYA</v>
      </c>
      <c r="HL84" s="3" t="str">
        <f>_xlfn.XLOOKUP(B84,QUERY!$C:$C,QUERY!BM:BM)</f>
        <v>ZYA</v>
      </c>
      <c r="HM84" s="3">
        <f>_xlfn.XLOOKUP(B84,QUERY!$C:$C,QUERY!BN:BN)</f>
        <v>17566160</v>
      </c>
      <c r="HN84" s="3" t="str">
        <f>_xlfn.XLOOKUP(B84,QUERY!$C:$C,QUERY!BO:BO)</f>
        <v>444.00</v>
      </c>
      <c r="HO84" s="3" t="str">
        <f>_xlfn.XLOOKUP(B84,QUERY!$C:$C,QUERY!BP:BP)</f>
        <v>NULL</v>
      </c>
      <c r="HP84" s="3" t="str">
        <f>_xlfn.XLOOKUP(B84,QUERY!$C:$C,QUERY!BQ:BQ)</f>
        <v>NULL</v>
      </c>
      <c r="HQ84" s="3" t="str">
        <f>_xlfn.XLOOKUP(B84,QUERY!$C:$C,QUERY!BR:BR)</f>
        <v>250436.84</v>
      </c>
      <c r="HR84" s="3">
        <f>_xlfn.XLOOKUP(B84,QUERY!$C:$C,QUERY!BS:BS)</f>
        <v>0</v>
      </c>
      <c r="HS84" s="3">
        <f>_xlfn.XLOOKUP(B84,QUERY!$C:$C,QUERY!BT:BT)</f>
        <v>0</v>
      </c>
      <c r="HT84" s="3" t="str">
        <f>_xlfn.XLOOKUP(B84,QUERY!$C:$C,QUERY!A:A)</f>
        <v>VERACRUZ</v>
      </c>
      <c r="HU84" s="3" t="str">
        <f>_xlfn.XLOOKUP(B84,QUERY!$C:$C,QUERY!B:B)</f>
        <v>MARÍTIMO VERACRUZ</v>
      </c>
    </row>
    <row r="85" spans="1:229" x14ac:dyDescent="0.25">
      <c r="A85" s="3" t="s">
        <v>90</v>
      </c>
      <c r="B85" s="3" t="s">
        <v>343</v>
      </c>
      <c r="C85" s="3">
        <v>3942</v>
      </c>
      <c r="D85" s="3">
        <v>6000418</v>
      </c>
      <c r="E85" s="3">
        <v>6000303</v>
      </c>
      <c r="F85" s="3" t="s">
        <v>92</v>
      </c>
      <c r="G85" s="3" t="s">
        <v>342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430</v>
      </c>
      <c r="S85" s="3" t="s">
        <v>258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 t="s">
        <v>264</v>
      </c>
      <c r="AB85" s="3"/>
      <c r="AC85" s="3">
        <v>3268642</v>
      </c>
      <c r="AD85" s="3">
        <v>356.10001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/>
      <c r="AP85" s="3" t="s">
        <v>98</v>
      </c>
      <c r="AQ85" s="3">
        <v>210365020</v>
      </c>
      <c r="AR85" s="3" t="s">
        <v>99</v>
      </c>
      <c r="AS85" s="3" t="s">
        <v>100</v>
      </c>
      <c r="AT85" s="3">
        <v>0</v>
      </c>
      <c r="AU85" s="3">
        <v>0</v>
      </c>
      <c r="AV85" s="3">
        <v>0</v>
      </c>
      <c r="AW85" s="3">
        <v>30024201</v>
      </c>
      <c r="AX85" s="3">
        <v>99</v>
      </c>
      <c r="AY85" s="3">
        <v>9179</v>
      </c>
      <c r="AZ85" s="3">
        <v>9179</v>
      </c>
      <c r="BA85" s="3" t="s">
        <v>103</v>
      </c>
      <c r="BB85" s="3"/>
      <c r="BC85" s="3" t="s">
        <v>105</v>
      </c>
      <c r="BD85" s="3" t="s">
        <v>105</v>
      </c>
      <c r="BE85" s="3"/>
      <c r="BF85" s="3"/>
      <c r="BG85" s="5"/>
      <c r="BH85" s="3"/>
      <c r="BI85" s="3"/>
      <c r="BJ85" s="3"/>
      <c r="BK85" s="3" t="s">
        <v>263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 t="s">
        <v>192</v>
      </c>
      <c r="CF85" s="3">
        <v>0</v>
      </c>
      <c r="CG85" s="3">
        <v>0</v>
      </c>
      <c r="CH85" s="3">
        <v>0</v>
      </c>
      <c r="CI85" s="3" t="s">
        <v>112</v>
      </c>
      <c r="CJ85" s="3" t="s">
        <v>112</v>
      </c>
      <c r="CK85" s="3">
        <f>_xlfn.XLOOKUP($B$2,'BASE DE EXCEL'!C:C,'BASE DE EXCEL'!D:D,"NO HAY REFERENCIA")</f>
        <v>470</v>
      </c>
      <c r="CL85" s="5">
        <f>_xlfn.XLOOKUP($B$2,'BASE DE EXCEL'!$C:$C,'BASE DE EXCEL'!F:F,"NO HAY REFERENCIA")</f>
        <v>3</v>
      </c>
      <c r="CM85" s="4">
        <f>_xlfn.XLOOKUP($B$2,'BASE DE EXCEL'!$C:$C,'BASE DE EXCEL'!G:G,"NO HAY REFERENCIA")</f>
        <v>46080</v>
      </c>
      <c r="CN85" s="4">
        <f>_xlfn.XLOOKUP($B$2,'BASE DE EXCEL'!$C:$C,'BASE DE EXCEL'!H:H,"NO HAY REFERENCIA")</f>
        <v>46086</v>
      </c>
      <c r="CO85" s="3">
        <f>_xlfn.XLOOKUP($B$2,'BASE DE EXCEL'!$C:$C,'BASE DE EXCEL'!I:I,"NO HAY REFERENCIA")</f>
        <v>4</v>
      </c>
      <c r="CP85" s="3" t="str">
        <f>_xlfn.XLOOKUP($B$2,'BASE DE EXCEL'!$C:$C,'BASE DE EXCEL'!J:J,"NO HAY REFERENCIA")</f>
        <v>4 a 5 días</v>
      </c>
      <c r="CQ85" s="4">
        <f>_xlfn.XLOOKUP($B$2,'BASE DE EXCEL'!$C:$C,'BASE DE EXCEL'!K:K,"NO HAY REFERENCIA")</f>
        <v>46087</v>
      </c>
      <c r="CR85" s="3">
        <f>_xlfn.XLOOKUP($B$2,'BASE DE EXCEL'!$C:$C,'BASE DE EXCEL'!L:L,"NO HAY REFERENCIA")</f>
        <v>5</v>
      </c>
      <c r="CS85" s="3">
        <f>_xlfn.XLOOKUP($B$2,'BASE DE EXCEL'!$C:$C,'BASE DE EXCEL'!M:M,"NO HAY REFERENCIA")</f>
        <v>6</v>
      </c>
      <c r="CT85" s="3" t="str">
        <f>_xlfn.XLOOKUP($B$2,'BASE DE EXCEL'!$C:$C,'BASE DE EXCEL'!N:N,"NO HAY REFERENCIA")</f>
        <v>6 a 10 días</v>
      </c>
      <c r="CU85" s="3" t="str">
        <f>_xlfn.XLOOKUP($B$2,'BASE DE EXCEL'!$C:$C,'BASE DE EXCEL'!O:O,"NO HAY REFERENCIA")</f>
        <v>On Time</v>
      </c>
      <c r="CV85" s="3" t="str">
        <f>_xlfn.XLOOKUP(B85,'BASE DE EXCEL'!$C:$C,'BASE DE EXCEL'!P:P,"NO HAY REFERENCIA")</f>
        <v>11 a 15 días</v>
      </c>
      <c r="CW85" s="4">
        <f>_xlfn.XLOOKUP(B85,'BASE DE EXCEL'!$C:$C,'BASE DE EXCEL'!Q:Q,"NO HAY REFERENCIA")</f>
        <v>46094</v>
      </c>
      <c r="CX85" s="3">
        <f>_xlfn.XLOOKUP(B85,'BASE DE EXCEL'!$C:$C,'BASE DE EXCEL'!R:R,"NO HAY REFERENCIA")</f>
        <v>14</v>
      </c>
      <c r="CY85" s="3" t="str">
        <f>_xlfn.XLOOKUP(B85,'BASE DE EXCEL'!$C:$C,'BASE DE EXCEL'!S:S,"NO HAY REFERENCIA")</f>
        <v>11 a 15 días</v>
      </c>
      <c r="CZ85" s="3" t="str">
        <f>_xlfn.XLOOKUP(B85,'BASE DE EXCEL'!$C:$C,'BASE DE EXCEL'!T:T,"NO HAY REFERENCIA")</f>
        <v>Delayed</v>
      </c>
      <c r="DA85" s="3">
        <f>_xlfn.XLOOKUP(B85,'BASE DE EXCEL'!$C:$C,'BASE DE EXCEL'!U:U,"NO HAY REFERENCIA")</f>
        <v>0</v>
      </c>
      <c r="DB85" s="3" t="str">
        <f>_xlfn.XLOOKUP(B85,'BASE DE EXCEL'!$C:$C,'BASE DE EXCEL'!V:V,"NO HAY REFERENCIA")</f>
        <v>Sin Dato</v>
      </c>
      <c r="DC85" s="3">
        <f>_xlfn.XLOOKUP(B85,'BASE DE EXCEL'!$C:$C,'BASE DE EXCEL'!W:W,"NO HAY REFERENCIA")</f>
        <v>20</v>
      </c>
      <c r="DD85" s="3" t="str">
        <f>_xlfn.XLOOKUP(B85,'BASE DE EXCEL'!$C:$C,'BASE DE EXCEL'!X:X,"NO HAY REFERENCIA")</f>
        <v>más de 16 días</v>
      </c>
      <c r="DE85" s="3">
        <f>_xlfn.XLOOKUP(B85,'BASE DE EXCEL'!$C:$C,'BASE DE EXCEL'!Y:Y,"NO HAY REFERENCIA")</f>
        <v>0</v>
      </c>
      <c r="DF85" s="3" t="str">
        <f>_xlfn.XLOOKUP(B85,'BASE DE EXCEL'!$C:$C,'BASE DE EXCEL'!Z:Z,"NO HAY REFERENCIA")</f>
        <v>1 día o menos</v>
      </c>
      <c r="DG85" s="3">
        <f>_xlfn.XLOOKUP(B85,'BASE DE EXCEL'!$C:$C,'BASE DE EXCEL'!AA:AA,"NO HAY REFERENCIA")</f>
        <v>14</v>
      </c>
      <c r="DH85" s="3">
        <f>_xlfn.XLOOKUP(B85,'BASE DE EXCEL'!$C:$C,'BASE DE EXCEL'!AB:AB,"NO HAY REFERENCIA")</f>
        <v>-46089</v>
      </c>
      <c r="DI85" s="3" t="str">
        <f>_xlfn.XLOOKUP(B85,'BASE DE EXCEL'!$C:$C,'BASE DE EXCEL'!AC:AC,"NO HAY REFERENCIA")</f>
        <v>SIN DATO</v>
      </c>
      <c r="DJ85" s="4">
        <f>_xlfn.XLOOKUP(B85,'BASE DE EXCEL'!$C:$C,'BASE DE EXCEL'!AD:AD,"NO HAY REFERENCIA")</f>
        <v>46105</v>
      </c>
      <c r="DK85" s="3">
        <f>_xlfn.XLOOKUP(B85,'BASE DE EXCEL'!$C:$C,'BASE DE EXCEL'!AE:AE,"NO HAY REFERENCIA")</f>
        <v>46102</v>
      </c>
      <c r="DL85" s="3">
        <f>_xlfn.XLOOKUP(B85,'BASE DE EXCEL'!$C:$C,'BASE DE EXCEL'!AF:AF,"NO HAY REFERENCIA")</f>
        <v>32931</v>
      </c>
      <c r="DM85" s="4">
        <f>_xlfn.XLOOKUP(B85,'BASE DE EXCEL'!$C:$C,'BASE DE EXCEL'!AG:AG,"NO HAY REFERENCIA")</f>
        <v>46104</v>
      </c>
      <c r="DN85" s="4">
        <f>_xlfn.XLOOKUP(B85,'BASE DE EXCEL'!$C:$C,'BASE DE EXCEL'!AH:AH,"NO HAY REFERENCIA")</f>
        <v>46105</v>
      </c>
      <c r="DO85" s="3">
        <f>_xlfn.XLOOKUP(B85,'BASE DE EXCEL'!$C:$C,'BASE DE EXCEL'!AI:AI,"NO HAY REFERENCIA")</f>
        <v>1</v>
      </c>
      <c r="DP85" s="4" t="str">
        <f>_xlfn.XLOOKUP(B85,'BASE DE EXCEL'!$C:$C,'BASE DE EXCEL'!AJ:AJ,"NO HAY REFERENCIA")</f>
        <v>SIN DATO</v>
      </c>
      <c r="DQ85" s="4">
        <f>_xlfn.XLOOKUP(B85,'BASE DE EXCEL'!$C:$C,'BASE DE EXCEL'!AK:AK,"NO HAY REFERENCIA")</f>
        <v>46105</v>
      </c>
      <c r="DR85" s="3">
        <f>_xlfn.XLOOKUP(B85,'BASE DE EXCEL'!$C:$C,'BASE DE EXCEL'!AL:AL,"NO HAY REFERENCIA")</f>
        <v>7</v>
      </c>
      <c r="DS85" s="3" t="str">
        <f>_xlfn.XLOOKUP(B85,'BASE DE EXCEL'!$C:$C,'BASE DE EXCEL'!AM:AM,"NO HAY REFERENCIA")</f>
        <v>6 a 10 días</v>
      </c>
      <c r="DT85" s="3" t="str">
        <f>_xlfn.XLOOKUP(B85,'BASE DE EXCEL'!$C:$C,'BASE DE EXCEL'!AN:AN,"NO HAY REFERENCIA")</f>
        <v>Delayed</v>
      </c>
      <c r="DU85" s="3">
        <f>_xlfn.XLOOKUP(B85,'BASE DE EXCEL'!$C:$C,'BASE DE EXCEL'!AO:AO,"NO HAY REFERENCIA")</f>
        <v>0</v>
      </c>
      <c r="DV85" s="3" t="str">
        <f>_xlfn.XLOOKUP(B85,'BASE DE EXCEL'!$C:$C,'BASE DE EXCEL'!AP:AP,"NO HAY REFERENCIA")</f>
        <v>Es anterior</v>
      </c>
      <c r="DW85" s="3" t="str">
        <f>_xlfn.XLOOKUP(B85,'BASE DE EXCEL'!$C:$C,'BASE DE EXCEL'!AQ:AQ,"NO HAY REFERENCIA")</f>
        <v>R1</v>
      </c>
      <c r="DX85" s="3" t="str">
        <f>_xlfn.XLOOKUP(B85,'BASE DE EXCEL'!$C:$C,'BASE DE EXCEL'!AR:AR,"NO HAY REFERENCIA")</f>
        <v>ZULEIMA PEREZ RUIZ</v>
      </c>
      <c r="DY85" s="3" t="str">
        <f>_xlfn.XLOOKUP(B85,'BASE DE EXCEL'!$C:$C,'BASE DE EXCEL'!AS:AS,"NO HAY REFERENCIA")</f>
        <v>HLCURTM260162366</v>
      </c>
      <c r="DZ85" s="3" t="str">
        <f>_xlfn.XLOOKUP(B85,'BASE DE EXCEL'!$C:$C,'BASE DE EXCEL'!AT:AT,"NO HAY REFERENCIA")</f>
        <v>NULL</v>
      </c>
      <c r="EA85" s="3">
        <f>_xlfn.XLOOKUP(B85,'BASE DE EXCEL'!$C:$C,'BASE DE EXCEL'!AU:AU,"NO HAY REFERENCIA")</f>
        <v>6000418</v>
      </c>
      <c r="EB85" s="3" t="str">
        <f>_xlfn.XLOOKUP(B85,'BASE DE EXCEL'!$C:$C,'BASE DE EXCEL'!AV:AV,"NO HAY REFERENCIA")</f>
        <v>Importación</v>
      </c>
      <c r="EC85" s="3" t="str">
        <f>_xlfn.XLOOKUP(B85,'BASE DE EXCEL'!$C:$C,'BASE DE EXCEL'!AW:AW,"NO HAY REFERENCIA")</f>
        <v>NOBILIS MA5+CLONE 30 (VACUNA DE USO VETERINARIO)</v>
      </c>
      <c r="ED85" s="3" t="str">
        <f>_xlfn.XLOOKUP(B85,'BASE DE EXCEL'!$C:$C,'BASE DE EXCEL'!AX:AX,"NO HAY REFERENCIA")</f>
        <v>SIN CLASIFICACION</v>
      </c>
      <c r="EE85" s="3">
        <f>_xlfn.XLOOKUP(B85,'BASE DE EXCEL'!$C:$C,'BASE DE EXCEL'!AY:AY,"NO HAY REFERENCIA")</f>
        <v>0</v>
      </c>
      <c r="EF85" s="3" t="str">
        <f>_xlfn.XLOOKUP(B85,'BASE DE EXCEL'!$C:$C,'BASE DE EXCEL'!AZ:AZ,"NO HAY REFERENCIA")</f>
        <v>Cargas de Importación</v>
      </c>
      <c r="EG85" s="3" t="str">
        <f>_xlfn.XLOOKUP(B85,'BASE DE EXCEL'!$C:$C,'BASE DE EXCEL'!BA:BA,"NO HAY REFERENCIA")</f>
        <v>INTERVET MEXICO SA DE CV</v>
      </c>
      <c r="EH85" s="3">
        <f>_xlfn.XLOOKUP(B85,'BASE DE EXCEL'!$C:$C,'BASE DE EXCEL'!BB:BB,"NO HAY REFERENCIA")</f>
        <v>0</v>
      </c>
      <c r="EI85" s="3">
        <f>_xlfn.XLOOKUP(B85,'BASE DE EXCEL'!$C:$C,'BASE DE EXCEL'!BC:BC,"NO HAY REFERENCIA")</f>
        <v>0</v>
      </c>
      <c r="EJ85" s="3">
        <f>_xlfn.XLOOKUP(B85,'BASE DE EXCEL'!$C:$C,'BASE DE EXCEL'!BD:BD,"NO HAY REFERENCIA")</f>
        <v>0</v>
      </c>
      <c r="EK85" s="3">
        <f>_xlfn.XLOOKUP(B85,'BASE DE EXCEL'!$C:$C,'BASE DE EXCEL'!BE:BE,"NO HAY REFERENCIA")</f>
        <v>0</v>
      </c>
      <c r="EL85" s="3">
        <f>_xlfn.XLOOKUP(B85,'BASE DE EXCEL'!$C:$C,'BASE DE EXCEL'!BF:BF,"NO HAY REFERENCIA")</f>
        <v>0</v>
      </c>
      <c r="EM85" s="3" t="str">
        <f>_xlfn.XLOOKUP(B85,'BASE DE EXCEL'!$C:$C,'BASE DE EXCEL'!BG:BG,"NO HAY REFERENCIA")</f>
        <v>Verde</v>
      </c>
      <c r="EN85" s="3" t="str">
        <f>_xlfn.XLOOKUP(B85,'BASE DE EXCEL'!$C:$C,'BASE DE EXCEL'!BH:BH,"NO HAY REFERENCIA")</f>
        <v>NULL</v>
      </c>
      <c r="EO85" s="3">
        <f>_xlfn.XLOOKUP(B85,'BASE DE EXCEL'!$C:$C,'BASE DE EXCEL'!BI:BI,"NO HAY REFERENCIA")</f>
        <v>0</v>
      </c>
      <c r="EP85" s="3">
        <f>_xlfn.XLOOKUP(B85,'BASE DE EXCEL'!$C:$C,'BASE DE EXCEL'!BJ:BJ,"NO HAY REFERENCIA")</f>
        <v>0</v>
      </c>
      <c r="EQ85" s="3" t="str">
        <f>_xlfn.XLOOKUP(B85,'BASE DE EXCEL'!$C:$C,'BASE DE EXCEL'!BK:BK,"NO HAY REFERENCIA")</f>
        <v>IME850329RH2</v>
      </c>
      <c r="ER85" s="3">
        <f>_xlfn.XLOOKUP(B85,'BASE DE EXCEL'!$C:$C,'BASE DE EXCEL'!BL:BL,"NO HAY REFERENCIA")</f>
        <v>0</v>
      </c>
      <c r="ES85" s="3" t="str">
        <f>_xlfn.XLOOKUP(B85,'BASE DE EXCEL'!$C:$C,'BASE DE EXCEL'!BM:BM,"NO HAY REFERENCIA")</f>
        <v>00,99</v>
      </c>
      <c r="ET85" s="3" t="str">
        <f>_xlfn.XLOOKUP(B85,'BASE DE EXCEL'!$C:$C,'BASE DE EXCEL'!BN:BN,"NO HAY REFERENCIA")</f>
        <v>LOTE: SCBA207A11,LOTE: A053A01,LOTE: A224A01,LOTE: A142A01,LOTE: A247B01,LOTE: A436A02,LOTE: A198A02,LOTE: A489D01,LOTE: A061A01</v>
      </c>
      <c r="EU85" s="3">
        <f>_xlfn.XLOOKUP(B85,'BASE DE EXCEL'!$C:$C,'BASE DE EXCEL'!BO:BO,"NO HAY REFERENCIA")</f>
        <v>90</v>
      </c>
      <c r="EV85" s="3" t="str">
        <f>_xlfn.XLOOKUP(B85,'BASE DE EXCEL'!$C:$C,'BASE DE EXCEL'!BP:BP,"NO HAY REFERENCIA")</f>
        <v xml:space="preserve"> 321379.32, 13019554.91, 1145829.89, 3079396.80</v>
      </c>
      <c r="EW85" s="3" t="str">
        <f>_xlfn.XLOOKUP(B85,'BASE DE EXCEL'!$C:$C,'BASE DE EXCEL'!BQ:BQ,"NO HAY REFERENCIA")</f>
        <v>KILO,KILO,KILO,KILO,KILO,KILO,KILO,KILO,KILO</v>
      </c>
      <c r="EX85" s="3">
        <f>_xlfn.XLOOKUP(B85,'BASE DE EXCEL'!$C:$C,'BASE DE EXCEL'!BR:BR,"NO HAY REFERENCIA")</f>
        <v>0</v>
      </c>
      <c r="EY85" s="3" t="str">
        <f>_xlfn.XLOOKUP(B85,'BASE DE EXCEL'!$C:$C,'BASE DE EXCEL'!BS:BS,"NO HAY REFERENCIA")</f>
        <v>PAISES BAJOS (REINO DE LOS) (HOLANDA)</v>
      </c>
      <c r="EZ85" s="3" t="str">
        <f>_xlfn.XLOOKUP(B85,'BASE DE EXCEL'!$C:$C,'BASE DE EXCEL'!BT:BT,"NO HAY REFERENCIA")</f>
        <v>PAISES BAJOS (REINO DE LOS) (HOLANDA)</v>
      </c>
      <c r="FA85" s="3" t="str">
        <f>_xlfn.XLOOKUP(B85,'BASE DE EXCEL'!$C:$C,'BASE DE EXCEL'!BU:BU,"NO HAY REFERENCIA")</f>
        <v>ZYA</v>
      </c>
      <c r="FB85" s="3" t="str">
        <f>_xlfn.XLOOKUP(B85,'BASE DE EXCEL'!$C:$C,'BASE DE EXCEL'!BV:BV,"NO HAY REFERENCIA")</f>
        <v>ZYA</v>
      </c>
      <c r="FC85" s="3">
        <f>_xlfn.XLOOKUP(B85,QUERY!$C:$C,QUERY!D:D)</f>
        <v>430</v>
      </c>
      <c r="FD85" s="4">
        <f>_xlfn.XLOOKUP(B85,QUERY!$C:$C,QUERY!E:E)</f>
        <v>46091</v>
      </c>
      <c r="FE85" s="3">
        <f>_xlfn.XLOOKUP(B85,QUERY!$C:$C,QUERY!F:F)</f>
        <v>3</v>
      </c>
      <c r="FF85" s="4">
        <f>_xlfn.XLOOKUP(B85,QUERY!$C:$C,QUERY!G:G)</f>
        <v>46077</v>
      </c>
      <c r="FG85" s="4">
        <f>_xlfn.XLOOKUP(B85,QUERY!$C:$C,QUERY!H:H)</f>
        <v>46091</v>
      </c>
      <c r="FH85" s="3">
        <f>_xlfn.XLOOKUP(B85,QUERY!$C:$C,QUERY!I:I)</f>
        <v>10</v>
      </c>
      <c r="FI85" s="3" t="str">
        <f>_xlfn.XLOOKUP(B85,QUERY!$C:$C,QUERY!J:J)</f>
        <v>6 a 10 días</v>
      </c>
      <c r="FJ85" s="4">
        <f>_xlfn.XLOOKUP(B85,QUERY!$C:$C,QUERY!K:K)</f>
        <v>46091</v>
      </c>
      <c r="FK85" s="3">
        <f>_xlfn.XLOOKUP(B85,QUERY!$C:$C,QUERY!L:L)</f>
        <v>10</v>
      </c>
      <c r="FL85" s="3" t="str">
        <f>_xlfn.XLOOKUP(B85,QUERY!$C:$C,QUERY!M:M)</f>
        <v>6 a 10 días</v>
      </c>
      <c r="FM85" s="3">
        <f>_xlfn.XLOOKUP(B85,QUERY!$C:$C,QUERY!N:N)</f>
        <v>0</v>
      </c>
      <c r="FN85" s="3" t="str">
        <f>_xlfn.XLOOKUP(B85,QUERY!$C:$C,QUERY!O:O)</f>
        <v>1 día o menos</v>
      </c>
      <c r="FO85" s="3">
        <f>_xlfn.XLOOKUP(B85,QUERY!$C:$C,QUERY!P:P)</f>
        <v>0</v>
      </c>
      <c r="FP85" s="3">
        <f>_xlfn.XLOOKUP(B85,QUERY!$C:$C,QUERY!Q:Q)</f>
        <v>0</v>
      </c>
      <c r="FQ85" s="3" t="str">
        <f>_xlfn.XLOOKUP(B85,QUERY!$C:$C,QUERY!R:R)</f>
        <v>1 día o menos</v>
      </c>
      <c r="FR85" s="4">
        <f>_xlfn.XLOOKUP(B85,QUERY!$C:$C,QUERY!S:S)</f>
        <v>46091</v>
      </c>
      <c r="FS85" s="3">
        <f>_xlfn.XLOOKUP(B85,QUERY!$C:$C,QUERY!T:T)</f>
        <v>10</v>
      </c>
      <c r="FT85" s="3" t="str">
        <f>_xlfn.XLOOKUP(B85,QUERY!$C:$C,QUERY!U:U)</f>
        <v>6 a 10 días</v>
      </c>
      <c r="FU85" s="3">
        <f>_xlfn.XLOOKUP(B85,QUERY!$C:$C,QUERY!V:V)</f>
        <v>20</v>
      </c>
      <c r="FV85" s="3" t="str">
        <f>_xlfn.XLOOKUP(B85,QUERY!$C:$C,QUERY!W:W)</f>
        <v>más de 16 días</v>
      </c>
      <c r="FW85" s="4">
        <f>_xlfn.XLOOKUP(B85,QUERY!$C:$C,QUERY!X:X)</f>
        <v>46105</v>
      </c>
      <c r="FX85" s="3">
        <f>_xlfn.XLOOKUP(B85,QUERY!$C:$C,QUERY!Y:Y)</f>
        <v>9</v>
      </c>
      <c r="FY85" s="3">
        <f>_xlfn.XLOOKUP(B85,QUERY!$C:$C,QUERY!Z:Z)</f>
        <v>10</v>
      </c>
      <c r="FZ85" s="4" t="str">
        <f>_xlfn.XLOOKUP(B85,QUERY!$C:$C,QUERY!AA:AA)</f>
        <v>11 a 15 días</v>
      </c>
      <c r="GA85" s="4">
        <f>_xlfn.XLOOKUP(B85,QUERY!$C:$C,QUERY!AB:AB)</f>
        <v>46104</v>
      </c>
      <c r="GB85" s="4">
        <f>_xlfn.XLOOKUP(B85,QUERY!$C:$C,QUERY!AC:AC)</f>
        <v>46105</v>
      </c>
      <c r="GC85" s="3">
        <f>_xlfn.XLOOKUP(B85,QUERY!$C:$C,QUERY!AD:AD)</f>
        <v>1</v>
      </c>
      <c r="GD85" s="4">
        <f>_xlfn.XLOOKUP(B85,QUERY!$C:$C,QUERY!AE:AE)</f>
        <v>46105</v>
      </c>
      <c r="GE85" s="3">
        <f>_xlfn.XLOOKUP(B85,QUERY!$C:$C,QUERY!AF:AF)</f>
        <v>1</v>
      </c>
      <c r="GF85" s="4" t="str">
        <f>_xlfn.XLOOKUP(B85,QUERY!$C:$C,QUERY!AG:AG)</f>
        <v>Es anterior</v>
      </c>
      <c r="GG85" s="3" t="str">
        <f>_xlfn.XLOOKUP(B85,QUERY!$C:$C,QUERY!AH:AH)</f>
        <v>R1</v>
      </c>
      <c r="GH85" s="3" t="str">
        <f>_xlfn.XLOOKUP(B85,QUERY!$C:$C,QUERY!AI:AI)</f>
        <v>ZULEIMA PEREZ RUIZ</v>
      </c>
      <c r="GI85" s="3" t="str">
        <f>_xlfn.XLOOKUP(B85,QUERY!$C:$C,QUERY!AJ:AJ)</f>
        <v>HLCURTM260162366</v>
      </c>
      <c r="GJ85" s="3" t="str">
        <f>_xlfn.XLOOKUP(B85,QUERY!$C:$C,QUERY!AK:AK)</f>
        <v>NULL</v>
      </c>
      <c r="GK85" s="3">
        <f>_xlfn.XLOOKUP(B85,QUERY!$C:$C,QUERY!AL:AL)</f>
        <v>6000418</v>
      </c>
      <c r="GL85" s="3" t="str">
        <f>_xlfn.XLOOKUP(B85,QUERY!$C:$C,QUERY!AM:AM)</f>
        <v>Importación</v>
      </c>
      <c r="GM85" s="3" t="str">
        <f>_xlfn.XLOOKUP(B85,QUERY!$C:$C,QUERY!AN:AN)</f>
        <v>NOBILIS MA5+CLONE 30 (VACUNA DE USO VETERINARIO)</v>
      </c>
      <c r="GN85" s="3" t="str">
        <f>_xlfn.XLOOKUP(B85,QUERY!$C:$C,QUERY!AO:AO)</f>
        <v>SIN CLASIFICACION</v>
      </c>
      <c r="GO85" s="3">
        <f>_xlfn.XLOOKUP(B85,QUERY!$C:$C,QUERY!AP:AP)</f>
        <v>0</v>
      </c>
      <c r="GP85" s="3" t="str">
        <f>_xlfn.XLOOKUP(B85,QUERY!$C:$C,QUERY!AQ:AQ)</f>
        <v>Cargas de Importación</v>
      </c>
      <c r="GQ85" s="3" t="str">
        <f>_xlfn.XLOOKUP(B85,QUERY!$C:$C,QUERY!AR:AR)</f>
        <v>INTERVET MEXICO SA DE CV</v>
      </c>
      <c r="GR85" s="3">
        <f>_xlfn.XLOOKUP(B85,QUERY!$C:$C,QUERY!AS:AS)</f>
        <v>0</v>
      </c>
      <c r="GS85" s="3">
        <f>_xlfn.XLOOKUP(B85,QUERY!$C:$C,QUERY!AT:AT)</f>
        <v>0</v>
      </c>
      <c r="GT85" s="3">
        <f>_xlfn.XLOOKUP(B85,QUERY!$C:$C,QUERY!AU:AU)</f>
        <v>0</v>
      </c>
      <c r="GU85" s="3">
        <f>_xlfn.XLOOKUP(B85,QUERY!$C:$C,QUERY!AV:AV)</f>
        <v>0</v>
      </c>
      <c r="GV85" s="3">
        <f>_xlfn.XLOOKUP(B85,QUERY!$C:$C,QUERY!AW:AW)</f>
        <v>0</v>
      </c>
      <c r="GW85" s="3" t="str">
        <f>_xlfn.XLOOKUP(B85,QUERY!$C:$C,QUERY!AX:AX)</f>
        <v>Verde</v>
      </c>
      <c r="GX85" s="3" t="str">
        <f>_xlfn.XLOOKUP(B85,QUERY!$C:$C,QUERY!AY:AY)</f>
        <v>NULL</v>
      </c>
      <c r="GY85" s="3">
        <f>_xlfn.XLOOKUP(B85,QUERY!$C:$C,QUERY!AZ:AZ)</f>
        <v>0</v>
      </c>
      <c r="GZ85" s="3">
        <f>_xlfn.XLOOKUP(B85,QUERY!$C:$C,QUERY!BA:BA)</f>
        <v>0</v>
      </c>
      <c r="HA85" s="3" t="str">
        <f>_xlfn.XLOOKUP(B85,QUERY!$C:$C,QUERY!BB:BB)</f>
        <v>IME850329RH2</v>
      </c>
      <c r="HB85" s="3">
        <f>_xlfn.XLOOKUP(B85,QUERY!$C:$C,QUERY!BC:BC)</f>
        <v>0</v>
      </c>
      <c r="HC85" s="3">
        <f>_xlfn.XLOOKUP(B85,QUERY!$C:$C,QUERY!BD:BD)</f>
        <v>0.99</v>
      </c>
      <c r="HD85" s="3" t="str">
        <f>_xlfn.XLOOKUP(B85,QUERY!$C:$C,QUERY!BE:BE)</f>
        <v>LOTE: SCBA207A11,LOTE: A053A01,LOTE: A224A01,LOTE: A142A01,LOTE: A247B01,LOTE: A436A02,LOTE: A198A02,LOTE: A489D01,LOTE: A061A01</v>
      </c>
      <c r="HE85" s="3">
        <f>_xlfn.XLOOKUP(B85,QUERY!$C:$C,QUERY!BF:BF)</f>
        <v>90</v>
      </c>
      <c r="HF85" s="3" t="str">
        <f>_xlfn.XLOOKUP(B85,QUERY!$C:$C,QUERY!BG:BG)</f>
        <v xml:space="preserve"> 321379.32, 13019554.91, 1145829.89, 3079396.80</v>
      </c>
      <c r="HG85" s="3" t="str">
        <f>_xlfn.XLOOKUP(B85,QUERY!$C:$C,QUERY!BH:BH)</f>
        <v>KILO,KILO,KILO,KILO,KILO,KILO,KILO,KILO,KILO</v>
      </c>
      <c r="HH85" s="3">
        <f>_xlfn.XLOOKUP(B85,QUERY!$C:$C,QUERY!BI:BI)</f>
        <v>0</v>
      </c>
      <c r="HI85" s="3" t="str">
        <f>_xlfn.XLOOKUP(B85,QUERY!$C:$C,QUERY!BJ:BJ)</f>
        <v>PAISES BAJOS (REINO DE LOS) (HOLANDA)</v>
      </c>
      <c r="HJ85" s="3" t="str">
        <f>_xlfn.XLOOKUP(B85,QUERY!$C:$C,QUERY!BK:BK)</f>
        <v>PAISES BAJOS (REINO DE LOS) (HOLANDA)</v>
      </c>
      <c r="HK85" s="3" t="str">
        <f>_xlfn.XLOOKUP(B85,QUERY!$C:$C,QUERY!BL:BL)</f>
        <v>ZYA</v>
      </c>
      <c r="HL85" s="3" t="str">
        <f>_xlfn.XLOOKUP(B85,QUERY!$C:$C,QUERY!BM:BM)</f>
        <v>ZYA</v>
      </c>
      <c r="HM85" s="3">
        <f>_xlfn.XLOOKUP(B85,QUERY!$C:$C,QUERY!BN:BN)</f>
        <v>17566160</v>
      </c>
      <c r="HN85" s="3" t="str">
        <f>_xlfn.XLOOKUP(B85,QUERY!$C:$C,QUERY!BO:BO)</f>
        <v>444.00</v>
      </c>
      <c r="HO85" s="3" t="str">
        <f>_xlfn.XLOOKUP(B85,QUERY!$C:$C,QUERY!BP:BP)</f>
        <v>NULL</v>
      </c>
      <c r="HP85" s="3" t="str">
        <f>_xlfn.XLOOKUP(B85,QUERY!$C:$C,QUERY!BQ:BQ)</f>
        <v>NULL</v>
      </c>
      <c r="HQ85" s="3" t="str">
        <f>_xlfn.XLOOKUP(B85,QUERY!$C:$C,QUERY!BR:BR)</f>
        <v>250436.84</v>
      </c>
      <c r="HR85" s="3">
        <f>_xlfn.XLOOKUP(B85,QUERY!$C:$C,QUERY!BS:BS)</f>
        <v>0</v>
      </c>
      <c r="HS85" s="3">
        <f>_xlfn.XLOOKUP(B85,QUERY!$C:$C,QUERY!BT:BT)</f>
        <v>0</v>
      </c>
      <c r="HT85" s="3" t="str">
        <f>_xlfn.XLOOKUP(B85,QUERY!$C:$C,QUERY!A:A)</f>
        <v>VERACRUZ</v>
      </c>
      <c r="HU85" s="3" t="str">
        <f>_xlfn.XLOOKUP(B85,QUERY!$C:$C,QUERY!B:B)</f>
        <v>MARÍTIMO VERACRUZ</v>
      </c>
    </row>
    <row r="86" spans="1:229" x14ac:dyDescent="0.25">
      <c r="A86" s="3" t="s">
        <v>90</v>
      </c>
      <c r="B86" s="3" t="s">
        <v>343</v>
      </c>
      <c r="C86" s="3">
        <v>3942</v>
      </c>
      <c r="D86" s="3">
        <v>6000418</v>
      </c>
      <c r="E86" s="3">
        <v>6000303</v>
      </c>
      <c r="F86" s="3" t="s">
        <v>92</v>
      </c>
      <c r="G86" s="3" t="s">
        <v>342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430</v>
      </c>
      <c r="S86" s="3" t="s">
        <v>258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 t="s">
        <v>265</v>
      </c>
      <c r="AB86" s="3"/>
      <c r="AC86" s="3">
        <v>6402146</v>
      </c>
      <c r="AD86" s="3">
        <v>741.58995000000004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/>
      <c r="AP86" s="3" t="s">
        <v>98</v>
      </c>
      <c r="AQ86" s="3">
        <v>210365020</v>
      </c>
      <c r="AR86" s="3" t="s">
        <v>99</v>
      </c>
      <c r="AS86" s="3" t="s">
        <v>100</v>
      </c>
      <c r="AT86" s="3">
        <v>0</v>
      </c>
      <c r="AU86" s="3">
        <v>0</v>
      </c>
      <c r="AV86" s="3">
        <v>0</v>
      </c>
      <c r="AW86" s="3">
        <v>30024201</v>
      </c>
      <c r="AX86" s="3">
        <v>99</v>
      </c>
      <c r="AY86" s="3">
        <v>8633</v>
      </c>
      <c r="AZ86" s="3">
        <v>8633</v>
      </c>
      <c r="BA86" s="3" t="s">
        <v>103</v>
      </c>
      <c r="BB86" s="3"/>
      <c r="BC86" s="3" t="s">
        <v>105</v>
      </c>
      <c r="BD86" s="3" t="s">
        <v>105</v>
      </c>
      <c r="BE86" s="3"/>
      <c r="BF86" s="3"/>
      <c r="BG86" s="5"/>
      <c r="BH86" s="3"/>
      <c r="BI86" s="3"/>
      <c r="BJ86" s="3"/>
      <c r="BK86" s="3" t="s">
        <v>263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 t="s">
        <v>192</v>
      </c>
      <c r="CF86" s="3">
        <v>0</v>
      </c>
      <c r="CG86" s="3">
        <v>0</v>
      </c>
      <c r="CH86" s="3">
        <v>0</v>
      </c>
      <c r="CI86" s="3" t="s">
        <v>112</v>
      </c>
      <c r="CJ86" s="3" t="s">
        <v>112</v>
      </c>
      <c r="CK86" s="3">
        <f>_xlfn.XLOOKUP($B$2,'BASE DE EXCEL'!C:C,'BASE DE EXCEL'!D:D,"NO HAY REFERENCIA")</f>
        <v>470</v>
      </c>
      <c r="CL86" s="5">
        <f>_xlfn.XLOOKUP($B$2,'BASE DE EXCEL'!$C:$C,'BASE DE EXCEL'!F:F,"NO HAY REFERENCIA")</f>
        <v>3</v>
      </c>
      <c r="CM86" s="4">
        <f>_xlfn.XLOOKUP($B$2,'BASE DE EXCEL'!$C:$C,'BASE DE EXCEL'!G:G,"NO HAY REFERENCIA")</f>
        <v>46080</v>
      </c>
      <c r="CN86" s="4">
        <f>_xlfn.XLOOKUP($B$2,'BASE DE EXCEL'!$C:$C,'BASE DE EXCEL'!H:H,"NO HAY REFERENCIA")</f>
        <v>46086</v>
      </c>
      <c r="CO86" s="3">
        <f>_xlfn.XLOOKUP($B$2,'BASE DE EXCEL'!$C:$C,'BASE DE EXCEL'!I:I,"NO HAY REFERENCIA")</f>
        <v>4</v>
      </c>
      <c r="CP86" s="3" t="str">
        <f>_xlfn.XLOOKUP($B$2,'BASE DE EXCEL'!$C:$C,'BASE DE EXCEL'!J:J,"NO HAY REFERENCIA")</f>
        <v>4 a 5 días</v>
      </c>
      <c r="CQ86" s="4">
        <f>_xlfn.XLOOKUP($B$2,'BASE DE EXCEL'!$C:$C,'BASE DE EXCEL'!K:K,"NO HAY REFERENCIA")</f>
        <v>46087</v>
      </c>
      <c r="CR86" s="3">
        <f>_xlfn.XLOOKUP($B$2,'BASE DE EXCEL'!$C:$C,'BASE DE EXCEL'!L:L,"NO HAY REFERENCIA")</f>
        <v>5</v>
      </c>
      <c r="CS86" s="3">
        <f>_xlfn.XLOOKUP($B$2,'BASE DE EXCEL'!$C:$C,'BASE DE EXCEL'!M:M,"NO HAY REFERENCIA")</f>
        <v>6</v>
      </c>
      <c r="CT86" s="3" t="str">
        <f>_xlfn.XLOOKUP($B$2,'BASE DE EXCEL'!$C:$C,'BASE DE EXCEL'!N:N,"NO HAY REFERENCIA")</f>
        <v>6 a 10 días</v>
      </c>
      <c r="CU86" s="3" t="str">
        <f>_xlfn.XLOOKUP($B$2,'BASE DE EXCEL'!$C:$C,'BASE DE EXCEL'!O:O,"NO HAY REFERENCIA")</f>
        <v>On Time</v>
      </c>
      <c r="CV86" s="3" t="str">
        <f>_xlfn.XLOOKUP(B86,'BASE DE EXCEL'!$C:$C,'BASE DE EXCEL'!P:P,"NO HAY REFERENCIA")</f>
        <v>11 a 15 días</v>
      </c>
      <c r="CW86" s="4">
        <f>_xlfn.XLOOKUP(B86,'BASE DE EXCEL'!$C:$C,'BASE DE EXCEL'!Q:Q,"NO HAY REFERENCIA")</f>
        <v>46094</v>
      </c>
      <c r="CX86" s="3">
        <f>_xlfn.XLOOKUP(B86,'BASE DE EXCEL'!$C:$C,'BASE DE EXCEL'!R:R,"NO HAY REFERENCIA")</f>
        <v>14</v>
      </c>
      <c r="CY86" s="3" t="str">
        <f>_xlfn.XLOOKUP(B86,'BASE DE EXCEL'!$C:$C,'BASE DE EXCEL'!S:S,"NO HAY REFERENCIA")</f>
        <v>11 a 15 días</v>
      </c>
      <c r="CZ86" s="3" t="str">
        <f>_xlfn.XLOOKUP(B86,'BASE DE EXCEL'!$C:$C,'BASE DE EXCEL'!T:T,"NO HAY REFERENCIA")</f>
        <v>Delayed</v>
      </c>
      <c r="DA86" s="3">
        <f>_xlfn.XLOOKUP(B86,'BASE DE EXCEL'!$C:$C,'BASE DE EXCEL'!U:U,"NO HAY REFERENCIA")</f>
        <v>0</v>
      </c>
      <c r="DB86" s="3" t="str">
        <f>_xlfn.XLOOKUP(B86,'BASE DE EXCEL'!$C:$C,'BASE DE EXCEL'!V:V,"NO HAY REFERENCIA")</f>
        <v>Sin Dato</v>
      </c>
      <c r="DC86" s="3">
        <f>_xlfn.XLOOKUP(B86,'BASE DE EXCEL'!$C:$C,'BASE DE EXCEL'!W:W,"NO HAY REFERENCIA")</f>
        <v>20</v>
      </c>
      <c r="DD86" s="3" t="str">
        <f>_xlfn.XLOOKUP(B86,'BASE DE EXCEL'!$C:$C,'BASE DE EXCEL'!X:X,"NO HAY REFERENCIA")</f>
        <v>más de 16 días</v>
      </c>
      <c r="DE86" s="3">
        <f>_xlfn.XLOOKUP(B86,'BASE DE EXCEL'!$C:$C,'BASE DE EXCEL'!Y:Y,"NO HAY REFERENCIA")</f>
        <v>0</v>
      </c>
      <c r="DF86" s="3" t="str">
        <f>_xlfn.XLOOKUP(B86,'BASE DE EXCEL'!$C:$C,'BASE DE EXCEL'!Z:Z,"NO HAY REFERENCIA")</f>
        <v>1 día o menos</v>
      </c>
      <c r="DG86" s="3">
        <f>_xlfn.XLOOKUP(B86,'BASE DE EXCEL'!$C:$C,'BASE DE EXCEL'!AA:AA,"NO HAY REFERENCIA")</f>
        <v>14</v>
      </c>
      <c r="DH86" s="3">
        <f>_xlfn.XLOOKUP(B86,'BASE DE EXCEL'!$C:$C,'BASE DE EXCEL'!AB:AB,"NO HAY REFERENCIA")</f>
        <v>-46089</v>
      </c>
      <c r="DI86" s="3" t="str">
        <f>_xlfn.XLOOKUP(B86,'BASE DE EXCEL'!$C:$C,'BASE DE EXCEL'!AC:AC,"NO HAY REFERENCIA")</f>
        <v>SIN DATO</v>
      </c>
      <c r="DJ86" s="4">
        <f>_xlfn.XLOOKUP(B86,'BASE DE EXCEL'!$C:$C,'BASE DE EXCEL'!AD:AD,"NO HAY REFERENCIA")</f>
        <v>46105</v>
      </c>
      <c r="DK86" s="3">
        <f>_xlfn.XLOOKUP(B86,'BASE DE EXCEL'!$C:$C,'BASE DE EXCEL'!AE:AE,"NO HAY REFERENCIA")</f>
        <v>46102</v>
      </c>
      <c r="DL86" s="3">
        <f>_xlfn.XLOOKUP(B86,'BASE DE EXCEL'!$C:$C,'BASE DE EXCEL'!AF:AF,"NO HAY REFERENCIA")</f>
        <v>32931</v>
      </c>
      <c r="DM86" s="4">
        <f>_xlfn.XLOOKUP(B86,'BASE DE EXCEL'!$C:$C,'BASE DE EXCEL'!AG:AG,"NO HAY REFERENCIA")</f>
        <v>46104</v>
      </c>
      <c r="DN86" s="4">
        <f>_xlfn.XLOOKUP(B86,'BASE DE EXCEL'!$C:$C,'BASE DE EXCEL'!AH:AH,"NO HAY REFERENCIA")</f>
        <v>46105</v>
      </c>
      <c r="DO86" s="3">
        <f>_xlfn.XLOOKUP(B86,'BASE DE EXCEL'!$C:$C,'BASE DE EXCEL'!AI:AI,"NO HAY REFERENCIA")</f>
        <v>1</v>
      </c>
      <c r="DP86" s="4" t="str">
        <f>_xlfn.XLOOKUP(B86,'BASE DE EXCEL'!$C:$C,'BASE DE EXCEL'!AJ:AJ,"NO HAY REFERENCIA")</f>
        <v>SIN DATO</v>
      </c>
      <c r="DQ86" s="4">
        <f>_xlfn.XLOOKUP(B86,'BASE DE EXCEL'!$C:$C,'BASE DE EXCEL'!AK:AK,"NO HAY REFERENCIA")</f>
        <v>46105</v>
      </c>
      <c r="DR86" s="3">
        <f>_xlfn.XLOOKUP(B86,'BASE DE EXCEL'!$C:$C,'BASE DE EXCEL'!AL:AL,"NO HAY REFERENCIA")</f>
        <v>7</v>
      </c>
      <c r="DS86" s="3" t="str">
        <f>_xlfn.XLOOKUP(B86,'BASE DE EXCEL'!$C:$C,'BASE DE EXCEL'!AM:AM,"NO HAY REFERENCIA")</f>
        <v>6 a 10 días</v>
      </c>
      <c r="DT86" s="3" t="str">
        <f>_xlfn.XLOOKUP(B86,'BASE DE EXCEL'!$C:$C,'BASE DE EXCEL'!AN:AN,"NO HAY REFERENCIA")</f>
        <v>Delayed</v>
      </c>
      <c r="DU86" s="3">
        <f>_xlfn.XLOOKUP(B86,'BASE DE EXCEL'!$C:$C,'BASE DE EXCEL'!AO:AO,"NO HAY REFERENCIA")</f>
        <v>0</v>
      </c>
      <c r="DV86" s="3" t="str">
        <f>_xlfn.XLOOKUP(B86,'BASE DE EXCEL'!$C:$C,'BASE DE EXCEL'!AP:AP,"NO HAY REFERENCIA")</f>
        <v>Es anterior</v>
      </c>
      <c r="DW86" s="3" t="str">
        <f>_xlfn.XLOOKUP(B86,'BASE DE EXCEL'!$C:$C,'BASE DE EXCEL'!AQ:AQ,"NO HAY REFERENCIA")</f>
        <v>R1</v>
      </c>
      <c r="DX86" s="3" t="str">
        <f>_xlfn.XLOOKUP(B86,'BASE DE EXCEL'!$C:$C,'BASE DE EXCEL'!AR:AR,"NO HAY REFERENCIA")</f>
        <v>ZULEIMA PEREZ RUIZ</v>
      </c>
      <c r="DY86" s="3" t="str">
        <f>_xlfn.XLOOKUP(B86,'BASE DE EXCEL'!$C:$C,'BASE DE EXCEL'!AS:AS,"NO HAY REFERENCIA")</f>
        <v>HLCURTM260162366</v>
      </c>
      <c r="DZ86" s="3" t="str">
        <f>_xlfn.XLOOKUP(B86,'BASE DE EXCEL'!$C:$C,'BASE DE EXCEL'!AT:AT,"NO HAY REFERENCIA")</f>
        <v>NULL</v>
      </c>
      <c r="EA86" s="3">
        <f>_xlfn.XLOOKUP(B86,'BASE DE EXCEL'!$C:$C,'BASE DE EXCEL'!AU:AU,"NO HAY REFERENCIA")</f>
        <v>6000418</v>
      </c>
      <c r="EB86" s="3" t="str">
        <f>_xlfn.XLOOKUP(B86,'BASE DE EXCEL'!$C:$C,'BASE DE EXCEL'!AV:AV,"NO HAY REFERENCIA")</f>
        <v>Importación</v>
      </c>
      <c r="EC86" s="3" t="str">
        <f>_xlfn.XLOOKUP(B86,'BASE DE EXCEL'!$C:$C,'BASE DE EXCEL'!AW:AW,"NO HAY REFERENCIA")</f>
        <v>NOBILIS MA5+CLONE 30 (VACUNA DE USO VETERINARIO)</v>
      </c>
      <c r="ED86" s="3" t="str">
        <f>_xlfn.XLOOKUP(B86,'BASE DE EXCEL'!$C:$C,'BASE DE EXCEL'!AX:AX,"NO HAY REFERENCIA")</f>
        <v>SIN CLASIFICACION</v>
      </c>
      <c r="EE86" s="3">
        <f>_xlfn.XLOOKUP(B86,'BASE DE EXCEL'!$C:$C,'BASE DE EXCEL'!AY:AY,"NO HAY REFERENCIA")</f>
        <v>0</v>
      </c>
      <c r="EF86" s="3" t="str">
        <f>_xlfn.XLOOKUP(B86,'BASE DE EXCEL'!$C:$C,'BASE DE EXCEL'!AZ:AZ,"NO HAY REFERENCIA")</f>
        <v>Cargas de Importación</v>
      </c>
      <c r="EG86" s="3" t="str">
        <f>_xlfn.XLOOKUP(B86,'BASE DE EXCEL'!$C:$C,'BASE DE EXCEL'!BA:BA,"NO HAY REFERENCIA")</f>
        <v>INTERVET MEXICO SA DE CV</v>
      </c>
      <c r="EH86" s="3">
        <f>_xlfn.XLOOKUP(B86,'BASE DE EXCEL'!$C:$C,'BASE DE EXCEL'!BB:BB,"NO HAY REFERENCIA")</f>
        <v>0</v>
      </c>
      <c r="EI86" s="3">
        <f>_xlfn.XLOOKUP(B86,'BASE DE EXCEL'!$C:$C,'BASE DE EXCEL'!BC:BC,"NO HAY REFERENCIA")</f>
        <v>0</v>
      </c>
      <c r="EJ86" s="3">
        <f>_xlfn.XLOOKUP(B86,'BASE DE EXCEL'!$C:$C,'BASE DE EXCEL'!BD:BD,"NO HAY REFERENCIA")</f>
        <v>0</v>
      </c>
      <c r="EK86" s="3">
        <f>_xlfn.XLOOKUP(B86,'BASE DE EXCEL'!$C:$C,'BASE DE EXCEL'!BE:BE,"NO HAY REFERENCIA")</f>
        <v>0</v>
      </c>
      <c r="EL86" s="3">
        <f>_xlfn.XLOOKUP(B86,'BASE DE EXCEL'!$C:$C,'BASE DE EXCEL'!BF:BF,"NO HAY REFERENCIA")</f>
        <v>0</v>
      </c>
      <c r="EM86" s="3" t="str">
        <f>_xlfn.XLOOKUP(B86,'BASE DE EXCEL'!$C:$C,'BASE DE EXCEL'!BG:BG,"NO HAY REFERENCIA")</f>
        <v>Verde</v>
      </c>
      <c r="EN86" s="3" t="str">
        <f>_xlfn.XLOOKUP(B86,'BASE DE EXCEL'!$C:$C,'BASE DE EXCEL'!BH:BH,"NO HAY REFERENCIA")</f>
        <v>NULL</v>
      </c>
      <c r="EO86" s="3">
        <f>_xlfn.XLOOKUP(B86,'BASE DE EXCEL'!$C:$C,'BASE DE EXCEL'!BI:BI,"NO HAY REFERENCIA")</f>
        <v>0</v>
      </c>
      <c r="EP86" s="3">
        <f>_xlfn.XLOOKUP(B86,'BASE DE EXCEL'!$C:$C,'BASE DE EXCEL'!BJ:BJ,"NO HAY REFERENCIA")</f>
        <v>0</v>
      </c>
      <c r="EQ86" s="3" t="str">
        <f>_xlfn.XLOOKUP(B86,'BASE DE EXCEL'!$C:$C,'BASE DE EXCEL'!BK:BK,"NO HAY REFERENCIA")</f>
        <v>IME850329RH2</v>
      </c>
      <c r="ER86" s="3">
        <f>_xlfn.XLOOKUP(B86,'BASE DE EXCEL'!$C:$C,'BASE DE EXCEL'!BL:BL,"NO HAY REFERENCIA")</f>
        <v>0</v>
      </c>
      <c r="ES86" s="3" t="str">
        <f>_xlfn.XLOOKUP(B86,'BASE DE EXCEL'!$C:$C,'BASE DE EXCEL'!BM:BM,"NO HAY REFERENCIA")</f>
        <v>00,99</v>
      </c>
      <c r="ET86" s="3" t="str">
        <f>_xlfn.XLOOKUP(B86,'BASE DE EXCEL'!$C:$C,'BASE DE EXCEL'!BN:BN,"NO HAY REFERENCIA")</f>
        <v>LOTE: SCBA207A11,LOTE: A053A01,LOTE: A224A01,LOTE: A142A01,LOTE: A247B01,LOTE: A436A02,LOTE: A198A02,LOTE: A489D01,LOTE: A061A01</v>
      </c>
      <c r="EU86" s="3">
        <f>_xlfn.XLOOKUP(B86,'BASE DE EXCEL'!$C:$C,'BASE DE EXCEL'!BO:BO,"NO HAY REFERENCIA")</f>
        <v>90</v>
      </c>
      <c r="EV86" s="3" t="str">
        <f>_xlfn.XLOOKUP(B86,'BASE DE EXCEL'!$C:$C,'BASE DE EXCEL'!BP:BP,"NO HAY REFERENCIA")</f>
        <v xml:space="preserve"> 321379.32, 13019554.91, 1145829.89, 3079396.80</v>
      </c>
      <c r="EW86" s="3" t="str">
        <f>_xlfn.XLOOKUP(B86,'BASE DE EXCEL'!$C:$C,'BASE DE EXCEL'!BQ:BQ,"NO HAY REFERENCIA")</f>
        <v>KILO,KILO,KILO,KILO,KILO,KILO,KILO,KILO,KILO</v>
      </c>
      <c r="EX86" s="3">
        <f>_xlfn.XLOOKUP(B86,'BASE DE EXCEL'!$C:$C,'BASE DE EXCEL'!BR:BR,"NO HAY REFERENCIA")</f>
        <v>0</v>
      </c>
      <c r="EY86" s="3" t="str">
        <f>_xlfn.XLOOKUP(B86,'BASE DE EXCEL'!$C:$C,'BASE DE EXCEL'!BS:BS,"NO HAY REFERENCIA")</f>
        <v>PAISES BAJOS (REINO DE LOS) (HOLANDA)</v>
      </c>
      <c r="EZ86" s="3" t="str">
        <f>_xlfn.XLOOKUP(B86,'BASE DE EXCEL'!$C:$C,'BASE DE EXCEL'!BT:BT,"NO HAY REFERENCIA")</f>
        <v>PAISES BAJOS (REINO DE LOS) (HOLANDA)</v>
      </c>
      <c r="FA86" s="3" t="str">
        <f>_xlfn.XLOOKUP(B86,'BASE DE EXCEL'!$C:$C,'BASE DE EXCEL'!BU:BU,"NO HAY REFERENCIA")</f>
        <v>ZYA</v>
      </c>
      <c r="FB86" s="3" t="str">
        <f>_xlfn.XLOOKUP(B86,'BASE DE EXCEL'!$C:$C,'BASE DE EXCEL'!BV:BV,"NO HAY REFERENCIA")</f>
        <v>ZYA</v>
      </c>
      <c r="FC86" s="3">
        <f>_xlfn.XLOOKUP(B86,QUERY!$C:$C,QUERY!D:D)</f>
        <v>430</v>
      </c>
      <c r="FD86" s="4">
        <f>_xlfn.XLOOKUP(B86,QUERY!$C:$C,QUERY!E:E)</f>
        <v>46091</v>
      </c>
      <c r="FE86" s="3">
        <f>_xlfn.XLOOKUP(B86,QUERY!$C:$C,QUERY!F:F)</f>
        <v>3</v>
      </c>
      <c r="FF86" s="4">
        <f>_xlfn.XLOOKUP(B86,QUERY!$C:$C,QUERY!G:G)</f>
        <v>46077</v>
      </c>
      <c r="FG86" s="4">
        <f>_xlfn.XLOOKUP(B86,QUERY!$C:$C,QUERY!H:H)</f>
        <v>46091</v>
      </c>
      <c r="FH86" s="3">
        <f>_xlfn.XLOOKUP(B86,QUERY!$C:$C,QUERY!I:I)</f>
        <v>10</v>
      </c>
      <c r="FI86" s="3" t="str">
        <f>_xlfn.XLOOKUP(B86,QUERY!$C:$C,QUERY!J:J)</f>
        <v>6 a 10 días</v>
      </c>
      <c r="FJ86" s="4">
        <f>_xlfn.XLOOKUP(B86,QUERY!$C:$C,QUERY!K:K)</f>
        <v>46091</v>
      </c>
      <c r="FK86" s="3">
        <f>_xlfn.XLOOKUP(B86,QUERY!$C:$C,QUERY!L:L)</f>
        <v>10</v>
      </c>
      <c r="FL86" s="3" t="str">
        <f>_xlfn.XLOOKUP(B86,QUERY!$C:$C,QUERY!M:M)</f>
        <v>6 a 10 días</v>
      </c>
      <c r="FM86" s="3">
        <f>_xlfn.XLOOKUP(B86,QUERY!$C:$C,QUERY!N:N)</f>
        <v>0</v>
      </c>
      <c r="FN86" s="3" t="str">
        <f>_xlfn.XLOOKUP(B86,QUERY!$C:$C,QUERY!O:O)</f>
        <v>1 día o menos</v>
      </c>
      <c r="FO86" s="3">
        <f>_xlfn.XLOOKUP(B86,QUERY!$C:$C,QUERY!P:P)</f>
        <v>0</v>
      </c>
      <c r="FP86" s="3">
        <f>_xlfn.XLOOKUP(B86,QUERY!$C:$C,QUERY!Q:Q)</f>
        <v>0</v>
      </c>
      <c r="FQ86" s="3" t="str">
        <f>_xlfn.XLOOKUP(B86,QUERY!$C:$C,QUERY!R:R)</f>
        <v>1 día o menos</v>
      </c>
      <c r="FR86" s="4">
        <f>_xlfn.XLOOKUP(B86,QUERY!$C:$C,QUERY!S:S)</f>
        <v>46091</v>
      </c>
      <c r="FS86" s="3">
        <f>_xlfn.XLOOKUP(B86,QUERY!$C:$C,QUERY!T:T)</f>
        <v>10</v>
      </c>
      <c r="FT86" s="3" t="str">
        <f>_xlfn.XLOOKUP(B86,QUERY!$C:$C,QUERY!U:U)</f>
        <v>6 a 10 días</v>
      </c>
      <c r="FU86" s="3">
        <f>_xlfn.XLOOKUP(B86,QUERY!$C:$C,QUERY!V:V)</f>
        <v>20</v>
      </c>
      <c r="FV86" s="3" t="str">
        <f>_xlfn.XLOOKUP(B86,QUERY!$C:$C,QUERY!W:W)</f>
        <v>más de 16 días</v>
      </c>
      <c r="FW86" s="4">
        <f>_xlfn.XLOOKUP(B86,QUERY!$C:$C,QUERY!X:X)</f>
        <v>46105</v>
      </c>
      <c r="FX86" s="3">
        <f>_xlfn.XLOOKUP(B86,QUERY!$C:$C,QUERY!Y:Y)</f>
        <v>9</v>
      </c>
      <c r="FY86" s="3">
        <f>_xlfn.XLOOKUP(B86,QUERY!$C:$C,QUERY!Z:Z)</f>
        <v>10</v>
      </c>
      <c r="FZ86" s="4" t="str">
        <f>_xlfn.XLOOKUP(B86,QUERY!$C:$C,QUERY!AA:AA)</f>
        <v>11 a 15 días</v>
      </c>
      <c r="GA86" s="4">
        <f>_xlfn.XLOOKUP(B86,QUERY!$C:$C,QUERY!AB:AB)</f>
        <v>46104</v>
      </c>
      <c r="GB86" s="4">
        <f>_xlfn.XLOOKUP(B86,QUERY!$C:$C,QUERY!AC:AC)</f>
        <v>46105</v>
      </c>
      <c r="GC86" s="3">
        <f>_xlfn.XLOOKUP(B86,QUERY!$C:$C,QUERY!AD:AD)</f>
        <v>1</v>
      </c>
      <c r="GD86" s="4">
        <f>_xlfn.XLOOKUP(B86,QUERY!$C:$C,QUERY!AE:AE)</f>
        <v>46105</v>
      </c>
      <c r="GE86" s="3">
        <f>_xlfn.XLOOKUP(B86,QUERY!$C:$C,QUERY!AF:AF)</f>
        <v>1</v>
      </c>
      <c r="GF86" s="4" t="str">
        <f>_xlfn.XLOOKUP(B86,QUERY!$C:$C,QUERY!AG:AG)</f>
        <v>Es anterior</v>
      </c>
      <c r="GG86" s="3" t="str">
        <f>_xlfn.XLOOKUP(B86,QUERY!$C:$C,QUERY!AH:AH)</f>
        <v>R1</v>
      </c>
      <c r="GH86" s="3" t="str">
        <f>_xlfn.XLOOKUP(B86,QUERY!$C:$C,QUERY!AI:AI)</f>
        <v>ZULEIMA PEREZ RUIZ</v>
      </c>
      <c r="GI86" s="3" t="str">
        <f>_xlfn.XLOOKUP(B86,QUERY!$C:$C,QUERY!AJ:AJ)</f>
        <v>HLCURTM260162366</v>
      </c>
      <c r="GJ86" s="3" t="str">
        <f>_xlfn.XLOOKUP(B86,QUERY!$C:$C,QUERY!AK:AK)</f>
        <v>NULL</v>
      </c>
      <c r="GK86" s="3">
        <f>_xlfn.XLOOKUP(B86,QUERY!$C:$C,QUERY!AL:AL)</f>
        <v>6000418</v>
      </c>
      <c r="GL86" s="3" t="str">
        <f>_xlfn.XLOOKUP(B86,QUERY!$C:$C,QUERY!AM:AM)</f>
        <v>Importación</v>
      </c>
      <c r="GM86" s="3" t="str">
        <f>_xlfn.XLOOKUP(B86,QUERY!$C:$C,QUERY!AN:AN)</f>
        <v>NOBILIS MA5+CLONE 30 (VACUNA DE USO VETERINARIO)</v>
      </c>
      <c r="GN86" s="3" t="str">
        <f>_xlfn.XLOOKUP(B86,QUERY!$C:$C,QUERY!AO:AO)</f>
        <v>SIN CLASIFICACION</v>
      </c>
      <c r="GO86" s="3">
        <f>_xlfn.XLOOKUP(B86,QUERY!$C:$C,QUERY!AP:AP)</f>
        <v>0</v>
      </c>
      <c r="GP86" s="3" t="str">
        <f>_xlfn.XLOOKUP(B86,QUERY!$C:$C,QUERY!AQ:AQ)</f>
        <v>Cargas de Importación</v>
      </c>
      <c r="GQ86" s="3" t="str">
        <f>_xlfn.XLOOKUP(B86,QUERY!$C:$C,QUERY!AR:AR)</f>
        <v>INTERVET MEXICO SA DE CV</v>
      </c>
      <c r="GR86" s="3">
        <f>_xlfn.XLOOKUP(B86,QUERY!$C:$C,QUERY!AS:AS)</f>
        <v>0</v>
      </c>
      <c r="GS86" s="3">
        <f>_xlfn.XLOOKUP(B86,QUERY!$C:$C,QUERY!AT:AT)</f>
        <v>0</v>
      </c>
      <c r="GT86" s="3">
        <f>_xlfn.XLOOKUP(B86,QUERY!$C:$C,QUERY!AU:AU)</f>
        <v>0</v>
      </c>
      <c r="GU86" s="3">
        <f>_xlfn.XLOOKUP(B86,QUERY!$C:$C,QUERY!AV:AV)</f>
        <v>0</v>
      </c>
      <c r="GV86" s="3">
        <f>_xlfn.XLOOKUP(B86,QUERY!$C:$C,QUERY!AW:AW)</f>
        <v>0</v>
      </c>
      <c r="GW86" s="3" t="str">
        <f>_xlfn.XLOOKUP(B86,QUERY!$C:$C,QUERY!AX:AX)</f>
        <v>Verde</v>
      </c>
      <c r="GX86" s="3" t="str">
        <f>_xlfn.XLOOKUP(B86,QUERY!$C:$C,QUERY!AY:AY)</f>
        <v>NULL</v>
      </c>
      <c r="GY86" s="3">
        <f>_xlfn.XLOOKUP(B86,QUERY!$C:$C,QUERY!AZ:AZ)</f>
        <v>0</v>
      </c>
      <c r="GZ86" s="3">
        <f>_xlfn.XLOOKUP(B86,QUERY!$C:$C,QUERY!BA:BA)</f>
        <v>0</v>
      </c>
      <c r="HA86" s="3" t="str">
        <f>_xlfn.XLOOKUP(B86,QUERY!$C:$C,QUERY!BB:BB)</f>
        <v>IME850329RH2</v>
      </c>
      <c r="HB86" s="3">
        <f>_xlfn.XLOOKUP(B86,QUERY!$C:$C,QUERY!BC:BC)</f>
        <v>0</v>
      </c>
      <c r="HC86" s="3">
        <f>_xlfn.XLOOKUP(B86,QUERY!$C:$C,QUERY!BD:BD)</f>
        <v>0.99</v>
      </c>
      <c r="HD86" s="3" t="str">
        <f>_xlfn.XLOOKUP(B86,QUERY!$C:$C,QUERY!BE:BE)</f>
        <v>LOTE: SCBA207A11,LOTE: A053A01,LOTE: A224A01,LOTE: A142A01,LOTE: A247B01,LOTE: A436A02,LOTE: A198A02,LOTE: A489D01,LOTE: A061A01</v>
      </c>
      <c r="HE86" s="3">
        <f>_xlfn.XLOOKUP(B86,QUERY!$C:$C,QUERY!BF:BF)</f>
        <v>90</v>
      </c>
      <c r="HF86" s="3" t="str">
        <f>_xlfn.XLOOKUP(B86,QUERY!$C:$C,QUERY!BG:BG)</f>
        <v xml:space="preserve"> 321379.32, 13019554.91, 1145829.89, 3079396.80</v>
      </c>
      <c r="HG86" s="3" t="str">
        <f>_xlfn.XLOOKUP(B86,QUERY!$C:$C,QUERY!BH:BH)</f>
        <v>KILO,KILO,KILO,KILO,KILO,KILO,KILO,KILO,KILO</v>
      </c>
      <c r="HH86" s="3">
        <f>_xlfn.XLOOKUP(B86,QUERY!$C:$C,QUERY!BI:BI)</f>
        <v>0</v>
      </c>
      <c r="HI86" s="3" t="str">
        <f>_xlfn.XLOOKUP(B86,QUERY!$C:$C,QUERY!BJ:BJ)</f>
        <v>PAISES BAJOS (REINO DE LOS) (HOLANDA)</v>
      </c>
      <c r="HJ86" s="3" t="str">
        <f>_xlfn.XLOOKUP(B86,QUERY!$C:$C,QUERY!BK:BK)</f>
        <v>PAISES BAJOS (REINO DE LOS) (HOLANDA)</v>
      </c>
      <c r="HK86" s="3" t="str">
        <f>_xlfn.XLOOKUP(B86,QUERY!$C:$C,QUERY!BL:BL)</f>
        <v>ZYA</v>
      </c>
      <c r="HL86" s="3" t="str">
        <f>_xlfn.XLOOKUP(B86,QUERY!$C:$C,QUERY!BM:BM)</f>
        <v>ZYA</v>
      </c>
      <c r="HM86" s="3">
        <f>_xlfn.XLOOKUP(B86,QUERY!$C:$C,QUERY!BN:BN)</f>
        <v>17566160</v>
      </c>
      <c r="HN86" s="3" t="str">
        <f>_xlfn.XLOOKUP(B86,QUERY!$C:$C,QUERY!BO:BO)</f>
        <v>444.00</v>
      </c>
      <c r="HO86" s="3" t="str">
        <f>_xlfn.XLOOKUP(B86,QUERY!$C:$C,QUERY!BP:BP)</f>
        <v>NULL</v>
      </c>
      <c r="HP86" s="3" t="str">
        <f>_xlfn.XLOOKUP(B86,QUERY!$C:$C,QUERY!BQ:BQ)</f>
        <v>NULL</v>
      </c>
      <c r="HQ86" s="3" t="str">
        <f>_xlfn.XLOOKUP(B86,QUERY!$C:$C,QUERY!BR:BR)</f>
        <v>250436.84</v>
      </c>
      <c r="HR86" s="3">
        <f>_xlfn.XLOOKUP(B86,QUERY!$C:$C,QUERY!BS:BS)</f>
        <v>0</v>
      </c>
      <c r="HS86" s="3">
        <f>_xlfn.XLOOKUP(B86,QUERY!$C:$C,QUERY!BT:BT)</f>
        <v>0</v>
      </c>
      <c r="HT86" s="3" t="str">
        <f>_xlfn.XLOOKUP(B86,QUERY!$C:$C,QUERY!A:A)</f>
        <v>VERACRUZ</v>
      </c>
      <c r="HU86" s="3" t="str">
        <f>_xlfn.XLOOKUP(B86,QUERY!$C:$C,QUERY!B:B)</f>
        <v>MARÍTIMO VERACRUZ</v>
      </c>
    </row>
    <row r="87" spans="1:229" x14ac:dyDescent="0.25">
      <c r="A87" s="3" t="s">
        <v>90</v>
      </c>
      <c r="B87" s="3" t="s">
        <v>343</v>
      </c>
      <c r="C87" s="3">
        <v>3942</v>
      </c>
      <c r="D87" s="3">
        <v>6000418</v>
      </c>
      <c r="E87" s="3">
        <v>6000303</v>
      </c>
      <c r="F87" s="3" t="s">
        <v>92</v>
      </c>
      <c r="G87" s="3" t="s">
        <v>342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430</v>
      </c>
      <c r="S87" s="3" t="s">
        <v>258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 t="s">
        <v>266</v>
      </c>
      <c r="AB87" s="3"/>
      <c r="AC87" s="3">
        <v>730403</v>
      </c>
      <c r="AD87" s="3">
        <v>507.92975999999999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/>
      <c r="AP87" s="3" t="s">
        <v>98</v>
      </c>
      <c r="AQ87" s="3">
        <v>210365020</v>
      </c>
      <c r="AR87" s="3" t="s">
        <v>99</v>
      </c>
      <c r="AS87" s="3" t="s">
        <v>100</v>
      </c>
      <c r="AT87" s="3">
        <v>0</v>
      </c>
      <c r="AU87" s="3">
        <v>0</v>
      </c>
      <c r="AV87" s="3">
        <v>0</v>
      </c>
      <c r="AW87" s="3">
        <v>30024201</v>
      </c>
      <c r="AX87" s="3">
        <v>99</v>
      </c>
      <c r="AY87" s="3">
        <v>1438</v>
      </c>
      <c r="AZ87" s="3">
        <v>1438</v>
      </c>
      <c r="BA87" s="3" t="s">
        <v>103</v>
      </c>
      <c r="BB87" s="3"/>
      <c r="BC87" s="3" t="s">
        <v>105</v>
      </c>
      <c r="BD87" s="3" t="s">
        <v>105</v>
      </c>
      <c r="BE87" s="3"/>
      <c r="BF87" s="3"/>
      <c r="BG87" s="5"/>
      <c r="BH87" s="3"/>
      <c r="BI87" s="3"/>
      <c r="BJ87" s="3"/>
      <c r="BK87" s="3" t="s">
        <v>263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 t="s">
        <v>192</v>
      </c>
      <c r="CF87" s="3">
        <v>0</v>
      </c>
      <c r="CG87" s="3">
        <v>0</v>
      </c>
      <c r="CH87" s="3">
        <v>0</v>
      </c>
      <c r="CI87" s="3" t="s">
        <v>112</v>
      </c>
      <c r="CJ87" s="3" t="s">
        <v>112</v>
      </c>
      <c r="CK87" s="3">
        <f>_xlfn.XLOOKUP($B$2,'BASE DE EXCEL'!C:C,'BASE DE EXCEL'!D:D,"NO HAY REFERENCIA")</f>
        <v>470</v>
      </c>
      <c r="CL87" s="5">
        <f>_xlfn.XLOOKUP($B$2,'BASE DE EXCEL'!$C:$C,'BASE DE EXCEL'!F:F,"NO HAY REFERENCIA")</f>
        <v>3</v>
      </c>
      <c r="CM87" s="4">
        <f>_xlfn.XLOOKUP($B$2,'BASE DE EXCEL'!$C:$C,'BASE DE EXCEL'!G:G,"NO HAY REFERENCIA")</f>
        <v>46080</v>
      </c>
      <c r="CN87" s="4">
        <f>_xlfn.XLOOKUP($B$2,'BASE DE EXCEL'!$C:$C,'BASE DE EXCEL'!H:H,"NO HAY REFERENCIA")</f>
        <v>46086</v>
      </c>
      <c r="CO87" s="3">
        <f>_xlfn.XLOOKUP($B$2,'BASE DE EXCEL'!$C:$C,'BASE DE EXCEL'!I:I,"NO HAY REFERENCIA")</f>
        <v>4</v>
      </c>
      <c r="CP87" s="3" t="str">
        <f>_xlfn.XLOOKUP($B$2,'BASE DE EXCEL'!$C:$C,'BASE DE EXCEL'!J:J,"NO HAY REFERENCIA")</f>
        <v>4 a 5 días</v>
      </c>
      <c r="CQ87" s="4">
        <f>_xlfn.XLOOKUP($B$2,'BASE DE EXCEL'!$C:$C,'BASE DE EXCEL'!K:K,"NO HAY REFERENCIA")</f>
        <v>46087</v>
      </c>
      <c r="CR87" s="3">
        <f>_xlfn.XLOOKUP($B$2,'BASE DE EXCEL'!$C:$C,'BASE DE EXCEL'!L:L,"NO HAY REFERENCIA")</f>
        <v>5</v>
      </c>
      <c r="CS87" s="3">
        <f>_xlfn.XLOOKUP($B$2,'BASE DE EXCEL'!$C:$C,'BASE DE EXCEL'!M:M,"NO HAY REFERENCIA")</f>
        <v>6</v>
      </c>
      <c r="CT87" s="3" t="str">
        <f>_xlfn.XLOOKUP($B$2,'BASE DE EXCEL'!$C:$C,'BASE DE EXCEL'!N:N,"NO HAY REFERENCIA")</f>
        <v>6 a 10 días</v>
      </c>
      <c r="CU87" s="3" t="str">
        <f>_xlfn.XLOOKUP($B$2,'BASE DE EXCEL'!$C:$C,'BASE DE EXCEL'!O:O,"NO HAY REFERENCIA")</f>
        <v>On Time</v>
      </c>
      <c r="CV87" s="3" t="str">
        <f>_xlfn.XLOOKUP(B87,'BASE DE EXCEL'!$C:$C,'BASE DE EXCEL'!P:P,"NO HAY REFERENCIA")</f>
        <v>11 a 15 días</v>
      </c>
      <c r="CW87" s="4">
        <f>_xlfn.XLOOKUP(B87,'BASE DE EXCEL'!$C:$C,'BASE DE EXCEL'!Q:Q,"NO HAY REFERENCIA")</f>
        <v>46094</v>
      </c>
      <c r="CX87" s="3">
        <f>_xlfn.XLOOKUP(B87,'BASE DE EXCEL'!$C:$C,'BASE DE EXCEL'!R:R,"NO HAY REFERENCIA")</f>
        <v>14</v>
      </c>
      <c r="CY87" s="3" t="str">
        <f>_xlfn.XLOOKUP(B87,'BASE DE EXCEL'!$C:$C,'BASE DE EXCEL'!S:S,"NO HAY REFERENCIA")</f>
        <v>11 a 15 días</v>
      </c>
      <c r="CZ87" s="3" t="str">
        <f>_xlfn.XLOOKUP(B87,'BASE DE EXCEL'!$C:$C,'BASE DE EXCEL'!T:T,"NO HAY REFERENCIA")</f>
        <v>Delayed</v>
      </c>
      <c r="DA87" s="3">
        <f>_xlfn.XLOOKUP(B87,'BASE DE EXCEL'!$C:$C,'BASE DE EXCEL'!U:U,"NO HAY REFERENCIA")</f>
        <v>0</v>
      </c>
      <c r="DB87" s="3" t="str">
        <f>_xlfn.XLOOKUP(B87,'BASE DE EXCEL'!$C:$C,'BASE DE EXCEL'!V:V,"NO HAY REFERENCIA")</f>
        <v>Sin Dato</v>
      </c>
      <c r="DC87" s="3">
        <f>_xlfn.XLOOKUP(B87,'BASE DE EXCEL'!$C:$C,'BASE DE EXCEL'!W:W,"NO HAY REFERENCIA")</f>
        <v>20</v>
      </c>
      <c r="DD87" s="3" t="str">
        <f>_xlfn.XLOOKUP(B87,'BASE DE EXCEL'!$C:$C,'BASE DE EXCEL'!X:X,"NO HAY REFERENCIA")</f>
        <v>más de 16 días</v>
      </c>
      <c r="DE87" s="3">
        <f>_xlfn.XLOOKUP(B87,'BASE DE EXCEL'!$C:$C,'BASE DE EXCEL'!Y:Y,"NO HAY REFERENCIA")</f>
        <v>0</v>
      </c>
      <c r="DF87" s="3" t="str">
        <f>_xlfn.XLOOKUP(B87,'BASE DE EXCEL'!$C:$C,'BASE DE EXCEL'!Z:Z,"NO HAY REFERENCIA")</f>
        <v>1 día o menos</v>
      </c>
      <c r="DG87" s="3">
        <f>_xlfn.XLOOKUP(B87,'BASE DE EXCEL'!$C:$C,'BASE DE EXCEL'!AA:AA,"NO HAY REFERENCIA")</f>
        <v>14</v>
      </c>
      <c r="DH87" s="3">
        <f>_xlfn.XLOOKUP(B87,'BASE DE EXCEL'!$C:$C,'BASE DE EXCEL'!AB:AB,"NO HAY REFERENCIA")</f>
        <v>-46089</v>
      </c>
      <c r="DI87" s="3" t="str">
        <f>_xlfn.XLOOKUP(B87,'BASE DE EXCEL'!$C:$C,'BASE DE EXCEL'!AC:AC,"NO HAY REFERENCIA")</f>
        <v>SIN DATO</v>
      </c>
      <c r="DJ87" s="4">
        <f>_xlfn.XLOOKUP(B87,'BASE DE EXCEL'!$C:$C,'BASE DE EXCEL'!AD:AD,"NO HAY REFERENCIA")</f>
        <v>46105</v>
      </c>
      <c r="DK87" s="3">
        <f>_xlfn.XLOOKUP(B87,'BASE DE EXCEL'!$C:$C,'BASE DE EXCEL'!AE:AE,"NO HAY REFERENCIA")</f>
        <v>46102</v>
      </c>
      <c r="DL87" s="3">
        <f>_xlfn.XLOOKUP(B87,'BASE DE EXCEL'!$C:$C,'BASE DE EXCEL'!AF:AF,"NO HAY REFERENCIA")</f>
        <v>32931</v>
      </c>
      <c r="DM87" s="4">
        <f>_xlfn.XLOOKUP(B87,'BASE DE EXCEL'!$C:$C,'BASE DE EXCEL'!AG:AG,"NO HAY REFERENCIA")</f>
        <v>46104</v>
      </c>
      <c r="DN87" s="4">
        <f>_xlfn.XLOOKUP(B87,'BASE DE EXCEL'!$C:$C,'BASE DE EXCEL'!AH:AH,"NO HAY REFERENCIA")</f>
        <v>46105</v>
      </c>
      <c r="DO87" s="3">
        <f>_xlfn.XLOOKUP(B87,'BASE DE EXCEL'!$C:$C,'BASE DE EXCEL'!AI:AI,"NO HAY REFERENCIA")</f>
        <v>1</v>
      </c>
      <c r="DP87" s="4" t="str">
        <f>_xlfn.XLOOKUP(B87,'BASE DE EXCEL'!$C:$C,'BASE DE EXCEL'!AJ:AJ,"NO HAY REFERENCIA")</f>
        <v>SIN DATO</v>
      </c>
      <c r="DQ87" s="4">
        <f>_xlfn.XLOOKUP(B87,'BASE DE EXCEL'!$C:$C,'BASE DE EXCEL'!AK:AK,"NO HAY REFERENCIA")</f>
        <v>46105</v>
      </c>
      <c r="DR87" s="3">
        <f>_xlfn.XLOOKUP(B87,'BASE DE EXCEL'!$C:$C,'BASE DE EXCEL'!AL:AL,"NO HAY REFERENCIA")</f>
        <v>7</v>
      </c>
      <c r="DS87" s="3" t="str">
        <f>_xlfn.XLOOKUP(B87,'BASE DE EXCEL'!$C:$C,'BASE DE EXCEL'!AM:AM,"NO HAY REFERENCIA")</f>
        <v>6 a 10 días</v>
      </c>
      <c r="DT87" s="3" t="str">
        <f>_xlfn.XLOOKUP(B87,'BASE DE EXCEL'!$C:$C,'BASE DE EXCEL'!AN:AN,"NO HAY REFERENCIA")</f>
        <v>Delayed</v>
      </c>
      <c r="DU87" s="3">
        <f>_xlfn.XLOOKUP(B87,'BASE DE EXCEL'!$C:$C,'BASE DE EXCEL'!AO:AO,"NO HAY REFERENCIA")</f>
        <v>0</v>
      </c>
      <c r="DV87" s="3" t="str">
        <f>_xlfn.XLOOKUP(B87,'BASE DE EXCEL'!$C:$C,'BASE DE EXCEL'!AP:AP,"NO HAY REFERENCIA")</f>
        <v>Es anterior</v>
      </c>
      <c r="DW87" s="3" t="str">
        <f>_xlfn.XLOOKUP(B87,'BASE DE EXCEL'!$C:$C,'BASE DE EXCEL'!AQ:AQ,"NO HAY REFERENCIA")</f>
        <v>R1</v>
      </c>
      <c r="DX87" s="3" t="str">
        <f>_xlfn.XLOOKUP(B87,'BASE DE EXCEL'!$C:$C,'BASE DE EXCEL'!AR:AR,"NO HAY REFERENCIA")</f>
        <v>ZULEIMA PEREZ RUIZ</v>
      </c>
      <c r="DY87" s="3" t="str">
        <f>_xlfn.XLOOKUP(B87,'BASE DE EXCEL'!$C:$C,'BASE DE EXCEL'!AS:AS,"NO HAY REFERENCIA")</f>
        <v>HLCURTM260162366</v>
      </c>
      <c r="DZ87" s="3" t="str">
        <f>_xlfn.XLOOKUP(B87,'BASE DE EXCEL'!$C:$C,'BASE DE EXCEL'!AT:AT,"NO HAY REFERENCIA")</f>
        <v>NULL</v>
      </c>
      <c r="EA87" s="3">
        <f>_xlfn.XLOOKUP(B87,'BASE DE EXCEL'!$C:$C,'BASE DE EXCEL'!AU:AU,"NO HAY REFERENCIA")</f>
        <v>6000418</v>
      </c>
      <c r="EB87" s="3" t="str">
        <f>_xlfn.XLOOKUP(B87,'BASE DE EXCEL'!$C:$C,'BASE DE EXCEL'!AV:AV,"NO HAY REFERENCIA")</f>
        <v>Importación</v>
      </c>
      <c r="EC87" s="3" t="str">
        <f>_xlfn.XLOOKUP(B87,'BASE DE EXCEL'!$C:$C,'BASE DE EXCEL'!AW:AW,"NO HAY REFERENCIA")</f>
        <v>NOBILIS MA5+CLONE 30 (VACUNA DE USO VETERINARIO)</v>
      </c>
      <c r="ED87" s="3" t="str">
        <f>_xlfn.XLOOKUP(B87,'BASE DE EXCEL'!$C:$C,'BASE DE EXCEL'!AX:AX,"NO HAY REFERENCIA")</f>
        <v>SIN CLASIFICACION</v>
      </c>
      <c r="EE87" s="3">
        <f>_xlfn.XLOOKUP(B87,'BASE DE EXCEL'!$C:$C,'BASE DE EXCEL'!AY:AY,"NO HAY REFERENCIA")</f>
        <v>0</v>
      </c>
      <c r="EF87" s="3" t="str">
        <f>_xlfn.XLOOKUP(B87,'BASE DE EXCEL'!$C:$C,'BASE DE EXCEL'!AZ:AZ,"NO HAY REFERENCIA")</f>
        <v>Cargas de Importación</v>
      </c>
      <c r="EG87" s="3" t="str">
        <f>_xlfn.XLOOKUP(B87,'BASE DE EXCEL'!$C:$C,'BASE DE EXCEL'!BA:BA,"NO HAY REFERENCIA")</f>
        <v>INTERVET MEXICO SA DE CV</v>
      </c>
      <c r="EH87" s="3">
        <f>_xlfn.XLOOKUP(B87,'BASE DE EXCEL'!$C:$C,'BASE DE EXCEL'!BB:BB,"NO HAY REFERENCIA")</f>
        <v>0</v>
      </c>
      <c r="EI87" s="3">
        <f>_xlfn.XLOOKUP(B87,'BASE DE EXCEL'!$C:$C,'BASE DE EXCEL'!BC:BC,"NO HAY REFERENCIA")</f>
        <v>0</v>
      </c>
      <c r="EJ87" s="3">
        <f>_xlfn.XLOOKUP(B87,'BASE DE EXCEL'!$C:$C,'BASE DE EXCEL'!BD:BD,"NO HAY REFERENCIA")</f>
        <v>0</v>
      </c>
      <c r="EK87" s="3">
        <f>_xlfn.XLOOKUP(B87,'BASE DE EXCEL'!$C:$C,'BASE DE EXCEL'!BE:BE,"NO HAY REFERENCIA")</f>
        <v>0</v>
      </c>
      <c r="EL87" s="3">
        <f>_xlfn.XLOOKUP(B87,'BASE DE EXCEL'!$C:$C,'BASE DE EXCEL'!BF:BF,"NO HAY REFERENCIA")</f>
        <v>0</v>
      </c>
      <c r="EM87" s="3" t="str">
        <f>_xlfn.XLOOKUP(B87,'BASE DE EXCEL'!$C:$C,'BASE DE EXCEL'!BG:BG,"NO HAY REFERENCIA")</f>
        <v>Verde</v>
      </c>
      <c r="EN87" s="3" t="str">
        <f>_xlfn.XLOOKUP(B87,'BASE DE EXCEL'!$C:$C,'BASE DE EXCEL'!BH:BH,"NO HAY REFERENCIA")</f>
        <v>NULL</v>
      </c>
      <c r="EO87" s="3">
        <f>_xlfn.XLOOKUP(B87,'BASE DE EXCEL'!$C:$C,'BASE DE EXCEL'!BI:BI,"NO HAY REFERENCIA")</f>
        <v>0</v>
      </c>
      <c r="EP87" s="3">
        <f>_xlfn.XLOOKUP(B87,'BASE DE EXCEL'!$C:$C,'BASE DE EXCEL'!BJ:BJ,"NO HAY REFERENCIA")</f>
        <v>0</v>
      </c>
      <c r="EQ87" s="3" t="str">
        <f>_xlfn.XLOOKUP(B87,'BASE DE EXCEL'!$C:$C,'BASE DE EXCEL'!BK:BK,"NO HAY REFERENCIA")</f>
        <v>IME850329RH2</v>
      </c>
      <c r="ER87" s="3">
        <f>_xlfn.XLOOKUP(B87,'BASE DE EXCEL'!$C:$C,'BASE DE EXCEL'!BL:BL,"NO HAY REFERENCIA")</f>
        <v>0</v>
      </c>
      <c r="ES87" s="3" t="str">
        <f>_xlfn.XLOOKUP(B87,'BASE DE EXCEL'!$C:$C,'BASE DE EXCEL'!BM:BM,"NO HAY REFERENCIA")</f>
        <v>00,99</v>
      </c>
      <c r="ET87" s="3" t="str">
        <f>_xlfn.XLOOKUP(B87,'BASE DE EXCEL'!$C:$C,'BASE DE EXCEL'!BN:BN,"NO HAY REFERENCIA")</f>
        <v>LOTE: SCBA207A11,LOTE: A053A01,LOTE: A224A01,LOTE: A142A01,LOTE: A247B01,LOTE: A436A02,LOTE: A198A02,LOTE: A489D01,LOTE: A061A01</v>
      </c>
      <c r="EU87" s="3">
        <f>_xlfn.XLOOKUP(B87,'BASE DE EXCEL'!$C:$C,'BASE DE EXCEL'!BO:BO,"NO HAY REFERENCIA")</f>
        <v>90</v>
      </c>
      <c r="EV87" s="3" t="str">
        <f>_xlfn.XLOOKUP(B87,'BASE DE EXCEL'!$C:$C,'BASE DE EXCEL'!BP:BP,"NO HAY REFERENCIA")</f>
        <v xml:space="preserve"> 321379.32, 13019554.91, 1145829.89, 3079396.80</v>
      </c>
      <c r="EW87" s="3" t="str">
        <f>_xlfn.XLOOKUP(B87,'BASE DE EXCEL'!$C:$C,'BASE DE EXCEL'!BQ:BQ,"NO HAY REFERENCIA")</f>
        <v>KILO,KILO,KILO,KILO,KILO,KILO,KILO,KILO,KILO</v>
      </c>
      <c r="EX87" s="3">
        <f>_xlfn.XLOOKUP(B87,'BASE DE EXCEL'!$C:$C,'BASE DE EXCEL'!BR:BR,"NO HAY REFERENCIA")</f>
        <v>0</v>
      </c>
      <c r="EY87" s="3" t="str">
        <f>_xlfn.XLOOKUP(B87,'BASE DE EXCEL'!$C:$C,'BASE DE EXCEL'!BS:BS,"NO HAY REFERENCIA")</f>
        <v>PAISES BAJOS (REINO DE LOS) (HOLANDA)</v>
      </c>
      <c r="EZ87" s="3" t="str">
        <f>_xlfn.XLOOKUP(B87,'BASE DE EXCEL'!$C:$C,'BASE DE EXCEL'!BT:BT,"NO HAY REFERENCIA")</f>
        <v>PAISES BAJOS (REINO DE LOS) (HOLANDA)</v>
      </c>
      <c r="FA87" s="3" t="str">
        <f>_xlfn.XLOOKUP(B87,'BASE DE EXCEL'!$C:$C,'BASE DE EXCEL'!BU:BU,"NO HAY REFERENCIA")</f>
        <v>ZYA</v>
      </c>
      <c r="FB87" s="3" t="str">
        <f>_xlfn.XLOOKUP(B87,'BASE DE EXCEL'!$C:$C,'BASE DE EXCEL'!BV:BV,"NO HAY REFERENCIA")</f>
        <v>ZYA</v>
      </c>
      <c r="FC87" s="3">
        <f>_xlfn.XLOOKUP(B87,QUERY!$C:$C,QUERY!D:D)</f>
        <v>430</v>
      </c>
      <c r="FD87" s="4">
        <f>_xlfn.XLOOKUP(B87,QUERY!$C:$C,QUERY!E:E)</f>
        <v>46091</v>
      </c>
      <c r="FE87" s="3">
        <f>_xlfn.XLOOKUP(B87,QUERY!$C:$C,QUERY!F:F)</f>
        <v>3</v>
      </c>
      <c r="FF87" s="4">
        <f>_xlfn.XLOOKUP(B87,QUERY!$C:$C,QUERY!G:G)</f>
        <v>46077</v>
      </c>
      <c r="FG87" s="4">
        <f>_xlfn.XLOOKUP(B87,QUERY!$C:$C,QUERY!H:H)</f>
        <v>46091</v>
      </c>
      <c r="FH87" s="3">
        <f>_xlfn.XLOOKUP(B87,QUERY!$C:$C,QUERY!I:I)</f>
        <v>10</v>
      </c>
      <c r="FI87" s="3" t="str">
        <f>_xlfn.XLOOKUP(B87,QUERY!$C:$C,QUERY!J:J)</f>
        <v>6 a 10 días</v>
      </c>
      <c r="FJ87" s="4">
        <f>_xlfn.XLOOKUP(B87,QUERY!$C:$C,QUERY!K:K)</f>
        <v>46091</v>
      </c>
      <c r="FK87" s="3">
        <f>_xlfn.XLOOKUP(B87,QUERY!$C:$C,QUERY!L:L)</f>
        <v>10</v>
      </c>
      <c r="FL87" s="3" t="str">
        <f>_xlfn.XLOOKUP(B87,QUERY!$C:$C,QUERY!M:M)</f>
        <v>6 a 10 días</v>
      </c>
      <c r="FM87" s="3">
        <f>_xlfn.XLOOKUP(B87,QUERY!$C:$C,QUERY!N:N)</f>
        <v>0</v>
      </c>
      <c r="FN87" s="3" t="str">
        <f>_xlfn.XLOOKUP(B87,QUERY!$C:$C,QUERY!O:O)</f>
        <v>1 día o menos</v>
      </c>
      <c r="FO87" s="3">
        <f>_xlfn.XLOOKUP(B87,QUERY!$C:$C,QUERY!P:P)</f>
        <v>0</v>
      </c>
      <c r="FP87" s="3">
        <f>_xlfn.XLOOKUP(B87,QUERY!$C:$C,QUERY!Q:Q)</f>
        <v>0</v>
      </c>
      <c r="FQ87" s="3" t="str">
        <f>_xlfn.XLOOKUP(B87,QUERY!$C:$C,QUERY!R:R)</f>
        <v>1 día o menos</v>
      </c>
      <c r="FR87" s="4">
        <f>_xlfn.XLOOKUP(B87,QUERY!$C:$C,QUERY!S:S)</f>
        <v>46091</v>
      </c>
      <c r="FS87" s="3">
        <f>_xlfn.XLOOKUP(B87,QUERY!$C:$C,QUERY!T:T)</f>
        <v>10</v>
      </c>
      <c r="FT87" s="3" t="str">
        <f>_xlfn.XLOOKUP(B87,QUERY!$C:$C,QUERY!U:U)</f>
        <v>6 a 10 días</v>
      </c>
      <c r="FU87" s="3">
        <f>_xlfn.XLOOKUP(B87,QUERY!$C:$C,QUERY!V:V)</f>
        <v>20</v>
      </c>
      <c r="FV87" s="3" t="str">
        <f>_xlfn.XLOOKUP(B87,QUERY!$C:$C,QUERY!W:W)</f>
        <v>más de 16 días</v>
      </c>
      <c r="FW87" s="4">
        <f>_xlfn.XLOOKUP(B87,QUERY!$C:$C,QUERY!X:X)</f>
        <v>46105</v>
      </c>
      <c r="FX87" s="3">
        <f>_xlfn.XLOOKUP(B87,QUERY!$C:$C,QUERY!Y:Y)</f>
        <v>9</v>
      </c>
      <c r="FY87" s="3">
        <f>_xlfn.XLOOKUP(B87,QUERY!$C:$C,QUERY!Z:Z)</f>
        <v>10</v>
      </c>
      <c r="FZ87" s="4" t="str">
        <f>_xlfn.XLOOKUP(B87,QUERY!$C:$C,QUERY!AA:AA)</f>
        <v>11 a 15 días</v>
      </c>
      <c r="GA87" s="4">
        <f>_xlfn.XLOOKUP(B87,QUERY!$C:$C,QUERY!AB:AB)</f>
        <v>46104</v>
      </c>
      <c r="GB87" s="4">
        <f>_xlfn.XLOOKUP(B87,QUERY!$C:$C,QUERY!AC:AC)</f>
        <v>46105</v>
      </c>
      <c r="GC87" s="3">
        <f>_xlfn.XLOOKUP(B87,QUERY!$C:$C,QUERY!AD:AD)</f>
        <v>1</v>
      </c>
      <c r="GD87" s="4">
        <f>_xlfn.XLOOKUP(B87,QUERY!$C:$C,QUERY!AE:AE)</f>
        <v>46105</v>
      </c>
      <c r="GE87" s="3">
        <f>_xlfn.XLOOKUP(B87,QUERY!$C:$C,QUERY!AF:AF)</f>
        <v>1</v>
      </c>
      <c r="GF87" s="4" t="str">
        <f>_xlfn.XLOOKUP(B87,QUERY!$C:$C,QUERY!AG:AG)</f>
        <v>Es anterior</v>
      </c>
      <c r="GG87" s="3" t="str">
        <f>_xlfn.XLOOKUP(B87,QUERY!$C:$C,QUERY!AH:AH)</f>
        <v>R1</v>
      </c>
      <c r="GH87" s="3" t="str">
        <f>_xlfn.XLOOKUP(B87,QUERY!$C:$C,QUERY!AI:AI)</f>
        <v>ZULEIMA PEREZ RUIZ</v>
      </c>
      <c r="GI87" s="3" t="str">
        <f>_xlfn.XLOOKUP(B87,QUERY!$C:$C,QUERY!AJ:AJ)</f>
        <v>HLCURTM260162366</v>
      </c>
      <c r="GJ87" s="3" t="str">
        <f>_xlfn.XLOOKUP(B87,QUERY!$C:$C,QUERY!AK:AK)</f>
        <v>NULL</v>
      </c>
      <c r="GK87" s="3">
        <f>_xlfn.XLOOKUP(B87,QUERY!$C:$C,QUERY!AL:AL)</f>
        <v>6000418</v>
      </c>
      <c r="GL87" s="3" t="str">
        <f>_xlfn.XLOOKUP(B87,QUERY!$C:$C,QUERY!AM:AM)</f>
        <v>Importación</v>
      </c>
      <c r="GM87" s="3" t="str">
        <f>_xlfn.XLOOKUP(B87,QUERY!$C:$C,QUERY!AN:AN)</f>
        <v>NOBILIS MA5+CLONE 30 (VACUNA DE USO VETERINARIO)</v>
      </c>
      <c r="GN87" s="3" t="str">
        <f>_xlfn.XLOOKUP(B87,QUERY!$C:$C,QUERY!AO:AO)</f>
        <v>SIN CLASIFICACION</v>
      </c>
      <c r="GO87" s="3">
        <f>_xlfn.XLOOKUP(B87,QUERY!$C:$C,QUERY!AP:AP)</f>
        <v>0</v>
      </c>
      <c r="GP87" s="3" t="str">
        <f>_xlfn.XLOOKUP(B87,QUERY!$C:$C,QUERY!AQ:AQ)</f>
        <v>Cargas de Importación</v>
      </c>
      <c r="GQ87" s="3" t="str">
        <f>_xlfn.XLOOKUP(B87,QUERY!$C:$C,QUERY!AR:AR)</f>
        <v>INTERVET MEXICO SA DE CV</v>
      </c>
      <c r="GR87" s="3">
        <f>_xlfn.XLOOKUP(B87,QUERY!$C:$C,QUERY!AS:AS)</f>
        <v>0</v>
      </c>
      <c r="GS87" s="3">
        <f>_xlfn.XLOOKUP(B87,QUERY!$C:$C,QUERY!AT:AT)</f>
        <v>0</v>
      </c>
      <c r="GT87" s="3">
        <f>_xlfn.XLOOKUP(B87,QUERY!$C:$C,QUERY!AU:AU)</f>
        <v>0</v>
      </c>
      <c r="GU87" s="3">
        <f>_xlfn.XLOOKUP(B87,QUERY!$C:$C,QUERY!AV:AV)</f>
        <v>0</v>
      </c>
      <c r="GV87" s="3">
        <f>_xlfn.XLOOKUP(B87,QUERY!$C:$C,QUERY!AW:AW)</f>
        <v>0</v>
      </c>
      <c r="GW87" s="3" t="str">
        <f>_xlfn.XLOOKUP(B87,QUERY!$C:$C,QUERY!AX:AX)</f>
        <v>Verde</v>
      </c>
      <c r="GX87" s="3" t="str">
        <f>_xlfn.XLOOKUP(B87,QUERY!$C:$C,QUERY!AY:AY)</f>
        <v>NULL</v>
      </c>
      <c r="GY87" s="3">
        <f>_xlfn.XLOOKUP(B87,QUERY!$C:$C,QUERY!AZ:AZ)</f>
        <v>0</v>
      </c>
      <c r="GZ87" s="3">
        <f>_xlfn.XLOOKUP(B87,QUERY!$C:$C,QUERY!BA:BA)</f>
        <v>0</v>
      </c>
      <c r="HA87" s="3" t="str">
        <f>_xlfn.XLOOKUP(B87,QUERY!$C:$C,QUERY!BB:BB)</f>
        <v>IME850329RH2</v>
      </c>
      <c r="HB87" s="3">
        <f>_xlfn.XLOOKUP(B87,QUERY!$C:$C,QUERY!BC:BC)</f>
        <v>0</v>
      </c>
      <c r="HC87" s="3">
        <f>_xlfn.XLOOKUP(B87,QUERY!$C:$C,QUERY!BD:BD)</f>
        <v>0.99</v>
      </c>
      <c r="HD87" s="3" t="str">
        <f>_xlfn.XLOOKUP(B87,QUERY!$C:$C,QUERY!BE:BE)</f>
        <v>LOTE: SCBA207A11,LOTE: A053A01,LOTE: A224A01,LOTE: A142A01,LOTE: A247B01,LOTE: A436A02,LOTE: A198A02,LOTE: A489D01,LOTE: A061A01</v>
      </c>
      <c r="HE87" s="3">
        <f>_xlfn.XLOOKUP(B87,QUERY!$C:$C,QUERY!BF:BF)</f>
        <v>90</v>
      </c>
      <c r="HF87" s="3" t="str">
        <f>_xlfn.XLOOKUP(B87,QUERY!$C:$C,QUERY!BG:BG)</f>
        <v xml:space="preserve"> 321379.32, 13019554.91, 1145829.89, 3079396.80</v>
      </c>
      <c r="HG87" s="3" t="str">
        <f>_xlfn.XLOOKUP(B87,QUERY!$C:$C,QUERY!BH:BH)</f>
        <v>KILO,KILO,KILO,KILO,KILO,KILO,KILO,KILO,KILO</v>
      </c>
      <c r="HH87" s="3">
        <f>_xlfn.XLOOKUP(B87,QUERY!$C:$C,QUERY!BI:BI)</f>
        <v>0</v>
      </c>
      <c r="HI87" s="3" t="str">
        <f>_xlfn.XLOOKUP(B87,QUERY!$C:$C,QUERY!BJ:BJ)</f>
        <v>PAISES BAJOS (REINO DE LOS) (HOLANDA)</v>
      </c>
      <c r="HJ87" s="3" t="str">
        <f>_xlfn.XLOOKUP(B87,QUERY!$C:$C,QUERY!BK:BK)</f>
        <v>PAISES BAJOS (REINO DE LOS) (HOLANDA)</v>
      </c>
      <c r="HK87" s="3" t="str">
        <f>_xlfn.XLOOKUP(B87,QUERY!$C:$C,QUERY!BL:BL)</f>
        <v>ZYA</v>
      </c>
      <c r="HL87" s="3" t="str">
        <f>_xlfn.XLOOKUP(B87,QUERY!$C:$C,QUERY!BM:BM)</f>
        <v>ZYA</v>
      </c>
      <c r="HM87" s="3">
        <f>_xlfn.XLOOKUP(B87,QUERY!$C:$C,QUERY!BN:BN)</f>
        <v>17566160</v>
      </c>
      <c r="HN87" s="3" t="str">
        <f>_xlfn.XLOOKUP(B87,QUERY!$C:$C,QUERY!BO:BO)</f>
        <v>444.00</v>
      </c>
      <c r="HO87" s="3" t="str">
        <f>_xlfn.XLOOKUP(B87,QUERY!$C:$C,QUERY!BP:BP)</f>
        <v>NULL</v>
      </c>
      <c r="HP87" s="3" t="str">
        <f>_xlfn.XLOOKUP(B87,QUERY!$C:$C,QUERY!BQ:BQ)</f>
        <v>NULL</v>
      </c>
      <c r="HQ87" s="3" t="str">
        <f>_xlfn.XLOOKUP(B87,QUERY!$C:$C,QUERY!BR:BR)</f>
        <v>250436.84</v>
      </c>
      <c r="HR87" s="3">
        <f>_xlfn.XLOOKUP(B87,QUERY!$C:$C,QUERY!BS:BS)</f>
        <v>0</v>
      </c>
      <c r="HS87" s="3">
        <f>_xlfn.XLOOKUP(B87,QUERY!$C:$C,QUERY!BT:BT)</f>
        <v>0</v>
      </c>
      <c r="HT87" s="3" t="str">
        <f>_xlfn.XLOOKUP(B87,QUERY!$C:$C,QUERY!A:A)</f>
        <v>VERACRUZ</v>
      </c>
      <c r="HU87" s="3" t="str">
        <f>_xlfn.XLOOKUP(B87,QUERY!$C:$C,QUERY!B:B)</f>
        <v>MARÍTIMO VERACRUZ</v>
      </c>
    </row>
    <row r="88" spans="1:229" x14ac:dyDescent="0.25">
      <c r="A88" s="3" t="s">
        <v>90</v>
      </c>
      <c r="B88" s="3" t="s">
        <v>343</v>
      </c>
      <c r="C88" s="3">
        <v>3942</v>
      </c>
      <c r="D88" s="3">
        <v>6000418</v>
      </c>
      <c r="E88" s="3">
        <v>6000303</v>
      </c>
      <c r="F88" s="3" t="s">
        <v>92</v>
      </c>
      <c r="G88" s="3" t="s">
        <v>342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430</v>
      </c>
      <c r="S88" s="3" t="s">
        <v>258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 t="s">
        <v>267</v>
      </c>
      <c r="AB88" s="3"/>
      <c r="AC88" s="3">
        <v>2204237</v>
      </c>
      <c r="AD88" s="3">
        <v>416.67995999999999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/>
      <c r="AP88" s="3" t="s">
        <v>98</v>
      </c>
      <c r="AQ88" s="3">
        <v>210365020</v>
      </c>
      <c r="AR88" s="3" t="s">
        <v>99</v>
      </c>
      <c r="AS88" s="3" t="s">
        <v>100</v>
      </c>
      <c r="AT88" s="3">
        <v>0</v>
      </c>
      <c r="AU88" s="3">
        <v>0</v>
      </c>
      <c r="AV88" s="3">
        <v>0</v>
      </c>
      <c r="AW88" s="3">
        <v>30024201</v>
      </c>
      <c r="AX88" s="3">
        <v>99</v>
      </c>
      <c r="AY88" s="3">
        <v>5290</v>
      </c>
      <c r="AZ88" s="3">
        <v>5290</v>
      </c>
      <c r="BA88" s="3" t="s">
        <v>103</v>
      </c>
      <c r="BB88" s="3"/>
      <c r="BC88" s="3" t="s">
        <v>105</v>
      </c>
      <c r="BD88" s="3" t="s">
        <v>105</v>
      </c>
      <c r="BE88" s="3"/>
      <c r="BF88" s="3"/>
      <c r="BG88" s="5"/>
      <c r="BH88" s="3"/>
      <c r="BI88" s="3"/>
      <c r="BJ88" s="3"/>
      <c r="BK88" s="3" t="s">
        <v>263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 t="s">
        <v>192</v>
      </c>
      <c r="CF88" s="3">
        <v>0</v>
      </c>
      <c r="CG88" s="3">
        <v>0</v>
      </c>
      <c r="CH88" s="3">
        <v>0</v>
      </c>
      <c r="CI88" s="3" t="s">
        <v>112</v>
      </c>
      <c r="CJ88" s="3" t="s">
        <v>112</v>
      </c>
      <c r="CK88" s="3">
        <f>_xlfn.XLOOKUP($B$2,'BASE DE EXCEL'!C:C,'BASE DE EXCEL'!D:D,"NO HAY REFERENCIA")</f>
        <v>470</v>
      </c>
      <c r="CL88" s="5">
        <f>_xlfn.XLOOKUP($B$2,'BASE DE EXCEL'!$C:$C,'BASE DE EXCEL'!F:F,"NO HAY REFERENCIA")</f>
        <v>3</v>
      </c>
      <c r="CM88" s="4">
        <f>_xlfn.XLOOKUP($B$2,'BASE DE EXCEL'!$C:$C,'BASE DE EXCEL'!G:G,"NO HAY REFERENCIA")</f>
        <v>46080</v>
      </c>
      <c r="CN88" s="4">
        <f>_xlfn.XLOOKUP($B$2,'BASE DE EXCEL'!$C:$C,'BASE DE EXCEL'!H:H,"NO HAY REFERENCIA")</f>
        <v>46086</v>
      </c>
      <c r="CO88" s="3">
        <f>_xlfn.XLOOKUP($B$2,'BASE DE EXCEL'!$C:$C,'BASE DE EXCEL'!I:I,"NO HAY REFERENCIA")</f>
        <v>4</v>
      </c>
      <c r="CP88" s="3" t="str">
        <f>_xlfn.XLOOKUP($B$2,'BASE DE EXCEL'!$C:$C,'BASE DE EXCEL'!J:J,"NO HAY REFERENCIA")</f>
        <v>4 a 5 días</v>
      </c>
      <c r="CQ88" s="4">
        <f>_xlfn.XLOOKUP($B$2,'BASE DE EXCEL'!$C:$C,'BASE DE EXCEL'!K:K,"NO HAY REFERENCIA")</f>
        <v>46087</v>
      </c>
      <c r="CR88" s="3">
        <f>_xlfn.XLOOKUP($B$2,'BASE DE EXCEL'!$C:$C,'BASE DE EXCEL'!L:L,"NO HAY REFERENCIA")</f>
        <v>5</v>
      </c>
      <c r="CS88" s="3">
        <f>_xlfn.XLOOKUP($B$2,'BASE DE EXCEL'!$C:$C,'BASE DE EXCEL'!M:M,"NO HAY REFERENCIA")</f>
        <v>6</v>
      </c>
      <c r="CT88" s="3" t="str">
        <f>_xlfn.XLOOKUP($B$2,'BASE DE EXCEL'!$C:$C,'BASE DE EXCEL'!N:N,"NO HAY REFERENCIA")</f>
        <v>6 a 10 días</v>
      </c>
      <c r="CU88" s="3" t="str">
        <f>_xlfn.XLOOKUP($B$2,'BASE DE EXCEL'!$C:$C,'BASE DE EXCEL'!O:O,"NO HAY REFERENCIA")</f>
        <v>On Time</v>
      </c>
      <c r="CV88" s="3" t="str">
        <f>_xlfn.XLOOKUP(B88,'BASE DE EXCEL'!$C:$C,'BASE DE EXCEL'!P:P,"NO HAY REFERENCIA")</f>
        <v>11 a 15 días</v>
      </c>
      <c r="CW88" s="4">
        <f>_xlfn.XLOOKUP(B88,'BASE DE EXCEL'!$C:$C,'BASE DE EXCEL'!Q:Q,"NO HAY REFERENCIA")</f>
        <v>46094</v>
      </c>
      <c r="CX88" s="3">
        <f>_xlfn.XLOOKUP(B88,'BASE DE EXCEL'!$C:$C,'BASE DE EXCEL'!R:R,"NO HAY REFERENCIA")</f>
        <v>14</v>
      </c>
      <c r="CY88" s="3" t="str">
        <f>_xlfn.XLOOKUP(B88,'BASE DE EXCEL'!$C:$C,'BASE DE EXCEL'!S:S,"NO HAY REFERENCIA")</f>
        <v>11 a 15 días</v>
      </c>
      <c r="CZ88" s="3" t="str">
        <f>_xlfn.XLOOKUP(B88,'BASE DE EXCEL'!$C:$C,'BASE DE EXCEL'!T:T,"NO HAY REFERENCIA")</f>
        <v>Delayed</v>
      </c>
      <c r="DA88" s="3">
        <f>_xlfn.XLOOKUP(B88,'BASE DE EXCEL'!$C:$C,'BASE DE EXCEL'!U:U,"NO HAY REFERENCIA")</f>
        <v>0</v>
      </c>
      <c r="DB88" s="3" t="str">
        <f>_xlfn.XLOOKUP(B88,'BASE DE EXCEL'!$C:$C,'BASE DE EXCEL'!V:V,"NO HAY REFERENCIA")</f>
        <v>Sin Dato</v>
      </c>
      <c r="DC88" s="3">
        <f>_xlfn.XLOOKUP(B88,'BASE DE EXCEL'!$C:$C,'BASE DE EXCEL'!W:W,"NO HAY REFERENCIA")</f>
        <v>20</v>
      </c>
      <c r="DD88" s="3" t="str">
        <f>_xlfn.XLOOKUP(B88,'BASE DE EXCEL'!$C:$C,'BASE DE EXCEL'!X:X,"NO HAY REFERENCIA")</f>
        <v>más de 16 días</v>
      </c>
      <c r="DE88" s="3">
        <f>_xlfn.XLOOKUP(B88,'BASE DE EXCEL'!$C:$C,'BASE DE EXCEL'!Y:Y,"NO HAY REFERENCIA")</f>
        <v>0</v>
      </c>
      <c r="DF88" s="3" t="str">
        <f>_xlfn.XLOOKUP(B88,'BASE DE EXCEL'!$C:$C,'BASE DE EXCEL'!Z:Z,"NO HAY REFERENCIA")</f>
        <v>1 día o menos</v>
      </c>
      <c r="DG88" s="3">
        <f>_xlfn.XLOOKUP(B88,'BASE DE EXCEL'!$C:$C,'BASE DE EXCEL'!AA:AA,"NO HAY REFERENCIA")</f>
        <v>14</v>
      </c>
      <c r="DH88" s="3">
        <f>_xlfn.XLOOKUP(B88,'BASE DE EXCEL'!$C:$C,'BASE DE EXCEL'!AB:AB,"NO HAY REFERENCIA")</f>
        <v>-46089</v>
      </c>
      <c r="DI88" s="3" t="str">
        <f>_xlfn.XLOOKUP(B88,'BASE DE EXCEL'!$C:$C,'BASE DE EXCEL'!AC:AC,"NO HAY REFERENCIA")</f>
        <v>SIN DATO</v>
      </c>
      <c r="DJ88" s="4">
        <f>_xlfn.XLOOKUP(B88,'BASE DE EXCEL'!$C:$C,'BASE DE EXCEL'!AD:AD,"NO HAY REFERENCIA")</f>
        <v>46105</v>
      </c>
      <c r="DK88" s="3">
        <f>_xlfn.XLOOKUP(B88,'BASE DE EXCEL'!$C:$C,'BASE DE EXCEL'!AE:AE,"NO HAY REFERENCIA")</f>
        <v>46102</v>
      </c>
      <c r="DL88" s="3">
        <f>_xlfn.XLOOKUP(B88,'BASE DE EXCEL'!$C:$C,'BASE DE EXCEL'!AF:AF,"NO HAY REFERENCIA")</f>
        <v>32931</v>
      </c>
      <c r="DM88" s="4">
        <f>_xlfn.XLOOKUP(B88,'BASE DE EXCEL'!$C:$C,'BASE DE EXCEL'!AG:AG,"NO HAY REFERENCIA")</f>
        <v>46104</v>
      </c>
      <c r="DN88" s="4">
        <f>_xlfn.XLOOKUP(B88,'BASE DE EXCEL'!$C:$C,'BASE DE EXCEL'!AH:AH,"NO HAY REFERENCIA")</f>
        <v>46105</v>
      </c>
      <c r="DO88" s="3">
        <f>_xlfn.XLOOKUP(B88,'BASE DE EXCEL'!$C:$C,'BASE DE EXCEL'!AI:AI,"NO HAY REFERENCIA")</f>
        <v>1</v>
      </c>
      <c r="DP88" s="4" t="str">
        <f>_xlfn.XLOOKUP(B88,'BASE DE EXCEL'!$C:$C,'BASE DE EXCEL'!AJ:AJ,"NO HAY REFERENCIA")</f>
        <v>SIN DATO</v>
      </c>
      <c r="DQ88" s="4">
        <f>_xlfn.XLOOKUP(B88,'BASE DE EXCEL'!$C:$C,'BASE DE EXCEL'!AK:AK,"NO HAY REFERENCIA")</f>
        <v>46105</v>
      </c>
      <c r="DR88" s="3">
        <f>_xlfn.XLOOKUP(B88,'BASE DE EXCEL'!$C:$C,'BASE DE EXCEL'!AL:AL,"NO HAY REFERENCIA")</f>
        <v>7</v>
      </c>
      <c r="DS88" s="3" t="str">
        <f>_xlfn.XLOOKUP(B88,'BASE DE EXCEL'!$C:$C,'BASE DE EXCEL'!AM:AM,"NO HAY REFERENCIA")</f>
        <v>6 a 10 días</v>
      </c>
      <c r="DT88" s="3" t="str">
        <f>_xlfn.XLOOKUP(B88,'BASE DE EXCEL'!$C:$C,'BASE DE EXCEL'!AN:AN,"NO HAY REFERENCIA")</f>
        <v>Delayed</v>
      </c>
      <c r="DU88" s="3">
        <f>_xlfn.XLOOKUP(B88,'BASE DE EXCEL'!$C:$C,'BASE DE EXCEL'!AO:AO,"NO HAY REFERENCIA")</f>
        <v>0</v>
      </c>
      <c r="DV88" s="3" t="str">
        <f>_xlfn.XLOOKUP(B88,'BASE DE EXCEL'!$C:$C,'BASE DE EXCEL'!AP:AP,"NO HAY REFERENCIA")</f>
        <v>Es anterior</v>
      </c>
      <c r="DW88" s="3" t="str">
        <f>_xlfn.XLOOKUP(B88,'BASE DE EXCEL'!$C:$C,'BASE DE EXCEL'!AQ:AQ,"NO HAY REFERENCIA")</f>
        <v>R1</v>
      </c>
      <c r="DX88" s="3" t="str">
        <f>_xlfn.XLOOKUP(B88,'BASE DE EXCEL'!$C:$C,'BASE DE EXCEL'!AR:AR,"NO HAY REFERENCIA")</f>
        <v>ZULEIMA PEREZ RUIZ</v>
      </c>
      <c r="DY88" s="3" t="str">
        <f>_xlfn.XLOOKUP(B88,'BASE DE EXCEL'!$C:$C,'BASE DE EXCEL'!AS:AS,"NO HAY REFERENCIA")</f>
        <v>HLCURTM260162366</v>
      </c>
      <c r="DZ88" s="3" t="str">
        <f>_xlfn.XLOOKUP(B88,'BASE DE EXCEL'!$C:$C,'BASE DE EXCEL'!AT:AT,"NO HAY REFERENCIA")</f>
        <v>NULL</v>
      </c>
      <c r="EA88" s="3">
        <f>_xlfn.XLOOKUP(B88,'BASE DE EXCEL'!$C:$C,'BASE DE EXCEL'!AU:AU,"NO HAY REFERENCIA")</f>
        <v>6000418</v>
      </c>
      <c r="EB88" s="3" t="str">
        <f>_xlfn.XLOOKUP(B88,'BASE DE EXCEL'!$C:$C,'BASE DE EXCEL'!AV:AV,"NO HAY REFERENCIA")</f>
        <v>Importación</v>
      </c>
      <c r="EC88" s="3" t="str">
        <f>_xlfn.XLOOKUP(B88,'BASE DE EXCEL'!$C:$C,'BASE DE EXCEL'!AW:AW,"NO HAY REFERENCIA")</f>
        <v>NOBILIS MA5+CLONE 30 (VACUNA DE USO VETERINARIO)</v>
      </c>
      <c r="ED88" s="3" t="str">
        <f>_xlfn.XLOOKUP(B88,'BASE DE EXCEL'!$C:$C,'BASE DE EXCEL'!AX:AX,"NO HAY REFERENCIA")</f>
        <v>SIN CLASIFICACION</v>
      </c>
      <c r="EE88" s="3">
        <f>_xlfn.XLOOKUP(B88,'BASE DE EXCEL'!$C:$C,'BASE DE EXCEL'!AY:AY,"NO HAY REFERENCIA")</f>
        <v>0</v>
      </c>
      <c r="EF88" s="3" t="str">
        <f>_xlfn.XLOOKUP(B88,'BASE DE EXCEL'!$C:$C,'BASE DE EXCEL'!AZ:AZ,"NO HAY REFERENCIA")</f>
        <v>Cargas de Importación</v>
      </c>
      <c r="EG88" s="3" t="str">
        <f>_xlfn.XLOOKUP(B88,'BASE DE EXCEL'!$C:$C,'BASE DE EXCEL'!BA:BA,"NO HAY REFERENCIA")</f>
        <v>INTERVET MEXICO SA DE CV</v>
      </c>
      <c r="EH88" s="3">
        <f>_xlfn.XLOOKUP(B88,'BASE DE EXCEL'!$C:$C,'BASE DE EXCEL'!BB:BB,"NO HAY REFERENCIA")</f>
        <v>0</v>
      </c>
      <c r="EI88" s="3">
        <f>_xlfn.XLOOKUP(B88,'BASE DE EXCEL'!$C:$C,'BASE DE EXCEL'!BC:BC,"NO HAY REFERENCIA")</f>
        <v>0</v>
      </c>
      <c r="EJ88" s="3">
        <f>_xlfn.XLOOKUP(B88,'BASE DE EXCEL'!$C:$C,'BASE DE EXCEL'!BD:BD,"NO HAY REFERENCIA")</f>
        <v>0</v>
      </c>
      <c r="EK88" s="3">
        <f>_xlfn.XLOOKUP(B88,'BASE DE EXCEL'!$C:$C,'BASE DE EXCEL'!BE:BE,"NO HAY REFERENCIA")</f>
        <v>0</v>
      </c>
      <c r="EL88" s="3">
        <f>_xlfn.XLOOKUP(B88,'BASE DE EXCEL'!$C:$C,'BASE DE EXCEL'!BF:BF,"NO HAY REFERENCIA")</f>
        <v>0</v>
      </c>
      <c r="EM88" s="3" t="str">
        <f>_xlfn.XLOOKUP(B88,'BASE DE EXCEL'!$C:$C,'BASE DE EXCEL'!BG:BG,"NO HAY REFERENCIA")</f>
        <v>Verde</v>
      </c>
      <c r="EN88" s="3" t="str">
        <f>_xlfn.XLOOKUP(B88,'BASE DE EXCEL'!$C:$C,'BASE DE EXCEL'!BH:BH,"NO HAY REFERENCIA")</f>
        <v>NULL</v>
      </c>
      <c r="EO88" s="3">
        <f>_xlfn.XLOOKUP(B88,'BASE DE EXCEL'!$C:$C,'BASE DE EXCEL'!BI:BI,"NO HAY REFERENCIA")</f>
        <v>0</v>
      </c>
      <c r="EP88" s="3">
        <f>_xlfn.XLOOKUP(B88,'BASE DE EXCEL'!$C:$C,'BASE DE EXCEL'!BJ:BJ,"NO HAY REFERENCIA")</f>
        <v>0</v>
      </c>
      <c r="EQ88" s="3" t="str">
        <f>_xlfn.XLOOKUP(B88,'BASE DE EXCEL'!$C:$C,'BASE DE EXCEL'!BK:BK,"NO HAY REFERENCIA")</f>
        <v>IME850329RH2</v>
      </c>
      <c r="ER88" s="3">
        <f>_xlfn.XLOOKUP(B88,'BASE DE EXCEL'!$C:$C,'BASE DE EXCEL'!BL:BL,"NO HAY REFERENCIA")</f>
        <v>0</v>
      </c>
      <c r="ES88" s="3" t="str">
        <f>_xlfn.XLOOKUP(B88,'BASE DE EXCEL'!$C:$C,'BASE DE EXCEL'!BM:BM,"NO HAY REFERENCIA")</f>
        <v>00,99</v>
      </c>
      <c r="ET88" s="3" t="str">
        <f>_xlfn.XLOOKUP(B88,'BASE DE EXCEL'!$C:$C,'BASE DE EXCEL'!BN:BN,"NO HAY REFERENCIA")</f>
        <v>LOTE: SCBA207A11,LOTE: A053A01,LOTE: A224A01,LOTE: A142A01,LOTE: A247B01,LOTE: A436A02,LOTE: A198A02,LOTE: A489D01,LOTE: A061A01</v>
      </c>
      <c r="EU88" s="3">
        <f>_xlfn.XLOOKUP(B88,'BASE DE EXCEL'!$C:$C,'BASE DE EXCEL'!BO:BO,"NO HAY REFERENCIA")</f>
        <v>90</v>
      </c>
      <c r="EV88" s="3" t="str">
        <f>_xlfn.XLOOKUP(B88,'BASE DE EXCEL'!$C:$C,'BASE DE EXCEL'!BP:BP,"NO HAY REFERENCIA")</f>
        <v xml:space="preserve"> 321379.32, 13019554.91, 1145829.89, 3079396.80</v>
      </c>
      <c r="EW88" s="3" t="str">
        <f>_xlfn.XLOOKUP(B88,'BASE DE EXCEL'!$C:$C,'BASE DE EXCEL'!BQ:BQ,"NO HAY REFERENCIA")</f>
        <v>KILO,KILO,KILO,KILO,KILO,KILO,KILO,KILO,KILO</v>
      </c>
      <c r="EX88" s="3">
        <f>_xlfn.XLOOKUP(B88,'BASE DE EXCEL'!$C:$C,'BASE DE EXCEL'!BR:BR,"NO HAY REFERENCIA")</f>
        <v>0</v>
      </c>
      <c r="EY88" s="3" t="str">
        <f>_xlfn.XLOOKUP(B88,'BASE DE EXCEL'!$C:$C,'BASE DE EXCEL'!BS:BS,"NO HAY REFERENCIA")</f>
        <v>PAISES BAJOS (REINO DE LOS) (HOLANDA)</v>
      </c>
      <c r="EZ88" s="3" t="str">
        <f>_xlfn.XLOOKUP(B88,'BASE DE EXCEL'!$C:$C,'BASE DE EXCEL'!BT:BT,"NO HAY REFERENCIA")</f>
        <v>PAISES BAJOS (REINO DE LOS) (HOLANDA)</v>
      </c>
      <c r="FA88" s="3" t="str">
        <f>_xlfn.XLOOKUP(B88,'BASE DE EXCEL'!$C:$C,'BASE DE EXCEL'!BU:BU,"NO HAY REFERENCIA")</f>
        <v>ZYA</v>
      </c>
      <c r="FB88" s="3" t="str">
        <f>_xlfn.XLOOKUP(B88,'BASE DE EXCEL'!$C:$C,'BASE DE EXCEL'!BV:BV,"NO HAY REFERENCIA")</f>
        <v>ZYA</v>
      </c>
      <c r="FC88" s="3">
        <f>_xlfn.XLOOKUP(B88,QUERY!$C:$C,QUERY!D:D)</f>
        <v>430</v>
      </c>
      <c r="FD88" s="4">
        <f>_xlfn.XLOOKUP(B88,QUERY!$C:$C,QUERY!E:E)</f>
        <v>46091</v>
      </c>
      <c r="FE88" s="3">
        <f>_xlfn.XLOOKUP(B88,QUERY!$C:$C,QUERY!F:F)</f>
        <v>3</v>
      </c>
      <c r="FF88" s="4">
        <f>_xlfn.XLOOKUP(B88,QUERY!$C:$C,QUERY!G:G)</f>
        <v>46077</v>
      </c>
      <c r="FG88" s="4">
        <f>_xlfn.XLOOKUP(B88,QUERY!$C:$C,QUERY!H:H)</f>
        <v>46091</v>
      </c>
      <c r="FH88" s="3">
        <f>_xlfn.XLOOKUP(B88,QUERY!$C:$C,QUERY!I:I)</f>
        <v>10</v>
      </c>
      <c r="FI88" s="3" t="str">
        <f>_xlfn.XLOOKUP(B88,QUERY!$C:$C,QUERY!J:J)</f>
        <v>6 a 10 días</v>
      </c>
      <c r="FJ88" s="4">
        <f>_xlfn.XLOOKUP(B88,QUERY!$C:$C,QUERY!K:K)</f>
        <v>46091</v>
      </c>
      <c r="FK88" s="3">
        <f>_xlfn.XLOOKUP(B88,QUERY!$C:$C,QUERY!L:L)</f>
        <v>10</v>
      </c>
      <c r="FL88" s="3" t="str">
        <f>_xlfn.XLOOKUP(B88,QUERY!$C:$C,QUERY!M:M)</f>
        <v>6 a 10 días</v>
      </c>
      <c r="FM88" s="3">
        <f>_xlfn.XLOOKUP(B88,QUERY!$C:$C,QUERY!N:N)</f>
        <v>0</v>
      </c>
      <c r="FN88" s="3" t="str">
        <f>_xlfn.XLOOKUP(B88,QUERY!$C:$C,QUERY!O:O)</f>
        <v>1 día o menos</v>
      </c>
      <c r="FO88" s="3">
        <f>_xlfn.XLOOKUP(B88,QUERY!$C:$C,QUERY!P:P)</f>
        <v>0</v>
      </c>
      <c r="FP88" s="3">
        <f>_xlfn.XLOOKUP(B88,QUERY!$C:$C,QUERY!Q:Q)</f>
        <v>0</v>
      </c>
      <c r="FQ88" s="3" t="str">
        <f>_xlfn.XLOOKUP(B88,QUERY!$C:$C,QUERY!R:R)</f>
        <v>1 día o menos</v>
      </c>
      <c r="FR88" s="4">
        <f>_xlfn.XLOOKUP(B88,QUERY!$C:$C,QUERY!S:S)</f>
        <v>46091</v>
      </c>
      <c r="FS88" s="3">
        <f>_xlfn.XLOOKUP(B88,QUERY!$C:$C,QUERY!T:T)</f>
        <v>10</v>
      </c>
      <c r="FT88" s="3" t="str">
        <f>_xlfn.XLOOKUP(B88,QUERY!$C:$C,QUERY!U:U)</f>
        <v>6 a 10 días</v>
      </c>
      <c r="FU88" s="3">
        <f>_xlfn.XLOOKUP(B88,QUERY!$C:$C,QUERY!V:V)</f>
        <v>20</v>
      </c>
      <c r="FV88" s="3" t="str">
        <f>_xlfn.XLOOKUP(B88,QUERY!$C:$C,QUERY!W:W)</f>
        <v>más de 16 días</v>
      </c>
      <c r="FW88" s="4">
        <f>_xlfn.XLOOKUP(B88,QUERY!$C:$C,QUERY!X:X)</f>
        <v>46105</v>
      </c>
      <c r="FX88" s="3">
        <f>_xlfn.XLOOKUP(B88,QUERY!$C:$C,QUERY!Y:Y)</f>
        <v>9</v>
      </c>
      <c r="FY88" s="3">
        <f>_xlfn.XLOOKUP(B88,QUERY!$C:$C,QUERY!Z:Z)</f>
        <v>10</v>
      </c>
      <c r="FZ88" s="4" t="str">
        <f>_xlfn.XLOOKUP(B88,QUERY!$C:$C,QUERY!AA:AA)</f>
        <v>11 a 15 días</v>
      </c>
      <c r="GA88" s="4">
        <f>_xlfn.XLOOKUP(B88,QUERY!$C:$C,QUERY!AB:AB)</f>
        <v>46104</v>
      </c>
      <c r="GB88" s="4">
        <f>_xlfn.XLOOKUP(B88,QUERY!$C:$C,QUERY!AC:AC)</f>
        <v>46105</v>
      </c>
      <c r="GC88" s="3">
        <f>_xlfn.XLOOKUP(B88,QUERY!$C:$C,QUERY!AD:AD)</f>
        <v>1</v>
      </c>
      <c r="GD88" s="4">
        <f>_xlfn.XLOOKUP(B88,QUERY!$C:$C,QUERY!AE:AE)</f>
        <v>46105</v>
      </c>
      <c r="GE88" s="3">
        <f>_xlfn.XLOOKUP(B88,QUERY!$C:$C,QUERY!AF:AF)</f>
        <v>1</v>
      </c>
      <c r="GF88" s="4" t="str">
        <f>_xlfn.XLOOKUP(B88,QUERY!$C:$C,QUERY!AG:AG)</f>
        <v>Es anterior</v>
      </c>
      <c r="GG88" s="3" t="str">
        <f>_xlfn.XLOOKUP(B88,QUERY!$C:$C,QUERY!AH:AH)</f>
        <v>R1</v>
      </c>
      <c r="GH88" s="3" t="str">
        <f>_xlfn.XLOOKUP(B88,QUERY!$C:$C,QUERY!AI:AI)</f>
        <v>ZULEIMA PEREZ RUIZ</v>
      </c>
      <c r="GI88" s="3" t="str">
        <f>_xlfn.XLOOKUP(B88,QUERY!$C:$C,QUERY!AJ:AJ)</f>
        <v>HLCURTM260162366</v>
      </c>
      <c r="GJ88" s="3" t="str">
        <f>_xlfn.XLOOKUP(B88,QUERY!$C:$C,QUERY!AK:AK)</f>
        <v>NULL</v>
      </c>
      <c r="GK88" s="3">
        <f>_xlfn.XLOOKUP(B88,QUERY!$C:$C,QUERY!AL:AL)</f>
        <v>6000418</v>
      </c>
      <c r="GL88" s="3" t="str">
        <f>_xlfn.XLOOKUP(B88,QUERY!$C:$C,QUERY!AM:AM)</f>
        <v>Importación</v>
      </c>
      <c r="GM88" s="3" t="str">
        <f>_xlfn.XLOOKUP(B88,QUERY!$C:$C,QUERY!AN:AN)</f>
        <v>NOBILIS MA5+CLONE 30 (VACUNA DE USO VETERINARIO)</v>
      </c>
      <c r="GN88" s="3" t="str">
        <f>_xlfn.XLOOKUP(B88,QUERY!$C:$C,QUERY!AO:AO)</f>
        <v>SIN CLASIFICACION</v>
      </c>
      <c r="GO88" s="3">
        <f>_xlfn.XLOOKUP(B88,QUERY!$C:$C,QUERY!AP:AP)</f>
        <v>0</v>
      </c>
      <c r="GP88" s="3" t="str">
        <f>_xlfn.XLOOKUP(B88,QUERY!$C:$C,QUERY!AQ:AQ)</f>
        <v>Cargas de Importación</v>
      </c>
      <c r="GQ88" s="3" t="str">
        <f>_xlfn.XLOOKUP(B88,QUERY!$C:$C,QUERY!AR:AR)</f>
        <v>INTERVET MEXICO SA DE CV</v>
      </c>
      <c r="GR88" s="3">
        <f>_xlfn.XLOOKUP(B88,QUERY!$C:$C,QUERY!AS:AS)</f>
        <v>0</v>
      </c>
      <c r="GS88" s="3">
        <f>_xlfn.XLOOKUP(B88,QUERY!$C:$C,QUERY!AT:AT)</f>
        <v>0</v>
      </c>
      <c r="GT88" s="3">
        <f>_xlfn.XLOOKUP(B88,QUERY!$C:$C,QUERY!AU:AU)</f>
        <v>0</v>
      </c>
      <c r="GU88" s="3">
        <f>_xlfn.XLOOKUP(B88,QUERY!$C:$C,QUERY!AV:AV)</f>
        <v>0</v>
      </c>
      <c r="GV88" s="3">
        <f>_xlfn.XLOOKUP(B88,QUERY!$C:$C,QUERY!AW:AW)</f>
        <v>0</v>
      </c>
      <c r="GW88" s="3" t="str">
        <f>_xlfn.XLOOKUP(B88,QUERY!$C:$C,QUERY!AX:AX)</f>
        <v>Verde</v>
      </c>
      <c r="GX88" s="3" t="str">
        <f>_xlfn.XLOOKUP(B88,QUERY!$C:$C,QUERY!AY:AY)</f>
        <v>NULL</v>
      </c>
      <c r="GY88" s="3">
        <f>_xlfn.XLOOKUP(B88,QUERY!$C:$C,QUERY!AZ:AZ)</f>
        <v>0</v>
      </c>
      <c r="GZ88" s="3">
        <f>_xlfn.XLOOKUP(B88,QUERY!$C:$C,QUERY!BA:BA)</f>
        <v>0</v>
      </c>
      <c r="HA88" s="3" t="str">
        <f>_xlfn.XLOOKUP(B88,QUERY!$C:$C,QUERY!BB:BB)</f>
        <v>IME850329RH2</v>
      </c>
      <c r="HB88" s="3">
        <f>_xlfn.XLOOKUP(B88,QUERY!$C:$C,QUERY!BC:BC)</f>
        <v>0</v>
      </c>
      <c r="HC88" s="3">
        <f>_xlfn.XLOOKUP(B88,QUERY!$C:$C,QUERY!BD:BD)</f>
        <v>0.99</v>
      </c>
      <c r="HD88" s="3" t="str">
        <f>_xlfn.XLOOKUP(B88,QUERY!$C:$C,QUERY!BE:BE)</f>
        <v>LOTE: SCBA207A11,LOTE: A053A01,LOTE: A224A01,LOTE: A142A01,LOTE: A247B01,LOTE: A436A02,LOTE: A198A02,LOTE: A489D01,LOTE: A061A01</v>
      </c>
      <c r="HE88" s="3">
        <f>_xlfn.XLOOKUP(B88,QUERY!$C:$C,QUERY!BF:BF)</f>
        <v>90</v>
      </c>
      <c r="HF88" s="3" t="str">
        <f>_xlfn.XLOOKUP(B88,QUERY!$C:$C,QUERY!BG:BG)</f>
        <v xml:space="preserve"> 321379.32, 13019554.91, 1145829.89, 3079396.80</v>
      </c>
      <c r="HG88" s="3" t="str">
        <f>_xlfn.XLOOKUP(B88,QUERY!$C:$C,QUERY!BH:BH)</f>
        <v>KILO,KILO,KILO,KILO,KILO,KILO,KILO,KILO,KILO</v>
      </c>
      <c r="HH88" s="3">
        <f>_xlfn.XLOOKUP(B88,QUERY!$C:$C,QUERY!BI:BI)</f>
        <v>0</v>
      </c>
      <c r="HI88" s="3" t="str">
        <f>_xlfn.XLOOKUP(B88,QUERY!$C:$C,QUERY!BJ:BJ)</f>
        <v>PAISES BAJOS (REINO DE LOS) (HOLANDA)</v>
      </c>
      <c r="HJ88" s="3" t="str">
        <f>_xlfn.XLOOKUP(B88,QUERY!$C:$C,QUERY!BK:BK)</f>
        <v>PAISES BAJOS (REINO DE LOS) (HOLANDA)</v>
      </c>
      <c r="HK88" s="3" t="str">
        <f>_xlfn.XLOOKUP(B88,QUERY!$C:$C,QUERY!BL:BL)</f>
        <v>ZYA</v>
      </c>
      <c r="HL88" s="3" t="str">
        <f>_xlfn.XLOOKUP(B88,QUERY!$C:$C,QUERY!BM:BM)</f>
        <v>ZYA</v>
      </c>
      <c r="HM88" s="3">
        <f>_xlfn.XLOOKUP(B88,QUERY!$C:$C,QUERY!BN:BN)</f>
        <v>17566160</v>
      </c>
      <c r="HN88" s="3" t="str">
        <f>_xlfn.XLOOKUP(B88,QUERY!$C:$C,QUERY!BO:BO)</f>
        <v>444.00</v>
      </c>
      <c r="HO88" s="3" t="str">
        <f>_xlfn.XLOOKUP(B88,QUERY!$C:$C,QUERY!BP:BP)</f>
        <v>NULL</v>
      </c>
      <c r="HP88" s="3" t="str">
        <f>_xlfn.XLOOKUP(B88,QUERY!$C:$C,QUERY!BQ:BQ)</f>
        <v>NULL</v>
      </c>
      <c r="HQ88" s="3" t="str">
        <f>_xlfn.XLOOKUP(B88,QUERY!$C:$C,QUERY!BR:BR)</f>
        <v>250436.84</v>
      </c>
      <c r="HR88" s="3">
        <f>_xlfn.XLOOKUP(B88,QUERY!$C:$C,QUERY!BS:BS)</f>
        <v>0</v>
      </c>
      <c r="HS88" s="3">
        <f>_xlfn.XLOOKUP(B88,QUERY!$C:$C,QUERY!BT:BT)</f>
        <v>0</v>
      </c>
      <c r="HT88" s="3" t="str">
        <f>_xlfn.XLOOKUP(B88,QUERY!$C:$C,QUERY!A:A)</f>
        <v>VERACRUZ</v>
      </c>
      <c r="HU88" s="3" t="str">
        <f>_xlfn.XLOOKUP(B88,QUERY!$C:$C,QUERY!B:B)</f>
        <v>MARÍTIMO VERACRUZ</v>
      </c>
    </row>
    <row r="89" spans="1:229" x14ac:dyDescent="0.25">
      <c r="A89" s="3" t="s">
        <v>90</v>
      </c>
      <c r="B89" s="3" t="s">
        <v>343</v>
      </c>
      <c r="C89" s="3">
        <v>3942</v>
      </c>
      <c r="D89" s="3">
        <v>6000418</v>
      </c>
      <c r="E89" s="3">
        <v>6000303</v>
      </c>
      <c r="F89" s="3" t="s">
        <v>92</v>
      </c>
      <c r="G89" s="3" t="s">
        <v>342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430</v>
      </c>
      <c r="S89" s="3" t="s">
        <v>258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160</v>
      </c>
      <c r="AB89" s="3"/>
      <c r="AC89" s="3">
        <v>1145830</v>
      </c>
      <c r="AD89" s="3">
        <v>3071.9302899999998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/>
      <c r="AP89" s="3" t="s">
        <v>98</v>
      </c>
      <c r="AQ89" s="3">
        <v>210365021</v>
      </c>
      <c r="AR89" s="3" t="s">
        <v>99</v>
      </c>
      <c r="AS89" s="3" t="s">
        <v>100</v>
      </c>
      <c r="AT89" s="3">
        <v>0</v>
      </c>
      <c r="AU89" s="3">
        <v>0</v>
      </c>
      <c r="AV89" s="3">
        <v>0</v>
      </c>
      <c r="AW89" s="3">
        <v>30042099</v>
      </c>
      <c r="AX89" s="3">
        <v>0</v>
      </c>
      <c r="AY89" s="3">
        <v>373</v>
      </c>
      <c r="AZ89" s="3">
        <v>373</v>
      </c>
      <c r="BA89" s="3" t="s">
        <v>121</v>
      </c>
      <c r="BB89" s="3"/>
      <c r="BC89" s="3" t="s">
        <v>105</v>
      </c>
      <c r="BD89" s="3" t="s">
        <v>105</v>
      </c>
      <c r="BE89" s="3"/>
      <c r="BF89" s="3"/>
      <c r="BG89" s="5"/>
      <c r="BH89" s="3"/>
      <c r="BI89" s="3"/>
      <c r="BJ89" s="3"/>
      <c r="BK89" s="3" t="s">
        <v>344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 t="s">
        <v>192</v>
      </c>
      <c r="CF89" s="3">
        <v>0</v>
      </c>
      <c r="CG89" s="3">
        <v>0</v>
      </c>
      <c r="CH89" s="3">
        <v>0</v>
      </c>
      <c r="CI89" s="3" t="s">
        <v>112</v>
      </c>
      <c r="CJ89" s="3" t="s">
        <v>112</v>
      </c>
      <c r="CK89" s="3">
        <f>_xlfn.XLOOKUP($B$2,'BASE DE EXCEL'!C:C,'BASE DE EXCEL'!D:D,"NO HAY REFERENCIA")</f>
        <v>470</v>
      </c>
      <c r="CL89" s="5">
        <f>_xlfn.XLOOKUP($B$2,'BASE DE EXCEL'!$C:$C,'BASE DE EXCEL'!F:F,"NO HAY REFERENCIA")</f>
        <v>3</v>
      </c>
      <c r="CM89" s="4">
        <f>_xlfn.XLOOKUP($B$2,'BASE DE EXCEL'!$C:$C,'BASE DE EXCEL'!G:G,"NO HAY REFERENCIA")</f>
        <v>46080</v>
      </c>
      <c r="CN89" s="4">
        <f>_xlfn.XLOOKUP($B$2,'BASE DE EXCEL'!$C:$C,'BASE DE EXCEL'!H:H,"NO HAY REFERENCIA")</f>
        <v>46086</v>
      </c>
      <c r="CO89" s="3">
        <f>_xlfn.XLOOKUP($B$2,'BASE DE EXCEL'!$C:$C,'BASE DE EXCEL'!I:I,"NO HAY REFERENCIA")</f>
        <v>4</v>
      </c>
      <c r="CP89" s="3" t="str">
        <f>_xlfn.XLOOKUP($B$2,'BASE DE EXCEL'!$C:$C,'BASE DE EXCEL'!J:J,"NO HAY REFERENCIA")</f>
        <v>4 a 5 días</v>
      </c>
      <c r="CQ89" s="4">
        <f>_xlfn.XLOOKUP($B$2,'BASE DE EXCEL'!$C:$C,'BASE DE EXCEL'!K:K,"NO HAY REFERENCIA")</f>
        <v>46087</v>
      </c>
      <c r="CR89" s="3">
        <f>_xlfn.XLOOKUP($B$2,'BASE DE EXCEL'!$C:$C,'BASE DE EXCEL'!L:L,"NO HAY REFERENCIA")</f>
        <v>5</v>
      </c>
      <c r="CS89" s="3">
        <f>_xlfn.XLOOKUP($B$2,'BASE DE EXCEL'!$C:$C,'BASE DE EXCEL'!M:M,"NO HAY REFERENCIA")</f>
        <v>6</v>
      </c>
      <c r="CT89" s="3" t="str">
        <f>_xlfn.XLOOKUP($B$2,'BASE DE EXCEL'!$C:$C,'BASE DE EXCEL'!N:N,"NO HAY REFERENCIA")</f>
        <v>6 a 10 días</v>
      </c>
      <c r="CU89" s="3" t="str">
        <f>_xlfn.XLOOKUP($B$2,'BASE DE EXCEL'!$C:$C,'BASE DE EXCEL'!O:O,"NO HAY REFERENCIA")</f>
        <v>On Time</v>
      </c>
      <c r="CV89" s="3" t="str">
        <f>_xlfn.XLOOKUP(B89,'BASE DE EXCEL'!$C:$C,'BASE DE EXCEL'!P:P,"NO HAY REFERENCIA")</f>
        <v>11 a 15 días</v>
      </c>
      <c r="CW89" s="4">
        <f>_xlfn.XLOOKUP(B89,'BASE DE EXCEL'!$C:$C,'BASE DE EXCEL'!Q:Q,"NO HAY REFERENCIA")</f>
        <v>46094</v>
      </c>
      <c r="CX89" s="3">
        <f>_xlfn.XLOOKUP(B89,'BASE DE EXCEL'!$C:$C,'BASE DE EXCEL'!R:R,"NO HAY REFERENCIA")</f>
        <v>14</v>
      </c>
      <c r="CY89" s="3" t="str">
        <f>_xlfn.XLOOKUP(B89,'BASE DE EXCEL'!$C:$C,'BASE DE EXCEL'!S:S,"NO HAY REFERENCIA")</f>
        <v>11 a 15 días</v>
      </c>
      <c r="CZ89" s="3" t="str">
        <f>_xlfn.XLOOKUP(B89,'BASE DE EXCEL'!$C:$C,'BASE DE EXCEL'!T:T,"NO HAY REFERENCIA")</f>
        <v>Delayed</v>
      </c>
      <c r="DA89" s="3">
        <f>_xlfn.XLOOKUP(B89,'BASE DE EXCEL'!$C:$C,'BASE DE EXCEL'!U:U,"NO HAY REFERENCIA")</f>
        <v>0</v>
      </c>
      <c r="DB89" s="3" t="str">
        <f>_xlfn.XLOOKUP(B89,'BASE DE EXCEL'!$C:$C,'BASE DE EXCEL'!V:V,"NO HAY REFERENCIA")</f>
        <v>Sin Dato</v>
      </c>
      <c r="DC89" s="3">
        <f>_xlfn.XLOOKUP(B89,'BASE DE EXCEL'!$C:$C,'BASE DE EXCEL'!W:W,"NO HAY REFERENCIA")</f>
        <v>20</v>
      </c>
      <c r="DD89" s="3" t="str">
        <f>_xlfn.XLOOKUP(B89,'BASE DE EXCEL'!$C:$C,'BASE DE EXCEL'!X:X,"NO HAY REFERENCIA")</f>
        <v>más de 16 días</v>
      </c>
      <c r="DE89" s="3">
        <f>_xlfn.XLOOKUP(B89,'BASE DE EXCEL'!$C:$C,'BASE DE EXCEL'!Y:Y,"NO HAY REFERENCIA")</f>
        <v>0</v>
      </c>
      <c r="DF89" s="3" t="str">
        <f>_xlfn.XLOOKUP(B89,'BASE DE EXCEL'!$C:$C,'BASE DE EXCEL'!Z:Z,"NO HAY REFERENCIA")</f>
        <v>1 día o menos</v>
      </c>
      <c r="DG89" s="3">
        <f>_xlfn.XLOOKUP(B89,'BASE DE EXCEL'!$C:$C,'BASE DE EXCEL'!AA:AA,"NO HAY REFERENCIA")</f>
        <v>14</v>
      </c>
      <c r="DH89" s="3">
        <f>_xlfn.XLOOKUP(B89,'BASE DE EXCEL'!$C:$C,'BASE DE EXCEL'!AB:AB,"NO HAY REFERENCIA")</f>
        <v>-46089</v>
      </c>
      <c r="DI89" s="3" t="str">
        <f>_xlfn.XLOOKUP(B89,'BASE DE EXCEL'!$C:$C,'BASE DE EXCEL'!AC:AC,"NO HAY REFERENCIA")</f>
        <v>SIN DATO</v>
      </c>
      <c r="DJ89" s="4">
        <f>_xlfn.XLOOKUP(B89,'BASE DE EXCEL'!$C:$C,'BASE DE EXCEL'!AD:AD,"NO HAY REFERENCIA")</f>
        <v>46105</v>
      </c>
      <c r="DK89" s="3">
        <f>_xlfn.XLOOKUP(B89,'BASE DE EXCEL'!$C:$C,'BASE DE EXCEL'!AE:AE,"NO HAY REFERENCIA")</f>
        <v>46102</v>
      </c>
      <c r="DL89" s="3">
        <f>_xlfn.XLOOKUP(B89,'BASE DE EXCEL'!$C:$C,'BASE DE EXCEL'!AF:AF,"NO HAY REFERENCIA")</f>
        <v>32931</v>
      </c>
      <c r="DM89" s="4">
        <f>_xlfn.XLOOKUP(B89,'BASE DE EXCEL'!$C:$C,'BASE DE EXCEL'!AG:AG,"NO HAY REFERENCIA")</f>
        <v>46104</v>
      </c>
      <c r="DN89" s="4">
        <f>_xlfn.XLOOKUP(B89,'BASE DE EXCEL'!$C:$C,'BASE DE EXCEL'!AH:AH,"NO HAY REFERENCIA")</f>
        <v>46105</v>
      </c>
      <c r="DO89" s="3">
        <f>_xlfn.XLOOKUP(B89,'BASE DE EXCEL'!$C:$C,'BASE DE EXCEL'!AI:AI,"NO HAY REFERENCIA")</f>
        <v>1</v>
      </c>
      <c r="DP89" s="4" t="str">
        <f>_xlfn.XLOOKUP(B89,'BASE DE EXCEL'!$C:$C,'BASE DE EXCEL'!AJ:AJ,"NO HAY REFERENCIA")</f>
        <v>SIN DATO</v>
      </c>
      <c r="DQ89" s="4">
        <f>_xlfn.XLOOKUP(B89,'BASE DE EXCEL'!$C:$C,'BASE DE EXCEL'!AK:AK,"NO HAY REFERENCIA")</f>
        <v>46105</v>
      </c>
      <c r="DR89" s="3">
        <f>_xlfn.XLOOKUP(B89,'BASE DE EXCEL'!$C:$C,'BASE DE EXCEL'!AL:AL,"NO HAY REFERENCIA")</f>
        <v>7</v>
      </c>
      <c r="DS89" s="3" t="str">
        <f>_xlfn.XLOOKUP(B89,'BASE DE EXCEL'!$C:$C,'BASE DE EXCEL'!AM:AM,"NO HAY REFERENCIA")</f>
        <v>6 a 10 días</v>
      </c>
      <c r="DT89" s="3" t="str">
        <f>_xlfn.XLOOKUP(B89,'BASE DE EXCEL'!$C:$C,'BASE DE EXCEL'!AN:AN,"NO HAY REFERENCIA")</f>
        <v>Delayed</v>
      </c>
      <c r="DU89" s="3">
        <f>_xlfn.XLOOKUP(B89,'BASE DE EXCEL'!$C:$C,'BASE DE EXCEL'!AO:AO,"NO HAY REFERENCIA")</f>
        <v>0</v>
      </c>
      <c r="DV89" s="3" t="str">
        <f>_xlfn.XLOOKUP(B89,'BASE DE EXCEL'!$C:$C,'BASE DE EXCEL'!AP:AP,"NO HAY REFERENCIA")</f>
        <v>Es anterior</v>
      </c>
      <c r="DW89" s="3" t="str">
        <f>_xlfn.XLOOKUP(B89,'BASE DE EXCEL'!$C:$C,'BASE DE EXCEL'!AQ:AQ,"NO HAY REFERENCIA")</f>
        <v>R1</v>
      </c>
      <c r="DX89" s="3" t="str">
        <f>_xlfn.XLOOKUP(B89,'BASE DE EXCEL'!$C:$C,'BASE DE EXCEL'!AR:AR,"NO HAY REFERENCIA")</f>
        <v>ZULEIMA PEREZ RUIZ</v>
      </c>
      <c r="DY89" s="3" t="str">
        <f>_xlfn.XLOOKUP(B89,'BASE DE EXCEL'!$C:$C,'BASE DE EXCEL'!AS:AS,"NO HAY REFERENCIA")</f>
        <v>HLCURTM260162366</v>
      </c>
      <c r="DZ89" s="3" t="str">
        <f>_xlfn.XLOOKUP(B89,'BASE DE EXCEL'!$C:$C,'BASE DE EXCEL'!AT:AT,"NO HAY REFERENCIA")</f>
        <v>NULL</v>
      </c>
      <c r="EA89" s="3">
        <f>_xlfn.XLOOKUP(B89,'BASE DE EXCEL'!$C:$C,'BASE DE EXCEL'!AU:AU,"NO HAY REFERENCIA")</f>
        <v>6000418</v>
      </c>
      <c r="EB89" s="3" t="str">
        <f>_xlfn.XLOOKUP(B89,'BASE DE EXCEL'!$C:$C,'BASE DE EXCEL'!AV:AV,"NO HAY REFERENCIA")</f>
        <v>Importación</v>
      </c>
      <c r="EC89" s="3" t="str">
        <f>_xlfn.XLOOKUP(B89,'BASE DE EXCEL'!$C:$C,'BASE DE EXCEL'!AW:AW,"NO HAY REFERENCIA")</f>
        <v>NOBILIS MA5+CLONE 30 (VACUNA DE USO VETERINARIO)</v>
      </c>
      <c r="ED89" s="3" t="str">
        <f>_xlfn.XLOOKUP(B89,'BASE DE EXCEL'!$C:$C,'BASE DE EXCEL'!AX:AX,"NO HAY REFERENCIA")</f>
        <v>SIN CLASIFICACION</v>
      </c>
      <c r="EE89" s="3">
        <f>_xlfn.XLOOKUP(B89,'BASE DE EXCEL'!$C:$C,'BASE DE EXCEL'!AY:AY,"NO HAY REFERENCIA")</f>
        <v>0</v>
      </c>
      <c r="EF89" s="3" t="str">
        <f>_xlfn.XLOOKUP(B89,'BASE DE EXCEL'!$C:$C,'BASE DE EXCEL'!AZ:AZ,"NO HAY REFERENCIA")</f>
        <v>Cargas de Importación</v>
      </c>
      <c r="EG89" s="3" t="str">
        <f>_xlfn.XLOOKUP(B89,'BASE DE EXCEL'!$C:$C,'BASE DE EXCEL'!BA:BA,"NO HAY REFERENCIA")</f>
        <v>INTERVET MEXICO SA DE CV</v>
      </c>
      <c r="EH89" s="3">
        <f>_xlfn.XLOOKUP(B89,'BASE DE EXCEL'!$C:$C,'BASE DE EXCEL'!BB:BB,"NO HAY REFERENCIA")</f>
        <v>0</v>
      </c>
      <c r="EI89" s="3">
        <f>_xlfn.XLOOKUP(B89,'BASE DE EXCEL'!$C:$C,'BASE DE EXCEL'!BC:BC,"NO HAY REFERENCIA")</f>
        <v>0</v>
      </c>
      <c r="EJ89" s="3">
        <f>_xlfn.XLOOKUP(B89,'BASE DE EXCEL'!$C:$C,'BASE DE EXCEL'!BD:BD,"NO HAY REFERENCIA")</f>
        <v>0</v>
      </c>
      <c r="EK89" s="3">
        <f>_xlfn.XLOOKUP(B89,'BASE DE EXCEL'!$C:$C,'BASE DE EXCEL'!BE:BE,"NO HAY REFERENCIA")</f>
        <v>0</v>
      </c>
      <c r="EL89" s="3">
        <f>_xlfn.XLOOKUP(B89,'BASE DE EXCEL'!$C:$C,'BASE DE EXCEL'!BF:BF,"NO HAY REFERENCIA")</f>
        <v>0</v>
      </c>
      <c r="EM89" s="3" t="str">
        <f>_xlfn.XLOOKUP(B89,'BASE DE EXCEL'!$C:$C,'BASE DE EXCEL'!BG:BG,"NO HAY REFERENCIA")</f>
        <v>Verde</v>
      </c>
      <c r="EN89" s="3" t="str">
        <f>_xlfn.XLOOKUP(B89,'BASE DE EXCEL'!$C:$C,'BASE DE EXCEL'!BH:BH,"NO HAY REFERENCIA")</f>
        <v>NULL</v>
      </c>
      <c r="EO89" s="3">
        <f>_xlfn.XLOOKUP(B89,'BASE DE EXCEL'!$C:$C,'BASE DE EXCEL'!BI:BI,"NO HAY REFERENCIA")</f>
        <v>0</v>
      </c>
      <c r="EP89" s="3">
        <f>_xlfn.XLOOKUP(B89,'BASE DE EXCEL'!$C:$C,'BASE DE EXCEL'!BJ:BJ,"NO HAY REFERENCIA")</f>
        <v>0</v>
      </c>
      <c r="EQ89" s="3" t="str">
        <f>_xlfn.XLOOKUP(B89,'BASE DE EXCEL'!$C:$C,'BASE DE EXCEL'!BK:BK,"NO HAY REFERENCIA")</f>
        <v>IME850329RH2</v>
      </c>
      <c r="ER89" s="3">
        <f>_xlfn.XLOOKUP(B89,'BASE DE EXCEL'!$C:$C,'BASE DE EXCEL'!BL:BL,"NO HAY REFERENCIA")</f>
        <v>0</v>
      </c>
      <c r="ES89" s="3" t="str">
        <f>_xlfn.XLOOKUP(B89,'BASE DE EXCEL'!$C:$C,'BASE DE EXCEL'!BM:BM,"NO HAY REFERENCIA")</f>
        <v>00,99</v>
      </c>
      <c r="ET89" s="3" t="str">
        <f>_xlfn.XLOOKUP(B89,'BASE DE EXCEL'!$C:$C,'BASE DE EXCEL'!BN:BN,"NO HAY REFERENCIA")</f>
        <v>LOTE: SCBA207A11,LOTE: A053A01,LOTE: A224A01,LOTE: A142A01,LOTE: A247B01,LOTE: A436A02,LOTE: A198A02,LOTE: A489D01,LOTE: A061A01</v>
      </c>
      <c r="EU89" s="3">
        <f>_xlfn.XLOOKUP(B89,'BASE DE EXCEL'!$C:$C,'BASE DE EXCEL'!BO:BO,"NO HAY REFERENCIA")</f>
        <v>90</v>
      </c>
      <c r="EV89" s="3" t="str">
        <f>_xlfn.XLOOKUP(B89,'BASE DE EXCEL'!$C:$C,'BASE DE EXCEL'!BP:BP,"NO HAY REFERENCIA")</f>
        <v xml:space="preserve"> 321379.32, 13019554.91, 1145829.89, 3079396.80</v>
      </c>
      <c r="EW89" s="3" t="str">
        <f>_xlfn.XLOOKUP(B89,'BASE DE EXCEL'!$C:$C,'BASE DE EXCEL'!BQ:BQ,"NO HAY REFERENCIA")</f>
        <v>KILO,KILO,KILO,KILO,KILO,KILO,KILO,KILO,KILO</v>
      </c>
      <c r="EX89" s="3">
        <f>_xlfn.XLOOKUP(B89,'BASE DE EXCEL'!$C:$C,'BASE DE EXCEL'!BR:BR,"NO HAY REFERENCIA")</f>
        <v>0</v>
      </c>
      <c r="EY89" s="3" t="str">
        <f>_xlfn.XLOOKUP(B89,'BASE DE EXCEL'!$C:$C,'BASE DE EXCEL'!BS:BS,"NO HAY REFERENCIA")</f>
        <v>PAISES BAJOS (REINO DE LOS) (HOLANDA)</v>
      </c>
      <c r="EZ89" s="3" t="str">
        <f>_xlfn.XLOOKUP(B89,'BASE DE EXCEL'!$C:$C,'BASE DE EXCEL'!BT:BT,"NO HAY REFERENCIA")</f>
        <v>PAISES BAJOS (REINO DE LOS) (HOLANDA)</v>
      </c>
      <c r="FA89" s="3" t="str">
        <f>_xlfn.XLOOKUP(B89,'BASE DE EXCEL'!$C:$C,'BASE DE EXCEL'!BU:BU,"NO HAY REFERENCIA")</f>
        <v>ZYA</v>
      </c>
      <c r="FB89" s="3" t="str">
        <f>_xlfn.XLOOKUP(B89,'BASE DE EXCEL'!$C:$C,'BASE DE EXCEL'!BV:BV,"NO HAY REFERENCIA")</f>
        <v>ZYA</v>
      </c>
      <c r="FC89" s="3">
        <f>_xlfn.XLOOKUP(B89,QUERY!$C:$C,QUERY!D:D)</f>
        <v>430</v>
      </c>
      <c r="FD89" s="4">
        <f>_xlfn.XLOOKUP(B89,QUERY!$C:$C,QUERY!E:E)</f>
        <v>46091</v>
      </c>
      <c r="FE89" s="3">
        <f>_xlfn.XLOOKUP(B89,QUERY!$C:$C,QUERY!F:F)</f>
        <v>3</v>
      </c>
      <c r="FF89" s="4">
        <f>_xlfn.XLOOKUP(B89,QUERY!$C:$C,QUERY!G:G)</f>
        <v>46077</v>
      </c>
      <c r="FG89" s="4">
        <f>_xlfn.XLOOKUP(B89,QUERY!$C:$C,QUERY!H:H)</f>
        <v>46091</v>
      </c>
      <c r="FH89" s="3">
        <f>_xlfn.XLOOKUP(B89,QUERY!$C:$C,QUERY!I:I)</f>
        <v>10</v>
      </c>
      <c r="FI89" s="3" t="str">
        <f>_xlfn.XLOOKUP(B89,QUERY!$C:$C,QUERY!J:J)</f>
        <v>6 a 10 días</v>
      </c>
      <c r="FJ89" s="4">
        <f>_xlfn.XLOOKUP(B89,QUERY!$C:$C,QUERY!K:K)</f>
        <v>46091</v>
      </c>
      <c r="FK89" s="3">
        <f>_xlfn.XLOOKUP(B89,QUERY!$C:$C,QUERY!L:L)</f>
        <v>10</v>
      </c>
      <c r="FL89" s="3" t="str">
        <f>_xlfn.XLOOKUP(B89,QUERY!$C:$C,QUERY!M:M)</f>
        <v>6 a 10 días</v>
      </c>
      <c r="FM89" s="3">
        <f>_xlfn.XLOOKUP(B89,QUERY!$C:$C,QUERY!N:N)</f>
        <v>0</v>
      </c>
      <c r="FN89" s="3" t="str">
        <f>_xlfn.XLOOKUP(B89,QUERY!$C:$C,QUERY!O:O)</f>
        <v>1 día o menos</v>
      </c>
      <c r="FO89" s="3">
        <f>_xlfn.XLOOKUP(B89,QUERY!$C:$C,QUERY!P:P)</f>
        <v>0</v>
      </c>
      <c r="FP89" s="3">
        <f>_xlfn.XLOOKUP(B89,QUERY!$C:$C,QUERY!Q:Q)</f>
        <v>0</v>
      </c>
      <c r="FQ89" s="3" t="str">
        <f>_xlfn.XLOOKUP(B89,QUERY!$C:$C,QUERY!R:R)</f>
        <v>1 día o menos</v>
      </c>
      <c r="FR89" s="4">
        <f>_xlfn.XLOOKUP(B89,QUERY!$C:$C,QUERY!S:S)</f>
        <v>46091</v>
      </c>
      <c r="FS89" s="3">
        <f>_xlfn.XLOOKUP(B89,QUERY!$C:$C,QUERY!T:T)</f>
        <v>10</v>
      </c>
      <c r="FT89" s="3" t="str">
        <f>_xlfn.XLOOKUP(B89,QUERY!$C:$C,QUERY!U:U)</f>
        <v>6 a 10 días</v>
      </c>
      <c r="FU89" s="3">
        <f>_xlfn.XLOOKUP(B89,QUERY!$C:$C,QUERY!V:V)</f>
        <v>20</v>
      </c>
      <c r="FV89" s="3" t="str">
        <f>_xlfn.XLOOKUP(B89,QUERY!$C:$C,QUERY!W:W)</f>
        <v>más de 16 días</v>
      </c>
      <c r="FW89" s="4">
        <f>_xlfn.XLOOKUP(B89,QUERY!$C:$C,QUERY!X:X)</f>
        <v>46105</v>
      </c>
      <c r="FX89" s="3">
        <f>_xlfn.XLOOKUP(B89,QUERY!$C:$C,QUERY!Y:Y)</f>
        <v>9</v>
      </c>
      <c r="FY89" s="3">
        <f>_xlfn.XLOOKUP(B89,QUERY!$C:$C,QUERY!Z:Z)</f>
        <v>10</v>
      </c>
      <c r="FZ89" s="4" t="str">
        <f>_xlfn.XLOOKUP(B89,QUERY!$C:$C,QUERY!AA:AA)</f>
        <v>11 a 15 días</v>
      </c>
      <c r="GA89" s="4">
        <f>_xlfn.XLOOKUP(B89,QUERY!$C:$C,QUERY!AB:AB)</f>
        <v>46104</v>
      </c>
      <c r="GB89" s="4">
        <f>_xlfn.XLOOKUP(B89,QUERY!$C:$C,QUERY!AC:AC)</f>
        <v>46105</v>
      </c>
      <c r="GC89" s="3">
        <f>_xlfn.XLOOKUP(B89,QUERY!$C:$C,QUERY!AD:AD)</f>
        <v>1</v>
      </c>
      <c r="GD89" s="4">
        <f>_xlfn.XLOOKUP(B89,QUERY!$C:$C,QUERY!AE:AE)</f>
        <v>46105</v>
      </c>
      <c r="GE89" s="3">
        <f>_xlfn.XLOOKUP(B89,QUERY!$C:$C,QUERY!AF:AF)</f>
        <v>1</v>
      </c>
      <c r="GF89" s="4" t="str">
        <f>_xlfn.XLOOKUP(B89,QUERY!$C:$C,QUERY!AG:AG)</f>
        <v>Es anterior</v>
      </c>
      <c r="GG89" s="3" t="str">
        <f>_xlfn.XLOOKUP(B89,QUERY!$C:$C,QUERY!AH:AH)</f>
        <v>R1</v>
      </c>
      <c r="GH89" s="3" t="str">
        <f>_xlfn.XLOOKUP(B89,QUERY!$C:$C,QUERY!AI:AI)</f>
        <v>ZULEIMA PEREZ RUIZ</v>
      </c>
      <c r="GI89" s="3" t="str">
        <f>_xlfn.XLOOKUP(B89,QUERY!$C:$C,QUERY!AJ:AJ)</f>
        <v>HLCURTM260162366</v>
      </c>
      <c r="GJ89" s="3" t="str">
        <f>_xlfn.XLOOKUP(B89,QUERY!$C:$C,QUERY!AK:AK)</f>
        <v>NULL</v>
      </c>
      <c r="GK89" s="3">
        <f>_xlfn.XLOOKUP(B89,QUERY!$C:$C,QUERY!AL:AL)</f>
        <v>6000418</v>
      </c>
      <c r="GL89" s="3" t="str">
        <f>_xlfn.XLOOKUP(B89,QUERY!$C:$C,QUERY!AM:AM)</f>
        <v>Importación</v>
      </c>
      <c r="GM89" s="3" t="str">
        <f>_xlfn.XLOOKUP(B89,QUERY!$C:$C,QUERY!AN:AN)</f>
        <v>NOBILIS MA5+CLONE 30 (VACUNA DE USO VETERINARIO)</v>
      </c>
      <c r="GN89" s="3" t="str">
        <f>_xlfn.XLOOKUP(B89,QUERY!$C:$C,QUERY!AO:AO)</f>
        <v>SIN CLASIFICACION</v>
      </c>
      <c r="GO89" s="3">
        <f>_xlfn.XLOOKUP(B89,QUERY!$C:$C,QUERY!AP:AP)</f>
        <v>0</v>
      </c>
      <c r="GP89" s="3" t="str">
        <f>_xlfn.XLOOKUP(B89,QUERY!$C:$C,QUERY!AQ:AQ)</f>
        <v>Cargas de Importación</v>
      </c>
      <c r="GQ89" s="3" t="str">
        <f>_xlfn.XLOOKUP(B89,QUERY!$C:$C,QUERY!AR:AR)</f>
        <v>INTERVET MEXICO SA DE CV</v>
      </c>
      <c r="GR89" s="3">
        <f>_xlfn.XLOOKUP(B89,QUERY!$C:$C,QUERY!AS:AS)</f>
        <v>0</v>
      </c>
      <c r="GS89" s="3">
        <f>_xlfn.XLOOKUP(B89,QUERY!$C:$C,QUERY!AT:AT)</f>
        <v>0</v>
      </c>
      <c r="GT89" s="3">
        <f>_xlfn.XLOOKUP(B89,QUERY!$C:$C,QUERY!AU:AU)</f>
        <v>0</v>
      </c>
      <c r="GU89" s="3">
        <f>_xlfn.XLOOKUP(B89,QUERY!$C:$C,QUERY!AV:AV)</f>
        <v>0</v>
      </c>
      <c r="GV89" s="3">
        <f>_xlfn.XLOOKUP(B89,QUERY!$C:$C,QUERY!AW:AW)</f>
        <v>0</v>
      </c>
      <c r="GW89" s="3" t="str">
        <f>_xlfn.XLOOKUP(B89,QUERY!$C:$C,QUERY!AX:AX)</f>
        <v>Verde</v>
      </c>
      <c r="GX89" s="3" t="str">
        <f>_xlfn.XLOOKUP(B89,QUERY!$C:$C,QUERY!AY:AY)</f>
        <v>NULL</v>
      </c>
      <c r="GY89" s="3">
        <f>_xlfn.XLOOKUP(B89,QUERY!$C:$C,QUERY!AZ:AZ)</f>
        <v>0</v>
      </c>
      <c r="GZ89" s="3">
        <f>_xlfn.XLOOKUP(B89,QUERY!$C:$C,QUERY!BA:BA)</f>
        <v>0</v>
      </c>
      <c r="HA89" s="3" t="str">
        <f>_xlfn.XLOOKUP(B89,QUERY!$C:$C,QUERY!BB:BB)</f>
        <v>IME850329RH2</v>
      </c>
      <c r="HB89" s="3">
        <f>_xlfn.XLOOKUP(B89,QUERY!$C:$C,QUERY!BC:BC)</f>
        <v>0</v>
      </c>
      <c r="HC89" s="3">
        <f>_xlfn.XLOOKUP(B89,QUERY!$C:$C,QUERY!BD:BD)</f>
        <v>0.99</v>
      </c>
      <c r="HD89" s="3" t="str">
        <f>_xlfn.XLOOKUP(B89,QUERY!$C:$C,QUERY!BE:BE)</f>
        <v>LOTE: SCBA207A11,LOTE: A053A01,LOTE: A224A01,LOTE: A142A01,LOTE: A247B01,LOTE: A436A02,LOTE: A198A02,LOTE: A489D01,LOTE: A061A01</v>
      </c>
      <c r="HE89" s="3">
        <f>_xlfn.XLOOKUP(B89,QUERY!$C:$C,QUERY!BF:BF)</f>
        <v>90</v>
      </c>
      <c r="HF89" s="3" t="str">
        <f>_xlfn.XLOOKUP(B89,QUERY!$C:$C,QUERY!BG:BG)</f>
        <v xml:space="preserve"> 321379.32, 13019554.91, 1145829.89, 3079396.80</v>
      </c>
      <c r="HG89" s="3" t="str">
        <f>_xlfn.XLOOKUP(B89,QUERY!$C:$C,QUERY!BH:BH)</f>
        <v>KILO,KILO,KILO,KILO,KILO,KILO,KILO,KILO,KILO</v>
      </c>
      <c r="HH89" s="3">
        <f>_xlfn.XLOOKUP(B89,QUERY!$C:$C,QUERY!BI:BI)</f>
        <v>0</v>
      </c>
      <c r="HI89" s="3" t="str">
        <f>_xlfn.XLOOKUP(B89,QUERY!$C:$C,QUERY!BJ:BJ)</f>
        <v>PAISES BAJOS (REINO DE LOS) (HOLANDA)</v>
      </c>
      <c r="HJ89" s="3" t="str">
        <f>_xlfn.XLOOKUP(B89,QUERY!$C:$C,QUERY!BK:BK)</f>
        <v>PAISES BAJOS (REINO DE LOS) (HOLANDA)</v>
      </c>
      <c r="HK89" s="3" t="str">
        <f>_xlfn.XLOOKUP(B89,QUERY!$C:$C,QUERY!BL:BL)</f>
        <v>ZYA</v>
      </c>
      <c r="HL89" s="3" t="str">
        <f>_xlfn.XLOOKUP(B89,QUERY!$C:$C,QUERY!BM:BM)</f>
        <v>ZYA</v>
      </c>
      <c r="HM89" s="3">
        <f>_xlfn.XLOOKUP(B89,QUERY!$C:$C,QUERY!BN:BN)</f>
        <v>17566160</v>
      </c>
      <c r="HN89" s="3" t="str">
        <f>_xlfn.XLOOKUP(B89,QUERY!$C:$C,QUERY!BO:BO)</f>
        <v>444.00</v>
      </c>
      <c r="HO89" s="3" t="str">
        <f>_xlfn.XLOOKUP(B89,QUERY!$C:$C,QUERY!BP:BP)</f>
        <v>NULL</v>
      </c>
      <c r="HP89" s="3" t="str">
        <f>_xlfn.XLOOKUP(B89,QUERY!$C:$C,QUERY!BQ:BQ)</f>
        <v>NULL</v>
      </c>
      <c r="HQ89" s="3" t="str">
        <f>_xlfn.XLOOKUP(B89,QUERY!$C:$C,QUERY!BR:BR)</f>
        <v>250436.84</v>
      </c>
      <c r="HR89" s="3">
        <f>_xlfn.XLOOKUP(B89,QUERY!$C:$C,QUERY!BS:BS)</f>
        <v>0</v>
      </c>
      <c r="HS89" s="3">
        <f>_xlfn.XLOOKUP(B89,QUERY!$C:$C,QUERY!BT:BT)</f>
        <v>0</v>
      </c>
      <c r="HT89" s="3" t="str">
        <f>_xlfn.XLOOKUP(B89,QUERY!$C:$C,QUERY!A:A)</f>
        <v>VERACRUZ</v>
      </c>
      <c r="HU89" s="3" t="str">
        <f>_xlfn.XLOOKUP(B89,QUERY!$C:$C,QUERY!B:B)</f>
        <v>MARÍTIMO VERACRUZ</v>
      </c>
    </row>
    <row r="90" spans="1:229" x14ac:dyDescent="0.25">
      <c r="A90" s="3" t="s">
        <v>90</v>
      </c>
      <c r="B90" s="3" t="s">
        <v>343</v>
      </c>
      <c r="C90" s="3">
        <v>3942</v>
      </c>
      <c r="D90" s="3">
        <v>6000418</v>
      </c>
      <c r="E90" s="3">
        <v>6000303</v>
      </c>
      <c r="F90" s="3" t="s">
        <v>92</v>
      </c>
      <c r="G90" s="3" t="s">
        <v>342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430</v>
      </c>
      <c r="S90" s="3" t="s">
        <v>258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 t="s">
        <v>218</v>
      </c>
      <c r="AB90" s="3"/>
      <c r="AC90" s="3">
        <v>1296641</v>
      </c>
      <c r="AD90" s="3">
        <v>1029.08016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/>
      <c r="AP90" s="3" t="s">
        <v>98</v>
      </c>
      <c r="AQ90" s="3">
        <v>210365022</v>
      </c>
      <c r="AR90" s="3" t="s">
        <v>99</v>
      </c>
      <c r="AS90" s="3" t="s">
        <v>100</v>
      </c>
      <c r="AT90" s="3">
        <v>0</v>
      </c>
      <c r="AU90" s="3">
        <v>0</v>
      </c>
      <c r="AV90" s="3">
        <v>0</v>
      </c>
      <c r="AW90" s="3">
        <v>30024201</v>
      </c>
      <c r="AX90" s="3">
        <v>99</v>
      </c>
      <c r="AY90" s="3">
        <v>1260</v>
      </c>
      <c r="AZ90" s="3">
        <v>1260</v>
      </c>
      <c r="BA90" s="3" t="s">
        <v>103</v>
      </c>
      <c r="BB90" s="3"/>
      <c r="BC90" s="3" t="s">
        <v>105</v>
      </c>
      <c r="BD90" s="3" t="s">
        <v>105</v>
      </c>
      <c r="BE90" s="3"/>
      <c r="BF90" s="3"/>
      <c r="BG90" s="5"/>
      <c r="BH90" s="3"/>
      <c r="BI90" s="3"/>
      <c r="BJ90" s="3"/>
      <c r="BK90" s="3" t="s">
        <v>345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 t="s">
        <v>192</v>
      </c>
      <c r="CF90" s="3">
        <v>0</v>
      </c>
      <c r="CG90" s="3">
        <v>0</v>
      </c>
      <c r="CH90" s="3">
        <v>0</v>
      </c>
      <c r="CI90" s="3" t="s">
        <v>112</v>
      </c>
      <c r="CJ90" s="3" t="s">
        <v>112</v>
      </c>
      <c r="CK90" s="3">
        <f>_xlfn.XLOOKUP($B$2,'BASE DE EXCEL'!C:C,'BASE DE EXCEL'!D:D,"NO HAY REFERENCIA")</f>
        <v>470</v>
      </c>
      <c r="CL90" s="5">
        <f>_xlfn.XLOOKUP($B$2,'BASE DE EXCEL'!$C:$C,'BASE DE EXCEL'!F:F,"NO HAY REFERENCIA")</f>
        <v>3</v>
      </c>
      <c r="CM90" s="4">
        <f>_xlfn.XLOOKUP($B$2,'BASE DE EXCEL'!$C:$C,'BASE DE EXCEL'!G:G,"NO HAY REFERENCIA")</f>
        <v>46080</v>
      </c>
      <c r="CN90" s="4">
        <f>_xlfn.XLOOKUP($B$2,'BASE DE EXCEL'!$C:$C,'BASE DE EXCEL'!H:H,"NO HAY REFERENCIA")</f>
        <v>46086</v>
      </c>
      <c r="CO90" s="3">
        <f>_xlfn.XLOOKUP($B$2,'BASE DE EXCEL'!$C:$C,'BASE DE EXCEL'!I:I,"NO HAY REFERENCIA")</f>
        <v>4</v>
      </c>
      <c r="CP90" s="3" t="str">
        <f>_xlfn.XLOOKUP($B$2,'BASE DE EXCEL'!$C:$C,'BASE DE EXCEL'!J:J,"NO HAY REFERENCIA")</f>
        <v>4 a 5 días</v>
      </c>
      <c r="CQ90" s="4">
        <f>_xlfn.XLOOKUP($B$2,'BASE DE EXCEL'!$C:$C,'BASE DE EXCEL'!K:K,"NO HAY REFERENCIA")</f>
        <v>46087</v>
      </c>
      <c r="CR90" s="3">
        <f>_xlfn.XLOOKUP($B$2,'BASE DE EXCEL'!$C:$C,'BASE DE EXCEL'!L:L,"NO HAY REFERENCIA")</f>
        <v>5</v>
      </c>
      <c r="CS90" s="3">
        <f>_xlfn.XLOOKUP($B$2,'BASE DE EXCEL'!$C:$C,'BASE DE EXCEL'!M:M,"NO HAY REFERENCIA")</f>
        <v>6</v>
      </c>
      <c r="CT90" s="3" t="str">
        <f>_xlfn.XLOOKUP($B$2,'BASE DE EXCEL'!$C:$C,'BASE DE EXCEL'!N:N,"NO HAY REFERENCIA")</f>
        <v>6 a 10 días</v>
      </c>
      <c r="CU90" s="3" t="str">
        <f>_xlfn.XLOOKUP($B$2,'BASE DE EXCEL'!$C:$C,'BASE DE EXCEL'!O:O,"NO HAY REFERENCIA")</f>
        <v>On Time</v>
      </c>
      <c r="CV90" s="3" t="str">
        <f>_xlfn.XLOOKUP(B90,'BASE DE EXCEL'!$C:$C,'BASE DE EXCEL'!P:P,"NO HAY REFERENCIA")</f>
        <v>11 a 15 días</v>
      </c>
      <c r="CW90" s="4">
        <f>_xlfn.XLOOKUP(B90,'BASE DE EXCEL'!$C:$C,'BASE DE EXCEL'!Q:Q,"NO HAY REFERENCIA")</f>
        <v>46094</v>
      </c>
      <c r="CX90" s="3">
        <f>_xlfn.XLOOKUP(B90,'BASE DE EXCEL'!$C:$C,'BASE DE EXCEL'!R:R,"NO HAY REFERENCIA")</f>
        <v>14</v>
      </c>
      <c r="CY90" s="3" t="str">
        <f>_xlfn.XLOOKUP(B90,'BASE DE EXCEL'!$C:$C,'BASE DE EXCEL'!S:S,"NO HAY REFERENCIA")</f>
        <v>11 a 15 días</v>
      </c>
      <c r="CZ90" s="3" t="str">
        <f>_xlfn.XLOOKUP(B90,'BASE DE EXCEL'!$C:$C,'BASE DE EXCEL'!T:T,"NO HAY REFERENCIA")</f>
        <v>Delayed</v>
      </c>
      <c r="DA90" s="3">
        <f>_xlfn.XLOOKUP(B90,'BASE DE EXCEL'!$C:$C,'BASE DE EXCEL'!U:U,"NO HAY REFERENCIA")</f>
        <v>0</v>
      </c>
      <c r="DB90" s="3" t="str">
        <f>_xlfn.XLOOKUP(B90,'BASE DE EXCEL'!$C:$C,'BASE DE EXCEL'!V:V,"NO HAY REFERENCIA")</f>
        <v>Sin Dato</v>
      </c>
      <c r="DC90" s="3">
        <f>_xlfn.XLOOKUP(B90,'BASE DE EXCEL'!$C:$C,'BASE DE EXCEL'!W:W,"NO HAY REFERENCIA")</f>
        <v>20</v>
      </c>
      <c r="DD90" s="3" t="str">
        <f>_xlfn.XLOOKUP(B90,'BASE DE EXCEL'!$C:$C,'BASE DE EXCEL'!X:X,"NO HAY REFERENCIA")</f>
        <v>más de 16 días</v>
      </c>
      <c r="DE90" s="3">
        <f>_xlfn.XLOOKUP(B90,'BASE DE EXCEL'!$C:$C,'BASE DE EXCEL'!Y:Y,"NO HAY REFERENCIA")</f>
        <v>0</v>
      </c>
      <c r="DF90" s="3" t="str">
        <f>_xlfn.XLOOKUP(B90,'BASE DE EXCEL'!$C:$C,'BASE DE EXCEL'!Z:Z,"NO HAY REFERENCIA")</f>
        <v>1 día o menos</v>
      </c>
      <c r="DG90" s="3">
        <f>_xlfn.XLOOKUP(B90,'BASE DE EXCEL'!$C:$C,'BASE DE EXCEL'!AA:AA,"NO HAY REFERENCIA")</f>
        <v>14</v>
      </c>
      <c r="DH90" s="3">
        <f>_xlfn.XLOOKUP(B90,'BASE DE EXCEL'!$C:$C,'BASE DE EXCEL'!AB:AB,"NO HAY REFERENCIA")</f>
        <v>-46089</v>
      </c>
      <c r="DI90" s="3" t="str">
        <f>_xlfn.XLOOKUP(B90,'BASE DE EXCEL'!$C:$C,'BASE DE EXCEL'!AC:AC,"NO HAY REFERENCIA")</f>
        <v>SIN DATO</v>
      </c>
      <c r="DJ90" s="4">
        <f>_xlfn.XLOOKUP(B90,'BASE DE EXCEL'!$C:$C,'BASE DE EXCEL'!AD:AD,"NO HAY REFERENCIA")</f>
        <v>46105</v>
      </c>
      <c r="DK90" s="3">
        <f>_xlfn.XLOOKUP(B90,'BASE DE EXCEL'!$C:$C,'BASE DE EXCEL'!AE:AE,"NO HAY REFERENCIA")</f>
        <v>46102</v>
      </c>
      <c r="DL90" s="3">
        <f>_xlfn.XLOOKUP(B90,'BASE DE EXCEL'!$C:$C,'BASE DE EXCEL'!AF:AF,"NO HAY REFERENCIA")</f>
        <v>32931</v>
      </c>
      <c r="DM90" s="4">
        <f>_xlfn.XLOOKUP(B90,'BASE DE EXCEL'!$C:$C,'BASE DE EXCEL'!AG:AG,"NO HAY REFERENCIA")</f>
        <v>46104</v>
      </c>
      <c r="DN90" s="4">
        <f>_xlfn.XLOOKUP(B90,'BASE DE EXCEL'!$C:$C,'BASE DE EXCEL'!AH:AH,"NO HAY REFERENCIA")</f>
        <v>46105</v>
      </c>
      <c r="DO90" s="3">
        <f>_xlfn.XLOOKUP(B90,'BASE DE EXCEL'!$C:$C,'BASE DE EXCEL'!AI:AI,"NO HAY REFERENCIA")</f>
        <v>1</v>
      </c>
      <c r="DP90" s="4" t="str">
        <f>_xlfn.XLOOKUP(B90,'BASE DE EXCEL'!$C:$C,'BASE DE EXCEL'!AJ:AJ,"NO HAY REFERENCIA")</f>
        <v>SIN DATO</v>
      </c>
      <c r="DQ90" s="4">
        <f>_xlfn.XLOOKUP(B90,'BASE DE EXCEL'!$C:$C,'BASE DE EXCEL'!AK:AK,"NO HAY REFERENCIA")</f>
        <v>46105</v>
      </c>
      <c r="DR90" s="3">
        <f>_xlfn.XLOOKUP(B90,'BASE DE EXCEL'!$C:$C,'BASE DE EXCEL'!AL:AL,"NO HAY REFERENCIA")</f>
        <v>7</v>
      </c>
      <c r="DS90" s="3" t="str">
        <f>_xlfn.XLOOKUP(B90,'BASE DE EXCEL'!$C:$C,'BASE DE EXCEL'!AM:AM,"NO HAY REFERENCIA")</f>
        <v>6 a 10 días</v>
      </c>
      <c r="DT90" s="3" t="str">
        <f>_xlfn.XLOOKUP(B90,'BASE DE EXCEL'!$C:$C,'BASE DE EXCEL'!AN:AN,"NO HAY REFERENCIA")</f>
        <v>Delayed</v>
      </c>
      <c r="DU90" s="3">
        <f>_xlfn.XLOOKUP(B90,'BASE DE EXCEL'!$C:$C,'BASE DE EXCEL'!AO:AO,"NO HAY REFERENCIA")</f>
        <v>0</v>
      </c>
      <c r="DV90" s="3" t="str">
        <f>_xlfn.XLOOKUP(B90,'BASE DE EXCEL'!$C:$C,'BASE DE EXCEL'!AP:AP,"NO HAY REFERENCIA")</f>
        <v>Es anterior</v>
      </c>
      <c r="DW90" s="3" t="str">
        <f>_xlfn.XLOOKUP(B90,'BASE DE EXCEL'!$C:$C,'BASE DE EXCEL'!AQ:AQ,"NO HAY REFERENCIA")</f>
        <v>R1</v>
      </c>
      <c r="DX90" s="3" t="str">
        <f>_xlfn.XLOOKUP(B90,'BASE DE EXCEL'!$C:$C,'BASE DE EXCEL'!AR:AR,"NO HAY REFERENCIA")</f>
        <v>ZULEIMA PEREZ RUIZ</v>
      </c>
      <c r="DY90" s="3" t="str">
        <f>_xlfn.XLOOKUP(B90,'BASE DE EXCEL'!$C:$C,'BASE DE EXCEL'!AS:AS,"NO HAY REFERENCIA")</f>
        <v>HLCURTM260162366</v>
      </c>
      <c r="DZ90" s="3" t="str">
        <f>_xlfn.XLOOKUP(B90,'BASE DE EXCEL'!$C:$C,'BASE DE EXCEL'!AT:AT,"NO HAY REFERENCIA")</f>
        <v>NULL</v>
      </c>
      <c r="EA90" s="3">
        <f>_xlfn.XLOOKUP(B90,'BASE DE EXCEL'!$C:$C,'BASE DE EXCEL'!AU:AU,"NO HAY REFERENCIA")</f>
        <v>6000418</v>
      </c>
      <c r="EB90" s="3" t="str">
        <f>_xlfn.XLOOKUP(B90,'BASE DE EXCEL'!$C:$C,'BASE DE EXCEL'!AV:AV,"NO HAY REFERENCIA")</f>
        <v>Importación</v>
      </c>
      <c r="EC90" s="3" t="str">
        <f>_xlfn.XLOOKUP(B90,'BASE DE EXCEL'!$C:$C,'BASE DE EXCEL'!AW:AW,"NO HAY REFERENCIA")</f>
        <v>NOBILIS MA5+CLONE 30 (VACUNA DE USO VETERINARIO)</v>
      </c>
      <c r="ED90" s="3" t="str">
        <f>_xlfn.XLOOKUP(B90,'BASE DE EXCEL'!$C:$C,'BASE DE EXCEL'!AX:AX,"NO HAY REFERENCIA")</f>
        <v>SIN CLASIFICACION</v>
      </c>
      <c r="EE90" s="3">
        <f>_xlfn.XLOOKUP(B90,'BASE DE EXCEL'!$C:$C,'BASE DE EXCEL'!AY:AY,"NO HAY REFERENCIA")</f>
        <v>0</v>
      </c>
      <c r="EF90" s="3" t="str">
        <f>_xlfn.XLOOKUP(B90,'BASE DE EXCEL'!$C:$C,'BASE DE EXCEL'!AZ:AZ,"NO HAY REFERENCIA")</f>
        <v>Cargas de Importación</v>
      </c>
      <c r="EG90" s="3" t="str">
        <f>_xlfn.XLOOKUP(B90,'BASE DE EXCEL'!$C:$C,'BASE DE EXCEL'!BA:BA,"NO HAY REFERENCIA")</f>
        <v>INTERVET MEXICO SA DE CV</v>
      </c>
      <c r="EH90" s="3">
        <f>_xlfn.XLOOKUP(B90,'BASE DE EXCEL'!$C:$C,'BASE DE EXCEL'!BB:BB,"NO HAY REFERENCIA")</f>
        <v>0</v>
      </c>
      <c r="EI90" s="3">
        <f>_xlfn.XLOOKUP(B90,'BASE DE EXCEL'!$C:$C,'BASE DE EXCEL'!BC:BC,"NO HAY REFERENCIA")</f>
        <v>0</v>
      </c>
      <c r="EJ90" s="3">
        <f>_xlfn.XLOOKUP(B90,'BASE DE EXCEL'!$C:$C,'BASE DE EXCEL'!BD:BD,"NO HAY REFERENCIA")</f>
        <v>0</v>
      </c>
      <c r="EK90" s="3">
        <f>_xlfn.XLOOKUP(B90,'BASE DE EXCEL'!$C:$C,'BASE DE EXCEL'!BE:BE,"NO HAY REFERENCIA")</f>
        <v>0</v>
      </c>
      <c r="EL90" s="3">
        <f>_xlfn.XLOOKUP(B90,'BASE DE EXCEL'!$C:$C,'BASE DE EXCEL'!BF:BF,"NO HAY REFERENCIA")</f>
        <v>0</v>
      </c>
      <c r="EM90" s="3" t="str">
        <f>_xlfn.XLOOKUP(B90,'BASE DE EXCEL'!$C:$C,'BASE DE EXCEL'!BG:BG,"NO HAY REFERENCIA")</f>
        <v>Verde</v>
      </c>
      <c r="EN90" s="3" t="str">
        <f>_xlfn.XLOOKUP(B90,'BASE DE EXCEL'!$C:$C,'BASE DE EXCEL'!BH:BH,"NO HAY REFERENCIA")</f>
        <v>NULL</v>
      </c>
      <c r="EO90" s="3">
        <f>_xlfn.XLOOKUP(B90,'BASE DE EXCEL'!$C:$C,'BASE DE EXCEL'!BI:BI,"NO HAY REFERENCIA")</f>
        <v>0</v>
      </c>
      <c r="EP90" s="3">
        <f>_xlfn.XLOOKUP(B90,'BASE DE EXCEL'!$C:$C,'BASE DE EXCEL'!BJ:BJ,"NO HAY REFERENCIA")</f>
        <v>0</v>
      </c>
      <c r="EQ90" s="3" t="str">
        <f>_xlfn.XLOOKUP(B90,'BASE DE EXCEL'!$C:$C,'BASE DE EXCEL'!BK:BK,"NO HAY REFERENCIA")</f>
        <v>IME850329RH2</v>
      </c>
      <c r="ER90" s="3">
        <f>_xlfn.XLOOKUP(B90,'BASE DE EXCEL'!$C:$C,'BASE DE EXCEL'!BL:BL,"NO HAY REFERENCIA")</f>
        <v>0</v>
      </c>
      <c r="ES90" s="3" t="str">
        <f>_xlfn.XLOOKUP(B90,'BASE DE EXCEL'!$C:$C,'BASE DE EXCEL'!BM:BM,"NO HAY REFERENCIA")</f>
        <v>00,99</v>
      </c>
      <c r="ET90" s="3" t="str">
        <f>_xlfn.XLOOKUP(B90,'BASE DE EXCEL'!$C:$C,'BASE DE EXCEL'!BN:BN,"NO HAY REFERENCIA")</f>
        <v>LOTE: SCBA207A11,LOTE: A053A01,LOTE: A224A01,LOTE: A142A01,LOTE: A247B01,LOTE: A436A02,LOTE: A198A02,LOTE: A489D01,LOTE: A061A01</v>
      </c>
      <c r="EU90" s="3">
        <f>_xlfn.XLOOKUP(B90,'BASE DE EXCEL'!$C:$C,'BASE DE EXCEL'!BO:BO,"NO HAY REFERENCIA")</f>
        <v>90</v>
      </c>
      <c r="EV90" s="3" t="str">
        <f>_xlfn.XLOOKUP(B90,'BASE DE EXCEL'!$C:$C,'BASE DE EXCEL'!BP:BP,"NO HAY REFERENCIA")</f>
        <v xml:space="preserve"> 321379.32, 13019554.91, 1145829.89, 3079396.80</v>
      </c>
      <c r="EW90" s="3" t="str">
        <f>_xlfn.XLOOKUP(B90,'BASE DE EXCEL'!$C:$C,'BASE DE EXCEL'!BQ:BQ,"NO HAY REFERENCIA")</f>
        <v>KILO,KILO,KILO,KILO,KILO,KILO,KILO,KILO,KILO</v>
      </c>
      <c r="EX90" s="3">
        <f>_xlfn.XLOOKUP(B90,'BASE DE EXCEL'!$C:$C,'BASE DE EXCEL'!BR:BR,"NO HAY REFERENCIA")</f>
        <v>0</v>
      </c>
      <c r="EY90" s="3" t="str">
        <f>_xlfn.XLOOKUP(B90,'BASE DE EXCEL'!$C:$C,'BASE DE EXCEL'!BS:BS,"NO HAY REFERENCIA")</f>
        <v>PAISES BAJOS (REINO DE LOS) (HOLANDA)</v>
      </c>
      <c r="EZ90" s="3" t="str">
        <f>_xlfn.XLOOKUP(B90,'BASE DE EXCEL'!$C:$C,'BASE DE EXCEL'!BT:BT,"NO HAY REFERENCIA")</f>
        <v>PAISES BAJOS (REINO DE LOS) (HOLANDA)</v>
      </c>
      <c r="FA90" s="3" t="str">
        <f>_xlfn.XLOOKUP(B90,'BASE DE EXCEL'!$C:$C,'BASE DE EXCEL'!BU:BU,"NO HAY REFERENCIA")</f>
        <v>ZYA</v>
      </c>
      <c r="FB90" s="3" t="str">
        <f>_xlfn.XLOOKUP(B90,'BASE DE EXCEL'!$C:$C,'BASE DE EXCEL'!BV:BV,"NO HAY REFERENCIA")</f>
        <v>ZYA</v>
      </c>
      <c r="FC90" s="3">
        <f>_xlfn.XLOOKUP(B90,QUERY!$C:$C,QUERY!D:D)</f>
        <v>430</v>
      </c>
      <c r="FD90" s="4">
        <f>_xlfn.XLOOKUP(B90,QUERY!$C:$C,QUERY!E:E)</f>
        <v>46091</v>
      </c>
      <c r="FE90" s="3">
        <f>_xlfn.XLOOKUP(B90,QUERY!$C:$C,QUERY!F:F)</f>
        <v>3</v>
      </c>
      <c r="FF90" s="4">
        <f>_xlfn.XLOOKUP(B90,QUERY!$C:$C,QUERY!G:G)</f>
        <v>46077</v>
      </c>
      <c r="FG90" s="4">
        <f>_xlfn.XLOOKUP(B90,QUERY!$C:$C,QUERY!H:H)</f>
        <v>46091</v>
      </c>
      <c r="FH90" s="3">
        <f>_xlfn.XLOOKUP(B90,QUERY!$C:$C,QUERY!I:I)</f>
        <v>10</v>
      </c>
      <c r="FI90" s="3" t="str">
        <f>_xlfn.XLOOKUP(B90,QUERY!$C:$C,QUERY!J:J)</f>
        <v>6 a 10 días</v>
      </c>
      <c r="FJ90" s="4">
        <f>_xlfn.XLOOKUP(B90,QUERY!$C:$C,QUERY!K:K)</f>
        <v>46091</v>
      </c>
      <c r="FK90" s="3">
        <f>_xlfn.XLOOKUP(B90,QUERY!$C:$C,QUERY!L:L)</f>
        <v>10</v>
      </c>
      <c r="FL90" s="3" t="str">
        <f>_xlfn.XLOOKUP(B90,QUERY!$C:$C,QUERY!M:M)</f>
        <v>6 a 10 días</v>
      </c>
      <c r="FM90" s="3">
        <f>_xlfn.XLOOKUP(B90,QUERY!$C:$C,QUERY!N:N)</f>
        <v>0</v>
      </c>
      <c r="FN90" s="3" t="str">
        <f>_xlfn.XLOOKUP(B90,QUERY!$C:$C,QUERY!O:O)</f>
        <v>1 día o menos</v>
      </c>
      <c r="FO90" s="3">
        <f>_xlfn.XLOOKUP(B90,QUERY!$C:$C,QUERY!P:P)</f>
        <v>0</v>
      </c>
      <c r="FP90" s="3">
        <f>_xlfn.XLOOKUP(B90,QUERY!$C:$C,QUERY!Q:Q)</f>
        <v>0</v>
      </c>
      <c r="FQ90" s="3" t="str">
        <f>_xlfn.XLOOKUP(B90,QUERY!$C:$C,QUERY!R:R)</f>
        <v>1 día o menos</v>
      </c>
      <c r="FR90" s="4">
        <f>_xlfn.XLOOKUP(B90,QUERY!$C:$C,QUERY!S:S)</f>
        <v>46091</v>
      </c>
      <c r="FS90" s="3">
        <f>_xlfn.XLOOKUP(B90,QUERY!$C:$C,QUERY!T:T)</f>
        <v>10</v>
      </c>
      <c r="FT90" s="3" t="str">
        <f>_xlfn.XLOOKUP(B90,QUERY!$C:$C,QUERY!U:U)</f>
        <v>6 a 10 días</v>
      </c>
      <c r="FU90" s="3">
        <f>_xlfn.XLOOKUP(B90,QUERY!$C:$C,QUERY!V:V)</f>
        <v>20</v>
      </c>
      <c r="FV90" s="3" t="str">
        <f>_xlfn.XLOOKUP(B90,QUERY!$C:$C,QUERY!W:W)</f>
        <v>más de 16 días</v>
      </c>
      <c r="FW90" s="4">
        <f>_xlfn.XLOOKUP(B90,QUERY!$C:$C,QUERY!X:X)</f>
        <v>46105</v>
      </c>
      <c r="FX90" s="3">
        <f>_xlfn.XLOOKUP(B90,QUERY!$C:$C,QUERY!Y:Y)</f>
        <v>9</v>
      </c>
      <c r="FY90" s="3">
        <f>_xlfn.XLOOKUP(B90,QUERY!$C:$C,QUERY!Z:Z)</f>
        <v>10</v>
      </c>
      <c r="FZ90" s="4" t="str">
        <f>_xlfn.XLOOKUP(B90,QUERY!$C:$C,QUERY!AA:AA)</f>
        <v>11 a 15 días</v>
      </c>
      <c r="GA90" s="4">
        <f>_xlfn.XLOOKUP(B90,QUERY!$C:$C,QUERY!AB:AB)</f>
        <v>46104</v>
      </c>
      <c r="GB90" s="4">
        <f>_xlfn.XLOOKUP(B90,QUERY!$C:$C,QUERY!AC:AC)</f>
        <v>46105</v>
      </c>
      <c r="GC90" s="3">
        <f>_xlfn.XLOOKUP(B90,QUERY!$C:$C,QUERY!AD:AD)</f>
        <v>1</v>
      </c>
      <c r="GD90" s="4">
        <f>_xlfn.XLOOKUP(B90,QUERY!$C:$C,QUERY!AE:AE)</f>
        <v>46105</v>
      </c>
      <c r="GE90" s="3">
        <f>_xlfn.XLOOKUP(B90,QUERY!$C:$C,QUERY!AF:AF)</f>
        <v>1</v>
      </c>
      <c r="GF90" s="4" t="str">
        <f>_xlfn.XLOOKUP(B90,QUERY!$C:$C,QUERY!AG:AG)</f>
        <v>Es anterior</v>
      </c>
      <c r="GG90" s="3" t="str">
        <f>_xlfn.XLOOKUP(B90,QUERY!$C:$C,QUERY!AH:AH)</f>
        <v>R1</v>
      </c>
      <c r="GH90" s="3" t="str">
        <f>_xlfn.XLOOKUP(B90,QUERY!$C:$C,QUERY!AI:AI)</f>
        <v>ZULEIMA PEREZ RUIZ</v>
      </c>
      <c r="GI90" s="3" t="str">
        <f>_xlfn.XLOOKUP(B90,QUERY!$C:$C,QUERY!AJ:AJ)</f>
        <v>HLCURTM260162366</v>
      </c>
      <c r="GJ90" s="3" t="str">
        <f>_xlfn.XLOOKUP(B90,QUERY!$C:$C,QUERY!AK:AK)</f>
        <v>NULL</v>
      </c>
      <c r="GK90" s="3">
        <f>_xlfn.XLOOKUP(B90,QUERY!$C:$C,QUERY!AL:AL)</f>
        <v>6000418</v>
      </c>
      <c r="GL90" s="3" t="str">
        <f>_xlfn.XLOOKUP(B90,QUERY!$C:$C,QUERY!AM:AM)</f>
        <v>Importación</v>
      </c>
      <c r="GM90" s="3" t="str">
        <f>_xlfn.XLOOKUP(B90,QUERY!$C:$C,QUERY!AN:AN)</f>
        <v>NOBILIS MA5+CLONE 30 (VACUNA DE USO VETERINARIO)</v>
      </c>
      <c r="GN90" s="3" t="str">
        <f>_xlfn.XLOOKUP(B90,QUERY!$C:$C,QUERY!AO:AO)</f>
        <v>SIN CLASIFICACION</v>
      </c>
      <c r="GO90" s="3">
        <f>_xlfn.XLOOKUP(B90,QUERY!$C:$C,QUERY!AP:AP)</f>
        <v>0</v>
      </c>
      <c r="GP90" s="3" t="str">
        <f>_xlfn.XLOOKUP(B90,QUERY!$C:$C,QUERY!AQ:AQ)</f>
        <v>Cargas de Importación</v>
      </c>
      <c r="GQ90" s="3" t="str">
        <f>_xlfn.XLOOKUP(B90,QUERY!$C:$C,QUERY!AR:AR)</f>
        <v>INTERVET MEXICO SA DE CV</v>
      </c>
      <c r="GR90" s="3">
        <f>_xlfn.XLOOKUP(B90,QUERY!$C:$C,QUERY!AS:AS)</f>
        <v>0</v>
      </c>
      <c r="GS90" s="3">
        <f>_xlfn.XLOOKUP(B90,QUERY!$C:$C,QUERY!AT:AT)</f>
        <v>0</v>
      </c>
      <c r="GT90" s="3">
        <f>_xlfn.XLOOKUP(B90,QUERY!$C:$C,QUERY!AU:AU)</f>
        <v>0</v>
      </c>
      <c r="GU90" s="3">
        <f>_xlfn.XLOOKUP(B90,QUERY!$C:$C,QUERY!AV:AV)</f>
        <v>0</v>
      </c>
      <c r="GV90" s="3">
        <f>_xlfn.XLOOKUP(B90,QUERY!$C:$C,QUERY!AW:AW)</f>
        <v>0</v>
      </c>
      <c r="GW90" s="3" t="str">
        <f>_xlfn.XLOOKUP(B90,QUERY!$C:$C,QUERY!AX:AX)</f>
        <v>Verde</v>
      </c>
      <c r="GX90" s="3" t="str">
        <f>_xlfn.XLOOKUP(B90,QUERY!$C:$C,QUERY!AY:AY)</f>
        <v>NULL</v>
      </c>
      <c r="GY90" s="3">
        <f>_xlfn.XLOOKUP(B90,QUERY!$C:$C,QUERY!AZ:AZ)</f>
        <v>0</v>
      </c>
      <c r="GZ90" s="3">
        <f>_xlfn.XLOOKUP(B90,QUERY!$C:$C,QUERY!BA:BA)</f>
        <v>0</v>
      </c>
      <c r="HA90" s="3" t="str">
        <f>_xlfn.XLOOKUP(B90,QUERY!$C:$C,QUERY!BB:BB)</f>
        <v>IME850329RH2</v>
      </c>
      <c r="HB90" s="3">
        <f>_xlfn.XLOOKUP(B90,QUERY!$C:$C,QUERY!BC:BC)</f>
        <v>0</v>
      </c>
      <c r="HC90" s="3">
        <f>_xlfn.XLOOKUP(B90,QUERY!$C:$C,QUERY!BD:BD)</f>
        <v>0.99</v>
      </c>
      <c r="HD90" s="3" t="str">
        <f>_xlfn.XLOOKUP(B90,QUERY!$C:$C,QUERY!BE:BE)</f>
        <v>LOTE: SCBA207A11,LOTE: A053A01,LOTE: A224A01,LOTE: A142A01,LOTE: A247B01,LOTE: A436A02,LOTE: A198A02,LOTE: A489D01,LOTE: A061A01</v>
      </c>
      <c r="HE90" s="3">
        <f>_xlfn.XLOOKUP(B90,QUERY!$C:$C,QUERY!BF:BF)</f>
        <v>90</v>
      </c>
      <c r="HF90" s="3" t="str">
        <f>_xlfn.XLOOKUP(B90,QUERY!$C:$C,QUERY!BG:BG)</f>
        <v xml:space="preserve"> 321379.32, 13019554.91, 1145829.89, 3079396.80</v>
      </c>
      <c r="HG90" s="3" t="str">
        <f>_xlfn.XLOOKUP(B90,QUERY!$C:$C,QUERY!BH:BH)</f>
        <v>KILO,KILO,KILO,KILO,KILO,KILO,KILO,KILO,KILO</v>
      </c>
      <c r="HH90" s="3">
        <f>_xlfn.XLOOKUP(B90,QUERY!$C:$C,QUERY!BI:BI)</f>
        <v>0</v>
      </c>
      <c r="HI90" s="3" t="str">
        <f>_xlfn.XLOOKUP(B90,QUERY!$C:$C,QUERY!BJ:BJ)</f>
        <v>PAISES BAJOS (REINO DE LOS) (HOLANDA)</v>
      </c>
      <c r="HJ90" s="3" t="str">
        <f>_xlfn.XLOOKUP(B90,QUERY!$C:$C,QUERY!BK:BK)</f>
        <v>PAISES BAJOS (REINO DE LOS) (HOLANDA)</v>
      </c>
      <c r="HK90" s="3" t="str">
        <f>_xlfn.XLOOKUP(B90,QUERY!$C:$C,QUERY!BL:BL)</f>
        <v>ZYA</v>
      </c>
      <c r="HL90" s="3" t="str">
        <f>_xlfn.XLOOKUP(B90,QUERY!$C:$C,QUERY!BM:BM)</f>
        <v>ZYA</v>
      </c>
      <c r="HM90" s="3">
        <f>_xlfn.XLOOKUP(B90,QUERY!$C:$C,QUERY!BN:BN)</f>
        <v>17566160</v>
      </c>
      <c r="HN90" s="3" t="str">
        <f>_xlfn.XLOOKUP(B90,QUERY!$C:$C,QUERY!BO:BO)</f>
        <v>444.00</v>
      </c>
      <c r="HO90" s="3" t="str">
        <f>_xlfn.XLOOKUP(B90,QUERY!$C:$C,QUERY!BP:BP)</f>
        <v>NULL</v>
      </c>
      <c r="HP90" s="3" t="str">
        <f>_xlfn.XLOOKUP(B90,QUERY!$C:$C,QUERY!BQ:BQ)</f>
        <v>NULL</v>
      </c>
      <c r="HQ90" s="3" t="str">
        <f>_xlfn.XLOOKUP(B90,QUERY!$C:$C,QUERY!BR:BR)</f>
        <v>250436.84</v>
      </c>
      <c r="HR90" s="3">
        <f>_xlfn.XLOOKUP(B90,QUERY!$C:$C,QUERY!BS:BS)</f>
        <v>0</v>
      </c>
      <c r="HS90" s="3">
        <f>_xlfn.XLOOKUP(B90,QUERY!$C:$C,QUERY!BT:BT)</f>
        <v>0</v>
      </c>
      <c r="HT90" s="3" t="str">
        <f>_xlfn.XLOOKUP(B90,QUERY!$C:$C,QUERY!A:A)</f>
        <v>VERACRUZ</v>
      </c>
      <c r="HU90" s="3" t="str">
        <f>_xlfn.XLOOKUP(B90,QUERY!$C:$C,QUERY!B:B)</f>
        <v>MARÍTIMO VERACRUZ</v>
      </c>
    </row>
    <row r="91" spans="1:229" x14ac:dyDescent="0.25">
      <c r="A91" s="3" t="s">
        <v>90</v>
      </c>
      <c r="B91" s="3" t="s">
        <v>343</v>
      </c>
      <c r="C91" s="3">
        <v>3942</v>
      </c>
      <c r="D91" s="3">
        <v>6000418</v>
      </c>
      <c r="E91" s="3">
        <v>6000303</v>
      </c>
      <c r="F91" s="3" t="s">
        <v>92</v>
      </c>
      <c r="G91" s="3" t="s">
        <v>342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430</v>
      </c>
      <c r="S91" s="3" t="s">
        <v>258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270</v>
      </c>
      <c r="AB91" s="3"/>
      <c r="AC91" s="3">
        <v>1782756</v>
      </c>
      <c r="AD91" s="3">
        <v>825.35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/>
      <c r="AP91" s="3" t="s">
        <v>98</v>
      </c>
      <c r="AQ91" s="3">
        <v>210365022</v>
      </c>
      <c r="AR91" s="3" t="s">
        <v>99</v>
      </c>
      <c r="AS91" s="3" t="s">
        <v>100</v>
      </c>
      <c r="AT91" s="3">
        <v>0</v>
      </c>
      <c r="AU91" s="3">
        <v>0</v>
      </c>
      <c r="AV91" s="3">
        <v>0</v>
      </c>
      <c r="AW91" s="3">
        <v>30024201</v>
      </c>
      <c r="AX91" s="3">
        <v>99</v>
      </c>
      <c r="AY91" s="3">
        <v>2160</v>
      </c>
      <c r="AZ91" s="3">
        <v>2160</v>
      </c>
      <c r="BA91" s="3" t="s">
        <v>103</v>
      </c>
      <c r="BB91" s="3"/>
      <c r="BC91" s="3" t="s">
        <v>105</v>
      </c>
      <c r="BD91" s="3" t="s">
        <v>105</v>
      </c>
      <c r="BE91" s="3"/>
      <c r="BF91" s="3"/>
      <c r="BG91" s="5"/>
      <c r="BH91" s="3"/>
      <c r="BI91" s="3"/>
      <c r="BJ91" s="3"/>
      <c r="BK91" s="3" t="s">
        <v>345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 t="s">
        <v>192</v>
      </c>
      <c r="CF91" s="3">
        <v>0</v>
      </c>
      <c r="CG91" s="3">
        <v>0</v>
      </c>
      <c r="CH91" s="3">
        <v>0</v>
      </c>
      <c r="CI91" s="3" t="s">
        <v>112</v>
      </c>
      <c r="CJ91" s="3" t="s">
        <v>112</v>
      </c>
      <c r="CK91" s="3">
        <f>_xlfn.XLOOKUP($B$2,'BASE DE EXCEL'!C:C,'BASE DE EXCEL'!D:D,"NO HAY REFERENCIA")</f>
        <v>470</v>
      </c>
      <c r="CL91" s="5">
        <f>_xlfn.XLOOKUP($B$2,'BASE DE EXCEL'!$C:$C,'BASE DE EXCEL'!F:F,"NO HAY REFERENCIA")</f>
        <v>3</v>
      </c>
      <c r="CM91" s="4">
        <f>_xlfn.XLOOKUP($B$2,'BASE DE EXCEL'!$C:$C,'BASE DE EXCEL'!G:G,"NO HAY REFERENCIA")</f>
        <v>46080</v>
      </c>
      <c r="CN91" s="4">
        <f>_xlfn.XLOOKUP($B$2,'BASE DE EXCEL'!$C:$C,'BASE DE EXCEL'!H:H,"NO HAY REFERENCIA")</f>
        <v>46086</v>
      </c>
      <c r="CO91" s="3">
        <f>_xlfn.XLOOKUP($B$2,'BASE DE EXCEL'!$C:$C,'BASE DE EXCEL'!I:I,"NO HAY REFERENCIA")</f>
        <v>4</v>
      </c>
      <c r="CP91" s="3" t="str">
        <f>_xlfn.XLOOKUP($B$2,'BASE DE EXCEL'!$C:$C,'BASE DE EXCEL'!J:J,"NO HAY REFERENCIA")</f>
        <v>4 a 5 días</v>
      </c>
      <c r="CQ91" s="4">
        <f>_xlfn.XLOOKUP($B$2,'BASE DE EXCEL'!$C:$C,'BASE DE EXCEL'!K:K,"NO HAY REFERENCIA")</f>
        <v>46087</v>
      </c>
      <c r="CR91" s="3">
        <f>_xlfn.XLOOKUP($B$2,'BASE DE EXCEL'!$C:$C,'BASE DE EXCEL'!L:L,"NO HAY REFERENCIA")</f>
        <v>5</v>
      </c>
      <c r="CS91" s="3">
        <f>_xlfn.XLOOKUP($B$2,'BASE DE EXCEL'!$C:$C,'BASE DE EXCEL'!M:M,"NO HAY REFERENCIA")</f>
        <v>6</v>
      </c>
      <c r="CT91" s="3" t="str">
        <f>_xlfn.XLOOKUP($B$2,'BASE DE EXCEL'!$C:$C,'BASE DE EXCEL'!N:N,"NO HAY REFERENCIA")</f>
        <v>6 a 10 días</v>
      </c>
      <c r="CU91" s="3" t="str">
        <f>_xlfn.XLOOKUP($B$2,'BASE DE EXCEL'!$C:$C,'BASE DE EXCEL'!O:O,"NO HAY REFERENCIA")</f>
        <v>On Time</v>
      </c>
      <c r="CV91" s="3" t="str">
        <f>_xlfn.XLOOKUP(B91,'BASE DE EXCEL'!$C:$C,'BASE DE EXCEL'!P:P,"NO HAY REFERENCIA")</f>
        <v>11 a 15 días</v>
      </c>
      <c r="CW91" s="4">
        <f>_xlfn.XLOOKUP(B91,'BASE DE EXCEL'!$C:$C,'BASE DE EXCEL'!Q:Q,"NO HAY REFERENCIA")</f>
        <v>46094</v>
      </c>
      <c r="CX91" s="3">
        <f>_xlfn.XLOOKUP(B91,'BASE DE EXCEL'!$C:$C,'BASE DE EXCEL'!R:R,"NO HAY REFERENCIA")</f>
        <v>14</v>
      </c>
      <c r="CY91" s="3" t="str">
        <f>_xlfn.XLOOKUP(B91,'BASE DE EXCEL'!$C:$C,'BASE DE EXCEL'!S:S,"NO HAY REFERENCIA")</f>
        <v>11 a 15 días</v>
      </c>
      <c r="CZ91" s="3" t="str">
        <f>_xlfn.XLOOKUP(B91,'BASE DE EXCEL'!$C:$C,'BASE DE EXCEL'!T:T,"NO HAY REFERENCIA")</f>
        <v>Delayed</v>
      </c>
      <c r="DA91" s="3">
        <f>_xlfn.XLOOKUP(B91,'BASE DE EXCEL'!$C:$C,'BASE DE EXCEL'!U:U,"NO HAY REFERENCIA")</f>
        <v>0</v>
      </c>
      <c r="DB91" s="3" t="str">
        <f>_xlfn.XLOOKUP(B91,'BASE DE EXCEL'!$C:$C,'BASE DE EXCEL'!V:V,"NO HAY REFERENCIA")</f>
        <v>Sin Dato</v>
      </c>
      <c r="DC91" s="3">
        <f>_xlfn.XLOOKUP(B91,'BASE DE EXCEL'!$C:$C,'BASE DE EXCEL'!W:W,"NO HAY REFERENCIA")</f>
        <v>20</v>
      </c>
      <c r="DD91" s="3" t="str">
        <f>_xlfn.XLOOKUP(B91,'BASE DE EXCEL'!$C:$C,'BASE DE EXCEL'!X:X,"NO HAY REFERENCIA")</f>
        <v>más de 16 días</v>
      </c>
      <c r="DE91" s="3">
        <f>_xlfn.XLOOKUP(B91,'BASE DE EXCEL'!$C:$C,'BASE DE EXCEL'!Y:Y,"NO HAY REFERENCIA")</f>
        <v>0</v>
      </c>
      <c r="DF91" s="3" t="str">
        <f>_xlfn.XLOOKUP(B91,'BASE DE EXCEL'!$C:$C,'BASE DE EXCEL'!Z:Z,"NO HAY REFERENCIA")</f>
        <v>1 día o menos</v>
      </c>
      <c r="DG91" s="3">
        <f>_xlfn.XLOOKUP(B91,'BASE DE EXCEL'!$C:$C,'BASE DE EXCEL'!AA:AA,"NO HAY REFERENCIA")</f>
        <v>14</v>
      </c>
      <c r="DH91" s="3">
        <f>_xlfn.XLOOKUP(B91,'BASE DE EXCEL'!$C:$C,'BASE DE EXCEL'!AB:AB,"NO HAY REFERENCIA")</f>
        <v>-46089</v>
      </c>
      <c r="DI91" s="3" t="str">
        <f>_xlfn.XLOOKUP(B91,'BASE DE EXCEL'!$C:$C,'BASE DE EXCEL'!AC:AC,"NO HAY REFERENCIA")</f>
        <v>SIN DATO</v>
      </c>
      <c r="DJ91" s="4">
        <f>_xlfn.XLOOKUP(B91,'BASE DE EXCEL'!$C:$C,'BASE DE EXCEL'!AD:AD,"NO HAY REFERENCIA")</f>
        <v>46105</v>
      </c>
      <c r="DK91" s="3">
        <f>_xlfn.XLOOKUP(B91,'BASE DE EXCEL'!$C:$C,'BASE DE EXCEL'!AE:AE,"NO HAY REFERENCIA")</f>
        <v>46102</v>
      </c>
      <c r="DL91" s="3">
        <f>_xlfn.XLOOKUP(B91,'BASE DE EXCEL'!$C:$C,'BASE DE EXCEL'!AF:AF,"NO HAY REFERENCIA")</f>
        <v>32931</v>
      </c>
      <c r="DM91" s="4">
        <f>_xlfn.XLOOKUP(B91,'BASE DE EXCEL'!$C:$C,'BASE DE EXCEL'!AG:AG,"NO HAY REFERENCIA")</f>
        <v>46104</v>
      </c>
      <c r="DN91" s="4">
        <f>_xlfn.XLOOKUP(B91,'BASE DE EXCEL'!$C:$C,'BASE DE EXCEL'!AH:AH,"NO HAY REFERENCIA")</f>
        <v>46105</v>
      </c>
      <c r="DO91" s="3">
        <f>_xlfn.XLOOKUP(B91,'BASE DE EXCEL'!$C:$C,'BASE DE EXCEL'!AI:AI,"NO HAY REFERENCIA")</f>
        <v>1</v>
      </c>
      <c r="DP91" s="4" t="str">
        <f>_xlfn.XLOOKUP(B91,'BASE DE EXCEL'!$C:$C,'BASE DE EXCEL'!AJ:AJ,"NO HAY REFERENCIA")</f>
        <v>SIN DATO</v>
      </c>
      <c r="DQ91" s="4">
        <f>_xlfn.XLOOKUP(B91,'BASE DE EXCEL'!$C:$C,'BASE DE EXCEL'!AK:AK,"NO HAY REFERENCIA")</f>
        <v>46105</v>
      </c>
      <c r="DR91" s="3">
        <f>_xlfn.XLOOKUP(B91,'BASE DE EXCEL'!$C:$C,'BASE DE EXCEL'!AL:AL,"NO HAY REFERENCIA")</f>
        <v>7</v>
      </c>
      <c r="DS91" s="3" t="str">
        <f>_xlfn.XLOOKUP(B91,'BASE DE EXCEL'!$C:$C,'BASE DE EXCEL'!AM:AM,"NO HAY REFERENCIA")</f>
        <v>6 a 10 días</v>
      </c>
      <c r="DT91" s="3" t="str">
        <f>_xlfn.XLOOKUP(B91,'BASE DE EXCEL'!$C:$C,'BASE DE EXCEL'!AN:AN,"NO HAY REFERENCIA")</f>
        <v>Delayed</v>
      </c>
      <c r="DU91" s="3">
        <f>_xlfn.XLOOKUP(B91,'BASE DE EXCEL'!$C:$C,'BASE DE EXCEL'!AO:AO,"NO HAY REFERENCIA")</f>
        <v>0</v>
      </c>
      <c r="DV91" s="3" t="str">
        <f>_xlfn.XLOOKUP(B91,'BASE DE EXCEL'!$C:$C,'BASE DE EXCEL'!AP:AP,"NO HAY REFERENCIA")</f>
        <v>Es anterior</v>
      </c>
      <c r="DW91" s="3" t="str">
        <f>_xlfn.XLOOKUP(B91,'BASE DE EXCEL'!$C:$C,'BASE DE EXCEL'!AQ:AQ,"NO HAY REFERENCIA")</f>
        <v>R1</v>
      </c>
      <c r="DX91" s="3" t="str">
        <f>_xlfn.XLOOKUP(B91,'BASE DE EXCEL'!$C:$C,'BASE DE EXCEL'!AR:AR,"NO HAY REFERENCIA")</f>
        <v>ZULEIMA PEREZ RUIZ</v>
      </c>
      <c r="DY91" s="3" t="str">
        <f>_xlfn.XLOOKUP(B91,'BASE DE EXCEL'!$C:$C,'BASE DE EXCEL'!AS:AS,"NO HAY REFERENCIA")</f>
        <v>HLCURTM260162366</v>
      </c>
      <c r="DZ91" s="3" t="str">
        <f>_xlfn.XLOOKUP(B91,'BASE DE EXCEL'!$C:$C,'BASE DE EXCEL'!AT:AT,"NO HAY REFERENCIA")</f>
        <v>NULL</v>
      </c>
      <c r="EA91" s="3">
        <f>_xlfn.XLOOKUP(B91,'BASE DE EXCEL'!$C:$C,'BASE DE EXCEL'!AU:AU,"NO HAY REFERENCIA")</f>
        <v>6000418</v>
      </c>
      <c r="EB91" s="3" t="str">
        <f>_xlfn.XLOOKUP(B91,'BASE DE EXCEL'!$C:$C,'BASE DE EXCEL'!AV:AV,"NO HAY REFERENCIA")</f>
        <v>Importación</v>
      </c>
      <c r="EC91" s="3" t="str">
        <f>_xlfn.XLOOKUP(B91,'BASE DE EXCEL'!$C:$C,'BASE DE EXCEL'!AW:AW,"NO HAY REFERENCIA")</f>
        <v>NOBILIS MA5+CLONE 30 (VACUNA DE USO VETERINARIO)</v>
      </c>
      <c r="ED91" s="3" t="str">
        <f>_xlfn.XLOOKUP(B91,'BASE DE EXCEL'!$C:$C,'BASE DE EXCEL'!AX:AX,"NO HAY REFERENCIA")</f>
        <v>SIN CLASIFICACION</v>
      </c>
      <c r="EE91" s="3">
        <f>_xlfn.XLOOKUP(B91,'BASE DE EXCEL'!$C:$C,'BASE DE EXCEL'!AY:AY,"NO HAY REFERENCIA")</f>
        <v>0</v>
      </c>
      <c r="EF91" s="3" t="str">
        <f>_xlfn.XLOOKUP(B91,'BASE DE EXCEL'!$C:$C,'BASE DE EXCEL'!AZ:AZ,"NO HAY REFERENCIA")</f>
        <v>Cargas de Importación</v>
      </c>
      <c r="EG91" s="3" t="str">
        <f>_xlfn.XLOOKUP(B91,'BASE DE EXCEL'!$C:$C,'BASE DE EXCEL'!BA:BA,"NO HAY REFERENCIA")</f>
        <v>INTERVET MEXICO SA DE CV</v>
      </c>
      <c r="EH91" s="3">
        <f>_xlfn.XLOOKUP(B91,'BASE DE EXCEL'!$C:$C,'BASE DE EXCEL'!BB:BB,"NO HAY REFERENCIA")</f>
        <v>0</v>
      </c>
      <c r="EI91" s="3">
        <f>_xlfn.XLOOKUP(B91,'BASE DE EXCEL'!$C:$C,'BASE DE EXCEL'!BC:BC,"NO HAY REFERENCIA")</f>
        <v>0</v>
      </c>
      <c r="EJ91" s="3">
        <f>_xlfn.XLOOKUP(B91,'BASE DE EXCEL'!$C:$C,'BASE DE EXCEL'!BD:BD,"NO HAY REFERENCIA")</f>
        <v>0</v>
      </c>
      <c r="EK91" s="3">
        <f>_xlfn.XLOOKUP(B91,'BASE DE EXCEL'!$C:$C,'BASE DE EXCEL'!BE:BE,"NO HAY REFERENCIA")</f>
        <v>0</v>
      </c>
      <c r="EL91" s="3">
        <f>_xlfn.XLOOKUP(B91,'BASE DE EXCEL'!$C:$C,'BASE DE EXCEL'!BF:BF,"NO HAY REFERENCIA")</f>
        <v>0</v>
      </c>
      <c r="EM91" s="3" t="str">
        <f>_xlfn.XLOOKUP(B91,'BASE DE EXCEL'!$C:$C,'BASE DE EXCEL'!BG:BG,"NO HAY REFERENCIA")</f>
        <v>Verde</v>
      </c>
      <c r="EN91" s="3" t="str">
        <f>_xlfn.XLOOKUP(B91,'BASE DE EXCEL'!$C:$C,'BASE DE EXCEL'!BH:BH,"NO HAY REFERENCIA")</f>
        <v>NULL</v>
      </c>
      <c r="EO91" s="3">
        <f>_xlfn.XLOOKUP(B91,'BASE DE EXCEL'!$C:$C,'BASE DE EXCEL'!BI:BI,"NO HAY REFERENCIA")</f>
        <v>0</v>
      </c>
      <c r="EP91" s="3">
        <f>_xlfn.XLOOKUP(B91,'BASE DE EXCEL'!$C:$C,'BASE DE EXCEL'!BJ:BJ,"NO HAY REFERENCIA")</f>
        <v>0</v>
      </c>
      <c r="EQ91" s="3" t="str">
        <f>_xlfn.XLOOKUP(B91,'BASE DE EXCEL'!$C:$C,'BASE DE EXCEL'!BK:BK,"NO HAY REFERENCIA")</f>
        <v>IME850329RH2</v>
      </c>
      <c r="ER91" s="3">
        <f>_xlfn.XLOOKUP(B91,'BASE DE EXCEL'!$C:$C,'BASE DE EXCEL'!BL:BL,"NO HAY REFERENCIA")</f>
        <v>0</v>
      </c>
      <c r="ES91" s="3" t="str">
        <f>_xlfn.XLOOKUP(B91,'BASE DE EXCEL'!$C:$C,'BASE DE EXCEL'!BM:BM,"NO HAY REFERENCIA")</f>
        <v>00,99</v>
      </c>
      <c r="ET91" s="3" t="str">
        <f>_xlfn.XLOOKUP(B91,'BASE DE EXCEL'!$C:$C,'BASE DE EXCEL'!BN:BN,"NO HAY REFERENCIA")</f>
        <v>LOTE: SCBA207A11,LOTE: A053A01,LOTE: A224A01,LOTE: A142A01,LOTE: A247B01,LOTE: A436A02,LOTE: A198A02,LOTE: A489D01,LOTE: A061A01</v>
      </c>
      <c r="EU91" s="3">
        <f>_xlfn.XLOOKUP(B91,'BASE DE EXCEL'!$C:$C,'BASE DE EXCEL'!BO:BO,"NO HAY REFERENCIA")</f>
        <v>90</v>
      </c>
      <c r="EV91" s="3" t="str">
        <f>_xlfn.XLOOKUP(B91,'BASE DE EXCEL'!$C:$C,'BASE DE EXCEL'!BP:BP,"NO HAY REFERENCIA")</f>
        <v xml:space="preserve"> 321379.32, 13019554.91, 1145829.89, 3079396.80</v>
      </c>
      <c r="EW91" s="3" t="str">
        <f>_xlfn.XLOOKUP(B91,'BASE DE EXCEL'!$C:$C,'BASE DE EXCEL'!BQ:BQ,"NO HAY REFERENCIA")</f>
        <v>KILO,KILO,KILO,KILO,KILO,KILO,KILO,KILO,KILO</v>
      </c>
      <c r="EX91" s="3">
        <f>_xlfn.XLOOKUP(B91,'BASE DE EXCEL'!$C:$C,'BASE DE EXCEL'!BR:BR,"NO HAY REFERENCIA")</f>
        <v>0</v>
      </c>
      <c r="EY91" s="3" t="str">
        <f>_xlfn.XLOOKUP(B91,'BASE DE EXCEL'!$C:$C,'BASE DE EXCEL'!BS:BS,"NO HAY REFERENCIA")</f>
        <v>PAISES BAJOS (REINO DE LOS) (HOLANDA)</v>
      </c>
      <c r="EZ91" s="3" t="str">
        <f>_xlfn.XLOOKUP(B91,'BASE DE EXCEL'!$C:$C,'BASE DE EXCEL'!BT:BT,"NO HAY REFERENCIA")</f>
        <v>PAISES BAJOS (REINO DE LOS) (HOLANDA)</v>
      </c>
      <c r="FA91" s="3" t="str">
        <f>_xlfn.XLOOKUP(B91,'BASE DE EXCEL'!$C:$C,'BASE DE EXCEL'!BU:BU,"NO HAY REFERENCIA")</f>
        <v>ZYA</v>
      </c>
      <c r="FB91" s="3" t="str">
        <f>_xlfn.XLOOKUP(B91,'BASE DE EXCEL'!$C:$C,'BASE DE EXCEL'!BV:BV,"NO HAY REFERENCIA")</f>
        <v>ZYA</v>
      </c>
      <c r="FC91" s="3">
        <f>_xlfn.XLOOKUP(B91,QUERY!$C:$C,QUERY!D:D)</f>
        <v>430</v>
      </c>
      <c r="FD91" s="4">
        <f>_xlfn.XLOOKUP(B91,QUERY!$C:$C,QUERY!E:E)</f>
        <v>46091</v>
      </c>
      <c r="FE91" s="3">
        <f>_xlfn.XLOOKUP(B91,QUERY!$C:$C,QUERY!F:F)</f>
        <v>3</v>
      </c>
      <c r="FF91" s="4">
        <f>_xlfn.XLOOKUP(B91,QUERY!$C:$C,QUERY!G:G)</f>
        <v>46077</v>
      </c>
      <c r="FG91" s="4">
        <f>_xlfn.XLOOKUP(B91,QUERY!$C:$C,QUERY!H:H)</f>
        <v>46091</v>
      </c>
      <c r="FH91" s="3">
        <f>_xlfn.XLOOKUP(B91,QUERY!$C:$C,QUERY!I:I)</f>
        <v>10</v>
      </c>
      <c r="FI91" s="3" t="str">
        <f>_xlfn.XLOOKUP(B91,QUERY!$C:$C,QUERY!J:J)</f>
        <v>6 a 10 días</v>
      </c>
      <c r="FJ91" s="4">
        <f>_xlfn.XLOOKUP(B91,QUERY!$C:$C,QUERY!K:K)</f>
        <v>46091</v>
      </c>
      <c r="FK91" s="3">
        <f>_xlfn.XLOOKUP(B91,QUERY!$C:$C,QUERY!L:L)</f>
        <v>10</v>
      </c>
      <c r="FL91" s="3" t="str">
        <f>_xlfn.XLOOKUP(B91,QUERY!$C:$C,QUERY!M:M)</f>
        <v>6 a 10 días</v>
      </c>
      <c r="FM91" s="3">
        <f>_xlfn.XLOOKUP(B91,QUERY!$C:$C,QUERY!N:N)</f>
        <v>0</v>
      </c>
      <c r="FN91" s="3" t="str">
        <f>_xlfn.XLOOKUP(B91,QUERY!$C:$C,QUERY!O:O)</f>
        <v>1 día o menos</v>
      </c>
      <c r="FO91" s="3">
        <f>_xlfn.XLOOKUP(B91,QUERY!$C:$C,QUERY!P:P)</f>
        <v>0</v>
      </c>
      <c r="FP91" s="3">
        <f>_xlfn.XLOOKUP(B91,QUERY!$C:$C,QUERY!Q:Q)</f>
        <v>0</v>
      </c>
      <c r="FQ91" s="3" t="str">
        <f>_xlfn.XLOOKUP(B91,QUERY!$C:$C,QUERY!R:R)</f>
        <v>1 día o menos</v>
      </c>
      <c r="FR91" s="4">
        <f>_xlfn.XLOOKUP(B91,QUERY!$C:$C,QUERY!S:S)</f>
        <v>46091</v>
      </c>
      <c r="FS91" s="3">
        <f>_xlfn.XLOOKUP(B91,QUERY!$C:$C,QUERY!T:T)</f>
        <v>10</v>
      </c>
      <c r="FT91" s="3" t="str">
        <f>_xlfn.XLOOKUP(B91,QUERY!$C:$C,QUERY!U:U)</f>
        <v>6 a 10 días</v>
      </c>
      <c r="FU91" s="3">
        <f>_xlfn.XLOOKUP(B91,QUERY!$C:$C,QUERY!V:V)</f>
        <v>20</v>
      </c>
      <c r="FV91" s="3" t="str">
        <f>_xlfn.XLOOKUP(B91,QUERY!$C:$C,QUERY!W:W)</f>
        <v>más de 16 días</v>
      </c>
      <c r="FW91" s="4">
        <f>_xlfn.XLOOKUP(B91,QUERY!$C:$C,QUERY!X:X)</f>
        <v>46105</v>
      </c>
      <c r="FX91" s="3">
        <f>_xlfn.XLOOKUP(B91,QUERY!$C:$C,QUERY!Y:Y)</f>
        <v>9</v>
      </c>
      <c r="FY91" s="3">
        <f>_xlfn.XLOOKUP(B91,QUERY!$C:$C,QUERY!Z:Z)</f>
        <v>10</v>
      </c>
      <c r="FZ91" s="4" t="str">
        <f>_xlfn.XLOOKUP(B91,QUERY!$C:$C,QUERY!AA:AA)</f>
        <v>11 a 15 días</v>
      </c>
      <c r="GA91" s="4">
        <f>_xlfn.XLOOKUP(B91,QUERY!$C:$C,QUERY!AB:AB)</f>
        <v>46104</v>
      </c>
      <c r="GB91" s="4">
        <f>_xlfn.XLOOKUP(B91,QUERY!$C:$C,QUERY!AC:AC)</f>
        <v>46105</v>
      </c>
      <c r="GC91" s="3">
        <f>_xlfn.XLOOKUP(B91,QUERY!$C:$C,QUERY!AD:AD)</f>
        <v>1</v>
      </c>
      <c r="GD91" s="4">
        <f>_xlfn.XLOOKUP(B91,QUERY!$C:$C,QUERY!AE:AE)</f>
        <v>46105</v>
      </c>
      <c r="GE91" s="3">
        <f>_xlfn.XLOOKUP(B91,QUERY!$C:$C,QUERY!AF:AF)</f>
        <v>1</v>
      </c>
      <c r="GF91" s="4" t="str">
        <f>_xlfn.XLOOKUP(B91,QUERY!$C:$C,QUERY!AG:AG)</f>
        <v>Es anterior</v>
      </c>
      <c r="GG91" s="3" t="str">
        <f>_xlfn.XLOOKUP(B91,QUERY!$C:$C,QUERY!AH:AH)</f>
        <v>R1</v>
      </c>
      <c r="GH91" s="3" t="str">
        <f>_xlfn.XLOOKUP(B91,QUERY!$C:$C,QUERY!AI:AI)</f>
        <v>ZULEIMA PEREZ RUIZ</v>
      </c>
      <c r="GI91" s="3" t="str">
        <f>_xlfn.XLOOKUP(B91,QUERY!$C:$C,QUERY!AJ:AJ)</f>
        <v>HLCURTM260162366</v>
      </c>
      <c r="GJ91" s="3" t="str">
        <f>_xlfn.XLOOKUP(B91,QUERY!$C:$C,QUERY!AK:AK)</f>
        <v>NULL</v>
      </c>
      <c r="GK91" s="3">
        <f>_xlfn.XLOOKUP(B91,QUERY!$C:$C,QUERY!AL:AL)</f>
        <v>6000418</v>
      </c>
      <c r="GL91" s="3" t="str">
        <f>_xlfn.XLOOKUP(B91,QUERY!$C:$C,QUERY!AM:AM)</f>
        <v>Importación</v>
      </c>
      <c r="GM91" s="3" t="str">
        <f>_xlfn.XLOOKUP(B91,QUERY!$C:$C,QUERY!AN:AN)</f>
        <v>NOBILIS MA5+CLONE 30 (VACUNA DE USO VETERINARIO)</v>
      </c>
      <c r="GN91" s="3" t="str">
        <f>_xlfn.XLOOKUP(B91,QUERY!$C:$C,QUERY!AO:AO)</f>
        <v>SIN CLASIFICACION</v>
      </c>
      <c r="GO91" s="3">
        <f>_xlfn.XLOOKUP(B91,QUERY!$C:$C,QUERY!AP:AP)</f>
        <v>0</v>
      </c>
      <c r="GP91" s="3" t="str">
        <f>_xlfn.XLOOKUP(B91,QUERY!$C:$C,QUERY!AQ:AQ)</f>
        <v>Cargas de Importación</v>
      </c>
      <c r="GQ91" s="3" t="str">
        <f>_xlfn.XLOOKUP(B91,QUERY!$C:$C,QUERY!AR:AR)</f>
        <v>INTERVET MEXICO SA DE CV</v>
      </c>
      <c r="GR91" s="3">
        <f>_xlfn.XLOOKUP(B91,QUERY!$C:$C,QUERY!AS:AS)</f>
        <v>0</v>
      </c>
      <c r="GS91" s="3">
        <f>_xlfn.XLOOKUP(B91,QUERY!$C:$C,QUERY!AT:AT)</f>
        <v>0</v>
      </c>
      <c r="GT91" s="3">
        <f>_xlfn.XLOOKUP(B91,QUERY!$C:$C,QUERY!AU:AU)</f>
        <v>0</v>
      </c>
      <c r="GU91" s="3">
        <f>_xlfn.XLOOKUP(B91,QUERY!$C:$C,QUERY!AV:AV)</f>
        <v>0</v>
      </c>
      <c r="GV91" s="3">
        <f>_xlfn.XLOOKUP(B91,QUERY!$C:$C,QUERY!AW:AW)</f>
        <v>0</v>
      </c>
      <c r="GW91" s="3" t="str">
        <f>_xlfn.XLOOKUP(B91,QUERY!$C:$C,QUERY!AX:AX)</f>
        <v>Verde</v>
      </c>
      <c r="GX91" s="3" t="str">
        <f>_xlfn.XLOOKUP(B91,QUERY!$C:$C,QUERY!AY:AY)</f>
        <v>NULL</v>
      </c>
      <c r="GY91" s="3">
        <f>_xlfn.XLOOKUP(B91,QUERY!$C:$C,QUERY!AZ:AZ)</f>
        <v>0</v>
      </c>
      <c r="GZ91" s="3">
        <f>_xlfn.XLOOKUP(B91,QUERY!$C:$C,QUERY!BA:BA)</f>
        <v>0</v>
      </c>
      <c r="HA91" s="3" t="str">
        <f>_xlfn.XLOOKUP(B91,QUERY!$C:$C,QUERY!BB:BB)</f>
        <v>IME850329RH2</v>
      </c>
      <c r="HB91" s="3">
        <f>_xlfn.XLOOKUP(B91,QUERY!$C:$C,QUERY!BC:BC)</f>
        <v>0</v>
      </c>
      <c r="HC91" s="3">
        <f>_xlfn.XLOOKUP(B91,QUERY!$C:$C,QUERY!BD:BD)</f>
        <v>0.99</v>
      </c>
      <c r="HD91" s="3" t="str">
        <f>_xlfn.XLOOKUP(B91,QUERY!$C:$C,QUERY!BE:BE)</f>
        <v>LOTE: SCBA207A11,LOTE: A053A01,LOTE: A224A01,LOTE: A142A01,LOTE: A247B01,LOTE: A436A02,LOTE: A198A02,LOTE: A489D01,LOTE: A061A01</v>
      </c>
      <c r="HE91" s="3">
        <f>_xlfn.XLOOKUP(B91,QUERY!$C:$C,QUERY!BF:BF)</f>
        <v>90</v>
      </c>
      <c r="HF91" s="3" t="str">
        <f>_xlfn.XLOOKUP(B91,QUERY!$C:$C,QUERY!BG:BG)</f>
        <v xml:space="preserve"> 321379.32, 13019554.91, 1145829.89, 3079396.80</v>
      </c>
      <c r="HG91" s="3" t="str">
        <f>_xlfn.XLOOKUP(B91,QUERY!$C:$C,QUERY!BH:BH)</f>
        <v>KILO,KILO,KILO,KILO,KILO,KILO,KILO,KILO,KILO</v>
      </c>
      <c r="HH91" s="3">
        <f>_xlfn.XLOOKUP(B91,QUERY!$C:$C,QUERY!BI:BI)</f>
        <v>0</v>
      </c>
      <c r="HI91" s="3" t="str">
        <f>_xlfn.XLOOKUP(B91,QUERY!$C:$C,QUERY!BJ:BJ)</f>
        <v>PAISES BAJOS (REINO DE LOS) (HOLANDA)</v>
      </c>
      <c r="HJ91" s="3" t="str">
        <f>_xlfn.XLOOKUP(B91,QUERY!$C:$C,QUERY!BK:BK)</f>
        <v>PAISES BAJOS (REINO DE LOS) (HOLANDA)</v>
      </c>
      <c r="HK91" s="3" t="str">
        <f>_xlfn.XLOOKUP(B91,QUERY!$C:$C,QUERY!BL:BL)</f>
        <v>ZYA</v>
      </c>
      <c r="HL91" s="3" t="str">
        <f>_xlfn.XLOOKUP(B91,QUERY!$C:$C,QUERY!BM:BM)</f>
        <v>ZYA</v>
      </c>
      <c r="HM91" s="3">
        <f>_xlfn.XLOOKUP(B91,QUERY!$C:$C,QUERY!BN:BN)</f>
        <v>17566160</v>
      </c>
      <c r="HN91" s="3" t="str">
        <f>_xlfn.XLOOKUP(B91,QUERY!$C:$C,QUERY!BO:BO)</f>
        <v>444.00</v>
      </c>
      <c r="HO91" s="3" t="str">
        <f>_xlfn.XLOOKUP(B91,QUERY!$C:$C,QUERY!BP:BP)</f>
        <v>NULL</v>
      </c>
      <c r="HP91" s="3" t="str">
        <f>_xlfn.XLOOKUP(B91,QUERY!$C:$C,QUERY!BQ:BQ)</f>
        <v>NULL</v>
      </c>
      <c r="HQ91" s="3" t="str">
        <f>_xlfn.XLOOKUP(B91,QUERY!$C:$C,QUERY!BR:BR)</f>
        <v>250436.84</v>
      </c>
      <c r="HR91" s="3">
        <f>_xlfn.XLOOKUP(B91,QUERY!$C:$C,QUERY!BS:BS)</f>
        <v>0</v>
      </c>
      <c r="HS91" s="3">
        <f>_xlfn.XLOOKUP(B91,QUERY!$C:$C,QUERY!BT:BT)</f>
        <v>0</v>
      </c>
      <c r="HT91" s="3" t="str">
        <f>_xlfn.XLOOKUP(B91,QUERY!$C:$C,QUERY!A:A)</f>
        <v>VERACRUZ</v>
      </c>
      <c r="HU91" s="3" t="str">
        <f>_xlfn.XLOOKUP(B91,QUERY!$C:$C,QUERY!B:B)</f>
        <v>MARÍTIMO VERACRUZ</v>
      </c>
    </row>
    <row r="92" spans="1:229" x14ac:dyDescent="0.25">
      <c r="A92" s="3" t="s">
        <v>90</v>
      </c>
      <c r="B92" s="3" t="s">
        <v>346</v>
      </c>
      <c r="C92" s="3">
        <v>3942</v>
      </c>
      <c r="D92" s="3">
        <v>6000421</v>
      </c>
      <c r="E92" s="3">
        <v>6000418</v>
      </c>
      <c r="F92" s="3" t="s">
        <v>92</v>
      </c>
      <c r="G92" s="3" t="s">
        <v>342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17.1722</v>
      </c>
      <c r="Q92" s="3">
        <v>3874</v>
      </c>
      <c r="R92" s="3">
        <v>430</v>
      </c>
      <c r="S92" s="3" t="s">
        <v>258</v>
      </c>
      <c r="T92" s="3" t="s">
        <v>95</v>
      </c>
      <c r="U92" s="3">
        <v>17566160</v>
      </c>
      <c r="V92" s="3">
        <v>17566160</v>
      </c>
      <c r="W92" s="3">
        <v>0</v>
      </c>
      <c r="X92" s="3">
        <v>0</v>
      </c>
      <c r="Y92" s="3">
        <v>0</v>
      </c>
      <c r="Z92" s="3">
        <v>0</v>
      </c>
      <c r="AA92" s="3" t="s">
        <v>220</v>
      </c>
      <c r="AB92" s="3"/>
      <c r="AC92" s="3">
        <v>321379</v>
      </c>
      <c r="AD92" s="3">
        <v>645.33936000000006</v>
      </c>
      <c r="AE92" s="3">
        <v>808</v>
      </c>
      <c r="AF92" s="3">
        <v>0</v>
      </c>
      <c r="AG92" s="3">
        <v>0</v>
      </c>
      <c r="AH92" s="3">
        <v>0</v>
      </c>
      <c r="AI92" s="3">
        <v>0</v>
      </c>
      <c r="AJ92" s="3">
        <v>444</v>
      </c>
      <c r="AK92" s="3">
        <v>0</v>
      </c>
      <c r="AL92" s="3">
        <v>0</v>
      </c>
      <c r="AM92" s="3">
        <v>330</v>
      </c>
      <c r="AN92" s="3">
        <v>444</v>
      </c>
      <c r="AO92" s="3" t="s">
        <v>97</v>
      </c>
      <c r="AP92" s="3" t="s">
        <v>98</v>
      </c>
      <c r="AQ92" s="3">
        <v>210364287</v>
      </c>
      <c r="AR92" s="3" t="s">
        <v>99</v>
      </c>
      <c r="AS92" s="3" t="s">
        <v>100</v>
      </c>
      <c r="AT92" s="3" t="s">
        <v>259</v>
      </c>
      <c r="AU92" s="3"/>
      <c r="AV92" s="3"/>
      <c r="AW92" s="3">
        <v>30024201</v>
      </c>
      <c r="AX92" s="3">
        <v>99</v>
      </c>
      <c r="AY92" s="3">
        <v>498</v>
      </c>
      <c r="AZ92" s="3">
        <v>498</v>
      </c>
      <c r="BA92" s="3" t="s">
        <v>103</v>
      </c>
      <c r="BB92" s="3"/>
      <c r="BC92" s="3" t="s">
        <v>105</v>
      </c>
      <c r="BD92" s="3" t="s">
        <v>105</v>
      </c>
      <c r="BE92" s="3" t="s">
        <v>106</v>
      </c>
      <c r="BF92" s="3"/>
      <c r="BG92" s="5" t="s">
        <v>260</v>
      </c>
      <c r="BH92" s="3" t="s">
        <v>148</v>
      </c>
      <c r="BI92" s="3"/>
      <c r="BJ92" s="3" t="s">
        <v>109</v>
      </c>
      <c r="BK92" s="3" t="s">
        <v>261</v>
      </c>
      <c r="BL92" s="3">
        <v>43966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44379.18</v>
      </c>
      <c r="BY92" s="3">
        <v>0</v>
      </c>
      <c r="BZ92" s="3">
        <v>0</v>
      </c>
      <c r="CA92" s="3">
        <v>26829.06</v>
      </c>
      <c r="CB92" s="3">
        <v>18000</v>
      </c>
      <c r="CC92" s="3">
        <v>4283.2</v>
      </c>
      <c r="CD92" s="3">
        <v>250436.84</v>
      </c>
      <c r="CE92" s="3" t="s">
        <v>192</v>
      </c>
      <c r="CF92" s="3">
        <v>250436.84</v>
      </c>
      <c r="CG92" s="3">
        <v>0</v>
      </c>
      <c r="CH92" s="3">
        <v>0</v>
      </c>
      <c r="CI92" s="3" t="s">
        <v>112</v>
      </c>
      <c r="CJ92" s="3" t="s">
        <v>112</v>
      </c>
      <c r="CK92" s="3">
        <f>_xlfn.XLOOKUP($B$2,'BASE DE EXCEL'!C:C,'BASE DE EXCEL'!D:D,"NO HAY REFERENCIA")</f>
        <v>470</v>
      </c>
      <c r="CL92" s="5">
        <f>_xlfn.XLOOKUP($B$2,'BASE DE EXCEL'!$C:$C,'BASE DE EXCEL'!F:F,"NO HAY REFERENCIA")</f>
        <v>3</v>
      </c>
      <c r="CM92" s="4">
        <f>_xlfn.XLOOKUP($B$2,'BASE DE EXCEL'!$C:$C,'BASE DE EXCEL'!G:G,"NO HAY REFERENCIA")</f>
        <v>46080</v>
      </c>
      <c r="CN92" s="4">
        <f>_xlfn.XLOOKUP($B$2,'BASE DE EXCEL'!$C:$C,'BASE DE EXCEL'!H:H,"NO HAY REFERENCIA")</f>
        <v>46086</v>
      </c>
      <c r="CO92" s="3">
        <f>_xlfn.XLOOKUP($B$2,'BASE DE EXCEL'!$C:$C,'BASE DE EXCEL'!I:I,"NO HAY REFERENCIA")</f>
        <v>4</v>
      </c>
      <c r="CP92" s="3" t="str">
        <f>_xlfn.XLOOKUP($B$2,'BASE DE EXCEL'!$C:$C,'BASE DE EXCEL'!J:J,"NO HAY REFERENCIA")</f>
        <v>4 a 5 días</v>
      </c>
      <c r="CQ92" s="4">
        <f>_xlfn.XLOOKUP($B$2,'BASE DE EXCEL'!$C:$C,'BASE DE EXCEL'!K:K,"NO HAY REFERENCIA")</f>
        <v>46087</v>
      </c>
      <c r="CR92" s="3">
        <f>_xlfn.XLOOKUP($B$2,'BASE DE EXCEL'!$C:$C,'BASE DE EXCEL'!L:L,"NO HAY REFERENCIA")</f>
        <v>5</v>
      </c>
      <c r="CS92" s="3">
        <f>_xlfn.XLOOKUP($B$2,'BASE DE EXCEL'!$C:$C,'BASE DE EXCEL'!M:M,"NO HAY REFERENCIA")</f>
        <v>6</v>
      </c>
      <c r="CT92" s="3" t="str">
        <f>_xlfn.XLOOKUP($B$2,'BASE DE EXCEL'!$C:$C,'BASE DE EXCEL'!N:N,"NO HAY REFERENCIA")</f>
        <v>6 a 10 días</v>
      </c>
      <c r="CU92" s="3" t="str">
        <f>_xlfn.XLOOKUP($B$2,'BASE DE EXCEL'!$C:$C,'BASE DE EXCEL'!O:O,"NO HAY REFERENCIA")</f>
        <v>On Time</v>
      </c>
      <c r="CV92" s="3" t="str">
        <f>_xlfn.XLOOKUP(B92,'BASE DE EXCEL'!$C:$C,'BASE DE EXCEL'!P:P,"NO HAY REFERENCIA")</f>
        <v>16 o más días</v>
      </c>
      <c r="CW92" s="4">
        <f>_xlfn.XLOOKUP(B92,'BASE DE EXCEL'!$C:$C,'BASE DE EXCEL'!Q:Q,"NO HAY REFERENCIA")</f>
        <v>46086</v>
      </c>
      <c r="CX92" s="3">
        <f>_xlfn.XLOOKUP(B92,'BASE DE EXCEL'!$C:$C,'BASE DE EXCEL'!R:R,"NO HAY REFERENCIA")</f>
        <v>8</v>
      </c>
      <c r="CY92" s="3" t="str">
        <f>_xlfn.XLOOKUP(B92,'BASE DE EXCEL'!$C:$C,'BASE DE EXCEL'!S:S,"NO HAY REFERENCIA")</f>
        <v>6 a 10 días</v>
      </c>
      <c r="CZ92" s="3" t="str">
        <f>_xlfn.XLOOKUP(B92,'BASE DE EXCEL'!$C:$C,'BASE DE EXCEL'!T:T,"NO HAY REFERENCIA")</f>
        <v>Delayed</v>
      </c>
      <c r="DA92" s="3">
        <f>_xlfn.XLOOKUP(B92,'BASE DE EXCEL'!$C:$C,'BASE DE EXCEL'!U:U,"NO HAY REFERENCIA")</f>
        <v>0</v>
      </c>
      <c r="DB92" s="3" t="str">
        <f>_xlfn.XLOOKUP(B92,'BASE DE EXCEL'!$C:$C,'BASE DE EXCEL'!V:V,"NO HAY REFERENCIA")</f>
        <v>Sin Dato</v>
      </c>
      <c r="DC92" s="3">
        <f>_xlfn.XLOOKUP(B92,'BASE DE EXCEL'!$C:$C,'BASE DE EXCEL'!W:W,"NO HAY REFERENCIA")</f>
        <v>20</v>
      </c>
      <c r="DD92" s="3" t="str">
        <f>_xlfn.XLOOKUP(B92,'BASE DE EXCEL'!$C:$C,'BASE DE EXCEL'!X:X,"NO HAY REFERENCIA")</f>
        <v>más de 16 días</v>
      </c>
      <c r="DE92" s="3">
        <f>_xlfn.XLOOKUP(B92,'BASE DE EXCEL'!$C:$C,'BASE DE EXCEL'!Y:Y,"NO HAY REFERENCIA")</f>
        <v>0</v>
      </c>
      <c r="DF92" s="3" t="str">
        <f>_xlfn.XLOOKUP(B92,'BASE DE EXCEL'!$C:$C,'BASE DE EXCEL'!Z:Z,"NO HAY REFERENCIA")</f>
        <v>1 día o menos</v>
      </c>
      <c r="DG92" s="3">
        <f>_xlfn.XLOOKUP(B92,'BASE DE EXCEL'!$C:$C,'BASE DE EXCEL'!AA:AA,"NO HAY REFERENCIA")</f>
        <v>16</v>
      </c>
      <c r="DH92" s="3">
        <f>_xlfn.XLOOKUP(B92,'BASE DE EXCEL'!$C:$C,'BASE DE EXCEL'!AB:AB,"NO HAY REFERENCIA")</f>
        <v>-46091</v>
      </c>
      <c r="DI92" s="3" t="str">
        <f>_xlfn.XLOOKUP(B92,'BASE DE EXCEL'!$C:$C,'BASE DE EXCEL'!AC:AC,"NO HAY REFERENCIA")</f>
        <v>SIN DATO</v>
      </c>
      <c r="DJ92" s="4">
        <f>_xlfn.XLOOKUP(B92,'BASE DE EXCEL'!$C:$C,'BASE DE EXCEL'!AD:AD,"NO HAY REFERENCIA")</f>
        <v>46105</v>
      </c>
      <c r="DK92" s="3">
        <f>_xlfn.XLOOKUP(B92,'BASE DE EXCEL'!$C:$C,'BASE DE EXCEL'!AE:AE,"NO HAY REFERENCIA")</f>
        <v>46102</v>
      </c>
      <c r="DL92" s="3">
        <f>_xlfn.XLOOKUP(B92,'BASE DE EXCEL'!$C:$C,'BASE DE EXCEL'!AF:AF,"NO HAY REFERENCIA")</f>
        <v>32931</v>
      </c>
      <c r="DM92" s="4">
        <f>_xlfn.XLOOKUP(B92,'BASE DE EXCEL'!$C:$C,'BASE DE EXCEL'!AG:AG,"NO HAY REFERENCIA")</f>
        <v>46104</v>
      </c>
      <c r="DN92" s="4">
        <f>_xlfn.XLOOKUP(B92,'BASE DE EXCEL'!$C:$C,'BASE DE EXCEL'!AH:AH,"NO HAY REFERENCIA")</f>
        <v>46105</v>
      </c>
      <c r="DO92" s="3">
        <f>_xlfn.XLOOKUP(B92,'BASE DE EXCEL'!$C:$C,'BASE DE EXCEL'!AI:AI,"NO HAY REFERENCIA")</f>
        <v>1</v>
      </c>
      <c r="DP92" s="4" t="str">
        <f>_xlfn.XLOOKUP(B92,'BASE DE EXCEL'!$C:$C,'BASE DE EXCEL'!AJ:AJ,"NO HAY REFERENCIA")</f>
        <v>SIN DATO</v>
      </c>
      <c r="DQ92" s="4">
        <f>_xlfn.XLOOKUP(B92,'BASE DE EXCEL'!$C:$C,'BASE DE EXCEL'!AK:AK,"NO HAY REFERENCIA")</f>
        <v>46105</v>
      </c>
      <c r="DR92" s="3">
        <f>_xlfn.XLOOKUP(B92,'BASE DE EXCEL'!$C:$C,'BASE DE EXCEL'!AL:AL,"NO HAY REFERENCIA")</f>
        <v>13</v>
      </c>
      <c r="DS92" s="3" t="str">
        <f>_xlfn.XLOOKUP(B92,'BASE DE EXCEL'!$C:$C,'BASE DE EXCEL'!AM:AM,"NO HAY REFERENCIA")</f>
        <v>11 a 15 días</v>
      </c>
      <c r="DT92" s="3" t="str">
        <f>_xlfn.XLOOKUP(B92,'BASE DE EXCEL'!$C:$C,'BASE DE EXCEL'!AN:AN,"NO HAY REFERENCIA")</f>
        <v>Delayed</v>
      </c>
      <c r="DU92" s="3">
        <f>_xlfn.XLOOKUP(B92,'BASE DE EXCEL'!$C:$C,'BASE DE EXCEL'!AO:AO,"NO HAY REFERENCIA")</f>
        <v>0</v>
      </c>
      <c r="DV92" s="3" t="str">
        <f>_xlfn.XLOOKUP(B92,'BASE DE EXCEL'!$C:$C,'BASE DE EXCEL'!AP:AP,"NO HAY REFERENCIA")</f>
        <v>Es anterior</v>
      </c>
      <c r="DW92" s="3" t="str">
        <f>_xlfn.XLOOKUP(B92,'BASE DE EXCEL'!$C:$C,'BASE DE EXCEL'!AQ:AQ,"NO HAY REFERENCIA")</f>
        <v>R1</v>
      </c>
      <c r="DX92" s="3" t="str">
        <f>_xlfn.XLOOKUP(B92,'BASE DE EXCEL'!$C:$C,'BASE DE EXCEL'!AR:AR,"NO HAY REFERENCIA")</f>
        <v>ZULEIMA PEREZ RUIZ</v>
      </c>
      <c r="DY92" s="3" t="str">
        <f>_xlfn.XLOOKUP(B92,'BASE DE EXCEL'!$C:$C,'BASE DE EXCEL'!AS:AS,"NO HAY REFERENCIA")</f>
        <v>HLCURTM260162366</v>
      </c>
      <c r="DZ92" s="3" t="str">
        <f>_xlfn.XLOOKUP(B92,'BASE DE EXCEL'!$C:$C,'BASE DE EXCEL'!AT:AT,"NO HAY REFERENCIA")</f>
        <v>NULL</v>
      </c>
      <c r="EA92" s="3">
        <f>_xlfn.XLOOKUP(B92,'BASE DE EXCEL'!$C:$C,'BASE DE EXCEL'!AU:AU,"NO HAY REFERENCIA")</f>
        <v>6000421</v>
      </c>
      <c r="EB92" s="3" t="str">
        <f>_xlfn.XLOOKUP(B92,'BASE DE EXCEL'!$C:$C,'BASE DE EXCEL'!AV:AV,"NO HAY REFERENCIA")</f>
        <v>Importación</v>
      </c>
      <c r="EC92" s="3" t="str">
        <f>_xlfn.XLOOKUP(B92,'BASE DE EXCEL'!$C:$C,'BASE DE EXCEL'!AW:AW,"NO HAY REFERENCIA")</f>
        <v>NOBILIS MA5+CLONE 30 (VACUNA DE USO VETERINARIO)</v>
      </c>
      <c r="ED92" s="3" t="str">
        <f>_xlfn.XLOOKUP(B92,'BASE DE EXCEL'!$C:$C,'BASE DE EXCEL'!AX:AX,"NO HAY REFERENCIA")</f>
        <v>SIN CLASIFICACION</v>
      </c>
      <c r="EE92" s="3">
        <f>_xlfn.XLOOKUP(B92,'BASE DE EXCEL'!$C:$C,'BASE DE EXCEL'!AY:AY,"NO HAY REFERENCIA")</f>
        <v>0</v>
      </c>
      <c r="EF92" s="3" t="str">
        <f>_xlfn.XLOOKUP(B92,'BASE DE EXCEL'!$C:$C,'BASE DE EXCEL'!AZ:AZ,"NO HAY REFERENCIA")</f>
        <v>Cargas de Importación</v>
      </c>
      <c r="EG92" s="3" t="str">
        <f>_xlfn.XLOOKUP(B92,'BASE DE EXCEL'!$C:$C,'BASE DE EXCEL'!BA:BA,"NO HAY REFERENCIA")</f>
        <v>INTERVET MEXICO SA DE CV</v>
      </c>
      <c r="EH92" s="3">
        <f>_xlfn.XLOOKUP(B92,'BASE DE EXCEL'!$C:$C,'BASE DE EXCEL'!BB:BB,"NO HAY REFERENCIA")</f>
        <v>0</v>
      </c>
      <c r="EI92" s="3">
        <f>_xlfn.XLOOKUP(B92,'BASE DE EXCEL'!$C:$C,'BASE DE EXCEL'!BC:BC,"NO HAY REFERENCIA")</f>
        <v>0</v>
      </c>
      <c r="EJ92" s="3">
        <f>_xlfn.XLOOKUP(B92,'BASE DE EXCEL'!$C:$C,'BASE DE EXCEL'!BD:BD,"NO HAY REFERENCIA")</f>
        <v>0</v>
      </c>
      <c r="EK92" s="3">
        <f>_xlfn.XLOOKUP(B92,'BASE DE EXCEL'!$C:$C,'BASE DE EXCEL'!BE:BE,"NO HAY REFERENCIA")</f>
        <v>0</v>
      </c>
      <c r="EL92" s="3">
        <f>_xlfn.XLOOKUP(B92,'BASE DE EXCEL'!$C:$C,'BASE DE EXCEL'!BF:BF,"NO HAY REFERENCIA")</f>
        <v>0</v>
      </c>
      <c r="EM92" s="3" t="str">
        <f>_xlfn.XLOOKUP(B92,'BASE DE EXCEL'!$C:$C,'BASE DE EXCEL'!BG:BG,"NO HAY REFERENCIA")</f>
        <v>Verde</v>
      </c>
      <c r="EN92" s="3" t="str">
        <f>_xlfn.XLOOKUP(B92,'BASE DE EXCEL'!$C:$C,'BASE DE EXCEL'!BH:BH,"NO HAY REFERENCIA")</f>
        <v>NULL</v>
      </c>
      <c r="EO92" s="3">
        <f>_xlfn.XLOOKUP(B92,'BASE DE EXCEL'!$C:$C,'BASE DE EXCEL'!BI:BI,"NO HAY REFERENCIA")</f>
        <v>0</v>
      </c>
      <c r="EP92" s="3">
        <f>_xlfn.XLOOKUP(B92,'BASE DE EXCEL'!$C:$C,'BASE DE EXCEL'!BJ:BJ,"NO HAY REFERENCIA")</f>
        <v>0</v>
      </c>
      <c r="EQ92" s="3" t="str">
        <f>_xlfn.XLOOKUP(B92,'BASE DE EXCEL'!$C:$C,'BASE DE EXCEL'!BK:BK,"NO HAY REFERENCIA")</f>
        <v>IME850329RH2</v>
      </c>
      <c r="ER92" s="3">
        <f>_xlfn.XLOOKUP(B92,'BASE DE EXCEL'!$C:$C,'BASE DE EXCEL'!BL:BL,"NO HAY REFERENCIA")</f>
        <v>0</v>
      </c>
      <c r="ES92" s="3" t="str">
        <f>_xlfn.XLOOKUP(B92,'BASE DE EXCEL'!$C:$C,'BASE DE EXCEL'!BM:BM,"NO HAY REFERENCIA")</f>
        <v>00,99</v>
      </c>
      <c r="ET92" s="3" t="str">
        <f>_xlfn.XLOOKUP(B92,'BASE DE EXCEL'!$C:$C,'BASE DE EXCEL'!BN:BN,"NO HAY REFERENCIA")</f>
        <v>LOTE: SCBA207A11,LOTE: A053A01,LOTE: A224A01,LOTE: A142A01,LOTE: A247B01,LOTE: A436A02,LOTE: A198A02,LOTE: A489D01,LOTE: A061A01</v>
      </c>
      <c r="EU92" s="3">
        <f>_xlfn.XLOOKUP(B92,'BASE DE EXCEL'!$C:$C,'BASE DE EXCEL'!BO:BO,"NO HAY REFERENCIA")</f>
        <v>90</v>
      </c>
      <c r="EV92" s="3" t="str">
        <f>_xlfn.XLOOKUP(B92,'BASE DE EXCEL'!$C:$C,'BASE DE EXCEL'!BP:BP,"NO HAY REFERENCIA")</f>
        <v xml:space="preserve"> 321379.32, 13019554.91, 1145829.89, 3079396.80</v>
      </c>
      <c r="EW92" s="3" t="str">
        <f>_xlfn.XLOOKUP(B92,'BASE DE EXCEL'!$C:$C,'BASE DE EXCEL'!BQ:BQ,"NO HAY REFERENCIA")</f>
        <v>KILO,KILO,KILO,KILO,KILO,KILO,KILO,KILO,KILO</v>
      </c>
      <c r="EX92" s="3">
        <f>_xlfn.XLOOKUP(B92,'BASE DE EXCEL'!$C:$C,'BASE DE EXCEL'!BR:BR,"NO HAY REFERENCIA")</f>
        <v>0</v>
      </c>
      <c r="EY92" s="3" t="str">
        <f>_xlfn.XLOOKUP(B92,'BASE DE EXCEL'!$C:$C,'BASE DE EXCEL'!BS:BS,"NO HAY REFERENCIA")</f>
        <v>PAISES BAJOS (REINO DE LOS) (HOLANDA)</v>
      </c>
      <c r="EZ92" s="3" t="str">
        <f>_xlfn.XLOOKUP(B92,'BASE DE EXCEL'!$C:$C,'BASE DE EXCEL'!BT:BT,"NO HAY REFERENCIA")</f>
        <v>PAISES BAJOS (REINO DE LOS) (HOLANDA)</v>
      </c>
      <c r="FA92" s="3" t="str">
        <f>_xlfn.XLOOKUP(B92,'BASE DE EXCEL'!$C:$C,'BASE DE EXCEL'!BU:BU,"NO HAY REFERENCIA")</f>
        <v>ZYA</v>
      </c>
      <c r="FB92" s="3" t="str">
        <f>_xlfn.XLOOKUP(B92,'BASE DE EXCEL'!$C:$C,'BASE DE EXCEL'!BV:BV,"NO HAY REFERENCIA")</f>
        <v>ZYA</v>
      </c>
      <c r="FC92" s="3">
        <f>_xlfn.XLOOKUP(B92,QUERY!$C:$C,QUERY!D:D)</f>
        <v>430</v>
      </c>
      <c r="FD92" s="4">
        <f>_xlfn.XLOOKUP(B92,QUERY!$C:$C,QUERY!E:E)</f>
        <v>46093</v>
      </c>
      <c r="FE92" s="3">
        <f>_xlfn.XLOOKUP(B92,QUERY!$C:$C,QUERY!F:F)</f>
        <v>3</v>
      </c>
      <c r="FF92" s="4">
        <f>_xlfn.XLOOKUP(B92,QUERY!$C:$C,QUERY!G:G)</f>
        <v>46077</v>
      </c>
      <c r="FG92" s="4">
        <f>_xlfn.XLOOKUP(B92,QUERY!$C:$C,QUERY!H:H)</f>
        <v>46093</v>
      </c>
      <c r="FH92" s="3">
        <f>_xlfn.XLOOKUP(B92,QUERY!$C:$C,QUERY!I:I)</f>
        <v>12</v>
      </c>
      <c r="FI92" s="3" t="str">
        <f>_xlfn.XLOOKUP(B92,QUERY!$C:$C,QUERY!J:J)</f>
        <v>11 a 15 días</v>
      </c>
      <c r="FJ92" s="4">
        <f>_xlfn.XLOOKUP(B92,QUERY!$C:$C,QUERY!K:K)</f>
        <v>46093</v>
      </c>
      <c r="FK92" s="3">
        <f>_xlfn.XLOOKUP(B92,QUERY!$C:$C,QUERY!L:L)</f>
        <v>12</v>
      </c>
      <c r="FL92" s="3" t="str">
        <f>_xlfn.XLOOKUP(B92,QUERY!$C:$C,QUERY!M:M)</f>
        <v>11 a 15 días</v>
      </c>
      <c r="FM92" s="3">
        <f>_xlfn.XLOOKUP(B92,QUERY!$C:$C,QUERY!N:N)</f>
        <v>0</v>
      </c>
      <c r="FN92" s="3" t="str">
        <f>_xlfn.XLOOKUP(B92,QUERY!$C:$C,QUERY!O:O)</f>
        <v>1 día o menos</v>
      </c>
      <c r="FO92" s="3">
        <f>_xlfn.XLOOKUP(B92,QUERY!$C:$C,QUERY!P:P)</f>
        <v>0</v>
      </c>
      <c r="FP92" s="3">
        <f>_xlfn.XLOOKUP(B92,QUERY!$C:$C,QUERY!Q:Q)</f>
        <v>-2</v>
      </c>
      <c r="FQ92" s="3" t="str">
        <f>_xlfn.XLOOKUP(B92,QUERY!$C:$C,QUERY!R:R)</f>
        <v>Sin dato</v>
      </c>
      <c r="FR92" s="4">
        <f>_xlfn.XLOOKUP(B92,QUERY!$C:$C,QUERY!S:S)</f>
        <v>46091</v>
      </c>
      <c r="FS92" s="3">
        <f>_xlfn.XLOOKUP(B92,QUERY!$C:$C,QUERY!T:T)</f>
        <v>10</v>
      </c>
      <c r="FT92" s="3" t="str">
        <f>_xlfn.XLOOKUP(B92,QUERY!$C:$C,QUERY!U:U)</f>
        <v>6 a 10 días</v>
      </c>
      <c r="FU92" s="3">
        <f>_xlfn.XLOOKUP(B92,QUERY!$C:$C,QUERY!V:V)</f>
        <v>20</v>
      </c>
      <c r="FV92" s="3" t="str">
        <f>_xlfn.XLOOKUP(B92,QUERY!$C:$C,QUERY!W:W)</f>
        <v>más de 16 días</v>
      </c>
      <c r="FW92" s="4">
        <f>_xlfn.XLOOKUP(B92,QUERY!$C:$C,QUERY!X:X)</f>
        <v>46105</v>
      </c>
      <c r="FX92" s="3">
        <f>_xlfn.XLOOKUP(B92,QUERY!$C:$C,QUERY!Y:Y)</f>
        <v>9</v>
      </c>
      <c r="FY92" s="3">
        <f>_xlfn.XLOOKUP(B92,QUERY!$C:$C,QUERY!Z:Z)</f>
        <v>10</v>
      </c>
      <c r="FZ92" s="4" t="str">
        <f>_xlfn.XLOOKUP(B92,QUERY!$C:$C,QUERY!AA:AA)</f>
        <v>11 a 15 días</v>
      </c>
      <c r="GA92" s="4">
        <f>_xlfn.XLOOKUP(B92,QUERY!$C:$C,QUERY!AB:AB)</f>
        <v>46104</v>
      </c>
      <c r="GB92" s="4">
        <f>_xlfn.XLOOKUP(B92,QUERY!$C:$C,QUERY!AC:AC)</f>
        <v>46105</v>
      </c>
      <c r="GC92" s="3">
        <f>_xlfn.XLOOKUP(B92,QUERY!$C:$C,QUERY!AD:AD)</f>
        <v>1</v>
      </c>
      <c r="GD92" s="4">
        <f>_xlfn.XLOOKUP(B92,QUERY!$C:$C,QUERY!AE:AE)</f>
        <v>46105</v>
      </c>
      <c r="GE92" s="3">
        <f>_xlfn.XLOOKUP(B92,QUERY!$C:$C,QUERY!AF:AF)</f>
        <v>1</v>
      </c>
      <c r="GF92" s="4" t="str">
        <f>_xlfn.XLOOKUP(B92,QUERY!$C:$C,QUERY!AG:AG)</f>
        <v>Es anterior</v>
      </c>
      <c r="GG92" s="3" t="str">
        <f>_xlfn.XLOOKUP(B92,QUERY!$C:$C,QUERY!AH:AH)</f>
        <v>R1</v>
      </c>
      <c r="GH92" s="3" t="str">
        <f>_xlfn.XLOOKUP(B92,QUERY!$C:$C,QUERY!AI:AI)</f>
        <v>ZULEIMA PEREZ RUIZ</v>
      </c>
      <c r="GI92" s="3" t="str">
        <f>_xlfn.XLOOKUP(B92,QUERY!$C:$C,QUERY!AJ:AJ)</f>
        <v>HLCURTM260162366</v>
      </c>
      <c r="GJ92" s="3" t="str">
        <f>_xlfn.XLOOKUP(B92,QUERY!$C:$C,QUERY!AK:AK)</f>
        <v>NULL</v>
      </c>
      <c r="GK92" s="3">
        <f>_xlfn.XLOOKUP(B92,QUERY!$C:$C,QUERY!AL:AL)</f>
        <v>6000421</v>
      </c>
      <c r="GL92" s="3" t="str">
        <f>_xlfn.XLOOKUP(B92,QUERY!$C:$C,QUERY!AM:AM)</f>
        <v>Importación</v>
      </c>
      <c r="GM92" s="3" t="str">
        <f>_xlfn.XLOOKUP(B92,QUERY!$C:$C,QUERY!AN:AN)</f>
        <v>NOBILIS MA5+CLONE 30 (VACUNA DE USO VETERINARIO)</v>
      </c>
      <c r="GN92" s="3" t="str">
        <f>_xlfn.XLOOKUP(B92,QUERY!$C:$C,QUERY!AO:AO)</f>
        <v>SIN CLASIFICACION</v>
      </c>
      <c r="GO92" s="3">
        <f>_xlfn.XLOOKUP(B92,QUERY!$C:$C,QUERY!AP:AP)</f>
        <v>0</v>
      </c>
      <c r="GP92" s="3" t="str">
        <f>_xlfn.XLOOKUP(B92,QUERY!$C:$C,QUERY!AQ:AQ)</f>
        <v>Cargas de Importación</v>
      </c>
      <c r="GQ92" s="3" t="str">
        <f>_xlfn.XLOOKUP(B92,QUERY!$C:$C,QUERY!AR:AR)</f>
        <v>INTERVET MEXICO SA DE CV</v>
      </c>
      <c r="GR92" s="3">
        <f>_xlfn.XLOOKUP(B92,QUERY!$C:$C,QUERY!AS:AS)</f>
        <v>0</v>
      </c>
      <c r="GS92" s="3">
        <f>_xlfn.XLOOKUP(B92,QUERY!$C:$C,QUERY!AT:AT)</f>
        <v>0</v>
      </c>
      <c r="GT92" s="3">
        <f>_xlfn.XLOOKUP(B92,QUERY!$C:$C,QUERY!AU:AU)</f>
        <v>0</v>
      </c>
      <c r="GU92" s="3">
        <f>_xlfn.XLOOKUP(B92,QUERY!$C:$C,QUERY!AV:AV)</f>
        <v>0</v>
      </c>
      <c r="GV92" s="3">
        <f>_xlfn.XLOOKUP(B92,QUERY!$C:$C,QUERY!AW:AW)</f>
        <v>0</v>
      </c>
      <c r="GW92" s="3" t="str">
        <f>_xlfn.XLOOKUP(B92,QUERY!$C:$C,QUERY!AX:AX)</f>
        <v>Verde</v>
      </c>
      <c r="GX92" s="3" t="str">
        <f>_xlfn.XLOOKUP(B92,QUERY!$C:$C,QUERY!AY:AY)</f>
        <v>NULL</v>
      </c>
      <c r="GY92" s="3">
        <f>_xlfn.XLOOKUP(B92,QUERY!$C:$C,QUERY!AZ:AZ)</f>
        <v>0</v>
      </c>
      <c r="GZ92" s="3">
        <f>_xlfn.XLOOKUP(B92,QUERY!$C:$C,QUERY!BA:BA)</f>
        <v>0</v>
      </c>
      <c r="HA92" s="3" t="str">
        <f>_xlfn.XLOOKUP(B92,QUERY!$C:$C,QUERY!BB:BB)</f>
        <v>IME850329RH2</v>
      </c>
      <c r="HB92" s="3">
        <f>_xlfn.XLOOKUP(B92,QUERY!$C:$C,QUERY!BC:BC)</f>
        <v>0</v>
      </c>
      <c r="HC92" s="3">
        <f>_xlfn.XLOOKUP(B92,QUERY!$C:$C,QUERY!BD:BD)</f>
        <v>0.99</v>
      </c>
      <c r="HD92" s="3" t="str">
        <f>_xlfn.XLOOKUP(B92,QUERY!$C:$C,QUERY!BE:BE)</f>
        <v>LOTE: SCBA207A11,LOTE: A053A01,LOTE: A224A01,LOTE: A142A01,LOTE: A247B01,LOTE: A436A02,LOTE: A198A02,LOTE: A489D01,LOTE: A061A01</v>
      </c>
      <c r="HE92" s="3">
        <f>_xlfn.XLOOKUP(B92,QUERY!$C:$C,QUERY!BF:BF)</f>
        <v>90</v>
      </c>
      <c r="HF92" s="3" t="str">
        <f>_xlfn.XLOOKUP(B92,QUERY!$C:$C,QUERY!BG:BG)</f>
        <v xml:space="preserve"> 321379.32, 13019554.91, 1145829.89, 3079396.80</v>
      </c>
      <c r="HG92" s="3" t="str">
        <f>_xlfn.XLOOKUP(B92,QUERY!$C:$C,QUERY!BH:BH)</f>
        <v>KILO,KILO,KILO,KILO,KILO,KILO,KILO,KILO,KILO</v>
      </c>
      <c r="HH92" s="3">
        <f>_xlfn.XLOOKUP(B92,QUERY!$C:$C,QUERY!BI:BI)</f>
        <v>0</v>
      </c>
      <c r="HI92" s="3" t="str">
        <f>_xlfn.XLOOKUP(B92,QUERY!$C:$C,QUERY!BJ:BJ)</f>
        <v>PAISES BAJOS (REINO DE LOS) (HOLANDA)</v>
      </c>
      <c r="HJ92" s="3" t="str">
        <f>_xlfn.XLOOKUP(B92,QUERY!$C:$C,QUERY!BK:BK)</f>
        <v>PAISES BAJOS (REINO DE LOS) (HOLANDA)</v>
      </c>
      <c r="HK92" s="3" t="str">
        <f>_xlfn.XLOOKUP(B92,QUERY!$C:$C,QUERY!BL:BL)</f>
        <v>ZYA</v>
      </c>
      <c r="HL92" s="3" t="str">
        <f>_xlfn.XLOOKUP(B92,QUERY!$C:$C,QUERY!BM:BM)</f>
        <v>ZYA</v>
      </c>
      <c r="HM92" s="3">
        <f>_xlfn.XLOOKUP(B92,QUERY!$C:$C,QUERY!BN:BN)</f>
        <v>17566160</v>
      </c>
      <c r="HN92" s="3" t="str">
        <f>_xlfn.XLOOKUP(B92,QUERY!$C:$C,QUERY!BO:BO)</f>
        <v>444.00</v>
      </c>
      <c r="HO92" s="3" t="str">
        <f>_xlfn.XLOOKUP(B92,QUERY!$C:$C,QUERY!BP:BP)</f>
        <v>NULL</v>
      </c>
      <c r="HP92" s="3" t="str">
        <f>_xlfn.XLOOKUP(B92,QUERY!$C:$C,QUERY!BQ:BQ)</f>
        <v>NULL</v>
      </c>
      <c r="HQ92" s="3" t="str">
        <f>_xlfn.XLOOKUP(B92,QUERY!$C:$C,QUERY!BR:BR)</f>
        <v>250436.84</v>
      </c>
      <c r="HR92" s="3">
        <f>_xlfn.XLOOKUP(B92,QUERY!$C:$C,QUERY!BS:BS)</f>
        <v>0</v>
      </c>
      <c r="HS92" s="3">
        <f>_xlfn.XLOOKUP(B92,QUERY!$C:$C,QUERY!BT:BT)</f>
        <v>0</v>
      </c>
      <c r="HT92" s="3" t="str">
        <f>_xlfn.XLOOKUP(B92,QUERY!$C:$C,QUERY!A:A)</f>
        <v>VERACRUZ</v>
      </c>
      <c r="HU92" s="3" t="str">
        <f>_xlfn.XLOOKUP(B92,QUERY!$C:$C,QUERY!B:B)</f>
        <v>MARÍTIMO VERACRUZ</v>
      </c>
    </row>
    <row r="93" spans="1:229" x14ac:dyDescent="0.25">
      <c r="A93" s="3" t="s">
        <v>90</v>
      </c>
      <c r="B93" s="3" t="s">
        <v>346</v>
      </c>
      <c r="C93" s="3">
        <v>3942</v>
      </c>
      <c r="D93" s="3">
        <v>6000421</v>
      </c>
      <c r="E93" s="3">
        <v>6000418</v>
      </c>
      <c r="F93" s="3" t="s">
        <v>92</v>
      </c>
      <c r="G93" s="3" t="s">
        <v>342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430</v>
      </c>
      <c r="S93" s="3" t="s">
        <v>258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 t="s">
        <v>262</v>
      </c>
      <c r="AB93" s="3"/>
      <c r="AC93" s="3">
        <v>414126</v>
      </c>
      <c r="AD93" s="3">
        <v>690.21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/>
      <c r="AP93" s="3" t="s">
        <v>98</v>
      </c>
      <c r="AQ93" s="3">
        <v>210365020</v>
      </c>
      <c r="AR93" s="3" t="s">
        <v>99</v>
      </c>
      <c r="AS93" s="3" t="s">
        <v>100</v>
      </c>
      <c r="AT93" s="3">
        <v>0</v>
      </c>
      <c r="AU93" s="3">
        <v>0</v>
      </c>
      <c r="AV93" s="3">
        <v>0</v>
      </c>
      <c r="AW93" s="3">
        <v>30024201</v>
      </c>
      <c r="AX93" s="3">
        <v>99</v>
      </c>
      <c r="AY93" s="3">
        <v>600</v>
      </c>
      <c r="AZ93" s="3">
        <v>600</v>
      </c>
      <c r="BA93" s="3" t="s">
        <v>103</v>
      </c>
      <c r="BB93" s="3"/>
      <c r="BC93" s="3" t="s">
        <v>105</v>
      </c>
      <c r="BD93" s="3" t="s">
        <v>105</v>
      </c>
      <c r="BE93" s="3"/>
      <c r="BF93" s="3"/>
      <c r="BG93" s="5"/>
      <c r="BH93" s="3"/>
      <c r="BI93" s="3"/>
      <c r="BJ93" s="3"/>
      <c r="BK93" s="3" t="s">
        <v>263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 t="s">
        <v>192</v>
      </c>
      <c r="CF93" s="3">
        <v>0</v>
      </c>
      <c r="CG93" s="3">
        <v>0</v>
      </c>
      <c r="CH93" s="3">
        <v>0</v>
      </c>
      <c r="CI93" s="3" t="s">
        <v>112</v>
      </c>
      <c r="CJ93" s="3" t="s">
        <v>112</v>
      </c>
      <c r="CK93" s="3">
        <f>_xlfn.XLOOKUP($B$2,'BASE DE EXCEL'!C:C,'BASE DE EXCEL'!D:D,"NO HAY REFERENCIA")</f>
        <v>470</v>
      </c>
      <c r="CL93" s="5">
        <f>_xlfn.XLOOKUP($B$2,'BASE DE EXCEL'!$C:$C,'BASE DE EXCEL'!F:F,"NO HAY REFERENCIA")</f>
        <v>3</v>
      </c>
      <c r="CM93" s="4">
        <f>_xlfn.XLOOKUP($B$2,'BASE DE EXCEL'!$C:$C,'BASE DE EXCEL'!G:G,"NO HAY REFERENCIA")</f>
        <v>46080</v>
      </c>
      <c r="CN93" s="4">
        <f>_xlfn.XLOOKUP($B$2,'BASE DE EXCEL'!$C:$C,'BASE DE EXCEL'!H:H,"NO HAY REFERENCIA")</f>
        <v>46086</v>
      </c>
      <c r="CO93" s="3">
        <f>_xlfn.XLOOKUP($B$2,'BASE DE EXCEL'!$C:$C,'BASE DE EXCEL'!I:I,"NO HAY REFERENCIA")</f>
        <v>4</v>
      </c>
      <c r="CP93" s="3" t="str">
        <f>_xlfn.XLOOKUP($B$2,'BASE DE EXCEL'!$C:$C,'BASE DE EXCEL'!J:J,"NO HAY REFERENCIA")</f>
        <v>4 a 5 días</v>
      </c>
      <c r="CQ93" s="4">
        <f>_xlfn.XLOOKUP($B$2,'BASE DE EXCEL'!$C:$C,'BASE DE EXCEL'!K:K,"NO HAY REFERENCIA")</f>
        <v>46087</v>
      </c>
      <c r="CR93" s="3">
        <f>_xlfn.XLOOKUP($B$2,'BASE DE EXCEL'!$C:$C,'BASE DE EXCEL'!L:L,"NO HAY REFERENCIA")</f>
        <v>5</v>
      </c>
      <c r="CS93" s="3">
        <f>_xlfn.XLOOKUP($B$2,'BASE DE EXCEL'!$C:$C,'BASE DE EXCEL'!M:M,"NO HAY REFERENCIA")</f>
        <v>6</v>
      </c>
      <c r="CT93" s="3" t="str">
        <f>_xlfn.XLOOKUP($B$2,'BASE DE EXCEL'!$C:$C,'BASE DE EXCEL'!N:N,"NO HAY REFERENCIA")</f>
        <v>6 a 10 días</v>
      </c>
      <c r="CU93" s="3" t="str">
        <f>_xlfn.XLOOKUP($B$2,'BASE DE EXCEL'!$C:$C,'BASE DE EXCEL'!O:O,"NO HAY REFERENCIA")</f>
        <v>On Time</v>
      </c>
      <c r="CV93" s="3" t="str">
        <f>_xlfn.XLOOKUP(B93,'BASE DE EXCEL'!$C:$C,'BASE DE EXCEL'!P:P,"NO HAY REFERENCIA")</f>
        <v>16 o más días</v>
      </c>
      <c r="CW93" s="4">
        <f>_xlfn.XLOOKUP(B93,'BASE DE EXCEL'!$C:$C,'BASE DE EXCEL'!Q:Q,"NO HAY REFERENCIA")</f>
        <v>46086</v>
      </c>
      <c r="CX93" s="3">
        <f>_xlfn.XLOOKUP(B93,'BASE DE EXCEL'!$C:$C,'BASE DE EXCEL'!R:R,"NO HAY REFERENCIA")</f>
        <v>8</v>
      </c>
      <c r="CY93" s="3" t="str">
        <f>_xlfn.XLOOKUP(B93,'BASE DE EXCEL'!$C:$C,'BASE DE EXCEL'!S:S,"NO HAY REFERENCIA")</f>
        <v>6 a 10 días</v>
      </c>
      <c r="CZ93" s="3" t="str">
        <f>_xlfn.XLOOKUP(B93,'BASE DE EXCEL'!$C:$C,'BASE DE EXCEL'!T:T,"NO HAY REFERENCIA")</f>
        <v>Delayed</v>
      </c>
      <c r="DA93" s="3">
        <f>_xlfn.XLOOKUP(B93,'BASE DE EXCEL'!$C:$C,'BASE DE EXCEL'!U:U,"NO HAY REFERENCIA")</f>
        <v>0</v>
      </c>
      <c r="DB93" s="3" t="str">
        <f>_xlfn.XLOOKUP(B93,'BASE DE EXCEL'!$C:$C,'BASE DE EXCEL'!V:V,"NO HAY REFERENCIA")</f>
        <v>Sin Dato</v>
      </c>
      <c r="DC93" s="3">
        <f>_xlfn.XLOOKUP(B93,'BASE DE EXCEL'!$C:$C,'BASE DE EXCEL'!W:W,"NO HAY REFERENCIA")</f>
        <v>20</v>
      </c>
      <c r="DD93" s="3" t="str">
        <f>_xlfn.XLOOKUP(B93,'BASE DE EXCEL'!$C:$C,'BASE DE EXCEL'!X:X,"NO HAY REFERENCIA")</f>
        <v>más de 16 días</v>
      </c>
      <c r="DE93" s="3">
        <f>_xlfn.XLOOKUP(B93,'BASE DE EXCEL'!$C:$C,'BASE DE EXCEL'!Y:Y,"NO HAY REFERENCIA")</f>
        <v>0</v>
      </c>
      <c r="DF93" s="3" t="str">
        <f>_xlfn.XLOOKUP(B93,'BASE DE EXCEL'!$C:$C,'BASE DE EXCEL'!Z:Z,"NO HAY REFERENCIA")</f>
        <v>1 día o menos</v>
      </c>
      <c r="DG93" s="3">
        <f>_xlfn.XLOOKUP(B93,'BASE DE EXCEL'!$C:$C,'BASE DE EXCEL'!AA:AA,"NO HAY REFERENCIA")</f>
        <v>16</v>
      </c>
      <c r="DH93" s="3">
        <f>_xlfn.XLOOKUP(B93,'BASE DE EXCEL'!$C:$C,'BASE DE EXCEL'!AB:AB,"NO HAY REFERENCIA")</f>
        <v>-46091</v>
      </c>
      <c r="DI93" s="3" t="str">
        <f>_xlfn.XLOOKUP(B93,'BASE DE EXCEL'!$C:$C,'BASE DE EXCEL'!AC:AC,"NO HAY REFERENCIA")</f>
        <v>SIN DATO</v>
      </c>
      <c r="DJ93" s="4">
        <f>_xlfn.XLOOKUP(B93,'BASE DE EXCEL'!$C:$C,'BASE DE EXCEL'!AD:AD,"NO HAY REFERENCIA")</f>
        <v>46105</v>
      </c>
      <c r="DK93" s="3">
        <f>_xlfn.XLOOKUP(B93,'BASE DE EXCEL'!$C:$C,'BASE DE EXCEL'!AE:AE,"NO HAY REFERENCIA")</f>
        <v>46102</v>
      </c>
      <c r="DL93" s="3">
        <f>_xlfn.XLOOKUP(B93,'BASE DE EXCEL'!$C:$C,'BASE DE EXCEL'!AF:AF,"NO HAY REFERENCIA")</f>
        <v>32931</v>
      </c>
      <c r="DM93" s="4">
        <f>_xlfn.XLOOKUP(B93,'BASE DE EXCEL'!$C:$C,'BASE DE EXCEL'!AG:AG,"NO HAY REFERENCIA")</f>
        <v>46104</v>
      </c>
      <c r="DN93" s="4">
        <f>_xlfn.XLOOKUP(B93,'BASE DE EXCEL'!$C:$C,'BASE DE EXCEL'!AH:AH,"NO HAY REFERENCIA")</f>
        <v>46105</v>
      </c>
      <c r="DO93" s="3">
        <f>_xlfn.XLOOKUP(B93,'BASE DE EXCEL'!$C:$C,'BASE DE EXCEL'!AI:AI,"NO HAY REFERENCIA")</f>
        <v>1</v>
      </c>
      <c r="DP93" s="4" t="str">
        <f>_xlfn.XLOOKUP(B93,'BASE DE EXCEL'!$C:$C,'BASE DE EXCEL'!AJ:AJ,"NO HAY REFERENCIA")</f>
        <v>SIN DATO</v>
      </c>
      <c r="DQ93" s="4">
        <f>_xlfn.XLOOKUP(B93,'BASE DE EXCEL'!$C:$C,'BASE DE EXCEL'!AK:AK,"NO HAY REFERENCIA")</f>
        <v>46105</v>
      </c>
      <c r="DR93" s="3">
        <f>_xlfn.XLOOKUP(B93,'BASE DE EXCEL'!$C:$C,'BASE DE EXCEL'!AL:AL,"NO HAY REFERENCIA")</f>
        <v>13</v>
      </c>
      <c r="DS93" s="3" t="str">
        <f>_xlfn.XLOOKUP(B93,'BASE DE EXCEL'!$C:$C,'BASE DE EXCEL'!AM:AM,"NO HAY REFERENCIA")</f>
        <v>11 a 15 días</v>
      </c>
      <c r="DT93" s="3" t="str">
        <f>_xlfn.XLOOKUP(B93,'BASE DE EXCEL'!$C:$C,'BASE DE EXCEL'!AN:AN,"NO HAY REFERENCIA")</f>
        <v>Delayed</v>
      </c>
      <c r="DU93" s="3">
        <f>_xlfn.XLOOKUP(B93,'BASE DE EXCEL'!$C:$C,'BASE DE EXCEL'!AO:AO,"NO HAY REFERENCIA")</f>
        <v>0</v>
      </c>
      <c r="DV93" s="3" t="str">
        <f>_xlfn.XLOOKUP(B93,'BASE DE EXCEL'!$C:$C,'BASE DE EXCEL'!AP:AP,"NO HAY REFERENCIA")</f>
        <v>Es anterior</v>
      </c>
      <c r="DW93" s="3" t="str">
        <f>_xlfn.XLOOKUP(B93,'BASE DE EXCEL'!$C:$C,'BASE DE EXCEL'!AQ:AQ,"NO HAY REFERENCIA")</f>
        <v>R1</v>
      </c>
      <c r="DX93" s="3" t="str">
        <f>_xlfn.XLOOKUP(B93,'BASE DE EXCEL'!$C:$C,'BASE DE EXCEL'!AR:AR,"NO HAY REFERENCIA")</f>
        <v>ZULEIMA PEREZ RUIZ</v>
      </c>
      <c r="DY93" s="3" t="str">
        <f>_xlfn.XLOOKUP(B93,'BASE DE EXCEL'!$C:$C,'BASE DE EXCEL'!AS:AS,"NO HAY REFERENCIA")</f>
        <v>HLCURTM260162366</v>
      </c>
      <c r="DZ93" s="3" t="str">
        <f>_xlfn.XLOOKUP(B93,'BASE DE EXCEL'!$C:$C,'BASE DE EXCEL'!AT:AT,"NO HAY REFERENCIA")</f>
        <v>NULL</v>
      </c>
      <c r="EA93" s="3">
        <f>_xlfn.XLOOKUP(B93,'BASE DE EXCEL'!$C:$C,'BASE DE EXCEL'!AU:AU,"NO HAY REFERENCIA")</f>
        <v>6000421</v>
      </c>
      <c r="EB93" s="3" t="str">
        <f>_xlfn.XLOOKUP(B93,'BASE DE EXCEL'!$C:$C,'BASE DE EXCEL'!AV:AV,"NO HAY REFERENCIA")</f>
        <v>Importación</v>
      </c>
      <c r="EC93" s="3" t="str">
        <f>_xlfn.XLOOKUP(B93,'BASE DE EXCEL'!$C:$C,'BASE DE EXCEL'!AW:AW,"NO HAY REFERENCIA")</f>
        <v>NOBILIS MA5+CLONE 30 (VACUNA DE USO VETERINARIO)</v>
      </c>
      <c r="ED93" s="3" t="str">
        <f>_xlfn.XLOOKUP(B93,'BASE DE EXCEL'!$C:$C,'BASE DE EXCEL'!AX:AX,"NO HAY REFERENCIA")</f>
        <v>SIN CLASIFICACION</v>
      </c>
      <c r="EE93" s="3">
        <f>_xlfn.XLOOKUP(B93,'BASE DE EXCEL'!$C:$C,'BASE DE EXCEL'!AY:AY,"NO HAY REFERENCIA")</f>
        <v>0</v>
      </c>
      <c r="EF93" s="3" t="str">
        <f>_xlfn.XLOOKUP(B93,'BASE DE EXCEL'!$C:$C,'BASE DE EXCEL'!AZ:AZ,"NO HAY REFERENCIA")</f>
        <v>Cargas de Importación</v>
      </c>
      <c r="EG93" s="3" t="str">
        <f>_xlfn.XLOOKUP(B93,'BASE DE EXCEL'!$C:$C,'BASE DE EXCEL'!BA:BA,"NO HAY REFERENCIA")</f>
        <v>INTERVET MEXICO SA DE CV</v>
      </c>
      <c r="EH93" s="3">
        <f>_xlfn.XLOOKUP(B93,'BASE DE EXCEL'!$C:$C,'BASE DE EXCEL'!BB:BB,"NO HAY REFERENCIA")</f>
        <v>0</v>
      </c>
      <c r="EI93" s="3">
        <f>_xlfn.XLOOKUP(B93,'BASE DE EXCEL'!$C:$C,'BASE DE EXCEL'!BC:BC,"NO HAY REFERENCIA")</f>
        <v>0</v>
      </c>
      <c r="EJ93" s="3">
        <f>_xlfn.XLOOKUP(B93,'BASE DE EXCEL'!$C:$C,'BASE DE EXCEL'!BD:BD,"NO HAY REFERENCIA")</f>
        <v>0</v>
      </c>
      <c r="EK93" s="3">
        <f>_xlfn.XLOOKUP(B93,'BASE DE EXCEL'!$C:$C,'BASE DE EXCEL'!BE:BE,"NO HAY REFERENCIA")</f>
        <v>0</v>
      </c>
      <c r="EL93" s="3">
        <f>_xlfn.XLOOKUP(B93,'BASE DE EXCEL'!$C:$C,'BASE DE EXCEL'!BF:BF,"NO HAY REFERENCIA")</f>
        <v>0</v>
      </c>
      <c r="EM93" s="3" t="str">
        <f>_xlfn.XLOOKUP(B93,'BASE DE EXCEL'!$C:$C,'BASE DE EXCEL'!BG:BG,"NO HAY REFERENCIA")</f>
        <v>Verde</v>
      </c>
      <c r="EN93" s="3" t="str">
        <f>_xlfn.XLOOKUP(B93,'BASE DE EXCEL'!$C:$C,'BASE DE EXCEL'!BH:BH,"NO HAY REFERENCIA")</f>
        <v>NULL</v>
      </c>
      <c r="EO93" s="3">
        <f>_xlfn.XLOOKUP(B93,'BASE DE EXCEL'!$C:$C,'BASE DE EXCEL'!BI:BI,"NO HAY REFERENCIA")</f>
        <v>0</v>
      </c>
      <c r="EP93" s="3">
        <f>_xlfn.XLOOKUP(B93,'BASE DE EXCEL'!$C:$C,'BASE DE EXCEL'!BJ:BJ,"NO HAY REFERENCIA")</f>
        <v>0</v>
      </c>
      <c r="EQ93" s="3" t="str">
        <f>_xlfn.XLOOKUP(B93,'BASE DE EXCEL'!$C:$C,'BASE DE EXCEL'!BK:BK,"NO HAY REFERENCIA")</f>
        <v>IME850329RH2</v>
      </c>
      <c r="ER93" s="3">
        <f>_xlfn.XLOOKUP(B93,'BASE DE EXCEL'!$C:$C,'BASE DE EXCEL'!BL:BL,"NO HAY REFERENCIA")</f>
        <v>0</v>
      </c>
      <c r="ES93" s="3" t="str">
        <f>_xlfn.XLOOKUP(B93,'BASE DE EXCEL'!$C:$C,'BASE DE EXCEL'!BM:BM,"NO HAY REFERENCIA")</f>
        <v>00,99</v>
      </c>
      <c r="ET93" s="3" t="str">
        <f>_xlfn.XLOOKUP(B93,'BASE DE EXCEL'!$C:$C,'BASE DE EXCEL'!BN:BN,"NO HAY REFERENCIA")</f>
        <v>LOTE: SCBA207A11,LOTE: A053A01,LOTE: A224A01,LOTE: A142A01,LOTE: A247B01,LOTE: A436A02,LOTE: A198A02,LOTE: A489D01,LOTE: A061A01</v>
      </c>
      <c r="EU93" s="3">
        <f>_xlfn.XLOOKUP(B93,'BASE DE EXCEL'!$C:$C,'BASE DE EXCEL'!BO:BO,"NO HAY REFERENCIA")</f>
        <v>90</v>
      </c>
      <c r="EV93" s="3" t="str">
        <f>_xlfn.XLOOKUP(B93,'BASE DE EXCEL'!$C:$C,'BASE DE EXCEL'!BP:BP,"NO HAY REFERENCIA")</f>
        <v xml:space="preserve"> 321379.32, 13019554.91, 1145829.89, 3079396.80</v>
      </c>
      <c r="EW93" s="3" t="str">
        <f>_xlfn.XLOOKUP(B93,'BASE DE EXCEL'!$C:$C,'BASE DE EXCEL'!BQ:BQ,"NO HAY REFERENCIA")</f>
        <v>KILO,KILO,KILO,KILO,KILO,KILO,KILO,KILO,KILO</v>
      </c>
      <c r="EX93" s="3">
        <f>_xlfn.XLOOKUP(B93,'BASE DE EXCEL'!$C:$C,'BASE DE EXCEL'!BR:BR,"NO HAY REFERENCIA")</f>
        <v>0</v>
      </c>
      <c r="EY93" s="3" t="str">
        <f>_xlfn.XLOOKUP(B93,'BASE DE EXCEL'!$C:$C,'BASE DE EXCEL'!BS:BS,"NO HAY REFERENCIA")</f>
        <v>PAISES BAJOS (REINO DE LOS) (HOLANDA)</v>
      </c>
      <c r="EZ93" s="3" t="str">
        <f>_xlfn.XLOOKUP(B93,'BASE DE EXCEL'!$C:$C,'BASE DE EXCEL'!BT:BT,"NO HAY REFERENCIA")</f>
        <v>PAISES BAJOS (REINO DE LOS) (HOLANDA)</v>
      </c>
      <c r="FA93" s="3" t="str">
        <f>_xlfn.XLOOKUP(B93,'BASE DE EXCEL'!$C:$C,'BASE DE EXCEL'!BU:BU,"NO HAY REFERENCIA")</f>
        <v>ZYA</v>
      </c>
      <c r="FB93" s="3" t="str">
        <f>_xlfn.XLOOKUP(B93,'BASE DE EXCEL'!$C:$C,'BASE DE EXCEL'!BV:BV,"NO HAY REFERENCIA")</f>
        <v>ZYA</v>
      </c>
      <c r="FC93" s="3">
        <f>_xlfn.XLOOKUP(B93,QUERY!$C:$C,QUERY!D:D)</f>
        <v>430</v>
      </c>
      <c r="FD93" s="4">
        <f>_xlfn.XLOOKUP(B93,QUERY!$C:$C,QUERY!E:E)</f>
        <v>46093</v>
      </c>
      <c r="FE93" s="3">
        <f>_xlfn.XLOOKUP(B93,QUERY!$C:$C,QUERY!F:F)</f>
        <v>3</v>
      </c>
      <c r="FF93" s="4">
        <f>_xlfn.XLOOKUP(B93,QUERY!$C:$C,QUERY!G:G)</f>
        <v>46077</v>
      </c>
      <c r="FG93" s="4">
        <f>_xlfn.XLOOKUP(B93,QUERY!$C:$C,QUERY!H:H)</f>
        <v>46093</v>
      </c>
      <c r="FH93" s="3">
        <f>_xlfn.XLOOKUP(B93,QUERY!$C:$C,QUERY!I:I)</f>
        <v>12</v>
      </c>
      <c r="FI93" s="3" t="str">
        <f>_xlfn.XLOOKUP(B93,QUERY!$C:$C,QUERY!J:J)</f>
        <v>11 a 15 días</v>
      </c>
      <c r="FJ93" s="4">
        <f>_xlfn.XLOOKUP(B93,QUERY!$C:$C,QUERY!K:K)</f>
        <v>46093</v>
      </c>
      <c r="FK93" s="3">
        <f>_xlfn.XLOOKUP(B93,QUERY!$C:$C,QUERY!L:L)</f>
        <v>12</v>
      </c>
      <c r="FL93" s="3" t="str">
        <f>_xlfn.XLOOKUP(B93,QUERY!$C:$C,QUERY!M:M)</f>
        <v>11 a 15 días</v>
      </c>
      <c r="FM93" s="3">
        <f>_xlfn.XLOOKUP(B93,QUERY!$C:$C,QUERY!N:N)</f>
        <v>0</v>
      </c>
      <c r="FN93" s="3" t="str">
        <f>_xlfn.XLOOKUP(B93,QUERY!$C:$C,QUERY!O:O)</f>
        <v>1 día o menos</v>
      </c>
      <c r="FO93" s="3">
        <f>_xlfn.XLOOKUP(B93,QUERY!$C:$C,QUERY!P:P)</f>
        <v>0</v>
      </c>
      <c r="FP93" s="3">
        <f>_xlfn.XLOOKUP(B93,QUERY!$C:$C,QUERY!Q:Q)</f>
        <v>-2</v>
      </c>
      <c r="FQ93" s="3" t="str">
        <f>_xlfn.XLOOKUP(B93,QUERY!$C:$C,QUERY!R:R)</f>
        <v>Sin dato</v>
      </c>
      <c r="FR93" s="4">
        <f>_xlfn.XLOOKUP(B93,QUERY!$C:$C,QUERY!S:S)</f>
        <v>46091</v>
      </c>
      <c r="FS93" s="3">
        <f>_xlfn.XLOOKUP(B93,QUERY!$C:$C,QUERY!T:T)</f>
        <v>10</v>
      </c>
      <c r="FT93" s="3" t="str">
        <f>_xlfn.XLOOKUP(B93,QUERY!$C:$C,QUERY!U:U)</f>
        <v>6 a 10 días</v>
      </c>
      <c r="FU93" s="3">
        <f>_xlfn.XLOOKUP(B93,QUERY!$C:$C,QUERY!V:V)</f>
        <v>20</v>
      </c>
      <c r="FV93" s="3" t="str">
        <f>_xlfn.XLOOKUP(B93,QUERY!$C:$C,QUERY!W:W)</f>
        <v>más de 16 días</v>
      </c>
      <c r="FW93" s="4">
        <f>_xlfn.XLOOKUP(B93,QUERY!$C:$C,QUERY!X:X)</f>
        <v>46105</v>
      </c>
      <c r="FX93" s="3">
        <f>_xlfn.XLOOKUP(B93,QUERY!$C:$C,QUERY!Y:Y)</f>
        <v>9</v>
      </c>
      <c r="FY93" s="3">
        <f>_xlfn.XLOOKUP(B93,QUERY!$C:$C,QUERY!Z:Z)</f>
        <v>10</v>
      </c>
      <c r="FZ93" s="4" t="str">
        <f>_xlfn.XLOOKUP(B93,QUERY!$C:$C,QUERY!AA:AA)</f>
        <v>11 a 15 días</v>
      </c>
      <c r="GA93" s="4">
        <f>_xlfn.XLOOKUP(B93,QUERY!$C:$C,QUERY!AB:AB)</f>
        <v>46104</v>
      </c>
      <c r="GB93" s="4">
        <f>_xlfn.XLOOKUP(B93,QUERY!$C:$C,QUERY!AC:AC)</f>
        <v>46105</v>
      </c>
      <c r="GC93" s="3">
        <f>_xlfn.XLOOKUP(B93,QUERY!$C:$C,QUERY!AD:AD)</f>
        <v>1</v>
      </c>
      <c r="GD93" s="4">
        <f>_xlfn.XLOOKUP(B93,QUERY!$C:$C,QUERY!AE:AE)</f>
        <v>46105</v>
      </c>
      <c r="GE93" s="3">
        <f>_xlfn.XLOOKUP(B93,QUERY!$C:$C,QUERY!AF:AF)</f>
        <v>1</v>
      </c>
      <c r="GF93" s="4" t="str">
        <f>_xlfn.XLOOKUP(B93,QUERY!$C:$C,QUERY!AG:AG)</f>
        <v>Es anterior</v>
      </c>
      <c r="GG93" s="3" t="str">
        <f>_xlfn.XLOOKUP(B93,QUERY!$C:$C,QUERY!AH:AH)</f>
        <v>R1</v>
      </c>
      <c r="GH93" s="3" t="str">
        <f>_xlfn.XLOOKUP(B93,QUERY!$C:$C,QUERY!AI:AI)</f>
        <v>ZULEIMA PEREZ RUIZ</v>
      </c>
      <c r="GI93" s="3" t="str">
        <f>_xlfn.XLOOKUP(B93,QUERY!$C:$C,QUERY!AJ:AJ)</f>
        <v>HLCURTM260162366</v>
      </c>
      <c r="GJ93" s="3" t="str">
        <f>_xlfn.XLOOKUP(B93,QUERY!$C:$C,QUERY!AK:AK)</f>
        <v>NULL</v>
      </c>
      <c r="GK93" s="3">
        <f>_xlfn.XLOOKUP(B93,QUERY!$C:$C,QUERY!AL:AL)</f>
        <v>6000421</v>
      </c>
      <c r="GL93" s="3" t="str">
        <f>_xlfn.XLOOKUP(B93,QUERY!$C:$C,QUERY!AM:AM)</f>
        <v>Importación</v>
      </c>
      <c r="GM93" s="3" t="str">
        <f>_xlfn.XLOOKUP(B93,QUERY!$C:$C,QUERY!AN:AN)</f>
        <v>NOBILIS MA5+CLONE 30 (VACUNA DE USO VETERINARIO)</v>
      </c>
      <c r="GN93" s="3" t="str">
        <f>_xlfn.XLOOKUP(B93,QUERY!$C:$C,QUERY!AO:AO)</f>
        <v>SIN CLASIFICACION</v>
      </c>
      <c r="GO93" s="3">
        <f>_xlfn.XLOOKUP(B93,QUERY!$C:$C,QUERY!AP:AP)</f>
        <v>0</v>
      </c>
      <c r="GP93" s="3" t="str">
        <f>_xlfn.XLOOKUP(B93,QUERY!$C:$C,QUERY!AQ:AQ)</f>
        <v>Cargas de Importación</v>
      </c>
      <c r="GQ93" s="3" t="str">
        <f>_xlfn.XLOOKUP(B93,QUERY!$C:$C,QUERY!AR:AR)</f>
        <v>INTERVET MEXICO SA DE CV</v>
      </c>
      <c r="GR93" s="3">
        <f>_xlfn.XLOOKUP(B93,QUERY!$C:$C,QUERY!AS:AS)</f>
        <v>0</v>
      </c>
      <c r="GS93" s="3">
        <f>_xlfn.XLOOKUP(B93,QUERY!$C:$C,QUERY!AT:AT)</f>
        <v>0</v>
      </c>
      <c r="GT93" s="3">
        <f>_xlfn.XLOOKUP(B93,QUERY!$C:$C,QUERY!AU:AU)</f>
        <v>0</v>
      </c>
      <c r="GU93" s="3">
        <f>_xlfn.XLOOKUP(B93,QUERY!$C:$C,QUERY!AV:AV)</f>
        <v>0</v>
      </c>
      <c r="GV93" s="3">
        <f>_xlfn.XLOOKUP(B93,QUERY!$C:$C,QUERY!AW:AW)</f>
        <v>0</v>
      </c>
      <c r="GW93" s="3" t="str">
        <f>_xlfn.XLOOKUP(B93,QUERY!$C:$C,QUERY!AX:AX)</f>
        <v>Verde</v>
      </c>
      <c r="GX93" s="3" t="str">
        <f>_xlfn.XLOOKUP(B93,QUERY!$C:$C,QUERY!AY:AY)</f>
        <v>NULL</v>
      </c>
      <c r="GY93" s="3">
        <f>_xlfn.XLOOKUP(B93,QUERY!$C:$C,QUERY!AZ:AZ)</f>
        <v>0</v>
      </c>
      <c r="GZ93" s="3">
        <f>_xlfn.XLOOKUP(B93,QUERY!$C:$C,QUERY!BA:BA)</f>
        <v>0</v>
      </c>
      <c r="HA93" s="3" t="str">
        <f>_xlfn.XLOOKUP(B93,QUERY!$C:$C,QUERY!BB:BB)</f>
        <v>IME850329RH2</v>
      </c>
      <c r="HB93" s="3">
        <f>_xlfn.XLOOKUP(B93,QUERY!$C:$C,QUERY!BC:BC)</f>
        <v>0</v>
      </c>
      <c r="HC93" s="3">
        <f>_xlfn.XLOOKUP(B93,QUERY!$C:$C,QUERY!BD:BD)</f>
        <v>0.99</v>
      </c>
      <c r="HD93" s="3" t="str">
        <f>_xlfn.XLOOKUP(B93,QUERY!$C:$C,QUERY!BE:BE)</f>
        <v>LOTE: SCBA207A11,LOTE: A053A01,LOTE: A224A01,LOTE: A142A01,LOTE: A247B01,LOTE: A436A02,LOTE: A198A02,LOTE: A489D01,LOTE: A061A01</v>
      </c>
      <c r="HE93" s="3">
        <f>_xlfn.XLOOKUP(B93,QUERY!$C:$C,QUERY!BF:BF)</f>
        <v>90</v>
      </c>
      <c r="HF93" s="3" t="str">
        <f>_xlfn.XLOOKUP(B93,QUERY!$C:$C,QUERY!BG:BG)</f>
        <v xml:space="preserve"> 321379.32, 13019554.91, 1145829.89, 3079396.80</v>
      </c>
      <c r="HG93" s="3" t="str">
        <f>_xlfn.XLOOKUP(B93,QUERY!$C:$C,QUERY!BH:BH)</f>
        <v>KILO,KILO,KILO,KILO,KILO,KILO,KILO,KILO,KILO</v>
      </c>
      <c r="HH93" s="3">
        <f>_xlfn.XLOOKUP(B93,QUERY!$C:$C,QUERY!BI:BI)</f>
        <v>0</v>
      </c>
      <c r="HI93" s="3" t="str">
        <f>_xlfn.XLOOKUP(B93,QUERY!$C:$C,QUERY!BJ:BJ)</f>
        <v>PAISES BAJOS (REINO DE LOS) (HOLANDA)</v>
      </c>
      <c r="HJ93" s="3" t="str">
        <f>_xlfn.XLOOKUP(B93,QUERY!$C:$C,QUERY!BK:BK)</f>
        <v>PAISES BAJOS (REINO DE LOS) (HOLANDA)</v>
      </c>
      <c r="HK93" s="3" t="str">
        <f>_xlfn.XLOOKUP(B93,QUERY!$C:$C,QUERY!BL:BL)</f>
        <v>ZYA</v>
      </c>
      <c r="HL93" s="3" t="str">
        <f>_xlfn.XLOOKUP(B93,QUERY!$C:$C,QUERY!BM:BM)</f>
        <v>ZYA</v>
      </c>
      <c r="HM93" s="3">
        <f>_xlfn.XLOOKUP(B93,QUERY!$C:$C,QUERY!BN:BN)</f>
        <v>17566160</v>
      </c>
      <c r="HN93" s="3" t="str">
        <f>_xlfn.XLOOKUP(B93,QUERY!$C:$C,QUERY!BO:BO)</f>
        <v>444.00</v>
      </c>
      <c r="HO93" s="3" t="str">
        <f>_xlfn.XLOOKUP(B93,QUERY!$C:$C,QUERY!BP:BP)</f>
        <v>NULL</v>
      </c>
      <c r="HP93" s="3" t="str">
        <f>_xlfn.XLOOKUP(B93,QUERY!$C:$C,QUERY!BQ:BQ)</f>
        <v>NULL</v>
      </c>
      <c r="HQ93" s="3" t="str">
        <f>_xlfn.XLOOKUP(B93,QUERY!$C:$C,QUERY!BR:BR)</f>
        <v>250436.84</v>
      </c>
      <c r="HR93" s="3">
        <f>_xlfn.XLOOKUP(B93,QUERY!$C:$C,QUERY!BS:BS)</f>
        <v>0</v>
      </c>
      <c r="HS93" s="3">
        <f>_xlfn.XLOOKUP(B93,QUERY!$C:$C,QUERY!BT:BT)</f>
        <v>0</v>
      </c>
      <c r="HT93" s="3" t="str">
        <f>_xlfn.XLOOKUP(B93,QUERY!$C:$C,QUERY!A:A)</f>
        <v>VERACRUZ</v>
      </c>
      <c r="HU93" s="3" t="str">
        <f>_xlfn.XLOOKUP(B93,QUERY!$C:$C,QUERY!B:B)</f>
        <v>MARÍTIMO VERACRUZ</v>
      </c>
    </row>
    <row r="94" spans="1:229" x14ac:dyDescent="0.25">
      <c r="A94" s="3" t="s">
        <v>90</v>
      </c>
      <c r="B94" s="3" t="s">
        <v>346</v>
      </c>
      <c r="C94" s="3">
        <v>3942</v>
      </c>
      <c r="D94" s="3">
        <v>6000421</v>
      </c>
      <c r="E94" s="3">
        <v>6000418</v>
      </c>
      <c r="F94" s="3" t="s">
        <v>92</v>
      </c>
      <c r="G94" s="3" t="s">
        <v>342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430</v>
      </c>
      <c r="S94" s="3" t="s">
        <v>258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264</v>
      </c>
      <c r="AB94" s="3"/>
      <c r="AC94" s="3">
        <v>3268642</v>
      </c>
      <c r="AD94" s="3">
        <v>356.10001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/>
      <c r="AP94" s="3" t="s">
        <v>98</v>
      </c>
      <c r="AQ94" s="3">
        <v>210365020</v>
      </c>
      <c r="AR94" s="3" t="s">
        <v>99</v>
      </c>
      <c r="AS94" s="3" t="s">
        <v>100</v>
      </c>
      <c r="AT94" s="3">
        <v>0</v>
      </c>
      <c r="AU94" s="3">
        <v>0</v>
      </c>
      <c r="AV94" s="3">
        <v>0</v>
      </c>
      <c r="AW94" s="3">
        <v>30024201</v>
      </c>
      <c r="AX94" s="3">
        <v>99</v>
      </c>
      <c r="AY94" s="3">
        <v>9179</v>
      </c>
      <c r="AZ94" s="3">
        <v>9179</v>
      </c>
      <c r="BA94" s="3" t="s">
        <v>103</v>
      </c>
      <c r="BB94" s="3"/>
      <c r="BC94" s="3" t="s">
        <v>105</v>
      </c>
      <c r="BD94" s="3" t="s">
        <v>105</v>
      </c>
      <c r="BE94" s="3"/>
      <c r="BF94" s="3"/>
      <c r="BG94" s="5"/>
      <c r="BH94" s="3"/>
      <c r="BI94" s="3"/>
      <c r="BJ94" s="3"/>
      <c r="BK94" s="3" t="s">
        <v>263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 t="s">
        <v>192</v>
      </c>
      <c r="CF94" s="3">
        <v>0</v>
      </c>
      <c r="CG94" s="3">
        <v>0</v>
      </c>
      <c r="CH94" s="3">
        <v>0</v>
      </c>
      <c r="CI94" s="3" t="s">
        <v>112</v>
      </c>
      <c r="CJ94" s="3" t="s">
        <v>112</v>
      </c>
      <c r="CK94" s="3">
        <f>_xlfn.XLOOKUP($B$2,'BASE DE EXCEL'!C:C,'BASE DE EXCEL'!D:D,"NO HAY REFERENCIA")</f>
        <v>470</v>
      </c>
      <c r="CL94" s="5">
        <f>_xlfn.XLOOKUP($B$2,'BASE DE EXCEL'!$C:$C,'BASE DE EXCEL'!F:F,"NO HAY REFERENCIA")</f>
        <v>3</v>
      </c>
      <c r="CM94" s="4">
        <f>_xlfn.XLOOKUP($B$2,'BASE DE EXCEL'!$C:$C,'BASE DE EXCEL'!G:G,"NO HAY REFERENCIA")</f>
        <v>46080</v>
      </c>
      <c r="CN94" s="4">
        <f>_xlfn.XLOOKUP($B$2,'BASE DE EXCEL'!$C:$C,'BASE DE EXCEL'!H:H,"NO HAY REFERENCIA")</f>
        <v>46086</v>
      </c>
      <c r="CO94" s="3">
        <f>_xlfn.XLOOKUP($B$2,'BASE DE EXCEL'!$C:$C,'BASE DE EXCEL'!I:I,"NO HAY REFERENCIA")</f>
        <v>4</v>
      </c>
      <c r="CP94" s="3" t="str">
        <f>_xlfn.XLOOKUP($B$2,'BASE DE EXCEL'!$C:$C,'BASE DE EXCEL'!J:J,"NO HAY REFERENCIA")</f>
        <v>4 a 5 días</v>
      </c>
      <c r="CQ94" s="4">
        <f>_xlfn.XLOOKUP($B$2,'BASE DE EXCEL'!$C:$C,'BASE DE EXCEL'!K:K,"NO HAY REFERENCIA")</f>
        <v>46087</v>
      </c>
      <c r="CR94" s="3">
        <f>_xlfn.XLOOKUP($B$2,'BASE DE EXCEL'!$C:$C,'BASE DE EXCEL'!L:L,"NO HAY REFERENCIA")</f>
        <v>5</v>
      </c>
      <c r="CS94" s="3">
        <f>_xlfn.XLOOKUP($B$2,'BASE DE EXCEL'!$C:$C,'BASE DE EXCEL'!M:M,"NO HAY REFERENCIA")</f>
        <v>6</v>
      </c>
      <c r="CT94" s="3" t="str">
        <f>_xlfn.XLOOKUP($B$2,'BASE DE EXCEL'!$C:$C,'BASE DE EXCEL'!N:N,"NO HAY REFERENCIA")</f>
        <v>6 a 10 días</v>
      </c>
      <c r="CU94" s="3" t="str">
        <f>_xlfn.XLOOKUP($B$2,'BASE DE EXCEL'!$C:$C,'BASE DE EXCEL'!O:O,"NO HAY REFERENCIA")</f>
        <v>On Time</v>
      </c>
      <c r="CV94" s="3" t="str">
        <f>_xlfn.XLOOKUP(B94,'BASE DE EXCEL'!$C:$C,'BASE DE EXCEL'!P:P,"NO HAY REFERENCIA")</f>
        <v>16 o más días</v>
      </c>
      <c r="CW94" s="4">
        <f>_xlfn.XLOOKUP(B94,'BASE DE EXCEL'!$C:$C,'BASE DE EXCEL'!Q:Q,"NO HAY REFERENCIA")</f>
        <v>46086</v>
      </c>
      <c r="CX94" s="3">
        <f>_xlfn.XLOOKUP(B94,'BASE DE EXCEL'!$C:$C,'BASE DE EXCEL'!R:R,"NO HAY REFERENCIA")</f>
        <v>8</v>
      </c>
      <c r="CY94" s="3" t="str">
        <f>_xlfn.XLOOKUP(B94,'BASE DE EXCEL'!$C:$C,'BASE DE EXCEL'!S:S,"NO HAY REFERENCIA")</f>
        <v>6 a 10 días</v>
      </c>
      <c r="CZ94" s="3" t="str">
        <f>_xlfn.XLOOKUP(B94,'BASE DE EXCEL'!$C:$C,'BASE DE EXCEL'!T:T,"NO HAY REFERENCIA")</f>
        <v>Delayed</v>
      </c>
      <c r="DA94" s="3">
        <f>_xlfn.XLOOKUP(B94,'BASE DE EXCEL'!$C:$C,'BASE DE EXCEL'!U:U,"NO HAY REFERENCIA")</f>
        <v>0</v>
      </c>
      <c r="DB94" s="3" t="str">
        <f>_xlfn.XLOOKUP(B94,'BASE DE EXCEL'!$C:$C,'BASE DE EXCEL'!V:V,"NO HAY REFERENCIA")</f>
        <v>Sin Dato</v>
      </c>
      <c r="DC94" s="3">
        <f>_xlfn.XLOOKUP(B94,'BASE DE EXCEL'!$C:$C,'BASE DE EXCEL'!W:W,"NO HAY REFERENCIA")</f>
        <v>20</v>
      </c>
      <c r="DD94" s="3" t="str">
        <f>_xlfn.XLOOKUP(B94,'BASE DE EXCEL'!$C:$C,'BASE DE EXCEL'!X:X,"NO HAY REFERENCIA")</f>
        <v>más de 16 días</v>
      </c>
      <c r="DE94" s="3">
        <f>_xlfn.XLOOKUP(B94,'BASE DE EXCEL'!$C:$C,'BASE DE EXCEL'!Y:Y,"NO HAY REFERENCIA")</f>
        <v>0</v>
      </c>
      <c r="DF94" s="3" t="str">
        <f>_xlfn.XLOOKUP(B94,'BASE DE EXCEL'!$C:$C,'BASE DE EXCEL'!Z:Z,"NO HAY REFERENCIA")</f>
        <v>1 día o menos</v>
      </c>
      <c r="DG94" s="3">
        <f>_xlfn.XLOOKUP(B94,'BASE DE EXCEL'!$C:$C,'BASE DE EXCEL'!AA:AA,"NO HAY REFERENCIA")</f>
        <v>16</v>
      </c>
      <c r="DH94" s="3">
        <f>_xlfn.XLOOKUP(B94,'BASE DE EXCEL'!$C:$C,'BASE DE EXCEL'!AB:AB,"NO HAY REFERENCIA")</f>
        <v>-46091</v>
      </c>
      <c r="DI94" s="3" t="str">
        <f>_xlfn.XLOOKUP(B94,'BASE DE EXCEL'!$C:$C,'BASE DE EXCEL'!AC:AC,"NO HAY REFERENCIA")</f>
        <v>SIN DATO</v>
      </c>
      <c r="DJ94" s="4">
        <f>_xlfn.XLOOKUP(B94,'BASE DE EXCEL'!$C:$C,'BASE DE EXCEL'!AD:AD,"NO HAY REFERENCIA")</f>
        <v>46105</v>
      </c>
      <c r="DK94" s="3">
        <f>_xlfn.XLOOKUP(B94,'BASE DE EXCEL'!$C:$C,'BASE DE EXCEL'!AE:AE,"NO HAY REFERENCIA")</f>
        <v>46102</v>
      </c>
      <c r="DL94" s="3">
        <f>_xlfn.XLOOKUP(B94,'BASE DE EXCEL'!$C:$C,'BASE DE EXCEL'!AF:AF,"NO HAY REFERENCIA")</f>
        <v>32931</v>
      </c>
      <c r="DM94" s="4">
        <f>_xlfn.XLOOKUP(B94,'BASE DE EXCEL'!$C:$C,'BASE DE EXCEL'!AG:AG,"NO HAY REFERENCIA")</f>
        <v>46104</v>
      </c>
      <c r="DN94" s="4">
        <f>_xlfn.XLOOKUP(B94,'BASE DE EXCEL'!$C:$C,'BASE DE EXCEL'!AH:AH,"NO HAY REFERENCIA")</f>
        <v>46105</v>
      </c>
      <c r="DO94" s="3">
        <f>_xlfn.XLOOKUP(B94,'BASE DE EXCEL'!$C:$C,'BASE DE EXCEL'!AI:AI,"NO HAY REFERENCIA")</f>
        <v>1</v>
      </c>
      <c r="DP94" s="4" t="str">
        <f>_xlfn.XLOOKUP(B94,'BASE DE EXCEL'!$C:$C,'BASE DE EXCEL'!AJ:AJ,"NO HAY REFERENCIA")</f>
        <v>SIN DATO</v>
      </c>
      <c r="DQ94" s="4">
        <f>_xlfn.XLOOKUP(B94,'BASE DE EXCEL'!$C:$C,'BASE DE EXCEL'!AK:AK,"NO HAY REFERENCIA")</f>
        <v>46105</v>
      </c>
      <c r="DR94" s="3">
        <f>_xlfn.XLOOKUP(B94,'BASE DE EXCEL'!$C:$C,'BASE DE EXCEL'!AL:AL,"NO HAY REFERENCIA")</f>
        <v>13</v>
      </c>
      <c r="DS94" s="3" t="str">
        <f>_xlfn.XLOOKUP(B94,'BASE DE EXCEL'!$C:$C,'BASE DE EXCEL'!AM:AM,"NO HAY REFERENCIA")</f>
        <v>11 a 15 días</v>
      </c>
      <c r="DT94" s="3" t="str">
        <f>_xlfn.XLOOKUP(B94,'BASE DE EXCEL'!$C:$C,'BASE DE EXCEL'!AN:AN,"NO HAY REFERENCIA")</f>
        <v>Delayed</v>
      </c>
      <c r="DU94" s="3">
        <f>_xlfn.XLOOKUP(B94,'BASE DE EXCEL'!$C:$C,'BASE DE EXCEL'!AO:AO,"NO HAY REFERENCIA")</f>
        <v>0</v>
      </c>
      <c r="DV94" s="3" t="str">
        <f>_xlfn.XLOOKUP(B94,'BASE DE EXCEL'!$C:$C,'BASE DE EXCEL'!AP:AP,"NO HAY REFERENCIA")</f>
        <v>Es anterior</v>
      </c>
      <c r="DW94" s="3" t="str">
        <f>_xlfn.XLOOKUP(B94,'BASE DE EXCEL'!$C:$C,'BASE DE EXCEL'!AQ:AQ,"NO HAY REFERENCIA")</f>
        <v>R1</v>
      </c>
      <c r="DX94" s="3" t="str">
        <f>_xlfn.XLOOKUP(B94,'BASE DE EXCEL'!$C:$C,'BASE DE EXCEL'!AR:AR,"NO HAY REFERENCIA")</f>
        <v>ZULEIMA PEREZ RUIZ</v>
      </c>
      <c r="DY94" s="3" t="str">
        <f>_xlfn.XLOOKUP(B94,'BASE DE EXCEL'!$C:$C,'BASE DE EXCEL'!AS:AS,"NO HAY REFERENCIA")</f>
        <v>HLCURTM260162366</v>
      </c>
      <c r="DZ94" s="3" t="str">
        <f>_xlfn.XLOOKUP(B94,'BASE DE EXCEL'!$C:$C,'BASE DE EXCEL'!AT:AT,"NO HAY REFERENCIA")</f>
        <v>NULL</v>
      </c>
      <c r="EA94" s="3">
        <f>_xlfn.XLOOKUP(B94,'BASE DE EXCEL'!$C:$C,'BASE DE EXCEL'!AU:AU,"NO HAY REFERENCIA")</f>
        <v>6000421</v>
      </c>
      <c r="EB94" s="3" t="str">
        <f>_xlfn.XLOOKUP(B94,'BASE DE EXCEL'!$C:$C,'BASE DE EXCEL'!AV:AV,"NO HAY REFERENCIA")</f>
        <v>Importación</v>
      </c>
      <c r="EC94" s="3" t="str">
        <f>_xlfn.XLOOKUP(B94,'BASE DE EXCEL'!$C:$C,'BASE DE EXCEL'!AW:AW,"NO HAY REFERENCIA")</f>
        <v>NOBILIS MA5+CLONE 30 (VACUNA DE USO VETERINARIO)</v>
      </c>
      <c r="ED94" s="3" t="str">
        <f>_xlfn.XLOOKUP(B94,'BASE DE EXCEL'!$C:$C,'BASE DE EXCEL'!AX:AX,"NO HAY REFERENCIA")</f>
        <v>SIN CLASIFICACION</v>
      </c>
      <c r="EE94" s="3">
        <f>_xlfn.XLOOKUP(B94,'BASE DE EXCEL'!$C:$C,'BASE DE EXCEL'!AY:AY,"NO HAY REFERENCIA")</f>
        <v>0</v>
      </c>
      <c r="EF94" s="3" t="str">
        <f>_xlfn.XLOOKUP(B94,'BASE DE EXCEL'!$C:$C,'BASE DE EXCEL'!AZ:AZ,"NO HAY REFERENCIA")</f>
        <v>Cargas de Importación</v>
      </c>
      <c r="EG94" s="3" t="str">
        <f>_xlfn.XLOOKUP(B94,'BASE DE EXCEL'!$C:$C,'BASE DE EXCEL'!BA:BA,"NO HAY REFERENCIA")</f>
        <v>INTERVET MEXICO SA DE CV</v>
      </c>
      <c r="EH94" s="3">
        <f>_xlfn.XLOOKUP(B94,'BASE DE EXCEL'!$C:$C,'BASE DE EXCEL'!BB:BB,"NO HAY REFERENCIA")</f>
        <v>0</v>
      </c>
      <c r="EI94" s="3">
        <f>_xlfn.XLOOKUP(B94,'BASE DE EXCEL'!$C:$C,'BASE DE EXCEL'!BC:BC,"NO HAY REFERENCIA")</f>
        <v>0</v>
      </c>
      <c r="EJ94" s="3">
        <f>_xlfn.XLOOKUP(B94,'BASE DE EXCEL'!$C:$C,'BASE DE EXCEL'!BD:BD,"NO HAY REFERENCIA")</f>
        <v>0</v>
      </c>
      <c r="EK94" s="3">
        <f>_xlfn.XLOOKUP(B94,'BASE DE EXCEL'!$C:$C,'BASE DE EXCEL'!BE:BE,"NO HAY REFERENCIA")</f>
        <v>0</v>
      </c>
      <c r="EL94" s="3">
        <f>_xlfn.XLOOKUP(B94,'BASE DE EXCEL'!$C:$C,'BASE DE EXCEL'!BF:BF,"NO HAY REFERENCIA")</f>
        <v>0</v>
      </c>
      <c r="EM94" s="3" t="str">
        <f>_xlfn.XLOOKUP(B94,'BASE DE EXCEL'!$C:$C,'BASE DE EXCEL'!BG:BG,"NO HAY REFERENCIA")</f>
        <v>Verde</v>
      </c>
      <c r="EN94" s="3" t="str">
        <f>_xlfn.XLOOKUP(B94,'BASE DE EXCEL'!$C:$C,'BASE DE EXCEL'!BH:BH,"NO HAY REFERENCIA")</f>
        <v>NULL</v>
      </c>
      <c r="EO94" s="3">
        <f>_xlfn.XLOOKUP(B94,'BASE DE EXCEL'!$C:$C,'BASE DE EXCEL'!BI:BI,"NO HAY REFERENCIA")</f>
        <v>0</v>
      </c>
      <c r="EP94" s="3">
        <f>_xlfn.XLOOKUP(B94,'BASE DE EXCEL'!$C:$C,'BASE DE EXCEL'!BJ:BJ,"NO HAY REFERENCIA")</f>
        <v>0</v>
      </c>
      <c r="EQ94" s="3" t="str">
        <f>_xlfn.XLOOKUP(B94,'BASE DE EXCEL'!$C:$C,'BASE DE EXCEL'!BK:BK,"NO HAY REFERENCIA")</f>
        <v>IME850329RH2</v>
      </c>
      <c r="ER94" s="3">
        <f>_xlfn.XLOOKUP(B94,'BASE DE EXCEL'!$C:$C,'BASE DE EXCEL'!BL:BL,"NO HAY REFERENCIA")</f>
        <v>0</v>
      </c>
      <c r="ES94" s="3" t="str">
        <f>_xlfn.XLOOKUP(B94,'BASE DE EXCEL'!$C:$C,'BASE DE EXCEL'!BM:BM,"NO HAY REFERENCIA")</f>
        <v>00,99</v>
      </c>
      <c r="ET94" s="3" t="str">
        <f>_xlfn.XLOOKUP(B94,'BASE DE EXCEL'!$C:$C,'BASE DE EXCEL'!BN:BN,"NO HAY REFERENCIA")</f>
        <v>LOTE: SCBA207A11,LOTE: A053A01,LOTE: A224A01,LOTE: A142A01,LOTE: A247B01,LOTE: A436A02,LOTE: A198A02,LOTE: A489D01,LOTE: A061A01</v>
      </c>
      <c r="EU94" s="3">
        <f>_xlfn.XLOOKUP(B94,'BASE DE EXCEL'!$C:$C,'BASE DE EXCEL'!BO:BO,"NO HAY REFERENCIA")</f>
        <v>90</v>
      </c>
      <c r="EV94" s="3" t="str">
        <f>_xlfn.XLOOKUP(B94,'BASE DE EXCEL'!$C:$C,'BASE DE EXCEL'!BP:BP,"NO HAY REFERENCIA")</f>
        <v xml:space="preserve"> 321379.32, 13019554.91, 1145829.89, 3079396.80</v>
      </c>
      <c r="EW94" s="3" t="str">
        <f>_xlfn.XLOOKUP(B94,'BASE DE EXCEL'!$C:$C,'BASE DE EXCEL'!BQ:BQ,"NO HAY REFERENCIA")</f>
        <v>KILO,KILO,KILO,KILO,KILO,KILO,KILO,KILO,KILO</v>
      </c>
      <c r="EX94" s="3">
        <f>_xlfn.XLOOKUP(B94,'BASE DE EXCEL'!$C:$C,'BASE DE EXCEL'!BR:BR,"NO HAY REFERENCIA")</f>
        <v>0</v>
      </c>
      <c r="EY94" s="3" t="str">
        <f>_xlfn.XLOOKUP(B94,'BASE DE EXCEL'!$C:$C,'BASE DE EXCEL'!BS:BS,"NO HAY REFERENCIA")</f>
        <v>PAISES BAJOS (REINO DE LOS) (HOLANDA)</v>
      </c>
      <c r="EZ94" s="3" t="str">
        <f>_xlfn.XLOOKUP(B94,'BASE DE EXCEL'!$C:$C,'BASE DE EXCEL'!BT:BT,"NO HAY REFERENCIA")</f>
        <v>PAISES BAJOS (REINO DE LOS) (HOLANDA)</v>
      </c>
      <c r="FA94" s="3" t="str">
        <f>_xlfn.XLOOKUP(B94,'BASE DE EXCEL'!$C:$C,'BASE DE EXCEL'!BU:BU,"NO HAY REFERENCIA")</f>
        <v>ZYA</v>
      </c>
      <c r="FB94" s="3" t="str">
        <f>_xlfn.XLOOKUP(B94,'BASE DE EXCEL'!$C:$C,'BASE DE EXCEL'!BV:BV,"NO HAY REFERENCIA")</f>
        <v>ZYA</v>
      </c>
      <c r="FC94" s="3">
        <f>_xlfn.XLOOKUP(B94,QUERY!$C:$C,QUERY!D:D)</f>
        <v>430</v>
      </c>
      <c r="FD94" s="4">
        <f>_xlfn.XLOOKUP(B94,QUERY!$C:$C,QUERY!E:E)</f>
        <v>46093</v>
      </c>
      <c r="FE94" s="3">
        <f>_xlfn.XLOOKUP(B94,QUERY!$C:$C,QUERY!F:F)</f>
        <v>3</v>
      </c>
      <c r="FF94" s="4">
        <f>_xlfn.XLOOKUP(B94,QUERY!$C:$C,QUERY!G:G)</f>
        <v>46077</v>
      </c>
      <c r="FG94" s="4">
        <f>_xlfn.XLOOKUP(B94,QUERY!$C:$C,QUERY!H:H)</f>
        <v>46093</v>
      </c>
      <c r="FH94" s="3">
        <f>_xlfn.XLOOKUP(B94,QUERY!$C:$C,QUERY!I:I)</f>
        <v>12</v>
      </c>
      <c r="FI94" s="3" t="str">
        <f>_xlfn.XLOOKUP(B94,QUERY!$C:$C,QUERY!J:J)</f>
        <v>11 a 15 días</v>
      </c>
      <c r="FJ94" s="4">
        <f>_xlfn.XLOOKUP(B94,QUERY!$C:$C,QUERY!K:K)</f>
        <v>46093</v>
      </c>
      <c r="FK94" s="3">
        <f>_xlfn.XLOOKUP(B94,QUERY!$C:$C,QUERY!L:L)</f>
        <v>12</v>
      </c>
      <c r="FL94" s="3" t="str">
        <f>_xlfn.XLOOKUP(B94,QUERY!$C:$C,QUERY!M:M)</f>
        <v>11 a 15 días</v>
      </c>
      <c r="FM94" s="3">
        <f>_xlfn.XLOOKUP(B94,QUERY!$C:$C,QUERY!N:N)</f>
        <v>0</v>
      </c>
      <c r="FN94" s="3" t="str">
        <f>_xlfn.XLOOKUP(B94,QUERY!$C:$C,QUERY!O:O)</f>
        <v>1 día o menos</v>
      </c>
      <c r="FO94" s="3">
        <f>_xlfn.XLOOKUP(B94,QUERY!$C:$C,QUERY!P:P)</f>
        <v>0</v>
      </c>
      <c r="FP94" s="3">
        <f>_xlfn.XLOOKUP(B94,QUERY!$C:$C,QUERY!Q:Q)</f>
        <v>-2</v>
      </c>
      <c r="FQ94" s="3" t="str">
        <f>_xlfn.XLOOKUP(B94,QUERY!$C:$C,QUERY!R:R)</f>
        <v>Sin dato</v>
      </c>
      <c r="FR94" s="4">
        <f>_xlfn.XLOOKUP(B94,QUERY!$C:$C,QUERY!S:S)</f>
        <v>46091</v>
      </c>
      <c r="FS94" s="3">
        <f>_xlfn.XLOOKUP(B94,QUERY!$C:$C,QUERY!T:T)</f>
        <v>10</v>
      </c>
      <c r="FT94" s="3" t="str">
        <f>_xlfn.XLOOKUP(B94,QUERY!$C:$C,QUERY!U:U)</f>
        <v>6 a 10 días</v>
      </c>
      <c r="FU94" s="3">
        <f>_xlfn.XLOOKUP(B94,QUERY!$C:$C,QUERY!V:V)</f>
        <v>20</v>
      </c>
      <c r="FV94" s="3" t="str">
        <f>_xlfn.XLOOKUP(B94,QUERY!$C:$C,QUERY!W:W)</f>
        <v>más de 16 días</v>
      </c>
      <c r="FW94" s="4">
        <f>_xlfn.XLOOKUP(B94,QUERY!$C:$C,QUERY!X:X)</f>
        <v>46105</v>
      </c>
      <c r="FX94" s="3">
        <f>_xlfn.XLOOKUP(B94,QUERY!$C:$C,QUERY!Y:Y)</f>
        <v>9</v>
      </c>
      <c r="FY94" s="3">
        <f>_xlfn.XLOOKUP(B94,QUERY!$C:$C,QUERY!Z:Z)</f>
        <v>10</v>
      </c>
      <c r="FZ94" s="4" t="str">
        <f>_xlfn.XLOOKUP(B94,QUERY!$C:$C,QUERY!AA:AA)</f>
        <v>11 a 15 días</v>
      </c>
      <c r="GA94" s="4">
        <f>_xlfn.XLOOKUP(B94,QUERY!$C:$C,QUERY!AB:AB)</f>
        <v>46104</v>
      </c>
      <c r="GB94" s="4">
        <f>_xlfn.XLOOKUP(B94,QUERY!$C:$C,QUERY!AC:AC)</f>
        <v>46105</v>
      </c>
      <c r="GC94" s="3">
        <f>_xlfn.XLOOKUP(B94,QUERY!$C:$C,QUERY!AD:AD)</f>
        <v>1</v>
      </c>
      <c r="GD94" s="4">
        <f>_xlfn.XLOOKUP(B94,QUERY!$C:$C,QUERY!AE:AE)</f>
        <v>46105</v>
      </c>
      <c r="GE94" s="3">
        <f>_xlfn.XLOOKUP(B94,QUERY!$C:$C,QUERY!AF:AF)</f>
        <v>1</v>
      </c>
      <c r="GF94" s="4" t="str">
        <f>_xlfn.XLOOKUP(B94,QUERY!$C:$C,QUERY!AG:AG)</f>
        <v>Es anterior</v>
      </c>
      <c r="GG94" s="3" t="str">
        <f>_xlfn.XLOOKUP(B94,QUERY!$C:$C,QUERY!AH:AH)</f>
        <v>R1</v>
      </c>
      <c r="GH94" s="3" t="str">
        <f>_xlfn.XLOOKUP(B94,QUERY!$C:$C,QUERY!AI:AI)</f>
        <v>ZULEIMA PEREZ RUIZ</v>
      </c>
      <c r="GI94" s="3" t="str">
        <f>_xlfn.XLOOKUP(B94,QUERY!$C:$C,QUERY!AJ:AJ)</f>
        <v>HLCURTM260162366</v>
      </c>
      <c r="GJ94" s="3" t="str">
        <f>_xlfn.XLOOKUP(B94,QUERY!$C:$C,QUERY!AK:AK)</f>
        <v>NULL</v>
      </c>
      <c r="GK94" s="3">
        <f>_xlfn.XLOOKUP(B94,QUERY!$C:$C,QUERY!AL:AL)</f>
        <v>6000421</v>
      </c>
      <c r="GL94" s="3" t="str">
        <f>_xlfn.XLOOKUP(B94,QUERY!$C:$C,QUERY!AM:AM)</f>
        <v>Importación</v>
      </c>
      <c r="GM94" s="3" t="str">
        <f>_xlfn.XLOOKUP(B94,QUERY!$C:$C,QUERY!AN:AN)</f>
        <v>NOBILIS MA5+CLONE 30 (VACUNA DE USO VETERINARIO)</v>
      </c>
      <c r="GN94" s="3" t="str">
        <f>_xlfn.XLOOKUP(B94,QUERY!$C:$C,QUERY!AO:AO)</f>
        <v>SIN CLASIFICACION</v>
      </c>
      <c r="GO94" s="3">
        <f>_xlfn.XLOOKUP(B94,QUERY!$C:$C,QUERY!AP:AP)</f>
        <v>0</v>
      </c>
      <c r="GP94" s="3" t="str">
        <f>_xlfn.XLOOKUP(B94,QUERY!$C:$C,QUERY!AQ:AQ)</f>
        <v>Cargas de Importación</v>
      </c>
      <c r="GQ94" s="3" t="str">
        <f>_xlfn.XLOOKUP(B94,QUERY!$C:$C,QUERY!AR:AR)</f>
        <v>INTERVET MEXICO SA DE CV</v>
      </c>
      <c r="GR94" s="3">
        <f>_xlfn.XLOOKUP(B94,QUERY!$C:$C,QUERY!AS:AS)</f>
        <v>0</v>
      </c>
      <c r="GS94" s="3">
        <f>_xlfn.XLOOKUP(B94,QUERY!$C:$C,QUERY!AT:AT)</f>
        <v>0</v>
      </c>
      <c r="GT94" s="3">
        <f>_xlfn.XLOOKUP(B94,QUERY!$C:$C,QUERY!AU:AU)</f>
        <v>0</v>
      </c>
      <c r="GU94" s="3">
        <f>_xlfn.XLOOKUP(B94,QUERY!$C:$C,QUERY!AV:AV)</f>
        <v>0</v>
      </c>
      <c r="GV94" s="3">
        <f>_xlfn.XLOOKUP(B94,QUERY!$C:$C,QUERY!AW:AW)</f>
        <v>0</v>
      </c>
      <c r="GW94" s="3" t="str">
        <f>_xlfn.XLOOKUP(B94,QUERY!$C:$C,QUERY!AX:AX)</f>
        <v>Verde</v>
      </c>
      <c r="GX94" s="3" t="str">
        <f>_xlfn.XLOOKUP(B94,QUERY!$C:$C,QUERY!AY:AY)</f>
        <v>NULL</v>
      </c>
      <c r="GY94" s="3">
        <f>_xlfn.XLOOKUP(B94,QUERY!$C:$C,QUERY!AZ:AZ)</f>
        <v>0</v>
      </c>
      <c r="GZ94" s="3">
        <f>_xlfn.XLOOKUP(B94,QUERY!$C:$C,QUERY!BA:BA)</f>
        <v>0</v>
      </c>
      <c r="HA94" s="3" t="str">
        <f>_xlfn.XLOOKUP(B94,QUERY!$C:$C,QUERY!BB:BB)</f>
        <v>IME850329RH2</v>
      </c>
      <c r="HB94" s="3">
        <f>_xlfn.XLOOKUP(B94,QUERY!$C:$C,QUERY!BC:BC)</f>
        <v>0</v>
      </c>
      <c r="HC94" s="3">
        <f>_xlfn.XLOOKUP(B94,QUERY!$C:$C,QUERY!BD:BD)</f>
        <v>0.99</v>
      </c>
      <c r="HD94" s="3" t="str">
        <f>_xlfn.XLOOKUP(B94,QUERY!$C:$C,QUERY!BE:BE)</f>
        <v>LOTE: SCBA207A11,LOTE: A053A01,LOTE: A224A01,LOTE: A142A01,LOTE: A247B01,LOTE: A436A02,LOTE: A198A02,LOTE: A489D01,LOTE: A061A01</v>
      </c>
      <c r="HE94" s="3">
        <f>_xlfn.XLOOKUP(B94,QUERY!$C:$C,QUERY!BF:BF)</f>
        <v>90</v>
      </c>
      <c r="HF94" s="3" t="str">
        <f>_xlfn.XLOOKUP(B94,QUERY!$C:$C,QUERY!BG:BG)</f>
        <v xml:space="preserve"> 321379.32, 13019554.91, 1145829.89, 3079396.80</v>
      </c>
      <c r="HG94" s="3" t="str">
        <f>_xlfn.XLOOKUP(B94,QUERY!$C:$C,QUERY!BH:BH)</f>
        <v>KILO,KILO,KILO,KILO,KILO,KILO,KILO,KILO,KILO</v>
      </c>
      <c r="HH94" s="3">
        <f>_xlfn.XLOOKUP(B94,QUERY!$C:$C,QUERY!BI:BI)</f>
        <v>0</v>
      </c>
      <c r="HI94" s="3" t="str">
        <f>_xlfn.XLOOKUP(B94,QUERY!$C:$C,QUERY!BJ:BJ)</f>
        <v>PAISES BAJOS (REINO DE LOS) (HOLANDA)</v>
      </c>
      <c r="HJ94" s="3" t="str">
        <f>_xlfn.XLOOKUP(B94,QUERY!$C:$C,QUERY!BK:BK)</f>
        <v>PAISES BAJOS (REINO DE LOS) (HOLANDA)</v>
      </c>
      <c r="HK94" s="3" t="str">
        <f>_xlfn.XLOOKUP(B94,QUERY!$C:$C,QUERY!BL:BL)</f>
        <v>ZYA</v>
      </c>
      <c r="HL94" s="3" t="str">
        <f>_xlfn.XLOOKUP(B94,QUERY!$C:$C,QUERY!BM:BM)</f>
        <v>ZYA</v>
      </c>
      <c r="HM94" s="3">
        <f>_xlfn.XLOOKUP(B94,QUERY!$C:$C,QUERY!BN:BN)</f>
        <v>17566160</v>
      </c>
      <c r="HN94" s="3" t="str">
        <f>_xlfn.XLOOKUP(B94,QUERY!$C:$C,QUERY!BO:BO)</f>
        <v>444.00</v>
      </c>
      <c r="HO94" s="3" t="str">
        <f>_xlfn.XLOOKUP(B94,QUERY!$C:$C,QUERY!BP:BP)</f>
        <v>NULL</v>
      </c>
      <c r="HP94" s="3" t="str">
        <f>_xlfn.XLOOKUP(B94,QUERY!$C:$C,QUERY!BQ:BQ)</f>
        <v>NULL</v>
      </c>
      <c r="HQ94" s="3" t="str">
        <f>_xlfn.XLOOKUP(B94,QUERY!$C:$C,QUERY!BR:BR)</f>
        <v>250436.84</v>
      </c>
      <c r="HR94" s="3">
        <f>_xlfn.XLOOKUP(B94,QUERY!$C:$C,QUERY!BS:BS)</f>
        <v>0</v>
      </c>
      <c r="HS94" s="3">
        <f>_xlfn.XLOOKUP(B94,QUERY!$C:$C,QUERY!BT:BT)</f>
        <v>0</v>
      </c>
      <c r="HT94" s="3" t="str">
        <f>_xlfn.XLOOKUP(B94,QUERY!$C:$C,QUERY!A:A)</f>
        <v>VERACRUZ</v>
      </c>
      <c r="HU94" s="3" t="str">
        <f>_xlfn.XLOOKUP(B94,QUERY!$C:$C,QUERY!B:B)</f>
        <v>MARÍTIMO VERACRUZ</v>
      </c>
    </row>
    <row r="95" spans="1:229" x14ac:dyDescent="0.25">
      <c r="A95" s="3" t="s">
        <v>90</v>
      </c>
      <c r="B95" s="3" t="s">
        <v>346</v>
      </c>
      <c r="C95" s="3">
        <v>3942</v>
      </c>
      <c r="D95" s="3">
        <v>6000421</v>
      </c>
      <c r="E95" s="3">
        <v>6000418</v>
      </c>
      <c r="F95" s="3" t="s">
        <v>92</v>
      </c>
      <c r="G95" s="3" t="s">
        <v>342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430</v>
      </c>
      <c r="S95" s="3" t="s">
        <v>258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 t="s">
        <v>265</v>
      </c>
      <c r="AB95" s="3"/>
      <c r="AC95" s="3">
        <v>6402146</v>
      </c>
      <c r="AD95" s="3">
        <v>741.58995000000004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/>
      <c r="AP95" s="3" t="s">
        <v>98</v>
      </c>
      <c r="AQ95" s="3">
        <v>210365020</v>
      </c>
      <c r="AR95" s="3" t="s">
        <v>99</v>
      </c>
      <c r="AS95" s="3" t="s">
        <v>100</v>
      </c>
      <c r="AT95" s="3">
        <v>0</v>
      </c>
      <c r="AU95" s="3">
        <v>0</v>
      </c>
      <c r="AV95" s="3">
        <v>0</v>
      </c>
      <c r="AW95" s="3">
        <v>30024201</v>
      </c>
      <c r="AX95" s="3">
        <v>99</v>
      </c>
      <c r="AY95" s="3">
        <v>8633</v>
      </c>
      <c r="AZ95" s="3">
        <v>8633</v>
      </c>
      <c r="BA95" s="3" t="s">
        <v>103</v>
      </c>
      <c r="BB95" s="3"/>
      <c r="BC95" s="3" t="s">
        <v>105</v>
      </c>
      <c r="BD95" s="3" t="s">
        <v>105</v>
      </c>
      <c r="BE95" s="3"/>
      <c r="BF95" s="3"/>
      <c r="BG95" s="5"/>
      <c r="BH95" s="3"/>
      <c r="BI95" s="3"/>
      <c r="BJ95" s="3"/>
      <c r="BK95" s="3" t="s">
        <v>263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 t="s">
        <v>192</v>
      </c>
      <c r="CF95" s="3">
        <v>0</v>
      </c>
      <c r="CG95" s="3">
        <v>0</v>
      </c>
      <c r="CH95" s="3">
        <v>0</v>
      </c>
      <c r="CI95" s="3" t="s">
        <v>112</v>
      </c>
      <c r="CJ95" s="3" t="s">
        <v>112</v>
      </c>
      <c r="CK95" s="3">
        <f>_xlfn.XLOOKUP($B$2,'BASE DE EXCEL'!C:C,'BASE DE EXCEL'!D:D,"NO HAY REFERENCIA")</f>
        <v>470</v>
      </c>
      <c r="CL95" s="5">
        <f>_xlfn.XLOOKUP($B$2,'BASE DE EXCEL'!$C:$C,'BASE DE EXCEL'!F:F,"NO HAY REFERENCIA")</f>
        <v>3</v>
      </c>
      <c r="CM95" s="4">
        <f>_xlfn.XLOOKUP($B$2,'BASE DE EXCEL'!$C:$C,'BASE DE EXCEL'!G:G,"NO HAY REFERENCIA")</f>
        <v>46080</v>
      </c>
      <c r="CN95" s="4">
        <f>_xlfn.XLOOKUP($B$2,'BASE DE EXCEL'!$C:$C,'BASE DE EXCEL'!H:H,"NO HAY REFERENCIA")</f>
        <v>46086</v>
      </c>
      <c r="CO95" s="3">
        <f>_xlfn.XLOOKUP($B$2,'BASE DE EXCEL'!$C:$C,'BASE DE EXCEL'!I:I,"NO HAY REFERENCIA")</f>
        <v>4</v>
      </c>
      <c r="CP95" s="3" t="str">
        <f>_xlfn.XLOOKUP($B$2,'BASE DE EXCEL'!$C:$C,'BASE DE EXCEL'!J:J,"NO HAY REFERENCIA")</f>
        <v>4 a 5 días</v>
      </c>
      <c r="CQ95" s="4">
        <f>_xlfn.XLOOKUP($B$2,'BASE DE EXCEL'!$C:$C,'BASE DE EXCEL'!K:K,"NO HAY REFERENCIA")</f>
        <v>46087</v>
      </c>
      <c r="CR95" s="3">
        <f>_xlfn.XLOOKUP($B$2,'BASE DE EXCEL'!$C:$C,'BASE DE EXCEL'!L:L,"NO HAY REFERENCIA")</f>
        <v>5</v>
      </c>
      <c r="CS95" s="3">
        <f>_xlfn.XLOOKUP($B$2,'BASE DE EXCEL'!$C:$C,'BASE DE EXCEL'!M:M,"NO HAY REFERENCIA")</f>
        <v>6</v>
      </c>
      <c r="CT95" s="3" t="str">
        <f>_xlfn.XLOOKUP($B$2,'BASE DE EXCEL'!$C:$C,'BASE DE EXCEL'!N:N,"NO HAY REFERENCIA")</f>
        <v>6 a 10 días</v>
      </c>
      <c r="CU95" s="3" t="str">
        <f>_xlfn.XLOOKUP($B$2,'BASE DE EXCEL'!$C:$C,'BASE DE EXCEL'!O:O,"NO HAY REFERENCIA")</f>
        <v>On Time</v>
      </c>
      <c r="CV95" s="3" t="str">
        <f>_xlfn.XLOOKUP(B95,'BASE DE EXCEL'!$C:$C,'BASE DE EXCEL'!P:P,"NO HAY REFERENCIA")</f>
        <v>16 o más días</v>
      </c>
      <c r="CW95" s="4">
        <f>_xlfn.XLOOKUP(B95,'BASE DE EXCEL'!$C:$C,'BASE DE EXCEL'!Q:Q,"NO HAY REFERENCIA")</f>
        <v>46086</v>
      </c>
      <c r="CX95" s="3">
        <f>_xlfn.XLOOKUP(B95,'BASE DE EXCEL'!$C:$C,'BASE DE EXCEL'!R:R,"NO HAY REFERENCIA")</f>
        <v>8</v>
      </c>
      <c r="CY95" s="3" t="str">
        <f>_xlfn.XLOOKUP(B95,'BASE DE EXCEL'!$C:$C,'BASE DE EXCEL'!S:S,"NO HAY REFERENCIA")</f>
        <v>6 a 10 días</v>
      </c>
      <c r="CZ95" s="3" t="str">
        <f>_xlfn.XLOOKUP(B95,'BASE DE EXCEL'!$C:$C,'BASE DE EXCEL'!T:T,"NO HAY REFERENCIA")</f>
        <v>Delayed</v>
      </c>
      <c r="DA95" s="3">
        <f>_xlfn.XLOOKUP(B95,'BASE DE EXCEL'!$C:$C,'BASE DE EXCEL'!U:U,"NO HAY REFERENCIA")</f>
        <v>0</v>
      </c>
      <c r="DB95" s="3" t="str">
        <f>_xlfn.XLOOKUP(B95,'BASE DE EXCEL'!$C:$C,'BASE DE EXCEL'!V:V,"NO HAY REFERENCIA")</f>
        <v>Sin Dato</v>
      </c>
      <c r="DC95" s="3">
        <f>_xlfn.XLOOKUP(B95,'BASE DE EXCEL'!$C:$C,'BASE DE EXCEL'!W:W,"NO HAY REFERENCIA")</f>
        <v>20</v>
      </c>
      <c r="DD95" s="3" t="str">
        <f>_xlfn.XLOOKUP(B95,'BASE DE EXCEL'!$C:$C,'BASE DE EXCEL'!X:X,"NO HAY REFERENCIA")</f>
        <v>más de 16 días</v>
      </c>
      <c r="DE95" s="3">
        <f>_xlfn.XLOOKUP(B95,'BASE DE EXCEL'!$C:$C,'BASE DE EXCEL'!Y:Y,"NO HAY REFERENCIA")</f>
        <v>0</v>
      </c>
      <c r="DF95" s="3" t="str">
        <f>_xlfn.XLOOKUP(B95,'BASE DE EXCEL'!$C:$C,'BASE DE EXCEL'!Z:Z,"NO HAY REFERENCIA")</f>
        <v>1 día o menos</v>
      </c>
      <c r="DG95" s="3">
        <f>_xlfn.XLOOKUP(B95,'BASE DE EXCEL'!$C:$C,'BASE DE EXCEL'!AA:AA,"NO HAY REFERENCIA")</f>
        <v>16</v>
      </c>
      <c r="DH95" s="3">
        <f>_xlfn.XLOOKUP(B95,'BASE DE EXCEL'!$C:$C,'BASE DE EXCEL'!AB:AB,"NO HAY REFERENCIA")</f>
        <v>-46091</v>
      </c>
      <c r="DI95" s="3" t="str">
        <f>_xlfn.XLOOKUP(B95,'BASE DE EXCEL'!$C:$C,'BASE DE EXCEL'!AC:AC,"NO HAY REFERENCIA")</f>
        <v>SIN DATO</v>
      </c>
      <c r="DJ95" s="4">
        <f>_xlfn.XLOOKUP(B95,'BASE DE EXCEL'!$C:$C,'BASE DE EXCEL'!AD:AD,"NO HAY REFERENCIA")</f>
        <v>46105</v>
      </c>
      <c r="DK95" s="3">
        <f>_xlfn.XLOOKUP(B95,'BASE DE EXCEL'!$C:$C,'BASE DE EXCEL'!AE:AE,"NO HAY REFERENCIA")</f>
        <v>46102</v>
      </c>
      <c r="DL95" s="3">
        <f>_xlfn.XLOOKUP(B95,'BASE DE EXCEL'!$C:$C,'BASE DE EXCEL'!AF:AF,"NO HAY REFERENCIA")</f>
        <v>32931</v>
      </c>
      <c r="DM95" s="4">
        <f>_xlfn.XLOOKUP(B95,'BASE DE EXCEL'!$C:$C,'BASE DE EXCEL'!AG:AG,"NO HAY REFERENCIA")</f>
        <v>46104</v>
      </c>
      <c r="DN95" s="4">
        <f>_xlfn.XLOOKUP(B95,'BASE DE EXCEL'!$C:$C,'BASE DE EXCEL'!AH:AH,"NO HAY REFERENCIA")</f>
        <v>46105</v>
      </c>
      <c r="DO95" s="3">
        <f>_xlfn.XLOOKUP(B95,'BASE DE EXCEL'!$C:$C,'BASE DE EXCEL'!AI:AI,"NO HAY REFERENCIA")</f>
        <v>1</v>
      </c>
      <c r="DP95" s="4" t="str">
        <f>_xlfn.XLOOKUP(B95,'BASE DE EXCEL'!$C:$C,'BASE DE EXCEL'!AJ:AJ,"NO HAY REFERENCIA")</f>
        <v>SIN DATO</v>
      </c>
      <c r="DQ95" s="4">
        <f>_xlfn.XLOOKUP(B95,'BASE DE EXCEL'!$C:$C,'BASE DE EXCEL'!AK:AK,"NO HAY REFERENCIA")</f>
        <v>46105</v>
      </c>
      <c r="DR95" s="3">
        <f>_xlfn.XLOOKUP(B95,'BASE DE EXCEL'!$C:$C,'BASE DE EXCEL'!AL:AL,"NO HAY REFERENCIA")</f>
        <v>13</v>
      </c>
      <c r="DS95" s="3" t="str">
        <f>_xlfn.XLOOKUP(B95,'BASE DE EXCEL'!$C:$C,'BASE DE EXCEL'!AM:AM,"NO HAY REFERENCIA")</f>
        <v>11 a 15 días</v>
      </c>
      <c r="DT95" s="3" t="str">
        <f>_xlfn.XLOOKUP(B95,'BASE DE EXCEL'!$C:$C,'BASE DE EXCEL'!AN:AN,"NO HAY REFERENCIA")</f>
        <v>Delayed</v>
      </c>
      <c r="DU95" s="3">
        <f>_xlfn.XLOOKUP(B95,'BASE DE EXCEL'!$C:$C,'BASE DE EXCEL'!AO:AO,"NO HAY REFERENCIA")</f>
        <v>0</v>
      </c>
      <c r="DV95" s="3" t="str">
        <f>_xlfn.XLOOKUP(B95,'BASE DE EXCEL'!$C:$C,'BASE DE EXCEL'!AP:AP,"NO HAY REFERENCIA")</f>
        <v>Es anterior</v>
      </c>
      <c r="DW95" s="3" t="str">
        <f>_xlfn.XLOOKUP(B95,'BASE DE EXCEL'!$C:$C,'BASE DE EXCEL'!AQ:AQ,"NO HAY REFERENCIA")</f>
        <v>R1</v>
      </c>
      <c r="DX95" s="3" t="str">
        <f>_xlfn.XLOOKUP(B95,'BASE DE EXCEL'!$C:$C,'BASE DE EXCEL'!AR:AR,"NO HAY REFERENCIA")</f>
        <v>ZULEIMA PEREZ RUIZ</v>
      </c>
      <c r="DY95" s="3" t="str">
        <f>_xlfn.XLOOKUP(B95,'BASE DE EXCEL'!$C:$C,'BASE DE EXCEL'!AS:AS,"NO HAY REFERENCIA")</f>
        <v>HLCURTM260162366</v>
      </c>
      <c r="DZ95" s="3" t="str">
        <f>_xlfn.XLOOKUP(B95,'BASE DE EXCEL'!$C:$C,'BASE DE EXCEL'!AT:AT,"NO HAY REFERENCIA")</f>
        <v>NULL</v>
      </c>
      <c r="EA95" s="3">
        <f>_xlfn.XLOOKUP(B95,'BASE DE EXCEL'!$C:$C,'BASE DE EXCEL'!AU:AU,"NO HAY REFERENCIA")</f>
        <v>6000421</v>
      </c>
      <c r="EB95" s="3" t="str">
        <f>_xlfn.XLOOKUP(B95,'BASE DE EXCEL'!$C:$C,'BASE DE EXCEL'!AV:AV,"NO HAY REFERENCIA")</f>
        <v>Importación</v>
      </c>
      <c r="EC95" s="3" t="str">
        <f>_xlfn.XLOOKUP(B95,'BASE DE EXCEL'!$C:$C,'BASE DE EXCEL'!AW:AW,"NO HAY REFERENCIA")</f>
        <v>NOBILIS MA5+CLONE 30 (VACUNA DE USO VETERINARIO)</v>
      </c>
      <c r="ED95" s="3" t="str">
        <f>_xlfn.XLOOKUP(B95,'BASE DE EXCEL'!$C:$C,'BASE DE EXCEL'!AX:AX,"NO HAY REFERENCIA")</f>
        <v>SIN CLASIFICACION</v>
      </c>
      <c r="EE95" s="3">
        <f>_xlfn.XLOOKUP(B95,'BASE DE EXCEL'!$C:$C,'BASE DE EXCEL'!AY:AY,"NO HAY REFERENCIA")</f>
        <v>0</v>
      </c>
      <c r="EF95" s="3" t="str">
        <f>_xlfn.XLOOKUP(B95,'BASE DE EXCEL'!$C:$C,'BASE DE EXCEL'!AZ:AZ,"NO HAY REFERENCIA")</f>
        <v>Cargas de Importación</v>
      </c>
      <c r="EG95" s="3" t="str">
        <f>_xlfn.XLOOKUP(B95,'BASE DE EXCEL'!$C:$C,'BASE DE EXCEL'!BA:BA,"NO HAY REFERENCIA")</f>
        <v>INTERVET MEXICO SA DE CV</v>
      </c>
      <c r="EH95" s="3">
        <f>_xlfn.XLOOKUP(B95,'BASE DE EXCEL'!$C:$C,'BASE DE EXCEL'!BB:BB,"NO HAY REFERENCIA")</f>
        <v>0</v>
      </c>
      <c r="EI95" s="3">
        <f>_xlfn.XLOOKUP(B95,'BASE DE EXCEL'!$C:$C,'BASE DE EXCEL'!BC:BC,"NO HAY REFERENCIA")</f>
        <v>0</v>
      </c>
      <c r="EJ95" s="3">
        <f>_xlfn.XLOOKUP(B95,'BASE DE EXCEL'!$C:$C,'BASE DE EXCEL'!BD:BD,"NO HAY REFERENCIA")</f>
        <v>0</v>
      </c>
      <c r="EK95" s="3">
        <f>_xlfn.XLOOKUP(B95,'BASE DE EXCEL'!$C:$C,'BASE DE EXCEL'!BE:BE,"NO HAY REFERENCIA")</f>
        <v>0</v>
      </c>
      <c r="EL95" s="3">
        <f>_xlfn.XLOOKUP(B95,'BASE DE EXCEL'!$C:$C,'BASE DE EXCEL'!BF:BF,"NO HAY REFERENCIA")</f>
        <v>0</v>
      </c>
      <c r="EM95" s="3" t="str">
        <f>_xlfn.XLOOKUP(B95,'BASE DE EXCEL'!$C:$C,'BASE DE EXCEL'!BG:BG,"NO HAY REFERENCIA")</f>
        <v>Verde</v>
      </c>
      <c r="EN95" s="3" t="str">
        <f>_xlfn.XLOOKUP(B95,'BASE DE EXCEL'!$C:$C,'BASE DE EXCEL'!BH:BH,"NO HAY REFERENCIA")</f>
        <v>NULL</v>
      </c>
      <c r="EO95" s="3">
        <f>_xlfn.XLOOKUP(B95,'BASE DE EXCEL'!$C:$C,'BASE DE EXCEL'!BI:BI,"NO HAY REFERENCIA")</f>
        <v>0</v>
      </c>
      <c r="EP95" s="3">
        <f>_xlfn.XLOOKUP(B95,'BASE DE EXCEL'!$C:$C,'BASE DE EXCEL'!BJ:BJ,"NO HAY REFERENCIA")</f>
        <v>0</v>
      </c>
      <c r="EQ95" s="3" t="str">
        <f>_xlfn.XLOOKUP(B95,'BASE DE EXCEL'!$C:$C,'BASE DE EXCEL'!BK:BK,"NO HAY REFERENCIA")</f>
        <v>IME850329RH2</v>
      </c>
      <c r="ER95" s="3">
        <f>_xlfn.XLOOKUP(B95,'BASE DE EXCEL'!$C:$C,'BASE DE EXCEL'!BL:BL,"NO HAY REFERENCIA")</f>
        <v>0</v>
      </c>
      <c r="ES95" s="3" t="str">
        <f>_xlfn.XLOOKUP(B95,'BASE DE EXCEL'!$C:$C,'BASE DE EXCEL'!BM:BM,"NO HAY REFERENCIA")</f>
        <v>00,99</v>
      </c>
      <c r="ET95" s="3" t="str">
        <f>_xlfn.XLOOKUP(B95,'BASE DE EXCEL'!$C:$C,'BASE DE EXCEL'!BN:BN,"NO HAY REFERENCIA")</f>
        <v>LOTE: SCBA207A11,LOTE: A053A01,LOTE: A224A01,LOTE: A142A01,LOTE: A247B01,LOTE: A436A02,LOTE: A198A02,LOTE: A489D01,LOTE: A061A01</v>
      </c>
      <c r="EU95" s="3">
        <f>_xlfn.XLOOKUP(B95,'BASE DE EXCEL'!$C:$C,'BASE DE EXCEL'!BO:BO,"NO HAY REFERENCIA")</f>
        <v>90</v>
      </c>
      <c r="EV95" s="3" t="str">
        <f>_xlfn.XLOOKUP(B95,'BASE DE EXCEL'!$C:$C,'BASE DE EXCEL'!BP:BP,"NO HAY REFERENCIA")</f>
        <v xml:space="preserve"> 321379.32, 13019554.91, 1145829.89, 3079396.80</v>
      </c>
      <c r="EW95" s="3" t="str">
        <f>_xlfn.XLOOKUP(B95,'BASE DE EXCEL'!$C:$C,'BASE DE EXCEL'!BQ:BQ,"NO HAY REFERENCIA")</f>
        <v>KILO,KILO,KILO,KILO,KILO,KILO,KILO,KILO,KILO</v>
      </c>
      <c r="EX95" s="3">
        <f>_xlfn.XLOOKUP(B95,'BASE DE EXCEL'!$C:$C,'BASE DE EXCEL'!BR:BR,"NO HAY REFERENCIA")</f>
        <v>0</v>
      </c>
      <c r="EY95" s="3" t="str">
        <f>_xlfn.XLOOKUP(B95,'BASE DE EXCEL'!$C:$C,'BASE DE EXCEL'!BS:BS,"NO HAY REFERENCIA")</f>
        <v>PAISES BAJOS (REINO DE LOS) (HOLANDA)</v>
      </c>
      <c r="EZ95" s="3" t="str">
        <f>_xlfn.XLOOKUP(B95,'BASE DE EXCEL'!$C:$C,'BASE DE EXCEL'!BT:BT,"NO HAY REFERENCIA")</f>
        <v>PAISES BAJOS (REINO DE LOS) (HOLANDA)</v>
      </c>
      <c r="FA95" s="3" t="str">
        <f>_xlfn.XLOOKUP(B95,'BASE DE EXCEL'!$C:$C,'BASE DE EXCEL'!BU:BU,"NO HAY REFERENCIA")</f>
        <v>ZYA</v>
      </c>
      <c r="FB95" s="3" t="str">
        <f>_xlfn.XLOOKUP(B95,'BASE DE EXCEL'!$C:$C,'BASE DE EXCEL'!BV:BV,"NO HAY REFERENCIA")</f>
        <v>ZYA</v>
      </c>
      <c r="FC95" s="3">
        <f>_xlfn.XLOOKUP(B95,QUERY!$C:$C,QUERY!D:D)</f>
        <v>430</v>
      </c>
      <c r="FD95" s="4">
        <f>_xlfn.XLOOKUP(B95,QUERY!$C:$C,QUERY!E:E)</f>
        <v>46093</v>
      </c>
      <c r="FE95" s="3">
        <f>_xlfn.XLOOKUP(B95,QUERY!$C:$C,QUERY!F:F)</f>
        <v>3</v>
      </c>
      <c r="FF95" s="4">
        <f>_xlfn.XLOOKUP(B95,QUERY!$C:$C,QUERY!G:G)</f>
        <v>46077</v>
      </c>
      <c r="FG95" s="4">
        <f>_xlfn.XLOOKUP(B95,QUERY!$C:$C,QUERY!H:H)</f>
        <v>46093</v>
      </c>
      <c r="FH95" s="3">
        <f>_xlfn.XLOOKUP(B95,QUERY!$C:$C,QUERY!I:I)</f>
        <v>12</v>
      </c>
      <c r="FI95" s="3" t="str">
        <f>_xlfn.XLOOKUP(B95,QUERY!$C:$C,QUERY!J:J)</f>
        <v>11 a 15 días</v>
      </c>
      <c r="FJ95" s="4">
        <f>_xlfn.XLOOKUP(B95,QUERY!$C:$C,QUERY!K:K)</f>
        <v>46093</v>
      </c>
      <c r="FK95" s="3">
        <f>_xlfn.XLOOKUP(B95,QUERY!$C:$C,QUERY!L:L)</f>
        <v>12</v>
      </c>
      <c r="FL95" s="3" t="str">
        <f>_xlfn.XLOOKUP(B95,QUERY!$C:$C,QUERY!M:M)</f>
        <v>11 a 15 días</v>
      </c>
      <c r="FM95" s="3">
        <f>_xlfn.XLOOKUP(B95,QUERY!$C:$C,QUERY!N:N)</f>
        <v>0</v>
      </c>
      <c r="FN95" s="3" t="str">
        <f>_xlfn.XLOOKUP(B95,QUERY!$C:$C,QUERY!O:O)</f>
        <v>1 día o menos</v>
      </c>
      <c r="FO95" s="3">
        <f>_xlfn.XLOOKUP(B95,QUERY!$C:$C,QUERY!P:P)</f>
        <v>0</v>
      </c>
      <c r="FP95" s="3">
        <f>_xlfn.XLOOKUP(B95,QUERY!$C:$C,QUERY!Q:Q)</f>
        <v>-2</v>
      </c>
      <c r="FQ95" s="3" t="str">
        <f>_xlfn.XLOOKUP(B95,QUERY!$C:$C,QUERY!R:R)</f>
        <v>Sin dato</v>
      </c>
      <c r="FR95" s="4">
        <f>_xlfn.XLOOKUP(B95,QUERY!$C:$C,QUERY!S:S)</f>
        <v>46091</v>
      </c>
      <c r="FS95" s="3">
        <f>_xlfn.XLOOKUP(B95,QUERY!$C:$C,QUERY!T:T)</f>
        <v>10</v>
      </c>
      <c r="FT95" s="3" t="str">
        <f>_xlfn.XLOOKUP(B95,QUERY!$C:$C,QUERY!U:U)</f>
        <v>6 a 10 días</v>
      </c>
      <c r="FU95" s="3">
        <f>_xlfn.XLOOKUP(B95,QUERY!$C:$C,QUERY!V:V)</f>
        <v>20</v>
      </c>
      <c r="FV95" s="3" t="str">
        <f>_xlfn.XLOOKUP(B95,QUERY!$C:$C,QUERY!W:W)</f>
        <v>más de 16 días</v>
      </c>
      <c r="FW95" s="4">
        <f>_xlfn.XLOOKUP(B95,QUERY!$C:$C,QUERY!X:X)</f>
        <v>46105</v>
      </c>
      <c r="FX95" s="3">
        <f>_xlfn.XLOOKUP(B95,QUERY!$C:$C,QUERY!Y:Y)</f>
        <v>9</v>
      </c>
      <c r="FY95" s="3">
        <f>_xlfn.XLOOKUP(B95,QUERY!$C:$C,QUERY!Z:Z)</f>
        <v>10</v>
      </c>
      <c r="FZ95" s="4" t="str">
        <f>_xlfn.XLOOKUP(B95,QUERY!$C:$C,QUERY!AA:AA)</f>
        <v>11 a 15 días</v>
      </c>
      <c r="GA95" s="4">
        <f>_xlfn.XLOOKUP(B95,QUERY!$C:$C,QUERY!AB:AB)</f>
        <v>46104</v>
      </c>
      <c r="GB95" s="4">
        <f>_xlfn.XLOOKUP(B95,QUERY!$C:$C,QUERY!AC:AC)</f>
        <v>46105</v>
      </c>
      <c r="GC95" s="3">
        <f>_xlfn.XLOOKUP(B95,QUERY!$C:$C,QUERY!AD:AD)</f>
        <v>1</v>
      </c>
      <c r="GD95" s="4">
        <f>_xlfn.XLOOKUP(B95,QUERY!$C:$C,QUERY!AE:AE)</f>
        <v>46105</v>
      </c>
      <c r="GE95" s="3">
        <f>_xlfn.XLOOKUP(B95,QUERY!$C:$C,QUERY!AF:AF)</f>
        <v>1</v>
      </c>
      <c r="GF95" s="4" t="str">
        <f>_xlfn.XLOOKUP(B95,QUERY!$C:$C,QUERY!AG:AG)</f>
        <v>Es anterior</v>
      </c>
      <c r="GG95" s="3" t="str">
        <f>_xlfn.XLOOKUP(B95,QUERY!$C:$C,QUERY!AH:AH)</f>
        <v>R1</v>
      </c>
      <c r="GH95" s="3" t="str">
        <f>_xlfn.XLOOKUP(B95,QUERY!$C:$C,QUERY!AI:AI)</f>
        <v>ZULEIMA PEREZ RUIZ</v>
      </c>
      <c r="GI95" s="3" t="str">
        <f>_xlfn.XLOOKUP(B95,QUERY!$C:$C,QUERY!AJ:AJ)</f>
        <v>HLCURTM260162366</v>
      </c>
      <c r="GJ95" s="3" t="str">
        <f>_xlfn.XLOOKUP(B95,QUERY!$C:$C,QUERY!AK:AK)</f>
        <v>NULL</v>
      </c>
      <c r="GK95" s="3">
        <f>_xlfn.XLOOKUP(B95,QUERY!$C:$C,QUERY!AL:AL)</f>
        <v>6000421</v>
      </c>
      <c r="GL95" s="3" t="str">
        <f>_xlfn.XLOOKUP(B95,QUERY!$C:$C,QUERY!AM:AM)</f>
        <v>Importación</v>
      </c>
      <c r="GM95" s="3" t="str">
        <f>_xlfn.XLOOKUP(B95,QUERY!$C:$C,QUERY!AN:AN)</f>
        <v>NOBILIS MA5+CLONE 30 (VACUNA DE USO VETERINARIO)</v>
      </c>
      <c r="GN95" s="3" t="str">
        <f>_xlfn.XLOOKUP(B95,QUERY!$C:$C,QUERY!AO:AO)</f>
        <v>SIN CLASIFICACION</v>
      </c>
      <c r="GO95" s="3">
        <f>_xlfn.XLOOKUP(B95,QUERY!$C:$C,QUERY!AP:AP)</f>
        <v>0</v>
      </c>
      <c r="GP95" s="3" t="str">
        <f>_xlfn.XLOOKUP(B95,QUERY!$C:$C,QUERY!AQ:AQ)</f>
        <v>Cargas de Importación</v>
      </c>
      <c r="GQ95" s="3" t="str">
        <f>_xlfn.XLOOKUP(B95,QUERY!$C:$C,QUERY!AR:AR)</f>
        <v>INTERVET MEXICO SA DE CV</v>
      </c>
      <c r="GR95" s="3">
        <f>_xlfn.XLOOKUP(B95,QUERY!$C:$C,QUERY!AS:AS)</f>
        <v>0</v>
      </c>
      <c r="GS95" s="3">
        <f>_xlfn.XLOOKUP(B95,QUERY!$C:$C,QUERY!AT:AT)</f>
        <v>0</v>
      </c>
      <c r="GT95" s="3">
        <f>_xlfn.XLOOKUP(B95,QUERY!$C:$C,QUERY!AU:AU)</f>
        <v>0</v>
      </c>
      <c r="GU95" s="3">
        <f>_xlfn.XLOOKUP(B95,QUERY!$C:$C,QUERY!AV:AV)</f>
        <v>0</v>
      </c>
      <c r="GV95" s="3">
        <f>_xlfn.XLOOKUP(B95,QUERY!$C:$C,QUERY!AW:AW)</f>
        <v>0</v>
      </c>
      <c r="GW95" s="3" t="str">
        <f>_xlfn.XLOOKUP(B95,QUERY!$C:$C,QUERY!AX:AX)</f>
        <v>Verde</v>
      </c>
      <c r="GX95" s="3" t="str">
        <f>_xlfn.XLOOKUP(B95,QUERY!$C:$C,QUERY!AY:AY)</f>
        <v>NULL</v>
      </c>
      <c r="GY95" s="3">
        <f>_xlfn.XLOOKUP(B95,QUERY!$C:$C,QUERY!AZ:AZ)</f>
        <v>0</v>
      </c>
      <c r="GZ95" s="3">
        <f>_xlfn.XLOOKUP(B95,QUERY!$C:$C,QUERY!BA:BA)</f>
        <v>0</v>
      </c>
      <c r="HA95" s="3" t="str">
        <f>_xlfn.XLOOKUP(B95,QUERY!$C:$C,QUERY!BB:BB)</f>
        <v>IME850329RH2</v>
      </c>
      <c r="HB95" s="3">
        <f>_xlfn.XLOOKUP(B95,QUERY!$C:$C,QUERY!BC:BC)</f>
        <v>0</v>
      </c>
      <c r="HC95" s="3">
        <f>_xlfn.XLOOKUP(B95,QUERY!$C:$C,QUERY!BD:BD)</f>
        <v>0.99</v>
      </c>
      <c r="HD95" s="3" t="str">
        <f>_xlfn.XLOOKUP(B95,QUERY!$C:$C,QUERY!BE:BE)</f>
        <v>LOTE: SCBA207A11,LOTE: A053A01,LOTE: A224A01,LOTE: A142A01,LOTE: A247B01,LOTE: A436A02,LOTE: A198A02,LOTE: A489D01,LOTE: A061A01</v>
      </c>
      <c r="HE95" s="3">
        <f>_xlfn.XLOOKUP(B95,QUERY!$C:$C,QUERY!BF:BF)</f>
        <v>90</v>
      </c>
      <c r="HF95" s="3" t="str">
        <f>_xlfn.XLOOKUP(B95,QUERY!$C:$C,QUERY!BG:BG)</f>
        <v xml:space="preserve"> 321379.32, 13019554.91, 1145829.89, 3079396.80</v>
      </c>
      <c r="HG95" s="3" t="str">
        <f>_xlfn.XLOOKUP(B95,QUERY!$C:$C,QUERY!BH:BH)</f>
        <v>KILO,KILO,KILO,KILO,KILO,KILO,KILO,KILO,KILO</v>
      </c>
      <c r="HH95" s="3">
        <f>_xlfn.XLOOKUP(B95,QUERY!$C:$C,QUERY!BI:BI)</f>
        <v>0</v>
      </c>
      <c r="HI95" s="3" t="str">
        <f>_xlfn.XLOOKUP(B95,QUERY!$C:$C,QUERY!BJ:BJ)</f>
        <v>PAISES BAJOS (REINO DE LOS) (HOLANDA)</v>
      </c>
      <c r="HJ95" s="3" t="str">
        <f>_xlfn.XLOOKUP(B95,QUERY!$C:$C,QUERY!BK:BK)</f>
        <v>PAISES BAJOS (REINO DE LOS) (HOLANDA)</v>
      </c>
      <c r="HK95" s="3" t="str">
        <f>_xlfn.XLOOKUP(B95,QUERY!$C:$C,QUERY!BL:BL)</f>
        <v>ZYA</v>
      </c>
      <c r="HL95" s="3" t="str">
        <f>_xlfn.XLOOKUP(B95,QUERY!$C:$C,QUERY!BM:BM)</f>
        <v>ZYA</v>
      </c>
      <c r="HM95" s="3">
        <f>_xlfn.XLOOKUP(B95,QUERY!$C:$C,QUERY!BN:BN)</f>
        <v>17566160</v>
      </c>
      <c r="HN95" s="3" t="str">
        <f>_xlfn.XLOOKUP(B95,QUERY!$C:$C,QUERY!BO:BO)</f>
        <v>444.00</v>
      </c>
      <c r="HO95" s="3" t="str">
        <f>_xlfn.XLOOKUP(B95,QUERY!$C:$C,QUERY!BP:BP)</f>
        <v>NULL</v>
      </c>
      <c r="HP95" s="3" t="str">
        <f>_xlfn.XLOOKUP(B95,QUERY!$C:$C,QUERY!BQ:BQ)</f>
        <v>NULL</v>
      </c>
      <c r="HQ95" s="3" t="str">
        <f>_xlfn.XLOOKUP(B95,QUERY!$C:$C,QUERY!BR:BR)</f>
        <v>250436.84</v>
      </c>
      <c r="HR95" s="3">
        <f>_xlfn.XLOOKUP(B95,QUERY!$C:$C,QUERY!BS:BS)</f>
        <v>0</v>
      </c>
      <c r="HS95" s="3">
        <f>_xlfn.XLOOKUP(B95,QUERY!$C:$C,QUERY!BT:BT)</f>
        <v>0</v>
      </c>
      <c r="HT95" s="3" t="str">
        <f>_xlfn.XLOOKUP(B95,QUERY!$C:$C,QUERY!A:A)</f>
        <v>VERACRUZ</v>
      </c>
      <c r="HU95" s="3" t="str">
        <f>_xlfn.XLOOKUP(B95,QUERY!$C:$C,QUERY!B:B)</f>
        <v>MARÍTIMO VERACRUZ</v>
      </c>
    </row>
    <row r="96" spans="1:229" x14ac:dyDescent="0.25">
      <c r="A96" s="3" t="s">
        <v>90</v>
      </c>
      <c r="B96" s="3" t="s">
        <v>346</v>
      </c>
      <c r="C96" s="3">
        <v>3942</v>
      </c>
      <c r="D96" s="3">
        <v>6000421</v>
      </c>
      <c r="E96" s="3">
        <v>6000418</v>
      </c>
      <c r="F96" s="3" t="s">
        <v>92</v>
      </c>
      <c r="G96" s="3" t="s">
        <v>342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430</v>
      </c>
      <c r="S96" s="3" t="s">
        <v>258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 t="s">
        <v>266</v>
      </c>
      <c r="AB96" s="3"/>
      <c r="AC96" s="3">
        <v>730403</v>
      </c>
      <c r="AD96" s="3">
        <v>507.92975999999999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/>
      <c r="AP96" s="3" t="s">
        <v>98</v>
      </c>
      <c r="AQ96" s="3">
        <v>210365020</v>
      </c>
      <c r="AR96" s="3" t="s">
        <v>99</v>
      </c>
      <c r="AS96" s="3" t="s">
        <v>100</v>
      </c>
      <c r="AT96" s="3">
        <v>0</v>
      </c>
      <c r="AU96" s="3">
        <v>0</v>
      </c>
      <c r="AV96" s="3">
        <v>0</v>
      </c>
      <c r="AW96" s="3">
        <v>30024201</v>
      </c>
      <c r="AX96" s="3">
        <v>99</v>
      </c>
      <c r="AY96" s="3">
        <v>1438</v>
      </c>
      <c r="AZ96" s="3">
        <v>1438</v>
      </c>
      <c r="BA96" s="3" t="s">
        <v>103</v>
      </c>
      <c r="BB96" s="3"/>
      <c r="BC96" s="3" t="s">
        <v>105</v>
      </c>
      <c r="BD96" s="3" t="s">
        <v>105</v>
      </c>
      <c r="BE96" s="3"/>
      <c r="BF96" s="3"/>
      <c r="BG96" s="5"/>
      <c r="BH96" s="3"/>
      <c r="BI96" s="3"/>
      <c r="BJ96" s="3"/>
      <c r="BK96" s="3" t="s">
        <v>263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 t="s">
        <v>192</v>
      </c>
      <c r="CF96" s="3">
        <v>0</v>
      </c>
      <c r="CG96" s="3">
        <v>0</v>
      </c>
      <c r="CH96" s="3">
        <v>0</v>
      </c>
      <c r="CI96" s="3" t="s">
        <v>112</v>
      </c>
      <c r="CJ96" s="3" t="s">
        <v>112</v>
      </c>
      <c r="CK96" s="3">
        <f>_xlfn.XLOOKUP($B$2,'BASE DE EXCEL'!C:C,'BASE DE EXCEL'!D:D,"NO HAY REFERENCIA")</f>
        <v>470</v>
      </c>
      <c r="CL96" s="5">
        <f>_xlfn.XLOOKUP($B$2,'BASE DE EXCEL'!$C:$C,'BASE DE EXCEL'!F:F,"NO HAY REFERENCIA")</f>
        <v>3</v>
      </c>
      <c r="CM96" s="4">
        <f>_xlfn.XLOOKUP($B$2,'BASE DE EXCEL'!$C:$C,'BASE DE EXCEL'!G:G,"NO HAY REFERENCIA")</f>
        <v>46080</v>
      </c>
      <c r="CN96" s="4">
        <f>_xlfn.XLOOKUP($B$2,'BASE DE EXCEL'!$C:$C,'BASE DE EXCEL'!H:H,"NO HAY REFERENCIA")</f>
        <v>46086</v>
      </c>
      <c r="CO96" s="3">
        <f>_xlfn.XLOOKUP($B$2,'BASE DE EXCEL'!$C:$C,'BASE DE EXCEL'!I:I,"NO HAY REFERENCIA")</f>
        <v>4</v>
      </c>
      <c r="CP96" s="3" t="str">
        <f>_xlfn.XLOOKUP($B$2,'BASE DE EXCEL'!$C:$C,'BASE DE EXCEL'!J:J,"NO HAY REFERENCIA")</f>
        <v>4 a 5 días</v>
      </c>
      <c r="CQ96" s="4">
        <f>_xlfn.XLOOKUP($B$2,'BASE DE EXCEL'!$C:$C,'BASE DE EXCEL'!K:K,"NO HAY REFERENCIA")</f>
        <v>46087</v>
      </c>
      <c r="CR96" s="3">
        <f>_xlfn.XLOOKUP($B$2,'BASE DE EXCEL'!$C:$C,'BASE DE EXCEL'!L:L,"NO HAY REFERENCIA")</f>
        <v>5</v>
      </c>
      <c r="CS96" s="3">
        <f>_xlfn.XLOOKUP($B$2,'BASE DE EXCEL'!$C:$C,'BASE DE EXCEL'!M:M,"NO HAY REFERENCIA")</f>
        <v>6</v>
      </c>
      <c r="CT96" s="3" t="str">
        <f>_xlfn.XLOOKUP($B$2,'BASE DE EXCEL'!$C:$C,'BASE DE EXCEL'!N:N,"NO HAY REFERENCIA")</f>
        <v>6 a 10 días</v>
      </c>
      <c r="CU96" s="3" t="str">
        <f>_xlfn.XLOOKUP($B$2,'BASE DE EXCEL'!$C:$C,'BASE DE EXCEL'!O:O,"NO HAY REFERENCIA")</f>
        <v>On Time</v>
      </c>
      <c r="CV96" s="3" t="str">
        <f>_xlfn.XLOOKUP(B96,'BASE DE EXCEL'!$C:$C,'BASE DE EXCEL'!P:P,"NO HAY REFERENCIA")</f>
        <v>16 o más días</v>
      </c>
      <c r="CW96" s="4">
        <f>_xlfn.XLOOKUP(B96,'BASE DE EXCEL'!$C:$C,'BASE DE EXCEL'!Q:Q,"NO HAY REFERENCIA")</f>
        <v>46086</v>
      </c>
      <c r="CX96" s="3">
        <f>_xlfn.XLOOKUP(B96,'BASE DE EXCEL'!$C:$C,'BASE DE EXCEL'!R:R,"NO HAY REFERENCIA")</f>
        <v>8</v>
      </c>
      <c r="CY96" s="3" t="str">
        <f>_xlfn.XLOOKUP(B96,'BASE DE EXCEL'!$C:$C,'BASE DE EXCEL'!S:S,"NO HAY REFERENCIA")</f>
        <v>6 a 10 días</v>
      </c>
      <c r="CZ96" s="3" t="str">
        <f>_xlfn.XLOOKUP(B96,'BASE DE EXCEL'!$C:$C,'BASE DE EXCEL'!T:T,"NO HAY REFERENCIA")</f>
        <v>Delayed</v>
      </c>
      <c r="DA96" s="3">
        <f>_xlfn.XLOOKUP(B96,'BASE DE EXCEL'!$C:$C,'BASE DE EXCEL'!U:U,"NO HAY REFERENCIA")</f>
        <v>0</v>
      </c>
      <c r="DB96" s="3" t="str">
        <f>_xlfn.XLOOKUP(B96,'BASE DE EXCEL'!$C:$C,'BASE DE EXCEL'!V:V,"NO HAY REFERENCIA")</f>
        <v>Sin Dato</v>
      </c>
      <c r="DC96" s="3">
        <f>_xlfn.XLOOKUP(B96,'BASE DE EXCEL'!$C:$C,'BASE DE EXCEL'!W:W,"NO HAY REFERENCIA")</f>
        <v>20</v>
      </c>
      <c r="DD96" s="3" t="str">
        <f>_xlfn.XLOOKUP(B96,'BASE DE EXCEL'!$C:$C,'BASE DE EXCEL'!X:X,"NO HAY REFERENCIA")</f>
        <v>más de 16 días</v>
      </c>
      <c r="DE96" s="3">
        <f>_xlfn.XLOOKUP(B96,'BASE DE EXCEL'!$C:$C,'BASE DE EXCEL'!Y:Y,"NO HAY REFERENCIA")</f>
        <v>0</v>
      </c>
      <c r="DF96" s="3" t="str">
        <f>_xlfn.XLOOKUP(B96,'BASE DE EXCEL'!$C:$C,'BASE DE EXCEL'!Z:Z,"NO HAY REFERENCIA")</f>
        <v>1 día o menos</v>
      </c>
      <c r="DG96" s="3">
        <f>_xlfn.XLOOKUP(B96,'BASE DE EXCEL'!$C:$C,'BASE DE EXCEL'!AA:AA,"NO HAY REFERENCIA")</f>
        <v>16</v>
      </c>
      <c r="DH96" s="3">
        <f>_xlfn.XLOOKUP(B96,'BASE DE EXCEL'!$C:$C,'BASE DE EXCEL'!AB:AB,"NO HAY REFERENCIA")</f>
        <v>-46091</v>
      </c>
      <c r="DI96" s="3" t="str">
        <f>_xlfn.XLOOKUP(B96,'BASE DE EXCEL'!$C:$C,'BASE DE EXCEL'!AC:AC,"NO HAY REFERENCIA")</f>
        <v>SIN DATO</v>
      </c>
      <c r="DJ96" s="4">
        <f>_xlfn.XLOOKUP(B96,'BASE DE EXCEL'!$C:$C,'BASE DE EXCEL'!AD:AD,"NO HAY REFERENCIA")</f>
        <v>46105</v>
      </c>
      <c r="DK96" s="3">
        <f>_xlfn.XLOOKUP(B96,'BASE DE EXCEL'!$C:$C,'BASE DE EXCEL'!AE:AE,"NO HAY REFERENCIA")</f>
        <v>46102</v>
      </c>
      <c r="DL96" s="3">
        <f>_xlfn.XLOOKUP(B96,'BASE DE EXCEL'!$C:$C,'BASE DE EXCEL'!AF:AF,"NO HAY REFERENCIA")</f>
        <v>32931</v>
      </c>
      <c r="DM96" s="4">
        <f>_xlfn.XLOOKUP(B96,'BASE DE EXCEL'!$C:$C,'BASE DE EXCEL'!AG:AG,"NO HAY REFERENCIA")</f>
        <v>46104</v>
      </c>
      <c r="DN96" s="4">
        <f>_xlfn.XLOOKUP(B96,'BASE DE EXCEL'!$C:$C,'BASE DE EXCEL'!AH:AH,"NO HAY REFERENCIA")</f>
        <v>46105</v>
      </c>
      <c r="DO96" s="3">
        <f>_xlfn.XLOOKUP(B96,'BASE DE EXCEL'!$C:$C,'BASE DE EXCEL'!AI:AI,"NO HAY REFERENCIA")</f>
        <v>1</v>
      </c>
      <c r="DP96" s="4" t="str">
        <f>_xlfn.XLOOKUP(B96,'BASE DE EXCEL'!$C:$C,'BASE DE EXCEL'!AJ:AJ,"NO HAY REFERENCIA")</f>
        <v>SIN DATO</v>
      </c>
      <c r="DQ96" s="4">
        <f>_xlfn.XLOOKUP(B96,'BASE DE EXCEL'!$C:$C,'BASE DE EXCEL'!AK:AK,"NO HAY REFERENCIA")</f>
        <v>46105</v>
      </c>
      <c r="DR96" s="3">
        <f>_xlfn.XLOOKUP(B96,'BASE DE EXCEL'!$C:$C,'BASE DE EXCEL'!AL:AL,"NO HAY REFERENCIA")</f>
        <v>13</v>
      </c>
      <c r="DS96" s="3" t="str">
        <f>_xlfn.XLOOKUP(B96,'BASE DE EXCEL'!$C:$C,'BASE DE EXCEL'!AM:AM,"NO HAY REFERENCIA")</f>
        <v>11 a 15 días</v>
      </c>
      <c r="DT96" s="3" t="str">
        <f>_xlfn.XLOOKUP(B96,'BASE DE EXCEL'!$C:$C,'BASE DE EXCEL'!AN:AN,"NO HAY REFERENCIA")</f>
        <v>Delayed</v>
      </c>
      <c r="DU96" s="3">
        <f>_xlfn.XLOOKUP(B96,'BASE DE EXCEL'!$C:$C,'BASE DE EXCEL'!AO:AO,"NO HAY REFERENCIA")</f>
        <v>0</v>
      </c>
      <c r="DV96" s="3" t="str">
        <f>_xlfn.XLOOKUP(B96,'BASE DE EXCEL'!$C:$C,'BASE DE EXCEL'!AP:AP,"NO HAY REFERENCIA")</f>
        <v>Es anterior</v>
      </c>
      <c r="DW96" s="3" t="str">
        <f>_xlfn.XLOOKUP(B96,'BASE DE EXCEL'!$C:$C,'BASE DE EXCEL'!AQ:AQ,"NO HAY REFERENCIA")</f>
        <v>R1</v>
      </c>
      <c r="DX96" s="3" t="str">
        <f>_xlfn.XLOOKUP(B96,'BASE DE EXCEL'!$C:$C,'BASE DE EXCEL'!AR:AR,"NO HAY REFERENCIA")</f>
        <v>ZULEIMA PEREZ RUIZ</v>
      </c>
      <c r="DY96" s="3" t="str">
        <f>_xlfn.XLOOKUP(B96,'BASE DE EXCEL'!$C:$C,'BASE DE EXCEL'!AS:AS,"NO HAY REFERENCIA")</f>
        <v>HLCURTM260162366</v>
      </c>
      <c r="DZ96" s="3" t="str">
        <f>_xlfn.XLOOKUP(B96,'BASE DE EXCEL'!$C:$C,'BASE DE EXCEL'!AT:AT,"NO HAY REFERENCIA")</f>
        <v>NULL</v>
      </c>
      <c r="EA96" s="3">
        <f>_xlfn.XLOOKUP(B96,'BASE DE EXCEL'!$C:$C,'BASE DE EXCEL'!AU:AU,"NO HAY REFERENCIA")</f>
        <v>6000421</v>
      </c>
      <c r="EB96" s="3" t="str">
        <f>_xlfn.XLOOKUP(B96,'BASE DE EXCEL'!$C:$C,'BASE DE EXCEL'!AV:AV,"NO HAY REFERENCIA")</f>
        <v>Importación</v>
      </c>
      <c r="EC96" s="3" t="str">
        <f>_xlfn.XLOOKUP(B96,'BASE DE EXCEL'!$C:$C,'BASE DE EXCEL'!AW:AW,"NO HAY REFERENCIA")</f>
        <v>NOBILIS MA5+CLONE 30 (VACUNA DE USO VETERINARIO)</v>
      </c>
      <c r="ED96" s="3" t="str">
        <f>_xlfn.XLOOKUP(B96,'BASE DE EXCEL'!$C:$C,'BASE DE EXCEL'!AX:AX,"NO HAY REFERENCIA")</f>
        <v>SIN CLASIFICACION</v>
      </c>
      <c r="EE96" s="3">
        <f>_xlfn.XLOOKUP(B96,'BASE DE EXCEL'!$C:$C,'BASE DE EXCEL'!AY:AY,"NO HAY REFERENCIA")</f>
        <v>0</v>
      </c>
      <c r="EF96" s="3" t="str">
        <f>_xlfn.XLOOKUP(B96,'BASE DE EXCEL'!$C:$C,'BASE DE EXCEL'!AZ:AZ,"NO HAY REFERENCIA")</f>
        <v>Cargas de Importación</v>
      </c>
      <c r="EG96" s="3" t="str">
        <f>_xlfn.XLOOKUP(B96,'BASE DE EXCEL'!$C:$C,'BASE DE EXCEL'!BA:BA,"NO HAY REFERENCIA")</f>
        <v>INTERVET MEXICO SA DE CV</v>
      </c>
      <c r="EH96" s="3">
        <f>_xlfn.XLOOKUP(B96,'BASE DE EXCEL'!$C:$C,'BASE DE EXCEL'!BB:BB,"NO HAY REFERENCIA")</f>
        <v>0</v>
      </c>
      <c r="EI96" s="3">
        <f>_xlfn.XLOOKUP(B96,'BASE DE EXCEL'!$C:$C,'BASE DE EXCEL'!BC:BC,"NO HAY REFERENCIA")</f>
        <v>0</v>
      </c>
      <c r="EJ96" s="3">
        <f>_xlfn.XLOOKUP(B96,'BASE DE EXCEL'!$C:$C,'BASE DE EXCEL'!BD:BD,"NO HAY REFERENCIA")</f>
        <v>0</v>
      </c>
      <c r="EK96" s="3">
        <f>_xlfn.XLOOKUP(B96,'BASE DE EXCEL'!$C:$C,'BASE DE EXCEL'!BE:BE,"NO HAY REFERENCIA")</f>
        <v>0</v>
      </c>
      <c r="EL96" s="3">
        <f>_xlfn.XLOOKUP(B96,'BASE DE EXCEL'!$C:$C,'BASE DE EXCEL'!BF:BF,"NO HAY REFERENCIA")</f>
        <v>0</v>
      </c>
      <c r="EM96" s="3" t="str">
        <f>_xlfn.XLOOKUP(B96,'BASE DE EXCEL'!$C:$C,'BASE DE EXCEL'!BG:BG,"NO HAY REFERENCIA")</f>
        <v>Verde</v>
      </c>
      <c r="EN96" s="3" t="str">
        <f>_xlfn.XLOOKUP(B96,'BASE DE EXCEL'!$C:$C,'BASE DE EXCEL'!BH:BH,"NO HAY REFERENCIA")</f>
        <v>NULL</v>
      </c>
      <c r="EO96" s="3">
        <f>_xlfn.XLOOKUP(B96,'BASE DE EXCEL'!$C:$C,'BASE DE EXCEL'!BI:BI,"NO HAY REFERENCIA")</f>
        <v>0</v>
      </c>
      <c r="EP96" s="3">
        <f>_xlfn.XLOOKUP(B96,'BASE DE EXCEL'!$C:$C,'BASE DE EXCEL'!BJ:BJ,"NO HAY REFERENCIA")</f>
        <v>0</v>
      </c>
      <c r="EQ96" s="3" t="str">
        <f>_xlfn.XLOOKUP(B96,'BASE DE EXCEL'!$C:$C,'BASE DE EXCEL'!BK:BK,"NO HAY REFERENCIA")</f>
        <v>IME850329RH2</v>
      </c>
      <c r="ER96" s="3">
        <f>_xlfn.XLOOKUP(B96,'BASE DE EXCEL'!$C:$C,'BASE DE EXCEL'!BL:BL,"NO HAY REFERENCIA")</f>
        <v>0</v>
      </c>
      <c r="ES96" s="3" t="str">
        <f>_xlfn.XLOOKUP(B96,'BASE DE EXCEL'!$C:$C,'BASE DE EXCEL'!BM:BM,"NO HAY REFERENCIA")</f>
        <v>00,99</v>
      </c>
      <c r="ET96" s="3" t="str">
        <f>_xlfn.XLOOKUP(B96,'BASE DE EXCEL'!$C:$C,'BASE DE EXCEL'!BN:BN,"NO HAY REFERENCIA")</f>
        <v>LOTE: SCBA207A11,LOTE: A053A01,LOTE: A224A01,LOTE: A142A01,LOTE: A247B01,LOTE: A436A02,LOTE: A198A02,LOTE: A489D01,LOTE: A061A01</v>
      </c>
      <c r="EU96" s="3">
        <f>_xlfn.XLOOKUP(B96,'BASE DE EXCEL'!$C:$C,'BASE DE EXCEL'!BO:BO,"NO HAY REFERENCIA")</f>
        <v>90</v>
      </c>
      <c r="EV96" s="3" t="str">
        <f>_xlfn.XLOOKUP(B96,'BASE DE EXCEL'!$C:$C,'BASE DE EXCEL'!BP:BP,"NO HAY REFERENCIA")</f>
        <v xml:space="preserve"> 321379.32, 13019554.91, 1145829.89, 3079396.80</v>
      </c>
      <c r="EW96" s="3" t="str">
        <f>_xlfn.XLOOKUP(B96,'BASE DE EXCEL'!$C:$C,'BASE DE EXCEL'!BQ:BQ,"NO HAY REFERENCIA")</f>
        <v>KILO,KILO,KILO,KILO,KILO,KILO,KILO,KILO,KILO</v>
      </c>
      <c r="EX96" s="3">
        <f>_xlfn.XLOOKUP(B96,'BASE DE EXCEL'!$C:$C,'BASE DE EXCEL'!BR:BR,"NO HAY REFERENCIA")</f>
        <v>0</v>
      </c>
      <c r="EY96" s="3" t="str">
        <f>_xlfn.XLOOKUP(B96,'BASE DE EXCEL'!$C:$C,'BASE DE EXCEL'!BS:BS,"NO HAY REFERENCIA")</f>
        <v>PAISES BAJOS (REINO DE LOS) (HOLANDA)</v>
      </c>
      <c r="EZ96" s="3" t="str">
        <f>_xlfn.XLOOKUP(B96,'BASE DE EXCEL'!$C:$C,'BASE DE EXCEL'!BT:BT,"NO HAY REFERENCIA")</f>
        <v>PAISES BAJOS (REINO DE LOS) (HOLANDA)</v>
      </c>
      <c r="FA96" s="3" t="str">
        <f>_xlfn.XLOOKUP(B96,'BASE DE EXCEL'!$C:$C,'BASE DE EXCEL'!BU:BU,"NO HAY REFERENCIA")</f>
        <v>ZYA</v>
      </c>
      <c r="FB96" s="3" t="str">
        <f>_xlfn.XLOOKUP(B96,'BASE DE EXCEL'!$C:$C,'BASE DE EXCEL'!BV:BV,"NO HAY REFERENCIA")</f>
        <v>ZYA</v>
      </c>
      <c r="FC96" s="3">
        <f>_xlfn.XLOOKUP(B96,QUERY!$C:$C,QUERY!D:D)</f>
        <v>430</v>
      </c>
      <c r="FD96" s="4">
        <f>_xlfn.XLOOKUP(B96,QUERY!$C:$C,QUERY!E:E)</f>
        <v>46093</v>
      </c>
      <c r="FE96" s="3">
        <f>_xlfn.XLOOKUP(B96,QUERY!$C:$C,QUERY!F:F)</f>
        <v>3</v>
      </c>
      <c r="FF96" s="4">
        <f>_xlfn.XLOOKUP(B96,QUERY!$C:$C,QUERY!G:G)</f>
        <v>46077</v>
      </c>
      <c r="FG96" s="4">
        <f>_xlfn.XLOOKUP(B96,QUERY!$C:$C,QUERY!H:H)</f>
        <v>46093</v>
      </c>
      <c r="FH96" s="3">
        <f>_xlfn.XLOOKUP(B96,QUERY!$C:$C,QUERY!I:I)</f>
        <v>12</v>
      </c>
      <c r="FI96" s="3" t="str">
        <f>_xlfn.XLOOKUP(B96,QUERY!$C:$C,QUERY!J:J)</f>
        <v>11 a 15 días</v>
      </c>
      <c r="FJ96" s="4">
        <f>_xlfn.XLOOKUP(B96,QUERY!$C:$C,QUERY!K:K)</f>
        <v>46093</v>
      </c>
      <c r="FK96" s="3">
        <f>_xlfn.XLOOKUP(B96,QUERY!$C:$C,QUERY!L:L)</f>
        <v>12</v>
      </c>
      <c r="FL96" s="3" t="str">
        <f>_xlfn.XLOOKUP(B96,QUERY!$C:$C,QUERY!M:M)</f>
        <v>11 a 15 días</v>
      </c>
      <c r="FM96" s="3">
        <f>_xlfn.XLOOKUP(B96,QUERY!$C:$C,QUERY!N:N)</f>
        <v>0</v>
      </c>
      <c r="FN96" s="3" t="str">
        <f>_xlfn.XLOOKUP(B96,QUERY!$C:$C,QUERY!O:O)</f>
        <v>1 día o menos</v>
      </c>
      <c r="FO96" s="3">
        <f>_xlfn.XLOOKUP(B96,QUERY!$C:$C,QUERY!P:P)</f>
        <v>0</v>
      </c>
      <c r="FP96" s="3">
        <f>_xlfn.XLOOKUP(B96,QUERY!$C:$C,QUERY!Q:Q)</f>
        <v>-2</v>
      </c>
      <c r="FQ96" s="3" t="str">
        <f>_xlfn.XLOOKUP(B96,QUERY!$C:$C,QUERY!R:R)</f>
        <v>Sin dato</v>
      </c>
      <c r="FR96" s="4">
        <f>_xlfn.XLOOKUP(B96,QUERY!$C:$C,QUERY!S:S)</f>
        <v>46091</v>
      </c>
      <c r="FS96" s="3">
        <f>_xlfn.XLOOKUP(B96,QUERY!$C:$C,QUERY!T:T)</f>
        <v>10</v>
      </c>
      <c r="FT96" s="3" t="str">
        <f>_xlfn.XLOOKUP(B96,QUERY!$C:$C,QUERY!U:U)</f>
        <v>6 a 10 días</v>
      </c>
      <c r="FU96" s="3">
        <f>_xlfn.XLOOKUP(B96,QUERY!$C:$C,QUERY!V:V)</f>
        <v>20</v>
      </c>
      <c r="FV96" s="3" t="str">
        <f>_xlfn.XLOOKUP(B96,QUERY!$C:$C,QUERY!W:W)</f>
        <v>más de 16 días</v>
      </c>
      <c r="FW96" s="4">
        <f>_xlfn.XLOOKUP(B96,QUERY!$C:$C,QUERY!X:X)</f>
        <v>46105</v>
      </c>
      <c r="FX96" s="3">
        <f>_xlfn.XLOOKUP(B96,QUERY!$C:$C,QUERY!Y:Y)</f>
        <v>9</v>
      </c>
      <c r="FY96" s="3">
        <f>_xlfn.XLOOKUP(B96,QUERY!$C:$C,QUERY!Z:Z)</f>
        <v>10</v>
      </c>
      <c r="FZ96" s="4" t="str">
        <f>_xlfn.XLOOKUP(B96,QUERY!$C:$C,QUERY!AA:AA)</f>
        <v>11 a 15 días</v>
      </c>
      <c r="GA96" s="4">
        <f>_xlfn.XLOOKUP(B96,QUERY!$C:$C,QUERY!AB:AB)</f>
        <v>46104</v>
      </c>
      <c r="GB96" s="4">
        <f>_xlfn.XLOOKUP(B96,QUERY!$C:$C,QUERY!AC:AC)</f>
        <v>46105</v>
      </c>
      <c r="GC96" s="3">
        <f>_xlfn.XLOOKUP(B96,QUERY!$C:$C,QUERY!AD:AD)</f>
        <v>1</v>
      </c>
      <c r="GD96" s="4">
        <f>_xlfn.XLOOKUP(B96,QUERY!$C:$C,QUERY!AE:AE)</f>
        <v>46105</v>
      </c>
      <c r="GE96" s="3">
        <f>_xlfn.XLOOKUP(B96,QUERY!$C:$C,QUERY!AF:AF)</f>
        <v>1</v>
      </c>
      <c r="GF96" s="4" t="str">
        <f>_xlfn.XLOOKUP(B96,QUERY!$C:$C,QUERY!AG:AG)</f>
        <v>Es anterior</v>
      </c>
      <c r="GG96" s="3" t="str">
        <f>_xlfn.XLOOKUP(B96,QUERY!$C:$C,QUERY!AH:AH)</f>
        <v>R1</v>
      </c>
      <c r="GH96" s="3" t="str">
        <f>_xlfn.XLOOKUP(B96,QUERY!$C:$C,QUERY!AI:AI)</f>
        <v>ZULEIMA PEREZ RUIZ</v>
      </c>
      <c r="GI96" s="3" t="str">
        <f>_xlfn.XLOOKUP(B96,QUERY!$C:$C,QUERY!AJ:AJ)</f>
        <v>HLCURTM260162366</v>
      </c>
      <c r="GJ96" s="3" t="str">
        <f>_xlfn.XLOOKUP(B96,QUERY!$C:$C,QUERY!AK:AK)</f>
        <v>NULL</v>
      </c>
      <c r="GK96" s="3">
        <f>_xlfn.XLOOKUP(B96,QUERY!$C:$C,QUERY!AL:AL)</f>
        <v>6000421</v>
      </c>
      <c r="GL96" s="3" t="str">
        <f>_xlfn.XLOOKUP(B96,QUERY!$C:$C,QUERY!AM:AM)</f>
        <v>Importación</v>
      </c>
      <c r="GM96" s="3" t="str">
        <f>_xlfn.XLOOKUP(B96,QUERY!$C:$C,QUERY!AN:AN)</f>
        <v>NOBILIS MA5+CLONE 30 (VACUNA DE USO VETERINARIO)</v>
      </c>
      <c r="GN96" s="3" t="str">
        <f>_xlfn.XLOOKUP(B96,QUERY!$C:$C,QUERY!AO:AO)</f>
        <v>SIN CLASIFICACION</v>
      </c>
      <c r="GO96" s="3">
        <f>_xlfn.XLOOKUP(B96,QUERY!$C:$C,QUERY!AP:AP)</f>
        <v>0</v>
      </c>
      <c r="GP96" s="3" t="str">
        <f>_xlfn.XLOOKUP(B96,QUERY!$C:$C,QUERY!AQ:AQ)</f>
        <v>Cargas de Importación</v>
      </c>
      <c r="GQ96" s="3" t="str">
        <f>_xlfn.XLOOKUP(B96,QUERY!$C:$C,QUERY!AR:AR)</f>
        <v>INTERVET MEXICO SA DE CV</v>
      </c>
      <c r="GR96" s="3">
        <f>_xlfn.XLOOKUP(B96,QUERY!$C:$C,QUERY!AS:AS)</f>
        <v>0</v>
      </c>
      <c r="GS96" s="3">
        <f>_xlfn.XLOOKUP(B96,QUERY!$C:$C,QUERY!AT:AT)</f>
        <v>0</v>
      </c>
      <c r="GT96" s="3">
        <f>_xlfn.XLOOKUP(B96,QUERY!$C:$C,QUERY!AU:AU)</f>
        <v>0</v>
      </c>
      <c r="GU96" s="3">
        <f>_xlfn.XLOOKUP(B96,QUERY!$C:$C,QUERY!AV:AV)</f>
        <v>0</v>
      </c>
      <c r="GV96" s="3">
        <f>_xlfn.XLOOKUP(B96,QUERY!$C:$C,QUERY!AW:AW)</f>
        <v>0</v>
      </c>
      <c r="GW96" s="3" t="str">
        <f>_xlfn.XLOOKUP(B96,QUERY!$C:$C,QUERY!AX:AX)</f>
        <v>Verde</v>
      </c>
      <c r="GX96" s="3" t="str">
        <f>_xlfn.XLOOKUP(B96,QUERY!$C:$C,QUERY!AY:AY)</f>
        <v>NULL</v>
      </c>
      <c r="GY96" s="3">
        <f>_xlfn.XLOOKUP(B96,QUERY!$C:$C,QUERY!AZ:AZ)</f>
        <v>0</v>
      </c>
      <c r="GZ96" s="3">
        <f>_xlfn.XLOOKUP(B96,QUERY!$C:$C,QUERY!BA:BA)</f>
        <v>0</v>
      </c>
      <c r="HA96" s="3" t="str">
        <f>_xlfn.XLOOKUP(B96,QUERY!$C:$C,QUERY!BB:BB)</f>
        <v>IME850329RH2</v>
      </c>
      <c r="HB96" s="3">
        <f>_xlfn.XLOOKUP(B96,QUERY!$C:$C,QUERY!BC:BC)</f>
        <v>0</v>
      </c>
      <c r="HC96" s="3">
        <f>_xlfn.XLOOKUP(B96,QUERY!$C:$C,QUERY!BD:BD)</f>
        <v>0.99</v>
      </c>
      <c r="HD96" s="3" t="str">
        <f>_xlfn.XLOOKUP(B96,QUERY!$C:$C,QUERY!BE:BE)</f>
        <v>LOTE: SCBA207A11,LOTE: A053A01,LOTE: A224A01,LOTE: A142A01,LOTE: A247B01,LOTE: A436A02,LOTE: A198A02,LOTE: A489D01,LOTE: A061A01</v>
      </c>
      <c r="HE96" s="3">
        <f>_xlfn.XLOOKUP(B96,QUERY!$C:$C,QUERY!BF:BF)</f>
        <v>90</v>
      </c>
      <c r="HF96" s="3" t="str">
        <f>_xlfn.XLOOKUP(B96,QUERY!$C:$C,QUERY!BG:BG)</f>
        <v xml:space="preserve"> 321379.32, 13019554.91, 1145829.89, 3079396.80</v>
      </c>
      <c r="HG96" s="3" t="str">
        <f>_xlfn.XLOOKUP(B96,QUERY!$C:$C,QUERY!BH:BH)</f>
        <v>KILO,KILO,KILO,KILO,KILO,KILO,KILO,KILO,KILO</v>
      </c>
      <c r="HH96" s="3">
        <f>_xlfn.XLOOKUP(B96,QUERY!$C:$C,QUERY!BI:BI)</f>
        <v>0</v>
      </c>
      <c r="HI96" s="3" t="str">
        <f>_xlfn.XLOOKUP(B96,QUERY!$C:$C,QUERY!BJ:BJ)</f>
        <v>PAISES BAJOS (REINO DE LOS) (HOLANDA)</v>
      </c>
      <c r="HJ96" s="3" t="str">
        <f>_xlfn.XLOOKUP(B96,QUERY!$C:$C,QUERY!BK:BK)</f>
        <v>PAISES BAJOS (REINO DE LOS) (HOLANDA)</v>
      </c>
      <c r="HK96" s="3" t="str">
        <f>_xlfn.XLOOKUP(B96,QUERY!$C:$C,QUERY!BL:BL)</f>
        <v>ZYA</v>
      </c>
      <c r="HL96" s="3" t="str">
        <f>_xlfn.XLOOKUP(B96,QUERY!$C:$C,QUERY!BM:BM)</f>
        <v>ZYA</v>
      </c>
      <c r="HM96" s="3">
        <f>_xlfn.XLOOKUP(B96,QUERY!$C:$C,QUERY!BN:BN)</f>
        <v>17566160</v>
      </c>
      <c r="HN96" s="3" t="str">
        <f>_xlfn.XLOOKUP(B96,QUERY!$C:$C,QUERY!BO:BO)</f>
        <v>444.00</v>
      </c>
      <c r="HO96" s="3" t="str">
        <f>_xlfn.XLOOKUP(B96,QUERY!$C:$C,QUERY!BP:BP)</f>
        <v>NULL</v>
      </c>
      <c r="HP96" s="3" t="str">
        <f>_xlfn.XLOOKUP(B96,QUERY!$C:$C,QUERY!BQ:BQ)</f>
        <v>NULL</v>
      </c>
      <c r="HQ96" s="3" t="str">
        <f>_xlfn.XLOOKUP(B96,QUERY!$C:$C,QUERY!BR:BR)</f>
        <v>250436.84</v>
      </c>
      <c r="HR96" s="3">
        <f>_xlfn.XLOOKUP(B96,QUERY!$C:$C,QUERY!BS:BS)</f>
        <v>0</v>
      </c>
      <c r="HS96" s="3">
        <f>_xlfn.XLOOKUP(B96,QUERY!$C:$C,QUERY!BT:BT)</f>
        <v>0</v>
      </c>
      <c r="HT96" s="3" t="str">
        <f>_xlfn.XLOOKUP(B96,QUERY!$C:$C,QUERY!A:A)</f>
        <v>VERACRUZ</v>
      </c>
      <c r="HU96" s="3" t="str">
        <f>_xlfn.XLOOKUP(B96,QUERY!$C:$C,QUERY!B:B)</f>
        <v>MARÍTIMO VERACRUZ</v>
      </c>
    </row>
    <row r="97" spans="1:229" x14ac:dyDescent="0.25">
      <c r="A97" s="3" t="s">
        <v>90</v>
      </c>
      <c r="B97" s="3" t="s">
        <v>346</v>
      </c>
      <c r="C97" s="3">
        <v>3942</v>
      </c>
      <c r="D97" s="3">
        <v>6000421</v>
      </c>
      <c r="E97" s="3">
        <v>6000418</v>
      </c>
      <c r="F97" s="3" t="s">
        <v>92</v>
      </c>
      <c r="G97" s="3" t="s">
        <v>342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430</v>
      </c>
      <c r="S97" s="3" t="s">
        <v>258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 t="s">
        <v>267</v>
      </c>
      <c r="AB97" s="3"/>
      <c r="AC97" s="3">
        <v>2204237</v>
      </c>
      <c r="AD97" s="3">
        <v>416.67995999999999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/>
      <c r="AP97" s="3" t="s">
        <v>98</v>
      </c>
      <c r="AQ97" s="3">
        <v>210365020</v>
      </c>
      <c r="AR97" s="3" t="s">
        <v>99</v>
      </c>
      <c r="AS97" s="3" t="s">
        <v>100</v>
      </c>
      <c r="AT97" s="3">
        <v>0</v>
      </c>
      <c r="AU97" s="3">
        <v>0</v>
      </c>
      <c r="AV97" s="3">
        <v>0</v>
      </c>
      <c r="AW97" s="3">
        <v>30024201</v>
      </c>
      <c r="AX97" s="3">
        <v>99</v>
      </c>
      <c r="AY97" s="3">
        <v>5290</v>
      </c>
      <c r="AZ97" s="3">
        <v>5290</v>
      </c>
      <c r="BA97" s="3" t="s">
        <v>103</v>
      </c>
      <c r="BB97" s="3"/>
      <c r="BC97" s="3" t="s">
        <v>105</v>
      </c>
      <c r="BD97" s="3" t="s">
        <v>105</v>
      </c>
      <c r="BE97" s="3"/>
      <c r="BF97" s="3"/>
      <c r="BG97" s="5"/>
      <c r="BH97" s="3"/>
      <c r="BI97" s="3"/>
      <c r="BJ97" s="3"/>
      <c r="BK97" s="3" t="s">
        <v>263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 t="s">
        <v>192</v>
      </c>
      <c r="CF97" s="3">
        <v>0</v>
      </c>
      <c r="CG97" s="3">
        <v>0</v>
      </c>
      <c r="CH97" s="3">
        <v>0</v>
      </c>
      <c r="CI97" s="3" t="s">
        <v>112</v>
      </c>
      <c r="CJ97" s="3" t="s">
        <v>112</v>
      </c>
      <c r="CK97" s="3">
        <f>_xlfn.XLOOKUP($B$2,'BASE DE EXCEL'!C:C,'BASE DE EXCEL'!D:D,"NO HAY REFERENCIA")</f>
        <v>470</v>
      </c>
      <c r="CL97" s="5">
        <f>_xlfn.XLOOKUP($B$2,'BASE DE EXCEL'!$C:$C,'BASE DE EXCEL'!F:F,"NO HAY REFERENCIA")</f>
        <v>3</v>
      </c>
      <c r="CM97" s="4">
        <f>_xlfn.XLOOKUP($B$2,'BASE DE EXCEL'!$C:$C,'BASE DE EXCEL'!G:G,"NO HAY REFERENCIA")</f>
        <v>46080</v>
      </c>
      <c r="CN97" s="4">
        <f>_xlfn.XLOOKUP($B$2,'BASE DE EXCEL'!$C:$C,'BASE DE EXCEL'!H:H,"NO HAY REFERENCIA")</f>
        <v>46086</v>
      </c>
      <c r="CO97" s="3">
        <f>_xlfn.XLOOKUP($B$2,'BASE DE EXCEL'!$C:$C,'BASE DE EXCEL'!I:I,"NO HAY REFERENCIA")</f>
        <v>4</v>
      </c>
      <c r="CP97" s="3" t="str">
        <f>_xlfn.XLOOKUP($B$2,'BASE DE EXCEL'!$C:$C,'BASE DE EXCEL'!J:J,"NO HAY REFERENCIA")</f>
        <v>4 a 5 días</v>
      </c>
      <c r="CQ97" s="4">
        <f>_xlfn.XLOOKUP($B$2,'BASE DE EXCEL'!$C:$C,'BASE DE EXCEL'!K:K,"NO HAY REFERENCIA")</f>
        <v>46087</v>
      </c>
      <c r="CR97" s="3">
        <f>_xlfn.XLOOKUP($B$2,'BASE DE EXCEL'!$C:$C,'BASE DE EXCEL'!L:L,"NO HAY REFERENCIA")</f>
        <v>5</v>
      </c>
      <c r="CS97" s="3">
        <f>_xlfn.XLOOKUP($B$2,'BASE DE EXCEL'!$C:$C,'BASE DE EXCEL'!M:M,"NO HAY REFERENCIA")</f>
        <v>6</v>
      </c>
      <c r="CT97" s="3" t="str">
        <f>_xlfn.XLOOKUP($B$2,'BASE DE EXCEL'!$C:$C,'BASE DE EXCEL'!N:N,"NO HAY REFERENCIA")</f>
        <v>6 a 10 días</v>
      </c>
      <c r="CU97" s="3" t="str">
        <f>_xlfn.XLOOKUP($B$2,'BASE DE EXCEL'!$C:$C,'BASE DE EXCEL'!O:O,"NO HAY REFERENCIA")</f>
        <v>On Time</v>
      </c>
      <c r="CV97" s="3" t="str">
        <f>_xlfn.XLOOKUP(B97,'BASE DE EXCEL'!$C:$C,'BASE DE EXCEL'!P:P,"NO HAY REFERENCIA")</f>
        <v>16 o más días</v>
      </c>
      <c r="CW97" s="4">
        <f>_xlfn.XLOOKUP(B97,'BASE DE EXCEL'!$C:$C,'BASE DE EXCEL'!Q:Q,"NO HAY REFERENCIA")</f>
        <v>46086</v>
      </c>
      <c r="CX97" s="3">
        <f>_xlfn.XLOOKUP(B97,'BASE DE EXCEL'!$C:$C,'BASE DE EXCEL'!R:R,"NO HAY REFERENCIA")</f>
        <v>8</v>
      </c>
      <c r="CY97" s="3" t="str">
        <f>_xlfn.XLOOKUP(B97,'BASE DE EXCEL'!$C:$C,'BASE DE EXCEL'!S:S,"NO HAY REFERENCIA")</f>
        <v>6 a 10 días</v>
      </c>
      <c r="CZ97" s="3" t="str">
        <f>_xlfn.XLOOKUP(B97,'BASE DE EXCEL'!$C:$C,'BASE DE EXCEL'!T:T,"NO HAY REFERENCIA")</f>
        <v>Delayed</v>
      </c>
      <c r="DA97" s="3">
        <f>_xlfn.XLOOKUP(B97,'BASE DE EXCEL'!$C:$C,'BASE DE EXCEL'!U:U,"NO HAY REFERENCIA")</f>
        <v>0</v>
      </c>
      <c r="DB97" s="3" t="str">
        <f>_xlfn.XLOOKUP(B97,'BASE DE EXCEL'!$C:$C,'BASE DE EXCEL'!V:V,"NO HAY REFERENCIA")</f>
        <v>Sin Dato</v>
      </c>
      <c r="DC97" s="3">
        <f>_xlfn.XLOOKUP(B97,'BASE DE EXCEL'!$C:$C,'BASE DE EXCEL'!W:W,"NO HAY REFERENCIA")</f>
        <v>20</v>
      </c>
      <c r="DD97" s="3" t="str">
        <f>_xlfn.XLOOKUP(B97,'BASE DE EXCEL'!$C:$C,'BASE DE EXCEL'!X:X,"NO HAY REFERENCIA")</f>
        <v>más de 16 días</v>
      </c>
      <c r="DE97" s="3">
        <f>_xlfn.XLOOKUP(B97,'BASE DE EXCEL'!$C:$C,'BASE DE EXCEL'!Y:Y,"NO HAY REFERENCIA")</f>
        <v>0</v>
      </c>
      <c r="DF97" s="3" t="str">
        <f>_xlfn.XLOOKUP(B97,'BASE DE EXCEL'!$C:$C,'BASE DE EXCEL'!Z:Z,"NO HAY REFERENCIA")</f>
        <v>1 día o menos</v>
      </c>
      <c r="DG97" s="3">
        <f>_xlfn.XLOOKUP(B97,'BASE DE EXCEL'!$C:$C,'BASE DE EXCEL'!AA:AA,"NO HAY REFERENCIA")</f>
        <v>16</v>
      </c>
      <c r="DH97" s="3">
        <f>_xlfn.XLOOKUP(B97,'BASE DE EXCEL'!$C:$C,'BASE DE EXCEL'!AB:AB,"NO HAY REFERENCIA")</f>
        <v>-46091</v>
      </c>
      <c r="DI97" s="3" t="str">
        <f>_xlfn.XLOOKUP(B97,'BASE DE EXCEL'!$C:$C,'BASE DE EXCEL'!AC:AC,"NO HAY REFERENCIA")</f>
        <v>SIN DATO</v>
      </c>
      <c r="DJ97" s="4">
        <f>_xlfn.XLOOKUP(B97,'BASE DE EXCEL'!$C:$C,'BASE DE EXCEL'!AD:AD,"NO HAY REFERENCIA")</f>
        <v>46105</v>
      </c>
      <c r="DK97" s="3">
        <f>_xlfn.XLOOKUP(B97,'BASE DE EXCEL'!$C:$C,'BASE DE EXCEL'!AE:AE,"NO HAY REFERENCIA")</f>
        <v>46102</v>
      </c>
      <c r="DL97" s="3">
        <f>_xlfn.XLOOKUP(B97,'BASE DE EXCEL'!$C:$C,'BASE DE EXCEL'!AF:AF,"NO HAY REFERENCIA")</f>
        <v>32931</v>
      </c>
      <c r="DM97" s="4">
        <f>_xlfn.XLOOKUP(B97,'BASE DE EXCEL'!$C:$C,'BASE DE EXCEL'!AG:AG,"NO HAY REFERENCIA")</f>
        <v>46104</v>
      </c>
      <c r="DN97" s="4">
        <f>_xlfn.XLOOKUP(B97,'BASE DE EXCEL'!$C:$C,'BASE DE EXCEL'!AH:AH,"NO HAY REFERENCIA")</f>
        <v>46105</v>
      </c>
      <c r="DO97" s="3">
        <f>_xlfn.XLOOKUP(B97,'BASE DE EXCEL'!$C:$C,'BASE DE EXCEL'!AI:AI,"NO HAY REFERENCIA")</f>
        <v>1</v>
      </c>
      <c r="DP97" s="4" t="str">
        <f>_xlfn.XLOOKUP(B97,'BASE DE EXCEL'!$C:$C,'BASE DE EXCEL'!AJ:AJ,"NO HAY REFERENCIA")</f>
        <v>SIN DATO</v>
      </c>
      <c r="DQ97" s="4">
        <f>_xlfn.XLOOKUP(B97,'BASE DE EXCEL'!$C:$C,'BASE DE EXCEL'!AK:AK,"NO HAY REFERENCIA")</f>
        <v>46105</v>
      </c>
      <c r="DR97" s="3">
        <f>_xlfn.XLOOKUP(B97,'BASE DE EXCEL'!$C:$C,'BASE DE EXCEL'!AL:AL,"NO HAY REFERENCIA")</f>
        <v>13</v>
      </c>
      <c r="DS97" s="3" t="str">
        <f>_xlfn.XLOOKUP(B97,'BASE DE EXCEL'!$C:$C,'BASE DE EXCEL'!AM:AM,"NO HAY REFERENCIA")</f>
        <v>11 a 15 días</v>
      </c>
      <c r="DT97" s="3" t="str">
        <f>_xlfn.XLOOKUP(B97,'BASE DE EXCEL'!$C:$C,'BASE DE EXCEL'!AN:AN,"NO HAY REFERENCIA")</f>
        <v>Delayed</v>
      </c>
      <c r="DU97" s="3">
        <f>_xlfn.XLOOKUP(B97,'BASE DE EXCEL'!$C:$C,'BASE DE EXCEL'!AO:AO,"NO HAY REFERENCIA")</f>
        <v>0</v>
      </c>
      <c r="DV97" s="3" t="str">
        <f>_xlfn.XLOOKUP(B97,'BASE DE EXCEL'!$C:$C,'BASE DE EXCEL'!AP:AP,"NO HAY REFERENCIA")</f>
        <v>Es anterior</v>
      </c>
      <c r="DW97" s="3" t="str">
        <f>_xlfn.XLOOKUP(B97,'BASE DE EXCEL'!$C:$C,'BASE DE EXCEL'!AQ:AQ,"NO HAY REFERENCIA")</f>
        <v>R1</v>
      </c>
      <c r="DX97" s="3" t="str">
        <f>_xlfn.XLOOKUP(B97,'BASE DE EXCEL'!$C:$C,'BASE DE EXCEL'!AR:AR,"NO HAY REFERENCIA")</f>
        <v>ZULEIMA PEREZ RUIZ</v>
      </c>
      <c r="DY97" s="3" t="str">
        <f>_xlfn.XLOOKUP(B97,'BASE DE EXCEL'!$C:$C,'BASE DE EXCEL'!AS:AS,"NO HAY REFERENCIA")</f>
        <v>HLCURTM260162366</v>
      </c>
      <c r="DZ97" s="3" t="str">
        <f>_xlfn.XLOOKUP(B97,'BASE DE EXCEL'!$C:$C,'BASE DE EXCEL'!AT:AT,"NO HAY REFERENCIA")</f>
        <v>NULL</v>
      </c>
      <c r="EA97" s="3">
        <f>_xlfn.XLOOKUP(B97,'BASE DE EXCEL'!$C:$C,'BASE DE EXCEL'!AU:AU,"NO HAY REFERENCIA")</f>
        <v>6000421</v>
      </c>
      <c r="EB97" s="3" t="str">
        <f>_xlfn.XLOOKUP(B97,'BASE DE EXCEL'!$C:$C,'BASE DE EXCEL'!AV:AV,"NO HAY REFERENCIA")</f>
        <v>Importación</v>
      </c>
      <c r="EC97" s="3" t="str">
        <f>_xlfn.XLOOKUP(B97,'BASE DE EXCEL'!$C:$C,'BASE DE EXCEL'!AW:AW,"NO HAY REFERENCIA")</f>
        <v>NOBILIS MA5+CLONE 30 (VACUNA DE USO VETERINARIO)</v>
      </c>
      <c r="ED97" s="3" t="str">
        <f>_xlfn.XLOOKUP(B97,'BASE DE EXCEL'!$C:$C,'BASE DE EXCEL'!AX:AX,"NO HAY REFERENCIA")</f>
        <v>SIN CLASIFICACION</v>
      </c>
      <c r="EE97" s="3">
        <f>_xlfn.XLOOKUP(B97,'BASE DE EXCEL'!$C:$C,'BASE DE EXCEL'!AY:AY,"NO HAY REFERENCIA")</f>
        <v>0</v>
      </c>
      <c r="EF97" s="3" t="str">
        <f>_xlfn.XLOOKUP(B97,'BASE DE EXCEL'!$C:$C,'BASE DE EXCEL'!AZ:AZ,"NO HAY REFERENCIA")</f>
        <v>Cargas de Importación</v>
      </c>
      <c r="EG97" s="3" t="str">
        <f>_xlfn.XLOOKUP(B97,'BASE DE EXCEL'!$C:$C,'BASE DE EXCEL'!BA:BA,"NO HAY REFERENCIA")</f>
        <v>INTERVET MEXICO SA DE CV</v>
      </c>
      <c r="EH97" s="3">
        <f>_xlfn.XLOOKUP(B97,'BASE DE EXCEL'!$C:$C,'BASE DE EXCEL'!BB:BB,"NO HAY REFERENCIA")</f>
        <v>0</v>
      </c>
      <c r="EI97" s="3">
        <f>_xlfn.XLOOKUP(B97,'BASE DE EXCEL'!$C:$C,'BASE DE EXCEL'!BC:BC,"NO HAY REFERENCIA")</f>
        <v>0</v>
      </c>
      <c r="EJ97" s="3">
        <f>_xlfn.XLOOKUP(B97,'BASE DE EXCEL'!$C:$C,'BASE DE EXCEL'!BD:BD,"NO HAY REFERENCIA")</f>
        <v>0</v>
      </c>
      <c r="EK97" s="3">
        <f>_xlfn.XLOOKUP(B97,'BASE DE EXCEL'!$C:$C,'BASE DE EXCEL'!BE:BE,"NO HAY REFERENCIA")</f>
        <v>0</v>
      </c>
      <c r="EL97" s="3">
        <f>_xlfn.XLOOKUP(B97,'BASE DE EXCEL'!$C:$C,'BASE DE EXCEL'!BF:BF,"NO HAY REFERENCIA")</f>
        <v>0</v>
      </c>
      <c r="EM97" s="3" t="str">
        <f>_xlfn.XLOOKUP(B97,'BASE DE EXCEL'!$C:$C,'BASE DE EXCEL'!BG:BG,"NO HAY REFERENCIA")</f>
        <v>Verde</v>
      </c>
      <c r="EN97" s="3" t="str">
        <f>_xlfn.XLOOKUP(B97,'BASE DE EXCEL'!$C:$C,'BASE DE EXCEL'!BH:BH,"NO HAY REFERENCIA")</f>
        <v>NULL</v>
      </c>
      <c r="EO97" s="3">
        <f>_xlfn.XLOOKUP(B97,'BASE DE EXCEL'!$C:$C,'BASE DE EXCEL'!BI:BI,"NO HAY REFERENCIA")</f>
        <v>0</v>
      </c>
      <c r="EP97" s="3">
        <f>_xlfn.XLOOKUP(B97,'BASE DE EXCEL'!$C:$C,'BASE DE EXCEL'!BJ:BJ,"NO HAY REFERENCIA")</f>
        <v>0</v>
      </c>
      <c r="EQ97" s="3" t="str">
        <f>_xlfn.XLOOKUP(B97,'BASE DE EXCEL'!$C:$C,'BASE DE EXCEL'!BK:BK,"NO HAY REFERENCIA")</f>
        <v>IME850329RH2</v>
      </c>
      <c r="ER97" s="3">
        <f>_xlfn.XLOOKUP(B97,'BASE DE EXCEL'!$C:$C,'BASE DE EXCEL'!BL:BL,"NO HAY REFERENCIA")</f>
        <v>0</v>
      </c>
      <c r="ES97" s="3" t="str">
        <f>_xlfn.XLOOKUP(B97,'BASE DE EXCEL'!$C:$C,'BASE DE EXCEL'!BM:BM,"NO HAY REFERENCIA")</f>
        <v>00,99</v>
      </c>
      <c r="ET97" s="3" t="str">
        <f>_xlfn.XLOOKUP(B97,'BASE DE EXCEL'!$C:$C,'BASE DE EXCEL'!BN:BN,"NO HAY REFERENCIA")</f>
        <v>LOTE: SCBA207A11,LOTE: A053A01,LOTE: A224A01,LOTE: A142A01,LOTE: A247B01,LOTE: A436A02,LOTE: A198A02,LOTE: A489D01,LOTE: A061A01</v>
      </c>
      <c r="EU97" s="3">
        <f>_xlfn.XLOOKUP(B97,'BASE DE EXCEL'!$C:$C,'BASE DE EXCEL'!BO:BO,"NO HAY REFERENCIA")</f>
        <v>90</v>
      </c>
      <c r="EV97" s="3" t="str">
        <f>_xlfn.XLOOKUP(B97,'BASE DE EXCEL'!$C:$C,'BASE DE EXCEL'!BP:BP,"NO HAY REFERENCIA")</f>
        <v xml:space="preserve"> 321379.32, 13019554.91, 1145829.89, 3079396.80</v>
      </c>
      <c r="EW97" s="3" t="str">
        <f>_xlfn.XLOOKUP(B97,'BASE DE EXCEL'!$C:$C,'BASE DE EXCEL'!BQ:BQ,"NO HAY REFERENCIA")</f>
        <v>KILO,KILO,KILO,KILO,KILO,KILO,KILO,KILO,KILO</v>
      </c>
      <c r="EX97" s="3">
        <f>_xlfn.XLOOKUP(B97,'BASE DE EXCEL'!$C:$C,'BASE DE EXCEL'!BR:BR,"NO HAY REFERENCIA")</f>
        <v>0</v>
      </c>
      <c r="EY97" s="3" t="str">
        <f>_xlfn.XLOOKUP(B97,'BASE DE EXCEL'!$C:$C,'BASE DE EXCEL'!BS:BS,"NO HAY REFERENCIA")</f>
        <v>PAISES BAJOS (REINO DE LOS) (HOLANDA)</v>
      </c>
      <c r="EZ97" s="3" t="str">
        <f>_xlfn.XLOOKUP(B97,'BASE DE EXCEL'!$C:$C,'BASE DE EXCEL'!BT:BT,"NO HAY REFERENCIA")</f>
        <v>PAISES BAJOS (REINO DE LOS) (HOLANDA)</v>
      </c>
      <c r="FA97" s="3" t="str">
        <f>_xlfn.XLOOKUP(B97,'BASE DE EXCEL'!$C:$C,'BASE DE EXCEL'!BU:BU,"NO HAY REFERENCIA")</f>
        <v>ZYA</v>
      </c>
      <c r="FB97" s="3" t="str">
        <f>_xlfn.XLOOKUP(B97,'BASE DE EXCEL'!$C:$C,'BASE DE EXCEL'!BV:BV,"NO HAY REFERENCIA")</f>
        <v>ZYA</v>
      </c>
      <c r="FC97" s="3">
        <f>_xlfn.XLOOKUP(B97,QUERY!$C:$C,QUERY!D:D)</f>
        <v>430</v>
      </c>
      <c r="FD97" s="4">
        <f>_xlfn.XLOOKUP(B97,QUERY!$C:$C,QUERY!E:E)</f>
        <v>46093</v>
      </c>
      <c r="FE97" s="3">
        <f>_xlfn.XLOOKUP(B97,QUERY!$C:$C,QUERY!F:F)</f>
        <v>3</v>
      </c>
      <c r="FF97" s="4">
        <f>_xlfn.XLOOKUP(B97,QUERY!$C:$C,QUERY!G:G)</f>
        <v>46077</v>
      </c>
      <c r="FG97" s="4">
        <f>_xlfn.XLOOKUP(B97,QUERY!$C:$C,QUERY!H:H)</f>
        <v>46093</v>
      </c>
      <c r="FH97" s="3">
        <f>_xlfn.XLOOKUP(B97,QUERY!$C:$C,QUERY!I:I)</f>
        <v>12</v>
      </c>
      <c r="FI97" s="3" t="str">
        <f>_xlfn.XLOOKUP(B97,QUERY!$C:$C,QUERY!J:J)</f>
        <v>11 a 15 días</v>
      </c>
      <c r="FJ97" s="4">
        <f>_xlfn.XLOOKUP(B97,QUERY!$C:$C,QUERY!K:K)</f>
        <v>46093</v>
      </c>
      <c r="FK97" s="3">
        <f>_xlfn.XLOOKUP(B97,QUERY!$C:$C,QUERY!L:L)</f>
        <v>12</v>
      </c>
      <c r="FL97" s="3" t="str">
        <f>_xlfn.XLOOKUP(B97,QUERY!$C:$C,QUERY!M:M)</f>
        <v>11 a 15 días</v>
      </c>
      <c r="FM97" s="3">
        <f>_xlfn.XLOOKUP(B97,QUERY!$C:$C,QUERY!N:N)</f>
        <v>0</v>
      </c>
      <c r="FN97" s="3" t="str">
        <f>_xlfn.XLOOKUP(B97,QUERY!$C:$C,QUERY!O:O)</f>
        <v>1 día o menos</v>
      </c>
      <c r="FO97" s="3">
        <f>_xlfn.XLOOKUP(B97,QUERY!$C:$C,QUERY!P:P)</f>
        <v>0</v>
      </c>
      <c r="FP97" s="3">
        <f>_xlfn.XLOOKUP(B97,QUERY!$C:$C,QUERY!Q:Q)</f>
        <v>-2</v>
      </c>
      <c r="FQ97" s="3" t="str">
        <f>_xlfn.XLOOKUP(B97,QUERY!$C:$C,QUERY!R:R)</f>
        <v>Sin dato</v>
      </c>
      <c r="FR97" s="4">
        <f>_xlfn.XLOOKUP(B97,QUERY!$C:$C,QUERY!S:S)</f>
        <v>46091</v>
      </c>
      <c r="FS97" s="3">
        <f>_xlfn.XLOOKUP(B97,QUERY!$C:$C,QUERY!T:T)</f>
        <v>10</v>
      </c>
      <c r="FT97" s="3" t="str">
        <f>_xlfn.XLOOKUP(B97,QUERY!$C:$C,QUERY!U:U)</f>
        <v>6 a 10 días</v>
      </c>
      <c r="FU97" s="3">
        <f>_xlfn.XLOOKUP(B97,QUERY!$C:$C,QUERY!V:V)</f>
        <v>20</v>
      </c>
      <c r="FV97" s="3" t="str">
        <f>_xlfn.XLOOKUP(B97,QUERY!$C:$C,QUERY!W:W)</f>
        <v>más de 16 días</v>
      </c>
      <c r="FW97" s="4">
        <f>_xlfn.XLOOKUP(B97,QUERY!$C:$C,QUERY!X:X)</f>
        <v>46105</v>
      </c>
      <c r="FX97" s="3">
        <f>_xlfn.XLOOKUP(B97,QUERY!$C:$C,QUERY!Y:Y)</f>
        <v>9</v>
      </c>
      <c r="FY97" s="3">
        <f>_xlfn.XLOOKUP(B97,QUERY!$C:$C,QUERY!Z:Z)</f>
        <v>10</v>
      </c>
      <c r="FZ97" s="4" t="str">
        <f>_xlfn.XLOOKUP(B97,QUERY!$C:$C,QUERY!AA:AA)</f>
        <v>11 a 15 días</v>
      </c>
      <c r="GA97" s="4">
        <f>_xlfn.XLOOKUP(B97,QUERY!$C:$C,QUERY!AB:AB)</f>
        <v>46104</v>
      </c>
      <c r="GB97" s="4">
        <f>_xlfn.XLOOKUP(B97,QUERY!$C:$C,QUERY!AC:AC)</f>
        <v>46105</v>
      </c>
      <c r="GC97" s="3">
        <f>_xlfn.XLOOKUP(B97,QUERY!$C:$C,QUERY!AD:AD)</f>
        <v>1</v>
      </c>
      <c r="GD97" s="4">
        <f>_xlfn.XLOOKUP(B97,QUERY!$C:$C,QUERY!AE:AE)</f>
        <v>46105</v>
      </c>
      <c r="GE97" s="3">
        <f>_xlfn.XLOOKUP(B97,QUERY!$C:$C,QUERY!AF:AF)</f>
        <v>1</v>
      </c>
      <c r="GF97" s="4" t="str">
        <f>_xlfn.XLOOKUP(B97,QUERY!$C:$C,QUERY!AG:AG)</f>
        <v>Es anterior</v>
      </c>
      <c r="GG97" s="3" t="str">
        <f>_xlfn.XLOOKUP(B97,QUERY!$C:$C,QUERY!AH:AH)</f>
        <v>R1</v>
      </c>
      <c r="GH97" s="3" t="str">
        <f>_xlfn.XLOOKUP(B97,QUERY!$C:$C,QUERY!AI:AI)</f>
        <v>ZULEIMA PEREZ RUIZ</v>
      </c>
      <c r="GI97" s="3" t="str">
        <f>_xlfn.XLOOKUP(B97,QUERY!$C:$C,QUERY!AJ:AJ)</f>
        <v>HLCURTM260162366</v>
      </c>
      <c r="GJ97" s="3" t="str">
        <f>_xlfn.XLOOKUP(B97,QUERY!$C:$C,QUERY!AK:AK)</f>
        <v>NULL</v>
      </c>
      <c r="GK97" s="3">
        <f>_xlfn.XLOOKUP(B97,QUERY!$C:$C,QUERY!AL:AL)</f>
        <v>6000421</v>
      </c>
      <c r="GL97" s="3" t="str">
        <f>_xlfn.XLOOKUP(B97,QUERY!$C:$C,QUERY!AM:AM)</f>
        <v>Importación</v>
      </c>
      <c r="GM97" s="3" t="str">
        <f>_xlfn.XLOOKUP(B97,QUERY!$C:$C,QUERY!AN:AN)</f>
        <v>NOBILIS MA5+CLONE 30 (VACUNA DE USO VETERINARIO)</v>
      </c>
      <c r="GN97" s="3" t="str">
        <f>_xlfn.XLOOKUP(B97,QUERY!$C:$C,QUERY!AO:AO)</f>
        <v>SIN CLASIFICACION</v>
      </c>
      <c r="GO97" s="3">
        <f>_xlfn.XLOOKUP(B97,QUERY!$C:$C,QUERY!AP:AP)</f>
        <v>0</v>
      </c>
      <c r="GP97" s="3" t="str">
        <f>_xlfn.XLOOKUP(B97,QUERY!$C:$C,QUERY!AQ:AQ)</f>
        <v>Cargas de Importación</v>
      </c>
      <c r="GQ97" s="3" t="str">
        <f>_xlfn.XLOOKUP(B97,QUERY!$C:$C,QUERY!AR:AR)</f>
        <v>INTERVET MEXICO SA DE CV</v>
      </c>
      <c r="GR97" s="3">
        <f>_xlfn.XLOOKUP(B97,QUERY!$C:$C,QUERY!AS:AS)</f>
        <v>0</v>
      </c>
      <c r="GS97" s="3">
        <f>_xlfn.XLOOKUP(B97,QUERY!$C:$C,QUERY!AT:AT)</f>
        <v>0</v>
      </c>
      <c r="GT97" s="3">
        <f>_xlfn.XLOOKUP(B97,QUERY!$C:$C,QUERY!AU:AU)</f>
        <v>0</v>
      </c>
      <c r="GU97" s="3">
        <f>_xlfn.XLOOKUP(B97,QUERY!$C:$C,QUERY!AV:AV)</f>
        <v>0</v>
      </c>
      <c r="GV97" s="3">
        <f>_xlfn.XLOOKUP(B97,QUERY!$C:$C,QUERY!AW:AW)</f>
        <v>0</v>
      </c>
      <c r="GW97" s="3" t="str">
        <f>_xlfn.XLOOKUP(B97,QUERY!$C:$C,QUERY!AX:AX)</f>
        <v>Verde</v>
      </c>
      <c r="GX97" s="3" t="str">
        <f>_xlfn.XLOOKUP(B97,QUERY!$C:$C,QUERY!AY:AY)</f>
        <v>NULL</v>
      </c>
      <c r="GY97" s="3">
        <f>_xlfn.XLOOKUP(B97,QUERY!$C:$C,QUERY!AZ:AZ)</f>
        <v>0</v>
      </c>
      <c r="GZ97" s="3">
        <f>_xlfn.XLOOKUP(B97,QUERY!$C:$C,QUERY!BA:BA)</f>
        <v>0</v>
      </c>
      <c r="HA97" s="3" t="str">
        <f>_xlfn.XLOOKUP(B97,QUERY!$C:$C,QUERY!BB:BB)</f>
        <v>IME850329RH2</v>
      </c>
      <c r="HB97" s="3">
        <f>_xlfn.XLOOKUP(B97,QUERY!$C:$C,QUERY!BC:BC)</f>
        <v>0</v>
      </c>
      <c r="HC97" s="3">
        <f>_xlfn.XLOOKUP(B97,QUERY!$C:$C,QUERY!BD:BD)</f>
        <v>0.99</v>
      </c>
      <c r="HD97" s="3" t="str">
        <f>_xlfn.XLOOKUP(B97,QUERY!$C:$C,QUERY!BE:BE)</f>
        <v>LOTE: SCBA207A11,LOTE: A053A01,LOTE: A224A01,LOTE: A142A01,LOTE: A247B01,LOTE: A436A02,LOTE: A198A02,LOTE: A489D01,LOTE: A061A01</v>
      </c>
      <c r="HE97" s="3">
        <f>_xlfn.XLOOKUP(B97,QUERY!$C:$C,QUERY!BF:BF)</f>
        <v>90</v>
      </c>
      <c r="HF97" s="3" t="str">
        <f>_xlfn.XLOOKUP(B97,QUERY!$C:$C,QUERY!BG:BG)</f>
        <v xml:space="preserve"> 321379.32, 13019554.91, 1145829.89, 3079396.80</v>
      </c>
      <c r="HG97" s="3" t="str">
        <f>_xlfn.XLOOKUP(B97,QUERY!$C:$C,QUERY!BH:BH)</f>
        <v>KILO,KILO,KILO,KILO,KILO,KILO,KILO,KILO,KILO</v>
      </c>
      <c r="HH97" s="3">
        <f>_xlfn.XLOOKUP(B97,QUERY!$C:$C,QUERY!BI:BI)</f>
        <v>0</v>
      </c>
      <c r="HI97" s="3" t="str">
        <f>_xlfn.XLOOKUP(B97,QUERY!$C:$C,QUERY!BJ:BJ)</f>
        <v>PAISES BAJOS (REINO DE LOS) (HOLANDA)</v>
      </c>
      <c r="HJ97" s="3" t="str">
        <f>_xlfn.XLOOKUP(B97,QUERY!$C:$C,QUERY!BK:BK)</f>
        <v>PAISES BAJOS (REINO DE LOS) (HOLANDA)</v>
      </c>
      <c r="HK97" s="3" t="str">
        <f>_xlfn.XLOOKUP(B97,QUERY!$C:$C,QUERY!BL:BL)</f>
        <v>ZYA</v>
      </c>
      <c r="HL97" s="3" t="str">
        <f>_xlfn.XLOOKUP(B97,QUERY!$C:$C,QUERY!BM:BM)</f>
        <v>ZYA</v>
      </c>
      <c r="HM97" s="3">
        <f>_xlfn.XLOOKUP(B97,QUERY!$C:$C,QUERY!BN:BN)</f>
        <v>17566160</v>
      </c>
      <c r="HN97" s="3" t="str">
        <f>_xlfn.XLOOKUP(B97,QUERY!$C:$C,QUERY!BO:BO)</f>
        <v>444.00</v>
      </c>
      <c r="HO97" s="3" t="str">
        <f>_xlfn.XLOOKUP(B97,QUERY!$C:$C,QUERY!BP:BP)</f>
        <v>NULL</v>
      </c>
      <c r="HP97" s="3" t="str">
        <f>_xlfn.XLOOKUP(B97,QUERY!$C:$C,QUERY!BQ:BQ)</f>
        <v>NULL</v>
      </c>
      <c r="HQ97" s="3" t="str">
        <f>_xlfn.XLOOKUP(B97,QUERY!$C:$C,QUERY!BR:BR)</f>
        <v>250436.84</v>
      </c>
      <c r="HR97" s="3">
        <f>_xlfn.XLOOKUP(B97,QUERY!$C:$C,QUERY!BS:BS)</f>
        <v>0</v>
      </c>
      <c r="HS97" s="3">
        <f>_xlfn.XLOOKUP(B97,QUERY!$C:$C,QUERY!BT:BT)</f>
        <v>0</v>
      </c>
      <c r="HT97" s="3" t="str">
        <f>_xlfn.XLOOKUP(B97,QUERY!$C:$C,QUERY!A:A)</f>
        <v>VERACRUZ</v>
      </c>
      <c r="HU97" s="3" t="str">
        <f>_xlfn.XLOOKUP(B97,QUERY!$C:$C,QUERY!B:B)</f>
        <v>MARÍTIMO VERACRUZ</v>
      </c>
    </row>
    <row r="98" spans="1:229" x14ac:dyDescent="0.25">
      <c r="A98" s="3" t="s">
        <v>90</v>
      </c>
      <c r="B98" s="3" t="s">
        <v>346</v>
      </c>
      <c r="C98" s="3">
        <v>3942</v>
      </c>
      <c r="D98" s="3">
        <v>6000421</v>
      </c>
      <c r="E98" s="3">
        <v>6000418</v>
      </c>
      <c r="F98" s="3" t="s">
        <v>92</v>
      </c>
      <c r="G98" s="3" t="s">
        <v>342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430</v>
      </c>
      <c r="S98" s="3" t="s">
        <v>258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 t="s">
        <v>160</v>
      </c>
      <c r="AB98" s="3"/>
      <c r="AC98" s="3">
        <v>1145830</v>
      </c>
      <c r="AD98" s="3">
        <v>3071.9302899999998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/>
      <c r="AP98" s="3" t="s">
        <v>98</v>
      </c>
      <c r="AQ98" s="3">
        <v>210365021</v>
      </c>
      <c r="AR98" s="3" t="s">
        <v>99</v>
      </c>
      <c r="AS98" s="3" t="s">
        <v>100</v>
      </c>
      <c r="AT98" s="3">
        <v>0</v>
      </c>
      <c r="AU98" s="3">
        <v>0</v>
      </c>
      <c r="AV98" s="3">
        <v>0</v>
      </c>
      <c r="AW98" s="3">
        <v>30042099</v>
      </c>
      <c r="AX98" s="3">
        <v>0</v>
      </c>
      <c r="AY98" s="3">
        <v>373</v>
      </c>
      <c r="AZ98" s="3">
        <v>373</v>
      </c>
      <c r="BA98" s="3" t="s">
        <v>121</v>
      </c>
      <c r="BB98" s="3"/>
      <c r="BC98" s="3" t="s">
        <v>105</v>
      </c>
      <c r="BD98" s="3" t="s">
        <v>105</v>
      </c>
      <c r="BE98" s="3"/>
      <c r="BF98" s="3"/>
      <c r="BG98" s="5"/>
      <c r="BH98" s="3"/>
      <c r="BI98" s="3"/>
      <c r="BJ98" s="3"/>
      <c r="BK98" s="3" t="s">
        <v>298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 t="s">
        <v>192</v>
      </c>
      <c r="CF98" s="3">
        <v>0</v>
      </c>
      <c r="CG98" s="3">
        <v>0</v>
      </c>
      <c r="CH98" s="3">
        <v>0</v>
      </c>
      <c r="CI98" s="3" t="s">
        <v>112</v>
      </c>
      <c r="CJ98" s="3" t="s">
        <v>112</v>
      </c>
      <c r="CK98" s="3">
        <f>_xlfn.XLOOKUP($B$2,'BASE DE EXCEL'!C:C,'BASE DE EXCEL'!D:D,"NO HAY REFERENCIA")</f>
        <v>470</v>
      </c>
      <c r="CL98" s="5">
        <f>_xlfn.XLOOKUP($B$2,'BASE DE EXCEL'!$C:$C,'BASE DE EXCEL'!F:F,"NO HAY REFERENCIA")</f>
        <v>3</v>
      </c>
      <c r="CM98" s="4">
        <f>_xlfn.XLOOKUP($B$2,'BASE DE EXCEL'!$C:$C,'BASE DE EXCEL'!G:G,"NO HAY REFERENCIA")</f>
        <v>46080</v>
      </c>
      <c r="CN98" s="4">
        <f>_xlfn.XLOOKUP($B$2,'BASE DE EXCEL'!$C:$C,'BASE DE EXCEL'!H:H,"NO HAY REFERENCIA")</f>
        <v>46086</v>
      </c>
      <c r="CO98" s="3">
        <f>_xlfn.XLOOKUP($B$2,'BASE DE EXCEL'!$C:$C,'BASE DE EXCEL'!I:I,"NO HAY REFERENCIA")</f>
        <v>4</v>
      </c>
      <c r="CP98" s="3" t="str">
        <f>_xlfn.XLOOKUP($B$2,'BASE DE EXCEL'!$C:$C,'BASE DE EXCEL'!J:J,"NO HAY REFERENCIA")</f>
        <v>4 a 5 días</v>
      </c>
      <c r="CQ98" s="4">
        <f>_xlfn.XLOOKUP($B$2,'BASE DE EXCEL'!$C:$C,'BASE DE EXCEL'!K:K,"NO HAY REFERENCIA")</f>
        <v>46087</v>
      </c>
      <c r="CR98" s="3">
        <f>_xlfn.XLOOKUP($B$2,'BASE DE EXCEL'!$C:$C,'BASE DE EXCEL'!L:L,"NO HAY REFERENCIA")</f>
        <v>5</v>
      </c>
      <c r="CS98" s="3">
        <f>_xlfn.XLOOKUP($B$2,'BASE DE EXCEL'!$C:$C,'BASE DE EXCEL'!M:M,"NO HAY REFERENCIA")</f>
        <v>6</v>
      </c>
      <c r="CT98" s="3" t="str">
        <f>_xlfn.XLOOKUP($B$2,'BASE DE EXCEL'!$C:$C,'BASE DE EXCEL'!N:N,"NO HAY REFERENCIA")</f>
        <v>6 a 10 días</v>
      </c>
      <c r="CU98" s="3" t="str">
        <f>_xlfn.XLOOKUP($B$2,'BASE DE EXCEL'!$C:$C,'BASE DE EXCEL'!O:O,"NO HAY REFERENCIA")</f>
        <v>On Time</v>
      </c>
      <c r="CV98" s="3" t="str">
        <f>_xlfn.XLOOKUP(B98,'BASE DE EXCEL'!$C:$C,'BASE DE EXCEL'!P:P,"NO HAY REFERENCIA")</f>
        <v>16 o más días</v>
      </c>
      <c r="CW98" s="4">
        <f>_xlfn.XLOOKUP(B98,'BASE DE EXCEL'!$C:$C,'BASE DE EXCEL'!Q:Q,"NO HAY REFERENCIA")</f>
        <v>46086</v>
      </c>
      <c r="CX98" s="3">
        <f>_xlfn.XLOOKUP(B98,'BASE DE EXCEL'!$C:$C,'BASE DE EXCEL'!R:R,"NO HAY REFERENCIA")</f>
        <v>8</v>
      </c>
      <c r="CY98" s="3" t="str">
        <f>_xlfn.XLOOKUP(B98,'BASE DE EXCEL'!$C:$C,'BASE DE EXCEL'!S:S,"NO HAY REFERENCIA")</f>
        <v>6 a 10 días</v>
      </c>
      <c r="CZ98" s="3" t="str">
        <f>_xlfn.XLOOKUP(B98,'BASE DE EXCEL'!$C:$C,'BASE DE EXCEL'!T:T,"NO HAY REFERENCIA")</f>
        <v>Delayed</v>
      </c>
      <c r="DA98" s="3">
        <f>_xlfn.XLOOKUP(B98,'BASE DE EXCEL'!$C:$C,'BASE DE EXCEL'!U:U,"NO HAY REFERENCIA")</f>
        <v>0</v>
      </c>
      <c r="DB98" s="3" t="str">
        <f>_xlfn.XLOOKUP(B98,'BASE DE EXCEL'!$C:$C,'BASE DE EXCEL'!V:V,"NO HAY REFERENCIA")</f>
        <v>Sin Dato</v>
      </c>
      <c r="DC98" s="3">
        <f>_xlfn.XLOOKUP(B98,'BASE DE EXCEL'!$C:$C,'BASE DE EXCEL'!W:W,"NO HAY REFERENCIA")</f>
        <v>20</v>
      </c>
      <c r="DD98" s="3" t="str">
        <f>_xlfn.XLOOKUP(B98,'BASE DE EXCEL'!$C:$C,'BASE DE EXCEL'!X:X,"NO HAY REFERENCIA")</f>
        <v>más de 16 días</v>
      </c>
      <c r="DE98" s="3">
        <f>_xlfn.XLOOKUP(B98,'BASE DE EXCEL'!$C:$C,'BASE DE EXCEL'!Y:Y,"NO HAY REFERENCIA")</f>
        <v>0</v>
      </c>
      <c r="DF98" s="3" t="str">
        <f>_xlfn.XLOOKUP(B98,'BASE DE EXCEL'!$C:$C,'BASE DE EXCEL'!Z:Z,"NO HAY REFERENCIA")</f>
        <v>1 día o menos</v>
      </c>
      <c r="DG98" s="3">
        <f>_xlfn.XLOOKUP(B98,'BASE DE EXCEL'!$C:$C,'BASE DE EXCEL'!AA:AA,"NO HAY REFERENCIA")</f>
        <v>16</v>
      </c>
      <c r="DH98" s="3">
        <f>_xlfn.XLOOKUP(B98,'BASE DE EXCEL'!$C:$C,'BASE DE EXCEL'!AB:AB,"NO HAY REFERENCIA")</f>
        <v>-46091</v>
      </c>
      <c r="DI98" s="3" t="str">
        <f>_xlfn.XLOOKUP(B98,'BASE DE EXCEL'!$C:$C,'BASE DE EXCEL'!AC:AC,"NO HAY REFERENCIA")</f>
        <v>SIN DATO</v>
      </c>
      <c r="DJ98" s="4">
        <f>_xlfn.XLOOKUP(B98,'BASE DE EXCEL'!$C:$C,'BASE DE EXCEL'!AD:AD,"NO HAY REFERENCIA")</f>
        <v>46105</v>
      </c>
      <c r="DK98" s="3">
        <f>_xlfn.XLOOKUP(B98,'BASE DE EXCEL'!$C:$C,'BASE DE EXCEL'!AE:AE,"NO HAY REFERENCIA")</f>
        <v>46102</v>
      </c>
      <c r="DL98" s="3">
        <f>_xlfn.XLOOKUP(B98,'BASE DE EXCEL'!$C:$C,'BASE DE EXCEL'!AF:AF,"NO HAY REFERENCIA")</f>
        <v>32931</v>
      </c>
      <c r="DM98" s="4">
        <f>_xlfn.XLOOKUP(B98,'BASE DE EXCEL'!$C:$C,'BASE DE EXCEL'!AG:AG,"NO HAY REFERENCIA")</f>
        <v>46104</v>
      </c>
      <c r="DN98" s="4">
        <f>_xlfn.XLOOKUP(B98,'BASE DE EXCEL'!$C:$C,'BASE DE EXCEL'!AH:AH,"NO HAY REFERENCIA")</f>
        <v>46105</v>
      </c>
      <c r="DO98" s="3">
        <f>_xlfn.XLOOKUP(B98,'BASE DE EXCEL'!$C:$C,'BASE DE EXCEL'!AI:AI,"NO HAY REFERENCIA")</f>
        <v>1</v>
      </c>
      <c r="DP98" s="4" t="str">
        <f>_xlfn.XLOOKUP(B98,'BASE DE EXCEL'!$C:$C,'BASE DE EXCEL'!AJ:AJ,"NO HAY REFERENCIA")</f>
        <v>SIN DATO</v>
      </c>
      <c r="DQ98" s="4">
        <f>_xlfn.XLOOKUP(B98,'BASE DE EXCEL'!$C:$C,'BASE DE EXCEL'!AK:AK,"NO HAY REFERENCIA")</f>
        <v>46105</v>
      </c>
      <c r="DR98" s="3">
        <f>_xlfn.XLOOKUP(B98,'BASE DE EXCEL'!$C:$C,'BASE DE EXCEL'!AL:AL,"NO HAY REFERENCIA")</f>
        <v>13</v>
      </c>
      <c r="DS98" s="3" t="str">
        <f>_xlfn.XLOOKUP(B98,'BASE DE EXCEL'!$C:$C,'BASE DE EXCEL'!AM:AM,"NO HAY REFERENCIA")</f>
        <v>11 a 15 días</v>
      </c>
      <c r="DT98" s="3" t="str">
        <f>_xlfn.XLOOKUP(B98,'BASE DE EXCEL'!$C:$C,'BASE DE EXCEL'!AN:AN,"NO HAY REFERENCIA")</f>
        <v>Delayed</v>
      </c>
      <c r="DU98" s="3">
        <f>_xlfn.XLOOKUP(B98,'BASE DE EXCEL'!$C:$C,'BASE DE EXCEL'!AO:AO,"NO HAY REFERENCIA")</f>
        <v>0</v>
      </c>
      <c r="DV98" s="3" t="str">
        <f>_xlfn.XLOOKUP(B98,'BASE DE EXCEL'!$C:$C,'BASE DE EXCEL'!AP:AP,"NO HAY REFERENCIA")</f>
        <v>Es anterior</v>
      </c>
      <c r="DW98" s="3" t="str">
        <f>_xlfn.XLOOKUP(B98,'BASE DE EXCEL'!$C:$C,'BASE DE EXCEL'!AQ:AQ,"NO HAY REFERENCIA")</f>
        <v>R1</v>
      </c>
      <c r="DX98" s="3" t="str">
        <f>_xlfn.XLOOKUP(B98,'BASE DE EXCEL'!$C:$C,'BASE DE EXCEL'!AR:AR,"NO HAY REFERENCIA")</f>
        <v>ZULEIMA PEREZ RUIZ</v>
      </c>
      <c r="DY98" s="3" t="str">
        <f>_xlfn.XLOOKUP(B98,'BASE DE EXCEL'!$C:$C,'BASE DE EXCEL'!AS:AS,"NO HAY REFERENCIA")</f>
        <v>HLCURTM260162366</v>
      </c>
      <c r="DZ98" s="3" t="str">
        <f>_xlfn.XLOOKUP(B98,'BASE DE EXCEL'!$C:$C,'BASE DE EXCEL'!AT:AT,"NO HAY REFERENCIA")</f>
        <v>NULL</v>
      </c>
      <c r="EA98" s="3">
        <f>_xlfn.XLOOKUP(B98,'BASE DE EXCEL'!$C:$C,'BASE DE EXCEL'!AU:AU,"NO HAY REFERENCIA")</f>
        <v>6000421</v>
      </c>
      <c r="EB98" s="3" t="str">
        <f>_xlfn.XLOOKUP(B98,'BASE DE EXCEL'!$C:$C,'BASE DE EXCEL'!AV:AV,"NO HAY REFERENCIA")</f>
        <v>Importación</v>
      </c>
      <c r="EC98" s="3" t="str">
        <f>_xlfn.XLOOKUP(B98,'BASE DE EXCEL'!$C:$C,'BASE DE EXCEL'!AW:AW,"NO HAY REFERENCIA")</f>
        <v>NOBILIS MA5+CLONE 30 (VACUNA DE USO VETERINARIO)</v>
      </c>
      <c r="ED98" s="3" t="str">
        <f>_xlfn.XLOOKUP(B98,'BASE DE EXCEL'!$C:$C,'BASE DE EXCEL'!AX:AX,"NO HAY REFERENCIA")</f>
        <v>SIN CLASIFICACION</v>
      </c>
      <c r="EE98" s="3">
        <f>_xlfn.XLOOKUP(B98,'BASE DE EXCEL'!$C:$C,'BASE DE EXCEL'!AY:AY,"NO HAY REFERENCIA")</f>
        <v>0</v>
      </c>
      <c r="EF98" s="3" t="str">
        <f>_xlfn.XLOOKUP(B98,'BASE DE EXCEL'!$C:$C,'BASE DE EXCEL'!AZ:AZ,"NO HAY REFERENCIA")</f>
        <v>Cargas de Importación</v>
      </c>
      <c r="EG98" s="3" t="str">
        <f>_xlfn.XLOOKUP(B98,'BASE DE EXCEL'!$C:$C,'BASE DE EXCEL'!BA:BA,"NO HAY REFERENCIA")</f>
        <v>INTERVET MEXICO SA DE CV</v>
      </c>
      <c r="EH98" s="3">
        <f>_xlfn.XLOOKUP(B98,'BASE DE EXCEL'!$C:$C,'BASE DE EXCEL'!BB:BB,"NO HAY REFERENCIA")</f>
        <v>0</v>
      </c>
      <c r="EI98" s="3">
        <f>_xlfn.XLOOKUP(B98,'BASE DE EXCEL'!$C:$C,'BASE DE EXCEL'!BC:BC,"NO HAY REFERENCIA")</f>
        <v>0</v>
      </c>
      <c r="EJ98" s="3">
        <f>_xlfn.XLOOKUP(B98,'BASE DE EXCEL'!$C:$C,'BASE DE EXCEL'!BD:BD,"NO HAY REFERENCIA")</f>
        <v>0</v>
      </c>
      <c r="EK98" s="3">
        <f>_xlfn.XLOOKUP(B98,'BASE DE EXCEL'!$C:$C,'BASE DE EXCEL'!BE:BE,"NO HAY REFERENCIA")</f>
        <v>0</v>
      </c>
      <c r="EL98" s="3">
        <f>_xlfn.XLOOKUP(B98,'BASE DE EXCEL'!$C:$C,'BASE DE EXCEL'!BF:BF,"NO HAY REFERENCIA")</f>
        <v>0</v>
      </c>
      <c r="EM98" s="3" t="str">
        <f>_xlfn.XLOOKUP(B98,'BASE DE EXCEL'!$C:$C,'BASE DE EXCEL'!BG:BG,"NO HAY REFERENCIA")</f>
        <v>Verde</v>
      </c>
      <c r="EN98" s="3" t="str">
        <f>_xlfn.XLOOKUP(B98,'BASE DE EXCEL'!$C:$C,'BASE DE EXCEL'!BH:BH,"NO HAY REFERENCIA")</f>
        <v>NULL</v>
      </c>
      <c r="EO98" s="3">
        <f>_xlfn.XLOOKUP(B98,'BASE DE EXCEL'!$C:$C,'BASE DE EXCEL'!BI:BI,"NO HAY REFERENCIA")</f>
        <v>0</v>
      </c>
      <c r="EP98" s="3">
        <f>_xlfn.XLOOKUP(B98,'BASE DE EXCEL'!$C:$C,'BASE DE EXCEL'!BJ:BJ,"NO HAY REFERENCIA")</f>
        <v>0</v>
      </c>
      <c r="EQ98" s="3" t="str">
        <f>_xlfn.XLOOKUP(B98,'BASE DE EXCEL'!$C:$C,'BASE DE EXCEL'!BK:BK,"NO HAY REFERENCIA")</f>
        <v>IME850329RH2</v>
      </c>
      <c r="ER98" s="3">
        <f>_xlfn.XLOOKUP(B98,'BASE DE EXCEL'!$C:$C,'BASE DE EXCEL'!BL:BL,"NO HAY REFERENCIA")</f>
        <v>0</v>
      </c>
      <c r="ES98" s="3" t="str">
        <f>_xlfn.XLOOKUP(B98,'BASE DE EXCEL'!$C:$C,'BASE DE EXCEL'!BM:BM,"NO HAY REFERENCIA")</f>
        <v>00,99</v>
      </c>
      <c r="ET98" s="3" t="str">
        <f>_xlfn.XLOOKUP(B98,'BASE DE EXCEL'!$C:$C,'BASE DE EXCEL'!BN:BN,"NO HAY REFERENCIA")</f>
        <v>LOTE: SCBA207A11,LOTE: A053A01,LOTE: A224A01,LOTE: A142A01,LOTE: A247B01,LOTE: A436A02,LOTE: A198A02,LOTE: A489D01,LOTE: A061A01</v>
      </c>
      <c r="EU98" s="3">
        <f>_xlfn.XLOOKUP(B98,'BASE DE EXCEL'!$C:$C,'BASE DE EXCEL'!BO:BO,"NO HAY REFERENCIA")</f>
        <v>90</v>
      </c>
      <c r="EV98" s="3" t="str">
        <f>_xlfn.XLOOKUP(B98,'BASE DE EXCEL'!$C:$C,'BASE DE EXCEL'!BP:BP,"NO HAY REFERENCIA")</f>
        <v xml:space="preserve"> 321379.32, 13019554.91, 1145829.89, 3079396.80</v>
      </c>
      <c r="EW98" s="3" t="str">
        <f>_xlfn.XLOOKUP(B98,'BASE DE EXCEL'!$C:$C,'BASE DE EXCEL'!BQ:BQ,"NO HAY REFERENCIA")</f>
        <v>KILO,KILO,KILO,KILO,KILO,KILO,KILO,KILO,KILO</v>
      </c>
      <c r="EX98" s="3">
        <f>_xlfn.XLOOKUP(B98,'BASE DE EXCEL'!$C:$C,'BASE DE EXCEL'!BR:BR,"NO HAY REFERENCIA")</f>
        <v>0</v>
      </c>
      <c r="EY98" s="3" t="str">
        <f>_xlfn.XLOOKUP(B98,'BASE DE EXCEL'!$C:$C,'BASE DE EXCEL'!BS:BS,"NO HAY REFERENCIA")</f>
        <v>PAISES BAJOS (REINO DE LOS) (HOLANDA)</v>
      </c>
      <c r="EZ98" s="3" t="str">
        <f>_xlfn.XLOOKUP(B98,'BASE DE EXCEL'!$C:$C,'BASE DE EXCEL'!BT:BT,"NO HAY REFERENCIA")</f>
        <v>PAISES BAJOS (REINO DE LOS) (HOLANDA)</v>
      </c>
      <c r="FA98" s="3" t="str">
        <f>_xlfn.XLOOKUP(B98,'BASE DE EXCEL'!$C:$C,'BASE DE EXCEL'!BU:BU,"NO HAY REFERENCIA")</f>
        <v>ZYA</v>
      </c>
      <c r="FB98" s="3" t="str">
        <f>_xlfn.XLOOKUP(B98,'BASE DE EXCEL'!$C:$C,'BASE DE EXCEL'!BV:BV,"NO HAY REFERENCIA")</f>
        <v>ZYA</v>
      </c>
      <c r="FC98" s="3">
        <f>_xlfn.XLOOKUP(B98,QUERY!$C:$C,QUERY!D:D)</f>
        <v>430</v>
      </c>
      <c r="FD98" s="4">
        <f>_xlfn.XLOOKUP(B98,QUERY!$C:$C,QUERY!E:E)</f>
        <v>46093</v>
      </c>
      <c r="FE98" s="3">
        <f>_xlfn.XLOOKUP(B98,QUERY!$C:$C,QUERY!F:F)</f>
        <v>3</v>
      </c>
      <c r="FF98" s="4">
        <f>_xlfn.XLOOKUP(B98,QUERY!$C:$C,QUERY!G:G)</f>
        <v>46077</v>
      </c>
      <c r="FG98" s="4">
        <f>_xlfn.XLOOKUP(B98,QUERY!$C:$C,QUERY!H:H)</f>
        <v>46093</v>
      </c>
      <c r="FH98" s="3">
        <f>_xlfn.XLOOKUP(B98,QUERY!$C:$C,QUERY!I:I)</f>
        <v>12</v>
      </c>
      <c r="FI98" s="3" t="str">
        <f>_xlfn.XLOOKUP(B98,QUERY!$C:$C,QUERY!J:J)</f>
        <v>11 a 15 días</v>
      </c>
      <c r="FJ98" s="4">
        <f>_xlfn.XLOOKUP(B98,QUERY!$C:$C,QUERY!K:K)</f>
        <v>46093</v>
      </c>
      <c r="FK98" s="3">
        <f>_xlfn.XLOOKUP(B98,QUERY!$C:$C,QUERY!L:L)</f>
        <v>12</v>
      </c>
      <c r="FL98" s="3" t="str">
        <f>_xlfn.XLOOKUP(B98,QUERY!$C:$C,QUERY!M:M)</f>
        <v>11 a 15 días</v>
      </c>
      <c r="FM98" s="3">
        <f>_xlfn.XLOOKUP(B98,QUERY!$C:$C,QUERY!N:N)</f>
        <v>0</v>
      </c>
      <c r="FN98" s="3" t="str">
        <f>_xlfn.XLOOKUP(B98,QUERY!$C:$C,QUERY!O:O)</f>
        <v>1 día o menos</v>
      </c>
      <c r="FO98" s="3">
        <f>_xlfn.XLOOKUP(B98,QUERY!$C:$C,QUERY!P:P)</f>
        <v>0</v>
      </c>
      <c r="FP98" s="3">
        <f>_xlfn.XLOOKUP(B98,QUERY!$C:$C,QUERY!Q:Q)</f>
        <v>-2</v>
      </c>
      <c r="FQ98" s="3" t="str">
        <f>_xlfn.XLOOKUP(B98,QUERY!$C:$C,QUERY!R:R)</f>
        <v>Sin dato</v>
      </c>
      <c r="FR98" s="4">
        <f>_xlfn.XLOOKUP(B98,QUERY!$C:$C,QUERY!S:S)</f>
        <v>46091</v>
      </c>
      <c r="FS98" s="3">
        <f>_xlfn.XLOOKUP(B98,QUERY!$C:$C,QUERY!T:T)</f>
        <v>10</v>
      </c>
      <c r="FT98" s="3" t="str">
        <f>_xlfn.XLOOKUP(B98,QUERY!$C:$C,QUERY!U:U)</f>
        <v>6 a 10 días</v>
      </c>
      <c r="FU98" s="3">
        <f>_xlfn.XLOOKUP(B98,QUERY!$C:$C,QUERY!V:V)</f>
        <v>20</v>
      </c>
      <c r="FV98" s="3" t="str">
        <f>_xlfn.XLOOKUP(B98,QUERY!$C:$C,QUERY!W:W)</f>
        <v>más de 16 días</v>
      </c>
      <c r="FW98" s="4">
        <f>_xlfn.XLOOKUP(B98,QUERY!$C:$C,QUERY!X:X)</f>
        <v>46105</v>
      </c>
      <c r="FX98" s="3">
        <f>_xlfn.XLOOKUP(B98,QUERY!$C:$C,QUERY!Y:Y)</f>
        <v>9</v>
      </c>
      <c r="FY98" s="3">
        <f>_xlfn.XLOOKUP(B98,QUERY!$C:$C,QUERY!Z:Z)</f>
        <v>10</v>
      </c>
      <c r="FZ98" s="4" t="str">
        <f>_xlfn.XLOOKUP(B98,QUERY!$C:$C,QUERY!AA:AA)</f>
        <v>11 a 15 días</v>
      </c>
      <c r="GA98" s="4">
        <f>_xlfn.XLOOKUP(B98,QUERY!$C:$C,QUERY!AB:AB)</f>
        <v>46104</v>
      </c>
      <c r="GB98" s="4">
        <f>_xlfn.XLOOKUP(B98,QUERY!$C:$C,QUERY!AC:AC)</f>
        <v>46105</v>
      </c>
      <c r="GC98" s="3">
        <f>_xlfn.XLOOKUP(B98,QUERY!$C:$C,QUERY!AD:AD)</f>
        <v>1</v>
      </c>
      <c r="GD98" s="4">
        <f>_xlfn.XLOOKUP(B98,QUERY!$C:$C,QUERY!AE:AE)</f>
        <v>46105</v>
      </c>
      <c r="GE98" s="3">
        <f>_xlfn.XLOOKUP(B98,QUERY!$C:$C,QUERY!AF:AF)</f>
        <v>1</v>
      </c>
      <c r="GF98" s="4" t="str">
        <f>_xlfn.XLOOKUP(B98,QUERY!$C:$C,QUERY!AG:AG)</f>
        <v>Es anterior</v>
      </c>
      <c r="GG98" s="3" t="str">
        <f>_xlfn.XLOOKUP(B98,QUERY!$C:$C,QUERY!AH:AH)</f>
        <v>R1</v>
      </c>
      <c r="GH98" s="3" t="str">
        <f>_xlfn.XLOOKUP(B98,QUERY!$C:$C,QUERY!AI:AI)</f>
        <v>ZULEIMA PEREZ RUIZ</v>
      </c>
      <c r="GI98" s="3" t="str">
        <f>_xlfn.XLOOKUP(B98,QUERY!$C:$C,QUERY!AJ:AJ)</f>
        <v>HLCURTM260162366</v>
      </c>
      <c r="GJ98" s="3" t="str">
        <f>_xlfn.XLOOKUP(B98,QUERY!$C:$C,QUERY!AK:AK)</f>
        <v>NULL</v>
      </c>
      <c r="GK98" s="3">
        <f>_xlfn.XLOOKUP(B98,QUERY!$C:$C,QUERY!AL:AL)</f>
        <v>6000421</v>
      </c>
      <c r="GL98" s="3" t="str">
        <f>_xlfn.XLOOKUP(B98,QUERY!$C:$C,QUERY!AM:AM)</f>
        <v>Importación</v>
      </c>
      <c r="GM98" s="3" t="str">
        <f>_xlfn.XLOOKUP(B98,QUERY!$C:$C,QUERY!AN:AN)</f>
        <v>NOBILIS MA5+CLONE 30 (VACUNA DE USO VETERINARIO)</v>
      </c>
      <c r="GN98" s="3" t="str">
        <f>_xlfn.XLOOKUP(B98,QUERY!$C:$C,QUERY!AO:AO)</f>
        <v>SIN CLASIFICACION</v>
      </c>
      <c r="GO98" s="3">
        <f>_xlfn.XLOOKUP(B98,QUERY!$C:$C,QUERY!AP:AP)</f>
        <v>0</v>
      </c>
      <c r="GP98" s="3" t="str">
        <f>_xlfn.XLOOKUP(B98,QUERY!$C:$C,QUERY!AQ:AQ)</f>
        <v>Cargas de Importación</v>
      </c>
      <c r="GQ98" s="3" t="str">
        <f>_xlfn.XLOOKUP(B98,QUERY!$C:$C,QUERY!AR:AR)</f>
        <v>INTERVET MEXICO SA DE CV</v>
      </c>
      <c r="GR98" s="3">
        <f>_xlfn.XLOOKUP(B98,QUERY!$C:$C,QUERY!AS:AS)</f>
        <v>0</v>
      </c>
      <c r="GS98" s="3">
        <f>_xlfn.XLOOKUP(B98,QUERY!$C:$C,QUERY!AT:AT)</f>
        <v>0</v>
      </c>
      <c r="GT98" s="3">
        <f>_xlfn.XLOOKUP(B98,QUERY!$C:$C,QUERY!AU:AU)</f>
        <v>0</v>
      </c>
      <c r="GU98" s="3">
        <f>_xlfn.XLOOKUP(B98,QUERY!$C:$C,QUERY!AV:AV)</f>
        <v>0</v>
      </c>
      <c r="GV98" s="3">
        <f>_xlfn.XLOOKUP(B98,QUERY!$C:$C,QUERY!AW:AW)</f>
        <v>0</v>
      </c>
      <c r="GW98" s="3" t="str">
        <f>_xlfn.XLOOKUP(B98,QUERY!$C:$C,QUERY!AX:AX)</f>
        <v>Verde</v>
      </c>
      <c r="GX98" s="3" t="str">
        <f>_xlfn.XLOOKUP(B98,QUERY!$C:$C,QUERY!AY:AY)</f>
        <v>NULL</v>
      </c>
      <c r="GY98" s="3">
        <f>_xlfn.XLOOKUP(B98,QUERY!$C:$C,QUERY!AZ:AZ)</f>
        <v>0</v>
      </c>
      <c r="GZ98" s="3">
        <f>_xlfn.XLOOKUP(B98,QUERY!$C:$C,QUERY!BA:BA)</f>
        <v>0</v>
      </c>
      <c r="HA98" s="3" t="str">
        <f>_xlfn.XLOOKUP(B98,QUERY!$C:$C,QUERY!BB:BB)</f>
        <v>IME850329RH2</v>
      </c>
      <c r="HB98" s="3">
        <f>_xlfn.XLOOKUP(B98,QUERY!$C:$C,QUERY!BC:BC)</f>
        <v>0</v>
      </c>
      <c r="HC98" s="3">
        <f>_xlfn.XLOOKUP(B98,QUERY!$C:$C,QUERY!BD:BD)</f>
        <v>0.99</v>
      </c>
      <c r="HD98" s="3" t="str">
        <f>_xlfn.XLOOKUP(B98,QUERY!$C:$C,QUERY!BE:BE)</f>
        <v>LOTE: SCBA207A11,LOTE: A053A01,LOTE: A224A01,LOTE: A142A01,LOTE: A247B01,LOTE: A436A02,LOTE: A198A02,LOTE: A489D01,LOTE: A061A01</v>
      </c>
      <c r="HE98" s="3">
        <f>_xlfn.XLOOKUP(B98,QUERY!$C:$C,QUERY!BF:BF)</f>
        <v>90</v>
      </c>
      <c r="HF98" s="3" t="str">
        <f>_xlfn.XLOOKUP(B98,QUERY!$C:$C,QUERY!BG:BG)</f>
        <v xml:space="preserve"> 321379.32, 13019554.91, 1145829.89, 3079396.80</v>
      </c>
      <c r="HG98" s="3" t="str">
        <f>_xlfn.XLOOKUP(B98,QUERY!$C:$C,QUERY!BH:BH)</f>
        <v>KILO,KILO,KILO,KILO,KILO,KILO,KILO,KILO,KILO</v>
      </c>
      <c r="HH98" s="3">
        <f>_xlfn.XLOOKUP(B98,QUERY!$C:$C,QUERY!BI:BI)</f>
        <v>0</v>
      </c>
      <c r="HI98" s="3" t="str">
        <f>_xlfn.XLOOKUP(B98,QUERY!$C:$C,QUERY!BJ:BJ)</f>
        <v>PAISES BAJOS (REINO DE LOS) (HOLANDA)</v>
      </c>
      <c r="HJ98" s="3" t="str">
        <f>_xlfn.XLOOKUP(B98,QUERY!$C:$C,QUERY!BK:BK)</f>
        <v>PAISES BAJOS (REINO DE LOS) (HOLANDA)</v>
      </c>
      <c r="HK98" s="3" t="str">
        <f>_xlfn.XLOOKUP(B98,QUERY!$C:$C,QUERY!BL:BL)</f>
        <v>ZYA</v>
      </c>
      <c r="HL98" s="3" t="str">
        <f>_xlfn.XLOOKUP(B98,QUERY!$C:$C,QUERY!BM:BM)</f>
        <v>ZYA</v>
      </c>
      <c r="HM98" s="3">
        <f>_xlfn.XLOOKUP(B98,QUERY!$C:$C,QUERY!BN:BN)</f>
        <v>17566160</v>
      </c>
      <c r="HN98" s="3" t="str">
        <f>_xlfn.XLOOKUP(B98,QUERY!$C:$C,QUERY!BO:BO)</f>
        <v>444.00</v>
      </c>
      <c r="HO98" s="3" t="str">
        <f>_xlfn.XLOOKUP(B98,QUERY!$C:$C,QUERY!BP:BP)</f>
        <v>NULL</v>
      </c>
      <c r="HP98" s="3" t="str">
        <f>_xlfn.XLOOKUP(B98,QUERY!$C:$C,QUERY!BQ:BQ)</f>
        <v>NULL</v>
      </c>
      <c r="HQ98" s="3" t="str">
        <f>_xlfn.XLOOKUP(B98,QUERY!$C:$C,QUERY!BR:BR)</f>
        <v>250436.84</v>
      </c>
      <c r="HR98" s="3">
        <f>_xlfn.XLOOKUP(B98,QUERY!$C:$C,QUERY!BS:BS)</f>
        <v>0</v>
      </c>
      <c r="HS98" s="3">
        <f>_xlfn.XLOOKUP(B98,QUERY!$C:$C,QUERY!BT:BT)</f>
        <v>0</v>
      </c>
      <c r="HT98" s="3" t="str">
        <f>_xlfn.XLOOKUP(B98,QUERY!$C:$C,QUERY!A:A)</f>
        <v>VERACRUZ</v>
      </c>
      <c r="HU98" s="3" t="str">
        <f>_xlfn.XLOOKUP(B98,QUERY!$C:$C,QUERY!B:B)</f>
        <v>MARÍTIMO VERACRUZ</v>
      </c>
    </row>
    <row r="99" spans="1:229" x14ac:dyDescent="0.25">
      <c r="A99" s="3" t="s">
        <v>90</v>
      </c>
      <c r="B99" s="3" t="s">
        <v>346</v>
      </c>
      <c r="C99" s="3">
        <v>3942</v>
      </c>
      <c r="D99" s="3">
        <v>6000421</v>
      </c>
      <c r="E99" s="3">
        <v>6000418</v>
      </c>
      <c r="F99" s="3" t="s">
        <v>92</v>
      </c>
      <c r="G99" s="3" t="s">
        <v>342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430</v>
      </c>
      <c r="S99" s="3" t="s">
        <v>258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 t="s">
        <v>218</v>
      </c>
      <c r="AB99" s="3"/>
      <c r="AC99" s="3">
        <v>1296641</v>
      </c>
      <c r="AD99" s="3">
        <v>1029.08016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/>
      <c r="AP99" s="3" t="s">
        <v>98</v>
      </c>
      <c r="AQ99" s="3">
        <v>210365022</v>
      </c>
      <c r="AR99" s="3" t="s">
        <v>99</v>
      </c>
      <c r="AS99" s="3" t="s">
        <v>100</v>
      </c>
      <c r="AT99" s="3">
        <v>0</v>
      </c>
      <c r="AU99" s="3">
        <v>0</v>
      </c>
      <c r="AV99" s="3">
        <v>0</v>
      </c>
      <c r="AW99" s="3">
        <v>30024201</v>
      </c>
      <c r="AX99" s="3">
        <v>99</v>
      </c>
      <c r="AY99" s="3">
        <v>1260</v>
      </c>
      <c r="AZ99" s="3">
        <v>1260</v>
      </c>
      <c r="BA99" s="3" t="s">
        <v>103</v>
      </c>
      <c r="BB99" s="3"/>
      <c r="BC99" s="3" t="s">
        <v>105</v>
      </c>
      <c r="BD99" s="3" t="s">
        <v>105</v>
      </c>
      <c r="BE99" s="3"/>
      <c r="BF99" s="3"/>
      <c r="BG99" s="5"/>
      <c r="BH99" s="3"/>
      <c r="BI99" s="3"/>
      <c r="BJ99" s="3"/>
      <c r="BK99" s="3" t="s">
        <v>300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 t="s">
        <v>192</v>
      </c>
      <c r="CF99" s="3">
        <v>0</v>
      </c>
      <c r="CG99" s="3">
        <v>0</v>
      </c>
      <c r="CH99" s="3">
        <v>0</v>
      </c>
      <c r="CI99" s="3" t="s">
        <v>112</v>
      </c>
      <c r="CJ99" s="3" t="s">
        <v>112</v>
      </c>
      <c r="CK99" s="3">
        <f>_xlfn.XLOOKUP($B$2,'BASE DE EXCEL'!C:C,'BASE DE EXCEL'!D:D,"NO HAY REFERENCIA")</f>
        <v>470</v>
      </c>
      <c r="CL99" s="5">
        <f>_xlfn.XLOOKUP($B$2,'BASE DE EXCEL'!$C:$C,'BASE DE EXCEL'!F:F,"NO HAY REFERENCIA")</f>
        <v>3</v>
      </c>
      <c r="CM99" s="4">
        <f>_xlfn.XLOOKUP($B$2,'BASE DE EXCEL'!$C:$C,'BASE DE EXCEL'!G:G,"NO HAY REFERENCIA")</f>
        <v>46080</v>
      </c>
      <c r="CN99" s="4">
        <f>_xlfn.XLOOKUP($B$2,'BASE DE EXCEL'!$C:$C,'BASE DE EXCEL'!H:H,"NO HAY REFERENCIA")</f>
        <v>46086</v>
      </c>
      <c r="CO99" s="3">
        <f>_xlfn.XLOOKUP($B$2,'BASE DE EXCEL'!$C:$C,'BASE DE EXCEL'!I:I,"NO HAY REFERENCIA")</f>
        <v>4</v>
      </c>
      <c r="CP99" s="3" t="str">
        <f>_xlfn.XLOOKUP($B$2,'BASE DE EXCEL'!$C:$C,'BASE DE EXCEL'!J:J,"NO HAY REFERENCIA")</f>
        <v>4 a 5 días</v>
      </c>
      <c r="CQ99" s="4">
        <f>_xlfn.XLOOKUP($B$2,'BASE DE EXCEL'!$C:$C,'BASE DE EXCEL'!K:K,"NO HAY REFERENCIA")</f>
        <v>46087</v>
      </c>
      <c r="CR99" s="3">
        <f>_xlfn.XLOOKUP($B$2,'BASE DE EXCEL'!$C:$C,'BASE DE EXCEL'!L:L,"NO HAY REFERENCIA")</f>
        <v>5</v>
      </c>
      <c r="CS99" s="3">
        <f>_xlfn.XLOOKUP($B$2,'BASE DE EXCEL'!$C:$C,'BASE DE EXCEL'!M:M,"NO HAY REFERENCIA")</f>
        <v>6</v>
      </c>
      <c r="CT99" s="3" t="str">
        <f>_xlfn.XLOOKUP($B$2,'BASE DE EXCEL'!$C:$C,'BASE DE EXCEL'!N:N,"NO HAY REFERENCIA")</f>
        <v>6 a 10 días</v>
      </c>
      <c r="CU99" s="3" t="str">
        <f>_xlfn.XLOOKUP($B$2,'BASE DE EXCEL'!$C:$C,'BASE DE EXCEL'!O:O,"NO HAY REFERENCIA")</f>
        <v>On Time</v>
      </c>
      <c r="CV99" s="3" t="str">
        <f>_xlfn.XLOOKUP(B99,'BASE DE EXCEL'!$C:$C,'BASE DE EXCEL'!P:P,"NO HAY REFERENCIA")</f>
        <v>16 o más días</v>
      </c>
      <c r="CW99" s="4">
        <f>_xlfn.XLOOKUP(B99,'BASE DE EXCEL'!$C:$C,'BASE DE EXCEL'!Q:Q,"NO HAY REFERENCIA")</f>
        <v>46086</v>
      </c>
      <c r="CX99" s="3">
        <f>_xlfn.XLOOKUP(B99,'BASE DE EXCEL'!$C:$C,'BASE DE EXCEL'!R:R,"NO HAY REFERENCIA")</f>
        <v>8</v>
      </c>
      <c r="CY99" s="3" t="str">
        <f>_xlfn.XLOOKUP(B99,'BASE DE EXCEL'!$C:$C,'BASE DE EXCEL'!S:S,"NO HAY REFERENCIA")</f>
        <v>6 a 10 días</v>
      </c>
      <c r="CZ99" s="3" t="str">
        <f>_xlfn.XLOOKUP(B99,'BASE DE EXCEL'!$C:$C,'BASE DE EXCEL'!T:T,"NO HAY REFERENCIA")</f>
        <v>Delayed</v>
      </c>
      <c r="DA99" s="3">
        <f>_xlfn.XLOOKUP(B99,'BASE DE EXCEL'!$C:$C,'BASE DE EXCEL'!U:U,"NO HAY REFERENCIA")</f>
        <v>0</v>
      </c>
      <c r="DB99" s="3" t="str">
        <f>_xlfn.XLOOKUP(B99,'BASE DE EXCEL'!$C:$C,'BASE DE EXCEL'!V:V,"NO HAY REFERENCIA")</f>
        <v>Sin Dato</v>
      </c>
      <c r="DC99" s="3">
        <f>_xlfn.XLOOKUP(B99,'BASE DE EXCEL'!$C:$C,'BASE DE EXCEL'!W:W,"NO HAY REFERENCIA")</f>
        <v>20</v>
      </c>
      <c r="DD99" s="3" t="str">
        <f>_xlfn.XLOOKUP(B99,'BASE DE EXCEL'!$C:$C,'BASE DE EXCEL'!X:X,"NO HAY REFERENCIA")</f>
        <v>más de 16 días</v>
      </c>
      <c r="DE99" s="3">
        <f>_xlfn.XLOOKUP(B99,'BASE DE EXCEL'!$C:$C,'BASE DE EXCEL'!Y:Y,"NO HAY REFERENCIA")</f>
        <v>0</v>
      </c>
      <c r="DF99" s="3" t="str">
        <f>_xlfn.XLOOKUP(B99,'BASE DE EXCEL'!$C:$C,'BASE DE EXCEL'!Z:Z,"NO HAY REFERENCIA")</f>
        <v>1 día o menos</v>
      </c>
      <c r="DG99" s="3">
        <f>_xlfn.XLOOKUP(B99,'BASE DE EXCEL'!$C:$C,'BASE DE EXCEL'!AA:AA,"NO HAY REFERENCIA")</f>
        <v>16</v>
      </c>
      <c r="DH99" s="3">
        <f>_xlfn.XLOOKUP(B99,'BASE DE EXCEL'!$C:$C,'BASE DE EXCEL'!AB:AB,"NO HAY REFERENCIA")</f>
        <v>-46091</v>
      </c>
      <c r="DI99" s="3" t="str">
        <f>_xlfn.XLOOKUP(B99,'BASE DE EXCEL'!$C:$C,'BASE DE EXCEL'!AC:AC,"NO HAY REFERENCIA")</f>
        <v>SIN DATO</v>
      </c>
      <c r="DJ99" s="4">
        <f>_xlfn.XLOOKUP(B99,'BASE DE EXCEL'!$C:$C,'BASE DE EXCEL'!AD:AD,"NO HAY REFERENCIA")</f>
        <v>46105</v>
      </c>
      <c r="DK99" s="3">
        <f>_xlfn.XLOOKUP(B99,'BASE DE EXCEL'!$C:$C,'BASE DE EXCEL'!AE:AE,"NO HAY REFERENCIA")</f>
        <v>46102</v>
      </c>
      <c r="DL99" s="3">
        <f>_xlfn.XLOOKUP(B99,'BASE DE EXCEL'!$C:$C,'BASE DE EXCEL'!AF:AF,"NO HAY REFERENCIA")</f>
        <v>32931</v>
      </c>
      <c r="DM99" s="4">
        <f>_xlfn.XLOOKUP(B99,'BASE DE EXCEL'!$C:$C,'BASE DE EXCEL'!AG:AG,"NO HAY REFERENCIA")</f>
        <v>46104</v>
      </c>
      <c r="DN99" s="4">
        <f>_xlfn.XLOOKUP(B99,'BASE DE EXCEL'!$C:$C,'BASE DE EXCEL'!AH:AH,"NO HAY REFERENCIA")</f>
        <v>46105</v>
      </c>
      <c r="DO99" s="3">
        <f>_xlfn.XLOOKUP(B99,'BASE DE EXCEL'!$C:$C,'BASE DE EXCEL'!AI:AI,"NO HAY REFERENCIA")</f>
        <v>1</v>
      </c>
      <c r="DP99" s="4" t="str">
        <f>_xlfn.XLOOKUP(B99,'BASE DE EXCEL'!$C:$C,'BASE DE EXCEL'!AJ:AJ,"NO HAY REFERENCIA")</f>
        <v>SIN DATO</v>
      </c>
      <c r="DQ99" s="4">
        <f>_xlfn.XLOOKUP(B99,'BASE DE EXCEL'!$C:$C,'BASE DE EXCEL'!AK:AK,"NO HAY REFERENCIA")</f>
        <v>46105</v>
      </c>
      <c r="DR99" s="3">
        <f>_xlfn.XLOOKUP(B99,'BASE DE EXCEL'!$C:$C,'BASE DE EXCEL'!AL:AL,"NO HAY REFERENCIA")</f>
        <v>13</v>
      </c>
      <c r="DS99" s="3" t="str">
        <f>_xlfn.XLOOKUP(B99,'BASE DE EXCEL'!$C:$C,'BASE DE EXCEL'!AM:AM,"NO HAY REFERENCIA")</f>
        <v>11 a 15 días</v>
      </c>
      <c r="DT99" s="3" t="str">
        <f>_xlfn.XLOOKUP(B99,'BASE DE EXCEL'!$C:$C,'BASE DE EXCEL'!AN:AN,"NO HAY REFERENCIA")</f>
        <v>Delayed</v>
      </c>
      <c r="DU99" s="3">
        <f>_xlfn.XLOOKUP(B99,'BASE DE EXCEL'!$C:$C,'BASE DE EXCEL'!AO:AO,"NO HAY REFERENCIA")</f>
        <v>0</v>
      </c>
      <c r="DV99" s="3" t="str">
        <f>_xlfn.XLOOKUP(B99,'BASE DE EXCEL'!$C:$C,'BASE DE EXCEL'!AP:AP,"NO HAY REFERENCIA")</f>
        <v>Es anterior</v>
      </c>
      <c r="DW99" s="3" t="str">
        <f>_xlfn.XLOOKUP(B99,'BASE DE EXCEL'!$C:$C,'BASE DE EXCEL'!AQ:AQ,"NO HAY REFERENCIA")</f>
        <v>R1</v>
      </c>
      <c r="DX99" s="3" t="str">
        <f>_xlfn.XLOOKUP(B99,'BASE DE EXCEL'!$C:$C,'BASE DE EXCEL'!AR:AR,"NO HAY REFERENCIA")</f>
        <v>ZULEIMA PEREZ RUIZ</v>
      </c>
      <c r="DY99" s="3" t="str">
        <f>_xlfn.XLOOKUP(B99,'BASE DE EXCEL'!$C:$C,'BASE DE EXCEL'!AS:AS,"NO HAY REFERENCIA")</f>
        <v>HLCURTM260162366</v>
      </c>
      <c r="DZ99" s="3" t="str">
        <f>_xlfn.XLOOKUP(B99,'BASE DE EXCEL'!$C:$C,'BASE DE EXCEL'!AT:AT,"NO HAY REFERENCIA")</f>
        <v>NULL</v>
      </c>
      <c r="EA99" s="3">
        <f>_xlfn.XLOOKUP(B99,'BASE DE EXCEL'!$C:$C,'BASE DE EXCEL'!AU:AU,"NO HAY REFERENCIA")</f>
        <v>6000421</v>
      </c>
      <c r="EB99" s="3" t="str">
        <f>_xlfn.XLOOKUP(B99,'BASE DE EXCEL'!$C:$C,'BASE DE EXCEL'!AV:AV,"NO HAY REFERENCIA")</f>
        <v>Importación</v>
      </c>
      <c r="EC99" s="3" t="str">
        <f>_xlfn.XLOOKUP(B99,'BASE DE EXCEL'!$C:$C,'BASE DE EXCEL'!AW:AW,"NO HAY REFERENCIA")</f>
        <v>NOBILIS MA5+CLONE 30 (VACUNA DE USO VETERINARIO)</v>
      </c>
      <c r="ED99" s="3" t="str">
        <f>_xlfn.XLOOKUP(B99,'BASE DE EXCEL'!$C:$C,'BASE DE EXCEL'!AX:AX,"NO HAY REFERENCIA")</f>
        <v>SIN CLASIFICACION</v>
      </c>
      <c r="EE99" s="3">
        <f>_xlfn.XLOOKUP(B99,'BASE DE EXCEL'!$C:$C,'BASE DE EXCEL'!AY:AY,"NO HAY REFERENCIA")</f>
        <v>0</v>
      </c>
      <c r="EF99" s="3" t="str">
        <f>_xlfn.XLOOKUP(B99,'BASE DE EXCEL'!$C:$C,'BASE DE EXCEL'!AZ:AZ,"NO HAY REFERENCIA")</f>
        <v>Cargas de Importación</v>
      </c>
      <c r="EG99" s="3" t="str">
        <f>_xlfn.XLOOKUP(B99,'BASE DE EXCEL'!$C:$C,'BASE DE EXCEL'!BA:BA,"NO HAY REFERENCIA")</f>
        <v>INTERVET MEXICO SA DE CV</v>
      </c>
      <c r="EH99" s="3">
        <f>_xlfn.XLOOKUP(B99,'BASE DE EXCEL'!$C:$C,'BASE DE EXCEL'!BB:BB,"NO HAY REFERENCIA")</f>
        <v>0</v>
      </c>
      <c r="EI99" s="3">
        <f>_xlfn.XLOOKUP(B99,'BASE DE EXCEL'!$C:$C,'BASE DE EXCEL'!BC:BC,"NO HAY REFERENCIA")</f>
        <v>0</v>
      </c>
      <c r="EJ99" s="3">
        <f>_xlfn.XLOOKUP(B99,'BASE DE EXCEL'!$C:$C,'BASE DE EXCEL'!BD:BD,"NO HAY REFERENCIA")</f>
        <v>0</v>
      </c>
      <c r="EK99" s="3">
        <f>_xlfn.XLOOKUP(B99,'BASE DE EXCEL'!$C:$C,'BASE DE EXCEL'!BE:BE,"NO HAY REFERENCIA")</f>
        <v>0</v>
      </c>
      <c r="EL99" s="3">
        <f>_xlfn.XLOOKUP(B99,'BASE DE EXCEL'!$C:$C,'BASE DE EXCEL'!BF:BF,"NO HAY REFERENCIA")</f>
        <v>0</v>
      </c>
      <c r="EM99" s="3" t="str">
        <f>_xlfn.XLOOKUP(B99,'BASE DE EXCEL'!$C:$C,'BASE DE EXCEL'!BG:BG,"NO HAY REFERENCIA")</f>
        <v>Verde</v>
      </c>
      <c r="EN99" s="3" t="str">
        <f>_xlfn.XLOOKUP(B99,'BASE DE EXCEL'!$C:$C,'BASE DE EXCEL'!BH:BH,"NO HAY REFERENCIA")</f>
        <v>NULL</v>
      </c>
      <c r="EO99" s="3">
        <f>_xlfn.XLOOKUP(B99,'BASE DE EXCEL'!$C:$C,'BASE DE EXCEL'!BI:BI,"NO HAY REFERENCIA")</f>
        <v>0</v>
      </c>
      <c r="EP99" s="3">
        <f>_xlfn.XLOOKUP(B99,'BASE DE EXCEL'!$C:$C,'BASE DE EXCEL'!BJ:BJ,"NO HAY REFERENCIA")</f>
        <v>0</v>
      </c>
      <c r="EQ99" s="3" t="str">
        <f>_xlfn.XLOOKUP(B99,'BASE DE EXCEL'!$C:$C,'BASE DE EXCEL'!BK:BK,"NO HAY REFERENCIA")</f>
        <v>IME850329RH2</v>
      </c>
      <c r="ER99" s="3">
        <f>_xlfn.XLOOKUP(B99,'BASE DE EXCEL'!$C:$C,'BASE DE EXCEL'!BL:BL,"NO HAY REFERENCIA")</f>
        <v>0</v>
      </c>
      <c r="ES99" s="3" t="str">
        <f>_xlfn.XLOOKUP(B99,'BASE DE EXCEL'!$C:$C,'BASE DE EXCEL'!BM:BM,"NO HAY REFERENCIA")</f>
        <v>00,99</v>
      </c>
      <c r="ET99" s="3" t="str">
        <f>_xlfn.XLOOKUP(B99,'BASE DE EXCEL'!$C:$C,'BASE DE EXCEL'!BN:BN,"NO HAY REFERENCIA")</f>
        <v>LOTE: SCBA207A11,LOTE: A053A01,LOTE: A224A01,LOTE: A142A01,LOTE: A247B01,LOTE: A436A02,LOTE: A198A02,LOTE: A489D01,LOTE: A061A01</v>
      </c>
      <c r="EU99" s="3">
        <f>_xlfn.XLOOKUP(B99,'BASE DE EXCEL'!$C:$C,'BASE DE EXCEL'!BO:BO,"NO HAY REFERENCIA")</f>
        <v>90</v>
      </c>
      <c r="EV99" s="3" t="str">
        <f>_xlfn.XLOOKUP(B99,'BASE DE EXCEL'!$C:$C,'BASE DE EXCEL'!BP:BP,"NO HAY REFERENCIA")</f>
        <v xml:space="preserve"> 321379.32, 13019554.91, 1145829.89, 3079396.80</v>
      </c>
      <c r="EW99" s="3" t="str">
        <f>_xlfn.XLOOKUP(B99,'BASE DE EXCEL'!$C:$C,'BASE DE EXCEL'!BQ:BQ,"NO HAY REFERENCIA")</f>
        <v>KILO,KILO,KILO,KILO,KILO,KILO,KILO,KILO,KILO</v>
      </c>
      <c r="EX99" s="3">
        <f>_xlfn.XLOOKUP(B99,'BASE DE EXCEL'!$C:$C,'BASE DE EXCEL'!BR:BR,"NO HAY REFERENCIA")</f>
        <v>0</v>
      </c>
      <c r="EY99" s="3" t="str">
        <f>_xlfn.XLOOKUP(B99,'BASE DE EXCEL'!$C:$C,'BASE DE EXCEL'!BS:BS,"NO HAY REFERENCIA")</f>
        <v>PAISES BAJOS (REINO DE LOS) (HOLANDA)</v>
      </c>
      <c r="EZ99" s="3" t="str">
        <f>_xlfn.XLOOKUP(B99,'BASE DE EXCEL'!$C:$C,'BASE DE EXCEL'!BT:BT,"NO HAY REFERENCIA")</f>
        <v>PAISES BAJOS (REINO DE LOS) (HOLANDA)</v>
      </c>
      <c r="FA99" s="3" t="str">
        <f>_xlfn.XLOOKUP(B99,'BASE DE EXCEL'!$C:$C,'BASE DE EXCEL'!BU:BU,"NO HAY REFERENCIA")</f>
        <v>ZYA</v>
      </c>
      <c r="FB99" s="3" t="str">
        <f>_xlfn.XLOOKUP(B99,'BASE DE EXCEL'!$C:$C,'BASE DE EXCEL'!BV:BV,"NO HAY REFERENCIA")</f>
        <v>ZYA</v>
      </c>
      <c r="FC99" s="3">
        <f>_xlfn.XLOOKUP(B99,QUERY!$C:$C,QUERY!D:D)</f>
        <v>430</v>
      </c>
      <c r="FD99" s="4">
        <f>_xlfn.XLOOKUP(B99,QUERY!$C:$C,QUERY!E:E)</f>
        <v>46093</v>
      </c>
      <c r="FE99" s="3">
        <f>_xlfn.XLOOKUP(B99,QUERY!$C:$C,QUERY!F:F)</f>
        <v>3</v>
      </c>
      <c r="FF99" s="4">
        <f>_xlfn.XLOOKUP(B99,QUERY!$C:$C,QUERY!G:G)</f>
        <v>46077</v>
      </c>
      <c r="FG99" s="4">
        <f>_xlfn.XLOOKUP(B99,QUERY!$C:$C,QUERY!H:H)</f>
        <v>46093</v>
      </c>
      <c r="FH99" s="3">
        <f>_xlfn.XLOOKUP(B99,QUERY!$C:$C,QUERY!I:I)</f>
        <v>12</v>
      </c>
      <c r="FI99" s="3" t="str">
        <f>_xlfn.XLOOKUP(B99,QUERY!$C:$C,QUERY!J:J)</f>
        <v>11 a 15 días</v>
      </c>
      <c r="FJ99" s="4">
        <f>_xlfn.XLOOKUP(B99,QUERY!$C:$C,QUERY!K:K)</f>
        <v>46093</v>
      </c>
      <c r="FK99" s="3">
        <f>_xlfn.XLOOKUP(B99,QUERY!$C:$C,QUERY!L:L)</f>
        <v>12</v>
      </c>
      <c r="FL99" s="3" t="str">
        <f>_xlfn.XLOOKUP(B99,QUERY!$C:$C,QUERY!M:M)</f>
        <v>11 a 15 días</v>
      </c>
      <c r="FM99" s="3">
        <f>_xlfn.XLOOKUP(B99,QUERY!$C:$C,QUERY!N:N)</f>
        <v>0</v>
      </c>
      <c r="FN99" s="3" t="str">
        <f>_xlfn.XLOOKUP(B99,QUERY!$C:$C,QUERY!O:O)</f>
        <v>1 día o menos</v>
      </c>
      <c r="FO99" s="3">
        <f>_xlfn.XLOOKUP(B99,QUERY!$C:$C,QUERY!P:P)</f>
        <v>0</v>
      </c>
      <c r="FP99" s="3">
        <f>_xlfn.XLOOKUP(B99,QUERY!$C:$C,QUERY!Q:Q)</f>
        <v>-2</v>
      </c>
      <c r="FQ99" s="3" t="str">
        <f>_xlfn.XLOOKUP(B99,QUERY!$C:$C,QUERY!R:R)</f>
        <v>Sin dato</v>
      </c>
      <c r="FR99" s="4">
        <f>_xlfn.XLOOKUP(B99,QUERY!$C:$C,QUERY!S:S)</f>
        <v>46091</v>
      </c>
      <c r="FS99" s="3">
        <f>_xlfn.XLOOKUP(B99,QUERY!$C:$C,QUERY!T:T)</f>
        <v>10</v>
      </c>
      <c r="FT99" s="3" t="str">
        <f>_xlfn.XLOOKUP(B99,QUERY!$C:$C,QUERY!U:U)</f>
        <v>6 a 10 días</v>
      </c>
      <c r="FU99" s="3">
        <f>_xlfn.XLOOKUP(B99,QUERY!$C:$C,QUERY!V:V)</f>
        <v>20</v>
      </c>
      <c r="FV99" s="3" t="str">
        <f>_xlfn.XLOOKUP(B99,QUERY!$C:$C,QUERY!W:W)</f>
        <v>más de 16 días</v>
      </c>
      <c r="FW99" s="4">
        <f>_xlfn.XLOOKUP(B99,QUERY!$C:$C,QUERY!X:X)</f>
        <v>46105</v>
      </c>
      <c r="FX99" s="3">
        <f>_xlfn.XLOOKUP(B99,QUERY!$C:$C,QUERY!Y:Y)</f>
        <v>9</v>
      </c>
      <c r="FY99" s="3">
        <f>_xlfn.XLOOKUP(B99,QUERY!$C:$C,QUERY!Z:Z)</f>
        <v>10</v>
      </c>
      <c r="FZ99" s="4" t="str">
        <f>_xlfn.XLOOKUP(B99,QUERY!$C:$C,QUERY!AA:AA)</f>
        <v>11 a 15 días</v>
      </c>
      <c r="GA99" s="4">
        <f>_xlfn.XLOOKUP(B99,QUERY!$C:$C,QUERY!AB:AB)</f>
        <v>46104</v>
      </c>
      <c r="GB99" s="4">
        <f>_xlfn.XLOOKUP(B99,QUERY!$C:$C,QUERY!AC:AC)</f>
        <v>46105</v>
      </c>
      <c r="GC99" s="3">
        <f>_xlfn.XLOOKUP(B99,QUERY!$C:$C,QUERY!AD:AD)</f>
        <v>1</v>
      </c>
      <c r="GD99" s="4">
        <f>_xlfn.XLOOKUP(B99,QUERY!$C:$C,QUERY!AE:AE)</f>
        <v>46105</v>
      </c>
      <c r="GE99" s="3">
        <f>_xlfn.XLOOKUP(B99,QUERY!$C:$C,QUERY!AF:AF)</f>
        <v>1</v>
      </c>
      <c r="GF99" s="4" t="str">
        <f>_xlfn.XLOOKUP(B99,QUERY!$C:$C,QUERY!AG:AG)</f>
        <v>Es anterior</v>
      </c>
      <c r="GG99" s="3" t="str">
        <f>_xlfn.XLOOKUP(B99,QUERY!$C:$C,QUERY!AH:AH)</f>
        <v>R1</v>
      </c>
      <c r="GH99" s="3" t="str">
        <f>_xlfn.XLOOKUP(B99,QUERY!$C:$C,QUERY!AI:AI)</f>
        <v>ZULEIMA PEREZ RUIZ</v>
      </c>
      <c r="GI99" s="3" t="str">
        <f>_xlfn.XLOOKUP(B99,QUERY!$C:$C,QUERY!AJ:AJ)</f>
        <v>HLCURTM260162366</v>
      </c>
      <c r="GJ99" s="3" t="str">
        <f>_xlfn.XLOOKUP(B99,QUERY!$C:$C,QUERY!AK:AK)</f>
        <v>NULL</v>
      </c>
      <c r="GK99" s="3">
        <f>_xlfn.XLOOKUP(B99,QUERY!$C:$C,QUERY!AL:AL)</f>
        <v>6000421</v>
      </c>
      <c r="GL99" s="3" t="str">
        <f>_xlfn.XLOOKUP(B99,QUERY!$C:$C,QUERY!AM:AM)</f>
        <v>Importación</v>
      </c>
      <c r="GM99" s="3" t="str">
        <f>_xlfn.XLOOKUP(B99,QUERY!$C:$C,QUERY!AN:AN)</f>
        <v>NOBILIS MA5+CLONE 30 (VACUNA DE USO VETERINARIO)</v>
      </c>
      <c r="GN99" s="3" t="str">
        <f>_xlfn.XLOOKUP(B99,QUERY!$C:$C,QUERY!AO:AO)</f>
        <v>SIN CLASIFICACION</v>
      </c>
      <c r="GO99" s="3">
        <f>_xlfn.XLOOKUP(B99,QUERY!$C:$C,QUERY!AP:AP)</f>
        <v>0</v>
      </c>
      <c r="GP99" s="3" t="str">
        <f>_xlfn.XLOOKUP(B99,QUERY!$C:$C,QUERY!AQ:AQ)</f>
        <v>Cargas de Importación</v>
      </c>
      <c r="GQ99" s="3" t="str">
        <f>_xlfn.XLOOKUP(B99,QUERY!$C:$C,QUERY!AR:AR)</f>
        <v>INTERVET MEXICO SA DE CV</v>
      </c>
      <c r="GR99" s="3">
        <f>_xlfn.XLOOKUP(B99,QUERY!$C:$C,QUERY!AS:AS)</f>
        <v>0</v>
      </c>
      <c r="GS99" s="3">
        <f>_xlfn.XLOOKUP(B99,QUERY!$C:$C,QUERY!AT:AT)</f>
        <v>0</v>
      </c>
      <c r="GT99" s="3">
        <f>_xlfn.XLOOKUP(B99,QUERY!$C:$C,QUERY!AU:AU)</f>
        <v>0</v>
      </c>
      <c r="GU99" s="3">
        <f>_xlfn.XLOOKUP(B99,QUERY!$C:$C,QUERY!AV:AV)</f>
        <v>0</v>
      </c>
      <c r="GV99" s="3">
        <f>_xlfn.XLOOKUP(B99,QUERY!$C:$C,QUERY!AW:AW)</f>
        <v>0</v>
      </c>
      <c r="GW99" s="3" t="str">
        <f>_xlfn.XLOOKUP(B99,QUERY!$C:$C,QUERY!AX:AX)</f>
        <v>Verde</v>
      </c>
      <c r="GX99" s="3" t="str">
        <f>_xlfn.XLOOKUP(B99,QUERY!$C:$C,QUERY!AY:AY)</f>
        <v>NULL</v>
      </c>
      <c r="GY99" s="3">
        <f>_xlfn.XLOOKUP(B99,QUERY!$C:$C,QUERY!AZ:AZ)</f>
        <v>0</v>
      </c>
      <c r="GZ99" s="3">
        <f>_xlfn.XLOOKUP(B99,QUERY!$C:$C,QUERY!BA:BA)</f>
        <v>0</v>
      </c>
      <c r="HA99" s="3" t="str">
        <f>_xlfn.XLOOKUP(B99,QUERY!$C:$C,QUERY!BB:BB)</f>
        <v>IME850329RH2</v>
      </c>
      <c r="HB99" s="3">
        <f>_xlfn.XLOOKUP(B99,QUERY!$C:$C,QUERY!BC:BC)</f>
        <v>0</v>
      </c>
      <c r="HC99" s="3">
        <f>_xlfn.XLOOKUP(B99,QUERY!$C:$C,QUERY!BD:BD)</f>
        <v>0.99</v>
      </c>
      <c r="HD99" s="3" t="str">
        <f>_xlfn.XLOOKUP(B99,QUERY!$C:$C,QUERY!BE:BE)</f>
        <v>LOTE: SCBA207A11,LOTE: A053A01,LOTE: A224A01,LOTE: A142A01,LOTE: A247B01,LOTE: A436A02,LOTE: A198A02,LOTE: A489D01,LOTE: A061A01</v>
      </c>
      <c r="HE99" s="3">
        <f>_xlfn.XLOOKUP(B99,QUERY!$C:$C,QUERY!BF:BF)</f>
        <v>90</v>
      </c>
      <c r="HF99" s="3" t="str">
        <f>_xlfn.XLOOKUP(B99,QUERY!$C:$C,QUERY!BG:BG)</f>
        <v xml:space="preserve"> 321379.32, 13019554.91, 1145829.89, 3079396.80</v>
      </c>
      <c r="HG99" s="3" t="str">
        <f>_xlfn.XLOOKUP(B99,QUERY!$C:$C,QUERY!BH:BH)</f>
        <v>KILO,KILO,KILO,KILO,KILO,KILO,KILO,KILO,KILO</v>
      </c>
      <c r="HH99" s="3">
        <f>_xlfn.XLOOKUP(B99,QUERY!$C:$C,QUERY!BI:BI)</f>
        <v>0</v>
      </c>
      <c r="HI99" s="3" t="str">
        <f>_xlfn.XLOOKUP(B99,QUERY!$C:$C,QUERY!BJ:BJ)</f>
        <v>PAISES BAJOS (REINO DE LOS) (HOLANDA)</v>
      </c>
      <c r="HJ99" s="3" t="str">
        <f>_xlfn.XLOOKUP(B99,QUERY!$C:$C,QUERY!BK:BK)</f>
        <v>PAISES BAJOS (REINO DE LOS) (HOLANDA)</v>
      </c>
      <c r="HK99" s="3" t="str">
        <f>_xlfn.XLOOKUP(B99,QUERY!$C:$C,QUERY!BL:BL)</f>
        <v>ZYA</v>
      </c>
      <c r="HL99" s="3" t="str">
        <f>_xlfn.XLOOKUP(B99,QUERY!$C:$C,QUERY!BM:BM)</f>
        <v>ZYA</v>
      </c>
      <c r="HM99" s="3">
        <f>_xlfn.XLOOKUP(B99,QUERY!$C:$C,QUERY!BN:BN)</f>
        <v>17566160</v>
      </c>
      <c r="HN99" s="3" t="str">
        <f>_xlfn.XLOOKUP(B99,QUERY!$C:$C,QUERY!BO:BO)</f>
        <v>444.00</v>
      </c>
      <c r="HO99" s="3" t="str">
        <f>_xlfn.XLOOKUP(B99,QUERY!$C:$C,QUERY!BP:BP)</f>
        <v>NULL</v>
      </c>
      <c r="HP99" s="3" t="str">
        <f>_xlfn.XLOOKUP(B99,QUERY!$C:$C,QUERY!BQ:BQ)</f>
        <v>NULL</v>
      </c>
      <c r="HQ99" s="3" t="str">
        <f>_xlfn.XLOOKUP(B99,QUERY!$C:$C,QUERY!BR:BR)</f>
        <v>250436.84</v>
      </c>
      <c r="HR99" s="3">
        <f>_xlfn.XLOOKUP(B99,QUERY!$C:$C,QUERY!BS:BS)</f>
        <v>0</v>
      </c>
      <c r="HS99" s="3">
        <f>_xlfn.XLOOKUP(B99,QUERY!$C:$C,QUERY!BT:BT)</f>
        <v>0</v>
      </c>
      <c r="HT99" s="3" t="str">
        <f>_xlfn.XLOOKUP(B99,QUERY!$C:$C,QUERY!A:A)</f>
        <v>VERACRUZ</v>
      </c>
      <c r="HU99" s="3" t="str">
        <f>_xlfn.XLOOKUP(B99,QUERY!$C:$C,QUERY!B:B)</f>
        <v>MARÍTIMO VERACRUZ</v>
      </c>
    </row>
    <row r="100" spans="1:229" x14ac:dyDescent="0.25">
      <c r="A100" s="3" t="s">
        <v>90</v>
      </c>
      <c r="B100" s="3" t="s">
        <v>346</v>
      </c>
      <c r="C100" s="3">
        <v>3942</v>
      </c>
      <c r="D100" s="3">
        <v>6000421</v>
      </c>
      <c r="E100" s="3">
        <v>6000418</v>
      </c>
      <c r="F100" s="3" t="s">
        <v>92</v>
      </c>
      <c r="G100" s="3" t="s">
        <v>342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430</v>
      </c>
      <c r="S100" s="3" t="s">
        <v>258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270</v>
      </c>
      <c r="AB100" s="3"/>
      <c r="AC100" s="3">
        <v>1782756</v>
      </c>
      <c r="AD100" s="3">
        <v>825.35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/>
      <c r="AP100" s="3" t="s">
        <v>98</v>
      </c>
      <c r="AQ100" s="3">
        <v>210365022</v>
      </c>
      <c r="AR100" s="3" t="s">
        <v>99</v>
      </c>
      <c r="AS100" s="3" t="s">
        <v>100</v>
      </c>
      <c r="AT100" s="3">
        <v>0</v>
      </c>
      <c r="AU100" s="3">
        <v>0</v>
      </c>
      <c r="AV100" s="3">
        <v>0</v>
      </c>
      <c r="AW100" s="3">
        <v>30024201</v>
      </c>
      <c r="AX100" s="3">
        <v>99</v>
      </c>
      <c r="AY100" s="3">
        <v>2160</v>
      </c>
      <c r="AZ100" s="3">
        <v>2160</v>
      </c>
      <c r="BA100" s="3" t="s">
        <v>103</v>
      </c>
      <c r="BB100" s="3"/>
      <c r="BC100" s="3" t="s">
        <v>105</v>
      </c>
      <c r="BD100" s="3" t="s">
        <v>105</v>
      </c>
      <c r="BE100" s="3"/>
      <c r="BF100" s="3"/>
      <c r="BG100" s="5"/>
      <c r="BH100" s="3"/>
      <c r="BI100" s="3"/>
      <c r="BJ100" s="3"/>
      <c r="BK100" s="3" t="s">
        <v>300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 t="s">
        <v>192</v>
      </c>
      <c r="CF100" s="3">
        <v>0</v>
      </c>
      <c r="CG100" s="3">
        <v>0</v>
      </c>
      <c r="CH100" s="3">
        <v>0</v>
      </c>
      <c r="CI100" s="3" t="s">
        <v>112</v>
      </c>
      <c r="CJ100" s="3" t="s">
        <v>112</v>
      </c>
      <c r="CK100" s="3">
        <f>_xlfn.XLOOKUP($B$2,'BASE DE EXCEL'!C:C,'BASE DE EXCEL'!D:D,"NO HAY REFERENCIA")</f>
        <v>470</v>
      </c>
      <c r="CL100" s="5">
        <f>_xlfn.XLOOKUP($B$2,'BASE DE EXCEL'!$C:$C,'BASE DE EXCEL'!F:F,"NO HAY REFERENCIA")</f>
        <v>3</v>
      </c>
      <c r="CM100" s="4">
        <f>_xlfn.XLOOKUP($B$2,'BASE DE EXCEL'!$C:$C,'BASE DE EXCEL'!G:G,"NO HAY REFERENCIA")</f>
        <v>46080</v>
      </c>
      <c r="CN100" s="4">
        <f>_xlfn.XLOOKUP($B$2,'BASE DE EXCEL'!$C:$C,'BASE DE EXCEL'!H:H,"NO HAY REFERENCIA")</f>
        <v>46086</v>
      </c>
      <c r="CO100" s="3">
        <f>_xlfn.XLOOKUP($B$2,'BASE DE EXCEL'!$C:$C,'BASE DE EXCEL'!I:I,"NO HAY REFERENCIA")</f>
        <v>4</v>
      </c>
      <c r="CP100" s="3" t="str">
        <f>_xlfn.XLOOKUP($B$2,'BASE DE EXCEL'!$C:$C,'BASE DE EXCEL'!J:J,"NO HAY REFERENCIA")</f>
        <v>4 a 5 días</v>
      </c>
      <c r="CQ100" s="4">
        <f>_xlfn.XLOOKUP($B$2,'BASE DE EXCEL'!$C:$C,'BASE DE EXCEL'!K:K,"NO HAY REFERENCIA")</f>
        <v>46087</v>
      </c>
      <c r="CR100" s="3">
        <f>_xlfn.XLOOKUP($B$2,'BASE DE EXCEL'!$C:$C,'BASE DE EXCEL'!L:L,"NO HAY REFERENCIA")</f>
        <v>5</v>
      </c>
      <c r="CS100" s="3">
        <f>_xlfn.XLOOKUP($B$2,'BASE DE EXCEL'!$C:$C,'BASE DE EXCEL'!M:M,"NO HAY REFERENCIA")</f>
        <v>6</v>
      </c>
      <c r="CT100" s="3" t="str">
        <f>_xlfn.XLOOKUP($B$2,'BASE DE EXCEL'!$C:$C,'BASE DE EXCEL'!N:N,"NO HAY REFERENCIA")</f>
        <v>6 a 10 días</v>
      </c>
      <c r="CU100" s="3" t="str">
        <f>_xlfn.XLOOKUP($B$2,'BASE DE EXCEL'!$C:$C,'BASE DE EXCEL'!O:O,"NO HAY REFERENCIA")</f>
        <v>On Time</v>
      </c>
      <c r="CV100" s="3" t="str">
        <f>_xlfn.XLOOKUP(B100,'BASE DE EXCEL'!$C:$C,'BASE DE EXCEL'!P:P,"NO HAY REFERENCIA")</f>
        <v>16 o más días</v>
      </c>
      <c r="CW100" s="4">
        <f>_xlfn.XLOOKUP(B100,'BASE DE EXCEL'!$C:$C,'BASE DE EXCEL'!Q:Q,"NO HAY REFERENCIA")</f>
        <v>46086</v>
      </c>
      <c r="CX100" s="3">
        <f>_xlfn.XLOOKUP(B100,'BASE DE EXCEL'!$C:$C,'BASE DE EXCEL'!R:R,"NO HAY REFERENCIA")</f>
        <v>8</v>
      </c>
      <c r="CY100" s="3" t="str">
        <f>_xlfn.XLOOKUP(B100,'BASE DE EXCEL'!$C:$C,'BASE DE EXCEL'!S:S,"NO HAY REFERENCIA")</f>
        <v>6 a 10 días</v>
      </c>
      <c r="CZ100" s="3" t="str">
        <f>_xlfn.XLOOKUP(B100,'BASE DE EXCEL'!$C:$C,'BASE DE EXCEL'!T:T,"NO HAY REFERENCIA")</f>
        <v>Delayed</v>
      </c>
      <c r="DA100" s="3">
        <f>_xlfn.XLOOKUP(B100,'BASE DE EXCEL'!$C:$C,'BASE DE EXCEL'!U:U,"NO HAY REFERENCIA")</f>
        <v>0</v>
      </c>
      <c r="DB100" s="3" t="str">
        <f>_xlfn.XLOOKUP(B100,'BASE DE EXCEL'!$C:$C,'BASE DE EXCEL'!V:V,"NO HAY REFERENCIA")</f>
        <v>Sin Dato</v>
      </c>
      <c r="DC100" s="3">
        <f>_xlfn.XLOOKUP(B100,'BASE DE EXCEL'!$C:$C,'BASE DE EXCEL'!W:W,"NO HAY REFERENCIA")</f>
        <v>20</v>
      </c>
      <c r="DD100" s="3" t="str">
        <f>_xlfn.XLOOKUP(B100,'BASE DE EXCEL'!$C:$C,'BASE DE EXCEL'!X:X,"NO HAY REFERENCIA")</f>
        <v>más de 16 días</v>
      </c>
      <c r="DE100" s="3">
        <f>_xlfn.XLOOKUP(B100,'BASE DE EXCEL'!$C:$C,'BASE DE EXCEL'!Y:Y,"NO HAY REFERENCIA")</f>
        <v>0</v>
      </c>
      <c r="DF100" s="3" t="str">
        <f>_xlfn.XLOOKUP(B100,'BASE DE EXCEL'!$C:$C,'BASE DE EXCEL'!Z:Z,"NO HAY REFERENCIA")</f>
        <v>1 día o menos</v>
      </c>
      <c r="DG100" s="3">
        <f>_xlfn.XLOOKUP(B100,'BASE DE EXCEL'!$C:$C,'BASE DE EXCEL'!AA:AA,"NO HAY REFERENCIA")</f>
        <v>16</v>
      </c>
      <c r="DH100" s="3">
        <f>_xlfn.XLOOKUP(B100,'BASE DE EXCEL'!$C:$C,'BASE DE EXCEL'!AB:AB,"NO HAY REFERENCIA")</f>
        <v>-46091</v>
      </c>
      <c r="DI100" s="3" t="str">
        <f>_xlfn.XLOOKUP(B100,'BASE DE EXCEL'!$C:$C,'BASE DE EXCEL'!AC:AC,"NO HAY REFERENCIA")</f>
        <v>SIN DATO</v>
      </c>
      <c r="DJ100" s="4">
        <f>_xlfn.XLOOKUP(B100,'BASE DE EXCEL'!$C:$C,'BASE DE EXCEL'!AD:AD,"NO HAY REFERENCIA")</f>
        <v>46105</v>
      </c>
      <c r="DK100" s="3">
        <f>_xlfn.XLOOKUP(B100,'BASE DE EXCEL'!$C:$C,'BASE DE EXCEL'!AE:AE,"NO HAY REFERENCIA")</f>
        <v>46102</v>
      </c>
      <c r="DL100" s="3">
        <f>_xlfn.XLOOKUP(B100,'BASE DE EXCEL'!$C:$C,'BASE DE EXCEL'!AF:AF,"NO HAY REFERENCIA")</f>
        <v>32931</v>
      </c>
      <c r="DM100" s="4">
        <f>_xlfn.XLOOKUP(B100,'BASE DE EXCEL'!$C:$C,'BASE DE EXCEL'!AG:AG,"NO HAY REFERENCIA")</f>
        <v>46104</v>
      </c>
      <c r="DN100" s="4">
        <f>_xlfn.XLOOKUP(B100,'BASE DE EXCEL'!$C:$C,'BASE DE EXCEL'!AH:AH,"NO HAY REFERENCIA")</f>
        <v>46105</v>
      </c>
      <c r="DO100" s="3">
        <f>_xlfn.XLOOKUP(B100,'BASE DE EXCEL'!$C:$C,'BASE DE EXCEL'!AI:AI,"NO HAY REFERENCIA")</f>
        <v>1</v>
      </c>
      <c r="DP100" s="4" t="str">
        <f>_xlfn.XLOOKUP(B100,'BASE DE EXCEL'!$C:$C,'BASE DE EXCEL'!AJ:AJ,"NO HAY REFERENCIA")</f>
        <v>SIN DATO</v>
      </c>
      <c r="DQ100" s="4">
        <f>_xlfn.XLOOKUP(B100,'BASE DE EXCEL'!$C:$C,'BASE DE EXCEL'!AK:AK,"NO HAY REFERENCIA")</f>
        <v>46105</v>
      </c>
      <c r="DR100" s="3">
        <f>_xlfn.XLOOKUP(B100,'BASE DE EXCEL'!$C:$C,'BASE DE EXCEL'!AL:AL,"NO HAY REFERENCIA")</f>
        <v>13</v>
      </c>
      <c r="DS100" s="3" t="str">
        <f>_xlfn.XLOOKUP(B100,'BASE DE EXCEL'!$C:$C,'BASE DE EXCEL'!AM:AM,"NO HAY REFERENCIA")</f>
        <v>11 a 15 días</v>
      </c>
      <c r="DT100" s="3" t="str">
        <f>_xlfn.XLOOKUP(B100,'BASE DE EXCEL'!$C:$C,'BASE DE EXCEL'!AN:AN,"NO HAY REFERENCIA")</f>
        <v>Delayed</v>
      </c>
      <c r="DU100" s="3">
        <f>_xlfn.XLOOKUP(B100,'BASE DE EXCEL'!$C:$C,'BASE DE EXCEL'!AO:AO,"NO HAY REFERENCIA")</f>
        <v>0</v>
      </c>
      <c r="DV100" s="3" t="str">
        <f>_xlfn.XLOOKUP(B100,'BASE DE EXCEL'!$C:$C,'BASE DE EXCEL'!AP:AP,"NO HAY REFERENCIA")</f>
        <v>Es anterior</v>
      </c>
      <c r="DW100" s="3" t="str">
        <f>_xlfn.XLOOKUP(B100,'BASE DE EXCEL'!$C:$C,'BASE DE EXCEL'!AQ:AQ,"NO HAY REFERENCIA")</f>
        <v>R1</v>
      </c>
      <c r="DX100" s="3" t="str">
        <f>_xlfn.XLOOKUP(B100,'BASE DE EXCEL'!$C:$C,'BASE DE EXCEL'!AR:AR,"NO HAY REFERENCIA")</f>
        <v>ZULEIMA PEREZ RUIZ</v>
      </c>
      <c r="DY100" s="3" t="str">
        <f>_xlfn.XLOOKUP(B100,'BASE DE EXCEL'!$C:$C,'BASE DE EXCEL'!AS:AS,"NO HAY REFERENCIA")</f>
        <v>HLCURTM260162366</v>
      </c>
      <c r="DZ100" s="3" t="str">
        <f>_xlfn.XLOOKUP(B100,'BASE DE EXCEL'!$C:$C,'BASE DE EXCEL'!AT:AT,"NO HAY REFERENCIA")</f>
        <v>NULL</v>
      </c>
      <c r="EA100" s="3">
        <f>_xlfn.XLOOKUP(B100,'BASE DE EXCEL'!$C:$C,'BASE DE EXCEL'!AU:AU,"NO HAY REFERENCIA")</f>
        <v>6000421</v>
      </c>
      <c r="EB100" s="3" t="str">
        <f>_xlfn.XLOOKUP(B100,'BASE DE EXCEL'!$C:$C,'BASE DE EXCEL'!AV:AV,"NO HAY REFERENCIA")</f>
        <v>Importación</v>
      </c>
      <c r="EC100" s="3" t="str">
        <f>_xlfn.XLOOKUP(B100,'BASE DE EXCEL'!$C:$C,'BASE DE EXCEL'!AW:AW,"NO HAY REFERENCIA")</f>
        <v>NOBILIS MA5+CLONE 30 (VACUNA DE USO VETERINARIO)</v>
      </c>
      <c r="ED100" s="3" t="str">
        <f>_xlfn.XLOOKUP(B100,'BASE DE EXCEL'!$C:$C,'BASE DE EXCEL'!AX:AX,"NO HAY REFERENCIA")</f>
        <v>SIN CLASIFICACION</v>
      </c>
      <c r="EE100" s="3">
        <f>_xlfn.XLOOKUP(B100,'BASE DE EXCEL'!$C:$C,'BASE DE EXCEL'!AY:AY,"NO HAY REFERENCIA")</f>
        <v>0</v>
      </c>
      <c r="EF100" s="3" t="str">
        <f>_xlfn.XLOOKUP(B100,'BASE DE EXCEL'!$C:$C,'BASE DE EXCEL'!AZ:AZ,"NO HAY REFERENCIA")</f>
        <v>Cargas de Importación</v>
      </c>
      <c r="EG100" s="3" t="str">
        <f>_xlfn.XLOOKUP(B100,'BASE DE EXCEL'!$C:$C,'BASE DE EXCEL'!BA:BA,"NO HAY REFERENCIA")</f>
        <v>INTERVET MEXICO SA DE CV</v>
      </c>
      <c r="EH100" s="3">
        <f>_xlfn.XLOOKUP(B100,'BASE DE EXCEL'!$C:$C,'BASE DE EXCEL'!BB:BB,"NO HAY REFERENCIA")</f>
        <v>0</v>
      </c>
      <c r="EI100" s="3">
        <f>_xlfn.XLOOKUP(B100,'BASE DE EXCEL'!$C:$C,'BASE DE EXCEL'!BC:BC,"NO HAY REFERENCIA")</f>
        <v>0</v>
      </c>
      <c r="EJ100" s="3">
        <f>_xlfn.XLOOKUP(B100,'BASE DE EXCEL'!$C:$C,'BASE DE EXCEL'!BD:BD,"NO HAY REFERENCIA")</f>
        <v>0</v>
      </c>
      <c r="EK100" s="3">
        <f>_xlfn.XLOOKUP(B100,'BASE DE EXCEL'!$C:$C,'BASE DE EXCEL'!BE:BE,"NO HAY REFERENCIA")</f>
        <v>0</v>
      </c>
      <c r="EL100" s="3">
        <f>_xlfn.XLOOKUP(B100,'BASE DE EXCEL'!$C:$C,'BASE DE EXCEL'!BF:BF,"NO HAY REFERENCIA")</f>
        <v>0</v>
      </c>
      <c r="EM100" s="3" t="str">
        <f>_xlfn.XLOOKUP(B100,'BASE DE EXCEL'!$C:$C,'BASE DE EXCEL'!BG:BG,"NO HAY REFERENCIA")</f>
        <v>Verde</v>
      </c>
      <c r="EN100" s="3" t="str">
        <f>_xlfn.XLOOKUP(B100,'BASE DE EXCEL'!$C:$C,'BASE DE EXCEL'!BH:BH,"NO HAY REFERENCIA")</f>
        <v>NULL</v>
      </c>
      <c r="EO100" s="3">
        <f>_xlfn.XLOOKUP(B100,'BASE DE EXCEL'!$C:$C,'BASE DE EXCEL'!BI:BI,"NO HAY REFERENCIA")</f>
        <v>0</v>
      </c>
      <c r="EP100" s="3">
        <f>_xlfn.XLOOKUP(B100,'BASE DE EXCEL'!$C:$C,'BASE DE EXCEL'!BJ:BJ,"NO HAY REFERENCIA")</f>
        <v>0</v>
      </c>
      <c r="EQ100" s="3" t="str">
        <f>_xlfn.XLOOKUP(B100,'BASE DE EXCEL'!$C:$C,'BASE DE EXCEL'!BK:BK,"NO HAY REFERENCIA")</f>
        <v>IME850329RH2</v>
      </c>
      <c r="ER100" s="3">
        <f>_xlfn.XLOOKUP(B100,'BASE DE EXCEL'!$C:$C,'BASE DE EXCEL'!BL:BL,"NO HAY REFERENCIA")</f>
        <v>0</v>
      </c>
      <c r="ES100" s="3" t="str">
        <f>_xlfn.XLOOKUP(B100,'BASE DE EXCEL'!$C:$C,'BASE DE EXCEL'!BM:BM,"NO HAY REFERENCIA")</f>
        <v>00,99</v>
      </c>
      <c r="ET100" s="3" t="str">
        <f>_xlfn.XLOOKUP(B100,'BASE DE EXCEL'!$C:$C,'BASE DE EXCEL'!BN:BN,"NO HAY REFERENCIA")</f>
        <v>LOTE: SCBA207A11,LOTE: A053A01,LOTE: A224A01,LOTE: A142A01,LOTE: A247B01,LOTE: A436A02,LOTE: A198A02,LOTE: A489D01,LOTE: A061A01</v>
      </c>
      <c r="EU100" s="3">
        <f>_xlfn.XLOOKUP(B100,'BASE DE EXCEL'!$C:$C,'BASE DE EXCEL'!BO:BO,"NO HAY REFERENCIA")</f>
        <v>90</v>
      </c>
      <c r="EV100" s="3" t="str">
        <f>_xlfn.XLOOKUP(B100,'BASE DE EXCEL'!$C:$C,'BASE DE EXCEL'!BP:BP,"NO HAY REFERENCIA")</f>
        <v xml:space="preserve"> 321379.32, 13019554.91, 1145829.89, 3079396.80</v>
      </c>
      <c r="EW100" s="3" t="str">
        <f>_xlfn.XLOOKUP(B100,'BASE DE EXCEL'!$C:$C,'BASE DE EXCEL'!BQ:BQ,"NO HAY REFERENCIA")</f>
        <v>KILO,KILO,KILO,KILO,KILO,KILO,KILO,KILO,KILO</v>
      </c>
      <c r="EX100" s="3">
        <f>_xlfn.XLOOKUP(B100,'BASE DE EXCEL'!$C:$C,'BASE DE EXCEL'!BR:BR,"NO HAY REFERENCIA")</f>
        <v>0</v>
      </c>
      <c r="EY100" s="3" t="str">
        <f>_xlfn.XLOOKUP(B100,'BASE DE EXCEL'!$C:$C,'BASE DE EXCEL'!BS:BS,"NO HAY REFERENCIA")</f>
        <v>PAISES BAJOS (REINO DE LOS) (HOLANDA)</v>
      </c>
      <c r="EZ100" s="3" t="str">
        <f>_xlfn.XLOOKUP(B100,'BASE DE EXCEL'!$C:$C,'BASE DE EXCEL'!BT:BT,"NO HAY REFERENCIA")</f>
        <v>PAISES BAJOS (REINO DE LOS) (HOLANDA)</v>
      </c>
      <c r="FA100" s="3" t="str">
        <f>_xlfn.XLOOKUP(B100,'BASE DE EXCEL'!$C:$C,'BASE DE EXCEL'!BU:BU,"NO HAY REFERENCIA")</f>
        <v>ZYA</v>
      </c>
      <c r="FB100" s="3" t="str">
        <f>_xlfn.XLOOKUP(B100,'BASE DE EXCEL'!$C:$C,'BASE DE EXCEL'!BV:BV,"NO HAY REFERENCIA")</f>
        <v>ZYA</v>
      </c>
      <c r="FC100" s="3">
        <f>_xlfn.XLOOKUP(B100,QUERY!$C:$C,QUERY!D:D)</f>
        <v>430</v>
      </c>
      <c r="FD100" s="4">
        <f>_xlfn.XLOOKUP(B100,QUERY!$C:$C,QUERY!E:E)</f>
        <v>46093</v>
      </c>
      <c r="FE100" s="3">
        <f>_xlfn.XLOOKUP(B100,QUERY!$C:$C,QUERY!F:F)</f>
        <v>3</v>
      </c>
      <c r="FF100" s="4">
        <f>_xlfn.XLOOKUP(B100,QUERY!$C:$C,QUERY!G:G)</f>
        <v>46077</v>
      </c>
      <c r="FG100" s="4">
        <f>_xlfn.XLOOKUP(B100,QUERY!$C:$C,QUERY!H:H)</f>
        <v>46093</v>
      </c>
      <c r="FH100" s="3">
        <f>_xlfn.XLOOKUP(B100,QUERY!$C:$C,QUERY!I:I)</f>
        <v>12</v>
      </c>
      <c r="FI100" s="3" t="str">
        <f>_xlfn.XLOOKUP(B100,QUERY!$C:$C,QUERY!J:J)</f>
        <v>11 a 15 días</v>
      </c>
      <c r="FJ100" s="4">
        <f>_xlfn.XLOOKUP(B100,QUERY!$C:$C,QUERY!K:K)</f>
        <v>46093</v>
      </c>
      <c r="FK100" s="3">
        <f>_xlfn.XLOOKUP(B100,QUERY!$C:$C,QUERY!L:L)</f>
        <v>12</v>
      </c>
      <c r="FL100" s="3" t="str">
        <f>_xlfn.XLOOKUP(B100,QUERY!$C:$C,QUERY!M:M)</f>
        <v>11 a 15 días</v>
      </c>
      <c r="FM100" s="3">
        <f>_xlfn.XLOOKUP(B100,QUERY!$C:$C,QUERY!N:N)</f>
        <v>0</v>
      </c>
      <c r="FN100" s="3" t="str">
        <f>_xlfn.XLOOKUP(B100,QUERY!$C:$C,QUERY!O:O)</f>
        <v>1 día o menos</v>
      </c>
      <c r="FO100" s="3">
        <f>_xlfn.XLOOKUP(B100,QUERY!$C:$C,QUERY!P:P)</f>
        <v>0</v>
      </c>
      <c r="FP100" s="3">
        <f>_xlfn.XLOOKUP(B100,QUERY!$C:$C,QUERY!Q:Q)</f>
        <v>-2</v>
      </c>
      <c r="FQ100" s="3" t="str">
        <f>_xlfn.XLOOKUP(B100,QUERY!$C:$C,QUERY!R:R)</f>
        <v>Sin dato</v>
      </c>
      <c r="FR100" s="4">
        <f>_xlfn.XLOOKUP(B100,QUERY!$C:$C,QUERY!S:S)</f>
        <v>46091</v>
      </c>
      <c r="FS100" s="3">
        <f>_xlfn.XLOOKUP(B100,QUERY!$C:$C,QUERY!T:T)</f>
        <v>10</v>
      </c>
      <c r="FT100" s="3" t="str">
        <f>_xlfn.XLOOKUP(B100,QUERY!$C:$C,QUERY!U:U)</f>
        <v>6 a 10 días</v>
      </c>
      <c r="FU100" s="3">
        <f>_xlfn.XLOOKUP(B100,QUERY!$C:$C,QUERY!V:V)</f>
        <v>20</v>
      </c>
      <c r="FV100" s="3" t="str">
        <f>_xlfn.XLOOKUP(B100,QUERY!$C:$C,QUERY!W:W)</f>
        <v>más de 16 días</v>
      </c>
      <c r="FW100" s="4">
        <f>_xlfn.XLOOKUP(B100,QUERY!$C:$C,QUERY!X:X)</f>
        <v>46105</v>
      </c>
      <c r="FX100" s="3">
        <f>_xlfn.XLOOKUP(B100,QUERY!$C:$C,QUERY!Y:Y)</f>
        <v>9</v>
      </c>
      <c r="FY100" s="3">
        <f>_xlfn.XLOOKUP(B100,QUERY!$C:$C,QUERY!Z:Z)</f>
        <v>10</v>
      </c>
      <c r="FZ100" s="4" t="str">
        <f>_xlfn.XLOOKUP(B100,QUERY!$C:$C,QUERY!AA:AA)</f>
        <v>11 a 15 días</v>
      </c>
      <c r="GA100" s="4">
        <f>_xlfn.XLOOKUP(B100,QUERY!$C:$C,QUERY!AB:AB)</f>
        <v>46104</v>
      </c>
      <c r="GB100" s="4">
        <f>_xlfn.XLOOKUP(B100,QUERY!$C:$C,QUERY!AC:AC)</f>
        <v>46105</v>
      </c>
      <c r="GC100" s="3">
        <f>_xlfn.XLOOKUP(B100,QUERY!$C:$C,QUERY!AD:AD)</f>
        <v>1</v>
      </c>
      <c r="GD100" s="4">
        <f>_xlfn.XLOOKUP(B100,QUERY!$C:$C,QUERY!AE:AE)</f>
        <v>46105</v>
      </c>
      <c r="GE100" s="3">
        <f>_xlfn.XLOOKUP(B100,QUERY!$C:$C,QUERY!AF:AF)</f>
        <v>1</v>
      </c>
      <c r="GF100" s="4" t="str">
        <f>_xlfn.XLOOKUP(B100,QUERY!$C:$C,QUERY!AG:AG)</f>
        <v>Es anterior</v>
      </c>
      <c r="GG100" s="3" t="str">
        <f>_xlfn.XLOOKUP(B100,QUERY!$C:$C,QUERY!AH:AH)</f>
        <v>R1</v>
      </c>
      <c r="GH100" s="3" t="str">
        <f>_xlfn.XLOOKUP(B100,QUERY!$C:$C,QUERY!AI:AI)</f>
        <v>ZULEIMA PEREZ RUIZ</v>
      </c>
      <c r="GI100" s="3" t="str">
        <f>_xlfn.XLOOKUP(B100,QUERY!$C:$C,QUERY!AJ:AJ)</f>
        <v>HLCURTM260162366</v>
      </c>
      <c r="GJ100" s="3" t="str">
        <f>_xlfn.XLOOKUP(B100,QUERY!$C:$C,QUERY!AK:AK)</f>
        <v>NULL</v>
      </c>
      <c r="GK100" s="3">
        <f>_xlfn.XLOOKUP(B100,QUERY!$C:$C,QUERY!AL:AL)</f>
        <v>6000421</v>
      </c>
      <c r="GL100" s="3" t="str">
        <f>_xlfn.XLOOKUP(B100,QUERY!$C:$C,QUERY!AM:AM)</f>
        <v>Importación</v>
      </c>
      <c r="GM100" s="3" t="str">
        <f>_xlfn.XLOOKUP(B100,QUERY!$C:$C,QUERY!AN:AN)</f>
        <v>NOBILIS MA5+CLONE 30 (VACUNA DE USO VETERINARIO)</v>
      </c>
      <c r="GN100" s="3" t="str">
        <f>_xlfn.XLOOKUP(B100,QUERY!$C:$C,QUERY!AO:AO)</f>
        <v>SIN CLASIFICACION</v>
      </c>
      <c r="GO100" s="3">
        <f>_xlfn.XLOOKUP(B100,QUERY!$C:$C,QUERY!AP:AP)</f>
        <v>0</v>
      </c>
      <c r="GP100" s="3" t="str">
        <f>_xlfn.XLOOKUP(B100,QUERY!$C:$C,QUERY!AQ:AQ)</f>
        <v>Cargas de Importación</v>
      </c>
      <c r="GQ100" s="3" t="str">
        <f>_xlfn.XLOOKUP(B100,QUERY!$C:$C,QUERY!AR:AR)</f>
        <v>INTERVET MEXICO SA DE CV</v>
      </c>
      <c r="GR100" s="3">
        <f>_xlfn.XLOOKUP(B100,QUERY!$C:$C,QUERY!AS:AS)</f>
        <v>0</v>
      </c>
      <c r="GS100" s="3">
        <f>_xlfn.XLOOKUP(B100,QUERY!$C:$C,QUERY!AT:AT)</f>
        <v>0</v>
      </c>
      <c r="GT100" s="3">
        <f>_xlfn.XLOOKUP(B100,QUERY!$C:$C,QUERY!AU:AU)</f>
        <v>0</v>
      </c>
      <c r="GU100" s="3">
        <f>_xlfn.XLOOKUP(B100,QUERY!$C:$C,QUERY!AV:AV)</f>
        <v>0</v>
      </c>
      <c r="GV100" s="3">
        <f>_xlfn.XLOOKUP(B100,QUERY!$C:$C,QUERY!AW:AW)</f>
        <v>0</v>
      </c>
      <c r="GW100" s="3" t="str">
        <f>_xlfn.XLOOKUP(B100,QUERY!$C:$C,QUERY!AX:AX)</f>
        <v>Verde</v>
      </c>
      <c r="GX100" s="3" t="str">
        <f>_xlfn.XLOOKUP(B100,QUERY!$C:$C,QUERY!AY:AY)</f>
        <v>NULL</v>
      </c>
      <c r="GY100" s="3">
        <f>_xlfn.XLOOKUP(B100,QUERY!$C:$C,QUERY!AZ:AZ)</f>
        <v>0</v>
      </c>
      <c r="GZ100" s="3">
        <f>_xlfn.XLOOKUP(B100,QUERY!$C:$C,QUERY!BA:BA)</f>
        <v>0</v>
      </c>
      <c r="HA100" s="3" t="str">
        <f>_xlfn.XLOOKUP(B100,QUERY!$C:$C,QUERY!BB:BB)</f>
        <v>IME850329RH2</v>
      </c>
      <c r="HB100" s="3">
        <f>_xlfn.XLOOKUP(B100,QUERY!$C:$C,QUERY!BC:BC)</f>
        <v>0</v>
      </c>
      <c r="HC100" s="3">
        <f>_xlfn.XLOOKUP(B100,QUERY!$C:$C,QUERY!BD:BD)</f>
        <v>0.99</v>
      </c>
      <c r="HD100" s="3" t="str">
        <f>_xlfn.XLOOKUP(B100,QUERY!$C:$C,QUERY!BE:BE)</f>
        <v>LOTE: SCBA207A11,LOTE: A053A01,LOTE: A224A01,LOTE: A142A01,LOTE: A247B01,LOTE: A436A02,LOTE: A198A02,LOTE: A489D01,LOTE: A061A01</v>
      </c>
      <c r="HE100" s="3">
        <f>_xlfn.XLOOKUP(B100,QUERY!$C:$C,QUERY!BF:BF)</f>
        <v>90</v>
      </c>
      <c r="HF100" s="3" t="str">
        <f>_xlfn.XLOOKUP(B100,QUERY!$C:$C,QUERY!BG:BG)</f>
        <v xml:space="preserve"> 321379.32, 13019554.91, 1145829.89, 3079396.80</v>
      </c>
      <c r="HG100" s="3" t="str">
        <f>_xlfn.XLOOKUP(B100,QUERY!$C:$C,QUERY!BH:BH)</f>
        <v>KILO,KILO,KILO,KILO,KILO,KILO,KILO,KILO,KILO</v>
      </c>
      <c r="HH100" s="3">
        <f>_xlfn.XLOOKUP(B100,QUERY!$C:$C,QUERY!BI:BI)</f>
        <v>0</v>
      </c>
      <c r="HI100" s="3" t="str">
        <f>_xlfn.XLOOKUP(B100,QUERY!$C:$C,QUERY!BJ:BJ)</f>
        <v>PAISES BAJOS (REINO DE LOS) (HOLANDA)</v>
      </c>
      <c r="HJ100" s="3" t="str">
        <f>_xlfn.XLOOKUP(B100,QUERY!$C:$C,QUERY!BK:BK)</f>
        <v>PAISES BAJOS (REINO DE LOS) (HOLANDA)</v>
      </c>
      <c r="HK100" s="3" t="str">
        <f>_xlfn.XLOOKUP(B100,QUERY!$C:$C,QUERY!BL:BL)</f>
        <v>ZYA</v>
      </c>
      <c r="HL100" s="3" t="str">
        <f>_xlfn.XLOOKUP(B100,QUERY!$C:$C,QUERY!BM:BM)</f>
        <v>ZYA</v>
      </c>
      <c r="HM100" s="3">
        <f>_xlfn.XLOOKUP(B100,QUERY!$C:$C,QUERY!BN:BN)</f>
        <v>17566160</v>
      </c>
      <c r="HN100" s="3" t="str">
        <f>_xlfn.XLOOKUP(B100,QUERY!$C:$C,QUERY!BO:BO)</f>
        <v>444.00</v>
      </c>
      <c r="HO100" s="3" t="str">
        <f>_xlfn.XLOOKUP(B100,QUERY!$C:$C,QUERY!BP:BP)</f>
        <v>NULL</v>
      </c>
      <c r="HP100" s="3" t="str">
        <f>_xlfn.XLOOKUP(B100,QUERY!$C:$C,QUERY!BQ:BQ)</f>
        <v>NULL</v>
      </c>
      <c r="HQ100" s="3" t="str">
        <f>_xlfn.XLOOKUP(B100,QUERY!$C:$C,QUERY!BR:BR)</f>
        <v>250436.84</v>
      </c>
      <c r="HR100" s="3">
        <f>_xlfn.XLOOKUP(B100,QUERY!$C:$C,QUERY!BS:BS)</f>
        <v>0</v>
      </c>
      <c r="HS100" s="3">
        <f>_xlfn.XLOOKUP(B100,QUERY!$C:$C,QUERY!BT:BT)</f>
        <v>0</v>
      </c>
      <c r="HT100" s="3" t="str">
        <f>_xlfn.XLOOKUP(B100,QUERY!$C:$C,QUERY!A:A)</f>
        <v>VERACRUZ</v>
      </c>
      <c r="HU100" s="3" t="str">
        <f>_xlfn.XLOOKUP(B100,QUERY!$C:$C,QUERY!B:B)</f>
        <v>MARÍTIMO VERACRUZ</v>
      </c>
    </row>
    <row r="101" spans="1:229" x14ac:dyDescent="0.25">
      <c r="A101" s="3" t="s">
        <v>90</v>
      </c>
      <c r="B101" s="3" t="s">
        <v>312</v>
      </c>
      <c r="C101" s="3">
        <v>3942</v>
      </c>
      <c r="D101" s="3">
        <v>6000328</v>
      </c>
      <c r="E101" s="3"/>
      <c r="F101" s="3" t="s">
        <v>92</v>
      </c>
      <c r="G101" s="3" t="s">
        <v>93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</v>
      </c>
      <c r="O101" s="3">
        <v>532202</v>
      </c>
      <c r="P101" s="3">
        <v>17.677</v>
      </c>
      <c r="Q101" s="3">
        <v>1980</v>
      </c>
      <c r="R101" s="3">
        <v>430</v>
      </c>
      <c r="S101" s="3" t="s">
        <v>313</v>
      </c>
      <c r="T101" s="3" t="s">
        <v>95</v>
      </c>
      <c r="U101" s="3">
        <v>7747845</v>
      </c>
      <c r="V101" s="3">
        <v>7747845</v>
      </c>
      <c r="W101" s="3">
        <v>0</v>
      </c>
      <c r="X101" s="3">
        <v>0</v>
      </c>
      <c r="Y101" s="3">
        <v>0</v>
      </c>
      <c r="Z101" s="3">
        <v>0</v>
      </c>
      <c r="AA101" s="3" t="s">
        <v>256</v>
      </c>
      <c r="AB101" s="3"/>
      <c r="AC101" s="3">
        <v>5322024</v>
      </c>
      <c r="AD101" s="3">
        <v>164.26</v>
      </c>
      <c r="AE101" s="3">
        <v>354</v>
      </c>
      <c r="AF101" s="3">
        <v>10</v>
      </c>
      <c r="AG101" s="3">
        <v>532202</v>
      </c>
      <c r="AH101" s="3">
        <v>0</v>
      </c>
      <c r="AI101" s="3">
        <v>53</v>
      </c>
      <c r="AJ101" s="3">
        <v>42576</v>
      </c>
      <c r="AK101" s="3">
        <v>0</v>
      </c>
      <c r="AL101" s="3">
        <v>0</v>
      </c>
      <c r="AM101" s="3">
        <v>330</v>
      </c>
      <c r="AN101" s="3">
        <v>575161</v>
      </c>
      <c r="AO101" s="3" t="s">
        <v>97</v>
      </c>
      <c r="AP101" s="3" t="s">
        <v>98</v>
      </c>
      <c r="AQ101" s="3">
        <v>210366707</v>
      </c>
      <c r="AR101" s="3" t="s">
        <v>307</v>
      </c>
      <c r="AS101" s="3" t="s">
        <v>100</v>
      </c>
      <c r="AT101" s="3" t="s">
        <v>314</v>
      </c>
      <c r="AU101" s="3"/>
      <c r="AV101" s="3" t="s">
        <v>102</v>
      </c>
      <c r="AW101" s="3">
        <v>30049099</v>
      </c>
      <c r="AX101" s="3">
        <v>99</v>
      </c>
      <c r="AY101" s="3">
        <v>32400</v>
      </c>
      <c r="AZ101" s="3">
        <v>32400</v>
      </c>
      <c r="BA101" s="3" t="s">
        <v>103</v>
      </c>
      <c r="BB101" s="3"/>
      <c r="BC101" s="3" t="s">
        <v>133</v>
      </c>
      <c r="BD101" s="3" t="s">
        <v>105</v>
      </c>
      <c r="BE101" s="3" t="s">
        <v>106</v>
      </c>
      <c r="BF101" s="3"/>
      <c r="BG101" s="5"/>
      <c r="BH101" s="3"/>
      <c r="BI101" s="3"/>
      <c r="BJ101" s="3" t="s">
        <v>109</v>
      </c>
      <c r="BK101" s="3" t="s">
        <v>315</v>
      </c>
      <c r="BL101" s="3">
        <v>43973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22189.59</v>
      </c>
      <c r="BY101" s="3">
        <v>0</v>
      </c>
      <c r="BZ101" s="3">
        <v>0</v>
      </c>
      <c r="CA101" s="3">
        <v>0</v>
      </c>
      <c r="CB101" s="3">
        <v>11812.86</v>
      </c>
      <c r="CC101" s="3">
        <v>2013.26</v>
      </c>
      <c r="CD101" s="3">
        <v>129344.57</v>
      </c>
      <c r="CE101" s="3" t="s">
        <v>192</v>
      </c>
      <c r="CF101" s="3">
        <v>129344.57</v>
      </c>
      <c r="CG101" s="3">
        <v>0</v>
      </c>
      <c r="CH101" s="3">
        <v>0</v>
      </c>
      <c r="CI101" s="3" t="s">
        <v>112</v>
      </c>
      <c r="CJ101" s="3" t="s">
        <v>112</v>
      </c>
      <c r="CK101" s="3">
        <f>_xlfn.XLOOKUP($B$2,'BASE DE EXCEL'!C:C,'BASE DE EXCEL'!D:D,"NO HAY REFERENCIA")</f>
        <v>470</v>
      </c>
      <c r="CL101" s="5">
        <f>_xlfn.XLOOKUP($B$2,'BASE DE EXCEL'!$C:$C,'BASE DE EXCEL'!F:F,"NO HAY REFERENCIA")</f>
        <v>3</v>
      </c>
      <c r="CM101" s="4">
        <f>_xlfn.XLOOKUP($B$2,'BASE DE EXCEL'!$C:$C,'BASE DE EXCEL'!G:G,"NO HAY REFERENCIA")</f>
        <v>46080</v>
      </c>
      <c r="CN101" s="4">
        <f>_xlfn.XLOOKUP($B$2,'BASE DE EXCEL'!$C:$C,'BASE DE EXCEL'!H:H,"NO HAY REFERENCIA")</f>
        <v>46086</v>
      </c>
      <c r="CO101" s="3">
        <f>_xlfn.XLOOKUP($B$2,'BASE DE EXCEL'!$C:$C,'BASE DE EXCEL'!I:I,"NO HAY REFERENCIA")</f>
        <v>4</v>
      </c>
      <c r="CP101" s="3" t="str">
        <f>_xlfn.XLOOKUP($B$2,'BASE DE EXCEL'!$C:$C,'BASE DE EXCEL'!J:J,"NO HAY REFERENCIA")</f>
        <v>4 a 5 días</v>
      </c>
      <c r="CQ101" s="4">
        <f>_xlfn.XLOOKUP($B$2,'BASE DE EXCEL'!$C:$C,'BASE DE EXCEL'!K:K,"NO HAY REFERENCIA")</f>
        <v>46087</v>
      </c>
      <c r="CR101" s="3">
        <f>_xlfn.XLOOKUP($B$2,'BASE DE EXCEL'!$C:$C,'BASE DE EXCEL'!L:L,"NO HAY REFERENCIA")</f>
        <v>5</v>
      </c>
      <c r="CS101" s="3">
        <f>_xlfn.XLOOKUP($B$2,'BASE DE EXCEL'!$C:$C,'BASE DE EXCEL'!M:M,"NO HAY REFERENCIA")</f>
        <v>6</v>
      </c>
      <c r="CT101" s="3" t="str">
        <f>_xlfn.XLOOKUP($B$2,'BASE DE EXCEL'!$C:$C,'BASE DE EXCEL'!N:N,"NO HAY REFERENCIA")</f>
        <v>6 a 10 días</v>
      </c>
      <c r="CU101" s="3" t="str">
        <f>_xlfn.XLOOKUP($B$2,'BASE DE EXCEL'!$C:$C,'BASE DE EXCEL'!O:O,"NO HAY REFERENCIA")</f>
        <v>On Time</v>
      </c>
      <c r="CV101" s="3" t="str">
        <f>_xlfn.XLOOKUP(B101,'BASE DE EXCEL'!$C:$C,'BASE DE EXCEL'!P:P,"NO HAY REFERENCIA")</f>
        <v>2 a 3 días</v>
      </c>
      <c r="CW101" s="4">
        <f>_xlfn.XLOOKUP(B101,'BASE DE EXCEL'!$C:$C,'BASE DE EXCEL'!Q:Q,"NO HAY REFERENCIA")</f>
        <v>46094</v>
      </c>
      <c r="CX101" s="3">
        <f>_xlfn.XLOOKUP(B101,'BASE DE EXCEL'!$C:$C,'BASE DE EXCEL'!R:R,"NO HAY REFERENCIA")</f>
        <v>5</v>
      </c>
      <c r="CY101" s="3" t="str">
        <f>_xlfn.XLOOKUP(B101,'BASE DE EXCEL'!$C:$C,'BASE DE EXCEL'!S:S,"NO HAY REFERENCIA")</f>
        <v>4 a 5 días</v>
      </c>
      <c r="CZ101" s="3" t="str">
        <f>_xlfn.XLOOKUP(B101,'BASE DE EXCEL'!$C:$C,'BASE DE EXCEL'!T:T,"NO HAY REFERENCIA")</f>
        <v>On Time</v>
      </c>
      <c r="DA101" s="3">
        <f>_xlfn.XLOOKUP(B101,'BASE DE EXCEL'!$C:$C,'BASE DE EXCEL'!U:U,"NO HAY REFERENCIA")</f>
        <v>0</v>
      </c>
      <c r="DB101" s="3" t="str">
        <f>_xlfn.XLOOKUP(B101,'BASE DE EXCEL'!$C:$C,'BASE DE EXCEL'!V:V,"NO HAY REFERENCIA")</f>
        <v>Sin Dato</v>
      </c>
      <c r="DC101" s="3">
        <f>_xlfn.XLOOKUP(B101,'BASE DE EXCEL'!$C:$C,'BASE DE EXCEL'!W:W,"NO HAY REFERENCIA")</f>
        <v>10</v>
      </c>
      <c r="DD101" s="3" t="str">
        <f>_xlfn.XLOOKUP(B101,'BASE DE EXCEL'!$C:$C,'BASE DE EXCEL'!X:X,"NO HAY REFERENCIA")</f>
        <v>6 a 10 días</v>
      </c>
      <c r="DE101" s="3">
        <f>_xlfn.XLOOKUP(B101,'BASE DE EXCEL'!$C:$C,'BASE DE EXCEL'!Y:Y,"NO HAY REFERENCIA")</f>
        <v>1</v>
      </c>
      <c r="DF101" s="3" t="str">
        <f>_xlfn.XLOOKUP(B101,'BASE DE EXCEL'!$C:$C,'BASE DE EXCEL'!Z:Z,"NO HAY REFERENCIA")</f>
        <v>1 día o menos</v>
      </c>
      <c r="DG101" s="3">
        <f>_xlfn.XLOOKUP(B101,'BASE DE EXCEL'!$C:$C,'BASE DE EXCEL'!AA:AA,"NO HAY REFERENCIA")</f>
        <v>2</v>
      </c>
      <c r="DH101" s="3">
        <f>_xlfn.XLOOKUP(B101,'BASE DE EXCEL'!$C:$C,'BASE DE EXCEL'!AB:AB,"NO HAY REFERENCIA")</f>
        <v>-46091</v>
      </c>
      <c r="DI101" s="3" t="str">
        <f>_xlfn.XLOOKUP(B101,'BASE DE EXCEL'!$C:$C,'BASE DE EXCEL'!AC:AC,"NO HAY REFERENCIA")</f>
        <v>SIN DATO</v>
      </c>
      <c r="DJ101" s="4">
        <f>_xlfn.XLOOKUP(B101,'BASE DE EXCEL'!$C:$C,'BASE DE EXCEL'!AD:AD,"NO HAY REFERENCIA")</f>
        <v>46104</v>
      </c>
      <c r="DK101" s="3">
        <f>_xlfn.XLOOKUP(B101,'BASE DE EXCEL'!$C:$C,'BASE DE EXCEL'!AE:AE,"NO HAY REFERENCIA")</f>
        <v>46102</v>
      </c>
      <c r="DL101" s="3">
        <f>_xlfn.XLOOKUP(B101,'BASE DE EXCEL'!$C:$C,'BASE DE EXCEL'!AF:AF,"NO HAY REFERENCIA")</f>
        <v>32930</v>
      </c>
      <c r="DM101" s="4">
        <f>_xlfn.XLOOKUP(B101,'BASE DE EXCEL'!$C:$C,'BASE DE EXCEL'!AG:AG,"NO HAY REFERENCIA")</f>
        <v>46104</v>
      </c>
      <c r="DN101" s="4">
        <f>_xlfn.XLOOKUP(B101,'BASE DE EXCEL'!$C:$C,'BASE DE EXCEL'!AH:AH,"NO HAY REFERENCIA")</f>
        <v>46104</v>
      </c>
      <c r="DO101" s="3">
        <f>_xlfn.XLOOKUP(B101,'BASE DE EXCEL'!$C:$C,'BASE DE EXCEL'!AI:AI,"NO HAY REFERENCIA")</f>
        <v>0</v>
      </c>
      <c r="DP101" s="4" t="str">
        <f>_xlfn.XLOOKUP(B101,'BASE DE EXCEL'!$C:$C,'BASE DE EXCEL'!AJ:AJ,"NO HAY REFERENCIA")</f>
        <v>SIN DATO</v>
      </c>
      <c r="DQ101" s="4">
        <f>_xlfn.XLOOKUP(B101,'BASE DE EXCEL'!$C:$C,'BASE DE EXCEL'!AK:AK,"NO HAY REFERENCIA")</f>
        <v>46104</v>
      </c>
      <c r="DR101" s="3">
        <f>_xlfn.XLOOKUP(B101,'BASE DE EXCEL'!$C:$C,'BASE DE EXCEL'!AL:AL,"NO HAY REFERENCIA")</f>
        <v>6</v>
      </c>
      <c r="DS101" s="3" t="str">
        <f>_xlfn.XLOOKUP(B101,'BASE DE EXCEL'!$C:$C,'BASE DE EXCEL'!AM:AM,"NO HAY REFERENCIA")</f>
        <v>6 a 10 días</v>
      </c>
      <c r="DT101" s="3" t="str">
        <f>_xlfn.XLOOKUP(B101,'BASE DE EXCEL'!$C:$C,'BASE DE EXCEL'!AN:AN,"NO HAY REFERENCIA")</f>
        <v>On Time</v>
      </c>
      <c r="DU101" s="3">
        <f>_xlfn.XLOOKUP(B101,'BASE DE EXCEL'!$C:$C,'BASE DE EXCEL'!AO:AO,"NO HAY REFERENCIA")</f>
        <v>0</v>
      </c>
      <c r="DV101" s="3" t="str">
        <f>_xlfn.XLOOKUP(B101,'BASE DE EXCEL'!$C:$C,'BASE DE EXCEL'!AP:AP,"NO HAY REFERENCIA")</f>
        <v>Es anterior</v>
      </c>
      <c r="DW101" s="3" t="str">
        <f>_xlfn.XLOOKUP(B101,'BASE DE EXCEL'!$C:$C,'BASE DE EXCEL'!AQ:AQ,"NO HAY REFERENCIA")</f>
        <v>A1</v>
      </c>
      <c r="DX101" s="3" t="str">
        <f>_xlfn.XLOOKUP(B101,'BASE DE EXCEL'!$C:$C,'BASE DE EXCEL'!AR:AR,"NO HAY REFERENCIA")</f>
        <v>ZULEIMA PEREZ RUIZ</v>
      </c>
      <c r="DY101" s="3" t="str">
        <f>_xlfn.XLOOKUP(B101,'BASE DE EXCEL'!$C:$C,'BASE DE EXCEL'!AS:AS,"NO HAY REFERENCIA")</f>
        <v>HLCUHAM260250700</v>
      </c>
      <c r="DZ101" s="3" t="str">
        <f>_xlfn.XLOOKUP(B101,'BASE DE EXCEL'!$C:$C,'BASE DE EXCEL'!AT:AT,"NO HAY REFERENCIA")</f>
        <v>NULL</v>
      </c>
      <c r="EA101" s="3">
        <f>_xlfn.XLOOKUP(B101,'BASE DE EXCEL'!$C:$C,'BASE DE EXCEL'!AU:AU,"NO HAY REFERENCIA")</f>
        <v>6000328</v>
      </c>
      <c r="EB101" s="3" t="str">
        <f>_xlfn.XLOOKUP(B101,'BASE DE EXCEL'!$C:$C,'BASE DE EXCEL'!AV:AV,"NO HAY REFERENCIA")</f>
        <v>Importación</v>
      </c>
      <c r="EC101" s="3" t="str">
        <f>_xlfn.XLOOKUP(B101,'BASE DE EXCEL'!$C:$C,'BASE DE EXCEL'!AW:AW,"NO HAY REFERENCIA")</f>
        <v>BRAVECTO 500 MG (MEDICAMENTO DOSIFICADO DE USO VETERINARIO)</v>
      </c>
      <c r="ED101" s="3" t="str">
        <f>_xlfn.XLOOKUP(B101,'BASE DE EXCEL'!$C:$C,'BASE DE EXCEL'!AX:AX,"NO HAY REFERENCIA")</f>
        <v>SIN CLASIFICACION</v>
      </c>
      <c r="EE101" s="3">
        <f>_xlfn.XLOOKUP(B101,'BASE DE EXCEL'!$C:$C,'BASE DE EXCEL'!AY:AY,"NO HAY REFERENCIA")</f>
        <v>0</v>
      </c>
      <c r="EF101" s="3" t="str">
        <f>_xlfn.XLOOKUP(B101,'BASE DE EXCEL'!$C:$C,'BASE DE EXCEL'!AZ:AZ,"NO HAY REFERENCIA")</f>
        <v>Cargas de Importación</v>
      </c>
      <c r="EG101" s="3" t="str">
        <f>_xlfn.XLOOKUP(B101,'BASE DE EXCEL'!$C:$C,'BASE DE EXCEL'!BA:BA,"NO HAY REFERENCIA")</f>
        <v>INTERVET MEXICO SA DE CV</v>
      </c>
      <c r="EH101" s="3">
        <f>_xlfn.XLOOKUP(B101,'BASE DE EXCEL'!$C:$C,'BASE DE EXCEL'!BB:BB,"NO HAY REFERENCIA")</f>
        <v>0</v>
      </c>
      <c r="EI101" s="3">
        <f>_xlfn.XLOOKUP(B101,'BASE DE EXCEL'!$C:$C,'BASE DE EXCEL'!BC:BC,"NO HAY REFERENCIA")</f>
        <v>0</v>
      </c>
      <c r="EJ101" s="3">
        <f>_xlfn.XLOOKUP(B101,'BASE DE EXCEL'!$C:$C,'BASE DE EXCEL'!BD:BD,"NO HAY REFERENCIA")</f>
        <v>0</v>
      </c>
      <c r="EK101" s="3">
        <f>_xlfn.XLOOKUP(B101,'BASE DE EXCEL'!$C:$C,'BASE DE EXCEL'!BE:BE,"NO HAY REFERENCIA")</f>
        <v>0</v>
      </c>
      <c r="EL101" s="3" t="str">
        <f>_xlfn.XLOOKUP(B101,'BASE DE EXCEL'!$C:$C,'BASE DE EXCEL'!BF:BF,"NO HAY REFERENCIA")</f>
        <v>PRODUCTO TERMINADO</v>
      </c>
      <c r="EM101" s="3" t="str">
        <f>_xlfn.XLOOKUP(B101,'BASE DE EXCEL'!$C:$C,'BASE DE EXCEL'!BG:BG,"NO HAY REFERENCIA")</f>
        <v>Verde</v>
      </c>
      <c r="EN101" s="3" t="str">
        <f>_xlfn.XLOOKUP(B101,'BASE DE EXCEL'!$C:$C,'BASE DE EXCEL'!BH:BH,"NO HAY REFERENCIA")</f>
        <v xml:space="preserve"> SUPER EXPRESS DE CARGA FEDERAL S.A. DE C.V.</v>
      </c>
      <c r="EO101" s="3">
        <f>_xlfn.XLOOKUP(B101,'BASE DE EXCEL'!$C:$C,'BASE DE EXCEL'!BI:BI,"NO HAY REFERENCIA")</f>
        <v>0</v>
      </c>
      <c r="EP101" s="3" t="str">
        <f>_xlfn.XLOOKUP(B101,'BASE DE EXCEL'!$C:$C,'BASE DE EXCEL'!BJ:BJ,"NO HAY REFERENCIA")</f>
        <v>IME-T006</v>
      </c>
      <c r="EQ101" s="3" t="str">
        <f>_xlfn.XLOOKUP(B101,'BASE DE EXCEL'!$C:$C,'BASE DE EXCEL'!BK:BK,"NO HAY REFERENCIA")</f>
        <v>IME850329RH2</v>
      </c>
      <c r="ER101" s="3">
        <f>_xlfn.XLOOKUP(B101,'BASE DE EXCEL'!$C:$C,'BASE DE EXCEL'!BL:BL,"NO HAY REFERENCIA")</f>
        <v>0</v>
      </c>
      <c r="ES101" s="3">
        <f>_xlfn.XLOOKUP(B101,'BASE DE EXCEL'!$C:$C,'BASE DE EXCEL'!BM:BM,"NO HAY REFERENCIA")</f>
        <v>99</v>
      </c>
      <c r="ET101" s="3" t="str">
        <f>_xlfn.XLOOKUP(B101,'BASE DE EXCEL'!$C:$C,'BASE DE EXCEL'!BN:BN,"NO HAY REFERENCIA")</f>
        <v>LOTE: 25M3082C01,LOTE: 25F2003AC1</v>
      </c>
      <c r="EU101" s="3">
        <f>_xlfn.XLOOKUP(B101,'BASE DE EXCEL'!$C:$C,'BASE DE EXCEL'!BO:BO,"NO HAY REFERENCIA")</f>
        <v>90</v>
      </c>
      <c r="EV101" s="3">
        <f>_xlfn.XLOOKUP(B101,'BASE DE EXCEL'!$C:$C,'BASE DE EXCEL'!BP:BP,"NO HAY REFERENCIA")</f>
        <v>7747845.5</v>
      </c>
      <c r="EW101" s="3" t="str">
        <f>_xlfn.XLOOKUP(B101,'BASE DE EXCEL'!$C:$C,'BASE DE EXCEL'!BQ:BQ,"NO HAY REFERENCIA")</f>
        <v>KILO,KILO</v>
      </c>
      <c r="EX101" s="3">
        <f>_xlfn.XLOOKUP(B101,'BASE DE EXCEL'!$C:$C,'BASE DE EXCEL'!BR:BR,"NO HAY REFERENCIA")</f>
        <v>0</v>
      </c>
      <c r="EY101" s="3" t="str">
        <f>_xlfn.XLOOKUP(B101,'BASE DE EXCEL'!$C:$C,'BASE DE EXCEL'!BS:BS,"NO HAY REFERENCIA")</f>
        <v>AUSTRIA (REPUBLICA DE)</v>
      </c>
      <c r="EZ101" s="3" t="str">
        <f>_xlfn.XLOOKUP(B101,'BASE DE EXCEL'!$C:$C,'BASE DE EXCEL'!BT:BT,"NO HAY REFERENCIA")</f>
        <v>PAISES BAJOS (REINO DE LOS) (HOLANDA)</v>
      </c>
      <c r="FA101" s="3" t="str">
        <f>_xlfn.XLOOKUP(B101,'BASE DE EXCEL'!$C:$C,'BASE DE EXCEL'!BU:BU,"NO HAY REFERENCIA")</f>
        <v>AUT</v>
      </c>
      <c r="FB101" s="3" t="str">
        <f>_xlfn.XLOOKUP(B101,'BASE DE EXCEL'!$C:$C,'BASE DE EXCEL'!BV:BV,"NO HAY REFERENCIA")</f>
        <v>ZYA</v>
      </c>
      <c r="FC101" s="3">
        <f>_xlfn.XLOOKUP(B101,QUERY!$C:$C,QUERY!D:D)</f>
        <v>430</v>
      </c>
      <c r="FD101" s="4">
        <f>_xlfn.XLOOKUP(B101,QUERY!$C:$C,QUERY!E:E)</f>
        <v>46092</v>
      </c>
      <c r="FE101" s="3">
        <f>_xlfn.XLOOKUP(B101,QUERY!$C:$C,QUERY!F:F)</f>
        <v>3</v>
      </c>
      <c r="FF101" s="4">
        <f>_xlfn.XLOOKUP(B101,QUERY!$C:$C,QUERY!G:G)</f>
        <v>46090</v>
      </c>
      <c r="FG101" s="4">
        <f>_xlfn.XLOOKUP(B101,QUERY!$C:$C,QUERY!H:H)</f>
        <v>46092</v>
      </c>
      <c r="FH101" s="3">
        <f>_xlfn.XLOOKUP(B101,QUERY!$C:$C,QUERY!I:I)</f>
        <v>2</v>
      </c>
      <c r="FI101" s="3" t="str">
        <f>_xlfn.XLOOKUP(B101,QUERY!$C:$C,QUERY!J:J)</f>
        <v>2 a 3 días</v>
      </c>
      <c r="FJ101" s="4">
        <f>_xlfn.XLOOKUP(B101,QUERY!$C:$C,QUERY!K:K)</f>
        <v>46093</v>
      </c>
      <c r="FK101" s="3">
        <f>_xlfn.XLOOKUP(B101,QUERY!$C:$C,QUERY!L:L)</f>
        <v>3</v>
      </c>
      <c r="FL101" s="3" t="str">
        <f>_xlfn.XLOOKUP(B101,QUERY!$C:$C,QUERY!M:M)</f>
        <v>2 a 3 días</v>
      </c>
      <c r="FM101" s="3">
        <f>_xlfn.XLOOKUP(B101,QUERY!$C:$C,QUERY!N:N)</f>
        <v>1</v>
      </c>
      <c r="FN101" s="3" t="str">
        <f>_xlfn.XLOOKUP(B101,QUERY!$C:$C,QUERY!O:O)</f>
        <v>1 día o menos</v>
      </c>
      <c r="FO101" s="3">
        <f>_xlfn.XLOOKUP(B101,QUERY!$C:$C,QUERY!P:P)</f>
        <v>1</v>
      </c>
      <c r="FP101" s="3">
        <f>_xlfn.XLOOKUP(B101,QUERY!$C:$C,QUERY!Q:Q)</f>
        <v>1</v>
      </c>
      <c r="FQ101" s="3" t="str">
        <f>_xlfn.XLOOKUP(B101,QUERY!$C:$C,QUERY!R:R)</f>
        <v>1 día o menos</v>
      </c>
      <c r="FR101" s="4">
        <f>_xlfn.XLOOKUP(B101,QUERY!$C:$C,QUERY!S:S)</f>
        <v>46094</v>
      </c>
      <c r="FS101" s="3">
        <f>_xlfn.XLOOKUP(B101,QUERY!$C:$C,QUERY!T:T)</f>
        <v>4</v>
      </c>
      <c r="FT101" s="3" t="str">
        <f>_xlfn.XLOOKUP(B101,QUERY!$C:$C,QUERY!U:U)</f>
        <v>4 a 5 días</v>
      </c>
      <c r="FU101" s="3">
        <f>_xlfn.XLOOKUP(B101,QUERY!$C:$C,QUERY!V:V)</f>
        <v>10</v>
      </c>
      <c r="FV101" s="3" t="str">
        <f>_xlfn.XLOOKUP(B101,QUERY!$C:$C,QUERY!W:W)</f>
        <v>6 a 10 días</v>
      </c>
      <c r="FW101" s="4">
        <f>_xlfn.XLOOKUP(B101,QUERY!$C:$C,QUERY!X:X)</f>
        <v>46104</v>
      </c>
      <c r="FX101" s="3">
        <f>_xlfn.XLOOKUP(B101,QUERY!$C:$C,QUERY!Y:Y)</f>
        <v>6</v>
      </c>
      <c r="FY101" s="3">
        <f>_xlfn.XLOOKUP(B101,QUERY!$C:$C,QUERY!Z:Z)</f>
        <v>6</v>
      </c>
      <c r="FZ101" s="4" t="str">
        <f>_xlfn.XLOOKUP(B101,QUERY!$C:$C,QUERY!AA:AA)</f>
        <v>6 a 10 días</v>
      </c>
      <c r="GA101" s="4">
        <f>_xlfn.XLOOKUP(B101,QUERY!$C:$C,QUERY!AB:AB)</f>
        <v>46104</v>
      </c>
      <c r="GB101" s="4">
        <f>_xlfn.XLOOKUP(B101,QUERY!$C:$C,QUERY!AC:AC)</f>
        <v>46104</v>
      </c>
      <c r="GC101" s="3">
        <f>_xlfn.XLOOKUP(B101,QUERY!$C:$C,QUERY!AD:AD)</f>
        <v>0</v>
      </c>
      <c r="GD101" s="4">
        <f>_xlfn.XLOOKUP(B101,QUERY!$C:$C,QUERY!AE:AE)</f>
        <v>46104</v>
      </c>
      <c r="GE101" s="3">
        <f>_xlfn.XLOOKUP(B101,QUERY!$C:$C,QUERY!AF:AF)</f>
        <v>1</v>
      </c>
      <c r="GF101" s="4" t="str">
        <f>_xlfn.XLOOKUP(B101,QUERY!$C:$C,QUERY!AG:AG)</f>
        <v>Es anterior</v>
      </c>
      <c r="GG101" s="3" t="str">
        <f>_xlfn.XLOOKUP(B101,QUERY!$C:$C,QUERY!AH:AH)</f>
        <v>A1</v>
      </c>
      <c r="GH101" s="3" t="str">
        <f>_xlfn.XLOOKUP(B101,QUERY!$C:$C,QUERY!AI:AI)</f>
        <v>ZULEIMA PEREZ RUIZ</v>
      </c>
      <c r="GI101" s="3" t="str">
        <f>_xlfn.XLOOKUP(B101,QUERY!$C:$C,QUERY!AJ:AJ)</f>
        <v>HLCUHAM260250700</v>
      </c>
      <c r="GJ101" s="3" t="str">
        <f>_xlfn.XLOOKUP(B101,QUERY!$C:$C,QUERY!AK:AK)</f>
        <v>NULL</v>
      </c>
      <c r="GK101" s="3">
        <f>_xlfn.XLOOKUP(B101,QUERY!$C:$C,QUERY!AL:AL)</f>
        <v>6000328</v>
      </c>
      <c r="GL101" s="3" t="str">
        <f>_xlfn.XLOOKUP(B101,QUERY!$C:$C,QUERY!AM:AM)</f>
        <v>Importación</v>
      </c>
      <c r="GM101" s="3" t="str">
        <f>_xlfn.XLOOKUP(B101,QUERY!$C:$C,QUERY!AN:AN)</f>
        <v>BRAVECTO 500 MG (MEDICAMENTO DOSIFICADO DE USO VETERINARIO)</v>
      </c>
      <c r="GN101" s="3" t="str">
        <f>_xlfn.XLOOKUP(B101,QUERY!$C:$C,QUERY!AO:AO)</f>
        <v>SIN CLASIFICACION</v>
      </c>
      <c r="GO101" s="3">
        <f>_xlfn.XLOOKUP(B101,QUERY!$C:$C,QUERY!AP:AP)</f>
        <v>0</v>
      </c>
      <c r="GP101" s="3" t="str">
        <f>_xlfn.XLOOKUP(B101,QUERY!$C:$C,QUERY!AQ:AQ)</f>
        <v>Cargas de Importación</v>
      </c>
      <c r="GQ101" s="3" t="str">
        <f>_xlfn.XLOOKUP(B101,QUERY!$C:$C,QUERY!AR:AR)</f>
        <v>INTERVET MEXICO SA DE CV</v>
      </c>
      <c r="GR101" s="3">
        <f>_xlfn.XLOOKUP(B101,QUERY!$C:$C,QUERY!AS:AS)</f>
        <v>0</v>
      </c>
      <c r="GS101" s="3">
        <f>_xlfn.XLOOKUP(B101,QUERY!$C:$C,QUERY!AT:AT)</f>
        <v>0</v>
      </c>
      <c r="GT101" s="3">
        <f>_xlfn.XLOOKUP(B101,QUERY!$C:$C,QUERY!AU:AU)</f>
        <v>0</v>
      </c>
      <c r="GU101" s="3">
        <f>_xlfn.XLOOKUP(B101,QUERY!$C:$C,QUERY!AV:AV)</f>
        <v>0</v>
      </c>
      <c r="GV101" s="3" t="str">
        <f>_xlfn.XLOOKUP(B101,QUERY!$C:$C,QUERY!AW:AW)</f>
        <v>PRODUCTO TERMINADO</v>
      </c>
      <c r="GW101" s="3" t="str">
        <f>_xlfn.XLOOKUP(B101,QUERY!$C:$C,QUERY!AX:AX)</f>
        <v>Verde</v>
      </c>
      <c r="GX101" s="3" t="str">
        <f>_xlfn.XLOOKUP(B101,QUERY!$C:$C,QUERY!AY:AY)</f>
        <v xml:space="preserve"> SUPER EXPRESS DE CARGA FEDERAL S.A. DE C.V.</v>
      </c>
      <c r="GY101" s="3">
        <f>_xlfn.XLOOKUP(B101,QUERY!$C:$C,QUERY!AZ:AZ)</f>
        <v>0</v>
      </c>
      <c r="GZ101" s="3" t="str">
        <f>_xlfn.XLOOKUP(B101,QUERY!$C:$C,QUERY!BA:BA)</f>
        <v>IME-T006</v>
      </c>
      <c r="HA101" s="3" t="str">
        <f>_xlfn.XLOOKUP(B101,QUERY!$C:$C,QUERY!BB:BB)</f>
        <v>IME850329RH2</v>
      </c>
      <c r="HB101" s="3">
        <f>_xlfn.XLOOKUP(B101,QUERY!$C:$C,QUERY!BC:BC)</f>
        <v>0</v>
      </c>
      <c r="HC101" s="3">
        <f>_xlfn.XLOOKUP(B101,QUERY!$C:$C,QUERY!BD:BD)</f>
        <v>99</v>
      </c>
      <c r="HD101" s="3" t="str">
        <f>_xlfn.XLOOKUP(B101,QUERY!$C:$C,QUERY!BE:BE)</f>
        <v>LOTE: 25M3082C01,LOTE: 25F2003AC1</v>
      </c>
      <c r="HE101" s="3">
        <f>_xlfn.XLOOKUP(B101,QUERY!$C:$C,QUERY!BF:BF)</f>
        <v>90</v>
      </c>
      <c r="HF101" s="3" t="str">
        <f>_xlfn.XLOOKUP(B101,QUERY!$C:$C,QUERY!BG:BG)</f>
        <v xml:space="preserve"> 7747845.50</v>
      </c>
      <c r="HG101" s="3" t="str">
        <f>_xlfn.XLOOKUP(B101,QUERY!$C:$C,QUERY!BH:BH)</f>
        <v>KILO,KILO</v>
      </c>
      <c r="HH101" s="3">
        <f>_xlfn.XLOOKUP(B101,QUERY!$C:$C,QUERY!BI:BI)</f>
        <v>0</v>
      </c>
      <c r="HI101" s="3" t="str">
        <f>_xlfn.XLOOKUP(B101,QUERY!$C:$C,QUERY!BJ:BJ)</f>
        <v>AUSTRIA (REPUBLICA DE)</v>
      </c>
      <c r="HJ101" s="3" t="str">
        <f>_xlfn.XLOOKUP(B101,QUERY!$C:$C,QUERY!BK:BK)</f>
        <v>PAISES BAJOS (REINO DE LOS) (HOLANDA)</v>
      </c>
      <c r="HK101" s="3" t="str">
        <f>_xlfn.XLOOKUP(B101,QUERY!$C:$C,QUERY!BL:BL)</f>
        <v>AUT</v>
      </c>
      <c r="HL101" s="3" t="str">
        <f>_xlfn.XLOOKUP(B101,QUERY!$C:$C,QUERY!BM:BM)</f>
        <v>ZYA</v>
      </c>
      <c r="HM101" s="3">
        <f>_xlfn.XLOOKUP(B101,QUERY!$C:$C,QUERY!BN:BN)</f>
        <v>7747845</v>
      </c>
      <c r="HN101" s="3" t="str">
        <f>_xlfn.XLOOKUP(B101,QUERY!$C:$C,QUERY!BO:BO)</f>
        <v>42576.00</v>
      </c>
      <c r="HO101" s="3" t="str">
        <f>_xlfn.XLOOKUP(B101,QUERY!$C:$C,QUERY!BP:BP)</f>
        <v>NULL</v>
      </c>
      <c r="HP101" s="3" t="str">
        <f>_xlfn.XLOOKUP(B101,QUERY!$C:$C,QUERY!BQ:BQ)</f>
        <v>532202.00</v>
      </c>
      <c r="HQ101" s="3" t="str">
        <f>_xlfn.XLOOKUP(B101,QUERY!$C:$C,QUERY!BR:BR)</f>
        <v>129344.57</v>
      </c>
      <c r="HR101" s="3">
        <f>_xlfn.XLOOKUP(B101,QUERY!$C:$C,QUERY!BS:BS)</f>
        <v>0</v>
      </c>
      <c r="HS101" s="3">
        <f>_xlfn.XLOOKUP(B101,QUERY!$C:$C,QUERY!BT:BT)</f>
        <v>0</v>
      </c>
      <c r="HT101" s="3" t="str">
        <f>_xlfn.XLOOKUP(B101,QUERY!$C:$C,QUERY!A:A)</f>
        <v>VERACRUZ</v>
      </c>
      <c r="HU101" s="3" t="str">
        <f>_xlfn.XLOOKUP(B101,QUERY!$C:$C,QUERY!B:B)</f>
        <v>MARÍTIMO VERACRUZ</v>
      </c>
    </row>
    <row r="102" spans="1:229" x14ac:dyDescent="0.25">
      <c r="A102" s="3" t="s">
        <v>90</v>
      </c>
      <c r="B102" s="3" t="s">
        <v>312</v>
      </c>
      <c r="C102" s="3">
        <v>3942</v>
      </c>
      <c r="D102" s="3">
        <v>6000328</v>
      </c>
      <c r="E102" s="3"/>
      <c r="F102" s="3" t="s">
        <v>92</v>
      </c>
      <c r="G102" s="3" t="s">
        <v>93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430</v>
      </c>
      <c r="S102" s="3" t="s">
        <v>313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316</v>
      </c>
      <c r="AB102" s="3"/>
      <c r="AC102" s="3">
        <v>2425821</v>
      </c>
      <c r="AD102" s="3">
        <v>81.649979999999999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/>
      <c r="AP102" s="3" t="s">
        <v>98</v>
      </c>
      <c r="AQ102" s="3">
        <v>210366707</v>
      </c>
      <c r="AR102" s="3" t="s">
        <v>307</v>
      </c>
      <c r="AS102" s="3" t="s">
        <v>100</v>
      </c>
      <c r="AT102" s="3">
        <v>0</v>
      </c>
      <c r="AU102" s="3">
        <v>0</v>
      </c>
      <c r="AV102" s="3">
        <v>0</v>
      </c>
      <c r="AW102" s="3">
        <v>30049099</v>
      </c>
      <c r="AX102" s="3">
        <v>99</v>
      </c>
      <c r="AY102" s="3">
        <v>29710</v>
      </c>
      <c r="AZ102" s="3">
        <v>29710</v>
      </c>
      <c r="BA102" s="3" t="s">
        <v>103</v>
      </c>
      <c r="BB102" s="3"/>
      <c r="BC102" s="3" t="s">
        <v>133</v>
      </c>
      <c r="BD102" s="3" t="s">
        <v>105</v>
      </c>
      <c r="BE102" s="3"/>
      <c r="BF102" s="3"/>
      <c r="BG102" s="5"/>
      <c r="BH102" s="3"/>
      <c r="BI102" s="3"/>
      <c r="BJ102" s="3"/>
      <c r="BK102" s="3" t="s">
        <v>315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 t="s">
        <v>192</v>
      </c>
      <c r="CF102" s="3">
        <v>0</v>
      </c>
      <c r="CG102" s="3">
        <v>0</v>
      </c>
      <c r="CH102" s="3">
        <v>0</v>
      </c>
      <c r="CI102" s="3" t="s">
        <v>112</v>
      </c>
      <c r="CJ102" s="3" t="s">
        <v>112</v>
      </c>
      <c r="CK102" s="3">
        <f>_xlfn.XLOOKUP($B$2,'BASE DE EXCEL'!C:C,'BASE DE EXCEL'!D:D,"NO HAY REFERENCIA")</f>
        <v>470</v>
      </c>
      <c r="CL102" s="5">
        <f>_xlfn.XLOOKUP($B$2,'BASE DE EXCEL'!$C:$C,'BASE DE EXCEL'!F:F,"NO HAY REFERENCIA")</f>
        <v>3</v>
      </c>
      <c r="CM102" s="4">
        <f>_xlfn.XLOOKUP($B$2,'BASE DE EXCEL'!$C:$C,'BASE DE EXCEL'!G:G,"NO HAY REFERENCIA")</f>
        <v>46080</v>
      </c>
      <c r="CN102" s="4">
        <f>_xlfn.XLOOKUP($B$2,'BASE DE EXCEL'!$C:$C,'BASE DE EXCEL'!H:H,"NO HAY REFERENCIA")</f>
        <v>46086</v>
      </c>
      <c r="CO102" s="3">
        <f>_xlfn.XLOOKUP($B$2,'BASE DE EXCEL'!$C:$C,'BASE DE EXCEL'!I:I,"NO HAY REFERENCIA")</f>
        <v>4</v>
      </c>
      <c r="CP102" s="3" t="str">
        <f>_xlfn.XLOOKUP($B$2,'BASE DE EXCEL'!$C:$C,'BASE DE EXCEL'!J:J,"NO HAY REFERENCIA")</f>
        <v>4 a 5 días</v>
      </c>
      <c r="CQ102" s="4">
        <f>_xlfn.XLOOKUP($B$2,'BASE DE EXCEL'!$C:$C,'BASE DE EXCEL'!K:K,"NO HAY REFERENCIA")</f>
        <v>46087</v>
      </c>
      <c r="CR102" s="3">
        <f>_xlfn.XLOOKUP($B$2,'BASE DE EXCEL'!$C:$C,'BASE DE EXCEL'!L:L,"NO HAY REFERENCIA")</f>
        <v>5</v>
      </c>
      <c r="CS102" s="3">
        <f>_xlfn.XLOOKUP($B$2,'BASE DE EXCEL'!$C:$C,'BASE DE EXCEL'!M:M,"NO HAY REFERENCIA")</f>
        <v>6</v>
      </c>
      <c r="CT102" s="3" t="str">
        <f>_xlfn.XLOOKUP($B$2,'BASE DE EXCEL'!$C:$C,'BASE DE EXCEL'!N:N,"NO HAY REFERENCIA")</f>
        <v>6 a 10 días</v>
      </c>
      <c r="CU102" s="3" t="str">
        <f>_xlfn.XLOOKUP($B$2,'BASE DE EXCEL'!$C:$C,'BASE DE EXCEL'!O:O,"NO HAY REFERENCIA")</f>
        <v>On Time</v>
      </c>
      <c r="CV102" s="3" t="str">
        <f>_xlfn.XLOOKUP(B102,'BASE DE EXCEL'!$C:$C,'BASE DE EXCEL'!P:P,"NO HAY REFERENCIA")</f>
        <v>2 a 3 días</v>
      </c>
      <c r="CW102" s="4">
        <f>_xlfn.XLOOKUP(B102,'BASE DE EXCEL'!$C:$C,'BASE DE EXCEL'!Q:Q,"NO HAY REFERENCIA")</f>
        <v>46094</v>
      </c>
      <c r="CX102" s="3">
        <f>_xlfn.XLOOKUP(B102,'BASE DE EXCEL'!$C:$C,'BASE DE EXCEL'!R:R,"NO HAY REFERENCIA")</f>
        <v>5</v>
      </c>
      <c r="CY102" s="3" t="str">
        <f>_xlfn.XLOOKUP(B102,'BASE DE EXCEL'!$C:$C,'BASE DE EXCEL'!S:S,"NO HAY REFERENCIA")</f>
        <v>4 a 5 días</v>
      </c>
      <c r="CZ102" s="3" t="str">
        <f>_xlfn.XLOOKUP(B102,'BASE DE EXCEL'!$C:$C,'BASE DE EXCEL'!T:T,"NO HAY REFERENCIA")</f>
        <v>On Time</v>
      </c>
      <c r="DA102" s="3">
        <f>_xlfn.XLOOKUP(B102,'BASE DE EXCEL'!$C:$C,'BASE DE EXCEL'!U:U,"NO HAY REFERENCIA")</f>
        <v>0</v>
      </c>
      <c r="DB102" s="3" t="str">
        <f>_xlfn.XLOOKUP(B102,'BASE DE EXCEL'!$C:$C,'BASE DE EXCEL'!V:V,"NO HAY REFERENCIA")</f>
        <v>Sin Dato</v>
      </c>
      <c r="DC102" s="3">
        <f>_xlfn.XLOOKUP(B102,'BASE DE EXCEL'!$C:$C,'BASE DE EXCEL'!W:W,"NO HAY REFERENCIA")</f>
        <v>10</v>
      </c>
      <c r="DD102" s="3" t="str">
        <f>_xlfn.XLOOKUP(B102,'BASE DE EXCEL'!$C:$C,'BASE DE EXCEL'!X:X,"NO HAY REFERENCIA")</f>
        <v>6 a 10 días</v>
      </c>
      <c r="DE102" s="3">
        <f>_xlfn.XLOOKUP(B102,'BASE DE EXCEL'!$C:$C,'BASE DE EXCEL'!Y:Y,"NO HAY REFERENCIA")</f>
        <v>1</v>
      </c>
      <c r="DF102" s="3" t="str">
        <f>_xlfn.XLOOKUP(B102,'BASE DE EXCEL'!$C:$C,'BASE DE EXCEL'!Z:Z,"NO HAY REFERENCIA")</f>
        <v>1 día o menos</v>
      </c>
      <c r="DG102" s="3">
        <f>_xlfn.XLOOKUP(B102,'BASE DE EXCEL'!$C:$C,'BASE DE EXCEL'!AA:AA,"NO HAY REFERENCIA")</f>
        <v>2</v>
      </c>
      <c r="DH102" s="3">
        <f>_xlfn.XLOOKUP(B102,'BASE DE EXCEL'!$C:$C,'BASE DE EXCEL'!AB:AB,"NO HAY REFERENCIA")</f>
        <v>-46091</v>
      </c>
      <c r="DI102" s="3" t="str">
        <f>_xlfn.XLOOKUP(B102,'BASE DE EXCEL'!$C:$C,'BASE DE EXCEL'!AC:AC,"NO HAY REFERENCIA")</f>
        <v>SIN DATO</v>
      </c>
      <c r="DJ102" s="4">
        <f>_xlfn.XLOOKUP(B102,'BASE DE EXCEL'!$C:$C,'BASE DE EXCEL'!AD:AD,"NO HAY REFERENCIA")</f>
        <v>46104</v>
      </c>
      <c r="DK102" s="3">
        <f>_xlfn.XLOOKUP(B102,'BASE DE EXCEL'!$C:$C,'BASE DE EXCEL'!AE:AE,"NO HAY REFERENCIA")</f>
        <v>46102</v>
      </c>
      <c r="DL102" s="3">
        <f>_xlfn.XLOOKUP(B102,'BASE DE EXCEL'!$C:$C,'BASE DE EXCEL'!AF:AF,"NO HAY REFERENCIA")</f>
        <v>32930</v>
      </c>
      <c r="DM102" s="4">
        <f>_xlfn.XLOOKUP(B102,'BASE DE EXCEL'!$C:$C,'BASE DE EXCEL'!AG:AG,"NO HAY REFERENCIA")</f>
        <v>46104</v>
      </c>
      <c r="DN102" s="4">
        <f>_xlfn.XLOOKUP(B102,'BASE DE EXCEL'!$C:$C,'BASE DE EXCEL'!AH:AH,"NO HAY REFERENCIA")</f>
        <v>46104</v>
      </c>
      <c r="DO102" s="3">
        <f>_xlfn.XLOOKUP(B102,'BASE DE EXCEL'!$C:$C,'BASE DE EXCEL'!AI:AI,"NO HAY REFERENCIA")</f>
        <v>0</v>
      </c>
      <c r="DP102" s="4" t="str">
        <f>_xlfn.XLOOKUP(B102,'BASE DE EXCEL'!$C:$C,'BASE DE EXCEL'!AJ:AJ,"NO HAY REFERENCIA")</f>
        <v>SIN DATO</v>
      </c>
      <c r="DQ102" s="4">
        <f>_xlfn.XLOOKUP(B102,'BASE DE EXCEL'!$C:$C,'BASE DE EXCEL'!AK:AK,"NO HAY REFERENCIA")</f>
        <v>46104</v>
      </c>
      <c r="DR102" s="3">
        <f>_xlfn.XLOOKUP(B102,'BASE DE EXCEL'!$C:$C,'BASE DE EXCEL'!AL:AL,"NO HAY REFERENCIA")</f>
        <v>6</v>
      </c>
      <c r="DS102" s="3" t="str">
        <f>_xlfn.XLOOKUP(B102,'BASE DE EXCEL'!$C:$C,'BASE DE EXCEL'!AM:AM,"NO HAY REFERENCIA")</f>
        <v>6 a 10 días</v>
      </c>
      <c r="DT102" s="3" t="str">
        <f>_xlfn.XLOOKUP(B102,'BASE DE EXCEL'!$C:$C,'BASE DE EXCEL'!AN:AN,"NO HAY REFERENCIA")</f>
        <v>On Time</v>
      </c>
      <c r="DU102" s="3">
        <f>_xlfn.XLOOKUP(B102,'BASE DE EXCEL'!$C:$C,'BASE DE EXCEL'!AO:AO,"NO HAY REFERENCIA")</f>
        <v>0</v>
      </c>
      <c r="DV102" s="3" t="str">
        <f>_xlfn.XLOOKUP(B102,'BASE DE EXCEL'!$C:$C,'BASE DE EXCEL'!AP:AP,"NO HAY REFERENCIA")</f>
        <v>Es anterior</v>
      </c>
      <c r="DW102" s="3" t="str">
        <f>_xlfn.XLOOKUP(B102,'BASE DE EXCEL'!$C:$C,'BASE DE EXCEL'!AQ:AQ,"NO HAY REFERENCIA")</f>
        <v>A1</v>
      </c>
      <c r="DX102" s="3" t="str">
        <f>_xlfn.XLOOKUP(B102,'BASE DE EXCEL'!$C:$C,'BASE DE EXCEL'!AR:AR,"NO HAY REFERENCIA")</f>
        <v>ZULEIMA PEREZ RUIZ</v>
      </c>
      <c r="DY102" s="3" t="str">
        <f>_xlfn.XLOOKUP(B102,'BASE DE EXCEL'!$C:$C,'BASE DE EXCEL'!AS:AS,"NO HAY REFERENCIA")</f>
        <v>HLCUHAM260250700</v>
      </c>
      <c r="DZ102" s="3" t="str">
        <f>_xlfn.XLOOKUP(B102,'BASE DE EXCEL'!$C:$C,'BASE DE EXCEL'!AT:AT,"NO HAY REFERENCIA")</f>
        <v>NULL</v>
      </c>
      <c r="EA102" s="3">
        <f>_xlfn.XLOOKUP(B102,'BASE DE EXCEL'!$C:$C,'BASE DE EXCEL'!AU:AU,"NO HAY REFERENCIA")</f>
        <v>6000328</v>
      </c>
      <c r="EB102" s="3" t="str">
        <f>_xlfn.XLOOKUP(B102,'BASE DE EXCEL'!$C:$C,'BASE DE EXCEL'!AV:AV,"NO HAY REFERENCIA")</f>
        <v>Importación</v>
      </c>
      <c r="EC102" s="3" t="str">
        <f>_xlfn.XLOOKUP(B102,'BASE DE EXCEL'!$C:$C,'BASE DE EXCEL'!AW:AW,"NO HAY REFERENCIA")</f>
        <v>BRAVECTO 500 MG (MEDICAMENTO DOSIFICADO DE USO VETERINARIO)</v>
      </c>
      <c r="ED102" s="3" t="str">
        <f>_xlfn.XLOOKUP(B102,'BASE DE EXCEL'!$C:$C,'BASE DE EXCEL'!AX:AX,"NO HAY REFERENCIA")</f>
        <v>SIN CLASIFICACION</v>
      </c>
      <c r="EE102" s="3">
        <f>_xlfn.XLOOKUP(B102,'BASE DE EXCEL'!$C:$C,'BASE DE EXCEL'!AY:AY,"NO HAY REFERENCIA")</f>
        <v>0</v>
      </c>
      <c r="EF102" s="3" t="str">
        <f>_xlfn.XLOOKUP(B102,'BASE DE EXCEL'!$C:$C,'BASE DE EXCEL'!AZ:AZ,"NO HAY REFERENCIA")</f>
        <v>Cargas de Importación</v>
      </c>
      <c r="EG102" s="3" t="str">
        <f>_xlfn.XLOOKUP(B102,'BASE DE EXCEL'!$C:$C,'BASE DE EXCEL'!BA:BA,"NO HAY REFERENCIA")</f>
        <v>INTERVET MEXICO SA DE CV</v>
      </c>
      <c r="EH102" s="3">
        <f>_xlfn.XLOOKUP(B102,'BASE DE EXCEL'!$C:$C,'BASE DE EXCEL'!BB:BB,"NO HAY REFERENCIA")</f>
        <v>0</v>
      </c>
      <c r="EI102" s="3">
        <f>_xlfn.XLOOKUP(B102,'BASE DE EXCEL'!$C:$C,'BASE DE EXCEL'!BC:BC,"NO HAY REFERENCIA")</f>
        <v>0</v>
      </c>
      <c r="EJ102" s="3">
        <f>_xlfn.XLOOKUP(B102,'BASE DE EXCEL'!$C:$C,'BASE DE EXCEL'!BD:BD,"NO HAY REFERENCIA")</f>
        <v>0</v>
      </c>
      <c r="EK102" s="3">
        <f>_xlfn.XLOOKUP(B102,'BASE DE EXCEL'!$C:$C,'BASE DE EXCEL'!BE:BE,"NO HAY REFERENCIA")</f>
        <v>0</v>
      </c>
      <c r="EL102" s="3" t="str">
        <f>_xlfn.XLOOKUP(B102,'BASE DE EXCEL'!$C:$C,'BASE DE EXCEL'!BF:BF,"NO HAY REFERENCIA")</f>
        <v>PRODUCTO TERMINADO</v>
      </c>
      <c r="EM102" s="3" t="str">
        <f>_xlfn.XLOOKUP(B102,'BASE DE EXCEL'!$C:$C,'BASE DE EXCEL'!BG:BG,"NO HAY REFERENCIA")</f>
        <v>Verde</v>
      </c>
      <c r="EN102" s="3" t="str">
        <f>_xlfn.XLOOKUP(B102,'BASE DE EXCEL'!$C:$C,'BASE DE EXCEL'!BH:BH,"NO HAY REFERENCIA")</f>
        <v xml:space="preserve"> SUPER EXPRESS DE CARGA FEDERAL S.A. DE C.V.</v>
      </c>
      <c r="EO102" s="3">
        <f>_xlfn.XLOOKUP(B102,'BASE DE EXCEL'!$C:$C,'BASE DE EXCEL'!BI:BI,"NO HAY REFERENCIA")</f>
        <v>0</v>
      </c>
      <c r="EP102" s="3" t="str">
        <f>_xlfn.XLOOKUP(B102,'BASE DE EXCEL'!$C:$C,'BASE DE EXCEL'!BJ:BJ,"NO HAY REFERENCIA")</f>
        <v>IME-T006</v>
      </c>
      <c r="EQ102" s="3" t="str">
        <f>_xlfn.XLOOKUP(B102,'BASE DE EXCEL'!$C:$C,'BASE DE EXCEL'!BK:BK,"NO HAY REFERENCIA")</f>
        <v>IME850329RH2</v>
      </c>
      <c r="ER102" s="3">
        <f>_xlfn.XLOOKUP(B102,'BASE DE EXCEL'!$C:$C,'BASE DE EXCEL'!BL:BL,"NO HAY REFERENCIA")</f>
        <v>0</v>
      </c>
      <c r="ES102" s="3">
        <f>_xlfn.XLOOKUP(B102,'BASE DE EXCEL'!$C:$C,'BASE DE EXCEL'!BM:BM,"NO HAY REFERENCIA")</f>
        <v>99</v>
      </c>
      <c r="ET102" s="3" t="str">
        <f>_xlfn.XLOOKUP(B102,'BASE DE EXCEL'!$C:$C,'BASE DE EXCEL'!BN:BN,"NO HAY REFERENCIA")</f>
        <v>LOTE: 25M3082C01,LOTE: 25F2003AC1</v>
      </c>
      <c r="EU102" s="3">
        <f>_xlfn.XLOOKUP(B102,'BASE DE EXCEL'!$C:$C,'BASE DE EXCEL'!BO:BO,"NO HAY REFERENCIA")</f>
        <v>90</v>
      </c>
      <c r="EV102" s="3">
        <f>_xlfn.XLOOKUP(B102,'BASE DE EXCEL'!$C:$C,'BASE DE EXCEL'!BP:BP,"NO HAY REFERENCIA")</f>
        <v>7747845.5</v>
      </c>
      <c r="EW102" s="3" t="str">
        <f>_xlfn.XLOOKUP(B102,'BASE DE EXCEL'!$C:$C,'BASE DE EXCEL'!BQ:BQ,"NO HAY REFERENCIA")</f>
        <v>KILO,KILO</v>
      </c>
      <c r="EX102" s="3">
        <f>_xlfn.XLOOKUP(B102,'BASE DE EXCEL'!$C:$C,'BASE DE EXCEL'!BR:BR,"NO HAY REFERENCIA")</f>
        <v>0</v>
      </c>
      <c r="EY102" s="3" t="str">
        <f>_xlfn.XLOOKUP(B102,'BASE DE EXCEL'!$C:$C,'BASE DE EXCEL'!BS:BS,"NO HAY REFERENCIA")</f>
        <v>AUSTRIA (REPUBLICA DE)</v>
      </c>
      <c r="EZ102" s="3" t="str">
        <f>_xlfn.XLOOKUP(B102,'BASE DE EXCEL'!$C:$C,'BASE DE EXCEL'!BT:BT,"NO HAY REFERENCIA")</f>
        <v>PAISES BAJOS (REINO DE LOS) (HOLANDA)</v>
      </c>
      <c r="FA102" s="3" t="str">
        <f>_xlfn.XLOOKUP(B102,'BASE DE EXCEL'!$C:$C,'BASE DE EXCEL'!BU:BU,"NO HAY REFERENCIA")</f>
        <v>AUT</v>
      </c>
      <c r="FB102" s="3" t="str">
        <f>_xlfn.XLOOKUP(B102,'BASE DE EXCEL'!$C:$C,'BASE DE EXCEL'!BV:BV,"NO HAY REFERENCIA")</f>
        <v>ZYA</v>
      </c>
      <c r="FC102" s="3">
        <f>_xlfn.XLOOKUP(B102,QUERY!$C:$C,QUERY!D:D)</f>
        <v>430</v>
      </c>
      <c r="FD102" s="4">
        <f>_xlfn.XLOOKUP(B102,QUERY!$C:$C,QUERY!E:E)</f>
        <v>46092</v>
      </c>
      <c r="FE102" s="3">
        <f>_xlfn.XLOOKUP(B102,QUERY!$C:$C,QUERY!F:F)</f>
        <v>3</v>
      </c>
      <c r="FF102" s="4">
        <f>_xlfn.XLOOKUP(B102,QUERY!$C:$C,QUERY!G:G)</f>
        <v>46090</v>
      </c>
      <c r="FG102" s="4">
        <f>_xlfn.XLOOKUP(B102,QUERY!$C:$C,QUERY!H:H)</f>
        <v>46092</v>
      </c>
      <c r="FH102" s="3">
        <f>_xlfn.XLOOKUP(B102,QUERY!$C:$C,QUERY!I:I)</f>
        <v>2</v>
      </c>
      <c r="FI102" s="3" t="str">
        <f>_xlfn.XLOOKUP(B102,QUERY!$C:$C,QUERY!J:J)</f>
        <v>2 a 3 días</v>
      </c>
      <c r="FJ102" s="4">
        <f>_xlfn.XLOOKUP(B102,QUERY!$C:$C,QUERY!K:K)</f>
        <v>46093</v>
      </c>
      <c r="FK102" s="3">
        <f>_xlfn.XLOOKUP(B102,QUERY!$C:$C,QUERY!L:L)</f>
        <v>3</v>
      </c>
      <c r="FL102" s="3" t="str">
        <f>_xlfn.XLOOKUP(B102,QUERY!$C:$C,QUERY!M:M)</f>
        <v>2 a 3 días</v>
      </c>
      <c r="FM102" s="3">
        <f>_xlfn.XLOOKUP(B102,QUERY!$C:$C,QUERY!N:N)</f>
        <v>1</v>
      </c>
      <c r="FN102" s="3" t="str">
        <f>_xlfn.XLOOKUP(B102,QUERY!$C:$C,QUERY!O:O)</f>
        <v>1 día o menos</v>
      </c>
      <c r="FO102" s="3">
        <f>_xlfn.XLOOKUP(B102,QUERY!$C:$C,QUERY!P:P)</f>
        <v>1</v>
      </c>
      <c r="FP102" s="3">
        <f>_xlfn.XLOOKUP(B102,QUERY!$C:$C,QUERY!Q:Q)</f>
        <v>1</v>
      </c>
      <c r="FQ102" s="3" t="str">
        <f>_xlfn.XLOOKUP(B102,QUERY!$C:$C,QUERY!R:R)</f>
        <v>1 día o menos</v>
      </c>
      <c r="FR102" s="4">
        <f>_xlfn.XLOOKUP(B102,QUERY!$C:$C,QUERY!S:S)</f>
        <v>46094</v>
      </c>
      <c r="FS102" s="3">
        <f>_xlfn.XLOOKUP(B102,QUERY!$C:$C,QUERY!T:T)</f>
        <v>4</v>
      </c>
      <c r="FT102" s="3" t="str">
        <f>_xlfn.XLOOKUP(B102,QUERY!$C:$C,QUERY!U:U)</f>
        <v>4 a 5 días</v>
      </c>
      <c r="FU102" s="3">
        <f>_xlfn.XLOOKUP(B102,QUERY!$C:$C,QUERY!V:V)</f>
        <v>10</v>
      </c>
      <c r="FV102" s="3" t="str">
        <f>_xlfn.XLOOKUP(B102,QUERY!$C:$C,QUERY!W:W)</f>
        <v>6 a 10 días</v>
      </c>
      <c r="FW102" s="4">
        <f>_xlfn.XLOOKUP(B102,QUERY!$C:$C,QUERY!X:X)</f>
        <v>46104</v>
      </c>
      <c r="FX102" s="3">
        <f>_xlfn.XLOOKUP(B102,QUERY!$C:$C,QUERY!Y:Y)</f>
        <v>6</v>
      </c>
      <c r="FY102" s="3">
        <f>_xlfn.XLOOKUP(B102,QUERY!$C:$C,QUERY!Z:Z)</f>
        <v>6</v>
      </c>
      <c r="FZ102" s="4" t="str">
        <f>_xlfn.XLOOKUP(B102,QUERY!$C:$C,QUERY!AA:AA)</f>
        <v>6 a 10 días</v>
      </c>
      <c r="GA102" s="4">
        <f>_xlfn.XLOOKUP(B102,QUERY!$C:$C,QUERY!AB:AB)</f>
        <v>46104</v>
      </c>
      <c r="GB102" s="4">
        <f>_xlfn.XLOOKUP(B102,QUERY!$C:$C,QUERY!AC:AC)</f>
        <v>46104</v>
      </c>
      <c r="GC102" s="3">
        <f>_xlfn.XLOOKUP(B102,QUERY!$C:$C,QUERY!AD:AD)</f>
        <v>0</v>
      </c>
      <c r="GD102" s="4">
        <f>_xlfn.XLOOKUP(B102,QUERY!$C:$C,QUERY!AE:AE)</f>
        <v>46104</v>
      </c>
      <c r="GE102" s="3">
        <f>_xlfn.XLOOKUP(B102,QUERY!$C:$C,QUERY!AF:AF)</f>
        <v>1</v>
      </c>
      <c r="GF102" s="4" t="str">
        <f>_xlfn.XLOOKUP(B102,QUERY!$C:$C,QUERY!AG:AG)</f>
        <v>Es anterior</v>
      </c>
      <c r="GG102" s="3" t="str">
        <f>_xlfn.XLOOKUP(B102,QUERY!$C:$C,QUERY!AH:AH)</f>
        <v>A1</v>
      </c>
      <c r="GH102" s="3" t="str">
        <f>_xlfn.XLOOKUP(B102,QUERY!$C:$C,QUERY!AI:AI)</f>
        <v>ZULEIMA PEREZ RUIZ</v>
      </c>
      <c r="GI102" s="3" t="str">
        <f>_xlfn.XLOOKUP(B102,QUERY!$C:$C,QUERY!AJ:AJ)</f>
        <v>HLCUHAM260250700</v>
      </c>
      <c r="GJ102" s="3" t="str">
        <f>_xlfn.XLOOKUP(B102,QUERY!$C:$C,QUERY!AK:AK)</f>
        <v>NULL</v>
      </c>
      <c r="GK102" s="3">
        <f>_xlfn.XLOOKUP(B102,QUERY!$C:$C,QUERY!AL:AL)</f>
        <v>6000328</v>
      </c>
      <c r="GL102" s="3" t="str">
        <f>_xlfn.XLOOKUP(B102,QUERY!$C:$C,QUERY!AM:AM)</f>
        <v>Importación</v>
      </c>
      <c r="GM102" s="3" t="str">
        <f>_xlfn.XLOOKUP(B102,QUERY!$C:$C,QUERY!AN:AN)</f>
        <v>BRAVECTO 500 MG (MEDICAMENTO DOSIFICADO DE USO VETERINARIO)</v>
      </c>
      <c r="GN102" s="3" t="str">
        <f>_xlfn.XLOOKUP(B102,QUERY!$C:$C,QUERY!AO:AO)</f>
        <v>SIN CLASIFICACION</v>
      </c>
      <c r="GO102" s="3">
        <f>_xlfn.XLOOKUP(B102,QUERY!$C:$C,QUERY!AP:AP)</f>
        <v>0</v>
      </c>
      <c r="GP102" s="3" t="str">
        <f>_xlfn.XLOOKUP(B102,QUERY!$C:$C,QUERY!AQ:AQ)</f>
        <v>Cargas de Importación</v>
      </c>
      <c r="GQ102" s="3" t="str">
        <f>_xlfn.XLOOKUP(B102,QUERY!$C:$C,QUERY!AR:AR)</f>
        <v>INTERVET MEXICO SA DE CV</v>
      </c>
      <c r="GR102" s="3">
        <f>_xlfn.XLOOKUP(B102,QUERY!$C:$C,QUERY!AS:AS)</f>
        <v>0</v>
      </c>
      <c r="GS102" s="3">
        <f>_xlfn.XLOOKUP(B102,QUERY!$C:$C,QUERY!AT:AT)</f>
        <v>0</v>
      </c>
      <c r="GT102" s="3">
        <f>_xlfn.XLOOKUP(B102,QUERY!$C:$C,QUERY!AU:AU)</f>
        <v>0</v>
      </c>
      <c r="GU102" s="3">
        <f>_xlfn.XLOOKUP(B102,QUERY!$C:$C,QUERY!AV:AV)</f>
        <v>0</v>
      </c>
      <c r="GV102" s="3" t="str">
        <f>_xlfn.XLOOKUP(B102,QUERY!$C:$C,QUERY!AW:AW)</f>
        <v>PRODUCTO TERMINADO</v>
      </c>
      <c r="GW102" s="3" t="str">
        <f>_xlfn.XLOOKUP(B102,QUERY!$C:$C,QUERY!AX:AX)</f>
        <v>Verde</v>
      </c>
      <c r="GX102" s="3" t="str">
        <f>_xlfn.XLOOKUP(B102,QUERY!$C:$C,QUERY!AY:AY)</f>
        <v xml:space="preserve"> SUPER EXPRESS DE CARGA FEDERAL S.A. DE C.V.</v>
      </c>
      <c r="GY102" s="3">
        <f>_xlfn.XLOOKUP(B102,QUERY!$C:$C,QUERY!AZ:AZ)</f>
        <v>0</v>
      </c>
      <c r="GZ102" s="3" t="str">
        <f>_xlfn.XLOOKUP(B102,QUERY!$C:$C,QUERY!BA:BA)</f>
        <v>IME-T006</v>
      </c>
      <c r="HA102" s="3" t="str">
        <f>_xlfn.XLOOKUP(B102,QUERY!$C:$C,QUERY!BB:BB)</f>
        <v>IME850329RH2</v>
      </c>
      <c r="HB102" s="3">
        <f>_xlfn.XLOOKUP(B102,QUERY!$C:$C,QUERY!BC:BC)</f>
        <v>0</v>
      </c>
      <c r="HC102" s="3">
        <f>_xlfn.XLOOKUP(B102,QUERY!$C:$C,QUERY!BD:BD)</f>
        <v>99</v>
      </c>
      <c r="HD102" s="3" t="str">
        <f>_xlfn.XLOOKUP(B102,QUERY!$C:$C,QUERY!BE:BE)</f>
        <v>LOTE: 25M3082C01,LOTE: 25F2003AC1</v>
      </c>
      <c r="HE102" s="3">
        <f>_xlfn.XLOOKUP(B102,QUERY!$C:$C,QUERY!BF:BF)</f>
        <v>90</v>
      </c>
      <c r="HF102" s="3" t="str">
        <f>_xlfn.XLOOKUP(B102,QUERY!$C:$C,QUERY!BG:BG)</f>
        <v xml:space="preserve"> 7747845.50</v>
      </c>
      <c r="HG102" s="3" t="str">
        <f>_xlfn.XLOOKUP(B102,QUERY!$C:$C,QUERY!BH:BH)</f>
        <v>KILO,KILO</v>
      </c>
      <c r="HH102" s="3">
        <f>_xlfn.XLOOKUP(B102,QUERY!$C:$C,QUERY!BI:BI)</f>
        <v>0</v>
      </c>
      <c r="HI102" s="3" t="str">
        <f>_xlfn.XLOOKUP(B102,QUERY!$C:$C,QUERY!BJ:BJ)</f>
        <v>AUSTRIA (REPUBLICA DE)</v>
      </c>
      <c r="HJ102" s="3" t="str">
        <f>_xlfn.XLOOKUP(B102,QUERY!$C:$C,QUERY!BK:BK)</f>
        <v>PAISES BAJOS (REINO DE LOS) (HOLANDA)</v>
      </c>
      <c r="HK102" s="3" t="str">
        <f>_xlfn.XLOOKUP(B102,QUERY!$C:$C,QUERY!BL:BL)</f>
        <v>AUT</v>
      </c>
      <c r="HL102" s="3" t="str">
        <f>_xlfn.XLOOKUP(B102,QUERY!$C:$C,QUERY!BM:BM)</f>
        <v>ZYA</v>
      </c>
      <c r="HM102" s="3">
        <f>_xlfn.XLOOKUP(B102,QUERY!$C:$C,QUERY!BN:BN)</f>
        <v>7747845</v>
      </c>
      <c r="HN102" s="3" t="str">
        <f>_xlfn.XLOOKUP(B102,QUERY!$C:$C,QUERY!BO:BO)</f>
        <v>42576.00</v>
      </c>
      <c r="HO102" s="3" t="str">
        <f>_xlfn.XLOOKUP(B102,QUERY!$C:$C,QUERY!BP:BP)</f>
        <v>NULL</v>
      </c>
      <c r="HP102" s="3" t="str">
        <f>_xlfn.XLOOKUP(B102,QUERY!$C:$C,QUERY!BQ:BQ)</f>
        <v>532202.00</v>
      </c>
      <c r="HQ102" s="3" t="str">
        <f>_xlfn.XLOOKUP(B102,QUERY!$C:$C,QUERY!BR:BR)</f>
        <v>129344.57</v>
      </c>
      <c r="HR102" s="3">
        <f>_xlfn.XLOOKUP(B102,QUERY!$C:$C,QUERY!BS:BS)</f>
        <v>0</v>
      </c>
      <c r="HS102" s="3">
        <f>_xlfn.XLOOKUP(B102,QUERY!$C:$C,QUERY!BT:BT)</f>
        <v>0</v>
      </c>
      <c r="HT102" s="3" t="str">
        <f>_xlfn.XLOOKUP(B102,QUERY!$C:$C,QUERY!A:A)</f>
        <v>VERACRUZ</v>
      </c>
      <c r="HU102" s="3" t="str">
        <f>_xlfn.XLOOKUP(B102,QUERY!$C:$C,QUERY!B:B)</f>
        <v>MARÍTIMO VERACRUZ</v>
      </c>
    </row>
    <row r="103" spans="1:229" x14ac:dyDescent="0.25">
      <c r="A103" s="3" t="s">
        <v>90</v>
      </c>
      <c r="B103" s="3" t="s">
        <v>317</v>
      </c>
      <c r="C103" s="3">
        <v>3942</v>
      </c>
      <c r="D103" s="3">
        <v>6000329</v>
      </c>
      <c r="E103" s="3"/>
      <c r="F103" s="3" t="s">
        <v>92</v>
      </c>
      <c r="G103" s="3" t="s">
        <v>93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17.677</v>
      </c>
      <c r="Q103" s="3">
        <v>2035</v>
      </c>
      <c r="R103" s="3">
        <v>430</v>
      </c>
      <c r="S103" s="3" t="s">
        <v>318</v>
      </c>
      <c r="T103" s="3" t="s">
        <v>95</v>
      </c>
      <c r="U103" s="3">
        <v>5465054</v>
      </c>
      <c r="V103" s="3">
        <v>5465054</v>
      </c>
      <c r="W103" s="3">
        <v>0</v>
      </c>
      <c r="X103" s="3">
        <v>0</v>
      </c>
      <c r="Y103" s="3">
        <v>0</v>
      </c>
      <c r="Z103" s="3">
        <v>0</v>
      </c>
      <c r="AA103" s="3" t="s">
        <v>319</v>
      </c>
      <c r="AB103" s="3"/>
      <c r="AC103" s="3">
        <v>4192812</v>
      </c>
      <c r="AD103" s="3">
        <v>89.59</v>
      </c>
      <c r="AE103" s="3">
        <v>808</v>
      </c>
      <c r="AF103" s="3">
        <v>0</v>
      </c>
      <c r="AG103" s="3">
        <v>0</v>
      </c>
      <c r="AH103" s="3">
        <v>0</v>
      </c>
      <c r="AI103" s="3">
        <v>53</v>
      </c>
      <c r="AJ103" s="3">
        <v>462</v>
      </c>
      <c r="AK103" s="3">
        <v>0</v>
      </c>
      <c r="AL103" s="3">
        <v>0</v>
      </c>
      <c r="AM103" s="3">
        <v>330</v>
      </c>
      <c r="AN103" s="3">
        <v>845</v>
      </c>
      <c r="AO103" s="3" t="s">
        <v>97</v>
      </c>
      <c r="AP103" s="3" t="s">
        <v>98</v>
      </c>
      <c r="AQ103" s="3">
        <v>210366708</v>
      </c>
      <c r="AR103" s="3" t="s">
        <v>99</v>
      </c>
      <c r="AS103" s="3" t="s">
        <v>100</v>
      </c>
      <c r="AT103" s="3" t="s">
        <v>320</v>
      </c>
      <c r="AU103" s="3"/>
      <c r="AV103" s="3"/>
      <c r="AW103" s="3">
        <v>30049099</v>
      </c>
      <c r="AX103" s="3">
        <v>99</v>
      </c>
      <c r="AY103" s="3">
        <v>46800</v>
      </c>
      <c r="AZ103" s="3">
        <v>46800</v>
      </c>
      <c r="BA103" s="3" t="s">
        <v>103</v>
      </c>
      <c r="BB103" s="3"/>
      <c r="BC103" s="3" t="s">
        <v>133</v>
      </c>
      <c r="BD103" s="3" t="s">
        <v>105</v>
      </c>
      <c r="BE103" s="3" t="s">
        <v>106</v>
      </c>
      <c r="BF103" s="3"/>
      <c r="BG103" s="5"/>
      <c r="BH103" s="3"/>
      <c r="BI103" s="3"/>
      <c r="BJ103" s="3" t="s">
        <v>109</v>
      </c>
      <c r="BK103" s="3" t="s">
        <v>321</v>
      </c>
      <c r="BL103" s="3">
        <v>43967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7782.15</v>
      </c>
      <c r="CC103" s="3">
        <v>1368.34</v>
      </c>
      <c r="CD103" s="3">
        <v>102259.35</v>
      </c>
      <c r="CE103" s="3" t="s">
        <v>192</v>
      </c>
      <c r="CF103" s="3">
        <v>102259.35</v>
      </c>
      <c r="CG103" s="3">
        <v>0</v>
      </c>
      <c r="CH103" s="3">
        <v>0</v>
      </c>
      <c r="CI103" s="3" t="s">
        <v>112</v>
      </c>
      <c r="CJ103" s="3" t="s">
        <v>112</v>
      </c>
      <c r="CK103" s="3">
        <f>_xlfn.XLOOKUP($B$2,'BASE DE EXCEL'!C:C,'BASE DE EXCEL'!D:D,"NO HAY REFERENCIA")</f>
        <v>470</v>
      </c>
      <c r="CL103" s="5">
        <f>_xlfn.XLOOKUP($B$2,'BASE DE EXCEL'!$C:$C,'BASE DE EXCEL'!F:F,"NO HAY REFERENCIA")</f>
        <v>3</v>
      </c>
      <c r="CM103" s="4">
        <f>_xlfn.XLOOKUP($B$2,'BASE DE EXCEL'!$C:$C,'BASE DE EXCEL'!G:G,"NO HAY REFERENCIA")</f>
        <v>46080</v>
      </c>
      <c r="CN103" s="4">
        <f>_xlfn.XLOOKUP($B$2,'BASE DE EXCEL'!$C:$C,'BASE DE EXCEL'!H:H,"NO HAY REFERENCIA")</f>
        <v>46086</v>
      </c>
      <c r="CO103" s="3">
        <f>_xlfn.XLOOKUP($B$2,'BASE DE EXCEL'!$C:$C,'BASE DE EXCEL'!I:I,"NO HAY REFERENCIA")</f>
        <v>4</v>
      </c>
      <c r="CP103" s="3" t="str">
        <f>_xlfn.XLOOKUP($B$2,'BASE DE EXCEL'!$C:$C,'BASE DE EXCEL'!J:J,"NO HAY REFERENCIA")</f>
        <v>4 a 5 días</v>
      </c>
      <c r="CQ103" s="4">
        <f>_xlfn.XLOOKUP($B$2,'BASE DE EXCEL'!$C:$C,'BASE DE EXCEL'!K:K,"NO HAY REFERENCIA")</f>
        <v>46087</v>
      </c>
      <c r="CR103" s="3">
        <f>_xlfn.XLOOKUP($B$2,'BASE DE EXCEL'!$C:$C,'BASE DE EXCEL'!L:L,"NO HAY REFERENCIA")</f>
        <v>5</v>
      </c>
      <c r="CS103" s="3">
        <f>_xlfn.XLOOKUP($B$2,'BASE DE EXCEL'!$C:$C,'BASE DE EXCEL'!M:M,"NO HAY REFERENCIA")</f>
        <v>6</v>
      </c>
      <c r="CT103" s="3" t="str">
        <f>_xlfn.XLOOKUP($B$2,'BASE DE EXCEL'!$C:$C,'BASE DE EXCEL'!N:N,"NO HAY REFERENCIA")</f>
        <v>6 a 10 días</v>
      </c>
      <c r="CU103" s="3" t="str">
        <f>_xlfn.XLOOKUP($B$2,'BASE DE EXCEL'!$C:$C,'BASE DE EXCEL'!O:O,"NO HAY REFERENCIA")</f>
        <v>On Time</v>
      </c>
      <c r="CV103" s="3" t="str">
        <f>_xlfn.XLOOKUP(B103,'BASE DE EXCEL'!$C:$C,'BASE DE EXCEL'!P:P,"NO HAY REFERENCIA")</f>
        <v>2 a 3 días</v>
      </c>
      <c r="CW103" s="4">
        <f>_xlfn.XLOOKUP(B103,'BASE DE EXCEL'!$C:$C,'BASE DE EXCEL'!Q:Q,"NO HAY REFERENCIA")</f>
        <v>46094</v>
      </c>
      <c r="CX103" s="3">
        <f>_xlfn.XLOOKUP(B103,'BASE DE EXCEL'!$C:$C,'BASE DE EXCEL'!R:R,"NO HAY REFERENCIA")</f>
        <v>5</v>
      </c>
      <c r="CY103" s="3" t="str">
        <f>_xlfn.XLOOKUP(B103,'BASE DE EXCEL'!$C:$C,'BASE DE EXCEL'!S:S,"NO HAY REFERENCIA")</f>
        <v>4 a 5 días</v>
      </c>
      <c r="CZ103" s="3" t="str">
        <f>_xlfn.XLOOKUP(B103,'BASE DE EXCEL'!$C:$C,'BASE DE EXCEL'!T:T,"NO HAY REFERENCIA")</f>
        <v>On Time</v>
      </c>
      <c r="DA103" s="3">
        <f>_xlfn.XLOOKUP(B103,'BASE DE EXCEL'!$C:$C,'BASE DE EXCEL'!U:U,"NO HAY REFERENCIA")</f>
        <v>0</v>
      </c>
      <c r="DB103" s="3" t="str">
        <f>_xlfn.XLOOKUP(B103,'BASE DE EXCEL'!$C:$C,'BASE DE EXCEL'!V:V,"NO HAY REFERENCIA")</f>
        <v>Sin Dato</v>
      </c>
      <c r="DC103" s="3">
        <f>_xlfn.XLOOKUP(B103,'BASE DE EXCEL'!$C:$C,'BASE DE EXCEL'!W:W,"NO HAY REFERENCIA")</f>
        <v>10</v>
      </c>
      <c r="DD103" s="3" t="str">
        <f>_xlfn.XLOOKUP(B103,'BASE DE EXCEL'!$C:$C,'BASE DE EXCEL'!X:X,"NO HAY REFERENCIA")</f>
        <v>6 a 10 días</v>
      </c>
      <c r="DE103" s="3">
        <f>_xlfn.XLOOKUP(B103,'BASE DE EXCEL'!$C:$C,'BASE DE EXCEL'!Y:Y,"NO HAY REFERENCIA")</f>
        <v>0</v>
      </c>
      <c r="DF103" s="3" t="str">
        <f>_xlfn.XLOOKUP(B103,'BASE DE EXCEL'!$C:$C,'BASE DE EXCEL'!Z:Z,"NO HAY REFERENCIA")</f>
        <v>1 día o menos</v>
      </c>
      <c r="DG103" s="3">
        <f>_xlfn.XLOOKUP(B103,'BASE DE EXCEL'!$C:$C,'BASE DE EXCEL'!AA:AA,"NO HAY REFERENCIA")</f>
        <v>2</v>
      </c>
      <c r="DH103" s="3">
        <f>_xlfn.XLOOKUP(B103,'BASE DE EXCEL'!$C:$C,'BASE DE EXCEL'!AB:AB,"NO HAY REFERENCIA")</f>
        <v>-46090</v>
      </c>
      <c r="DI103" s="3" t="str">
        <f>_xlfn.XLOOKUP(B103,'BASE DE EXCEL'!$C:$C,'BASE DE EXCEL'!AC:AC,"NO HAY REFERENCIA")</f>
        <v>SIN DATO</v>
      </c>
      <c r="DJ103" s="4">
        <f>_xlfn.XLOOKUP(B103,'BASE DE EXCEL'!$C:$C,'BASE DE EXCEL'!AD:AD,"NO HAY REFERENCIA")</f>
        <v>46104</v>
      </c>
      <c r="DK103" s="3">
        <f>_xlfn.XLOOKUP(B103,'BASE DE EXCEL'!$C:$C,'BASE DE EXCEL'!AE:AE,"NO HAY REFERENCIA")</f>
        <v>46102</v>
      </c>
      <c r="DL103" s="3">
        <f>_xlfn.XLOOKUP(B103,'BASE DE EXCEL'!$C:$C,'BASE DE EXCEL'!AF:AF,"NO HAY REFERENCIA")</f>
        <v>32930</v>
      </c>
      <c r="DM103" s="4">
        <f>_xlfn.XLOOKUP(B103,'BASE DE EXCEL'!$C:$C,'BASE DE EXCEL'!AG:AG,"NO HAY REFERENCIA")</f>
        <v>46104</v>
      </c>
      <c r="DN103" s="4">
        <f>_xlfn.XLOOKUP(B103,'BASE DE EXCEL'!$C:$C,'BASE DE EXCEL'!AH:AH,"NO HAY REFERENCIA")</f>
        <v>46104</v>
      </c>
      <c r="DO103" s="3">
        <f>_xlfn.XLOOKUP(B103,'BASE DE EXCEL'!$C:$C,'BASE DE EXCEL'!AI:AI,"NO HAY REFERENCIA")</f>
        <v>0</v>
      </c>
      <c r="DP103" s="4" t="str">
        <f>_xlfn.XLOOKUP(B103,'BASE DE EXCEL'!$C:$C,'BASE DE EXCEL'!AJ:AJ,"NO HAY REFERENCIA")</f>
        <v>SIN DATO</v>
      </c>
      <c r="DQ103" s="4">
        <f>_xlfn.XLOOKUP(B103,'BASE DE EXCEL'!$C:$C,'BASE DE EXCEL'!AK:AK,"NO HAY REFERENCIA")</f>
        <v>46104</v>
      </c>
      <c r="DR103" s="3">
        <f>_xlfn.XLOOKUP(B103,'BASE DE EXCEL'!$C:$C,'BASE DE EXCEL'!AL:AL,"NO HAY REFERENCIA")</f>
        <v>6</v>
      </c>
      <c r="DS103" s="3" t="str">
        <f>_xlfn.XLOOKUP(B103,'BASE DE EXCEL'!$C:$C,'BASE DE EXCEL'!AM:AM,"NO HAY REFERENCIA")</f>
        <v>6 a 10 días</v>
      </c>
      <c r="DT103" s="3" t="str">
        <f>_xlfn.XLOOKUP(B103,'BASE DE EXCEL'!$C:$C,'BASE DE EXCEL'!AN:AN,"NO HAY REFERENCIA")</f>
        <v>On Time</v>
      </c>
      <c r="DU103" s="3">
        <f>_xlfn.XLOOKUP(B103,'BASE DE EXCEL'!$C:$C,'BASE DE EXCEL'!AO:AO,"NO HAY REFERENCIA")</f>
        <v>0</v>
      </c>
      <c r="DV103" s="3" t="str">
        <f>_xlfn.XLOOKUP(B103,'BASE DE EXCEL'!$C:$C,'BASE DE EXCEL'!AP:AP,"NO HAY REFERENCIA")</f>
        <v>Es anterior</v>
      </c>
      <c r="DW103" s="3" t="str">
        <f>_xlfn.XLOOKUP(B103,'BASE DE EXCEL'!$C:$C,'BASE DE EXCEL'!AQ:AQ,"NO HAY REFERENCIA")</f>
        <v>A1</v>
      </c>
      <c r="DX103" s="3" t="str">
        <f>_xlfn.XLOOKUP(B103,'BASE DE EXCEL'!$C:$C,'BASE DE EXCEL'!AR:AR,"NO HAY REFERENCIA")</f>
        <v>ZULEIMA PEREZ RUIZ</v>
      </c>
      <c r="DY103" s="3" t="str">
        <f>_xlfn.XLOOKUP(B103,'BASE DE EXCEL'!$C:$C,'BASE DE EXCEL'!AS:AS,"NO HAY REFERENCIA")</f>
        <v>HLCUHAM260250722</v>
      </c>
      <c r="DZ103" s="3" t="str">
        <f>_xlfn.XLOOKUP(B103,'BASE DE EXCEL'!$C:$C,'BASE DE EXCEL'!AT:AT,"NO HAY REFERENCIA")</f>
        <v>NULL</v>
      </c>
      <c r="EA103" s="3">
        <f>_xlfn.XLOOKUP(B103,'BASE DE EXCEL'!$C:$C,'BASE DE EXCEL'!AU:AU,"NO HAY REFERENCIA")</f>
        <v>6000329</v>
      </c>
      <c r="EB103" s="3" t="str">
        <f>_xlfn.XLOOKUP(B103,'BASE DE EXCEL'!$C:$C,'BASE DE EXCEL'!AV:AV,"NO HAY REFERENCIA")</f>
        <v>Importación</v>
      </c>
      <c r="EC103" s="3" t="str">
        <f>_xlfn.XLOOKUP(B103,'BASE DE EXCEL'!$C:$C,'BASE DE EXCEL'!AW:AW,"NO HAY REFERENCIA")</f>
        <v>BRAVECTO 1M TRIPLE 200MG  (MEDICAMENTO DOSIFICADO DE USO VETERINARIO)</v>
      </c>
      <c r="ED103" s="3" t="str">
        <f>_xlfn.XLOOKUP(B103,'BASE DE EXCEL'!$C:$C,'BASE DE EXCEL'!AX:AX,"NO HAY REFERENCIA")</f>
        <v>SIN CLASIFICACION</v>
      </c>
      <c r="EE103" s="3">
        <f>_xlfn.XLOOKUP(B103,'BASE DE EXCEL'!$C:$C,'BASE DE EXCEL'!AY:AY,"NO HAY REFERENCIA")</f>
        <v>0</v>
      </c>
      <c r="EF103" s="3" t="str">
        <f>_xlfn.XLOOKUP(B103,'BASE DE EXCEL'!$C:$C,'BASE DE EXCEL'!AZ:AZ,"NO HAY REFERENCIA")</f>
        <v>Cargas de Importación</v>
      </c>
      <c r="EG103" s="3" t="str">
        <f>_xlfn.XLOOKUP(B103,'BASE DE EXCEL'!$C:$C,'BASE DE EXCEL'!BA:BA,"NO HAY REFERENCIA")</f>
        <v>INTERVET MEXICO SA DE CV</v>
      </c>
      <c r="EH103" s="3">
        <f>_xlfn.XLOOKUP(B103,'BASE DE EXCEL'!$C:$C,'BASE DE EXCEL'!BB:BB,"NO HAY REFERENCIA")</f>
        <v>0</v>
      </c>
      <c r="EI103" s="3">
        <f>_xlfn.XLOOKUP(B103,'BASE DE EXCEL'!$C:$C,'BASE DE EXCEL'!BC:BC,"NO HAY REFERENCIA")</f>
        <v>0</v>
      </c>
      <c r="EJ103" s="3">
        <f>_xlfn.XLOOKUP(B103,'BASE DE EXCEL'!$C:$C,'BASE DE EXCEL'!BD:BD,"NO HAY REFERENCIA")</f>
        <v>0</v>
      </c>
      <c r="EK103" s="3">
        <f>_xlfn.XLOOKUP(B103,'BASE DE EXCEL'!$C:$C,'BASE DE EXCEL'!BE:BE,"NO HAY REFERENCIA")</f>
        <v>0</v>
      </c>
      <c r="EL103" s="3">
        <f>_xlfn.XLOOKUP(B103,'BASE DE EXCEL'!$C:$C,'BASE DE EXCEL'!BF:BF,"NO HAY REFERENCIA")</f>
        <v>0</v>
      </c>
      <c r="EM103" s="3" t="str">
        <f>_xlfn.XLOOKUP(B103,'BASE DE EXCEL'!$C:$C,'BASE DE EXCEL'!BG:BG,"NO HAY REFERENCIA")</f>
        <v>Verde</v>
      </c>
      <c r="EN103" s="3" t="str">
        <f>_xlfn.XLOOKUP(B103,'BASE DE EXCEL'!$C:$C,'BASE DE EXCEL'!BH:BH,"NO HAY REFERENCIA")</f>
        <v>NULL</v>
      </c>
      <c r="EO103" s="3">
        <f>_xlfn.XLOOKUP(B103,'BASE DE EXCEL'!$C:$C,'BASE DE EXCEL'!BI:BI,"NO HAY REFERENCIA")</f>
        <v>0</v>
      </c>
      <c r="EP103" s="3">
        <f>_xlfn.XLOOKUP(B103,'BASE DE EXCEL'!$C:$C,'BASE DE EXCEL'!BJ:BJ,"NO HAY REFERENCIA")</f>
        <v>0</v>
      </c>
      <c r="EQ103" s="3" t="str">
        <f>_xlfn.XLOOKUP(B103,'BASE DE EXCEL'!$C:$C,'BASE DE EXCEL'!BK:BK,"NO HAY REFERENCIA")</f>
        <v>IME850329RH2</v>
      </c>
      <c r="ER103" s="3">
        <f>_xlfn.XLOOKUP(B103,'BASE DE EXCEL'!$C:$C,'BASE DE EXCEL'!BL:BL,"NO HAY REFERENCIA")</f>
        <v>0</v>
      </c>
      <c r="ES103" s="3">
        <f>_xlfn.XLOOKUP(B103,'BASE DE EXCEL'!$C:$C,'BASE DE EXCEL'!BM:BM,"NO HAY REFERENCIA")</f>
        <v>99</v>
      </c>
      <c r="ET103" s="3" t="str">
        <f>_xlfn.XLOOKUP(B103,'BASE DE EXCEL'!$C:$C,'BASE DE EXCEL'!BN:BN,"NO HAY REFERENCIA")</f>
        <v>LOTE: 25F4004AA2,LOTE: 26E4002C01</v>
      </c>
      <c r="EU103" s="3">
        <f>_xlfn.XLOOKUP(B103,'BASE DE EXCEL'!$C:$C,'BASE DE EXCEL'!BO:BO,"NO HAY REFERENCIA")</f>
        <v>90</v>
      </c>
      <c r="EV103" s="3">
        <f>_xlfn.XLOOKUP(B103,'BASE DE EXCEL'!$C:$C,'BASE DE EXCEL'!BP:BP,"NO HAY REFERENCIA")</f>
        <v>5465054</v>
      </c>
      <c r="EW103" s="3" t="str">
        <f>_xlfn.XLOOKUP(B103,'BASE DE EXCEL'!$C:$C,'BASE DE EXCEL'!BQ:BQ,"NO HAY REFERENCIA")</f>
        <v>KILO,KILO</v>
      </c>
      <c r="EX103" s="3">
        <f>_xlfn.XLOOKUP(B103,'BASE DE EXCEL'!$C:$C,'BASE DE EXCEL'!BR:BR,"NO HAY REFERENCIA")</f>
        <v>0</v>
      </c>
      <c r="EY103" s="3" t="str">
        <f>_xlfn.XLOOKUP(B103,'BASE DE EXCEL'!$C:$C,'BASE DE EXCEL'!BS:BS,"NO HAY REFERENCIA")</f>
        <v>AUSTRIA (REPUBLICA DE)</v>
      </c>
      <c r="EZ103" s="3" t="str">
        <f>_xlfn.XLOOKUP(B103,'BASE DE EXCEL'!$C:$C,'BASE DE EXCEL'!BT:BT,"NO HAY REFERENCIA")</f>
        <v>PAISES BAJOS (REINO DE LOS) (HOLANDA)</v>
      </c>
      <c r="FA103" s="3" t="str">
        <f>_xlfn.XLOOKUP(B103,'BASE DE EXCEL'!$C:$C,'BASE DE EXCEL'!BU:BU,"NO HAY REFERENCIA")</f>
        <v>AUT</v>
      </c>
      <c r="FB103" s="3" t="str">
        <f>_xlfn.XLOOKUP(B103,'BASE DE EXCEL'!$C:$C,'BASE DE EXCEL'!BV:BV,"NO HAY REFERENCIA")</f>
        <v>ZYA</v>
      </c>
      <c r="FC103" s="3">
        <f>_xlfn.XLOOKUP(B103,QUERY!$C:$C,QUERY!D:D)</f>
        <v>430</v>
      </c>
      <c r="FD103" s="4">
        <f>_xlfn.XLOOKUP(B103,QUERY!$C:$C,QUERY!E:E)</f>
        <v>46092</v>
      </c>
      <c r="FE103" s="3">
        <f>_xlfn.XLOOKUP(B103,QUERY!$C:$C,QUERY!F:F)</f>
        <v>3</v>
      </c>
      <c r="FF103" s="4">
        <f>_xlfn.XLOOKUP(B103,QUERY!$C:$C,QUERY!G:G)</f>
        <v>46090</v>
      </c>
      <c r="FG103" s="4">
        <f>_xlfn.XLOOKUP(B103,QUERY!$C:$C,QUERY!H:H)</f>
        <v>46092</v>
      </c>
      <c r="FH103" s="3">
        <f>_xlfn.XLOOKUP(B103,QUERY!$C:$C,QUERY!I:I)</f>
        <v>2</v>
      </c>
      <c r="FI103" s="3" t="str">
        <f>_xlfn.XLOOKUP(B103,QUERY!$C:$C,QUERY!J:J)</f>
        <v>2 a 3 días</v>
      </c>
      <c r="FJ103" s="4">
        <f>_xlfn.XLOOKUP(B103,QUERY!$C:$C,QUERY!K:K)</f>
        <v>46092</v>
      </c>
      <c r="FK103" s="3">
        <f>_xlfn.XLOOKUP(B103,QUERY!$C:$C,QUERY!L:L)</f>
        <v>2</v>
      </c>
      <c r="FL103" s="3" t="str">
        <f>_xlfn.XLOOKUP(B103,QUERY!$C:$C,QUERY!M:M)</f>
        <v>2 a 3 días</v>
      </c>
      <c r="FM103" s="3">
        <f>_xlfn.XLOOKUP(B103,QUERY!$C:$C,QUERY!N:N)</f>
        <v>0</v>
      </c>
      <c r="FN103" s="3" t="str">
        <f>_xlfn.XLOOKUP(B103,QUERY!$C:$C,QUERY!O:O)</f>
        <v>1 día o menos</v>
      </c>
      <c r="FO103" s="3">
        <f>_xlfn.XLOOKUP(B103,QUERY!$C:$C,QUERY!P:P)</f>
        <v>0</v>
      </c>
      <c r="FP103" s="3">
        <f>_xlfn.XLOOKUP(B103,QUERY!$C:$C,QUERY!Q:Q)</f>
        <v>2</v>
      </c>
      <c r="FQ103" s="3" t="str">
        <f>_xlfn.XLOOKUP(B103,QUERY!$C:$C,QUERY!R:R)</f>
        <v>2 a 3 días</v>
      </c>
      <c r="FR103" s="4">
        <f>_xlfn.XLOOKUP(B103,QUERY!$C:$C,QUERY!S:S)</f>
        <v>46094</v>
      </c>
      <c r="FS103" s="3">
        <f>_xlfn.XLOOKUP(B103,QUERY!$C:$C,QUERY!T:T)</f>
        <v>4</v>
      </c>
      <c r="FT103" s="3" t="str">
        <f>_xlfn.XLOOKUP(B103,QUERY!$C:$C,QUERY!U:U)</f>
        <v>4 a 5 días</v>
      </c>
      <c r="FU103" s="3">
        <f>_xlfn.XLOOKUP(B103,QUERY!$C:$C,QUERY!V:V)</f>
        <v>10</v>
      </c>
      <c r="FV103" s="3" t="str">
        <f>_xlfn.XLOOKUP(B103,QUERY!$C:$C,QUERY!W:W)</f>
        <v>6 a 10 días</v>
      </c>
      <c r="FW103" s="4">
        <f>_xlfn.XLOOKUP(B103,QUERY!$C:$C,QUERY!X:X)</f>
        <v>46104</v>
      </c>
      <c r="FX103" s="3">
        <f>_xlfn.XLOOKUP(B103,QUERY!$C:$C,QUERY!Y:Y)</f>
        <v>6</v>
      </c>
      <c r="FY103" s="3">
        <f>_xlfn.XLOOKUP(B103,QUERY!$C:$C,QUERY!Z:Z)</f>
        <v>6</v>
      </c>
      <c r="FZ103" s="4" t="str">
        <f>_xlfn.XLOOKUP(B103,QUERY!$C:$C,QUERY!AA:AA)</f>
        <v>6 a 10 días</v>
      </c>
      <c r="GA103" s="4">
        <f>_xlfn.XLOOKUP(B103,QUERY!$C:$C,QUERY!AB:AB)</f>
        <v>46104</v>
      </c>
      <c r="GB103" s="4">
        <f>_xlfn.XLOOKUP(B103,QUERY!$C:$C,QUERY!AC:AC)</f>
        <v>46104</v>
      </c>
      <c r="GC103" s="3">
        <f>_xlfn.XLOOKUP(B103,QUERY!$C:$C,QUERY!AD:AD)</f>
        <v>0</v>
      </c>
      <c r="GD103" s="4">
        <f>_xlfn.XLOOKUP(B103,QUERY!$C:$C,QUERY!AE:AE)</f>
        <v>46104</v>
      </c>
      <c r="GE103" s="3">
        <f>_xlfn.XLOOKUP(B103,QUERY!$C:$C,QUERY!AF:AF)</f>
        <v>1</v>
      </c>
      <c r="GF103" s="4" t="str">
        <f>_xlfn.XLOOKUP(B103,QUERY!$C:$C,QUERY!AG:AG)</f>
        <v>Es anterior</v>
      </c>
      <c r="GG103" s="3" t="str">
        <f>_xlfn.XLOOKUP(B103,QUERY!$C:$C,QUERY!AH:AH)</f>
        <v>A1</v>
      </c>
      <c r="GH103" s="3" t="str">
        <f>_xlfn.XLOOKUP(B103,QUERY!$C:$C,QUERY!AI:AI)</f>
        <v>ZULEIMA PEREZ RUIZ</v>
      </c>
      <c r="GI103" s="3" t="str">
        <f>_xlfn.XLOOKUP(B103,QUERY!$C:$C,QUERY!AJ:AJ)</f>
        <v>HLCUHAM260250722</v>
      </c>
      <c r="GJ103" s="3" t="str">
        <f>_xlfn.XLOOKUP(B103,QUERY!$C:$C,QUERY!AK:AK)</f>
        <v>NULL</v>
      </c>
      <c r="GK103" s="3">
        <f>_xlfn.XLOOKUP(B103,QUERY!$C:$C,QUERY!AL:AL)</f>
        <v>6000329</v>
      </c>
      <c r="GL103" s="3" t="str">
        <f>_xlfn.XLOOKUP(B103,QUERY!$C:$C,QUERY!AM:AM)</f>
        <v>Importación</v>
      </c>
      <c r="GM103" s="3" t="str">
        <f>_xlfn.XLOOKUP(B103,QUERY!$C:$C,QUERY!AN:AN)</f>
        <v>BRAVECTO 1M TRIPLE 200MG  (MEDICAMENTO DOSIFICADO DE USO VETERINARIO)</v>
      </c>
      <c r="GN103" s="3" t="str">
        <f>_xlfn.XLOOKUP(B103,QUERY!$C:$C,QUERY!AO:AO)</f>
        <v>SIN CLASIFICACION</v>
      </c>
      <c r="GO103" s="3">
        <f>_xlfn.XLOOKUP(B103,QUERY!$C:$C,QUERY!AP:AP)</f>
        <v>0</v>
      </c>
      <c r="GP103" s="3" t="str">
        <f>_xlfn.XLOOKUP(B103,QUERY!$C:$C,QUERY!AQ:AQ)</f>
        <v>Cargas de Importación</v>
      </c>
      <c r="GQ103" s="3" t="str">
        <f>_xlfn.XLOOKUP(B103,QUERY!$C:$C,QUERY!AR:AR)</f>
        <v>INTERVET MEXICO SA DE CV</v>
      </c>
      <c r="GR103" s="3">
        <f>_xlfn.XLOOKUP(B103,QUERY!$C:$C,QUERY!AS:AS)</f>
        <v>0</v>
      </c>
      <c r="GS103" s="3">
        <f>_xlfn.XLOOKUP(B103,QUERY!$C:$C,QUERY!AT:AT)</f>
        <v>0</v>
      </c>
      <c r="GT103" s="3">
        <f>_xlfn.XLOOKUP(B103,QUERY!$C:$C,QUERY!AU:AU)</f>
        <v>0</v>
      </c>
      <c r="GU103" s="3">
        <f>_xlfn.XLOOKUP(B103,QUERY!$C:$C,QUERY!AV:AV)</f>
        <v>0</v>
      </c>
      <c r="GV103" s="3">
        <f>_xlfn.XLOOKUP(B103,QUERY!$C:$C,QUERY!AW:AW)</f>
        <v>0</v>
      </c>
      <c r="GW103" s="3" t="str">
        <f>_xlfn.XLOOKUP(B103,QUERY!$C:$C,QUERY!AX:AX)</f>
        <v>Verde</v>
      </c>
      <c r="GX103" s="3" t="str">
        <f>_xlfn.XLOOKUP(B103,QUERY!$C:$C,QUERY!AY:AY)</f>
        <v>NULL</v>
      </c>
      <c r="GY103" s="3">
        <f>_xlfn.XLOOKUP(B103,QUERY!$C:$C,QUERY!AZ:AZ)</f>
        <v>0</v>
      </c>
      <c r="GZ103" s="3">
        <f>_xlfn.XLOOKUP(B103,QUERY!$C:$C,QUERY!BA:BA)</f>
        <v>0</v>
      </c>
      <c r="HA103" s="3" t="str">
        <f>_xlfn.XLOOKUP(B103,QUERY!$C:$C,QUERY!BB:BB)</f>
        <v>IME850329RH2</v>
      </c>
      <c r="HB103" s="3">
        <f>_xlfn.XLOOKUP(B103,QUERY!$C:$C,QUERY!BC:BC)</f>
        <v>0</v>
      </c>
      <c r="HC103" s="3">
        <f>_xlfn.XLOOKUP(B103,QUERY!$C:$C,QUERY!BD:BD)</f>
        <v>99</v>
      </c>
      <c r="HD103" s="3" t="str">
        <f>_xlfn.XLOOKUP(B103,QUERY!$C:$C,QUERY!BE:BE)</f>
        <v>LOTE: 25F4004AA2,LOTE: 26E4002C01</v>
      </c>
      <c r="HE103" s="3">
        <f>_xlfn.XLOOKUP(B103,QUERY!$C:$C,QUERY!BF:BF)</f>
        <v>90</v>
      </c>
      <c r="HF103" s="3" t="str">
        <f>_xlfn.XLOOKUP(B103,QUERY!$C:$C,QUERY!BG:BG)</f>
        <v xml:space="preserve"> 5465054.00</v>
      </c>
      <c r="HG103" s="3" t="str">
        <f>_xlfn.XLOOKUP(B103,QUERY!$C:$C,QUERY!BH:BH)</f>
        <v>KILO,KILO</v>
      </c>
      <c r="HH103" s="3">
        <f>_xlfn.XLOOKUP(B103,QUERY!$C:$C,QUERY!BI:BI)</f>
        <v>0</v>
      </c>
      <c r="HI103" s="3" t="str">
        <f>_xlfn.XLOOKUP(B103,QUERY!$C:$C,QUERY!BJ:BJ)</f>
        <v>AUSTRIA (REPUBLICA DE)</v>
      </c>
      <c r="HJ103" s="3" t="str">
        <f>_xlfn.XLOOKUP(B103,QUERY!$C:$C,QUERY!BK:BK)</f>
        <v>PAISES BAJOS (REINO DE LOS) (HOLANDA)</v>
      </c>
      <c r="HK103" s="3" t="str">
        <f>_xlfn.XLOOKUP(B103,QUERY!$C:$C,QUERY!BL:BL)</f>
        <v>AUT</v>
      </c>
      <c r="HL103" s="3" t="str">
        <f>_xlfn.XLOOKUP(B103,QUERY!$C:$C,QUERY!BM:BM)</f>
        <v>ZYA</v>
      </c>
      <c r="HM103" s="3">
        <f>_xlfn.XLOOKUP(B103,QUERY!$C:$C,QUERY!BN:BN)</f>
        <v>5465054</v>
      </c>
      <c r="HN103" s="3" t="str">
        <f>_xlfn.XLOOKUP(B103,QUERY!$C:$C,QUERY!BO:BO)</f>
        <v>462.00</v>
      </c>
      <c r="HO103" s="3" t="str">
        <f>_xlfn.XLOOKUP(B103,QUERY!$C:$C,QUERY!BP:BP)</f>
        <v>NULL</v>
      </c>
      <c r="HP103" s="3" t="str">
        <f>_xlfn.XLOOKUP(B103,QUERY!$C:$C,QUERY!BQ:BQ)</f>
        <v>NULL</v>
      </c>
      <c r="HQ103" s="3" t="str">
        <f>_xlfn.XLOOKUP(B103,QUERY!$C:$C,QUERY!BR:BR)</f>
        <v>102259.35</v>
      </c>
      <c r="HR103" s="3">
        <f>_xlfn.XLOOKUP(B103,QUERY!$C:$C,QUERY!BS:BS)</f>
        <v>0</v>
      </c>
      <c r="HS103" s="3">
        <f>_xlfn.XLOOKUP(B103,QUERY!$C:$C,QUERY!BT:BT)</f>
        <v>0</v>
      </c>
      <c r="HT103" s="3" t="str">
        <f>_xlfn.XLOOKUP(B103,QUERY!$C:$C,QUERY!A:A)</f>
        <v>VERACRUZ</v>
      </c>
      <c r="HU103" s="3" t="str">
        <f>_xlfn.XLOOKUP(B103,QUERY!$C:$C,QUERY!B:B)</f>
        <v>MARÍTIMO VERACRUZ</v>
      </c>
    </row>
    <row r="104" spans="1:229" x14ac:dyDescent="0.25">
      <c r="A104" s="3" t="s">
        <v>90</v>
      </c>
      <c r="B104" s="3" t="s">
        <v>317</v>
      </c>
      <c r="C104" s="3">
        <v>3942</v>
      </c>
      <c r="D104" s="3">
        <v>6000329</v>
      </c>
      <c r="E104" s="3"/>
      <c r="F104" s="3" t="s">
        <v>92</v>
      </c>
      <c r="G104" s="3" t="s">
        <v>93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430</v>
      </c>
      <c r="S104" s="3" t="s">
        <v>318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 t="s">
        <v>135</v>
      </c>
      <c r="AB104" s="3"/>
      <c r="AC104" s="3">
        <v>1272242</v>
      </c>
      <c r="AD104" s="3">
        <v>73.540000000000006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/>
      <c r="AP104" s="3" t="s">
        <v>98</v>
      </c>
      <c r="AQ104" s="3">
        <v>210366708</v>
      </c>
      <c r="AR104" s="3" t="s">
        <v>99</v>
      </c>
      <c r="AS104" s="3" t="s">
        <v>100</v>
      </c>
      <c r="AT104" s="3">
        <v>0</v>
      </c>
      <c r="AU104" s="3">
        <v>0</v>
      </c>
      <c r="AV104" s="3">
        <v>0</v>
      </c>
      <c r="AW104" s="3">
        <v>30049099</v>
      </c>
      <c r="AX104" s="3">
        <v>99</v>
      </c>
      <c r="AY104" s="3">
        <v>17300</v>
      </c>
      <c r="AZ104" s="3">
        <v>17300</v>
      </c>
      <c r="BA104" s="3" t="s">
        <v>103</v>
      </c>
      <c r="BB104" s="3"/>
      <c r="BC104" s="3" t="s">
        <v>133</v>
      </c>
      <c r="BD104" s="3" t="s">
        <v>105</v>
      </c>
      <c r="BE104" s="3"/>
      <c r="BF104" s="3"/>
      <c r="BG104" s="5"/>
      <c r="BH104" s="3"/>
      <c r="BI104" s="3"/>
      <c r="BJ104" s="3"/>
      <c r="BK104" s="3" t="s">
        <v>321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 t="s">
        <v>192</v>
      </c>
      <c r="CF104" s="3">
        <v>0</v>
      </c>
      <c r="CG104" s="3">
        <v>0</v>
      </c>
      <c r="CH104" s="3">
        <v>0</v>
      </c>
      <c r="CI104" s="3" t="s">
        <v>112</v>
      </c>
      <c r="CJ104" s="3" t="s">
        <v>112</v>
      </c>
      <c r="CK104" s="3">
        <f>_xlfn.XLOOKUP($B$2,'BASE DE EXCEL'!C:C,'BASE DE EXCEL'!D:D,"NO HAY REFERENCIA")</f>
        <v>470</v>
      </c>
      <c r="CL104" s="5">
        <f>_xlfn.XLOOKUP($B$2,'BASE DE EXCEL'!$C:$C,'BASE DE EXCEL'!F:F,"NO HAY REFERENCIA")</f>
        <v>3</v>
      </c>
      <c r="CM104" s="4">
        <f>_xlfn.XLOOKUP($B$2,'BASE DE EXCEL'!$C:$C,'BASE DE EXCEL'!G:G,"NO HAY REFERENCIA")</f>
        <v>46080</v>
      </c>
      <c r="CN104" s="4">
        <f>_xlfn.XLOOKUP($B$2,'BASE DE EXCEL'!$C:$C,'BASE DE EXCEL'!H:H,"NO HAY REFERENCIA")</f>
        <v>46086</v>
      </c>
      <c r="CO104" s="3">
        <f>_xlfn.XLOOKUP($B$2,'BASE DE EXCEL'!$C:$C,'BASE DE EXCEL'!I:I,"NO HAY REFERENCIA")</f>
        <v>4</v>
      </c>
      <c r="CP104" s="3" t="str">
        <f>_xlfn.XLOOKUP($B$2,'BASE DE EXCEL'!$C:$C,'BASE DE EXCEL'!J:J,"NO HAY REFERENCIA")</f>
        <v>4 a 5 días</v>
      </c>
      <c r="CQ104" s="4">
        <f>_xlfn.XLOOKUP($B$2,'BASE DE EXCEL'!$C:$C,'BASE DE EXCEL'!K:K,"NO HAY REFERENCIA")</f>
        <v>46087</v>
      </c>
      <c r="CR104" s="3">
        <f>_xlfn.XLOOKUP($B$2,'BASE DE EXCEL'!$C:$C,'BASE DE EXCEL'!L:L,"NO HAY REFERENCIA")</f>
        <v>5</v>
      </c>
      <c r="CS104" s="3">
        <f>_xlfn.XLOOKUP($B$2,'BASE DE EXCEL'!$C:$C,'BASE DE EXCEL'!M:M,"NO HAY REFERENCIA")</f>
        <v>6</v>
      </c>
      <c r="CT104" s="3" t="str">
        <f>_xlfn.XLOOKUP($B$2,'BASE DE EXCEL'!$C:$C,'BASE DE EXCEL'!N:N,"NO HAY REFERENCIA")</f>
        <v>6 a 10 días</v>
      </c>
      <c r="CU104" s="3" t="str">
        <f>_xlfn.XLOOKUP($B$2,'BASE DE EXCEL'!$C:$C,'BASE DE EXCEL'!O:O,"NO HAY REFERENCIA")</f>
        <v>On Time</v>
      </c>
      <c r="CV104" s="3" t="str">
        <f>_xlfn.XLOOKUP(B104,'BASE DE EXCEL'!$C:$C,'BASE DE EXCEL'!P:P,"NO HAY REFERENCIA")</f>
        <v>2 a 3 días</v>
      </c>
      <c r="CW104" s="4">
        <f>_xlfn.XLOOKUP(B104,'BASE DE EXCEL'!$C:$C,'BASE DE EXCEL'!Q:Q,"NO HAY REFERENCIA")</f>
        <v>46094</v>
      </c>
      <c r="CX104" s="3">
        <f>_xlfn.XLOOKUP(B104,'BASE DE EXCEL'!$C:$C,'BASE DE EXCEL'!R:R,"NO HAY REFERENCIA")</f>
        <v>5</v>
      </c>
      <c r="CY104" s="3" t="str">
        <f>_xlfn.XLOOKUP(B104,'BASE DE EXCEL'!$C:$C,'BASE DE EXCEL'!S:S,"NO HAY REFERENCIA")</f>
        <v>4 a 5 días</v>
      </c>
      <c r="CZ104" s="3" t="str">
        <f>_xlfn.XLOOKUP(B104,'BASE DE EXCEL'!$C:$C,'BASE DE EXCEL'!T:T,"NO HAY REFERENCIA")</f>
        <v>On Time</v>
      </c>
      <c r="DA104" s="3">
        <f>_xlfn.XLOOKUP(B104,'BASE DE EXCEL'!$C:$C,'BASE DE EXCEL'!U:U,"NO HAY REFERENCIA")</f>
        <v>0</v>
      </c>
      <c r="DB104" s="3" t="str">
        <f>_xlfn.XLOOKUP(B104,'BASE DE EXCEL'!$C:$C,'BASE DE EXCEL'!V:V,"NO HAY REFERENCIA")</f>
        <v>Sin Dato</v>
      </c>
      <c r="DC104" s="3">
        <f>_xlfn.XLOOKUP(B104,'BASE DE EXCEL'!$C:$C,'BASE DE EXCEL'!W:W,"NO HAY REFERENCIA")</f>
        <v>10</v>
      </c>
      <c r="DD104" s="3" t="str">
        <f>_xlfn.XLOOKUP(B104,'BASE DE EXCEL'!$C:$C,'BASE DE EXCEL'!X:X,"NO HAY REFERENCIA")</f>
        <v>6 a 10 días</v>
      </c>
      <c r="DE104" s="3">
        <f>_xlfn.XLOOKUP(B104,'BASE DE EXCEL'!$C:$C,'BASE DE EXCEL'!Y:Y,"NO HAY REFERENCIA")</f>
        <v>0</v>
      </c>
      <c r="DF104" s="3" t="str">
        <f>_xlfn.XLOOKUP(B104,'BASE DE EXCEL'!$C:$C,'BASE DE EXCEL'!Z:Z,"NO HAY REFERENCIA")</f>
        <v>1 día o menos</v>
      </c>
      <c r="DG104" s="3">
        <f>_xlfn.XLOOKUP(B104,'BASE DE EXCEL'!$C:$C,'BASE DE EXCEL'!AA:AA,"NO HAY REFERENCIA")</f>
        <v>2</v>
      </c>
      <c r="DH104" s="3">
        <f>_xlfn.XLOOKUP(B104,'BASE DE EXCEL'!$C:$C,'BASE DE EXCEL'!AB:AB,"NO HAY REFERENCIA")</f>
        <v>-46090</v>
      </c>
      <c r="DI104" s="3" t="str">
        <f>_xlfn.XLOOKUP(B104,'BASE DE EXCEL'!$C:$C,'BASE DE EXCEL'!AC:AC,"NO HAY REFERENCIA")</f>
        <v>SIN DATO</v>
      </c>
      <c r="DJ104" s="4">
        <f>_xlfn.XLOOKUP(B104,'BASE DE EXCEL'!$C:$C,'BASE DE EXCEL'!AD:AD,"NO HAY REFERENCIA")</f>
        <v>46104</v>
      </c>
      <c r="DK104" s="3">
        <f>_xlfn.XLOOKUP(B104,'BASE DE EXCEL'!$C:$C,'BASE DE EXCEL'!AE:AE,"NO HAY REFERENCIA")</f>
        <v>46102</v>
      </c>
      <c r="DL104" s="3">
        <f>_xlfn.XLOOKUP(B104,'BASE DE EXCEL'!$C:$C,'BASE DE EXCEL'!AF:AF,"NO HAY REFERENCIA")</f>
        <v>32930</v>
      </c>
      <c r="DM104" s="4">
        <f>_xlfn.XLOOKUP(B104,'BASE DE EXCEL'!$C:$C,'BASE DE EXCEL'!AG:AG,"NO HAY REFERENCIA")</f>
        <v>46104</v>
      </c>
      <c r="DN104" s="4">
        <f>_xlfn.XLOOKUP(B104,'BASE DE EXCEL'!$C:$C,'BASE DE EXCEL'!AH:AH,"NO HAY REFERENCIA")</f>
        <v>46104</v>
      </c>
      <c r="DO104" s="3">
        <f>_xlfn.XLOOKUP(B104,'BASE DE EXCEL'!$C:$C,'BASE DE EXCEL'!AI:AI,"NO HAY REFERENCIA")</f>
        <v>0</v>
      </c>
      <c r="DP104" s="4" t="str">
        <f>_xlfn.XLOOKUP(B104,'BASE DE EXCEL'!$C:$C,'BASE DE EXCEL'!AJ:AJ,"NO HAY REFERENCIA")</f>
        <v>SIN DATO</v>
      </c>
      <c r="DQ104" s="4">
        <f>_xlfn.XLOOKUP(B104,'BASE DE EXCEL'!$C:$C,'BASE DE EXCEL'!AK:AK,"NO HAY REFERENCIA")</f>
        <v>46104</v>
      </c>
      <c r="DR104" s="3">
        <f>_xlfn.XLOOKUP(B104,'BASE DE EXCEL'!$C:$C,'BASE DE EXCEL'!AL:AL,"NO HAY REFERENCIA")</f>
        <v>6</v>
      </c>
      <c r="DS104" s="3" t="str">
        <f>_xlfn.XLOOKUP(B104,'BASE DE EXCEL'!$C:$C,'BASE DE EXCEL'!AM:AM,"NO HAY REFERENCIA")</f>
        <v>6 a 10 días</v>
      </c>
      <c r="DT104" s="3" t="str">
        <f>_xlfn.XLOOKUP(B104,'BASE DE EXCEL'!$C:$C,'BASE DE EXCEL'!AN:AN,"NO HAY REFERENCIA")</f>
        <v>On Time</v>
      </c>
      <c r="DU104" s="3">
        <f>_xlfn.XLOOKUP(B104,'BASE DE EXCEL'!$C:$C,'BASE DE EXCEL'!AO:AO,"NO HAY REFERENCIA")</f>
        <v>0</v>
      </c>
      <c r="DV104" s="3" t="str">
        <f>_xlfn.XLOOKUP(B104,'BASE DE EXCEL'!$C:$C,'BASE DE EXCEL'!AP:AP,"NO HAY REFERENCIA")</f>
        <v>Es anterior</v>
      </c>
      <c r="DW104" s="3" t="str">
        <f>_xlfn.XLOOKUP(B104,'BASE DE EXCEL'!$C:$C,'BASE DE EXCEL'!AQ:AQ,"NO HAY REFERENCIA")</f>
        <v>A1</v>
      </c>
      <c r="DX104" s="3" t="str">
        <f>_xlfn.XLOOKUP(B104,'BASE DE EXCEL'!$C:$C,'BASE DE EXCEL'!AR:AR,"NO HAY REFERENCIA")</f>
        <v>ZULEIMA PEREZ RUIZ</v>
      </c>
      <c r="DY104" s="3" t="str">
        <f>_xlfn.XLOOKUP(B104,'BASE DE EXCEL'!$C:$C,'BASE DE EXCEL'!AS:AS,"NO HAY REFERENCIA")</f>
        <v>HLCUHAM260250722</v>
      </c>
      <c r="DZ104" s="3" t="str">
        <f>_xlfn.XLOOKUP(B104,'BASE DE EXCEL'!$C:$C,'BASE DE EXCEL'!AT:AT,"NO HAY REFERENCIA")</f>
        <v>NULL</v>
      </c>
      <c r="EA104" s="3">
        <f>_xlfn.XLOOKUP(B104,'BASE DE EXCEL'!$C:$C,'BASE DE EXCEL'!AU:AU,"NO HAY REFERENCIA")</f>
        <v>6000329</v>
      </c>
      <c r="EB104" s="3" t="str">
        <f>_xlfn.XLOOKUP(B104,'BASE DE EXCEL'!$C:$C,'BASE DE EXCEL'!AV:AV,"NO HAY REFERENCIA")</f>
        <v>Importación</v>
      </c>
      <c r="EC104" s="3" t="str">
        <f>_xlfn.XLOOKUP(B104,'BASE DE EXCEL'!$C:$C,'BASE DE EXCEL'!AW:AW,"NO HAY REFERENCIA")</f>
        <v>BRAVECTO 1M TRIPLE 200MG  (MEDICAMENTO DOSIFICADO DE USO VETERINARIO)</v>
      </c>
      <c r="ED104" s="3" t="str">
        <f>_xlfn.XLOOKUP(B104,'BASE DE EXCEL'!$C:$C,'BASE DE EXCEL'!AX:AX,"NO HAY REFERENCIA")</f>
        <v>SIN CLASIFICACION</v>
      </c>
      <c r="EE104" s="3">
        <f>_xlfn.XLOOKUP(B104,'BASE DE EXCEL'!$C:$C,'BASE DE EXCEL'!AY:AY,"NO HAY REFERENCIA")</f>
        <v>0</v>
      </c>
      <c r="EF104" s="3" t="str">
        <f>_xlfn.XLOOKUP(B104,'BASE DE EXCEL'!$C:$C,'BASE DE EXCEL'!AZ:AZ,"NO HAY REFERENCIA")</f>
        <v>Cargas de Importación</v>
      </c>
      <c r="EG104" s="3" t="str">
        <f>_xlfn.XLOOKUP(B104,'BASE DE EXCEL'!$C:$C,'BASE DE EXCEL'!BA:BA,"NO HAY REFERENCIA")</f>
        <v>INTERVET MEXICO SA DE CV</v>
      </c>
      <c r="EH104" s="3">
        <f>_xlfn.XLOOKUP(B104,'BASE DE EXCEL'!$C:$C,'BASE DE EXCEL'!BB:BB,"NO HAY REFERENCIA")</f>
        <v>0</v>
      </c>
      <c r="EI104" s="3">
        <f>_xlfn.XLOOKUP(B104,'BASE DE EXCEL'!$C:$C,'BASE DE EXCEL'!BC:BC,"NO HAY REFERENCIA")</f>
        <v>0</v>
      </c>
      <c r="EJ104" s="3">
        <f>_xlfn.XLOOKUP(B104,'BASE DE EXCEL'!$C:$C,'BASE DE EXCEL'!BD:BD,"NO HAY REFERENCIA")</f>
        <v>0</v>
      </c>
      <c r="EK104" s="3">
        <f>_xlfn.XLOOKUP(B104,'BASE DE EXCEL'!$C:$C,'BASE DE EXCEL'!BE:BE,"NO HAY REFERENCIA")</f>
        <v>0</v>
      </c>
      <c r="EL104" s="3">
        <f>_xlfn.XLOOKUP(B104,'BASE DE EXCEL'!$C:$C,'BASE DE EXCEL'!BF:BF,"NO HAY REFERENCIA")</f>
        <v>0</v>
      </c>
      <c r="EM104" s="3" t="str">
        <f>_xlfn.XLOOKUP(B104,'BASE DE EXCEL'!$C:$C,'BASE DE EXCEL'!BG:BG,"NO HAY REFERENCIA")</f>
        <v>Verde</v>
      </c>
      <c r="EN104" s="3" t="str">
        <f>_xlfn.XLOOKUP(B104,'BASE DE EXCEL'!$C:$C,'BASE DE EXCEL'!BH:BH,"NO HAY REFERENCIA")</f>
        <v>NULL</v>
      </c>
      <c r="EO104" s="3">
        <f>_xlfn.XLOOKUP(B104,'BASE DE EXCEL'!$C:$C,'BASE DE EXCEL'!BI:BI,"NO HAY REFERENCIA")</f>
        <v>0</v>
      </c>
      <c r="EP104" s="3">
        <f>_xlfn.XLOOKUP(B104,'BASE DE EXCEL'!$C:$C,'BASE DE EXCEL'!BJ:BJ,"NO HAY REFERENCIA")</f>
        <v>0</v>
      </c>
      <c r="EQ104" s="3" t="str">
        <f>_xlfn.XLOOKUP(B104,'BASE DE EXCEL'!$C:$C,'BASE DE EXCEL'!BK:BK,"NO HAY REFERENCIA")</f>
        <v>IME850329RH2</v>
      </c>
      <c r="ER104" s="3">
        <f>_xlfn.XLOOKUP(B104,'BASE DE EXCEL'!$C:$C,'BASE DE EXCEL'!BL:BL,"NO HAY REFERENCIA")</f>
        <v>0</v>
      </c>
      <c r="ES104" s="3">
        <f>_xlfn.XLOOKUP(B104,'BASE DE EXCEL'!$C:$C,'BASE DE EXCEL'!BM:BM,"NO HAY REFERENCIA")</f>
        <v>99</v>
      </c>
      <c r="ET104" s="3" t="str">
        <f>_xlfn.XLOOKUP(B104,'BASE DE EXCEL'!$C:$C,'BASE DE EXCEL'!BN:BN,"NO HAY REFERENCIA")</f>
        <v>LOTE: 25F4004AA2,LOTE: 26E4002C01</v>
      </c>
      <c r="EU104" s="3">
        <f>_xlfn.XLOOKUP(B104,'BASE DE EXCEL'!$C:$C,'BASE DE EXCEL'!BO:BO,"NO HAY REFERENCIA")</f>
        <v>90</v>
      </c>
      <c r="EV104" s="3">
        <f>_xlfn.XLOOKUP(B104,'BASE DE EXCEL'!$C:$C,'BASE DE EXCEL'!BP:BP,"NO HAY REFERENCIA")</f>
        <v>5465054</v>
      </c>
      <c r="EW104" s="3" t="str">
        <f>_xlfn.XLOOKUP(B104,'BASE DE EXCEL'!$C:$C,'BASE DE EXCEL'!BQ:BQ,"NO HAY REFERENCIA")</f>
        <v>KILO,KILO</v>
      </c>
      <c r="EX104" s="3">
        <f>_xlfn.XLOOKUP(B104,'BASE DE EXCEL'!$C:$C,'BASE DE EXCEL'!BR:BR,"NO HAY REFERENCIA")</f>
        <v>0</v>
      </c>
      <c r="EY104" s="3" t="str">
        <f>_xlfn.XLOOKUP(B104,'BASE DE EXCEL'!$C:$C,'BASE DE EXCEL'!BS:BS,"NO HAY REFERENCIA")</f>
        <v>AUSTRIA (REPUBLICA DE)</v>
      </c>
      <c r="EZ104" s="3" t="str">
        <f>_xlfn.XLOOKUP(B104,'BASE DE EXCEL'!$C:$C,'BASE DE EXCEL'!BT:BT,"NO HAY REFERENCIA")</f>
        <v>PAISES BAJOS (REINO DE LOS) (HOLANDA)</v>
      </c>
      <c r="FA104" s="3" t="str">
        <f>_xlfn.XLOOKUP(B104,'BASE DE EXCEL'!$C:$C,'BASE DE EXCEL'!BU:BU,"NO HAY REFERENCIA")</f>
        <v>AUT</v>
      </c>
      <c r="FB104" s="3" t="str">
        <f>_xlfn.XLOOKUP(B104,'BASE DE EXCEL'!$C:$C,'BASE DE EXCEL'!BV:BV,"NO HAY REFERENCIA")</f>
        <v>ZYA</v>
      </c>
      <c r="FC104" s="3">
        <f>_xlfn.XLOOKUP(B104,QUERY!$C:$C,QUERY!D:D)</f>
        <v>430</v>
      </c>
      <c r="FD104" s="4">
        <f>_xlfn.XLOOKUP(B104,QUERY!$C:$C,QUERY!E:E)</f>
        <v>46092</v>
      </c>
      <c r="FE104" s="3">
        <f>_xlfn.XLOOKUP(B104,QUERY!$C:$C,QUERY!F:F)</f>
        <v>3</v>
      </c>
      <c r="FF104" s="4">
        <f>_xlfn.XLOOKUP(B104,QUERY!$C:$C,QUERY!G:G)</f>
        <v>46090</v>
      </c>
      <c r="FG104" s="4">
        <f>_xlfn.XLOOKUP(B104,QUERY!$C:$C,QUERY!H:H)</f>
        <v>46092</v>
      </c>
      <c r="FH104" s="3">
        <f>_xlfn.XLOOKUP(B104,QUERY!$C:$C,QUERY!I:I)</f>
        <v>2</v>
      </c>
      <c r="FI104" s="3" t="str">
        <f>_xlfn.XLOOKUP(B104,QUERY!$C:$C,QUERY!J:J)</f>
        <v>2 a 3 días</v>
      </c>
      <c r="FJ104" s="4">
        <f>_xlfn.XLOOKUP(B104,QUERY!$C:$C,QUERY!K:K)</f>
        <v>46092</v>
      </c>
      <c r="FK104" s="3">
        <f>_xlfn.XLOOKUP(B104,QUERY!$C:$C,QUERY!L:L)</f>
        <v>2</v>
      </c>
      <c r="FL104" s="3" t="str">
        <f>_xlfn.XLOOKUP(B104,QUERY!$C:$C,QUERY!M:M)</f>
        <v>2 a 3 días</v>
      </c>
      <c r="FM104" s="3">
        <f>_xlfn.XLOOKUP(B104,QUERY!$C:$C,QUERY!N:N)</f>
        <v>0</v>
      </c>
      <c r="FN104" s="3" t="str">
        <f>_xlfn.XLOOKUP(B104,QUERY!$C:$C,QUERY!O:O)</f>
        <v>1 día o menos</v>
      </c>
      <c r="FO104" s="3">
        <f>_xlfn.XLOOKUP(B104,QUERY!$C:$C,QUERY!P:P)</f>
        <v>0</v>
      </c>
      <c r="FP104" s="3">
        <f>_xlfn.XLOOKUP(B104,QUERY!$C:$C,QUERY!Q:Q)</f>
        <v>2</v>
      </c>
      <c r="FQ104" s="3" t="str">
        <f>_xlfn.XLOOKUP(B104,QUERY!$C:$C,QUERY!R:R)</f>
        <v>2 a 3 días</v>
      </c>
      <c r="FR104" s="4">
        <f>_xlfn.XLOOKUP(B104,QUERY!$C:$C,QUERY!S:S)</f>
        <v>46094</v>
      </c>
      <c r="FS104" s="3">
        <f>_xlfn.XLOOKUP(B104,QUERY!$C:$C,QUERY!T:T)</f>
        <v>4</v>
      </c>
      <c r="FT104" s="3" t="str">
        <f>_xlfn.XLOOKUP(B104,QUERY!$C:$C,QUERY!U:U)</f>
        <v>4 a 5 días</v>
      </c>
      <c r="FU104" s="3">
        <f>_xlfn.XLOOKUP(B104,QUERY!$C:$C,QUERY!V:V)</f>
        <v>10</v>
      </c>
      <c r="FV104" s="3" t="str">
        <f>_xlfn.XLOOKUP(B104,QUERY!$C:$C,QUERY!W:W)</f>
        <v>6 a 10 días</v>
      </c>
      <c r="FW104" s="4">
        <f>_xlfn.XLOOKUP(B104,QUERY!$C:$C,QUERY!X:X)</f>
        <v>46104</v>
      </c>
      <c r="FX104" s="3">
        <f>_xlfn.XLOOKUP(B104,QUERY!$C:$C,QUERY!Y:Y)</f>
        <v>6</v>
      </c>
      <c r="FY104" s="3">
        <f>_xlfn.XLOOKUP(B104,QUERY!$C:$C,QUERY!Z:Z)</f>
        <v>6</v>
      </c>
      <c r="FZ104" s="4" t="str">
        <f>_xlfn.XLOOKUP(B104,QUERY!$C:$C,QUERY!AA:AA)</f>
        <v>6 a 10 días</v>
      </c>
      <c r="GA104" s="4">
        <f>_xlfn.XLOOKUP(B104,QUERY!$C:$C,QUERY!AB:AB)</f>
        <v>46104</v>
      </c>
      <c r="GB104" s="4">
        <f>_xlfn.XLOOKUP(B104,QUERY!$C:$C,QUERY!AC:AC)</f>
        <v>46104</v>
      </c>
      <c r="GC104" s="3">
        <f>_xlfn.XLOOKUP(B104,QUERY!$C:$C,QUERY!AD:AD)</f>
        <v>0</v>
      </c>
      <c r="GD104" s="4">
        <f>_xlfn.XLOOKUP(B104,QUERY!$C:$C,QUERY!AE:AE)</f>
        <v>46104</v>
      </c>
      <c r="GE104" s="3">
        <f>_xlfn.XLOOKUP(B104,QUERY!$C:$C,QUERY!AF:AF)</f>
        <v>1</v>
      </c>
      <c r="GF104" s="4" t="str">
        <f>_xlfn.XLOOKUP(B104,QUERY!$C:$C,QUERY!AG:AG)</f>
        <v>Es anterior</v>
      </c>
      <c r="GG104" s="3" t="str">
        <f>_xlfn.XLOOKUP(B104,QUERY!$C:$C,QUERY!AH:AH)</f>
        <v>A1</v>
      </c>
      <c r="GH104" s="3" t="str">
        <f>_xlfn.XLOOKUP(B104,QUERY!$C:$C,QUERY!AI:AI)</f>
        <v>ZULEIMA PEREZ RUIZ</v>
      </c>
      <c r="GI104" s="3" t="str">
        <f>_xlfn.XLOOKUP(B104,QUERY!$C:$C,QUERY!AJ:AJ)</f>
        <v>HLCUHAM260250722</v>
      </c>
      <c r="GJ104" s="3" t="str">
        <f>_xlfn.XLOOKUP(B104,QUERY!$C:$C,QUERY!AK:AK)</f>
        <v>NULL</v>
      </c>
      <c r="GK104" s="3">
        <f>_xlfn.XLOOKUP(B104,QUERY!$C:$C,QUERY!AL:AL)</f>
        <v>6000329</v>
      </c>
      <c r="GL104" s="3" t="str">
        <f>_xlfn.XLOOKUP(B104,QUERY!$C:$C,QUERY!AM:AM)</f>
        <v>Importación</v>
      </c>
      <c r="GM104" s="3" t="str">
        <f>_xlfn.XLOOKUP(B104,QUERY!$C:$C,QUERY!AN:AN)</f>
        <v>BRAVECTO 1M TRIPLE 200MG  (MEDICAMENTO DOSIFICADO DE USO VETERINARIO)</v>
      </c>
      <c r="GN104" s="3" t="str">
        <f>_xlfn.XLOOKUP(B104,QUERY!$C:$C,QUERY!AO:AO)</f>
        <v>SIN CLASIFICACION</v>
      </c>
      <c r="GO104" s="3">
        <f>_xlfn.XLOOKUP(B104,QUERY!$C:$C,QUERY!AP:AP)</f>
        <v>0</v>
      </c>
      <c r="GP104" s="3" t="str">
        <f>_xlfn.XLOOKUP(B104,QUERY!$C:$C,QUERY!AQ:AQ)</f>
        <v>Cargas de Importación</v>
      </c>
      <c r="GQ104" s="3" t="str">
        <f>_xlfn.XLOOKUP(B104,QUERY!$C:$C,QUERY!AR:AR)</f>
        <v>INTERVET MEXICO SA DE CV</v>
      </c>
      <c r="GR104" s="3">
        <f>_xlfn.XLOOKUP(B104,QUERY!$C:$C,QUERY!AS:AS)</f>
        <v>0</v>
      </c>
      <c r="GS104" s="3">
        <f>_xlfn.XLOOKUP(B104,QUERY!$C:$C,QUERY!AT:AT)</f>
        <v>0</v>
      </c>
      <c r="GT104" s="3">
        <f>_xlfn.XLOOKUP(B104,QUERY!$C:$C,QUERY!AU:AU)</f>
        <v>0</v>
      </c>
      <c r="GU104" s="3">
        <f>_xlfn.XLOOKUP(B104,QUERY!$C:$C,QUERY!AV:AV)</f>
        <v>0</v>
      </c>
      <c r="GV104" s="3">
        <f>_xlfn.XLOOKUP(B104,QUERY!$C:$C,QUERY!AW:AW)</f>
        <v>0</v>
      </c>
      <c r="GW104" s="3" t="str">
        <f>_xlfn.XLOOKUP(B104,QUERY!$C:$C,QUERY!AX:AX)</f>
        <v>Verde</v>
      </c>
      <c r="GX104" s="3" t="str">
        <f>_xlfn.XLOOKUP(B104,QUERY!$C:$C,QUERY!AY:AY)</f>
        <v>NULL</v>
      </c>
      <c r="GY104" s="3">
        <f>_xlfn.XLOOKUP(B104,QUERY!$C:$C,QUERY!AZ:AZ)</f>
        <v>0</v>
      </c>
      <c r="GZ104" s="3">
        <f>_xlfn.XLOOKUP(B104,QUERY!$C:$C,QUERY!BA:BA)</f>
        <v>0</v>
      </c>
      <c r="HA104" s="3" t="str">
        <f>_xlfn.XLOOKUP(B104,QUERY!$C:$C,QUERY!BB:BB)</f>
        <v>IME850329RH2</v>
      </c>
      <c r="HB104" s="3">
        <f>_xlfn.XLOOKUP(B104,QUERY!$C:$C,QUERY!BC:BC)</f>
        <v>0</v>
      </c>
      <c r="HC104" s="3">
        <f>_xlfn.XLOOKUP(B104,QUERY!$C:$C,QUERY!BD:BD)</f>
        <v>99</v>
      </c>
      <c r="HD104" s="3" t="str">
        <f>_xlfn.XLOOKUP(B104,QUERY!$C:$C,QUERY!BE:BE)</f>
        <v>LOTE: 25F4004AA2,LOTE: 26E4002C01</v>
      </c>
      <c r="HE104" s="3">
        <f>_xlfn.XLOOKUP(B104,QUERY!$C:$C,QUERY!BF:BF)</f>
        <v>90</v>
      </c>
      <c r="HF104" s="3" t="str">
        <f>_xlfn.XLOOKUP(B104,QUERY!$C:$C,QUERY!BG:BG)</f>
        <v xml:space="preserve"> 5465054.00</v>
      </c>
      <c r="HG104" s="3" t="str">
        <f>_xlfn.XLOOKUP(B104,QUERY!$C:$C,QUERY!BH:BH)</f>
        <v>KILO,KILO</v>
      </c>
      <c r="HH104" s="3">
        <f>_xlfn.XLOOKUP(B104,QUERY!$C:$C,QUERY!BI:BI)</f>
        <v>0</v>
      </c>
      <c r="HI104" s="3" t="str">
        <f>_xlfn.XLOOKUP(B104,QUERY!$C:$C,QUERY!BJ:BJ)</f>
        <v>AUSTRIA (REPUBLICA DE)</v>
      </c>
      <c r="HJ104" s="3" t="str">
        <f>_xlfn.XLOOKUP(B104,QUERY!$C:$C,QUERY!BK:BK)</f>
        <v>PAISES BAJOS (REINO DE LOS) (HOLANDA)</v>
      </c>
      <c r="HK104" s="3" t="str">
        <f>_xlfn.XLOOKUP(B104,QUERY!$C:$C,QUERY!BL:BL)</f>
        <v>AUT</v>
      </c>
      <c r="HL104" s="3" t="str">
        <f>_xlfn.XLOOKUP(B104,QUERY!$C:$C,QUERY!BM:BM)</f>
        <v>ZYA</v>
      </c>
      <c r="HM104" s="3">
        <f>_xlfn.XLOOKUP(B104,QUERY!$C:$C,QUERY!BN:BN)</f>
        <v>5465054</v>
      </c>
      <c r="HN104" s="3" t="str">
        <f>_xlfn.XLOOKUP(B104,QUERY!$C:$C,QUERY!BO:BO)</f>
        <v>462.00</v>
      </c>
      <c r="HO104" s="3" t="str">
        <f>_xlfn.XLOOKUP(B104,QUERY!$C:$C,QUERY!BP:BP)</f>
        <v>NULL</v>
      </c>
      <c r="HP104" s="3" t="str">
        <f>_xlfn.XLOOKUP(B104,QUERY!$C:$C,QUERY!BQ:BQ)</f>
        <v>NULL</v>
      </c>
      <c r="HQ104" s="3" t="str">
        <f>_xlfn.XLOOKUP(B104,QUERY!$C:$C,QUERY!BR:BR)</f>
        <v>102259.35</v>
      </c>
      <c r="HR104" s="3">
        <f>_xlfn.XLOOKUP(B104,QUERY!$C:$C,QUERY!BS:BS)</f>
        <v>0</v>
      </c>
      <c r="HS104" s="3">
        <f>_xlfn.XLOOKUP(B104,QUERY!$C:$C,QUERY!BT:BT)</f>
        <v>0</v>
      </c>
      <c r="HT104" s="3" t="str">
        <f>_xlfn.XLOOKUP(B104,QUERY!$C:$C,QUERY!A:A)</f>
        <v>VERACRUZ</v>
      </c>
      <c r="HU104" s="3" t="str">
        <f>_xlfn.XLOOKUP(B104,QUERY!$C:$C,QUERY!B:B)</f>
        <v>MARÍTIMO VERACRUZ</v>
      </c>
    </row>
    <row r="105" spans="1:229" x14ac:dyDescent="0.25">
      <c r="A105" s="3" t="s">
        <v>90</v>
      </c>
      <c r="B105" s="3" t="s">
        <v>356</v>
      </c>
      <c r="C105" s="3">
        <v>3942</v>
      </c>
      <c r="D105" s="3">
        <v>6000432</v>
      </c>
      <c r="E105" s="3">
        <v>6000329</v>
      </c>
      <c r="F105" s="3" t="s">
        <v>92</v>
      </c>
      <c r="G105" s="3" t="s">
        <v>342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17.677</v>
      </c>
      <c r="Q105" s="3">
        <v>2035</v>
      </c>
      <c r="R105" s="3">
        <v>430</v>
      </c>
      <c r="S105" s="3" t="s">
        <v>318</v>
      </c>
      <c r="T105" s="3" t="s">
        <v>95</v>
      </c>
      <c r="U105" s="3">
        <v>5465054</v>
      </c>
      <c r="V105" s="3">
        <v>5465054</v>
      </c>
      <c r="W105" s="3">
        <v>0</v>
      </c>
      <c r="X105" s="3">
        <v>0</v>
      </c>
      <c r="Y105" s="3">
        <v>0</v>
      </c>
      <c r="Z105" s="3">
        <v>0</v>
      </c>
      <c r="AA105" s="3" t="s">
        <v>319</v>
      </c>
      <c r="AB105" s="3"/>
      <c r="AC105" s="3">
        <v>4192812</v>
      </c>
      <c r="AD105" s="3">
        <v>89.59</v>
      </c>
      <c r="AE105" s="3">
        <v>808</v>
      </c>
      <c r="AF105" s="3">
        <v>0</v>
      </c>
      <c r="AG105" s="3">
        <v>0</v>
      </c>
      <c r="AH105" s="3">
        <v>0</v>
      </c>
      <c r="AI105" s="3">
        <v>0</v>
      </c>
      <c r="AJ105" s="3">
        <v>444</v>
      </c>
      <c r="AK105" s="3">
        <v>0</v>
      </c>
      <c r="AL105" s="3">
        <v>0</v>
      </c>
      <c r="AM105" s="3">
        <v>330</v>
      </c>
      <c r="AN105" s="3">
        <v>444</v>
      </c>
      <c r="AO105" s="3" t="s">
        <v>97</v>
      </c>
      <c r="AP105" s="3" t="s">
        <v>98</v>
      </c>
      <c r="AQ105" s="3">
        <v>210366708</v>
      </c>
      <c r="AR105" s="3" t="s">
        <v>99</v>
      </c>
      <c r="AS105" s="3" t="s">
        <v>100</v>
      </c>
      <c r="AT105" s="3" t="s">
        <v>320</v>
      </c>
      <c r="AU105" s="3"/>
      <c r="AV105" s="3" t="s">
        <v>102</v>
      </c>
      <c r="AW105" s="3">
        <v>30049099</v>
      </c>
      <c r="AX105" s="3">
        <v>99</v>
      </c>
      <c r="AY105" s="3">
        <v>46800</v>
      </c>
      <c r="AZ105" s="3">
        <v>46800</v>
      </c>
      <c r="BA105" s="3" t="s">
        <v>103</v>
      </c>
      <c r="BB105" s="3"/>
      <c r="BC105" s="3" t="s">
        <v>133</v>
      </c>
      <c r="BD105" s="3" t="s">
        <v>105</v>
      </c>
      <c r="BE105" s="3" t="s">
        <v>106</v>
      </c>
      <c r="BF105" s="3"/>
      <c r="BG105" s="5"/>
      <c r="BH105" s="3"/>
      <c r="BI105" s="3"/>
      <c r="BJ105" s="3" t="s">
        <v>109</v>
      </c>
      <c r="BK105" s="3" t="s">
        <v>321</v>
      </c>
      <c r="BL105" s="3">
        <v>43967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7782.15</v>
      </c>
      <c r="CC105" s="3">
        <v>1368.34</v>
      </c>
      <c r="CD105" s="3">
        <v>102259.35</v>
      </c>
      <c r="CE105" s="3" t="s">
        <v>192</v>
      </c>
      <c r="CF105" s="3">
        <v>102259.35</v>
      </c>
      <c r="CG105" s="3">
        <v>0</v>
      </c>
      <c r="CH105" s="3">
        <v>0</v>
      </c>
      <c r="CI105" s="3" t="s">
        <v>112</v>
      </c>
      <c r="CJ105" s="3" t="s">
        <v>112</v>
      </c>
      <c r="CK105" s="3">
        <f>_xlfn.XLOOKUP($B$2,'BASE DE EXCEL'!C:C,'BASE DE EXCEL'!D:D,"NO HAY REFERENCIA")</f>
        <v>470</v>
      </c>
      <c r="CL105" s="5">
        <f>_xlfn.XLOOKUP($B$2,'BASE DE EXCEL'!$C:$C,'BASE DE EXCEL'!F:F,"NO HAY REFERENCIA")</f>
        <v>3</v>
      </c>
      <c r="CM105" s="4">
        <f>_xlfn.XLOOKUP($B$2,'BASE DE EXCEL'!$C:$C,'BASE DE EXCEL'!G:G,"NO HAY REFERENCIA")</f>
        <v>46080</v>
      </c>
      <c r="CN105" s="4">
        <f>_xlfn.XLOOKUP($B$2,'BASE DE EXCEL'!$C:$C,'BASE DE EXCEL'!H:H,"NO HAY REFERENCIA")</f>
        <v>46086</v>
      </c>
      <c r="CO105" s="3">
        <f>_xlfn.XLOOKUP($B$2,'BASE DE EXCEL'!$C:$C,'BASE DE EXCEL'!I:I,"NO HAY REFERENCIA")</f>
        <v>4</v>
      </c>
      <c r="CP105" s="3" t="str">
        <f>_xlfn.XLOOKUP($B$2,'BASE DE EXCEL'!$C:$C,'BASE DE EXCEL'!J:J,"NO HAY REFERENCIA")</f>
        <v>4 a 5 días</v>
      </c>
      <c r="CQ105" s="4">
        <f>_xlfn.XLOOKUP($B$2,'BASE DE EXCEL'!$C:$C,'BASE DE EXCEL'!K:K,"NO HAY REFERENCIA")</f>
        <v>46087</v>
      </c>
      <c r="CR105" s="3">
        <f>_xlfn.XLOOKUP($B$2,'BASE DE EXCEL'!$C:$C,'BASE DE EXCEL'!L:L,"NO HAY REFERENCIA")</f>
        <v>5</v>
      </c>
      <c r="CS105" s="3">
        <f>_xlfn.XLOOKUP($B$2,'BASE DE EXCEL'!$C:$C,'BASE DE EXCEL'!M:M,"NO HAY REFERENCIA")</f>
        <v>6</v>
      </c>
      <c r="CT105" s="3" t="str">
        <f>_xlfn.XLOOKUP($B$2,'BASE DE EXCEL'!$C:$C,'BASE DE EXCEL'!N:N,"NO HAY REFERENCIA")</f>
        <v>6 a 10 días</v>
      </c>
      <c r="CU105" s="3" t="str">
        <f>_xlfn.XLOOKUP($B$2,'BASE DE EXCEL'!$C:$C,'BASE DE EXCEL'!O:O,"NO HAY REFERENCIA")</f>
        <v>On Time</v>
      </c>
      <c r="CV105" s="3" t="str">
        <f>_xlfn.XLOOKUP(B105,'BASE DE EXCEL'!$C:$C,'BASE DE EXCEL'!P:P,"NO HAY REFERENCIA")</f>
        <v>2 a 3 días</v>
      </c>
      <c r="CW105" s="4">
        <f>_xlfn.XLOOKUP(B105,'BASE DE EXCEL'!$C:$C,'BASE DE EXCEL'!Q:Q,"NO HAY REFERENCIA")</f>
        <v>46094</v>
      </c>
      <c r="CX105" s="3">
        <f>_xlfn.XLOOKUP(B105,'BASE DE EXCEL'!$C:$C,'BASE DE EXCEL'!R:R,"NO HAY REFERENCIA")</f>
        <v>5</v>
      </c>
      <c r="CY105" s="3" t="str">
        <f>_xlfn.XLOOKUP(B105,'BASE DE EXCEL'!$C:$C,'BASE DE EXCEL'!S:S,"NO HAY REFERENCIA")</f>
        <v>4 a 5 días</v>
      </c>
      <c r="CZ105" s="3" t="str">
        <f>_xlfn.XLOOKUP(B105,'BASE DE EXCEL'!$C:$C,'BASE DE EXCEL'!T:T,"NO HAY REFERENCIA")</f>
        <v>On Time</v>
      </c>
      <c r="DA105" s="3">
        <f>_xlfn.XLOOKUP(B105,'BASE DE EXCEL'!$C:$C,'BASE DE EXCEL'!U:U,"NO HAY REFERENCIA")</f>
        <v>4</v>
      </c>
      <c r="DB105" s="3" t="str">
        <f>_xlfn.XLOOKUP(B105,'BASE DE EXCEL'!$C:$C,'BASE DE EXCEL'!V:V,"NO HAY REFERENCIA")</f>
        <v>4 a 5 días</v>
      </c>
      <c r="DC105" s="3">
        <f>_xlfn.XLOOKUP(B105,'BASE DE EXCEL'!$C:$C,'BASE DE EXCEL'!W:W,"NO HAY REFERENCIA")</f>
        <v>10</v>
      </c>
      <c r="DD105" s="3" t="str">
        <f>_xlfn.XLOOKUP(B105,'BASE DE EXCEL'!$C:$C,'BASE DE EXCEL'!X:X,"NO HAY REFERENCIA")</f>
        <v>6 a 10 días</v>
      </c>
      <c r="DE105" s="3">
        <f>_xlfn.XLOOKUP(B105,'BASE DE EXCEL'!$C:$C,'BASE DE EXCEL'!Y:Y,"NO HAY REFERENCIA")</f>
        <v>1</v>
      </c>
      <c r="DF105" s="3" t="str">
        <f>_xlfn.XLOOKUP(B105,'BASE DE EXCEL'!$C:$C,'BASE DE EXCEL'!Z:Z,"NO HAY REFERENCIA")</f>
        <v>1 día o menos</v>
      </c>
      <c r="DG105" s="3">
        <f>_xlfn.XLOOKUP(B105,'BASE DE EXCEL'!$C:$C,'BASE DE EXCEL'!AA:AA,"NO HAY REFERENCIA")</f>
        <v>2</v>
      </c>
      <c r="DH105" s="3">
        <f>_xlfn.XLOOKUP(B105,'BASE DE EXCEL'!$C:$C,'BASE DE EXCEL'!AB:AB,"NO HAY REFERENCIA")</f>
        <v>1</v>
      </c>
      <c r="DI105" s="3" t="str">
        <f>_xlfn.XLOOKUP(B105,'BASE DE EXCEL'!$C:$C,'BASE DE EXCEL'!AC:AC,"NO HAY REFERENCIA")</f>
        <v>1 día o menos</v>
      </c>
      <c r="DJ105" s="4">
        <f>_xlfn.XLOOKUP(B105,'BASE DE EXCEL'!$C:$C,'BASE DE EXCEL'!AD:AD,"NO HAY REFERENCIA")</f>
        <v>46104</v>
      </c>
      <c r="DK105" s="3">
        <f>_xlfn.XLOOKUP(B105,'BASE DE EXCEL'!$C:$C,'BASE DE EXCEL'!AE:AE,"NO HAY REFERENCIA")</f>
        <v>10</v>
      </c>
      <c r="DL105" s="3">
        <f>_xlfn.XLOOKUP(B105,'BASE DE EXCEL'!$C:$C,'BASE DE EXCEL'!AF:AF,"NO HAY REFERENCIA")</f>
        <v>6</v>
      </c>
      <c r="DM105" s="4">
        <f>_xlfn.XLOOKUP(B105,'BASE DE EXCEL'!$C:$C,'BASE DE EXCEL'!AG:AG,"NO HAY REFERENCIA")</f>
        <v>46104</v>
      </c>
      <c r="DN105" s="4">
        <f>_xlfn.XLOOKUP(B105,'BASE DE EXCEL'!$C:$C,'BASE DE EXCEL'!AH:AH,"NO HAY REFERENCIA")</f>
        <v>46104</v>
      </c>
      <c r="DO105" s="3">
        <f>_xlfn.XLOOKUP(B105,'BASE DE EXCEL'!$C:$C,'BASE DE EXCEL'!AI:AI,"NO HAY REFERENCIA")</f>
        <v>0</v>
      </c>
      <c r="DP105" s="4" t="str">
        <f>_xlfn.XLOOKUP(B105,'BASE DE EXCEL'!$C:$C,'BASE DE EXCEL'!AJ:AJ,"NO HAY REFERENCIA")</f>
        <v>6 a 10 días</v>
      </c>
      <c r="DQ105" s="4">
        <f>_xlfn.XLOOKUP(B105,'BASE DE EXCEL'!$C:$C,'BASE DE EXCEL'!AK:AK,"NO HAY REFERENCIA")</f>
        <v>46104</v>
      </c>
      <c r="DR105" s="3">
        <f>_xlfn.XLOOKUP(B105,'BASE DE EXCEL'!$C:$C,'BASE DE EXCEL'!AL:AL,"NO HAY REFERENCIA")</f>
        <v>6</v>
      </c>
      <c r="DS105" s="3" t="str">
        <f>_xlfn.XLOOKUP(B105,'BASE DE EXCEL'!$C:$C,'BASE DE EXCEL'!AM:AM,"NO HAY REFERENCIA")</f>
        <v>6 a 10 días</v>
      </c>
      <c r="DT105" s="3" t="str">
        <f>_xlfn.XLOOKUP(B105,'BASE DE EXCEL'!$C:$C,'BASE DE EXCEL'!AN:AN,"NO HAY REFERENCIA")</f>
        <v>On Time</v>
      </c>
      <c r="DU105" s="3">
        <f>_xlfn.XLOOKUP(B105,'BASE DE EXCEL'!$C:$C,'BASE DE EXCEL'!AO:AO,"NO HAY REFERENCIA")</f>
        <v>1</v>
      </c>
      <c r="DV105" s="3" t="str">
        <f>_xlfn.XLOOKUP(B105,'BASE DE EXCEL'!$C:$C,'BASE DE EXCEL'!AP:AP,"NO HAY REFERENCIA")</f>
        <v>Es anterior</v>
      </c>
      <c r="DW105" s="3" t="str">
        <f>_xlfn.XLOOKUP(B105,'BASE DE EXCEL'!$C:$C,'BASE DE EXCEL'!AQ:AQ,"NO HAY REFERENCIA")</f>
        <v>R1</v>
      </c>
      <c r="DX105" s="3" t="str">
        <f>_xlfn.XLOOKUP(B105,'BASE DE EXCEL'!$C:$C,'BASE DE EXCEL'!AR:AR,"NO HAY REFERENCIA")</f>
        <v>ZULEIMA PEREZ RUIZ</v>
      </c>
      <c r="DY105" s="3" t="str">
        <f>_xlfn.XLOOKUP(B105,'BASE DE EXCEL'!$C:$C,'BASE DE EXCEL'!AS:AS,"NO HAY REFERENCIA")</f>
        <v>HLCUHAM260250722</v>
      </c>
      <c r="DZ105" s="3" t="str">
        <f>_xlfn.XLOOKUP(B105,'BASE DE EXCEL'!$C:$C,'BASE DE EXCEL'!AT:AT,"NO HAY REFERENCIA")</f>
        <v>NULL</v>
      </c>
      <c r="EA105" s="3">
        <f>_xlfn.XLOOKUP(B105,'BASE DE EXCEL'!$C:$C,'BASE DE EXCEL'!AU:AU,"NO HAY REFERENCIA")</f>
        <v>6000432</v>
      </c>
      <c r="EB105" s="3" t="str">
        <f>_xlfn.XLOOKUP(B105,'BASE DE EXCEL'!$C:$C,'BASE DE EXCEL'!AV:AV,"NO HAY REFERENCIA")</f>
        <v>Importación</v>
      </c>
      <c r="EC105" s="3" t="str">
        <f>_xlfn.XLOOKUP(B105,'BASE DE EXCEL'!$C:$C,'BASE DE EXCEL'!AW:AW,"NO HAY REFERENCIA")</f>
        <v>BRAVECTO 1M TRIPLE 200MG  (MEDICAMENTO DOSIFICADO DE USO VETERINARIO)</v>
      </c>
      <c r="ED105" s="3" t="str">
        <f>_xlfn.XLOOKUP(B105,'BASE DE EXCEL'!$C:$C,'BASE DE EXCEL'!AX:AX,"NO HAY REFERENCIA")</f>
        <v>SIN CLASIFICACION</v>
      </c>
      <c r="EE105" s="3">
        <f>_xlfn.XLOOKUP(B105,'BASE DE EXCEL'!$C:$C,'BASE DE EXCEL'!AY:AY,"NO HAY REFERENCIA")</f>
        <v>0</v>
      </c>
      <c r="EF105" s="3" t="str">
        <f>_xlfn.XLOOKUP(B105,'BASE DE EXCEL'!$C:$C,'BASE DE EXCEL'!AZ:AZ,"NO HAY REFERENCIA")</f>
        <v>Cargas de Importación</v>
      </c>
      <c r="EG105" s="3" t="str">
        <f>_xlfn.XLOOKUP(B105,'BASE DE EXCEL'!$C:$C,'BASE DE EXCEL'!BA:BA,"NO HAY REFERENCIA")</f>
        <v>INTERVET MEXICO SA DE CV</v>
      </c>
      <c r="EH105" s="3">
        <f>_xlfn.XLOOKUP(B105,'BASE DE EXCEL'!$C:$C,'BASE DE EXCEL'!BB:BB,"NO HAY REFERENCIA")</f>
        <v>0</v>
      </c>
      <c r="EI105" s="3">
        <f>_xlfn.XLOOKUP(B105,'BASE DE EXCEL'!$C:$C,'BASE DE EXCEL'!BC:BC,"NO HAY REFERENCIA")</f>
        <v>0</v>
      </c>
      <c r="EJ105" s="3">
        <f>_xlfn.XLOOKUP(B105,'BASE DE EXCEL'!$C:$C,'BASE DE EXCEL'!BD:BD,"NO HAY REFERENCIA")</f>
        <v>0</v>
      </c>
      <c r="EK105" s="3">
        <f>_xlfn.XLOOKUP(B105,'BASE DE EXCEL'!$C:$C,'BASE DE EXCEL'!BE:BE,"NO HAY REFERENCIA")</f>
        <v>0</v>
      </c>
      <c r="EL105" s="3" t="str">
        <f>_xlfn.XLOOKUP(B105,'BASE DE EXCEL'!$C:$C,'BASE DE EXCEL'!BF:BF,"NO HAY REFERENCIA")</f>
        <v>PRODUCTO TERMINADO</v>
      </c>
      <c r="EM105" s="3" t="str">
        <f>_xlfn.XLOOKUP(B105,'BASE DE EXCEL'!$C:$C,'BASE DE EXCEL'!BG:BG,"NO HAY REFERENCIA")</f>
        <v>Verde</v>
      </c>
      <c r="EN105" s="3" t="str">
        <f>_xlfn.XLOOKUP(B105,'BASE DE EXCEL'!$C:$C,'BASE DE EXCEL'!BH:BH,"NO HAY REFERENCIA")</f>
        <v xml:space="preserve"> SUPER EXPRESS DE CARGA FEDERAL S.A. DE C.V.</v>
      </c>
      <c r="EO105" s="3">
        <f>_xlfn.XLOOKUP(B105,'BASE DE EXCEL'!$C:$C,'BASE DE EXCEL'!BI:BI,"NO HAY REFERENCIA")</f>
        <v>0</v>
      </c>
      <c r="EP105" s="3" t="str">
        <f>_xlfn.XLOOKUP(B105,'BASE DE EXCEL'!$C:$C,'BASE DE EXCEL'!BJ:BJ,"NO HAY REFERENCIA")</f>
        <v>IME-T006</v>
      </c>
      <c r="EQ105" s="3" t="str">
        <f>_xlfn.XLOOKUP(B105,'BASE DE EXCEL'!$C:$C,'BASE DE EXCEL'!BK:BK,"NO HAY REFERENCIA")</f>
        <v>IME850329RH2</v>
      </c>
      <c r="ER105" s="3">
        <f>_xlfn.XLOOKUP(B105,'BASE DE EXCEL'!$C:$C,'BASE DE EXCEL'!BL:BL,"NO HAY REFERENCIA")</f>
        <v>0</v>
      </c>
      <c r="ES105" s="3">
        <f>_xlfn.XLOOKUP(B105,'BASE DE EXCEL'!$C:$C,'BASE DE EXCEL'!BM:BM,"NO HAY REFERENCIA")</f>
        <v>99</v>
      </c>
      <c r="ET105" s="3" t="str">
        <f>_xlfn.XLOOKUP(B105,'BASE DE EXCEL'!$C:$C,'BASE DE EXCEL'!BN:BN,"NO HAY REFERENCIA")</f>
        <v>LOTE: 25F4004AA2,LOTE: 26E4002C01</v>
      </c>
      <c r="EU105" s="3">
        <f>_xlfn.XLOOKUP(B105,'BASE DE EXCEL'!$C:$C,'BASE DE EXCEL'!BO:BO,"NO HAY REFERENCIA")</f>
        <v>90</v>
      </c>
      <c r="EV105" s="3">
        <f>_xlfn.XLOOKUP(B105,'BASE DE EXCEL'!$C:$C,'BASE DE EXCEL'!BP:BP,"NO HAY REFERENCIA")</f>
        <v>5465054</v>
      </c>
      <c r="EW105" s="3" t="str">
        <f>_xlfn.XLOOKUP(B105,'BASE DE EXCEL'!$C:$C,'BASE DE EXCEL'!BQ:BQ,"NO HAY REFERENCIA")</f>
        <v>KILO,KILO</v>
      </c>
      <c r="EX105" s="3">
        <f>_xlfn.XLOOKUP(B105,'BASE DE EXCEL'!$C:$C,'BASE DE EXCEL'!BR:BR,"NO HAY REFERENCIA")</f>
        <v>0</v>
      </c>
      <c r="EY105" s="3" t="str">
        <f>_xlfn.XLOOKUP(B105,'BASE DE EXCEL'!$C:$C,'BASE DE EXCEL'!BS:BS,"NO HAY REFERENCIA")</f>
        <v>AUSTRIA (REPUBLICA DE)</v>
      </c>
      <c r="EZ105" s="3" t="str">
        <f>_xlfn.XLOOKUP(B105,'BASE DE EXCEL'!$C:$C,'BASE DE EXCEL'!BT:BT,"NO HAY REFERENCIA")</f>
        <v>PAISES BAJOS (REINO DE LOS) (HOLANDA)</v>
      </c>
      <c r="FA105" s="3" t="str">
        <f>_xlfn.XLOOKUP(B105,'BASE DE EXCEL'!$C:$C,'BASE DE EXCEL'!BU:BU,"NO HAY REFERENCIA")</f>
        <v>AUT</v>
      </c>
      <c r="FB105" s="3" t="str">
        <f>_xlfn.XLOOKUP(B105,'BASE DE EXCEL'!$C:$C,'BASE DE EXCEL'!BV:BV,"NO HAY REFERENCIA")</f>
        <v>ZYA</v>
      </c>
      <c r="FC105" s="3">
        <f>_xlfn.XLOOKUP(B105,QUERY!$C:$C,QUERY!D:D)</f>
        <v>430</v>
      </c>
      <c r="FD105" s="4">
        <f>_xlfn.XLOOKUP(B105,QUERY!$C:$C,QUERY!E:E)</f>
        <v>46092</v>
      </c>
      <c r="FE105" s="3">
        <f>_xlfn.XLOOKUP(B105,QUERY!$C:$C,QUERY!F:F)</f>
        <v>3</v>
      </c>
      <c r="FF105" s="4">
        <f>_xlfn.XLOOKUP(B105,QUERY!$C:$C,QUERY!G:G)</f>
        <v>46090</v>
      </c>
      <c r="FG105" s="4">
        <f>_xlfn.XLOOKUP(B105,QUERY!$C:$C,QUERY!H:H)</f>
        <v>46092</v>
      </c>
      <c r="FH105" s="3">
        <f>_xlfn.XLOOKUP(B105,QUERY!$C:$C,QUERY!I:I)</f>
        <v>2</v>
      </c>
      <c r="FI105" s="3" t="str">
        <f>_xlfn.XLOOKUP(B105,QUERY!$C:$C,QUERY!J:J)</f>
        <v>2 a 3 días</v>
      </c>
      <c r="FJ105" s="4">
        <f>_xlfn.XLOOKUP(B105,QUERY!$C:$C,QUERY!K:K)</f>
        <v>46093</v>
      </c>
      <c r="FK105" s="3">
        <f>_xlfn.XLOOKUP(B105,QUERY!$C:$C,QUERY!L:L)</f>
        <v>3</v>
      </c>
      <c r="FL105" s="3" t="str">
        <f>_xlfn.XLOOKUP(B105,QUERY!$C:$C,QUERY!M:M)</f>
        <v>2 a 3 días</v>
      </c>
      <c r="FM105" s="3">
        <f>_xlfn.XLOOKUP(B105,QUERY!$C:$C,QUERY!N:N)</f>
        <v>1</v>
      </c>
      <c r="FN105" s="3" t="str">
        <f>_xlfn.XLOOKUP(B105,QUERY!$C:$C,QUERY!O:O)</f>
        <v>1 día o menos</v>
      </c>
      <c r="FO105" s="3">
        <f>_xlfn.XLOOKUP(B105,QUERY!$C:$C,QUERY!P:P)</f>
        <v>1</v>
      </c>
      <c r="FP105" s="3">
        <f>_xlfn.XLOOKUP(B105,QUERY!$C:$C,QUERY!Q:Q)</f>
        <v>1</v>
      </c>
      <c r="FQ105" s="3" t="str">
        <f>_xlfn.XLOOKUP(B105,QUERY!$C:$C,QUERY!R:R)</f>
        <v>1 día o menos</v>
      </c>
      <c r="FR105" s="4">
        <f>_xlfn.XLOOKUP(B105,QUERY!$C:$C,QUERY!S:S)</f>
        <v>46094</v>
      </c>
      <c r="FS105" s="3">
        <f>_xlfn.XLOOKUP(B105,QUERY!$C:$C,QUERY!T:T)</f>
        <v>4</v>
      </c>
      <c r="FT105" s="3" t="str">
        <f>_xlfn.XLOOKUP(B105,QUERY!$C:$C,QUERY!U:U)</f>
        <v>4 a 5 días</v>
      </c>
      <c r="FU105" s="3">
        <f>_xlfn.XLOOKUP(B105,QUERY!$C:$C,QUERY!V:V)</f>
        <v>10</v>
      </c>
      <c r="FV105" s="3" t="str">
        <f>_xlfn.XLOOKUP(B105,QUERY!$C:$C,QUERY!W:W)</f>
        <v>6 a 10 días</v>
      </c>
      <c r="FW105" s="4">
        <f>_xlfn.XLOOKUP(B105,QUERY!$C:$C,QUERY!X:X)</f>
        <v>46104</v>
      </c>
      <c r="FX105" s="3">
        <f>_xlfn.XLOOKUP(B105,QUERY!$C:$C,QUERY!Y:Y)</f>
        <v>6</v>
      </c>
      <c r="FY105" s="3">
        <f>_xlfn.XLOOKUP(B105,QUERY!$C:$C,QUERY!Z:Z)</f>
        <v>6</v>
      </c>
      <c r="FZ105" s="4" t="str">
        <f>_xlfn.XLOOKUP(B105,QUERY!$C:$C,QUERY!AA:AA)</f>
        <v>6 a 10 días</v>
      </c>
      <c r="GA105" s="4">
        <f>_xlfn.XLOOKUP(B105,QUERY!$C:$C,QUERY!AB:AB)</f>
        <v>46104</v>
      </c>
      <c r="GB105" s="4">
        <f>_xlfn.XLOOKUP(B105,QUERY!$C:$C,QUERY!AC:AC)</f>
        <v>46104</v>
      </c>
      <c r="GC105" s="3">
        <f>_xlfn.XLOOKUP(B105,QUERY!$C:$C,QUERY!AD:AD)</f>
        <v>0</v>
      </c>
      <c r="GD105" s="4">
        <f>_xlfn.XLOOKUP(B105,QUERY!$C:$C,QUERY!AE:AE)</f>
        <v>46104</v>
      </c>
      <c r="GE105" s="3">
        <f>_xlfn.XLOOKUP(B105,QUERY!$C:$C,QUERY!AF:AF)</f>
        <v>1</v>
      </c>
      <c r="GF105" s="4" t="str">
        <f>_xlfn.XLOOKUP(B105,QUERY!$C:$C,QUERY!AG:AG)</f>
        <v>Es anterior</v>
      </c>
      <c r="GG105" s="3" t="str">
        <f>_xlfn.XLOOKUP(B105,QUERY!$C:$C,QUERY!AH:AH)</f>
        <v>R1</v>
      </c>
      <c r="GH105" s="3" t="str">
        <f>_xlfn.XLOOKUP(B105,QUERY!$C:$C,QUERY!AI:AI)</f>
        <v>ZULEIMA PEREZ RUIZ</v>
      </c>
      <c r="GI105" s="3" t="str">
        <f>_xlfn.XLOOKUP(B105,QUERY!$C:$C,QUERY!AJ:AJ)</f>
        <v>HLCUHAM260250722</v>
      </c>
      <c r="GJ105" s="3" t="str">
        <f>_xlfn.XLOOKUP(B105,QUERY!$C:$C,QUERY!AK:AK)</f>
        <v>NULL</v>
      </c>
      <c r="GK105" s="3">
        <f>_xlfn.XLOOKUP(B105,QUERY!$C:$C,QUERY!AL:AL)</f>
        <v>6000432</v>
      </c>
      <c r="GL105" s="3" t="str">
        <f>_xlfn.XLOOKUP(B105,QUERY!$C:$C,QUERY!AM:AM)</f>
        <v>Importación</v>
      </c>
      <c r="GM105" s="3" t="str">
        <f>_xlfn.XLOOKUP(B105,QUERY!$C:$C,QUERY!AN:AN)</f>
        <v>BRAVECTO 1M TRIPLE 200MG  (MEDICAMENTO DOSIFICADO DE USO VETERINARIO)</v>
      </c>
      <c r="GN105" s="3" t="str">
        <f>_xlfn.XLOOKUP(B105,QUERY!$C:$C,QUERY!AO:AO)</f>
        <v>SIN CLASIFICACION</v>
      </c>
      <c r="GO105" s="3">
        <f>_xlfn.XLOOKUP(B105,QUERY!$C:$C,QUERY!AP:AP)</f>
        <v>0</v>
      </c>
      <c r="GP105" s="3" t="str">
        <f>_xlfn.XLOOKUP(B105,QUERY!$C:$C,QUERY!AQ:AQ)</f>
        <v>Cargas de Importación</v>
      </c>
      <c r="GQ105" s="3" t="str">
        <f>_xlfn.XLOOKUP(B105,QUERY!$C:$C,QUERY!AR:AR)</f>
        <v>INTERVET MEXICO SA DE CV</v>
      </c>
      <c r="GR105" s="3">
        <f>_xlfn.XLOOKUP(B105,QUERY!$C:$C,QUERY!AS:AS)</f>
        <v>0</v>
      </c>
      <c r="GS105" s="3">
        <f>_xlfn.XLOOKUP(B105,QUERY!$C:$C,QUERY!AT:AT)</f>
        <v>0</v>
      </c>
      <c r="GT105" s="3">
        <f>_xlfn.XLOOKUP(B105,QUERY!$C:$C,QUERY!AU:AU)</f>
        <v>0</v>
      </c>
      <c r="GU105" s="3">
        <f>_xlfn.XLOOKUP(B105,QUERY!$C:$C,QUERY!AV:AV)</f>
        <v>0</v>
      </c>
      <c r="GV105" s="3" t="str">
        <f>_xlfn.XLOOKUP(B105,QUERY!$C:$C,QUERY!AW:AW)</f>
        <v>PRODUCTO TERMINADO</v>
      </c>
      <c r="GW105" s="3" t="str">
        <f>_xlfn.XLOOKUP(B105,QUERY!$C:$C,QUERY!AX:AX)</f>
        <v>Verde</v>
      </c>
      <c r="GX105" s="3" t="str">
        <f>_xlfn.XLOOKUP(B105,QUERY!$C:$C,QUERY!AY:AY)</f>
        <v xml:space="preserve"> SUPER EXPRESS DE CARGA FEDERAL S.A. DE C.V.</v>
      </c>
      <c r="GY105" s="3">
        <f>_xlfn.XLOOKUP(B105,QUERY!$C:$C,QUERY!AZ:AZ)</f>
        <v>0</v>
      </c>
      <c r="GZ105" s="3" t="str">
        <f>_xlfn.XLOOKUP(B105,QUERY!$C:$C,QUERY!BA:BA)</f>
        <v>IME-T006</v>
      </c>
      <c r="HA105" s="3" t="str">
        <f>_xlfn.XLOOKUP(B105,QUERY!$C:$C,QUERY!BB:BB)</f>
        <v>IME850329RH2</v>
      </c>
      <c r="HB105" s="3">
        <f>_xlfn.XLOOKUP(B105,QUERY!$C:$C,QUERY!BC:BC)</f>
        <v>0</v>
      </c>
      <c r="HC105" s="3">
        <f>_xlfn.XLOOKUP(B105,QUERY!$C:$C,QUERY!BD:BD)</f>
        <v>99</v>
      </c>
      <c r="HD105" s="3" t="str">
        <f>_xlfn.XLOOKUP(B105,QUERY!$C:$C,QUERY!BE:BE)</f>
        <v>LOTE: 25F4004AA2,LOTE: 26E4002C01</v>
      </c>
      <c r="HE105" s="3">
        <f>_xlfn.XLOOKUP(B105,QUERY!$C:$C,QUERY!BF:BF)</f>
        <v>90</v>
      </c>
      <c r="HF105" s="3" t="str">
        <f>_xlfn.XLOOKUP(B105,QUERY!$C:$C,QUERY!BG:BG)</f>
        <v xml:space="preserve"> 5465054.00</v>
      </c>
      <c r="HG105" s="3" t="str">
        <f>_xlfn.XLOOKUP(B105,QUERY!$C:$C,QUERY!BH:BH)</f>
        <v>KILO,KILO</v>
      </c>
      <c r="HH105" s="3">
        <f>_xlfn.XLOOKUP(B105,QUERY!$C:$C,QUERY!BI:BI)</f>
        <v>0</v>
      </c>
      <c r="HI105" s="3" t="str">
        <f>_xlfn.XLOOKUP(B105,QUERY!$C:$C,QUERY!BJ:BJ)</f>
        <v>AUSTRIA (REPUBLICA DE)</v>
      </c>
      <c r="HJ105" s="3" t="str">
        <f>_xlfn.XLOOKUP(B105,QUERY!$C:$C,QUERY!BK:BK)</f>
        <v>PAISES BAJOS (REINO DE LOS) (HOLANDA)</v>
      </c>
      <c r="HK105" s="3" t="str">
        <f>_xlfn.XLOOKUP(B105,QUERY!$C:$C,QUERY!BL:BL)</f>
        <v>AUT</v>
      </c>
      <c r="HL105" s="3" t="str">
        <f>_xlfn.XLOOKUP(B105,QUERY!$C:$C,QUERY!BM:BM)</f>
        <v>ZYA</v>
      </c>
      <c r="HM105" s="3">
        <f>_xlfn.XLOOKUP(B105,QUERY!$C:$C,QUERY!BN:BN)</f>
        <v>5465054</v>
      </c>
      <c r="HN105" s="3" t="str">
        <f>_xlfn.XLOOKUP(B105,QUERY!$C:$C,QUERY!BO:BO)</f>
        <v>444.00</v>
      </c>
      <c r="HO105" s="3" t="str">
        <f>_xlfn.XLOOKUP(B105,QUERY!$C:$C,QUERY!BP:BP)</f>
        <v>NULL</v>
      </c>
      <c r="HP105" s="3" t="str">
        <f>_xlfn.XLOOKUP(B105,QUERY!$C:$C,QUERY!BQ:BQ)</f>
        <v>NULL</v>
      </c>
      <c r="HQ105" s="3" t="str">
        <f>_xlfn.XLOOKUP(B105,QUERY!$C:$C,QUERY!BR:BR)</f>
        <v>102259.35</v>
      </c>
      <c r="HR105" s="3">
        <f>_xlfn.XLOOKUP(B105,QUERY!$C:$C,QUERY!BS:BS)</f>
        <v>0</v>
      </c>
      <c r="HS105" s="3">
        <f>_xlfn.XLOOKUP(B105,QUERY!$C:$C,QUERY!BT:BT)</f>
        <v>0</v>
      </c>
      <c r="HT105" s="3" t="str">
        <f>_xlfn.XLOOKUP(B105,QUERY!$C:$C,QUERY!A:A)</f>
        <v>VERACRUZ</v>
      </c>
      <c r="HU105" s="3" t="str">
        <f>_xlfn.XLOOKUP(B105,QUERY!$C:$C,QUERY!B:B)</f>
        <v>MARÍTIMO VERACRUZ</v>
      </c>
    </row>
    <row r="106" spans="1:229" x14ac:dyDescent="0.25">
      <c r="A106" s="3" t="s">
        <v>90</v>
      </c>
      <c r="B106" s="3" t="s">
        <v>356</v>
      </c>
      <c r="C106" s="3">
        <v>3942</v>
      </c>
      <c r="D106" s="3">
        <v>6000432</v>
      </c>
      <c r="E106" s="3">
        <v>6000329</v>
      </c>
      <c r="F106" s="3" t="s">
        <v>92</v>
      </c>
      <c r="G106" s="3" t="s">
        <v>342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430</v>
      </c>
      <c r="S106" s="3" t="s">
        <v>318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 t="s">
        <v>135</v>
      </c>
      <c r="AB106" s="3"/>
      <c r="AC106" s="3">
        <v>1272242</v>
      </c>
      <c r="AD106" s="3">
        <v>73.540000000000006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/>
      <c r="AP106" s="3" t="s">
        <v>98</v>
      </c>
      <c r="AQ106" s="3">
        <v>210366708</v>
      </c>
      <c r="AR106" s="3" t="s">
        <v>99</v>
      </c>
      <c r="AS106" s="3" t="s">
        <v>100</v>
      </c>
      <c r="AT106" s="3">
        <v>0</v>
      </c>
      <c r="AU106" s="3">
        <v>0</v>
      </c>
      <c r="AV106" s="3">
        <v>0</v>
      </c>
      <c r="AW106" s="3">
        <v>30049099</v>
      </c>
      <c r="AX106" s="3">
        <v>99</v>
      </c>
      <c r="AY106" s="3">
        <v>17300</v>
      </c>
      <c r="AZ106" s="3">
        <v>17300</v>
      </c>
      <c r="BA106" s="3" t="s">
        <v>103</v>
      </c>
      <c r="BB106" s="3"/>
      <c r="BC106" s="3" t="s">
        <v>133</v>
      </c>
      <c r="BD106" s="3" t="s">
        <v>105</v>
      </c>
      <c r="BE106" s="3"/>
      <c r="BF106" s="3"/>
      <c r="BG106" s="5"/>
      <c r="BH106" s="3"/>
      <c r="BI106" s="3"/>
      <c r="BJ106" s="3"/>
      <c r="BK106" s="3" t="s">
        <v>321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 t="s">
        <v>192</v>
      </c>
      <c r="CF106" s="3">
        <v>0</v>
      </c>
      <c r="CG106" s="3">
        <v>0</v>
      </c>
      <c r="CH106" s="3">
        <v>0</v>
      </c>
      <c r="CI106" s="3" t="s">
        <v>112</v>
      </c>
      <c r="CJ106" s="3" t="s">
        <v>112</v>
      </c>
      <c r="CK106" s="3">
        <f>_xlfn.XLOOKUP($B$2,'BASE DE EXCEL'!C:C,'BASE DE EXCEL'!D:D,"NO HAY REFERENCIA")</f>
        <v>470</v>
      </c>
      <c r="CL106" s="5">
        <f>_xlfn.XLOOKUP($B$2,'BASE DE EXCEL'!$C:$C,'BASE DE EXCEL'!F:F,"NO HAY REFERENCIA")</f>
        <v>3</v>
      </c>
      <c r="CM106" s="4">
        <f>_xlfn.XLOOKUP($B$2,'BASE DE EXCEL'!$C:$C,'BASE DE EXCEL'!G:G,"NO HAY REFERENCIA")</f>
        <v>46080</v>
      </c>
      <c r="CN106" s="4">
        <f>_xlfn.XLOOKUP($B$2,'BASE DE EXCEL'!$C:$C,'BASE DE EXCEL'!H:H,"NO HAY REFERENCIA")</f>
        <v>46086</v>
      </c>
      <c r="CO106" s="3">
        <f>_xlfn.XLOOKUP($B$2,'BASE DE EXCEL'!$C:$C,'BASE DE EXCEL'!I:I,"NO HAY REFERENCIA")</f>
        <v>4</v>
      </c>
      <c r="CP106" s="3" t="str">
        <f>_xlfn.XLOOKUP($B$2,'BASE DE EXCEL'!$C:$C,'BASE DE EXCEL'!J:J,"NO HAY REFERENCIA")</f>
        <v>4 a 5 días</v>
      </c>
      <c r="CQ106" s="4">
        <f>_xlfn.XLOOKUP($B$2,'BASE DE EXCEL'!$C:$C,'BASE DE EXCEL'!K:K,"NO HAY REFERENCIA")</f>
        <v>46087</v>
      </c>
      <c r="CR106" s="3">
        <f>_xlfn.XLOOKUP($B$2,'BASE DE EXCEL'!$C:$C,'BASE DE EXCEL'!L:L,"NO HAY REFERENCIA")</f>
        <v>5</v>
      </c>
      <c r="CS106" s="3">
        <f>_xlfn.XLOOKUP($B$2,'BASE DE EXCEL'!$C:$C,'BASE DE EXCEL'!M:M,"NO HAY REFERENCIA")</f>
        <v>6</v>
      </c>
      <c r="CT106" s="3" t="str">
        <f>_xlfn.XLOOKUP($B$2,'BASE DE EXCEL'!$C:$C,'BASE DE EXCEL'!N:N,"NO HAY REFERENCIA")</f>
        <v>6 a 10 días</v>
      </c>
      <c r="CU106" s="3" t="str">
        <f>_xlfn.XLOOKUP($B$2,'BASE DE EXCEL'!$C:$C,'BASE DE EXCEL'!O:O,"NO HAY REFERENCIA")</f>
        <v>On Time</v>
      </c>
      <c r="CV106" s="3" t="str">
        <f>_xlfn.XLOOKUP(B106,'BASE DE EXCEL'!$C:$C,'BASE DE EXCEL'!P:P,"NO HAY REFERENCIA")</f>
        <v>2 a 3 días</v>
      </c>
      <c r="CW106" s="4">
        <f>_xlfn.XLOOKUP(B106,'BASE DE EXCEL'!$C:$C,'BASE DE EXCEL'!Q:Q,"NO HAY REFERENCIA")</f>
        <v>46094</v>
      </c>
      <c r="CX106" s="3">
        <f>_xlfn.XLOOKUP(B106,'BASE DE EXCEL'!$C:$C,'BASE DE EXCEL'!R:R,"NO HAY REFERENCIA")</f>
        <v>5</v>
      </c>
      <c r="CY106" s="3" t="str">
        <f>_xlfn.XLOOKUP(B106,'BASE DE EXCEL'!$C:$C,'BASE DE EXCEL'!S:S,"NO HAY REFERENCIA")</f>
        <v>4 a 5 días</v>
      </c>
      <c r="CZ106" s="3" t="str">
        <f>_xlfn.XLOOKUP(B106,'BASE DE EXCEL'!$C:$C,'BASE DE EXCEL'!T:T,"NO HAY REFERENCIA")</f>
        <v>On Time</v>
      </c>
      <c r="DA106" s="3">
        <f>_xlfn.XLOOKUP(B106,'BASE DE EXCEL'!$C:$C,'BASE DE EXCEL'!U:U,"NO HAY REFERENCIA")</f>
        <v>4</v>
      </c>
      <c r="DB106" s="3" t="str">
        <f>_xlfn.XLOOKUP(B106,'BASE DE EXCEL'!$C:$C,'BASE DE EXCEL'!V:V,"NO HAY REFERENCIA")</f>
        <v>4 a 5 días</v>
      </c>
      <c r="DC106" s="3">
        <f>_xlfn.XLOOKUP(B106,'BASE DE EXCEL'!$C:$C,'BASE DE EXCEL'!W:W,"NO HAY REFERENCIA")</f>
        <v>10</v>
      </c>
      <c r="DD106" s="3" t="str">
        <f>_xlfn.XLOOKUP(B106,'BASE DE EXCEL'!$C:$C,'BASE DE EXCEL'!X:X,"NO HAY REFERENCIA")</f>
        <v>6 a 10 días</v>
      </c>
      <c r="DE106" s="3">
        <f>_xlfn.XLOOKUP(B106,'BASE DE EXCEL'!$C:$C,'BASE DE EXCEL'!Y:Y,"NO HAY REFERENCIA")</f>
        <v>1</v>
      </c>
      <c r="DF106" s="3" t="str">
        <f>_xlfn.XLOOKUP(B106,'BASE DE EXCEL'!$C:$C,'BASE DE EXCEL'!Z:Z,"NO HAY REFERENCIA")</f>
        <v>1 día o menos</v>
      </c>
      <c r="DG106" s="3">
        <f>_xlfn.XLOOKUP(B106,'BASE DE EXCEL'!$C:$C,'BASE DE EXCEL'!AA:AA,"NO HAY REFERENCIA")</f>
        <v>2</v>
      </c>
      <c r="DH106" s="3">
        <f>_xlfn.XLOOKUP(B106,'BASE DE EXCEL'!$C:$C,'BASE DE EXCEL'!AB:AB,"NO HAY REFERENCIA")</f>
        <v>1</v>
      </c>
      <c r="DI106" s="3" t="str">
        <f>_xlfn.XLOOKUP(B106,'BASE DE EXCEL'!$C:$C,'BASE DE EXCEL'!AC:AC,"NO HAY REFERENCIA")</f>
        <v>1 día o menos</v>
      </c>
      <c r="DJ106" s="4">
        <f>_xlfn.XLOOKUP(B106,'BASE DE EXCEL'!$C:$C,'BASE DE EXCEL'!AD:AD,"NO HAY REFERENCIA")</f>
        <v>46104</v>
      </c>
      <c r="DK106" s="3">
        <f>_xlfn.XLOOKUP(B106,'BASE DE EXCEL'!$C:$C,'BASE DE EXCEL'!AE:AE,"NO HAY REFERENCIA")</f>
        <v>10</v>
      </c>
      <c r="DL106" s="3">
        <f>_xlfn.XLOOKUP(B106,'BASE DE EXCEL'!$C:$C,'BASE DE EXCEL'!AF:AF,"NO HAY REFERENCIA")</f>
        <v>6</v>
      </c>
      <c r="DM106" s="4">
        <f>_xlfn.XLOOKUP(B106,'BASE DE EXCEL'!$C:$C,'BASE DE EXCEL'!AG:AG,"NO HAY REFERENCIA")</f>
        <v>46104</v>
      </c>
      <c r="DN106" s="4">
        <f>_xlfn.XLOOKUP(B106,'BASE DE EXCEL'!$C:$C,'BASE DE EXCEL'!AH:AH,"NO HAY REFERENCIA")</f>
        <v>46104</v>
      </c>
      <c r="DO106" s="3">
        <f>_xlfn.XLOOKUP(B106,'BASE DE EXCEL'!$C:$C,'BASE DE EXCEL'!AI:AI,"NO HAY REFERENCIA")</f>
        <v>0</v>
      </c>
      <c r="DP106" s="4" t="str">
        <f>_xlfn.XLOOKUP(B106,'BASE DE EXCEL'!$C:$C,'BASE DE EXCEL'!AJ:AJ,"NO HAY REFERENCIA")</f>
        <v>6 a 10 días</v>
      </c>
      <c r="DQ106" s="4">
        <f>_xlfn.XLOOKUP(B106,'BASE DE EXCEL'!$C:$C,'BASE DE EXCEL'!AK:AK,"NO HAY REFERENCIA")</f>
        <v>46104</v>
      </c>
      <c r="DR106" s="3">
        <f>_xlfn.XLOOKUP(B106,'BASE DE EXCEL'!$C:$C,'BASE DE EXCEL'!AL:AL,"NO HAY REFERENCIA")</f>
        <v>6</v>
      </c>
      <c r="DS106" s="3" t="str">
        <f>_xlfn.XLOOKUP(B106,'BASE DE EXCEL'!$C:$C,'BASE DE EXCEL'!AM:AM,"NO HAY REFERENCIA")</f>
        <v>6 a 10 días</v>
      </c>
      <c r="DT106" s="3" t="str">
        <f>_xlfn.XLOOKUP(B106,'BASE DE EXCEL'!$C:$C,'BASE DE EXCEL'!AN:AN,"NO HAY REFERENCIA")</f>
        <v>On Time</v>
      </c>
      <c r="DU106" s="3">
        <f>_xlfn.XLOOKUP(B106,'BASE DE EXCEL'!$C:$C,'BASE DE EXCEL'!AO:AO,"NO HAY REFERENCIA")</f>
        <v>1</v>
      </c>
      <c r="DV106" s="3" t="str">
        <f>_xlfn.XLOOKUP(B106,'BASE DE EXCEL'!$C:$C,'BASE DE EXCEL'!AP:AP,"NO HAY REFERENCIA")</f>
        <v>Es anterior</v>
      </c>
      <c r="DW106" s="3" t="str">
        <f>_xlfn.XLOOKUP(B106,'BASE DE EXCEL'!$C:$C,'BASE DE EXCEL'!AQ:AQ,"NO HAY REFERENCIA")</f>
        <v>R1</v>
      </c>
      <c r="DX106" s="3" t="str">
        <f>_xlfn.XLOOKUP(B106,'BASE DE EXCEL'!$C:$C,'BASE DE EXCEL'!AR:AR,"NO HAY REFERENCIA")</f>
        <v>ZULEIMA PEREZ RUIZ</v>
      </c>
      <c r="DY106" s="3" t="str">
        <f>_xlfn.XLOOKUP(B106,'BASE DE EXCEL'!$C:$C,'BASE DE EXCEL'!AS:AS,"NO HAY REFERENCIA")</f>
        <v>HLCUHAM260250722</v>
      </c>
      <c r="DZ106" s="3" t="str">
        <f>_xlfn.XLOOKUP(B106,'BASE DE EXCEL'!$C:$C,'BASE DE EXCEL'!AT:AT,"NO HAY REFERENCIA")</f>
        <v>NULL</v>
      </c>
      <c r="EA106" s="3">
        <f>_xlfn.XLOOKUP(B106,'BASE DE EXCEL'!$C:$C,'BASE DE EXCEL'!AU:AU,"NO HAY REFERENCIA")</f>
        <v>6000432</v>
      </c>
      <c r="EB106" s="3" t="str">
        <f>_xlfn.XLOOKUP(B106,'BASE DE EXCEL'!$C:$C,'BASE DE EXCEL'!AV:AV,"NO HAY REFERENCIA")</f>
        <v>Importación</v>
      </c>
      <c r="EC106" s="3" t="str">
        <f>_xlfn.XLOOKUP(B106,'BASE DE EXCEL'!$C:$C,'BASE DE EXCEL'!AW:AW,"NO HAY REFERENCIA")</f>
        <v>BRAVECTO 1M TRIPLE 200MG  (MEDICAMENTO DOSIFICADO DE USO VETERINARIO)</v>
      </c>
      <c r="ED106" s="3" t="str">
        <f>_xlfn.XLOOKUP(B106,'BASE DE EXCEL'!$C:$C,'BASE DE EXCEL'!AX:AX,"NO HAY REFERENCIA")</f>
        <v>SIN CLASIFICACION</v>
      </c>
      <c r="EE106" s="3">
        <f>_xlfn.XLOOKUP(B106,'BASE DE EXCEL'!$C:$C,'BASE DE EXCEL'!AY:AY,"NO HAY REFERENCIA")</f>
        <v>0</v>
      </c>
      <c r="EF106" s="3" t="str">
        <f>_xlfn.XLOOKUP(B106,'BASE DE EXCEL'!$C:$C,'BASE DE EXCEL'!AZ:AZ,"NO HAY REFERENCIA")</f>
        <v>Cargas de Importación</v>
      </c>
      <c r="EG106" s="3" t="str">
        <f>_xlfn.XLOOKUP(B106,'BASE DE EXCEL'!$C:$C,'BASE DE EXCEL'!BA:BA,"NO HAY REFERENCIA")</f>
        <v>INTERVET MEXICO SA DE CV</v>
      </c>
      <c r="EH106" s="3">
        <f>_xlfn.XLOOKUP(B106,'BASE DE EXCEL'!$C:$C,'BASE DE EXCEL'!BB:BB,"NO HAY REFERENCIA")</f>
        <v>0</v>
      </c>
      <c r="EI106" s="3">
        <f>_xlfn.XLOOKUP(B106,'BASE DE EXCEL'!$C:$C,'BASE DE EXCEL'!BC:BC,"NO HAY REFERENCIA")</f>
        <v>0</v>
      </c>
      <c r="EJ106" s="3">
        <f>_xlfn.XLOOKUP(B106,'BASE DE EXCEL'!$C:$C,'BASE DE EXCEL'!BD:BD,"NO HAY REFERENCIA")</f>
        <v>0</v>
      </c>
      <c r="EK106" s="3">
        <f>_xlfn.XLOOKUP(B106,'BASE DE EXCEL'!$C:$C,'BASE DE EXCEL'!BE:BE,"NO HAY REFERENCIA")</f>
        <v>0</v>
      </c>
      <c r="EL106" s="3" t="str">
        <f>_xlfn.XLOOKUP(B106,'BASE DE EXCEL'!$C:$C,'BASE DE EXCEL'!BF:BF,"NO HAY REFERENCIA")</f>
        <v>PRODUCTO TERMINADO</v>
      </c>
      <c r="EM106" s="3" t="str">
        <f>_xlfn.XLOOKUP(B106,'BASE DE EXCEL'!$C:$C,'BASE DE EXCEL'!BG:BG,"NO HAY REFERENCIA")</f>
        <v>Verde</v>
      </c>
      <c r="EN106" s="3" t="str">
        <f>_xlfn.XLOOKUP(B106,'BASE DE EXCEL'!$C:$C,'BASE DE EXCEL'!BH:BH,"NO HAY REFERENCIA")</f>
        <v xml:space="preserve"> SUPER EXPRESS DE CARGA FEDERAL S.A. DE C.V.</v>
      </c>
      <c r="EO106" s="3">
        <f>_xlfn.XLOOKUP(B106,'BASE DE EXCEL'!$C:$C,'BASE DE EXCEL'!BI:BI,"NO HAY REFERENCIA")</f>
        <v>0</v>
      </c>
      <c r="EP106" s="3" t="str">
        <f>_xlfn.XLOOKUP(B106,'BASE DE EXCEL'!$C:$C,'BASE DE EXCEL'!BJ:BJ,"NO HAY REFERENCIA")</f>
        <v>IME-T006</v>
      </c>
      <c r="EQ106" s="3" t="str">
        <f>_xlfn.XLOOKUP(B106,'BASE DE EXCEL'!$C:$C,'BASE DE EXCEL'!BK:BK,"NO HAY REFERENCIA")</f>
        <v>IME850329RH2</v>
      </c>
      <c r="ER106" s="3">
        <f>_xlfn.XLOOKUP(B106,'BASE DE EXCEL'!$C:$C,'BASE DE EXCEL'!BL:BL,"NO HAY REFERENCIA")</f>
        <v>0</v>
      </c>
      <c r="ES106" s="3">
        <f>_xlfn.XLOOKUP(B106,'BASE DE EXCEL'!$C:$C,'BASE DE EXCEL'!BM:BM,"NO HAY REFERENCIA")</f>
        <v>99</v>
      </c>
      <c r="ET106" s="3" t="str">
        <f>_xlfn.XLOOKUP(B106,'BASE DE EXCEL'!$C:$C,'BASE DE EXCEL'!BN:BN,"NO HAY REFERENCIA")</f>
        <v>LOTE: 25F4004AA2,LOTE: 26E4002C01</v>
      </c>
      <c r="EU106" s="3">
        <f>_xlfn.XLOOKUP(B106,'BASE DE EXCEL'!$C:$C,'BASE DE EXCEL'!BO:BO,"NO HAY REFERENCIA")</f>
        <v>90</v>
      </c>
      <c r="EV106" s="3">
        <f>_xlfn.XLOOKUP(B106,'BASE DE EXCEL'!$C:$C,'BASE DE EXCEL'!BP:BP,"NO HAY REFERENCIA")</f>
        <v>5465054</v>
      </c>
      <c r="EW106" s="3" t="str">
        <f>_xlfn.XLOOKUP(B106,'BASE DE EXCEL'!$C:$C,'BASE DE EXCEL'!BQ:BQ,"NO HAY REFERENCIA")</f>
        <v>KILO,KILO</v>
      </c>
      <c r="EX106" s="3">
        <f>_xlfn.XLOOKUP(B106,'BASE DE EXCEL'!$C:$C,'BASE DE EXCEL'!BR:BR,"NO HAY REFERENCIA")</f>
        <v>0</v>
      </c>
      <c r="EY106" s="3" t="str">
        <f>_xlfn.XLOOKUP(B106,'BASE DE EXCEL'!$C:$C,'BASE DE EXCEL'!BS:BS,"NO HAY REFERENCIA")</f>
        <v>AUSTRIA (REPUBLICA DE)</v>
      </c>
      <c r="EZ106" s="3" t="str">
        <f>_xlfn.XLOOKUP(B106,'BASE DE EXCEL'!$C:$C,'BASE DE EXCEL'!BT:BT,"NO HAY REFERENCIA")</f>
        <v>PAISES BAJOS (REINO DE LOS) (HOLANDA)</v>
      </c>
      <c r="FA106" s="3" t="str">
        <f>_xlfn.XLOOKUP(B106,'BASE DE EXCEL'!$C:$C,'BASE DE EXCEL'!BU:BU,"NO HAY REFERENCIA")</f>
        <v>AUT</v>
      </c>
      <c r="FB106" s="3" t="str">
        <f>_xlfn.XLOOKUP(B106,'BASE DE EXCEL'!$C:$C,'BASE DE EXCEL'!BV:BV,"NO HAY REFERENCIA")</f>
        <v>ZYA</v>
      </c>
      <c r="FC106" s="3">
        <f>_xlfn.XLOOKUP(B106,QUERY!$C:$C,QUERY!D:D)</f>
        <v>430</v>
      </c>
      <c r="FD106" s="4">
        <f>_xlfn.XLOOKUP(B106,QUERY!$C:$C,QUERY!E:E)</f>
        <v>46092</v>
      </c>
      <c r="FE106" s="3">
        <f>_xlfn.XLOOKUP(B106,QUERY!$C:$C,QUERY!F:F)</f>
        <v>3</v>
      </c>
      <c r="FF106" s="4">
        <f>_xlfn.XLOOKUP(B106,QUERY!$C:$C,QUERY!G:G)</f>
        <v>46090</v>
      </c>
      <c r="FG106" s="4">
        <f>_xlfn.XLOOKUP(B106,QUERY!$C:$C,QUERY!H:H)</f>
        <v>46092</v>
      </c>
      <c r="FH106" s="3">
        <f>_xlfn.XLOOKUP(B106,QUERY!$C:$C,QUERY!I:I)</f>
        <v>2</v>
      </c>
      <c r="FI106" s="3" t="str">
        <f>_xlfn.XLOOKUP(B106,QUERY!$C:$C,QUERY!J:J)</f>
        <v>2 a 3 días</v>
      </c>
      <c r="FJ106" s="4">
        <f>_xlfn.XLOOKUP(B106,QUERY!$C:$C,QUERY!K:K)</f>
        <v>46093</v>
      </c>
      <c r="FK106" s="3">
        <f>_xlfn.XLOOKUP(B106,QUERY!$C:$C,QUERY!L:L)</f>
        <v>3</v>
      </c>
      <c r="FL106" s="3" t="str">
        <f>_xlfn.XLOOKUP(B106,QUERY!$C:$C,QUERY!M:M)</f>
        <v>2 a 3 días</v>
      </c>
      <c r="FM106" s="3">
        <f>_xlfn.XLOOKUP(B106,QUERY!$C:$C,QUERY!N:N)</f>
        <v>1</v>
      </c>
      <c r="FN106" s="3" t="str">
        <f>_xlfn.XLOOKUP(B106,QUERY!$C:$C,QUERY!O:O)</f>
        <v>1 día o menos</v>
      </c>
      <c r="FO106" s="3">
        <f>_xlfn.XLOOKUP(B106,QUERY!$C:$C,QUERY!P:P)</f>
        <v>1</v>
      </c>
      <c r="FP106" s="3">
        <f>_xlfn.XLOOKUP(B106,QUERY!$C:$C,QUERY!Q:Q)</f>
        <v>1</v>
      </c>
      <c r="FQ106" s="3" t="str">
        <f>_xlfn.XLOOKUP(B106,QUERY!$C:$C,QUERY!R:R)</f>
        <v>1 día o menos</v>
      </c>
      <c r="FR106" s="4">
        <f>_xlfn.XLOOKUP(B106,QUERY!$C:$C,QUERY!S:S)</f>
        <v>46094</v>
      </c>
      <c r="FS106" s="3">
        <f>_xlfn.XLOOKUP(B106,QUERY!$C:$C,QUERY!T:T)</f>
        <v>4</v>
      </c>
      <c r="FT106" s="3" t="str">
        <f>_xlfn.XLOOKUP(B106,QUERY!$C:$C,QUERY!U:U)</f>
        <v>4 a 5 días</v>
      </c>
      <c r="FU106" s="3">
        <f>_xlfn.XLOOKUP(B106,QUERY!$C:$C,QUERY!V:V)</f>
        <v>10</v>
      </c>
      <c r="FV106" s="3" t="str">
        <f>_xlfn.XLOOKUP(B106,QUERY!$C:$C,QUERY!W:W)</f>
        <v>6 a 10 días</v>
      </c>
      <c r="FW106" s="4">
        <f>_xlfn.XLOOKUP(B106,QUERY!$C:$C,QUERY!X:X)</f>
        <v>46104</v>
      </c>
      <c r="FX106" s="3">
        <f>_xlfn.XLOOKUP(B106,QUERY!$C:$C,QUERY!Y:Y)</f>
        <v>6</v>
      </c>
      <c r="FY106" s="3">
        <f>_xlfn.XLOOKUP(B106,QUERY!$C:$C,QUERY!Z:Z)</f>
        <v>6</v>
      </c>
      <c r="FZ106" s="4" t="str">
        <f>_xlfn.XLOOKUP(B106,QUERY!$C:$C,QUERY!AA:AA)</f>
        <v>6 a 10 días</v>
      </c>
      <c r="GA106" s="4">
        <f>_xlfn.XLOOKUP(B106,QUERY!$C:$C,QUERY!AB:AB)</f>
        <v>46104</v>
      </c>
      <c r="GB106" s="4">
        <f>_xlfn.XLOOKUP(B106,QUERY!$C:$C,QUERY!AC:AC)</f>
        <v>46104</v>
      </c>
      <c r="GC106" s="3">
        <f>_xlfn.XLOOKUP(B106,QUERY!$C:$C,QUERY!AD:AD)</f>
        <v>0</v>
      </c>
      <c r="GD106" s="4">
        <f>_xlfn.XLOOKUP(B106,QUERY!$C:$C,QUERY!AE:AE)</f>
        <v>46104</v>
      </c>
      <c r="GE106" s="3">
        <f>_xlfn.XLOOKUP(B106,QUERY!$C:$C,QUERY!AF:AF)</f>
        <v>1</v>
      </c>
      <c r="GF106" s="4" t="str">
        <f>_xlfn.XLOOKUP(B106,QUERY!$C:$C,QUERY!AG:AG)</f>
        <v>Es anterior</v>
      </c>
      <c r="GG106" s="3" t="str">
        <f>_xlfn.XLOOKUP(B106,QUERY!$C:$C,QUERY!AH:AH)</f>
        <v>R1</v>
      </c>
      <c r="GH106" s="3" t="str">
        <f>_xlfn.XLOOKUP(B106,QUERY!$C:$C,QUERY!AI:AI)</f>
        <v>ZULEIMA PEREZ RUIZ</v>
      </c>
      <c r="GI106" s="3" t="str">
        <f>_xlfn.XLOOKUP(B106,QUERY!$C:$C,QUERY!AJ:AJ)</f>
        <v>HLCUHAM260250722</v>
      </c>
      <c r="GJ106" s="3" t="str">
        <f>_xlfn.XLOOKUP(B106,QUERY!$C:$C,QUERY!AK:AK)</f>
        <v>NULL</v>
      </c>
      <c r="GK106" s="3">
        <f>_xlfn.XLOOKUP(B106,QUERY!$C:$C,QUERY!AL:AL)</f>
        <v>6000432</v>
      </c>
      <c r="GL106" s="3" t="str">
        <f>_xlfn.XLOOKUP(B106,QUERY!$C:$C,QUERY!AM:AM)</f>
        <v>Importación</v>
      </c>
      <c r="GM106" s="3" t="str">
        <f>_xlfn.XLOOKUP(B106,QUERY!$C:$C,QUERY!AN:AN)</f>
        <v>BRAVECTO 1M TRIPLE 200MG  (MEDICAMENTO DOSIFICADO DE USO VETERINARIO)</v>
      </c>
      <c r="GN106" s="3" t="str">
        <f>_xlfn.XLOOKUP(B106,QUERY!$C:$C,QUERY!AO:AO)</f>
        <v>SIN CLASIFICACION</v>
      </c>
      <c r="GO106" s="3">
        <f>_xlfn.XLOOKUP(B106,QUERY!$C:$C,QUERY!AP:AP)</f>
        <v>0</v>
      </c>
      <c r="GP106" s="3" t="str">
        <f>_xlfn.XLOOKUP(B106,QUERY!$C:$C,QUERY!AQ:AQ)</f>
        <v>Cargas de Importación</v>
      </c>
      <c r="GQ106" s="3" t="str">
        <f>_xlfn.XLOOKUP(B106,QUERY!$C:$C,QUERY!AR:AR)</f>
        <v>INTERVET MEXICO SA DE CV</v>
      </c>
      <c r="GR106" s="3">
        <f>_xlfn.XLOOKUP(B106,QUERY!$C:$C,QUERY!AS:AS)</f>
        <v>0</v>
      </c>
      <c r="GS106" s="3">
        <f>_xlfn.XLOOKUP(B106,QUERY!$C:$C,QUERY!AT:AT)</f>
        <v>0</v>
      </c>
      <c r="GT106" s="3">
        <f>_xlfn.XLOOKUP(B106,QUERY!$C:$C,QUERY!AU:AU)</f>
        <v>0</v>
      </c>
      <c r="GU106" s="3">
        <f>_xlfn.XLOOKUP(B106,QUERY!$C:$C,QUERY!AV:AV)</f>
        <v>0</v>
      </c>
      <c r="GV106" s="3" t="str">
        <f>_xlfn.XLOOKUP(B106,QUERY!$C:$C,QUERY!AW:AW)</f>
        <v>PRODUCTO TERMINADO</v>
      </c>
      <c r="GW106" s="3" t="str">
        <f>_xlfn.XLOOKUP(B106,QUERY!$C:$C,QUERY!AX:AX)</f>
        <v>Verde</v>
      </c>
      <c r="GX106" s="3" t="str">
        <f>_xlfn.XLOOKUP(B106,QUERY!$C:$C,QUERY!AY:AY)</f>
        <v xml:space="preserve"> SUPER EXPRESS DE CARGA FEDERAL S.A. DE C.V.</v>
      </c>
      <c r="GY106" s="3">
        <f>_xlfn.XLOOKUP(B106,QUERY!$C:$C,QUERY!AZ:AZ)</f>
        <v>0</v>
      </c>
      <c r="GZ106" s="3" t="str">
        <f>_xlfn.XLOOKUP(B106,QUERY!$C:$C,QUERY!BA:BA)</f>
        <v>IME-T006</v>
      </c>
      <c r="HA106" s="3" t="str">
        <f>_xlfn.XLOOKUP(B106,QUERY!$C:$C,QUERY!BB:BB)</f>
        <v>IME850329RH2</v>
      </c>
      <c r="HB106" s="3">
        <f>_xlfn.XLOOKUP(B106,QUERY!$C:$C,QUERY!BC:BC)</f>
        <v>0</v>
      </c>
      <c r="HC106" s="3">
        <f>_xlfn.XLOOKUP(B106,QUERY!$C:$C,QUERY!BD:BD)</f>
        <v>99</v>
      </c>
      <c r="HD106" s="3" t="str">
        <f>_xlfn.XLOOKUP(B106,QUERY!$C:$C,QUERY!BE:BE)</f>
        <v>LOTE: 25F4004AA2,LOTE: 26E4002C01</v>
      </c>
      <c r="HE106" s="3">
        <f>_xlfn.XLOOKUP(B106,QUERY!$C:$C,QUERY!BF:BF)</f>
        <v>90</v>
      </c>
      <c r="HF106" s="3" t="str">
        <f>_xlfn.XLOOKUP(B106,QUERY!$C:$C,QUERY!BG:BG)</f>
        <v xml:space="preserve"> 5465054.00</v>
      </c>
      <c r="HG106" s="3" t="str">
        <f>_xlfn.XLOOKUP(B106,QUERY!$C:$C,QUERY!BH:BH)</f>
        <v>KILO,KILO</v>
      </c>
      <c r="HH106" s="3">
        <f>_xlfn.XLOOKUP(B106,QUERY!$C:$C,QUERY!BI:BI)</f>
        <v>0</v>
      </c>
      <c r="HI106" s="3" t="str">
        <f>_xlfn.XLOOKUP(B106,QUERY!$C:$C,QUERY!BJ:BJ)</f>
        <v>AUSTRIA (REPUBLICA DE)</v>
      </c>
      <c r="HJ106" s="3" t="str">
        <f>_xlfn.XLOOKUP(B106,QUERY!$C:$C,QUERY!BK:BK)</f>
        <v>PAISES BAJOS (REINO DE LOS) (HOLANDA)</v>
      </c>
      <c r="HK106" s="3" t="str">
        <f>_xlfn.XLOOKUP(B106,QUERY!$C:$C,QUERY!BL:BL)</f>
        <v>AUT</v>
      </c>
      <c r="HL106" s="3" t="str">
        <f>_xlfn.XLOOKUP(B106,QUERY!$C:$C,QUERY!BM:BM)</f>
        <v>ZYA</v>
      </c>
      <c r="HM106" s="3">
        <f>_xlfn.XLOOKUP(B106,QUERY!$C:$C,QUERY!BN:BN)</f>
        <v>5465054</v>
      </c>
      <c r="HN106" s="3" t="str">
        <f>_xlfn.XLOOKUP(B106,QUERY!$C:$C,QUERY!BO:BO)</f>
        <v>444.00</v>
      </c>
      <c r="HO106" s="3" t="str">
        <f>_xlfn.XLOOKUP(B106,QUERY!$C:$C,QUERY!BP:BP)</f>
        <v>NULL</v>
      </c>
      <c r="HP106" s="3" t="str">
        <f>_xlfn.XLOOKUP(B106,QUERY!$C:$C,QUERY!BQ:BQ)</f>
        <v>NULL</v>
      </c>
      <c r="HQ106" s="3" t="str">
        <f>_xlfn.XLOOKUP(B106,QUERY!$C:$C,QUERY!BR:BR)</f>
        <v>102259.35</v>
      </c>
      <c r="HR106" s="3">
        <f>_xlfn.XLOOKUP(B106,QUERY!$C:$C,QUERY!BS:BS)</f>
        <v>0</v>
      </c>
      <c r="HS106" s="3">
        <f>_xlfn.XLOOKUP(B106,QUERY!$C:$C,QUERY!BT:BT)</f>
        <v>0</v>
      </c>
      <c r="HT106" s="3" t="str">
        <f>_xlfn.XLOOKUP(B106,QUERY!$C:$C,QUERY!A:A)</f>
        <v>VERACRUZ</v>
      </c>
      <c r="HU106" s="3" t="str">
        <f>_xlfn.XLOOKUP(B106,QUERY!$C:$C,QUERY!B:B)</f>
        <v>MARÍTIMO VERACRUZ</v>
      </c>
    </row>
    <row r="107" spans="1:229" x14ac:dyDescent="0.25">
      <c r="A107" s="3" t="s">
        <v>90</v>
      </c>
      <c r="B107" s="3" t="s">
        <v>329</v>
      </c>
      <c r="C107" s="3">
        <v>3942</v>
      </c>
      <c r="D107" s="3">
        <v>6000363</v>
      </c>
      <c r="E107" s="3"/>
      <c r="F107" s="3" t="s">
        <v>92</v>
      </c>
      <c r="G107" s="3" t="s">
        <v>93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17.8368</v>
      </c>
      <c r="Q107" s="3">
        <v>6160</v>
      </c>
      <c r="R107" s="3">
        <v>430</v>
      </c>
      <c r="S107" s="3" t="s">
        <v>330</v>
      </c>
      <c r="T107" s="3" t="s">
        <v>130</v>
      </c>
      <c r="U107" s="3">
        <v>32484777</v>
      </c>
      <c r="V107" s="3">
        <v>32484777</v>
      </c>
      <c r="W107" s="3">
        <v>0</v>
      </c>
      <c r="X107" s="3">
        <v>0</v>
      </c>
      <c r="Y107" s="3">
        <v>0</v>
      </c>
      <c r="Z107" s="3">
        <v>0</v>
      </c>
      <c r="AA107" s="3" t="s">
        <v>331</v>
      </c>
      <c r="AB107" s="3"/>
      <c r="AC107" s="3">
        <v>368741</v>
      </c>
      <c r="AD107" s="3">
        <v>884.27098000000001</v>
      </c>
      <c r="AE107" s="3">
        <v>808</v>
      </c>
      <c r="AF107" s="3">
        <v>0</v>
      </c>
      <c r="AG107" s="3">
        <v>0</v>
      </c>
      <c r="AH107" s="3">
        <v>0</v>
      </c>
      <c r="AI107" s="3">
        <v>53</v>
      </c>
      <c r="AJ107" s="3">
        <v>462</v>
      </c>
      <c r="AK107" s="3">
        <v>0</v>
      </c>
      <c r="AL107" s="3">
        <v>0</v>
      </c>
      <c r="AM107" s="3">
        <v>330</v>
      </c>
      <c r="AN107" s="3">
        <v>845</v>
      </c>
      <c r="AO107" s="3" t="s">
        <v>97</v>
      </c>
      <c r="AP107" s="3" t="s">
        <v>98</v>
      </c>
      <c r="AQ107" s="3">
        <v>210365527</v>
      </c>
      <c r="AR107" s="3" t="s">
        <v>99</v>
      </c>
      <c r="AS107" s="3" t="s">
        <v>100</v>
      </c>
      <c r="AT107" s="3" t="s">
        <v>332</v>
      </c>
      <c r="AU107" s="3"/>
      <c r="AV107" s="3" t="s">
        <v>146</v>
      </c>
      <c r="AW107" s="3">
        <v>30024201</v>
      </c>
      <c r="AX107" s="3">
        <v>99</v>
      </c>
      <c r="AY107" s="3">
        <v>417</v>
      </c>
      <c r="AZ107" s="3">
        <v>417</v>
      </c>
      <c r="BA107" s="3" t="s">
        <v>103</v>
      </c>
      <c r="BB107" s="3"/>
      <c r="BC107" s="3" t="s">
        <v>105</v>
      </c>
      <c r="BD107" s="3" t="s">
        <v>105</v>
      </c>
      <c r="BE107" s="3" t="s">
        <v>228</v>
      </c>
      <c r="BF107" s="3" t="s">
        <v>333</v>
      </c>
      <c r="BG107" s="5" t="s">
        <v>334</v>
      </c>
      <c r="BH107" s="3" t="s">
        <v>148</v>
      </c>
      <c r="BI107" s="3"/>
      <c r="BJ107" s="3" t="s">
        <v>109</v>
      </c>
      <c r="BK107" s="3" t="s">
        <v>335</v>
      </c>
      <c r="BL107" s="3">
        <v>44721</v>
      </c>
      <c r="BM107" s="3">
        <v>0</v>
      </c>
      <c r="BN107" s="3">
        <v>0</v>
      </c>
      <c r="BO107" s="3">
        <v>0</v>
      </c>
      <c r="BP107" s="3">
        <v>1800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22189.59</v>
      </c>
      <c r="BY107" s="3">
        <v>0</v>
      </c>
      <c r="BZ107" s="3">
        <v>0</v>
      </c>
      <c r="CA107" s="3">
        <v>38720.22</v>
      </c>
      <c r="CB107" s="3">
        <v>18000</v>
      </c>
      <c r="CC107" s="3">
        <v>3630.4</v>
      </c>
      <c r="CD107" s="3">
        <v>218768.33</v>
      </c>
      <c r="CE107" s="3" t="s">
        <v>192</v>
      </c>
      <c r="CF107" s="3">
        <v>218768.33</v>
      </c>
      <c r="CG107" s="3">
        <v>0</v>
      </c>
      <c r="CH107" s="3">
        <v>0</v>
      </c>
      <c r="CI107" s="3" t="s">
        <v>112</v>
      </c>
      <c r="CJ107" s="3" t="s">
        <v>112</v>
      </c>
      <c r="CK107" s="3">
        <f>_xlfn.XLOOKUP($B$2,'BASE DE EXCEL'!C:C,'BASE DE EXCEL'!D:D,"NO HAY REFERENCIA")</f>
        <v>470</v>
      </c>
      <c r="CL107" s="5">
        <f>_xlfn.XLOOKUP($B$2,'BASE DE EXCEL'!$C:$C,'BASE DE EXCEL'!F:F,"NO HAY REFERENCIA")</f>
        <v>3</v>
      </c>
      <c r="CM107" s="4">
        <f>_xlfn.XLOOKUP($B$2,'BASE DE EXCEL'!$C:$C,'BASE DE EXCEL'!G:G,"NO HAY REFERENCIA")</f>
        <v>46080</v>
      </c>
      <c r="CN107" s="4">
        <f>_xlfn.XLOOKUP($B$2,'BASE DE EXCEL'!$C:$C,'BASE DE EXCEL'!H:H,"NO HAY REFERENCIA")</f>
        <v>46086</v>
      </c>
      <c r="CO107" s="3">
        <f>_xlfn.XLOOKUP($B$2,'BASE DE EXCEL'!$C:$C,'BASE DE EXCEL'!I:I,"NO HAY REFERENCIA")</f>
        <v>4</v>
      </c>
      <c r="CP107" s="3" t="str">
        <f>_xlfn.XLOOKUP($B$2,'BASE DE EXCEL'!$C:$C,'BASE DE EXCEL'!J:J,"NO HAY REFERENCIA")</f>
        <v>4 a 5 días</v>
      </c>
      <c r="CQ107" s="4">
        <f>_xlfn.XLOOKUP($B$2,'BASE DE EXCEL'!$C:$C,'BASE DE EXCEL'!K:K,"NO HAY REFERENCIA")</f>
        <v>46087</v>
      </c>
      <c r="CR107" s="3">
        <f>_xlfn.XLOOKUP($B$2,'BASE DE EXCEL'!$C:$C,'BASE DE EXCEL'!L:L,"NO HAY REFERENCIA")</f>
        <v>5</v>
      </c>
      <c r="CS107" s="3">
        <f>_xlfn.XLOOKUP($B$2,'BASE DE EXCEL'!$C:$C,'BASE DE EXCEL'!M:M,"NO HAY REFERENCIA")</f>
        <v>6</v>
      </c>
      <c r="CT107" s="3" t="str">
        <f>_xlfn.XLOOKUP($B$2,'BASE DE EXCEL'!$C:$C,'BASE DE EXCEL'!N:N,"NO HAY REFERENCIA")</f>
        <v>6 a 10 días</v>
      </c>
      <c r="CU107" s="3" t="str">
        <f>_xlfn.XLOOKUP($B$2,'BASE DE EXCEL'!$C:$C,'BASE DE EXCEL'!O:O,"NO HAY REFERENCIA")</f>
        <v>On Time</v>
      </c>
      <c r="CV107" s="3" t="str">
        <f>_xlfn.XLOOKUP(B107,'BASE DE EXCEL'!$C:$C,'BASE DE EXCEL'!P:P,"NO HAY REFERENCIA")</f>
        <v>6 a 10 días</v>
      </c>
      <c r="CW107" s="4">
        <f>_xlfn.XLOOKUP(B107,'BASE DE EXCEL'!$C:$C,'BASE DE EXCEL'!Q:Q,"NO HAY REFERENCIA")</f>
        <v>46106</v>
      </c>
      <c r="CX107" s="3">
        <f>_xlfn.XLOOKUP(B107,'BASE DE EXCEL'!$C:$C,'BASE DE EXCEL'!R:R,"NO HAY REFERENCIA")</f>
        <v>7</v>
      </c>
      <c r="CY107" s="3" t="str">
        <f>_xlfn.XLOOKUP(B107,'BASE DE EXCEL'!$C:$C,'BASE DE EXCEL'!S:S,"NO HAY REFERENCIA")</f>
        <v>6 a 10 días</v>
      </c>
      <c r="CZ107" s="3" t="str">
        <f>_xlfn.XLOOKUP(B107,'BASE DE EXCEL'!$C:$C,'BASE DE EXCEL'!T:T,"NO HAY REFERENCIA")</f>
        <v>Delayed</v>
      </c>
      <c r="DA107" s="3">
        <f>_xlfn.XLOOKUP(B107,'BASE DE EXCEL'!$C:$C,'BASE DE EXCEL'!U:U,"NO HAY REFERENCIA")</f>
        <v>9</v>
      </c>
      <c r="DB107" s="3" t="str">
        <f>_xlfn.XLOOKUP(B107,'BASE DE EXCEL'!$C:$C,'BASE DE EXCEL'!V:V,"NO HAY REFERENCIA")</f>
        <v>6 a 10 días</v>
      </c>
      <c r="DC107" s="3">
        <f>_xlfn.XLOOKUP(B107,'BASE DE EXCEL'!$C:$C,'BASE DE EXCEL'!W:W,"NO HAY REFERENCIA")</f>
        <v>18</v>
      </c>
      <c r="DD107" s="3" t="str">
        <f>_xlfn.XLOOKUP(B107,'BASE DE EXCEL'!$C:$C,'BASE DE EXCEL'!X:X,"NO HAY REFERENCIA")</f>
        <v>más de 16 días</v>
      </c>
      <c r="DE107" s="3">
        <f>_xlfn.XLOOKUP(B107,'BASE DE EXCEL'!$C:$C,'BASE DE EXCEL'!Y:Y,"NO HAY REFERENCIA")</f>
        <v>0</v>
      </c>
      <c r="DF107" s="3" t="str">
        <f>_xlfn.XLOOKUP(B107,'BASE DE EXCEL'!$C:$C,'BASE DE EXCEL'!Z:Z,"NO HAY REFERENCIA")</f>
        <v>1 día o menos</v>
      </c>
      <c r="DG107" s="3">
        <f>_xlfn.XLOOKUP(B107,'BASE DE EXCEL'!$C:$C,'BASE DE EXCEL'!AA:AA,"NO HAY REFERENCIA")</f>
        <v>8</v>
      </c>
      <c r="DH107" s="3">
        <f>_xlfn.XLOOKUP(B107,'BASE DE EXCEL'!$C:$C,'BASE DE EXCEL'!AB:AB,"NO HAY REFERENCIA")</f>
        <v>1</v>
      </c>
      <c r="DI107" s="3" t="str">
        <f>_xlfn.XLOOKUP(B107,'BASE DE EXCEL'!$C:$C,'BASE DE EXCEL'!AC:AC,"NO HAY REFERENCIA")</f>
        <v>1 día o menos</v>
      </c>
      <c r="DJ107" s="4">
        <f>_xlfn.XLOOKUP(B107,'BASE DE EXCEL'!$C:$C,'BASE DE EXCEL'!AD:AD,"NO HAY REFERENCIA")</f>
        <v>46121</v>
      </c>
      <c r="DK107" s="3">
        <f>_xlfn.XLOOKUP(B107,'BASE DE EXCEL'!$C:$C,'BASE DE EXCEL'!AE:AE,"NO HAY REFERENCIA")</f>
        <v>15</v>
      </c>
      <c r="DL107" s="3">
        <f>_xlfn.XLOOKUP(B107,'BASE DE EXCEL'!$C:$C,'BASE DE EXCEL'!AF:AF,"NO HAY REFERENCIA")</f>
        <v>11</v>
      </c>
      <c r="DM107" s="4">
        <f>_xlfn.XLOOKUP(B107,'BASE DE EXCEL'!$C:$C,'BASE DE EXCEL'!AG:AG,"NO HAY REFERENCIA")</f>
        <v>46121</v>
      </c>
      <c r="DN107" s="4">
        <f>_xlfn.XLOOKUP(B107,'BASE DE EXCEL'!$C:$C,'BASE DE EXCEL'!AH:AH,"NO HAY REFERENCIA")</f>
        <v>46121</v>
      </c>
      <c r="DO107" s="3">
        <f>_xlfn.XLOOKUP(B107,'BASE DE EXCEL'!$C:$C,'BASE DE EXCEL'!AI:AI,"NO HAY REFERENCIA")</f>
        <v>0</v>
      </c>
      <c r="DP107" s="4" t="str">
        <f>_xlfn.XLOOKUP(B107,'BASE DE EXCEL'!$C:$C,'BASE DE EXCEL'!AJ:AJ,"NO HAY REFERENCIA")</f>
        <v>11 a 15 días</v>
      </c>
      <c r="DQ107" s="4">
        <f>_xlfn.XLOOKUP(B107,'BASE DE EXCEL'!$C:$C,'BASE DE EXCEL'!AK:AK,"NO HAY REFERENCIA")</f>
        <v>46121</v>
      </c>
      <c r="DR107" s="3">
        <f>_xlfn.XLOOKUP(B107,'BASE DE EXCEL'!$C:$C,'BASE DE EXCEL'!AL:AL,"NO HAY REFERENCIA")</f>
        <v>10</v>
      </c>
      <c r="DS107" s="3" t="str">
        <f>_xlfn.XLOOKUP(B107,'BASE DE EXCEL'!$C:$C,'BASE DE EXCEL'!AM:AM,"NO HAY REFERENCIA")</f>
        <v>6 a 10 días</v>
      </c>
      <c r="DT107" s="3" t="str">
        <f>_xlfn.XLOOKUP(B107,'BASE DE EXCEL'!$C:$C,'BASE DE EXCEL'!AN:AN,"NO HAY REFERENCIA")</f>
        <v>Delayed</v>
      </c>
      <c r="DU107" s="3">
        <f>_xlfn.XLOOKUP(B107,'BASE DE EXCEL'!$C:$C,'BASE DE EXCEL'!AO:AO,"NO HAY REFERENCIA")</f>
        <v>1</v>
      </c>
      <c r="DV107" s="3" t="str">
        <f>_xlfn.XLOOKUP(B107,'BASE DE EXCEL'!$C:$C,'BASE DE EXCEL'!AP:AP,"NO HAY REFERENCIA")</f>
        <v>Es anterior</v>
      </c>
      <c r="DW107" s="3" t="str">
        <f>_xlfn.XLOOKUP(B107,'BASE DE EXCEL'!$C:$C,'BASE DE EXCEL'!AQ:AQ,"NO HAY REFERENCIA")</f>
        <v>A1</v>
      </c>
      <c r="DX107" s="3" t="str">
        <f>_xlfn.XLOOKUP(B107,'BASE DE EXCEL'!$C:$C,'BASE DE EXCEL'!AR:AR,"NO HAY REFERENCIA")</f>
        <v>ZULEIMA PEREZ RUIZ</v>
      </c>
      <c r="DY107" s="3" t="str">
        <f>_xlfn.XLOOKUP(B107,'BASE DE EXCEL'!$C:$C,'BASE DE EXCEL'!AS:AS,"NO HAY REFERENCIA")</f>
        <v>HLCURTM260238200</v>
      </c>
      <c r="DZ107" s="3" t="str">
        <f>_xlfn.XLOOKUP(B107,'BASE DE EXCEL'!$C:$C,'BASE DE EXCEL'!AT:AT,"NO HAY REFERENCIA")</f>
        <v>NULL</v>
      </c>
      <c r="EA107" s="3">
        <f>_xlfn.XLOOKUP(B107,'BASE DE EXCEL'!$C:$C,'BASE DE EXCEL'!AU:AU,"NO HAY REFERENCIA")</f>
        <v>6000363</v>
      </c>
      <c r="EB107" s="3" t="str">
        <f>_xlfn.XLOOKUP(B107,'BASE DE EXCEL'!$C:$C,'BASE DE EXCEL'!AV:AV,"NO HAY REFERENCIA")</f>
        <v>Importación</v>
      </c>
      <c r="EC107" s="3" t="str">
        <f>_xlfn.XLOOKUP(B107,'BASE DE EXCEL'!$C:$C,'BASE DE EXCEL'!AW:AW,"NO HAY REFERENCIA")</f>
        <v>NOBILIS IB 4-91  (VACUNA DE USO VETERINARIO)</v>
      </c>
      <c r="ED107" s="3" t="str">
        <f>_xlfn.XLOOKUP(B107,'BASE DE EXCEL'!$C:$C,'BASE DE EXCEL'!AX:AX,"NO HAY REFERENCIA")</f>
        <v>SIN CLASIFICACION</v>
      </c>
      <c r="EE107" s="3">
        <f>_xlfn.XLOOKUP(B107,'BASE DE EXCEL'!$C:$C,'BASE DE EXCEL'!AY:AY,"NO HAY REFERENCIA")</f>
        <v>0</v>
      </c>
      <c r="EF107" s="3" t="str">
        <f>_xlfn.XLOOKUP(B107,'BASE DE EXCEL'!$C:$C,'BASE DE EXCEL'!AZ:AZ,"NO HAY REFERENCIA")</f>
        <v>Cargas de Importación</v>
      </c>
      <c r="EG107" s="3" t="str">
        <f>_xlfn.XLOOKUP(B107,'BASE DE EXCEL'!$C:$C,'BASE DE EXCEL'!BA:BA,"NO HAY REFERENCIA")</f>
        <v>INTERVET MEXICO SA DE CV</v>
      </c>
      <c r="EH107" s="3">
        <f>_xlfn.XLOOKUP(B107,'BASE DE EXCEL'!$C:$C,'BASE DE EXCEL'!BB:BB,"NO HAY REFERENCIA")</f>
        <v>0</v>
      </c>
      <c r="EI107" s="3" t="str">
        <f>_xlfn.XLOOKUP(B107,'BASE DE EXCEL'!$C:$C,'BASE DE EXCEL'!BC:BC,"NO HAY REFERENCIA")</f>
        <v>FALTA IMPUESTOS</v>
      </c>
      <c r="EJ107" s="3">
        <f>_xlfn.XLOOKUP(B107,'BASE DE EXCEL'!$C:$C,'BASE DE EXCEL'!BD:BD,"NO HAY REFERENCIA")</f>
        <v>0</v>
      </c>
      <c r="EK107" s="3" t="str">
        <f>_xlfn.XLOOKUP(B107,'BASE DE EXCEL'!$C:$C,'BASE DE EXCEL'!BE:BE,"NO HAY REFERENCIA")</f>
        <v>FALTA IMPUESTOS</v>
      </c>
      <c r="EL107" s="3" t="str">
        <f>_xlfn.XLOOKUP(B107,'BASE DE EXCEL'!$C:$C,'BASE DE EXCEL'!BF:BF,"NO HAY REFERENCIA")</f>
        <v>PRODUCTO TERMINADO</v>
      </c>
      <c r="EM107" s="3" t="str">
        <f>_xlfn.XLOOKUP(B107,'BASE DE EXCEL'!$C:$C,'BASE DE EXCEL'!BG:BG,"NO HAY REFERENCIA")</f>
        <v>Rojo</v>
      </c>
      <c r="EN107" s="3" t="str">
        <f>_xlfn.XLOOKUP(B107,'BASE DE EXCEL'!$C:$C,'BASE DE EXCEL'!BH:BH,"NO HAY REFERENCIA")</f>
        <v xml:space="preserve"> SUPER EXPRESS DE CARGA FEDERAL S.A. DE C.V.</v>
      </c>
      <c r="EO107" s="3">
        <f>_xlfn.XLOOKUP(B107,'BASE DE EXCEL'!$C:$C,'BASE DE EXCEL'!BI:BI,"NO HAY REFERENCIA")</f>
        <v>0</v>
      </c>
      <c r="EP107" s="3" t="str">
        <f>_xlfn.XLOOKUP(B107,'BASE DE EXCEL'!$C:$C,'BASE DE EXCEL'!BJ:BJ,"NO HAY REFERENCIA")</f>
        <v>IME-T004</v>
      </c>
      <c r="EQ107" s="3" t="str">
        <f>_xlfn.XLOOKUP(B107,'BASE DE EXCEL'!$C:$C,'BASE DE EXCEL'!BK:BK,"NO HAY REFERENCIA")</f>
        <v>IME850329RH2</v>
      </c>
      <c r="ER107" s="3">
        <f>_xlfn.XLOOKUP(B107,'BASE DE EXCEL'!$C:$C,'BASE DE EXCEL'!BL:BL,"NO HAY REFERENCIA")</f>
        <v>0</v>
      </c>
      <c r="ES107" s="3">
        <f>_xlfn.XLOOKUP(B107,'BASE DE EXCEL'!$C:$C,'BASE DE EXCEL'!BM:BM,"NO HAY REFERENCIA")</f>
        <v>99</v>
      </c>
      <c r="ET107" s="3" t="str">
        <f>_xlfn.XLOOKUP(B107,'BASE DE EXCEL'!$C:$C,'BASE DE EXCEL'!BN:BN,"NO HAY REFERENCIA")</f>
        <v>LOTE: SA726AA17,LOTE: SA747AA17,LOTE: A313A01,LOTE: B294A01,LOTE: A061A02,LOTE: A333A02,LOTE: A610FB01,LOTE: 1E080A02,LOTE: B290A01</v>
      </c>
      <c r="EU107" s="3">
        <f>_xlfn.XLOOKUP(B107,'BASE DE EXCEL'!$C:$C,'BASE DE EXCEL'!BO:BO,"NO HAY REFERENCIA")</f>
        <v>90</v>
      </c>
      <c r="EV107" s="3" t="str">
        <f>_xlfn.XLOOKUP(B107,'BASE DE EXCEL'!$C:$C,'BASE DE EXCEL'!BP:BP,"NO HAY REFERENCIA")</f>
        <v xml:space="preserve"> 368740.59, 12202490.96, 10460124.66, 9453419.98</v>
      </c>
      <c r="EW107" s="3" t="str">
        <f>_xlfn.XLOOKUP(B107,'BASE DE EXCEL'!$C:$C,'BASE DE EXCEL'!BQ:BQ,"NO HAY REFERENCIA")</f>
        <v>KILO,KILO,KILO,KILO,KILO,KILO,KILO,KILO,KILO</v>
      </c>
      <c r="EX107" s="3">
        <f>_xlfn.XLOOKUP(B107,'BASE DE EXCEL'!$C:$C,'BASE DE EXCEL'!BR:BR,"NO HAY REFERENCIA")</f>
        <v>0</v>
      </c>
      <c r="EY107" s="3" t="str">
        <f>_xlfn.XLOOKUP(B107,'BASE DE EXCEL'!$C:$C,'BASE DE EXCEL'!BS:BS,"NO HAY REFERENCIA")</f>
        <v>PAISES BAJOS (REINO DE LOS) (HOLANDA)</v>
      </c>
      <c r="EZ107" s="3" t="str">
        <f>_xlfn.XLOOKUP(B107,'BASE DE EXCEL'!$C:$C,'BASE DE EXCEL'!BT:BT,"NO HAY REFERENCIA")</f>
        <v>PAISES BAJOS (REINO DE LOS) (HOLANDA)</v>
      </c>
      <c r="FA107" s="3" t="str">
        <f>_xlfn.XLOOKUP(B107,'BASE DE EXCEL'!$C:$C,'BASE DE EXCEL'!BU:BU,"NO HAY REFERENCIA")</f>
        <v>ZYA</v>
      </c>
      <c r="FB107" s="3" t="str">
        <f>_xlfn.XLOOKUP(B107,'BASE DE EXCEL'!$C:$C,'BASE DE EXCEL'!BV:BV,"NO HAY REFERENCIA")</f>
        <v>ZYA</v>
      </c>
      <c r="FC107" s="3">
        <f>_xlfn.XLOOKUP(B107,QUERY!$C:$C,QUERY!D:D)</f>
        <v>430</v>
      </c>
      <c r="FD107" s="4">
        <f>_xlfn.XLOOKUP(B107,QUERY!$C:$C,QUERY!E:E)</f>
        <v>46105</v>
      </c>
      <c r="FE107" s="3">
        <f>_xlfn.XLOOKUP(B107,QUERY!$C:$C,QUERY!F:F)</f>
        <v>3</v>
      </c>
      <c r="FF107" s="4">
        <f>_xlfn.XLOOKUP(B107,QUERY!$C:$C,QUERY!G:G)</f>
        <v>46097</v>
      </c>
      <c r="FG107" s="4">
        <f>_xlfn.XLOOKUP(B107,QUERY!$C:$C,QUERY!H:H)</f>
        <v>46105</v>
      </c>
      <c r="FH107" s="3">
        <f>_xlfn.XLOOKUP(B107,QUERY!$C:$C,QUERY!I:I)</f>
        <v>6</v>
      </c>
      <c r="FI107" s="3" t="str">
        <f>_xlfn.XLOOKUP(B107,QUERY!$C:$C,QUERY!J:J)</f>
        <v>6 a 10 días</v>
      </c>
      <c r="FJ107" s="4">
        <f>_xlfn.XLOOKUP(B107,QUERY!$C:$C,QUERY!K:K)</f>
        <v>46105</v>
      </c>
      <c r="FK107" s="3">
        <f>_xlfn.XLOOKUP(B107,QUERY!$C:$C,QUERY!L:L)</f>
        <v>6</v>
      </c>
      <c r="FL107" s="3" t="str">
        <f>_xlfn.XLOOKUP(B107,QUERY!$C:$C,QUERY!M:M)</f>
        <v>6 a 10 días</v>
      </c>
      <c r="FM107" s="3">
        <f>_xlfn.XLOOKUP(B107,QUERY!$C:$C,QUERY!N:N)</f>
        <v>0</v>
      </c>
      <c r="FN107" s="3" t="str">
        <f>_xlfn.XLOOKUP(B107,QUERY!$C:$C,QUERY!O:O)</f>
        <v>1 día o menos</v>
      </c>
      <c r="FO107" s="3">
        <f>_xlfn.XLOOKUP(B107,QUERY!$C:$C,QUERY!P:P)</f>
        <v>0</v>
      </c>
      <c r="FP107" s="3">
        <f>_xlfn.XLOOKUP(B107,QUERY!$C:$C,QUERY!Q:Q)</f>
        <v>1</v>
      </c>
      <c r="FQ107" s="3" t="str">
        <f>_xlfn.XLOOKUP(B107,QUERY!$C:$C,QUERY!R:R)</f>
        <v>1 día o menos</v>
      </c>
      <c r="FR107" s="4">
        <f>_xlfn.XLOOKUP(B107,QUERY!$C:$C,QUERY!S:S)</f>
        <v>46106</v>
      </c>
      <c r="FS107" s="3">
        <f>_xlfn.XLOOKUP(B107,QUERY!$C:$C,QUERY!T:T)</f>
        <v>7</v>
      </c>
      <c r="FT107" s="3" t="str">
        <f>_xlfn.XLOOKUP(B107,QUERY!$C:$C,QUERY!U:U)</f>
        <v>6 a 10 días</v>
      </c>
      <c r="FU107" s="3">
        <f>_xlfn.XLOOKUP(B107,QUERY!$C:$C,QUERY!V:V)</f>
        <v>18</v>
      </c>
      <c r="FV107" s="3" t="str">
        <f>_xlfn.XLOOKUP(B107,QUERY!$C:$C,QUERY!W:W)</f>
        <v>más de 16 días</v>
      </c>
      <c r="FW107" s="4">
        <f>_xlfn.XLOOKUP(B107,QUERY!$C:$C,QUERY!X:X)</f>
        <v>46121</v>
      </c>
      <c r="FX107" s="3">
        <f>_xlfn.XLOOKUP(B107,QUERY!$C:$C,QUERY!Y:Y)</f>
        <v>11</v>
      </c>
      <c r="FY107" s="3">
        <f>_xlfn.XLOOKUP(B107,QUERY!$C:$C,QUERY!Z:Z)</f>
        <v>11</v>
      </c>
      <c r="FZ107" s="4" t="str">
        <f>_xlfn.XLOOKUP(B107,QUERY!$C:$C,QUERY!AA:AA)</f>
        <v>11 a 15 días</v>
      </c>
      <c r="GA107" s="4">
        <f>_xlfn.XLOOKUP(B107,QUERY!$C:$C,QUERY!AB:AB)</f>
        <v>46121</v>
      </c>
      <c r="GB107" s="4">
        <f>_xlfn.XLOOKUP(B107,QUERY!$C:$C,QUERY!AC:AC)</f>
        <v>46121</v>
      </c>
      <c r="GC107" s="3">
        <f>_xlfn.XLOOKUP(B107,QUERY!$C:$C,QUERY!AD:AD)</f>
        <v>0</v>
      </c>
      <c r="GD107" s="4">
        <f>_xlfn.XLOOKUP(B107,QUERY!$C:$C,QUERY!AE:AE)</f>
        <v>46121</v>
      </c>
      <c r="GE107" s="3">
        <f>_xlfn.XLOOKUP(B107,QUERY!$C:$C,QUERY!AF:AF)</f>
        <v>1</v>
      </c>
      <c r="GF107" s="4" t="str">
        <f>_xlfn.XLOOKUP(B107,QUERY!$C:$C,QUERY!AG:AG)</f>
        <v>Es anterior</v>
      </c>
      <c r="GG107" s="3" t="str">
        <f>_xlfn.XLOOKUP(B107,QUERY!$C:$C,QUERY!AH:AH)</f>
        <v>A1</v>
      </c>
      <c r="GH107" s="3" t="str">
        <f>_xlfn.XLOOKUP(B107,QUERY!$C:$C,QUERY!AI:AI)</f>
        <v>ZULEIMA PEREZ RUIZ</v>
      </c>
      <c r="GI107" s="3" t="str">
        <f>_xlfn.XLOOKUP(B107,QUERY!$C:$C,QUERY!AJ:AJ)</f>
        <v>HLCURTM260238200</v>
      </c>
      <c r="GJ107" s="3" t="str">
        <f>_xlfn.XLOOKUP(B107,QUERY!$C:$C,QUERY!AK:AK)</f>
        <v>NULL</v>
      </c>
      <c r="GK107" s="3">
        <f>_xlfn.XLOOKUP(B107,QUERY!$C:$C,QUERY!AL:AL)</f>
        <v>6000363</v>
      </c>
      <c r="GL107" s="3" t="str">
        <f>_xlfn.XLOOKUP(B107,QUERY!$C:$C,QUERY!AM:AM)</f>
        <v>Importación</v>
      </c>
      <c r="GM107" s="3" t="str">
        <f>_xlfn.XLOOKUP(B107,QUERY!$C:$C,QUERY!AN:AN)</f>
        <v>NOBILIS IB 4-91  (VACUNA DE USO VETERINARIO)</v>
      </c>
      <c r="GN107" s="3" t="str">
        <f>_xlfn.XLOOKUP(B107,QUERY!$C:$C,QUERY!AO:AO)</f>
        <v>SIN CLASIFICACION</v>
      </c>
      <c r="GO107" s="3">
        <f>_xlfn.XLOOKUP(B107,QUERY!$C:$C,QUERY!AP:AP)</f>
        <v>0</v>
      </c>
      <c r="GP107" s="3" t="str">
        <f>_xlfn.XLOOKUP(B107,QUERY!$C:$C,QUERY!AQ:AQ)</f>
        <v>Cargas de Importación</v>
      </c>
      <c r="GQ107" s="3" t="str">
        <f>_xlfn.XLOOKUP(B107,QUERY!$C:$C,QUERY!AR:AR)</f>
        <v>INTERVET MEXICO SA DE CV</v>
      </c>
      <c r="GR107" s="3">
        <f>_xlfn.XLOOKUP(B107,QUERY!$C:$C,QUERY!AS:AS)</f>
        <v>0</v>
      </c>
      <c r="GS107" s="3" t="str">
        <f>_xlfn.XLOOKUP(B107,QUERY!$C:$C,QUERY!AT:AT)</f>
        <v>FALTA IMPUESTOS</v>
      </c>
      <c r="GT107" s="3">
        <f>_xlfn.XLOOKUP(B107,QUERY!$C:$C,QUERY!AU:AU)</f>
        <v>0</v>
      </c>
      <c r="GU107" s="3" t="str">
        <f>_xlfn.XLOOKUP(B107,QUERY!$C:$C,QUERY!AV:AV)</f>
        <v>FALTA IMPUESTOS</v>
      </c>
      <c r="GV107" s="3" t="str">
        <f>_xlfn.XLOOKUP(B107,QUERY!$C:$C,QUERY!AW:AW)</f>
        <v>PRODUCTO TERMINADO</v>
      </c>
      <c r="GW107" s="3" t="str">
        <f>_xlfn.XLOOKUP(B107,QUERY!$C:$C,QUERY!AX:AX)</f>
        <v>Rojo</v>
      </c>
      <c r="GX107" s="3" t="str">
        <f>_xlfn.XLOOKUP(B107,QUERY!$C:$C,QUERY!AY:AY)</f>
        <v xml:space="preserve"> SUPER EXPRESS DE CARGA FEDERAL S.A. DE C.V.</v>
      </c>
      <c r="GY107" s="3">
        <f>_xlfn.XLOOKUP(B107,QUERY!$C:$C,QUERY!AZ:AZ)</f>
        <v>0</v>
      </c>
      <c r="GZ107" s="3" t="str">
        <f>_xlfn.XLOOKUP(B107,QUERY!$C:$C,QUERY!BA:BA)</f>
        <v>IME-T004</v>
      </c>
      <c r="HA107" s="3" t="str">
        <f>_xlfn.XLOOKUP(B107,QUERY!$C:$C,QUERY!BB:BB)</f>
        <v>IME850329RH2</v>
      </c>
      <c r="HB107" s="3">
        <f>_xlfn.XLOOKUP(B107,QUERY!$C:$C,QUERY!BC:BC)</f>
        <v>0</v>
      </c>
      <c r="HC107" s="3">
        <f>_xlfn.XLOOKUP(B107,QUERY!$C:$C,QUERY!BD:BD)</f>
        <v>99</v>
      </c>
      <c r="HD107" s="3" t="str">
        <f>_xlfn.XLOOKUP(B107,QUERY!$C:$C,QUERY!BE:BE)</f>
        <v>LOTE: SA726AA17,LOTE: SA747AA17,LOTE: A313A01,LOTE: B294A01,LOTE: A061A02,LOTE: A333A02,LOTE: A610FB01,LOTE: B290A01,LOTE: 1E080A02</v>
      </c>
      <c r="HE107" s="3">
        <f>_xlfn.XLOOKUP(B107,QUERY!$C:$C,QUERY!BF:BF)</f>
        <v>90</v>
      </c>
      <c r="HF107" s="3" t="str">
        <f>_xlfn.XLOOKUP(B107,QUERY!$C:$C,QUERY!BG:BG)</f>
        <v xml:space="preserve"> 368740.59, 12202490.96, 10460124.66, 9453419.98</v>
      </c>
      <c r="HG107" s="3" t="str">
        <f>_xlfn.XLOOKUP(B107,QUERY!$C:$C,QUERY!BH:BH)</f>
        <v>KILO,KILO,KILO,KILO,KILO,KILO,KILO,KILO,KILO</v>
      </c>
      <c r="HH107" s="3">
        <f>_xlfn.XLOOKUP(B107,QUERY!$C:$C,QUERY!BI:BI)</f>
        <v>0</v>
      </c>
      <c r="HI107" s="3" t="str">
        <f>_xlfn.XLOOKUP(B107,QUERY!$C:$C,QUERY!BJ:BJ)</f>
        <v>PAISES BAJOS (REINO DE LOS) (HOLANDA)</v>
      </c>
      <c r="HJ107" s="3" t="str">
        <f>_xlfn.XLOOKUP(B107,QUERY!$C:$C,QUERY!BK:BK)</f>
        <v>PAISES BAJOS (REINO DE LOS) (HOLANDA)</v>
      </c>
      <c r="HK107" s="3" t="str">
        <f>_xlfn.XLOOKUP(B107,QUERY!$C:$C,QUERY!BL:BL)</f>
        <v>ZYA</v>
      </c>
      <c r="HL107" s="3" t="str">
        <f>_xlfn.XLOOKUP(B107,QUERY!$C:$C,QUERY!BM:BM)</f>
        <v>ZYA</v>
      </c>
      <c r="HM107" s="3">
        <f>_xlfn.XLOOKUP(B107,QUERY!$C:$C,QUERY!BN:BN)</f>
        <v>32484777</v>
      </c>
      <c r="HN107" s="3" t="str">
        <f>_xlfn.XLOOKUP(B107,QUERY!$C:$C,QUERY!BO:BO)</f>
        <v>462.00</v>
      </c>
      <c r="HO107" s="3" t="str">
        <f>_xlfn.XLOOKUP(B107,QUERY!$C:$C,QUERY!BP:BP)</f>
        <v>NULL</v>
      </c>
      <c r="HP107" s="3" t="str">
        <f>_xlfn.XLOOKUP(B107,QUERY!$C:$C,QUERY!BQ:BQ)</f>
        <v>NULL</v>
      </c>
      <c r="HQ107" s="3" t="str">
        <f>_xlfn.XLOOKUP(B107,QUERY!$C:$C,QUERY!BR:BR)</f>
        <v>218768.33</v>
      </c>
      <c r="HR107" s="3">
        <f>_xlfn.XLOOKUP(B107,QUERY!$C:$C,QUERY!BS:BS)</f>
        <v>0</v>
      </c>
      <c r="HS107" s="3">
        <f>_xlfn.XLOOKUP(B107,QUERY!$C:$C,QUERY!BT:BT)</f>
        <v>0</v>
      </c>
      <c r="HT107" s="3" t="str">
        <f>_xlfn.XLOOKUP(B107,QUERY!$C:$C,QUERY!A:A)</f>
        <v>VERACRUZ</v>
      </c>
      <c r="HU107" s="3" t="str">
        <f>_xlfn.XLOOKUP(B107,QUERY!$C:$C,QUERY!B:B)</f>
        <v>MARÍTIMO VERACRUZ</v>
      </c>
    </row>
    <row r="108" spans="1:229" x14ac:dyDescent="0.25">
      <c r="A108" s="3" t="s">
        <v>90</v>
      </c>
      <c r="B108" s="3" t="s">
        <v>329</v>
      </c>
      <c r="C108" s="3">
        <v>3942</v>
      </c>
      <c r="D108" s="3">
        <v>6000363</v>
      </c>
      <c r="E108" s="3"/>
      <c r="F108" s="3" t="s">
        <v>92</v>
      </c>
      <c r="G108" s="3" t="s">
        <v>93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430</v>
      </c>
      <c r="S108" s="3" t="s">
        <v>330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 t="s">
        <v>144</v>
      </c>
      <c r="AB108" s="3"/>
      <c r="AC108" s="3">
        <v>12202491</v>
      </c>
      <c r="AD108" s="3">
        <v>1558.0300099999999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/>
      <c r="AP108" s="3" t="s">
        <v>98</v>
      </c>
      <c r="AQ108" s="3">
        <v>210366400</v>
      </c>
      <c r="AR108" s="3" t="s">
        <v>99</v>
      </c>
      <c r="AS108" s="3" t="s">
        <v>100</v>
      </c>
      <c r="AT108" s="3">
        <v>0</v>
      </c>
      <c r="AU108" s="3">
        <v>0</v>
      </c>
      <c r="AV108" s="3">
        <v>0</v>
      </c>
      <c r="AW108" s="3">
        <v>30024201</v>
      </c>
      <c r="AX108" s="3">
        <v>99</v>
      </c>
      <c r="AY108" s="3">
        <v>7832</v>
      </c>
      <c r="AZ108" s="3">
        <v>7832</v>
      </c>
      <c r="BA108" s="3" t="s">
        <v>103</v>
      </c>
      <c r="BB108" s="3"/>
      <c r="BC108" s="3" t="s">
        <v>105</v>
      </c>
      <c r="BD108" s="3" t="s">
        <v>105</v>
      </c>
      <c r="BE108" s="3"/>
      <c r="BF108" s="3"/>
      <c r="BG108" s="5"/>
      <c r="BH108" s="3"/>
      <c r="BI108" s="3"/>
      <c r="BJ108" s="3"/>
      <c r="BK108" s="3" t="s">
        <v>336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 t="s">
        <v>192</v>
      </c>
      <c r="CF108" s="3">
        <v>0</v>
      </c>
      <c r="CG108" s="3">
        <v>0</v>
      </c>
      <c r="CH108" s="3">
        <v>0</v>
      </c>
      <c r="CI108" s="3" t="s">
        <v>112</v>
      </c>
      <c r="CJ108" s="3" t="s">
        <v>112</v>
      </c>
      <c r="CK108" s="3">
        <f>_xlfn.XLOOKUP($B$2,'BASE DE EXCEL'!C:C,'BASE DE EXCEL'!D:D,"NO HAY REFERENCIA")</f>
        <v>470</v>
      </c>
      <c r="CL108" s="5">
        <f>_xlfn.XLOOKUP($B$2,'BASE DE EXCEL'!$C:$C,'BASE DE EXCEL'!F:F,"NO HAY REFERENCIA")</f>
        <v>3</v>
      </c>
      <c r="CM108" s="4">
        <f>_xlfn.XLOOKUP($B$2,'BASE DE EXCEL'!$C:$C,'BASE DE EXCEL'!G:G,"NO HAY REFERENCIA")</f>
        <v>46080</v>
      </c>
      <c r="CN108" s="4">
        <f>_xlfn.XLOOKUP($B$2,'BASE DE EXCEL'!$C:$C,'BASE DE EXCEL'!H:H,"NO HAY REFERENCIA")</f>
        <v>46086</v>
      </c>
      <c r="CO108" s="3">
        <f>_xlfn.XLOOKUP($B$2,'BASE DE EXCEL'!$C:$C,'BASE DE EXCEL'!I:I,"NO HAY REFERENCIA")</f>
        <v>4</v>
      </c>
      <c r="CP108" s="3" t="str">
        <f>_xlfn.XLOOKUP($B$2,'BASE DE EXCEL'!$C:$C,'BASE DE EXCEL'!J:J,"NO HAY REFERENCIA")</f>
        <v>4 a 5 días</v>
      </c>
      <c r="CQ108" s="4">
        <f>_xlfn.XLOOKUP($B$2,'BASE DE EXCEL'!$C:$C,'BASE DE EXCEL'!K:K,"NO HAY REFERENCIA")</f>
        <v>46087</v>
      </c>
      <c r="CR108" s="3">
        <f>_xlfn.XLOOKUP($B$2,'BASE DE EXCEL'!$C:$C,'BASE DE EXCEL'!L:L,"NO HAY REFERENCIA")</f>
        <v>5</v>
      </c>
      <c r="CS108" s="3">
        <f>_xlfn.XLOOKUP($B$2,'BASE DE EXCEL'!$C:$C,'BASE DE EXCEL'!M:M,"NO HAY REFERENCIA")</f>
        <v>6</v>
      </c>
      <c r="CT108" s="3" t="str">
        <f>_xlfn.XLOOKUP($B$2,'BASE DE EXCEL'!$C:$C,'BASE DE EXCEL'!N:N,"NO HAY REFERENCIA")</f>
        <v>6 a 10 días</v>
      </c>
      <c r="CU108" s="3" t="str">
        <f>_xlfn.XLOOKUP($B$2,'BASE DE EXCEL'!$C:$C,'BASE DE EXCEL'!O:O,"NO HAY REFERENCIA")</f>
        <v>On Time</v>
      </c>
      <c r="CV108" s="3" t="str">
        <f>_xlfn.XLOOKUP(B108,'BASE DE EXCEL'!$C:$C,'BASE DE EXCEL'!P:P,"NO HAY REFERENCIA")</f>
        <v>6 a 10 días</v>
      </c>
      <c r="CW108" s="4">
        <f>_xlfn.XLOOKUP(B108,'BASE DE EXCEL'!$C:$C,'BASE DE EXCEL'!Q:Q,"NO HAY REFERENCIA")</f>
        <v>46106</v>
      </c>
      <c r="CX108" s="3">
        <f>_xlfn.XLOOKUP(B108,'BASE DE EXCEL'!$C:$C,'BASE DE EXCEL'!R:R,"NO HAY REFERENCIA")</f>
        <v>7</v>
      </c>
      <c r="CY108" s="3" t="str">
        <f>_xlfn.XLOOKUP(B108,'BASE DE EXCEL'!$C:$C,'BASE DE EXCEL'!S:S,"NO HAY REFERENCIA")</f>
        <v>6 a 10 días</v>
      </c>
      <c r="CZ108" s="3" t="str">
        <f>_xlfn.XLOOKUP(B108,'BASE DE EXCEL'!$C:$C,'BASE DE EXCEL'!T:T,"NO HAY REFERENCIA")</f>
        <v>Delayed</v>
      </c>
      <c r="DA108" s="3">
        <f>_xlfn.XLOOKUP(B108,'BASE DE EXCEL'!$C:$C,'BASE DE EXCEL'!U:U,"NO HAY REFERENCIA")</f>
        <v>9</v>
      </c>
      <c r="DB108" s="3" t="str">
        <f>_xlfn.XLOOKUP(B108,'BASE DE EXCEL'!$C:$C,'BASE DE EXCEL'!V:V,"NO HAY REFERENCIA")</f>
        <v>6 a 10 días</v>
      </c>
      <c r="DC108" s="3">
        <f>_xlfn.XLOOKUP(B108,'BASE DE EXCEL'!$C:$C,'BASE DE EXCEL'!W:W,"NO HAY REFERENCIA")</f>
        <v>18</v>
      </c>
      <c r="DD108" s="3" t="str">
        <f>_xlfn.XLOOKUP(B108,'BASE DE EXCEL'!$C:$C,'BASE DE EXCEL'!X:X,"NO HAY REFERENCIA")</f>
        <v>más de 16 días</v>
      </c>
      <c r="DE108" s="3">
        <f>_xlfn.XLOOKUP(B108,'BASE DE EXCEL'!$C:$C,'BASE DE EXCEL'!Y:Y,"NO HAY REFERENCIA")</f>
        <v>0</v>
      </c>
      <c r="DF108" s="3" t="str">
        <f>_xlfn.XLOOKUP(B108,'BASE DE EXCEL'!$C:$C,'BASE DE EXCEL'!Z:Z,"NO HAY REFERENCIA")</f>
        <v>1 día o menos</v>
      </c>
      <c r="DG108" s="3">
        <f>_xlfn.XLOOKUP(B108,'BASE DE EXCEL'!$C:$C,'BASE DE EXCEL'!AA:AA,"NO HAY REFERENCIA")</f>
        <v>8</v>
      </c>
      <c r="DH108" s="3">
        <f>_xlfn.XLOOKUP(B108,'BASE DE EXCEL'!$C:$C,'BASE DE EXCEL'!AB:AB,"NO HAY REFERENCIA")</f>
        <v>1</v>
      </c>
      <c r="DI108" s="3" t="str">
        <f>_xlfn.XLOOKUP(B108,'BASE DE EXCEL'!$C:$C,'BASE DE EXCEL'!AC:AC,"NO HAY REFERENCIA")</f>
        <v>1 día o menos</v>
      </c>
      <c r="DJ108" s="4">
        <f>_xlfn.XLOOKUP(B108,'BASE DE EXCEL'!$C:$C,'BASE DE EXCEL'!AD:AD,"NO HAY REFERENCIA")</f>
        <v>46121</v>
      </c>
      <c r="DK108" s="3">
        <f>_xlfn.XLOOKUP(B108,'BASE DE EXCEL'!$C:$C,'BASE DE EXCEL'!AE:AE,"NO HAY REFERENCIA")</f>
        <v>15</v>
      </c>
      <c r="DL108" s="3">
        <f>_xlfn.XLOOKUP(B108,'BASE DE EXCEL'!$C:$C,'BASE DE EXCEL'!AF:AF,"NO HAY REFERENCIA")</f>
        <v>11</v>
      </c>
      <c r="DM108" s="4">
        <f>_xlfn.XLOOKUP(B108,'BASE DE EXCEL'!$C:$C,'BASE DE EXCEL'!AG:AG,"NO HAY REFERENCIA")</f>
        <v>46121</v>
      </c>
      <c r="DN108" s="4">
        <f>_xlfn.XLOOKUP(B108,'BASE DE EXCEL'!$C:$C,'BASE DE EXCEL'!AH:AH,"NO HAY REFERENCIA")</f>
        <v>46121</v>
      </c>
      <c r="DO108" s="3">
        <f>_xlfn.XLOOKUP(B108,'BASE DE EXCEL'!$C:$C,'BASE DE EXCEL'!AI:AI,"NO HAY REFERENCIA")</f>
        <v>0</v>
      </c>
      <c r="DP108" s="4" t="str">
        <f>_xlfn.XLOOKUP(B108,'BASE DE EXCEL'!$C:$C,'BASE DE EXCEL'!AJ:AJ,"NO HAY REFERENCIA")</f>
        <v>11 a 15 días</v>
      </c>
      <c r="DQ108" s="4">
        <f>_xlfn.XLOOKUP(B108,'BASE DE EXCEL'!$C:$C,'BASE DE EXCEL'!AK:AK,"NO HAY REFERENCIA")</f>
        <v>46121</v>
      </c>
      <c r="DR108" s="3">
        <f>_xlfn.XLOOKUP(B108,'BASE DE EXCEL'!$C:$C,'BASE DE EXCEL'!AL:AL,"NO HAY REFERENCIA")</f>
        <v>10</v>
      </c>
      <c r="DS108" s="3" t="str">
        <f>_xlfn.XLOOKUP(B108,'BASE DE EXCEL'!$C:$C,'BASE DE EXCEL'!AM:AM,"NO HAY REFERENCIA")</f>
        <v>6 a 10 días</v>
      </c>
      <c r="DT108" s="3" t="str">
        <f>_xlfn.XLOOKUP(B108,'BASE DE EXCEL'!$C:$C,'BASE DE EXCEL'!AN:AN,"NO HAY REFERENCIA")</f>
        <v>Delayed</v>
      </c>
      <c r="DU108" s="3">
        <f>_xlfn.XLOOKUP(B108,'BASE DE EXCEL'!$C:$C,'BASE DE EXCEL'!AO:AO,"NO HAY REFERENCIA")</f>
        <v>1</v>
      </c>
      <c r="DV108" s="3" t="str">
        <f>_xlfn.XLOOKUP(B108,'BASE DE EXCEL'!$C:$C,'BASE DE EXCEL'!AP:AP,"NO HAY REFERENCIA")</f>
        <v>Es anterior</v>
      </c>
      <c r="DW108" s="3" t="str">
        <f>_xlfn.XLOOKUP(B108,'BASE DE EXCEL'!$C:$C,'BASE DE EXCEL'!AQ:AQ,"NO HAY REFERENCIA")</f>
        <v>A1</v>
      </c>
      <c r="DX108" s="3" t="str">
        <f>_xlfn.XLOOKUP(B108,'BASE DE EXCEL'!$C:$C,'BASE DE EXCEL'!AR:AR,"NO HAY REFERENCIA")</f>
        <v>ZULEIMA PEREZ RUIZ</v>
      </c>
      <c r="DY108" s="3" t="str">
        <f>_xlfn.XLOOKUP(B108,'BASE DE EXCEL'!$C:$C,'BASE DE EXCEL'!AS:AS,"NO HAY REFERENCIA")</f>
        <v>HLCURTM260238200</v>
      </c>
      <c r="DZ108" s="3" t="str">
        <f>_xlfn.XLOOKUP(B108,'BASE DE EXCEL'!$C:$C,'BASE DE EXCEL'!AT:AT,"NO HAY REFERENCIA")</f>
        <v>NULL</v>
      </c>
      <c r="EA108" s="3">
        <f>_xlfn.XLOOKUP(B108,'BASE DE EXCEL'!$C:$C,'BASE DE EXCEL'!AU:AU,"NO HAY REFERENCIA")</f>
        <v>6000363</v>
      </c>
      <c r="EB108" s="3" t="str">
        <f>_xlfn.XLOOKUP(B108,'BASE DE EXCEL'!$C:$C,'BASE DE EXCEL'!AV:AV,"NO HAY REFERENCIA")</f>
        <v>Importación</v>
      </c>
      <c r="EC108" s="3" t="str">
        <f>_xlfn.XLOOKUP(B108,'BASE DE EXCEL'!$C:$C,'BASE DE EXCEL'!AW:AW,"NO HAY REFERENCIA")</f>
        <v>NOBILIS IB 4-91  (VACUNA DE USO VETERINARIO)</v>
      </c>
      <c r="ED108" s="3" t="str">
        <f>_xlfn.XLOOKUP(B108,'BASE DE EXCEL'!$C:$C,'BASE DE EXCEL'!AX:AX,"NO HAY REFERENCIA")</f>
        <v>SIN CLASIFICACION</v>
      </c>
      <c r="EE108" s="3">
        <f>_xlfn.XLOOKUP(B108,'BASE DE EXCEL'!$C:$C,'BASE DE EXCEL'!AY:AY,"NO HAY REFERENCIA")</f>
        <v>0</v>
      </c>
      <c r="EF108" s="3" t="str">
        <f>_xlfn.XLOOKUP(B108,'BASE DE EXCEL'!$C:$C,'BASE DE EXCEL'!AZ:AZ,"NO HAY REFERENCIA")</f>
        <v>Cargas de Importación</v>
      </c>
      <c r="EG108" s="3" t="str">
        <f>_xlfn.XLOOKUP(B108,'BASE DE EXCEL'!$C:$C,'BASE DE EXCEL'!BA:BA,"NO HAY REFERENCIA")</f>
        <v>INTERVET MEXICO SA DE CV</v>
      </c>
      <c r="EH108" s="3">
        <f>_xlfn.XLOOKUP(B108,'BASE DE EXCEL'!$C:$C,'BASE DE EXCEL'!BB:BB,"NO HAY REFERENCIA")</f>
        <v>0</v>
      </c>
      <c r="EI108" s="3" t="str">
        <f>_xlfn.XLOOKUP(B108,'BASE DE EXCEL'!$C:$C,'BASE DE EXCEL'!BC:BC,"NO HAY REFERENCIA")</f>
        <v>FALTA IMPUESTOS</v>
      </c>
      <c r="EJ108" s="3">
        <f>_xlfn.XLOOKUP(B108,'BASE DE EXCEL'!$C:$C,'BASE DE EXCEL'!BD:BD,"NO HAY REFERENCIA")</f>
        <v>0</v>
      </c>
      <c r="EK108" s="3" t="str">
        <f>_xlfn.XLOOKUP(B108,'BASE DE EXCEL'!$C:$C,'BASE DE EXCEL'!BE:BE,"NO HAY REFERENCIA")</f>
        <v>FALTA IMPUESTOS</v>
      </c>
      <c r="EL108" s="3" t="str">
        <f>_xlfn.XLOOKUP(B108,'BASE DE EXCEL'!$C:$C,'BASE DE EXCEL'!BF:BF,"NO HAY REFERENCIA")</f>
        <v>PRODUCTO TERMINADO</v>
      </c>
      <c r="EM108" s="3" t="str">
        <f>_xlfn.XLOOKUP(B108,'BASE DE EXCEL'!$C:$C,'BASE DE EXCEL'!BG:BG,"NO HAY REFERENCIA")</f>
        <v>Rojo</v>
      </c>
      <c r="EN108" s="3" t="str">
        <f>_xlfn.XLOOKUP(B108,'BASE DE EXCEL'!$C:$C,'BASE DE EXCEL'!BH:BH,"NO HAY REFERENCIA")</f>
        <v xml:space="preserve"> SUPER EXPRESS DE CARGA FEDERAL S.A. DE C.V.</v>
      </c>
      <c r="EO108" s="3">
        <f>_xlfn.XLOOKUP(B108,'BASE DE EXCEL'!$C:$C,'BASE DE EXCEL'!BI:BI,"NO HAY REFERENCIA")</f>
        <v>0</v>
      </c>
      <c r="EP108" s="3" t="str">
        <f>_xlfn.XLOOKUP(B108,'BASE DE EXCEL'!$C:$C,'BASE DE EXCEL'!BJ:BJ,"NO HAY REFERENCIA")</f>
        <v>IME-T004</v>
      </c>
      <c r="EQ108" s="3" t="str">
        <f>_xlfn.XLOOKUP(B108,'BASE DE EXCEL'!$C:$C,'BASE DE EXCEL'!BK:BK,"NO HAY REFERENCIA")</f>
        <v>IME850329RH2</v>
      </c>
      <c r="ER108" s="3">
        <f>_xlfn.XLOOKUP(B108,'BASE DE EXCEL'!$C:$C,'BASE DE EXCEL'!BL:BL,"NO HAY REFERENCIA")</f>
        <v>0</v>
      </c>
      <c r="ES108" s="3">
        <f>_xlfn.XLOOKUP(B108,'BASE DE EXCEL'!$C:$C,'BASE DE EXCEL'!BM:BM,"NO HAY REFERENCIA")</f>
        <v>99</v>
      </c>
      <c r="ET108" s="3" t="str">
        <f>_xlfn.XLOOKUP(B108,'BASE DE EXCEL'!$C:$C,'BASE DE EXCEL'!BN:BN,"NO HAY REFERENCIA")</f>
        <v>LOTE: SA726AA17,LOTE: SA747AA17,LOTE: A313A01,LOTE: B294A01,LOTE: A061A02,LOTE: A333A02,LOTE: A610FB01,LOTE: 1E080A02,LOTE: B290A01</v>
      </c>
      <c r="EU108" s="3">
        <f>_xlfn.XLOOKUP(B108,'BASE DE EXCEL'!$C:$C,'BASE DE EXCEL'!BO:BO,"NO HAY REFERENCIA")</f>
        <v>90</v>
      </c>
      <c r="EV108" s="3" t="str">
        <f>_xlfn.XLOOKUP(B108,'BASE DE EXCEL'!$C:$C,'BASE DE EXCEL'!BP:BP,"NO HAY REFERENCIA")</f>
        <v xml:space="preserve"> 368740.59, 12202490.96, 10460124.66, 9453419.98</v>
      </c>
      <c r="EW108" s="3" t="str">
        <f>_xlfn.XLOOKUP(B108,'BASE DE EXCEL'!$C:$C,'BASE DE EXCEL'!BQ:BQ,"NO HAY REFERENCIA")</f>
        <v>KILO,KILO,KILO,KILO,KILO,KILO,KILO,KILO,KILO</v>
      </c>
      <c r="EX108" s="3">
        <f>_xlfn.XLOOKUP(B108,'BASE DE EXCEL'!$C:$C,'BASE DE EXCEL'!BR:BR,"NO HAY REFERENCIA")</f>
        <v>0</v>
      </c>
      <c r="EY108" s="3" t="str">
        <f>_xlfn.XLOOKUP(B108,'BASE DE EXCEL'!$C:$C,'BASE DE EXCEL'!BS:BS,"NO HAY REFERENCIA")</f>
        <v>PAISES BAJOS (REINO DE LOS) (HOLANDA)</v>
      </c>
      <c r="EZ108" s="3" t="str">
        <f>_xlfn.XLOOKUP(B108,'BASE DE EXCEL'!$C:$C,'BASE DE EXCEL'!BT:BT,"NO HAY REFERENCIA")</f>
        <v>PAISES BAJOS (REINO DE LOS) (HOLANDA)</v>
      </c>
      <c r="FA108" s="3" t="str">
        <f>_xlfn.XLOOKUP(B108,'BASE DE EXCEL'!$C:$C,'BASE DE EXCEL'!BU:BU,"NO HAY REFERENCIA")</f>
        <v>ZYA</v>
      </c>
      <c r="FB108" s="3" t="str">
        <f>_xlfn.XLOOKUP(B108,'BASE DE EXCEL'!$C:$C,'BASE DE EXCEL'!BV:BV,"NO HAY REFERENCIA")</f>
        <v>ZYA</v>
      </c>
      <c r="FC108" s="3">
        <f>_xlfn.XLOOKUP(B108,QUERY!$C:$C,QUERY!D:D)</f>
        <v>430</v>
      </c>
      <c r="FD108" s="4">
        <f>_xlfn.XLOOKUP(B108,QUERY!$C:$C,QUERY!E:E)</f>
        <v>46105</v>
      </c>
      <c r="FE108" s="3">
        <f>_xlfn.XLOOKUP(B108,QUERY!$C:$C,QUERY!F:F)</f>
        <v>3</v>
      </c>
      <c r="FF108" s="4">
        <f>_xlfn.XLOOKUP(B108,QUERY!$C:$C,QUERY!G:G)</f>
        <v>46097</v>
      </c>
      <c r="FG108" s="4">
        <f>_xlfn.XLOOKUP(B108,QUERY!$C:$C,QUERY!H:H)</f>
        <v>46105</v>
      </c>
      <c r="FH108" s="3">
        <f>_xlfn.XLOOKUP(B108,QUERY!$C:$C,QUERY!I:I)</f>
        <v>6</v>
      </c>
      <c r="FI108" s="3" t="str">
        <f>_xlfn.XLOOKUP(B108,QUERY!$C:$C,QUERY!J:J)</f>
        <v>6 a 10 días</v>
      </c>
      <c r="FJ108" s="4">
        <f>_xlfn.XLOOKUP(B108,QUERY!$C:$C,QUERY!K:K)</f>
        <v>46105</v>
      </c>
      <c r="FK108" s="3">
        <f>_xlfn.XLOOKUP(B108,QUERY!$C:$C,QUERY!L:L)</f>
        <v>6</v>
      </c>
      <c r="FL108" s="3" t="str">
        <f>_xlfn.XLOOKUP(B108,QUERY!$C:$C,QUERY!M:M)</f>
        <v>6 a 10 días</v>
      </c>
      <c r="FM108" s="3">
        <f>_xlfn.XLOOKUP(B108,QUERY!$C:$C,QUERY!N:N)</f>
        <v>0</v>
      </c>
      <c r="FN108" s="3" t="str">
        <f>_xlfn.XLOOKUP(B108,QUERY!$C:$C,QUERY!O:O)</f>
        <v>1 día o menos</v>
      </c>
      <c r="FO108" s="3">
        <f>_xlfn.XLOOKUP(B108,QUERY!$C:$C,QUERY!P:P)</f>
        <v>0</v>
      </c>
      <c r="FP108" s="3">
        <f>_xlfn.XLOOKUP(B108,QUERY!$C:$C,QUERY!Q:Q)</f>
        <v>1</v>
      </c>
      <c r="FQ108" s="3" t="str">
        <f>_xlfn.XLOOKUP(B108,QUERY!$C:$C,QUERY!R:R)</f>
        <v>1 día o menos</v>
      </c>
      <c r="FR108" s="4">
        <f>_xlfn.XLOOKUP(B108,QUERY!$C:$C,QUERY!S:S)</f>
        <v>46106</v>
      </c>
      <c r="FS108" s="3">
        <f>_xlfn.XLOOKUP(B108,QUERY!$C:$C,QUERY!T:T)</f>
        <v>7</v>
      </c>
      <c r="FT108" s="3" t="str">
        <f>_xlfn.XLOOKUP(B108,QUERY!$C:$C,QUERY!U:U)</f>
        <v>6 a 10 días</v>
      </c>
      <c r="FU108" s="3">
        <f>_xlfn.XLOOKUP(B108,QUERY!$C:$C,QUERY!V:V)</f>
        <v>18</v>
      </c>
      <c r="FV108" s="3" t="str">
        <f>_xlfn.XLOOKUP(B108,QUERY!$C:$C,QUERY!W:W)</f>
        <v>más de 16 días</v>
      </c>
      <c r="FW108" s="4">
        <f>_xlfn.XLOOKUP(B108,QUERY!$C:$C,QUERY!X:X)</f>
        <v>46121</v>
      </c>
      <c r="FX108" s="3">
        <f>_xlfn.XLOOKUP(B108,QUERY!$C:$C,QUERY!Y:Y)</f>
        <v>11</v>
      </c>
      <c r="FY108" s="3">
        <f>_xlfn.XLOOKUP(B108,QUERY!$C:$C,QUERY!Z:Z)</f>
        <v>11</v>
      </c>
      <c r="FZ108" s="4" t="str">
        <f>_xlfn.XLOOKUP(B108,QUERY!$C:$C,QUERY!AA:AA)</f>
        <v>11 a 15 días</v>
      </c>
      <c r="GA108" s="4">
        <f>_xlfn.XLOOKUP(B108,QUERY!$C:$C,QUERY!AB:AB)</f>
        <v>46121</v>
      </c>
      <c r="GB108" s="4">
        <f>_xlfn.XLOOKUP(B108,QUERY!$C:$C,QUERY!AC:AC)</f>
        <v>46121</v>
      </c>
      <c r="GC108" s="3">
        <f>_xlfn.XLOOKUP(B108,QUERY!$C:$C,QUERY!AD:AD)</f>
        <v>0</v>
      </c>
      <c r="GD108" s="4">
        <f>_xlfn.XLOOKUP(B108,QUERY!$C:$C,QUERY!AE:AE)</f>
        <v>46121</v>
      </c>
      <c r="GE108" s="3">
        <f>_xlfn.XLOOKUP(B108,QUERY!$C:$C,QUERY!AF:AF)</f>
        <v>1</v>
      </c>
      <c r="GF108" s="4" t="str">
        <f>_xlfn.XLOOKUP(B108,QUERY!$C:$C,QUERY!AG:AG)</f>
        <v>Es anterior</v>
      </c>
      <c r="GG108" s="3" t="str">
        <f>_xlfn.XLOOKUP(B108,QUERY!$C:$C,QUERY!AH:AH)</f>
        <v>A1</v>
      </c>
      <c r="GH108" s="3" t="str">
        <f>_xlfn.XLOOKUP(B108,QUERY!$C:$C,QUERY!AI:AI)</f>
        <v>ZULEIMA PEREZ RUIZ</v>
      </c>
      <c r="GI108" s="3" t="str">
        <f>_xlfn.XLOOKUP(B108,QUERY!$C:$C,QUERY!AJ:AJ)</f>
        <v>HLCURTM260238200</v>
      </c>
      <c r="GJ108" s="3" t="str">
        <f>_xlfn.XLOOKUP(B108,QUERY!$C:$C,QUERY!AK:AK)</f>
        <v>NULL</v>
      </c>
      <c r="GK108" s="3">
        <f>_xlfn.XLOOKUP(B108,QUERY!$C:$C,QUERY!AL:AL)</f>
        <v>6000363</v>
      </c>
      <c r="GL108" s="3" t="str">
        <f>_xlfn.XLOOKUP(B108,QUERY!$C:$C,QUERY!AM:AM)</f>
        <v>Importación</v>
      </c>
      <c r="GM108" s="3" t="str">
        <f>_xlfn.XLOOKUP(B108,QUERY!$C:$C,QUERY!AN:AN)</f>
        <v>NOBILIS IB 4-91  (VACUNA DE USO VETERINARIO)</v>
      </c>
      <c r="GN108" s="3" t="str">
        <f>_xlfn.XLOOKUP(B108,QUERY!$C:$C,QUERY!AO:AO)</f>
        <v>SIN CLASIFICACION</v>
      </c>
      <c r="GO108" s="3">
        <f>_xlfn.XLOOKUP(B108,QUERY!$C:$C,QUERY!AP:AP)</f>
        <v>0</v>
      </c>
      <c r="GP108" s="3" t="str">
        <f>_xlfn.XLOOKUP(B108,QUERY!$C:$C,QUERY!AQ:AQ)</f>
        <v>Cargas de Importación</v>
      </c>
      <c r="GQ108" s="3" t="str">
        <f>_xlfn.XLOOKUP(B108,QUERY!$C:$C,QUERY!AR:AR)</f>
        <v>INTERVET MEXICO SA DE CV</v>
      </c>
      <c r="GR108" s="3">
        <f>_xlfn.XLOOKUP(B108,QUERY!$C:$C,QUERY!AS:AS)</f>
        <v>0</v>
      </c>
      <c r="GS108" s="3" t="str">
        <f>_xlfn.XLOOKUP(B108,QUERY!$C:$C,QUERY!AT:AT)</f>
        <v>FALTA IMPUESTOS</v>
      </c>
      <c r="GT108" s="3">
        <f>_xlfn.XLOOKUP(B108,QUERY!$C:$C,QUERY!AU:AU)</f>
        <v>0</v>
      </c>
      <c r="GU108" s="3" t="str">
        <f>_xlfn.XLOOKUP(B108,QUERY!$C:$C,QUERY!AV:AV)</f>
        <v>FALTA IMPUESTOS</v>
      </c>
      <c r="GV108" s="3" t="str">
        <f>_xlfn.XLOOKUP(B108,QUERY!$C:$C,QUERY!AW:AW)</f>
        <v>PRODUCTO TERMINADO</v>
      </c>
      <c r="GW108" s="3" t="str">
        <f>_xlfn.XLOOKUP(B108,QUERY!$C:$C,QUERY!AX:AX)</f>
        <v>Rojo</v>
      </c>
      <c r="GX108" s="3" t="str">
        <f>_xlfn.XLOOKUP(B108,QUERY!$C:$C,QUERY!AY:AY)</f>
        <v xml:space="preserve"> SUPER EXPRESS DE CARGA FEDERAL S.A. DE C.V.</v>
      </c>
      <c r="GY108" s="3">
        <f>_xlfn.XLOOKUP(B108,QUERY!$C:$C,QUERY!AZ:AZ)</f>
        <v>0</v>
      </c>
      <c r="GZ108" s="3" t="str">
        <f>_xlfn.XLOOKUP(B108,QUERY!$C:$C,QUERY!BA:BA)</f>
        <v>IME-T004</v>
      </c>
      <c r="HA108" s="3" t="str">
        <f>_xlfn.XLOOKUP(B108,QUERY!$C:$C,QUERY!BB:BB)</f>
        <v>IME850329RH2</v>
      </c>
      <c r="HB108" s="3">
        <f>_xlfn.XLOOKUP(B108,QUERY!$C:$C,QUERY!BC:BC)</f>
        <v>0</v>
      </c>
      <c r="HC108" s="3">
        <f>_xlfn.XLOOKUP(B108,QUERY!$C:$C,QUERY!BD:BD)</f>
        <v>99</v>
      </c>
      <c r="HD108" s="3" t="str">
        <f>_xlfn.XLOOKUP(B108,QUERY!$C:$C,QUERY!BE:BE)</f>
        <v>LOTE: SA726AA17,LOTE: SA747AA17,LOTE: A313A01,LOTE: B294A01,LOTE: A061A02,LOTE: A333A02,LOTE: A610FB01,LOTE: B290A01,LOTE: 1E080A02</v>
      </c>
      <c r="HE108" s="3">
        <f>_xlfn.XLOOKUP(B108,QUERY!$C:$C,QUERY!BF:BF)</f>
        <v>90</v>
      </c>
      <c r="HF108" s="3" t="str">
        <f>_xlfn.XLOOKUP(B108,QUERY!$C:$C,QUERY!BG:BG)</f>
        <v xml:space="preserve"> 368740.59, 12202490.96, 10460124.66, 9453419.98</v>
      </c>
      <c r="HG108" s="3" t="str">
        <f>_xlfn.XLOOKUP(B108,QUERY!$C:$C,QUERY!BH:BH)</f>
        <v>KILO,KILO,KILO,KILO,KILO,KILO,KILO,KILO,KILO</v>
      </c>
      <c r="HH108" s="3">
        <f>_xlfn.XLOOKUP(B108,QUERY!$C:$C,QUERY!BI:BI)</f>
        <v>0</v>
      </c>
      <c r="HI108" s="3" t="str">
        <f>_xlfn.XLOOKUP(B108,QUERY!$C:$C,QUERY!BJ:BJ)</f>
        <v>PAISES BAJOS (REINO DE LOS) (HOLANDA)</v>
      </c>
      <c r="HJ108" s="3" t="str">
        <f>_xlfn.XLOOKUP(B108,QUERY!$C:$C,QUERY!BK:BK)</f>
        <v>PAISES BAJOS (REINO DE LOS) (HOLANDA)</v>
      </c>
      <c r="HK108" s="3" t="str">
        <f>_xlfn.XLOOKUP(B108,QUERY!$C:$C,QUERY!BL:BL)</f>
        <v>ZYA</v>
      </c>
      <c r="HL108" s="3" t="str">
        <f>_xlfn.XLOOKUP(B108,QUERY!$C:$C,QUERY!BM:BM)</f>
        <v>ZYA</v>
      </c>
      <c r="HM108" s="3">
        <f>_xlfn.XLOOKUP(B108,QUERY!$C:$C,QUERY!BN:BN)</f>
        <v>32484777</v>
      </c>
      <c r="HN108" s="3" t="str">
        <f>_xlfn.XLOOKUP(B108,QUERY!$C:$C,QUERY!BO:BO)</f>
        <v>462.00</v>
      </c>
      <c r="HO108" s="3" t="str">
        <f>_xlfn.XLOOKUP(B108,QUERY!$C:$C,QUERY!BP:BP)</f>
        <v>NULL</v>
      </c>
      <c r="HP108" s="3" t="str">
        <f>_xlfn.XLOOKUP(B108,QUERY!$C:$C,QUERY!BQ:BQ)</f>
        <v>NULL</v>
      </c>
      <c r="HQ108" s="3" t="str">
        <f>_xlfn.XLOOKUP(B108,QUERY!$C:$C,QUERY!BR:BR)</f>
        <v>218768.33</v>
      </c>
      <c r="HR108" s="3">
        <f>_xlfn.XLOOKUP(B108,QUERY!$C:$C,QUERY!BS:BS)</f>
        <v>0</v>
      </c>
      <c r="HS108" s="3">
        <f>_xlfn.XLOOKUP(B108,QUERY!$C:$C,QUERY!BT:BT)</f>
        <v>0</v>
      </c>
      <c r="HT108" s="3" t="str">
        <f>_xlfn.XLOOKUP(B108,QUERY!$C:$C,QUERY!A:A)</f>
        <v>VERACRUZ</v>
      </c>
      <c r="HU108" s="3" t="str">
        <f>_xlfn.XLOOKUP(B108,QUERY!$C:$C,QUERY!B:B)</f>
        <v>MARÍTIMO VERACRUZ</v>
      </c>
    </row>
    <row r="109" spans="1:229" x14ac:dyDescent="0.25">
      <c r="A109" s="3" t="s">
        <v>90</v>
      </c>
      <c r="B109" s="3" t="s">
        <v>329</v>
      </c>
      <c r="C109" s="3">
        <v>3942</v>
      </c>
      <c r="D109" s="3">
        <v>6000363</v>
      </c>
      <c r="E109" s="3"/>
      <c r="F109" s="3" t="s">
        <v>92</v>
      </c>
      <c r="G109" s="3" t="s">
        <v>93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430</v>
      </c>
      <c r="S109" s="3" t="s">
        <v>330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 t="s">
        <v>211</v>
      </c>
      <c r="AB109" s="3"/>
      <c r="AC109" s="3">
        <v>1951828</v>
      </c>
      <c r="AD109" s="3">
        <v>265.23005999999998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/>
      <c r="AP109" s="3" t="s">
        <v>98</v>
      </c>
      <c r="AQ109" s="3">
        <v>210367105</v>
      </c>
      <c r="AR109" s="3" t="s">
        <v>99</v>
      </c>
      <c r="AS109" s="3" t="s">
        <v>100</v>
      </c>
      <c r="AT109" s="3">
        <v>0</v>
      </c>
      <c r="AU109" s="3">
        <v>0</v>
      </c>
      <c r="AV109" s="3">
        <v>0</v>
      </c>
      <c r="AW109" s="3">
        <v>30024201</v>
      </c>
      <c r="AX109" s="3">
        <v>99</v>
      </c>
      <c r="AY109" s="3">
        <v>7359</v>
      </c>
      <c r="AZ109" s="3">
        <v>7359</v>
      </c>
      <c r="BA109" s="3" t="s">
        <v>103</v>
      </c>
      <c r="BB109" s="3"/>
      <c r="BC109" s="3" t="s">
        <v>105</v>
      </c>
      <c r="BD109" s="3" t="s">
        <v>105</v>
      </c>
      <c r="BE109" s="3"/>
      <c r="BF109" s="3"/>
      <c r="BG109" s="5"/>
      <c r="BH109" s="3"/>
      <c r="BI109" s="3"/>
      <c r="BJ109" s="3"/>
      <c r="BK109" s="3" t="s">
        <v>337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 t="s">
        <v>192</v>
      </c>
      <c r="CF109" s="3">
        <v>0</v>
      </c>
      <c r="CG109" s="3">
        <v>0</v>
      </c>
      <c r="CH109" s="3">
        <v>0</v>
      </c>
      <c r="CI109" s="3" t="s">
        <v>112</v>
      </c>
      <c r="CJ109" s="3" t="s">
        <v>112</v>
      </c>
      <c r="CK109" s="3">
        <f>_xlfn.XLOOKUP($B$2,'BASE DE EXCEL'!C:C,'BASE DE EXCEL'!D:D,"NO HAY REFERENCIA")</f>
        <v>470</v>
      </c>
      <c r="CL109" s="5">
        <f>_xlfn.XLOOKUP($B$2,'BASE DE EXCEL'!$C:$C,'BASE DE EXCEL'!F:F,"NO HAY REFERENCIA")</f>
        <v>3</v>
      </c>
      <c r="CM109" s="4">
        <f>_xlfn.XLOOKUP($B$2,'BASE DE EXCEL'!$C:$C,'BASE DE EXCEL'!G:G,"NO HAY REFERENCIA")</f>
        <v>46080</v>
      </c>
      <c r="CN109" s="4">
        <f>_xlfn.XLOOKUP($B$2,'BASE DE EXCEL'!$C:$C,'BASE DE EXCEL'!H:H,"NO HAY REFERENCIA")</f>
        <v>46086</v>
      </c>
      <c r="CO109" s="3">
        <f>_xlfn.XLOOKUP($B$2,'BASE DE EXCEL'!$C:$C,'BASE DE EXCEL'!I:I,"NO HAY REFERENCIA")</f>
        <v>4</v>
      </c>
      <c r="CP109" s="3" t="str">
        <f>_xlfn.XLOOKUP($B$2,'BASE DE EXCEL'!$C:$C,'BASE DE EXCEL'!J:J,"NO HAY REFERENCIA")</f>
        <v>4 a 5 días</v>
      </c>
      <c r="CQ109" s="4">
        <f>_xlfn.XLOOKUP($B$2,'BASE DE EXCEL'!$C:$C,'BASE DE EXCEL'!K:K,"NO HAY REFERENCIA")</f>
        <v>46087</v>
      </c>
      <c r="CR109" s="3">
        <f>_xlfn.XLOOKUP($B$2,'BASE DE EXCEL'!$C:$C,'BASE DE EXCEL'!L:L,"NO HAY REFERENCIA")</f>
        <v>5</v>
      </c>
      <c r="CS109" s="3">
        <f>_xlfn.XLOOKUP($B$2,'BASE DE EXCEL'!$C:$C,'BASE DE EXCEL'!M:M,"NO HAY REFERENCIA")</f>
        <v>6</v>
      </c>
      <c r="CT109" s="3" t="str">
        <f>_xlfn.XLOOKUP($B$2,'BASE DE EXCEL'!$C:$C,'BASE DE EXCEL'!N:N,"NO HAY REFERENCIA")</f>
        <v>6 a 10 días</v>
      </c>
      <c r="CU109" s="3" t="str">
        <f>_xlfn.XLOOKUP($B$2,'BASE DE EXCEL'!$C:$C,'BASE DE EXCEL'!O:O,"NO HAY REFERENCIA")</f>
        <v>On Time</v>
      </c>
      <c r="CV109" s="3" t="str">
        <f>_xlfn.XLOOKUP(B109,'BASE DE EXCEL'!$C:$C,'BASE DE EXCEL'!P:P,"NO HAY REFERENCIA")</f>
        <v>6 a 10 días</v>
      </c>
      <c r="CW109" s="4">
        <f>_xlfn.XLOOKUP(B109,'BASE DE EXCEL'!$C:$C,'BASE DE EXCEL'!Q:Q,"NO HAY REFERENCIA")</f>
        <v>46106</v>
      </c>
      <c r="CX109" s="3">
        <f>_xlfn.XLOOKUP(B109,'BASE DE EXCEL'!$C:$C,'BASE DE EXCEL'!R:R,"NO HAY REFERENCIA")</f>
        <v>7</v>
      </c>
      <c r="CY109" s="3" t="str">
        <f>_xlfn.XLOOKUP(B109,'BASE DE EXCEL'!$C:$C,'BASE DE EXCEL'!S:S,"NO HAY REFERENCIA")</f>
        <v>6 a 10 días</v>
      </c>
      <c r="CZ109" s="3" t="str">
        <f>_xlfn.XLOOKUP(B109,'BASE DE EXCEL'!$C:$C,'BASE DE EXCEL'!T:T,"NO HAY REFERENCIA")</f>
        <v>Delayed</v>
      </c>
      <c r="DA109" s="3">
        <f>_xlfn.XLOOKUP(B109,'BASE DE EXCEL'!$C:$C,'BASE DE EXCEL'!U:U,"NO HAY REFERENCIA")</f>
        <v>9</v>
      </c>
      <c r="DB109" s="3" t="str">
        <f>_xlfn.XLOOKUP(B109,'BASE DE EXCEL'!$C:$C,'BASE DE EXCEL'!V:V,"NO HAY REFERENCIA")</f>
        <v>6 a 10 días</v>
      </c>
      <c r="DC109" s="3">
        <f>_xlfn.XLOOKUP(B109,'BASE DE EXCEL'!$C:$C,'BASE DE EXCEL'!W:W,"NO HAY REFERENCIA")</f>
        <v>18</v>
      </c>
      <c r="DD109" s="3" t="str">
        <f>_xlfn.XLOOKUP(B109,'BASE DE EXCEL'!$C:$C,'BASE DE EXCEL'!X:X,"NO HAY REFERENCIA")</f>
        <v>más de 16 días</v>
      </c>
      <c r="DE109" s="3">
        <f>_xlfn.XLOOKUP(B109,'BASE DE EXCEL'!$C:$C,'BASE DE EXCEL'!Y:Y,"NO HAY REFERENCIA")</f>
        <v>0</v>
      </c>
      <c r="DF109" s="3" t="str">
        <f>_xlfn.XLOOKUP(B109,'BASE DE EXCEL'!$C:$C,'BASE DE EXCEL'!Z:Z,"NO HAY REFERENCIA")</f>
        <v>1 día o menos</v>
      </c>
      <c r="DG109" s="3">
        <f>_xlfn.XLOOKUP(B109,'BASE DE EXCEL'!$C:$C,'BASE DE EXCEL'!AA:AA,"NO HAY REFERENCIA")</f>
        <v>8</v>
      </c>
      <c r="DH109" s="3">
        <f>_xlfn.XLOOKUP(B109,'BASE DE EXCEL'!$C:$C,'BASE DE EXCEL'!AB:AB,"NO HAY REFERENCIA")</f>
        <v>1</v>
      </c>
      <c r="DI109" s="3" t="str">
        <f>_xlfn.XLOOKUP(B109,'BASE DE EXCEL'!$C:$C,'BASE DE EXCEL'!AC:AC,"NO HAY REFERENCIA")</f>
        <v>1 día o menos</v>
      </c>
      <c r="DJ109" s="4">
        <f>_xlfn.XLOOKUP(B109,'BASE DE EXCEL'!$C:$C,'BASE DE EXCEL'!AD:AD,"NO HAY REFERENCIA")</f>
        <v>46121</v>
      </c>
      <c r="DK109" s="3">
        <f>_xlfn.XLOOKUP(B109,'BASE DE EXCEL'!$C:$C,'BASE DE EXCEL'!AE:AE,"NO HAY REFERENCIA")</f>
        <v>15</v>
      </c>
      <c r="DL109" s="3">
        <f>_xlfn.XLOOKUP(B109,'BASE DE EXCEL'!$C:$C,'BASE DE EXCEL'!AF:AF,"NO HAY REFERENCIA")</f>
        <v>11</v>
      </c>
      <c r="DM109" s="4">
        <f>_xlfn.XLOOKUP(B109,'BASE DE EXCEL'!$C:$C,'BASE DE EXCEL'!AG:AG,"NO HAY REFERENCIA")</f>
        <v>46121</v>
      </c>
      <c r="DN109" s="4">
        <f>_xlfn.XLOOKUP(B109,'BASE DE EXCEL'!$C:$C,'BASE DE EXCEL'!AH:AH,"NO HAY REFERENCIA")</f>
        <v>46121</v>
      </c>
      <c r="DO109" s="3">
        <f>_xlfn.XLOOKUP(B109,'BASE DE EXCEL'!$C:$C,'BASE DE EXCEL'!AI:AI,"NO HAY REFERENCIA")</f>
        <v>0</v>
      </c>
      <c r="DP109" s="4" t="str">
        <f>_xlfn.XLOOKUP(B109,'BASE DE EXCEL'!$C:$C,'BASE DE EXCEL'!AJ:AJ,"NO HAY REFERENCIA")</f>
        <v>11 a 15 días</v>
      </c>
      <c r="DQ109" s="4">
        <f>_xlfn.XLOOKUP(B109,'BASE DE EXCEL'!$C:$C,'BASE DE EXCEL'!AK:AK,"NO HAY REFERENCIA")</f>
        <v>46121</v>
      </c>
      <c r="DR109" s="3">
        <f>_xlfn.XLOOKUP(B109,'BASE DE EXCEL'!$C:$C,'BASE DE EXCEL'!AL:AL,"NO HAY REFERENCIA")</f>
        <v>10</v>
      </c>
      <c r="DS109" s="3" t="str">
        <f>_xlfn.XLOOKUP(B109,'BASE DE EXCEL'!$C:$C,'BASE DE EXCEL'!AM:AM,"NO HAY REFERENCIA")</f>
        <v>6 a 10 días</v>
      </c>
      <c r="DT109" s="3" t="str">
        <f>_xlfn.XLOOKUP(B109,'BASE DE EXCEL'!$C:$C,'BASE DE EXCEL'!AN:AN,"NO HAY REFERENCIA")</f>
        <v>Delayed</v>
      </c>
      <c r="DU109" s="3">
        <f>_xlfn.XLOOKUP(B109,'BASE DE EXCEL'!$C:$C,'BASE DE EXCEL'!AO:AO,"NO HAY REFERENCIA")</f>
        <v>1</v>
      </c>
      <c r="DV109" s="3" t="str">
        <f>_xlfn.XLOOKUP(B109,'BASE DE EXCEL'!$C:$C,'BASE DE EXCEL'!AP:AP,"NO HAY REFERENCIA")</f>
        <v>Es anterior</v>
      </c>
      <c r="DW109" s="3" t="str">
        <f>_xlfn.XLOOKUP(B109,'BASE DE EXCEL'!$C:$C,'BASE DE EXCEL'!AQ:AQ,"NO HAY REFERENCIA")</f>
        <v>A1</v>
      </c>
      <c r="DX109" s="3" t="str">
        <f>_xlfn.XLOOKUP(B109,'BASE DE EXCEL'!$C:$C,'BASE DE EXCEL'!AR:AR,"NO HAY REFERENCIA")</f>
        <v>ZULEIMA PEREZ RUIZ</v>
      </c>
      <c r="DY109" s="3" t="str">
        <f>_xlfn.XLOOKUP(B109,'BASE DE EXCEL'!$C:$C,'BASE DE EXCEL'!AS:AS,"NO HAY REFERENCIA")</f>
        <v>HLCURTM260238200</v>
      </c>
      <c r="DZ109" s="3" t="str">
        <f>_xlfn.XLOOKUP(B109,'BASE DE EXCEL'!$C:$C,'BASE DE EXCEL'!AT:AT,"NO HAY REFERENCIA")</f>
        <v>NULL</v>
      </c>
      <c r="EA109" s="3">
        <f>_xlfn.XLOOKUP(B109,'BASE DE EXCEL'!$C:$C,'BASE DE EXCEL'!AU:AU,"NO HAY REFERENCIA")</f>
        <v>6000363</v>
      </c>
      <c r="EB109" s="3" t="str">
        <f>_xlfn.XLOOKUP(B109,'BASE DE EXCEL'!$C:$C,'BASE DE EXCEL'!AV:AV,"NO HAY REFERENCIA")</f>
        <v>Importación</v>
      </c>
      <c r="EC109" s="3" t="str">
        <f>_xlfn.XLOOKUP(B109,'BASE DE EXCEL'!$C:$C,'BASE DE EXCEL'!AW:AW,"NO HAY REFERENCIA")</f>
        <v>NOBILIS IB 4-91  (VACUNA DE USO VETERINARIO)</v>
      </c>
      <c r="ED109" s="3" t="str">
        <f>_xlfn.XLOOKUP(B109,'BASE DE EXCEL'!$C:$C,'BASE DE EXCEL'!AX:AX,"NO HAY REFERENCIA")</f>
        <v>SIN CLASIFICACION</v>
      </c>
      <c r="EE109" s="3">
        <f>_xlfn.XLOOKUP(B109,'BASE DE EXCEL'!$C:$C,'BASE DE EXCEL'!AY:AY,"NO HAY REFERENCIA")</f>
        <v>0</v>
      </c>
      <c r="EF109" s="3" t="str">
        <f>_xlfn.XLOOKUP(B109,'BASE DE EXCEL'!$C:$C,'BASE DE EXCEL'!AZ:AZ,"NO HAY REFERENCIA")</f>
        <v>Cargas de Importación</v>
      </c>
      <c r="EG109" s="3" t="str">
        <f>_xlfn.XLOOKUP(B109,'BASE DE EXCEL'!$C:$C,'BASE DE EXCEL'!BA:BA,"NO HAY REFERENCIA")</f>
        <v>INTERVET MEXICO SA DE CV</v>
      </c>
      <c r="EH109" s="3">
        <f>_xlfn.XLOOKUP(B109,'BASE DE EXCEL'!$C:$C,'BASE DE EXCEL'!BB:BB,"NO HAY REFERENCIA")</f>
        <v>0</v>
      </c>
      <c r="EI109" s="3" t="str">
        <f>_xlfn.XLOOKUP(B109,'BASE DE EXCEL'!$C:$C,'BASE DE EXCEL'!BC:BC,"NO HAY REFERENCIA")</f>
        <v>FALTA IMPUESTOS</v>
      </c>
      <c r="EJ109" s="3">
        <f>_xlfn.XLOOKUP(B109,'BASE DE EXCEL'!$C:$C,'BASE DE EXCEL'!BD:BD,"NO HAY REFERENCIA")</f>
        <v>0</v>
      </c>
      <c r="EK109" s="3" t="str">
        <f>_xlfn.XLOOKUP(B109,'BASE DE EXCEL'!$C:$C,'BASE DE EXCEL'!BE:BE,"NO HAY REFERENCIA")</f>
        <v>FALTA IMPUESTOS</v>
      </c>
      <c r="EL109" s="3" t="str">
        <f>_xlfn.XLOOKUP(B109,'BASE DE EXCEL'!$C:$C,'BASE DE EXCEL'!BF:BF,"NO HAY REFERENCIA")</f>
        <v>PRODUCTO TERMINADO</v>
      </c>
      <c r="EM109" s="3" t="str">
        <f>_xlfn.XLOOKUP(B109,'BASE DE EXCEL'!$C:$C,'BASE DE EXCEL'!BG:BG,"NO HAY REFERENCIA")</f>
        <v>Rojo</v>
      </c>
      <c r="EN109" s="3" t="str">
        <f>_xlfn.XLOOKUP(B109,'BASE DE EXCEL'!$C:$C,'BASE DE EXCEL'!BH:BH,"NO HAY REFERENCIA")</f>
        <v xml:space="preserve"> SUPER EXPRESS DE CARGA FEDERAL S.A. DE C.V.</v>
      </c>
      <c r="EO109" s="3">
        <f>_xlfn.XLOOKUP(B109,'BASE DE EXCEL'!$C:$C,'BASE DE EXCEL'!BI:BI,"NO HAY REFERENCIA")</f>
        <v>0</v>
      </c>
      <c r="EP109" s="3" t="str">
        <f>_xlfn.XLOOKUP(B109,'BASE DE EXCEL'!$C:$C,'BASE DE EXCEL'!BJ:BJ,"NO HAY REFERENCIA")</f>
        <v>IME-T004</v>
      </c>
      <c r="EQ109" s="3" t="str">
        <f>_xlfn.XLOOKUP(B109,'BASE DE EXCEL'!$C:$C,'BASE DE EXCEL'!BK:BK,"NO HAY REFERENCIA")</f>
        <v>IME850329RH2</v>
      </c>
      <c r="ER109" s="3">
        <f>_xlfn.XLOOKUP(B109,'BASE DE EXCEL'!$C:$C,'BASE DE EXCEL'!BL:BL,"NO HAY REFERENCIA")</f>
        <v>0</v>
      </c>
      <c r="ES109" s="3">
        <f>_xlfn.XLOOKUP(B109,'BASE DE EXCEL'!$C:$C,'BASE DE EXCEL'!BM:BM,"NO HAY REFERENCIA")</f>
        <v>99</v>
      </c>
      <c r="ET109" s="3" t="str">
        <f>_xlfn.XLOOKUP(B109,'BASE DE EXCEL'!$C:$C,'BASE DE EXCEL'!BN:BN,"NO HAY REFERENCIA")</f>
        <v>LOTE: SA726AA17,LOTE: SA747AA17,LOTE: A313A01,LOTE: B294A01,LOTE: A061A02,LOTE: A333A02,LOTE: A610FB01,LOTE: 1E080A02,LOTE: B290A01</v>
      </c>
      <c r="EU109" s="3">
        <f>_xlfn.XLOOKUP(B109,'BASE DE EXCEL'!$C:$C,'BASE DE EXCEL'!BO:BO,"NO HAY REFERENCIA")</f>
        <v>90</v>
      </c>
      <c r="EV109" s="3" t="str">
        <f>_xlfn.XLOOKUP(B109,'BASE DE EXCEL'!$C:$C,'BASE DE EXCEL'!BP:BP,"NO HAY REFERENCIA")</f>
        <v xml:space="preserve"> 368740.59, 12202490.96, 10460124.66, 9453419.98</v>
      </c>
      <c r="EW109" s="3" t="str">
        <f>_xlfn.XLOOKUP(B109,'BASE DE EXCEL'!$C:$C,'BASE DE EXCEL'!BQ:BQ,"NO HAY REFERENCIA")</f>
        <v>KILO,KILO,KILO,KILO,KILO,KILO,KILO,KILO,KILO</v>
      </c>
      <c r="EX109" s="3">
        <f>_xlfn.XLOOKUP(B109,'BASE DE EXCEL'!$C:$C,'BASE DE EXCEL'!BR:BR,"NO HAY REFERENCIA")</f>
        <v>0</v>
      </c>
      <c r="EY109" s="3" t="str">
        <f>_xlfn.XLOOKUP(B109,'BASE DE EXCEL'!$C:$C,'BASE DE EXCEL'!BS:BS,"NO HAY REFERENCIA")</f>
        <v>PAISES BAJOS (REINO DE LOS) (HOLANDA)</v>
      </c>
      <c r="EZ109" s="3" t="str">
        <f>_xlfn.XLOOKUP(B109,'BASE DE EXCEL'!$C:$C,'BASE DE EXCEL'!BT:BT,"NO HAY REFERENCIA")</f>
        <v>PAISES BAJOS (REINO DE LOS) (HOLANDA)</v>
      </c>
      <c r="FA109" s="3" t="str">
        <f>_xlfn.XLOOKUP(B109,'BASE DE EXCEL'!$C:$C,'BASE DE EXCEL'!BU:BU,"NO HAY REFERENCIA")</f>
        <v>ZYA</v>
      </c>
      <c r="FB109" s="3" t="str">
        <f>_xlfn.XLOOKUP(B109,'BASE DE EXCEL'!$C:$C,'BASE DE EXCEL'!BV:BV,"NO HAY REFERENCIA")</f>
        <v>ZYA</v>
      </c>
      <c r="FC109" s="3">
        <f>_xlfn.XLOOKUP(B109,QUERY!$C:$C,QUERY!D:D)</f>
        <v>430</v>
      </c>
      <c r="FD109" s="4">
        <f>_xlfn.XLOOKUP(B109,QUERY!$C:$C,QUERY!E:E)</f>
        <v>46105</v>
      </c>
      <c r="FE109" s="3">
        <f>_xlfn.XLOOKUP(B109,QUERY!$C:$C,QUERY!F:F)</f>
        <v>3</v>
      </c>
      <c r="FF109" s="4">
        <f>_xlfn.XLOOKUP(B109,QUERY!$C:$C,QUERY!G:G)</f>
        <v>46097</v>
      </c>
      <c r="FG109" s="4">
        <f>_xlfn.XLOOKUP(B109,QUERY!$C:$C,QUERY!H:H)</f>
        <v>46105</v>
      </c>
      <c r="FH109" s="3">
        <f>_xlfn.XLOOKUP(B109,QUERY!$C:$C,QUERY!I:I)</f>
        <v>6</v>
      </c>
      <c r="FI109" s="3" t="str">
        <f>_xlfn.XLOOKUP(B109,QUERY!$C:$C,QUERY!J:J)</f>
        <v>6 a 10 días</v>
      </c>
      <c r="FJ109" s="4">
        <f>_xlfn.XLOOKUP(B109,QUERY!$C:$C,QUERY!K:K)</f>
        <v>46105</v>
      </c>
      <c r="FK109" s="3">
        <f>_xlfn.XLOOKUP(B109,QUERY!$C:$C,QUERY!L:L)</f>
        <v>6</v>
      </c>
      <c r="FL109" s="3" t="str">
        <f>_xlfn.XLOOKUP(B109,QUERY!$C:$C,QUERY!M:M)</f>
        <v>6 a 10 días</v>
      </c>
      <c r="FM109" s="3">
        <f>_xlfn.XLOOKUP(B109,QUERY!$C:$C,QUERY!N:N)</f>
        <v>0</v>
      </c>
      <c r="FN109" s="3" t="str">
        <f>_xlfn.XLOOKUP(B109,QUERY!$C:$C,QUERY!O:O)</f>
        <v>1 día o menos</v>
      </c>
      <c r="FO109" s="3">
        <f>_xlfn.XLOOKUP(B109,QUERY!$C:$C,QUERY!P:P)</f>
        <v>0</v>
      </c>
      <c r="FP109" s="3">
        <f>_xlfn.XLOOKUP(B109,QUERY!$C:$C,QUERY!Q:Q)</f>
        <v>1</v>
      </c>
      <c r="FQ109" s="3" t="str">
        <f>_xlfn.XLOOKUP(B109,QUERY!$C:$C,QUERY!R:R)</f>
        <v>1 día o menos</v>
      </c>
      <c r="FR109" s="4">
        <f>_xlfn.XLOOKUP(B109,QUERY!$C:$C,QUERY!S:S)</f>
        <v>46106</v>
      </c>
      <c r="FS109" s="3">
        <f>_xlfn.XLOOKUP(B109,QUERY!$C:$C,QUERY!T:T)</f>
        <v>7</v>
      </c>
      <c r="FT109" s="3" t="str">
        <f>_xlfn.XLOOKUP(B109,QUERY!$C:$C,QUERY!U:U)</f>
        <v>6 a 10 días</v>
      </c>
      <c r="FU109" s="3">
        <f>_xlfn.XLOOKUP(B109,QUERY!$C:$C,QUERY!V:V)</f>
        <v>18</v>
      </c>
      <c r="FV109" s="3" t="str">
        <f>_xlfn.XLOOKUP(B109,QUERY!$C:$C,QUERY!W:W)</f>
        <v>más de 16 días</v>
      </c>
      <c r="FW109" s="4">
        <f>_xlfn.XLOOKUP(B109,QUERY!$C:$C,QUERY!X:X)</f>
        <v>46121</v>
      </c>
      <c r="FX109" s="3">
        <f>_xlfn.XLOOKUP(B109,QUERY!$C:$C,QUERY!Y:Y)</f>
        <v>11</v>
      </c>
      <c r="FY109" s="3">
        <f>_xlfn.XLOOKUP(B109,QUERY!$C:$C,QUERY!Z:Z)</f>
        <v>11</v>
      </c>
      <c r="FZ109" s="4" t="str">
        <f>_xlfn.XLOOKUP(B109,QUERY!$C:$C,QUERY!AA:AA)</f>
        <v>11 a 15 días</v>
      </c>
      <c r="GA109" s="4">
        <f>_xlfn.XLOOKUP(B109,QUERY!$C:$C,QUERY!AB:AB)</f>
        <v>46121</v>
      </c>
      <c r="GB109" s="4">
        <f>_xlfn.XLOOKUP(B109,QUERY!$C:$C,QUERY!AC:AC)</f>
        <v>46121</v>
      </c>
      <c r="GC109" s="3">
        <f>_xlfn.XLOOKUP(B109,QUERY!$C:$C,QUERY!AD:AD)</f>
        <v>0</v>
      </c>
      <c r="GD109" s="4">
        <f>_xlfn.XLOOKUP(B109,QUERY!$C:$C,QUERY!AE:AE)</f>
        <v>46121</v>
      </c>
      <c r="GE109" s="3">
        <f>_xlfn.XLOOKUP(B109,QUERY!$C:$C,QUERY!AF:AF)</f>
        <v>1</v>
      </c>
      <c r="GF109" s="4" t="str">
        <f>_xlfn.XLOOKUP(B109,QUERY!$C:$C,QUERY!AG:AG)</f>
        <v>Es anterior</v>
      </c>
      <c r="GG109" s="3" t="str">
        <f>_xlfn.XLOOKUP(B109,QUERY!$C:$C,QUERY!AH:AH)</f>
        <v>A1</v>
      </c>
      <c r="GH109" s="3" t="str">
        <f>_xlfn.XLOOKUP(B109,QUERY!$C:$C,QUERY!AI:AI)</f>
        <v>ZULEIMA PEREZ RUIZ</v>
      </c>
      <c r="GI109" s="3" t="str">
        <f>_xlfn.XLOOKUP(B109,QUERY!$C:$C,QUERY!AJ:AJ)</f>
        <v>HLCURTM260238200</v>
      </c>
      <c r="GJ109" s="3" t="str">
        <f>_xlfn.XLOOKUP(B109,QUERY!$C:$C,QUERY!AK:AK)</f>
        <v>NULL</v>
      </c>
      <c r="GK109" s="3">
        <f>_xlfn.XLOOKUP(B109,QUERY!$C:$C,QUERY!AL:AL)</f>
        <v>6000363</v>
      </c>
      <c r="GL109" s="3" t="str">
        <f>_xlfn.XLOOKUP(B109,QUERY!$C:$C,QUERY!AM:AM)</f>
        <v>Importación</v>
      </c>
      <c r="GM109" s="3" t="str">
        <f>_xlfn.XLOOKUP(B109,QUERY!$C:$C,QUERY!AN:AN)</f>
        <v>NOBILIS IB 4-91  (VACUNA DE USO VETERINARIO)</v>
      </c>
      <c r="GN109" s="3" t="str">
        <f>_xlfn.XLOOKUP(B109,QUERY!$C:$C,QUERY!AO:AO)</f>
        <v>SIN CLASIFICACION</v>
      </c>
      <c r="GO109" s="3">
        <f>_xlfn.XLOOKUP(B109,QUERY!$C:$C,QUERY!AP:AP)</f>
        <v>0</v>
      </c>
      <c r="GP109" s="3" t="str">
        <f>_xlfn.XLOOKUP(B109,QUERY!$C:$C,QUERY!AQ:AQ)</f>
        <v>Cargas de Importación</v>
      </c>
      <c r="GQ109" s="3" t="str">
        <f>_xlfn.XLOOKUP(B109,QUERY!$C:$C,QUERY!AR:AR)</f>
        <v>INTERVET MEXICO SA DE CV</v>
      </c>
      <c r="GR109" s="3">
        <f>_xlfn.XLOOKUP(B109,QUERY!$C:$C,QUERY!AS:AS)</f>
        <v>0</v>
      </c>
      <c r="GS109" s="3" t="str">
        <f>_xlfn.XLOOKUP(B109,QUERY!$C:$C,QUERY!AT:AT)</f>
        <v>FALTA IMPUESTOS</v>
      </c>
      <c r="GT109" s="3">
        <f>_xlfn.XLOOKUP(B109,QUERY!$C:$C,QUERY!AU:AU)</f>
        <v>0</v>
      </c>
      <c r="GU109" s="3" t="str">
        <f>_xlfn.XLOOKUP(B109,QUERY!$C:$C,QUERY!AV:AV)</f>
        <v>FALTA IMPUESTOS</v>
      </c>
      <c r="GV109" s="3" t="str">
        <f>_xlfn.XLOOKUP(B109,QUERY!$C:$C,QUERY!AW:AW)</f>
        <v>PRODUCTO TERMINADO</v>
      </c>
      <c r="GW109" s="3" t="str">
        <f>_xlfn.XLOOKUP(B109,QUERY!$C:$C,QUERY!AX:AX)</f>
        <v>Rojo</v>
      </c>
      <c r="GX109" s="3" t="str">
        <f>_xlfn.XLOOKUP(B109,QUERY!$C:$C,QUERY!AY:AY)</f>
        <v xml:space="preserve"> SUPER EXPRESS DE CARGA FEDERAL S.A. DE C.V.</v>
      </c>
      <c r="GY109" s="3">
        <f>_xlfn.XLOOKUP(B109,QUERY!$C:$C,QUERY!AZ:AZ)</f>
        <v>0</v>
      </c>
      <c r="GZ109" s="3" t="str">
        <f>_xlfn.XLOOKUP(B109,QUERY!$C:$C,QUERY!BA:BA)</f>
        <v>IME-T004</v>
      </c>
      <c r="HA109" s="3" t="str">
        <f>_xlfn.XLOOKUP(B109,QUERY!$C:$C,QUERY!BB:BB)</f>
        <v>IME850329RH2</v>
      </c>
      <c r="HB109" s="3">
        <f>_xlfn.XLOOKUP(B109,QUERY!$C:$C,QUERY!BC:BC)</f>
        <v>0</v>
      </c>
      <c r="HC109" s="3">
        <f>_xlfn.XLOOKUP(B109,QUERY!$C:$C,QUERY!BD:BD)</f>
        <v>99</v>
      </c>
      <c r="HD109" s="3" t="str">
        <f>_xlfn.XLOOKUP(B109,QUERY!$C:$C,QUERY!BE:BE)</f>
        <v>LOTE: SA726AA17,LOTE: SA747AA17,LOTE: A313A01,LOTE: B294A01,LOTE: A061A02,LOTE: A333A02,LOTE: A610FB01,LOTE: B290A01,LOTE: 1E080A02</v>
      </c>
      <c r="HE109" s="3">
        <f>_xlfn.XLOOKUP(B109,QUERY!$C:$C,QUERY!BF:BF)</f>
        <v>90</v>
      </c>
      <c r="HF109" s="3" t="str">
        <f>_xlfn.XLOOKUP(B109,QUERY!$C:$C,QUERY!BG:BG)</f>
        <v xml:space="preserve"> 368740.59, 12202490.96, 10460124.66, 9453419.98</v>
      </c>
      <c r="HG109" s="3" t="str">
        <f>_xlfn.XLOOKUP(B109,QUERY!$C:$C,QUERY!BH:BH)</f>
        <v>KILO,KILO,KILO,KILO,KILO,KILO,KILO,KILO,KILO</v>
      </c>
      <c r="HH109" s="3">
        <f>_xlfn.XLOOKUP(B109,QUERY!$C:$C,QUERY!BI:BI)</f>
        <v>0</v>
      </c>
      <c r="HI109" s="3" t="str">
        <f>_xlfn.XLOOKUP(B109,QUERY!$C:$C,QUERY!BJ:BJ)</f>
        <v>PAISES BAJOS (REINO DE LOS) (HOLANDA)</v>
      </c>
      <c r="HJ109" s="3" t="str">
        <f>_xlfn.XLOOKUP(B109,QUERY!$C:$C,QUERY!BK:BK)</f>
        <v>PAISES BAJOS (REINO DE LOS) (HOLANDA)</v>
      </c>
      <c r="HK109" s="3" t="str">
        <f>_xlfn.XLOOKUP(B109,QUERY!$C:$C,QUERY!BL:BL)</f>
        <v>ZYA</v>
      </c>
      <c r="HL109" s="3" t="str">
        <f>_xlfn.XLOOKUP(B109,QUERY!$C:$C,QUERY!BM:BM)</f>
        <v>ZYA</v>
      </c>
      <c r="HM109" s="3">
        <f>_xlfn.XLOOKUP(B109,QUERY!$C:$C,QUERY!BN:BN)</f>
        <v>32484777</v>
      </c>
      <c r="HN109" s="3" t="str">
        <f>_xlfn.XLOOKUP(B109,QUERY!$C:$C,QUERY!BO:BO)</f>
        <v>462.00</v>
      </c>
      <c r="HO109" s="3" t="str">
        <f>_xlfn.XLOOKUP(B109,QUERY!$C:$C,QUERY!BP:BP)</f>
        <v>NULL</v>
      </c>
      <c r="HP109" s="3" t="str">
        <f>_xlfn.XLOOKUP(B109,QUERY!$C:$C,QUERY!BQ:BQ)</f>
        <v>NULL</v>
      </c>
      <c r="HQ109" s="3" t="str">
        <f>_xlfn.XLOOKUP(B109,QUERY!$C:$C,QUERY!BR:BR)</f>
        <v>218768.33</v>
      </c>
      <c r="HR109" s="3">
        <f>_xlfn.XLOOKUP(B109,QUERY!$C:$C,QUERY!BS:BS)</f>
        <v>0</v>
      </c>
      <c r="HS109" s="3">
        <f>_xlfn.XLOOKUP(B109,QUERY!$C:$C,QUERY!BT:BT)</f>
        <v>0</v>
      </c>
      <c r="HT109" s="3" t="str">
        <f>_xlfn.XLOOKUP(B109,QUERY!$C:$C,QUERY!A:A)</f>
        <v>VERACRUZ</v>
      </c>
      <c r="HU109" s="3" t="str">
        <f>_xlfn.XLOOKUP(B109,QUERY!$C:$C,QUERY!B:B)</f>
        <v>MARÍTIMO VERACRUZ</v>
      </c>
    </row>
    <row r="110" spans="1:229" x14ac:dyDescent="0.25">
      <c r="A110" s="3" t="s">
        <v>90</v>
      </c>
      <c r="B110" s="3" t="s">
        <v>329</v>
      </c>
      <c r="C110" s="3">
        <v>3942</v>
      </c>
      <c r="D110" s="3">
        <v>6000363</v>
      </c>
      <c r="E110" s="3"/>
      <c r="F110" s="3" t="s">
        <v>92</v>
      </c>
      <c r="G110" s="3" t="s">
        <v>93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430</v>
      </c>
      <c r="S110" s="3" t="s">
        <v>330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 t="s">
        <v>161</v>
      </c>
      <c r="AB110" s="3"/>
      <c r="AC110" s="3">
        <v>4449877</v>
      </c>
      <c r="AD110" s="3">
        <v>371.96999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/>
      <c r="AP110" s="3" t="s">
        <v>98</v>
      </c>
      <c r="AQ110" s="3">
        <v>210367105</v>
      </c>
      <c r="AR110" s="3" t="s">
        <v>99</v>
      </c>
      <c r="AS110" s="3" t="s">
        <v>100</v>
      </c>
      <c r="AT110" s="3">
        <v>0</v>
      </c>
      <c r="AU110" s="3">
        <v>0</v>
      </c>
      <c r="AV110" s="3">
        <v>0</v>
      </c>
      <c r="AW110" s="3">
        <v>30024201</v>
      </c>
      <c r="AX110" s="3">
        <v>99</v>
      </c>
      <c r="AY110" s="3">
        <v>11963</v>
      </c>
      <c r="AZ110" s="3">
        <v>11963</v>
      </c>
      <c r="BA110" s="3" t="s">
        <v>103</v>
      </c>
      <c r="BB110" s="3"/>
      <c r="BC110" s="3" t="s">
        <v>105</v>
      </c>
      <c r="BD110" s="3" t="s">
        <v>105</v>
      </c>
      <c r="BE110" s="3"/>
      <c r="BF110" s="3"/>
      <c r="BG110" s="5"/>
      <c r="BH110" s="3"/>
      <c r="BI110" s="3"/>
      <c r="BJ110" s="3"/>
      <c r="BK110" s="3" t="s">
        <v>337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 t="s">
        <v>192</v>
      </c>
      <c r="CF110" s="3">
        <v>0</v>
      </c>
      <c r="CG110" s="3">
        <v>0</v>
      </c>
      <c r="CH110" s="3">
        <v>0</v>
      </c>
      <c r="CI110" s="3" t="s">
        <v>112</v>
      </c>
      <c r="CJ110" s="3" t="s">
        <v>112</v>
      </c>
      <c r="CK110" s="3">
        <f>_xlfn.XLOOKUP($B$2,'BASE DE EXCEL'!C:C,'BASE DE EXCEL'!D:D,"NO HAY REFERENCIA")</f>
        <v>470</v>
      </c>
      <c r="CL110" s="5">
        <f>_xlfn.XLOOKUP($B$2,'BASE DE EXCEL'!$C:$C,'BASE DE EXCEL'!F:F,"NO HAY REFERENCIA")</f>
        <v>3</v>
      </c>
      <c r="CM110" s="4">
        <f>_xlfn.XLOOKUP($B$2,'BASE DE EXCEL'!$C:$C,'BASE DE EXCEL'!G:G,"NO HAY REFERENCIA")</f>
        <v>46080</v>
      </c>
      <c r="CN110" s="4">
        <f>_xlfn.XLOOKUP($B$2,'BASE DE EXCEL'!$C:$C,'BASE DE EXCEL'!H:H,"NO HAY REFERENCIA")</f>
        <v>46086</v>
      </c>
      <c r="CO110" s="3">
        <f>_xlfn.XLOOKUP($B$2,'BASE DE EXCEL'!$C:$C,'BASE DE EXCEL'!I:I,"NO HAY REFERENCIA")</f>
        <v>4</v>
      </c>
      <c r="CP110" s="3" t="str">
        <f>_xlfn.XLOOKUP($B$2,'BASE DE EXCEL'!$C:$C,'BASE DE EXCEL'!J:J,"NO HAY REFERENCIA")</f>
        <v>4 a 5 días</v>
      </c>
      <c r="CQ110" s="4">
        <f>_xlfn.XLOOKUP($B$2,'BASE DE EXCEL'!$C:$C,'BASE DE EXCEL'!K:K,"NO HAY REFERENCIA")</f>
        <v>46087</v>
      </c>
      <c r="CR110" s="3">
        <f>_xlfn.XLOOKUP($B$2,'BASE DE EXCEL'!$C:$C,'BASE DE EXCEL'!L:L,"NO HAY REFERENCIA")</f>
        <v>5</v>
      </c>
      <c r="CS110" s="3">
        <f>_xlfn.XLOOKUP($B$2,'BASE DE EXCEL'!$C:$C,'BASE DE EXCEL'!M:M,"NO HAY REFERENCIA")</f>
        <v>6</v>
      </c>
      <c r="CT110" s="3" t="str">
        <f>_xlfn.XLOOKUP($B$2,'BASE DE EXCEL'!$C:$C,'BASE DE EXCEL'!N:N,"NO HAY REFERENCIA")</f>
        <v>6 a 10 días</v>
      </c>
      <c r="CU110" s="3" t="str">
        <f>_xlfn.XLOOKUP($B$2,'BASE DE EXCEL'!$C:$C,'BASE DE EXCEL'!O:O,"NO HAY REFERENCIA")</f>
        <v>On Time</v>
      </c>
      <c r="CV110" s="3" t="str">
        <f>_xlfn.XLOOKUP(B110,'BASE DE EXCEL'!$C:$C,'BASE DE EXCEL'!P:P,"NO HAY REFERENCIA")</f>
        <v>6 a 10 días</v>
      </c>
      <c r="CW110" s="4">
        <f>_xlfn.XLOOKUP(B110,'BASE DE EXCEL'!$C:$C,'BASE DE EXCEL'!Q:Q,"NO HAY REFERENCIA")</f>
        <v>46106</v>
      </c>
      <c r="CX110" s="3">
        <f>_xlfn.XLOOKUP(B110,'BASE DE EXCEL'!$C:$C,'BASE DE EXCEL'!R:R,"NO HAY REFERENCIA")</f>
        <v>7</v>
      </c>
      <c r="CY110" s="3" t="str">
        <f>_xlfn.XLOOKUP(B110,'BASE DE EXCEL'!$C:$C,'BASE DE EXCEL'!S:S,"NO HAY REFERENCIA")</f>
        <v>6 a 10 días</v>
      </c>
      <c r="CZ110" s="3" t="str">
        <f>_xlfn.XLOOKUP(B110,'BASE DE EXCEL'!$C:$C,'BASE DE EXCEL'!T:T,"NO HAY REFERENCIA")</f>
        <v>Delayed</v>
      </c>
      <c r="DA110" s="3">
        <f>_xlfn.XLOOKUP(B110,'BASE DE EXCEL'!$C:$C,'BASE DE EXCEL'!U:U,"NO HAY REFERENCIA")</f>
        <v>9</v>
      </c>
      <c r="DB110" s="3" t="str">
        <f>_xlfn.XLOOKUP(B110,'BASE DE EXCEL'!$C:$C,'BASE DE EXCEL'!V:V,"NO HAY REFERENCIA")</f>
        <v>6 a 10 días</v>
      </c>
      <c r="DC110" s="3">
        <f>_xlfn.XLOOKUP(B110,'BASE DE EXCEL'!$C:$C,'BASE DE EXCEL'!W:W,"NO HAY REFERENCIA")</f>
        <v>18</v>
      </c>
      <c r="DD110" s="3" t="str">
        <f>_xlfn.XLOOKUP(B110,'BASE DE EXCEL'!$C:$C,'BASE DE EXCEL'!X:X,"NO HAY REFERENCIA")</f>
        <v>más de 16 días</v>
      </c>
      <c r="DE110" s="3">
        <f>_xlfn.XLOOKUP(B110,'BASE DE EXCEL'!$C:$C,'BASE DE EXCEL'!Y:Y,"NO HAY REFERENCIA")</f>
        <v>0</v>
      </c>
      <c r="DF110" s="3" t="str">
        <f>_xlfn.XLOOKUP(B110,'BASE DE EXCEL'!$C:$C,'BASE DE EXCEL'!Z:Z,"NO HAY REFERENCIA")</f>
        <v>1 día o menos</v>
      </c>
      <c r="DG110" s="3">
        <f>_xlfn.XLOOKUP(B110,'BASE DE EXCEL'!$C:$C,'BASE DE EXCEL'!AA:AA,"NO HAY REFERENCIA")</f>
        <v>8</v>
      </c>
      <c r="DH110" s="3">
        <f>_xlfn.XLOOKUP(B110,'BASE DE EXCEL'!$C:$C,'BASE DE EXCEL'!AB:AB,"NO HAY REFERENCIA")</f>
        <v>1</v>
      </c>
      <c r="DI110" s="3" t="str">
        <f>_xlfn.XLOOKUP(B110,'BASE DE EXCEL'!$C:$C,'BASE DE EXCEL'!AC:AC,"NO HAY REFERENCIA")</f>
        <v>1 día o menos</v>
      </c>
      <c r="DJ110" s="4">
        <f>_xlfn.XLOOKUP(B110,'BASE DE EXCEL'!$C:$C,'BASE DE EXCEL'!AD:AD,"NO HAY REFERENCIA")</f>
        <v>46121</v>
      </c>
      <c r="DK110" s="3">
        <f>_xlfn.XLOOKUP(B110,'BASE DE EXCEL'!$C:$C,'BASE DE EXCEL'!AE:AE,"NO HAY REFERENCIA")</f>
        <v>15</v>
      </c>
      <c r="DL110" s="3">
        <f>_xlfn.XLOOKUP(B110,'BASE DE EXCEL'!$C:$C,'BASE DE EXCEL'!AF:AF,"NO HAY REFERENCIA")</f>
        <v>11</v>
      </c>
      <c r="DM110" s="4">
        <f>_xlfn.XLOOKUP(B110,'BASE DE EXCEL'!$C:$C,'BASE DE EXCEL'!AG:AG,"NO HAY REFERENCIA")</f>
        <v>46121</v>
      </c>
      <c r="DN110" s="4">
        <f>_xlfn.XLOOKUP(B110,'BASE DE EXCEL'!$C:$C,'BASE DE EXCEL'!AH:AH,"NO HAY REFERENCIA")</f>
        <v>46121</v>
      </c>
      <c r="DO110" s="3">
        <f>_xlfn.XLOOKUP(B110,'BASE DE EXCEL'!$C:$C,'BASE DE EXCEL'!AI:AI,"NO HAY REFERENCIA")</f>
        <v>0</v>
      </c>
      <c r="DP110" s="4" t="str">
        <f>_xlfn.XLOOKUP(B110,'BASE DE EXCEL'!$C:$C,'BASE DE EXCEL'!AJ:AJ,"NO HAY REFERENCIA")</f>
        <v>11 a 15 días</v>
      </c>
      <c r="DQ110" s="4">
        <f>_xlfn.XLOOKUP(B110,'BASE DE EXCEL'!$C:$C,'BASE DE EXCEL'!AK:AK,"NO HAY REFERENCIA")</f>
        <v>46121</v>
      </c>
      <c r="DR110" s="3">
        <f>_xlfn.XLOOKUP(B110,'BASE DE EXCEL'!$C:$C,'BASE DE EXCEL'!AL:AL,"NO HAY REFERENCIA")</f>
        <v>10</v>
      </c>
      <c r="DS110" s="3" t="str">
        <f>_xlfn.XLOOKUP(B110,'BASE DE EXCEL'!$C:$C,'BASE DE EXCEL'!AM:AM,"NO HAY REFERENCIA")</f>
        <v>6 a 10 días</v>
      </c>
      <c r="DT110" s="3" t="str">
        <f>_xlfn.XLOOKUP(B110,'BASE DE EXCEL'!$C:$C,'BASE DE EXCEL'!AN:AN,"NO HAY REFERENCIA")</f>
        <v>Delayed</v>
      </c>
      <c r="DU110" s="3">
        <f>_xlfn.XLOOKUP(B110,'BASE DE EXCEL'!$C:$C,'BASE DE EXCEL'!AO:AO,"NO HAY REFERENCIA")</f>
        <v>1</v>
      </c>
      <c r="DV110" s="3" t="str">
        <f>_xlfn.XLOOKUP(B110,'BASE DE EXCEL'!$C:$C,'BASE DE EXCEL'!AP:AP,"NO HAY REFERENCIA")</f>
        <v>Es anterior</v>
      </c>
      <c r="DW110" s="3" t="str">
        <f>_xlfn.XLOOKUP(B110,'BASE DE EXCEL'!$C:$C,'BASE DE EXCEL'!AQ:AQ,"NO HAY REFERENCIA")</f>
        <v>A1</v>
      </c>
      <c r="DX110" s="3" t="str">
        <f>_xlfn.XLOOKUP(B110,'BASE DE EXCEL'!$C:$C,'BASE DE EXCEL'!AR:AR,"NO HAY REFERENCIA")</f>
        <v>ZULEIMA PEREZ RUIZ</v>
      </c>
      <c r="DY110" s="3" t="str">
        <f>_xlfn.XLOOKUP(B110,'BASE DE EXCEL'!$C:$C,'BASE DE EXCEL'!AS:AS,"NO HAY REFERENCIA")</f>
        <v>HLCURTM260238200</v>
      </c>
      <c r="DZ110" s="3" t="str">
        <f>_xlfn.XLOOKUP(B110,'BASE DE EXCEL'!$C:$C,'BASE DE EXCEL'!AT:AT,"NO HAY REFERENCIA")</f>
        <v>NULL</v>
      </c>
      <c r="EA110" s="3">
        <f>_xlfn.XLOOKUP(B110,'BASE DE EXCEL'!$C:$C,'BASE DE EXCEL'!AU:AU,"NO HAY REFERENCIA")</f>
        <v>6000363</v>
      </c>
      <c r="EB110" s="3" t="str">
        <f>_xlfn.XLOOKUP(B110,'BASE DE EXCEL'!$C:$C,'BASE DE EXCEL'!AV:AV,"NO HAY REFERENCIA")</f>
        <v>Importación</v>
      </c>
      <c r="EC110" s="3" t="str">
        <f>_xlfn.XLOOKUP(B110,'BASE DE EXCEL'!$C:$C,'BASE DE EXCEL'!AW:AW,"NO HAY REFERENCIA")</f>
        <v>NOBILIS IB 4-91  (VACUNA DE USO VETERINARIO)</v>
      </c>
      <c r="ED110" s="3" t="str">
        <f>_xlfn.XLOOKUP(B110,'BASE DE EXCEL'!$C:$C,'BASE DE EXCEL'!AX:AX,"NO HAY REFERENCIA")</f>
        <v>SIN CLASIFICACION</v>
      </c>
      <c r="EE110" s="3">
        <f>_xlfn.XLOOKUP(B110,'BASE DE EXCEL'!$C:$C,'BASE DE EXCEL'!AY:AY,"NO HAY REFERENCIA")</f>
        <v>0</v>
      </c>
      <c r="EF110" s="3" t="str">
        <f>_xlfn.XLOOKUP(B110,'BASE DE EXCEL'!$C:$C,'BASE DE EXCEL'!AZ:AZ,"NO HAY REFERENCIA")</f>
        <v>Cargas de Importación</v>
      </c>
      <c r="EG110" s="3" t="str">
        <f>_xlfn.XLOOKUP(B110,'BASE DE EXCEL'!$C:$C,'BASE DE EXCEL'!BA:BA,"NO HAY REFERENCIA")</f>
        <v>INTERVET MEXICO SA DE CV</v>
      </c>
      <c r="EH110" s="3">
        <f>_xlfn.XLOOKUP(B110,'BASE DE EXCEL'!$C:$C,'BASE DE EXCEL'!BB:BB,"NO HAY REFERENCIA")</f>
        <v>0</v>
      </c>
      <c r="EI110" s="3" t="str">
        <f>_xlfn.XLOOKUP(B110,'BASE DE EXCEL'!$C:$C,'BASE DE EXCEL'!BC:BC,"NO HAY REFERENCIA")</f>
        <v>FALTA IMPUESTOS</v>
      </c>
      <c r="EJ110" s="3">
        <f>_xlfn.XLOOKUP(B110,'BASE DE EXCEL'!$C:$C,'BASE DE EXCEL'!BD:BD,"NO HAY REFERENCIA")</f>
        <v>0</v>
      </c>
      <c r="EK110" s="3" t="str">
        <f>_xlfn.XLOOKUP(B110,'BASE DE EXCEL'!$C:$C,'BASE DE EXCEL'!BE:BE,"NO HAY REFERENCIA")</f>
        <v>FALTA IMPUESTOS</v>
      </c>
      <c r="EL110" s="3" t="str">
        <f>_xlfn.XLOOKUP(B110,'BASE DE EXCEL'!$C:$C,'BASE DE EXCEL'!BF:BF,"NO HAY REFERENCIA")</f>
        <v>PRODUCTO TERMINADO</v>
      </c>
      <c r="EM110" s="3" t="str">
        <f>_xlfn.XLOOKUP(B110,'BASE DE EXCEL'!$C:$C,'BASE DE EXCEL'!BG:BG,"NO HAY REFERENCIA")</f>
        <v>Rojo</v>
      </c>
      <c r="EN110" s="3" t="str">
        <f>_xlfn.XLOOKUP(B110,'BASE DE EXCEL'!$C:$C,'BASE DE EXCEL'!BH:BH,"NO HAY REFERENCIA")</f>
        <v xml:space="preserve"> SUPER EXPRESS DE CARGA FEDERAL S.A. DE C.V.</v>
      </c>
      <c r="EO110" s="3">
        <f>_xlfn.XLOOKUP(B110,'BASE DE EXCEL'!$C:$C,'BASE DE EXCEL'!BI:BI,"NO HAY REFERENCIA")</f>
        <v>0</v>
      </c>
      <c r="EP110" s="3" t="str">
        <f>_xlfn.XLOOKUP(B110,'BASE DE EXCEL'!$C:$C,'BASE DE EXCEL'!BJ:BJ,"NO HAY REFERENCIA")</f>
        <v>IME-T004</v>
      </c>
      <c r="EQ110" s="3" t="str">
        <f>_xlfn.XLOOKUP(B110,'BASE DE EXCEL'!$C:$C,'BASE DE EXCEL'!BK:BK,"NO HAY REFERENCIA")</f>
        <v>IME850329RH2</v>
      </c>
      <c r="ER110" s="3">
        <f>_xlfn.XLOOKUP(B110,'BASE DE EXCEL'!$C:$C,'BASE DE EXCEL'!BL:BL,"NO HAY REFERENCIA")</f>
        <v>0</v>
      </c>
      <c r="ES110" s="3">
        <f>_xlfn.XLOOKUP(B110,'BASE DE EXCEL'!$C:$C,'BASE DE EXCEL'!BM:BM,"NO HAY REFERENCIA")</f>
        <v>99</v>
      </c>
      <c r="ET110" s="3" t="str">
        <f>_xlfn.XLOOKUP(B110,'BASE DE EXCEL'!$C:$C,'BASE DE EXCEL'!BN:BN,"NO HAY REFERENCIA")</f>
        <v>LOTE: SA726AA17,LOTE: SA747AA17,LOTE: A313A01,LOTE: B294A01,LOTE: A061A02,LOTE: A333A02,LOTE: A610FB01,LOTE: 1E080A02,LOTE: B290A01</v>
      </c>
      <c r="EU110" s="3">
        <f>_xlfn.XLOOKUP(B110,'BASE DE EXCEL'!$C:$C,'BASE DE EXCEL'!BO:BO,"NO HAY REFERENCIA")</f>
        <v>90</v>
      </c>
      <c r="EV110" s="3" t="str">
        <f>_xlfn.XLOOKUP(B110,'BASE DE EXCEL'!$C:$C,'BASE DE EXCEL'!BP:BP,"NO HAY REFERENCIA")</f>
        <v xml:space="preserve"> 368740.59, 12202490.96, 10460124.66, 9453419.98</v>
      </c>
      <c r="EW110" s="3" t="str">
        <f>_xlfn.XLOOKUP(B110,'BASE DE EXCEL'!$C:$C,'BASE DE EXCEL'!BQ:BQ,"NO HAY REFERENCIA")</f>
        <v>KILO,KILO,KILO,KILO,KILO,KILO,KILO,KILO,KILO</v>
      </c>
      <c r="EX110" s="3">
        <f>_xlfn.XLOOKUP(B110,'BASE DE EXCEL'!$C:$C,'BASE DE EXCEL'!BR:BR,"NO HAY REFERENCIA")</f>
        <v>0</v>
      </c>
      <c r="EY110" s="3" t="str">
        <f>_xlfn.XLOOKUP(B110,'BASE DE EXCEL'!$C:$C,'BASE DE EXCEL'!BS:BS,"NO HAY REFERENCIA")</f>
        <v>PAISES BAJOS (REINO DE LOS) (HOLANDA)</v>
      </c>
      <c r="EZ110" s="3" t="str">
        <f>_xlfn.XLOOKUP(B110,'BASE DE EXCEL'!$C:$C,'BASE DE EXCEL'!BT:BT,"NO HAY REFERENCIA")</f>
        <v>PAISES BAJOS (REINO DE LOS) (HOLANDA)</v>
      </c>
      <c r="FA110" s="3" t="str">
        <f>_xlfn.XLOOKUP(B110,'BASE DE EXCEL'!$C:$C,'BASE DE EXCEL'!BU:BU,"NO HAY REFERENCIA")</f>
        <v>ZYA</v>
      </c>
      <c r="FB110" s="3" t="str">
        <f>_xlfn.XLOOKUP(B110,'BASE DE EXCEL'!$C:$C,'BASE DE EXCEL'!BV:BV,"NO HAY REFERENCIA")</f>
        <v>ZYA</v>
      </c>
      <c r="FC110" s="3">
        <f>_xlfn.XLOOKUP(B110,QUERY!$C:$C,QUERY!D:D)</f>
        <v>430</v>
      </c>
      <c r="FD110" s="4">
        <f>_xlfn.XLOOKUP(B110,QUERY!$C:$C,QUERY!E:E)</f>
        <v>46105</v>
      </c>
      <c r="FE110" s="3">
        <f>_xlfn.XLOOKUP(B110,QUERY!$C:$C,QUERY!F:F)</f>
        <v>3</v>
      </c>
      <c r="FF110" s="4">
        <f>_xlfn.XLOOKUP(B110,QUERY!$C:$C,QUERY!G:G)</f>
        <v>46097</v>
      </c>
      <c r="FG110" s="4">
        <f>_xlfn.XLOOKUP(B110,QUERY!$C:$C,QUERY!H:H)</f>
        <v>46105</v>
      </c>
      <c r="FH110" s="3">
        <f>_xlfn.XLOOKUP(B110,QUERY!$C:$C,QUERY!I:I)</f>
        <v>6</v>
      </c>
      <c r="FI110" s="3" t="str">
        <f>_xlfn.XLOOKUP(B110,QUERY!$C:$C,QUERY!J:J)</f>
        <v>6 a 10 días</v>
      </c>
      <c r="FJ110" s="4">
        <f>_xlfn.XLOOKUP(B110,QUERY!$C:$C,QUERY!K:K)</f>
        <v>46105</v>
      </c>
      <c r="FK110" s="3">
        <f>_xlfn.XLOOKUP(B110,QUERY!$C:$C,QUERY!L:L)</f>
        <v>6</v>
      </c>
      <c r="FL110" s="3" t="str">
        <f>_xlfn.XLOOKUP(B110,QUERY!$C:$C,QUERY!M:M)</f>
        <v>6 a 10 días</v>
      </c>
      <c r="FM110" s="3">
        <f>_xlfn.XLOOKUP(B110,QUERY!$C:$C,QUERY!N:N)</f>
        <v>0</v>
      </c>
      <c r="FN110" s="3" t="str">
        <f>_xlfn.XLOOKUP(B110,QUERY!$C:$C,QUERY!O:O)</f>
        <v>1 día o menos</v>
      </c>
      <c r="FO110" s="3">
        <f>_xlfn.XLOOKUP(B110,QUERY!$C:$C,QUERY!P:P)</f>
        <v>0</v>
      </c>
      <c r="FP110" s="3">
        <f>_xlfn.XLOOKUP(B110,QUERY!$C:$C,QUERY!Q:Q)</f>
        <v>1</v>
      </c>
      <c r="FQ110" s="3" t="str">
        <f>_xlfn.XLOOKUP(B110,QUERY!$C:$C,QUERY!R:R)</f>
        <v>1 día o menos</v>
      </c>
      <c r="FR110" s="4">
        <f>_xlfn.XLOOKUP(B110,QUERY!$C:$C,QUERY!S:S)</f>
        <v>46106</v>
      </c>
      <c r="FS110" s="3">
        <f>_xlfn.XLOOKUP(B110,QUERY!$C:$C,QUERY!T:T)</f>
        <v>7</v>
      </c>
      <c r="FT110" s="3" t="str">
        <f>_xlfn.XLOOKUP(B110,QUERY!$C:$C,QUERY!U:U)</f>
        <v>6 a 10 días</v>
      </c>
      <c r="FU110" s="3">
        <f>_xlfn.XLOOKUP(B110,QUERY!$C:$C,QUERY!V:V)</f>
        <v>18</v>
      </c>
      <c r="FV110" s="3" t="str">
        <f>_xlfn.XLOOKUP(B110,QUERY!$C:$C,QUERY!W:W)</f>
        <v>más de 16 días</v>
      </c>
      <c r="FW110" s="4">
        <f>_xlfn.XLOOKUP(B110,QUERY!$C:$C,QUERY!X:X)</f>
        <v>46121</v>
      </c>
      <c r="FX110" s="3">
        <f>_xlfn.XLOOKUP(B110,QUERY!$C:$C,QUERY!Y:Y)</f>
        <v>11</v>
      </c>
      <c r="FY110" s="3">
        <f>_xlfn.XLOOKUP(B110,QUERY!$C:$C,QUERY!Z:Z)</f>
        <v>11</v>
      </c>
      <c r="FZ110" s="4" t="str">
        <f>_xlfn.XLOOKUP(B110,QUERY!$C:$C,QUERY!AA:AA)</f>
        <v>11 a 15 días</v>
      </c>
      <c r="GA110" s="4">
        <f>_xlfn.XLOOKUP(B110,QUERY!$C:$C,QUERY!AB:AB)</f>
        <v>46121</v>
      </c>
      <c r="GB110" s="4">
        <f>_xlfn.XLOOKUP(B110,QUERY!$C:$C,QUERY!AC:AC)</f>
        <v>46121</v>
      </c>
      <c r="GC110" s="3">
        <f>_xlfn.XLOOKUP(B110,QUERY!$C:$C,QUERY!AD:AD)</f>
        <v>0</v>
      </c>
      <c r="GD110" s="4">
        <f>_xlfn.XLOOKUP(B110,QUERY!$C:$C,QUERY!AE:AE)</f>
        <v>46121</v>
      </c>
      <c r="GE110" s="3">
        <f>_xlfn.XLOOKUP(B110,QUERY!$C:$C,QUERY!AF:AF)</f>
        <v>1</v>
      </c>
      <c r="GF110" s="4" t="str">
        <f>_xlfn.XLOOKUP(B110,QUERY!$C:$C,QUERY!AG:AG)</f>
        <v>Es anterior</v>
      </c>
      <c r="GG110" s="3" t="str">
        <f>_xlfn.XLOOKUP(B110,QUERY!$C:$C,QUERY!AH:AH)</f>
        <v>A1</v>
      </c>
      <c r="GH110" s="3" t="str">
        <f>_xlfn.XLOOKUP(B110,QUERY!$C:$C,QUERY!AI:AI)</f>
        <v>ZULEIMA PEREZ RUIZ</v>
      </c>
      <c r="GI110" s="3" t="str">
        <f>_xlfn.XLOOKUP(B110,QUERY!$C:$C,QUERY!AJ:AJ)</f>
        <v>HLCURTM260238200</v>
      </c>
      <c r="GJ110" s="3" t="str">
        <f>_xlfn.XLOOKUP(B110,QUERY!$C:$C,QUERY!AK:AK)</f>
        <v>NULL</v>
      </c>
      <c r="GK110" s="3">
        <f>_xlfn.XLOOKUP(B110,QUERY!$C:$C,QUERY!AL:AL)</f>
        <v>6000363</v>
      </c>
      <c r="GL110" s="3" t="str">
        <f>_xlfn.XLOOKUP(B110,QUERY!$C:$C,QUERY!AM:AM)</f>
        <v>Importación</v>
      </c>
      <c r="GM110" s="3" t="str">
        <f>_xlfn.XLOOKUP(B110,QUERY!$C:$C,QUERY!AN:AN)</f>
        <v>NOBILIS IB 4-91  (VACUNA DE USO VETERINARIO)</v>
      </c>
      <c r="GN110" s="3" t="str">
        <f>_xlfn.XLOOKUP(B110,QUERY!$C:$C,QUERY!AO:AO)</f>
        <v>SIN CLASIFICACION</v>
      </c>
      <c r="GO110" s="3">
        <f>_xlfn.XLOOKUP(B110,QUERY!$C:$C,QUERY!AP:AP)</f>
        <v>0</v>
      </c>
      <c r="GP110" s="3" t="str">
        <f>_xlfn.XLOOKUP(B110,QUERY!$C:$C,QUERY!AQ:AQ)</f>
        <v>Cargas de Importación</v>
      </c>
      <c r="GQ110" s="3" t="str">
        <f>_xlfn.XLOOKUP(B110,QUERY!$C:$C,QUERY!AR:AR)</f>
        <v>INTERVET MEXICO SA DE CV</v>
      </c>
      <c r="GR110" s="3">
        <f>_xlfn.XLOOKUP(B110,QUERY!$C:$C,QUERY!AS:AS)</f>
        <v>0</v>
      </c>
      <c r="GS110" s="3" t="str">
        <f>_xlfn.XLOOKUP(B110,QUERY!$C:$C,QUERY!AT:AT)</f>
        <v>FALTA IMPUESTOS</v>
      </c>
      <c r="GT110" s="3">
        <f>_xlfn.XLOOKUP(B110,QUERY!$C:$C,QUERY!AU:AU)</f>
        <v>0</v>
      </c>
      <c r="GU110" s="3" t="str">
        <f>_xlfn.XLOOKUP(B110,QUERY!$C:$C,QUERY!AV:AV)</f>
        <v>FALTA IMPUESTOS</v>
      </c>
      <c r="GV110" s="3" t="str">
        <f>_xlfn.XLOOKUP(B110,QUERY!$C:$C,QUERY!AW:AW)</f>
        <v>PRODUCTO TERMINADO</v>
      </c>
      <c r="GW110" s="3" t="str">
        <f>_xlfn.XLOOKUP(B110,QUERY!$C:$C,QUERY!AX:AX)</f>
        <v>Rojo</v>
      </c>
      <c r="GX110" s="3" t="str">
        <f>_xlfn.XLOOKUP(B110,QUERY!$C:$C,QUERY!AY:AY)</f>
        <v xml:space="preserve"> SUPER EXPRESS DE CARGA FEDERAL S.A. DE C.V.</v>
      </c>
      <c r="GY110" s="3">
        <f>_xlfn.XLOOKUP(B110,QUERY!$C:$C,QUERY!AZ:AZ)</f>
        <v>0</v>
      </c>
      <c r="GZ110" s="3" t="str">
        <f>_xlfn.XLOOKUP(B110,QUERY!$C:$C,QUERY!BA:BA)</f>
        <v>IME-T004</v>
      </c>
      <c r="HA110" s="3" t="str">
        <f>_xlfn.XLOOKUP(B110,QUERY!$C:$C,QUERY!BB:BB)</f>
        <v>IME850329RH2</v>
      </c>
      <c r="HB110" s="3">
        <f>_xlfn.XLOOKUP(B110,QUERY!$C:$C,QUERY!BC:BC)</f>
        <v>0</v>
      </c>
      <c r="HC110" s="3">
        <f>_xlfn.XLOOKUP(B110,QUERY!$C:$C,QUERY!BD:BD)</f>
        <v>99</v>
      </c>
      <c r="HD110" s="3" t="str">
        <f>_xlfn.XLOOKUP(B110,QUERY!$C:$C,QUERY!BE:BE)</f>
        <v>LOTE: SA726AA17,LOTE: SA747AA17,LOTE: A313A01,LOTE: B294A01,LOTE: A061A02,LOTE: A333A02,LOTE: A610FB01,LOTE: B290A01,LOTE: 1E080A02</v>
      </c>
      <c r="HE110" s="3">
        <f>_xlfn.XLOOKUP(B110,QUERY!$C:$C,QUERY!BF:BF)</f>
        <v>90</v>
      </c>
      <c r="HF110" s="3" t="str">
        <f>_xlfn.XLOOKUP(B110,QUERY!$C:$C,QUERY!BG:BG)</f>
        <v xml:space="preserve"> 368740.59, 12202490.96, 10460124.66, 9453419.98</v>
      </c>
      <c r="HG110" s="3" t="str">
        <f>_xlfn.XLOOKUP(B110,QUERY!$C:$C,QUERY!BH:BH)</f>
        <v>KILO,KILO,KILO,KILO,KILO,KILO,KILO,KILO,KILO</v>
      </c>
      <c r="HH110" s="3">
        <f>_xlfn.XLOOKUP(B110,QUERY!$C:$C,QUERY!BI:BI)</f>
        <v>0</v>
      </c>
      <c r="HI110" s="3" t="str">
        <f>_xlfn.XLOOKUP(B110,QUERY!$C:$C,QUERY!BJ:BJ)</f>
        <v>PAISES BAJOS (REINO DE LOS) (HOLANDA)</v>
      </c>
      <c r="HJ110" s="3" t="str">
        <f>_xlfn.XLOOKUP(B110,QUERY!$C:$C,QUERY!BK:BK)</f>
        <v>PAISES BAJOS (REINO DE LOS) (HOLANDA)</v>
      </c>
      <c r="HK110" s="3" t="str">
        <f>_xlfn.XLOOKUP(B110,QUERY!$C:$C,QUERY!BL:BL)</f>
        <v>ZYA</v>
      </c>
      <c r="HL110" s="3" t="str">
        <f>_xlfn.XLOOKUP(B110,QUERY!$C:$C,QUERY!BM:BM)</f>
        <v>ZYA</v>
      </c>
      <c r="HM110" s="3">
        <f>_xlfn.XLOOKUP(B110,QUERY!$C:$C,QUERY!BN:BN)</f>
        <v>32484777</v>
      </c>
      <c r="HN110" s="3" t="str">
        <f>_xlfn.XLOOKUP(B110,QUERY!$C:$C,QUERY!BO:BO)</f>
        <v>462.00</v>
      </c>
      <c r="HO110" s="3" t="str">
        <f>_xlfn.XLOOKUP(B110,QUERY!$C:$C,QUERY!BP:BP)</f>
        <v>NULL</v>
      </c>
      <c r="HP110" s="3" t="str">
        <f>_xlfn.XLOOKUP(B110,QUERY!$C:$C,QUERY!BQ:BQ)</f>
        <v>NULL</v>
      </c>
      <c r="HQ110" s="3" t="str">
        <f>_xlfn.XLOOKUP(B110,QUERY!$C:$C,QUERY!BR:BR)</f>
        <v>218768.33</v>
      </c>
      <c r="HR110" s="3">
        <f>_xlfn.XLOOKUP(B110,QUERY!$C:$C,QUERY!BS:BS)</f>
        <v>0</v>
      </c>
      <c r="HS110" s="3">
        <f>_xlfn.XLOOKUP(B110,QUERY!$C:$C,QUERY!BT:BT)</f>
        <v>0</v>
      </c>
      <c r="HT110" s="3" t="str">
        <f>_xlfn.XLOOKUP(B110,QUERY!$C:$C,QUERY!A:A)</f>
        <v>VERACRUZ</v>
      </c>
      <c r="HU110" s="3" t="str">
        <f>_xlfn.XLOOKUP(B110,QUERY!$C:$C,QUERY!B:B)</f>
        <v>MARÍTIMO VERACRUZ</v>
      </c>
    </row>
    <row r="111" spans="1:229" x14ac:dyDescent="0.25">
      <c r="A111" s="3" t="s">
        <v>90</v>
      </c>
      <c r="B111" s="3" t="s">
        <v>329</v>
      </c>
      <c r="C111" s="3">
        <v>3942</v>
      </c>
      <c r="D111" s="3">
        <v>6000363</v>
      </c>
      <c r="E111" s="3"/>
      <c r="F111" s="3" t="s">
        <v>92</v>
      </c>
      <c r="G111" s="3" t="s">
        <v>93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430</v>
      </c>
      <c r="S111" s="3" t="s">
        <v>330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 t="s">
        <v>270</v>
      </c>
      <c r="AB111" s="3"/>
      <c r="AC111" s="3">
        <v>3119823</v>
      </c>
      <c r="AD111" s="3">
        <v>825.35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/>
      <c r="AP111" s="3" t="s">
        <v>98</v>
      </c>
      <c r="AQ111" s="3">
        <v>210367105</v>
      </c>
      <c r="AR111" s="3" t="s">
        <v>99</v>
      </c>
      <c r="AS111" s="3" t="s">
        <v>100</v>
      </c>
      <c r="AT111" s="3">
        <v>0</v>
      </c>
      <c r="AU111" s="3">
        <v>0</v>
      </c>
      <c r="AV111" s="3">
        <v>0</v>
      </c>
      <c r="AW111" s="3">
        <v>30024201</v>
      </c>
      <c r="AX111" s="3">
        <v>99</v>
      </c>
      <c r="AY111" s="3">
        <v>3780</v>
      </c>
      <c r="AZ111" s="3">
        <v>3780</v>
      </c>
      <c r="BA111" s="3" t="s">
        <v>103</v>
      </c>
      <c r="BB111" s="3"/>
      <c r="BC111" s="3" t="s">
        <v>105</v>
      </c>
      <c r="BD111" s="3" t="s">
        <v>105</v>
      </c>
      <c r="BE111" s="3"/>
      <c r="BF111" s="3"/>
      <c r="BG111" s="5"/>
      <c r="BH111" s="3"/>
      <c r="BI111" s="3"/>
      <c r="BJ111" s="3"/>
      <c r="BK111" s="3" t="s">
        <v>337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 t="s">
        <v>192</v>
      </c>
      <c r="CF111" s="3">
        <v>0</v>
      </c>
      <c r="CG111" s="3">
        <v>0</v>
      </c>
      <c r="CH111" s="3">
        <v>0</v>
      </c>
      <c r="CI111" s="3" t="s">
        <v>112</v>
      </c>
      <c r="CJ111" s="3" t="s">
        <v>112</v>
      </c>
      <c r="CK111" s="3">
        <f>_xlfn.XLOOKUP($B$2,'BASE DE EXCEL'!C:C,'BASE DE EXCEL'!D:D,"NO HAY REFERENCIA")</f>
        <v>470</v>
      </c>
      <c r="CL111" s="5">
        <f>_xlfn.XLOOKUP($B$2,'BASE DE EXCEL'!$C:$C,'BASE DE EXCEL'!F:F,"NO HAY REFERENCIA")</f>
        <v>3</v>
      </c>
      <c r="CM111" s="4">
        <f>_xlfn.XLOOKUP($B$2,'BASE DE EXCEL'!$C:$C,'BASE DE EXCEL'!G:G,"NO HAY REFERENCIA")</f>
        <v>46080</v>
      </c>
      <c r="CN111" s="4">
        <f>_xlfn.XLOOKUP($B$2,'BASE DE EXCEL'!$C:$C,'BASE DE EXCEL'!H:H,"NO HAY REFERENCIA")</f>
        <v>46086</v>
      </c>
      <c r="CO111" s="3">
        <f>_xlfn.XLOOKUP($B$2,'BASE DE EXCEL'!$C:$C,'BASE DE EXCEL'!I:I,"NO HAY REFERENCIA")</f>
        <v>4</v>
      </c>
      <c r="CP111" s="3" t="str">
        <f>_xlfn.XLOOKUP($B$2,'BASE DE EXCEL'!$C:$C,'BASE DE EXCEL'!J:J,"NO HAY REFERENCIA")</f>
        <v>4 a 5 días</v>
      </c>
      <c r="CQ111" s="4">
        <f>_xlfn.XLOOKUP($B$2,'BASE DE EXCEL'!$C:$C,'BASE DE EXCEL'!K:K,"NO HAY REFERENCIA")</f>
        <v>46087</v>
      </c>
      <c r="CR111" s="3">
        <f>_xlfn.XLOOKUP($B$2,'BASE DE EXCEL'!$C:$C,'BASE DE EXCEL'!L:L,"NO HAY REFERENCIA")</f>
        <v>5</v>
      </c>
      <c r="CS111" s="3">
        <f>_xlfn.XLOOKUP($B$2,'BASE DE EXCEL'!$C:$C,'BASE DE EXCEL'!M:M,"NO HAY REFERENCIA")</f>
        <v>6</v>
      </c>
      <c r="CT111" s="3" t="str">
        <f>_xlfn.XLOOKUP($B$2,'BASE DE EXCEL'!$C:$C,'BASE DE EXCEL'!N:N,"NO HAY REFERENCIA")</f>
        <v>6 a 10 días</v>
      </c>
      <c r="CU111" s="3" t="str">
        <f>_xlfn.XLOOKUP($B$2,'BASE DE EXCEL'!$C:$C,'BASE DE EXCEL'!O:O,"NO HAY REFERENCIA")</f>
        <v>On Time</v>
      </c>
      <c r="CV111" s="3" t="str">
        <f>_xlfn.XLOOKUP(B111,'BASE DE EXCEL'!$C:$C,'BASE DE EXCEL'!P:P,"NO HAY REFERENCIA")</f>
        <v>6 a 10 días</v>
      </c>
      <c r="CW111" s="4">
        <f>_xlfn.XLOOKUP(B111,'BASE DE EXCEL'!$C:$C,'BASE DE EXCEL'!Q:Q,"NO HAY REFERENCIA")</f>
        <v>46106</v>
      </c>
      <c r="CX111" s="3">
        <f>_xlfn.XLOOKUP(B111,'BASE DE EXCEL'!$C:$C,'BASE DE EXCEL'!R:R,"NO HAY REFERENCIA")</f>
        <v>7</v>
      </c>
      <c r="CY111" s="3" t="str">
        <f>_xlfn.XLOOKUP(B111,'BASE DE EXCEL'!$C:$C,'BASE DE EXCEL'!S:S,"NO HAY REFERENCIA")</f>
        <v>6 a 10 días</v>
      </c>
      <c r="CZ111" s="3" t="str">
        <f>_xlfn.XLOOKUP(B111,'BASE DE EXCEL'!$C:$C,'BASE DE EXCEL'!T:T,"NO HAY REFERENCIA")</f>
        <v>Delayed</v>
      </c>
      <c r="DA111" s="3">
        <f>_xlfn.XLOOKUP(B111,'BASE DE EXCEL'!$C:$C,'BASE DE EXCEL'!U:U,"NO HAY REFERENCIA")</f>
        <v>9</v>
      </c>
      <c r="DB111" s="3" t="str">
        <f>_xlfn.XLOOKUP(B111,'BASE DE EXCEL'!$C:$C,'BASE DE EXCEL'!V:V,"NO HAY REFERENCIA")</f>
        <v>6 a 10 días</v>
      </c>
      <c r="DC111" s="3">
        <f>_xlfn.XLOOKUP(B111,'BASE DE EXCEL'!$C:$C,'BASE DE EXCEL'!W:W,"NO HAY REFERENCIA")</f>
        <v>18</v>
      </c>
      <c r="DD111" s="3" t="str">
        <f>_xlfn.XLOOKUP(B111,'BASE DE EXCEL'!$C:$C,'BASE DE EXCEL'!X:X,"NO HAY REFERENCIA")</f>
        <v>más de 16 días</v>
      </c>
      <c r="DE111" s="3">
        <f>_xlfn.XLOOKUP(B111,'BASE DE EXCEL'!$C:$C,'BASE DE EXCEL'!Y:Y,"NO HAY REFERENCIA")</f>
        <v>0</v>
      </c>
      <c r="DF111" s="3" t="str">
        <f>_xlfn.XLOOKUP(B111,'BASE DE EXCEL'!$C:$C,'BASE DE EXCEL'!Z:Z,"NO HAY REFERENCIA")</f>
        <v>1 día o menos</v>
      </c>
      <c r="DG111" s="3">
        <f>_xlfn.XLOOKUP(B111,'BASE DE EXCEL'!$C:$C,'BASE DE EXCEL'!AA:AA,"NO HAY REFERENCIA")</f>
        <v>8</v>
      </c>
      <c r="DH111" s="3">
        <f>_xlfn.XLOOKUP(B111,'BASE DE EXCEL'!$C:$C,'BASE DE EXCEL'!AB:AB,"NO HAY REFERENCIA")</f>
        <v>1</v>
      </c>
      <c r="DI111" s="3" t="str">
        <f>_xlfn.XLOOKUP(B111,'BASE DE EXCEL'!$C:$C,'BASE DE EXCEL'!AC:AC,"NO HAY REFERENCIA")</f>
        <v>1 día o menos</v>
      </c>
      <c r="DJ111" s="4">
        <f>_xlfn.XLOOKUP(B111,'BASE DE EXCEL'!$C:$C,'BASE DE EXCEL'!AD:AD,"NO HAY REFERENCIA")</f>
        <v>46121</v>
      </c>
      <c r="DK111" s="3">
        <f>_xlfn.XLOOKUP(B111,'BASE DE EXCEL'!$C:$C,'BASE DE EXCEL'!AE:AE,"NO HAY REFERENCIA")</f>
        <v>15</v>
      </c>
      <c r="DL111" s="3">
        <f>_xlfn.XLOOKUP(B111,'BASE DE EXCEL'!$C:$C,'BASE DE EXCEL'!AF:AF,"NO HAY REFERENCIA")</f>
        <v>11</v>
      </c>
      <c r="DM111" s="4">
        <f>_xlfn.XLOOKUP(B111,'BASE DE EXCEL'!$C:$C,'BASE DE EXCEL'!AG:AG,"NO HAY REFERENCIA")</f>
        <v>46121</v>
      </c>
      <c r="DN111" s="4">
        <f>_xlfn.XLOOKUP(B111,'BASE DE EXCEL'!$C:$C,'BASE DE EXCEL'!AH:AH,"NO HAY REFERENCIA")</f>
        <v>46121</v>
      </c>
      <c r="DO111" s="3">
        <f>_xlfn.XLOOKUP(B111,'BASE DE EXCEL'!$C:$C,'BASE DE EXCEL'!AI:AI,"NO HAY REFERENCIA")</f>
        <v>0</v>
      </c>
      <c r="DP111" s="4" t="str">
        <f>_xlfn.XLOOKUP(B111,'BASE DE EXCEL'!$C:$C,'BASE DE EXCEL'!AJ:AJ,"NO HAY REFERENCIA")</f>
        <v>11 a 15 días</v>
      </c>
      <c r="DQ111" s="4">
        <f>_xlfn.XLOOKUP(B111,'BASE DE EXCEL'!$C:$C,'BASE DE EXCEL'!AK:AK,"NO HAY REFERENCIA")</f>
        <v>46121</v>
      </c>
      <c r="DR111" s="3">
        <f>_xlfn.XLOOKUP(B111,'BASE DE EXCEL'!$C:$C,'BASE DE EXCEL'!AL:AL,"NO HAY REFERENCIA")</f>
        <v>10</v>
      </c>
      <c r="DS111" s="3" t="str">
        <f>_xlfn.XLOOKUP(B111,'BASE DE EXCEL'!$C:$C,'BASE DE EXCEL'!AM:AM,"NO HAY REFERENCIA")</f>
        <v>6 a 10 días</v>
      </c>
      <c r="DT111" s="3" t="str">
        <f>_xlfn.XLOOKUP(B111,'BASE DE EXCEL'!$C:$C,'BASE DE EXCEL'!AN:AN,"NO HAY REFERENCIA")</f>
        <v>Delayed</v>
      </c>
      <c r="DU111" s="3">
        <f>_xlfn.XLOOKUP(B111,'BASE DE EXCEL'!$C:$C,'BASE DE EXCEL'!AO:AO,"NO HAY REFERENCIA")</f>
        <v>1</v>
      </c>
      <c r="DV111" s="3" t="str">
        <f>_xlfn.XLOOKUP(B111,'BASE DE EXCEL'!$C:$C,'BASE DE EXCEL'!AP:AP,"NO HAY REFERENCIA")</f>
        <v>Es anterior</v>
      </c>
      <c r="DW111" s="3" t="str">
        <f>_xlfn.XLOOKUP(B111,'BASE DE EXCEL'!$C:$C,'BASE DE EXCEL'!AQ:AQ,"NO HAY REFERENCIA")</f>
        <v>A1</v>
      </c>
      <c r="DX111" s="3" t="str">
        <f>_xlfn.XLOOKUP(B111,'BASE DE EXCEL'!$C:$C,'BASE DE EXCEL'!AR:AR,"NO HAY REFERENCIA")</f>
        <v>ZULEIMA PEREZ RUIZ</v>
      </c>
      <c r="DY111" s="3" t="str">
        <f>_xlfn.XLOOKUP(B111,'BASE DE EXCEL'!$C:$C,'BASE DE EXCEL'!AS:AS,"NO HAY REFERENCIA")</f>
        <v>HLCURTM260238200</v>
      </c>
      <c r="DZ111" s="3" t="str">
        <f>_xlfn.XLOOKUP(B111,'BASE DE EXCEL'!$C:$C,'BASE DE EXCEL'!AT:AT,"NO HAY REFERENCIA")</f>
        <v>NULL</v>
      </c>
      <c r="EA111" s="3">
        <f>_xlfn.XLOOKUP(B111,'BASE DE EXCEL'!$C:$C,'BASE DE EXCEL'!AU:AU,"NO HAY REFERENCIA")</f>
        <v>6000363</v>
      </c>
      <c r="EB111" s="3" t="str">
        <f>_xlfn.XLOOKUP(B111,'BASE DE EXCEL'!$C:$C,'BASE DE EXCEL'!AV:AV,"NO HAY REFERENCIA")</f>
        <v>Importación</v>
      </c>
      <c r="EC111" s="3" t="str">
        <f>_xlfn.XLOOKUP(B111,'BASE DE EXCEL'!$C:$C,'BASE DE EXCEL'!AW:AW,"NO HAY REFERENCIA")</f>
        <v>NOBILIS IB 4-91  (VACUNA DE USO VETERINARIO)</v>
      </c>
      <c r="ED111" s="3" t="str">
        <f>_xlfn.XLOOKUP(B111,'BASE DE EXCEL'!$C:$C,'BASE DE EXCEL'!AX:AX,"NO HAY REFERENCIA")</f>
        <v>SIN CLASIFICACION</v>
      </c>
      <c r="EE111" s="3">
        <f>_xlfn.XLOOKUP(B111,'BASE DE EXCEL'!$C:$C,'BASE DE EXCEL'!AY:AY,"NO HAY REFERENCIA")</f>
        <v>0</v>
      </c>
      <c r="EF111" s="3" t="str">
        <f>_xlfn.XLOOKUP(B111,'BASE DE EXCEL'!$C:$C,'BASE DE EXCEL'!AZ:AZ,"NO HAY REFERENCIA")</f>
        <v>Cargas de Importación</v>
      </c>
      <c r="EG111" s="3" t="str">
        <f>_xlfn.XLOOKUP(B111,'BASE DE EXCEL'!$C:$C,'BASE DE EXCEL'!BA:BA,"NO HAY REFERENCIA")</f>
        <v>INTERVET MEXICO SA DE CV</v>
      </c>
      <c r="EH111" s="3">
        <f>_xlfn.XLOOKUP(B111,'BASE DE EXCEL'!$C:$C,'BASE DE EXCEL'!BB:BB,"NO HAY REFERENCIA")</f>
        <v>0</v>
      </c>
      <c r="EI111" s="3" t="str">
        <f>_xlfn.XLOOKUP(B111,'BASE DE EXCEL'!$C:$C,'BASE DE EXCEL'!BC:BC,"NO HAY REFERENCIA")</f>
        <v>FALTA IMPUESTOS</v>
      </c>
      <c r="EJ111" s="3">
        <f>_xlfn.XLOOKUP(B111,'BASE DE EXCEL'!$C:$C,'BASE DE EXCEL'!BD:BD,"NO HAY REFERENCIA")</f>
        <v>0</v>
      </c>
      <c r="EK111" s="3" t="str">
        <f>_xlfn.XLOOKUP(B111,'BASE DE EXCEL'!$C:$C,'BASE DE EXCEL'!BE:BE,"NO HAY REFERENCIA")</f>
        <v>FALTA IMPUESTOS</v>
      </c>
      <c r="EL111" s="3" t="str">
        <f>_xlfn.XLOOKUP(B111,'BASE DE EXCEL'!$C:$C,'BASE DE EXCEL'!BF:BF,"NO HAY REFERENCIA")</f>
        <v>PRODUCTO TERMINADO</v>
      </c>
      <c r="EM111" s="3" t="str">
        <f>_xlfn.XLOOKUP(B111,'BASE DE EXCEL'!$C:$C,'BASE DE EXCEL'!BG:BG,"NO HAY REFERENCIA")</f>
        <v>Rojo</v>
      </c>
      <c r="EN111" s="3" t="str">
        <f>_xlfn.XLOOKUP(B111,'BASE DE EXCEL'!$C:$C,'BASE DE EXCEL'!BH:BH,"NO HAY REFERENCIA")</f>
        <v xml:space="preserve"> SUPER EXPRESS DE CARGA FEDERAL S.A. DE C.V.</v>
      </c>
      <c r="EO111" s="3">
        <f>_xlfn.XLOOKUP(B111,'BASE DE EXCEL'!$C:$C,'BASE DE EXCEL'!BI:BI,"NO HAY REFERENCIA")</f>
        <v>0</v>
      </c>
      <c r="EP111" s="3" t="str">
        <f>_xlfn.XLOOKUP(B111,'BASE DE EXCEL'!$C:$C,'BASE DE EXCEL'!BJ:BJ,"NO HAY REFERENCIA")</f>
        <v>IME-T004</v>
      </c>
      <c r="EQ111" s="3" t="str">
        <f>_xlfn.XLOOKUP(B111,'BASE DE EXCEL'!$C:$C,'BASE DE EXCEL'!BK:BK,"NO HAY REFERENCIA")</f>
        <v>IME850329RH2</v>
      </c>
      <c r="ER111" s="3">
        <f>_xlfn.XLOOKUP(B111,'BASE DE EXCEL'!$C:$C,'BASE DE EXCEL'!BL:BL,"NO HAY REFERENCIA")</f>
        <v>0</v>
      </c>
      <c r="ES111" s="3">
        <f>_xlfn.XLOOKUP(B111,'BASE DE EXCEL'!$C:$C,'BASE DE EXCEL'!BM:BM,"NO HAY REFERENCIA")</f>
        <v>99</v>
      </c>
      <c r="ET111" s="3" t="str">
        <f>_xlfn.XLOOKUP(B111,'BASE DE EXCEL'!$C:$C,'BASE DE EXCEL'!BN:BN,"NO HAY REFERENCIA")</f>
        <v>LOTE: SA726AA17,LOTE: SA747AA17,LOTE: A313A01,LOTE: B294A01,LOTE: A061A02,LOTE: A333A02,LOTE: A610FB01,LOTE: 1E080A02,LOTE: B290A01</v>
      </c>
      <c r="EU111" s="3">
        <f>_xlfn.XLOOKUP(B111,'BASE DE EXCEL'!$C:$C,'BASE DE EXCEL'!BO:BO,"NO HAY REFERENCIA")</f>
        <v>90</v>
      </c>
      <c r="EV111" s="3" t="str">
        <f>_xlfn.XLOOKUP(B111,'BASE DE EXCEL'!$C:$C,'BASE DE EXCEL'!BP:BP,"NO HAY REFERENCIA")</f>
        <v xml:space="preserve"> 368740.59, 12202490.96, 10460124.66, 9453419.98</v>
      </c>
      <c r="EW111" s="3" t="str">
        <f>_xlfn.XLOOKUP(B111,'BASE DE EXCEL'!$C:$C,'BASE DE EXCEL'!BQ:BQ,"NO HAY REFERENCIA")</f>
        <v>KILO,KILO,KILO,KILO,KILO,KILO,KILO,KILO,KILO</v>
      </c>
      <c r="EX111" s="3">
        <f>_xlfn.XLOOKUP(B111,'BASE DE EXCEL'!$C:$C,'BASE DE EXCEL'!BR:BR,"NO HAY REFERENCIA")</f>
        <v>0</v>
      </c>
      <c r="EY111" s="3" t="str">
        <f>_xlfn.XLOOKUP(B111,'BASE DE EXCEL'!$C:$C,'BASE DE EXCEL'!BS:BS,"NO HAY REFERENCIA")</f>
        <v>PAISES BAJOS (REINO DE LOS) (HOLANDA)</v>
      </c>
      <c r="EZ111" s="3" t="str">
        <f>_xlfn.XLOOKUP(B111,'BASE DE EXCEL'!$C:$C,'BASE DE EXCEL'!BT:BT,"NO HAY REFERENCIA")</f>
        <v>PAISES BAJOS (REINO DE LOS) (HOLANDA)</v>
      </c>
      <c r="FA111" s="3" t="str">
        <f>_xlfn.XLOOKUP(B111,'BASE DE EXCEL'!$C:$C,'BASE DE EXCEL'!BU:BU,"NO HAY REFERENCIA")</f>
        <v>ZYA</v>
      </c>
      <c r="FB111" s="3" t="str">
        <f>_xlfn.XLOOKUP(B111,'BASE DE EXCEL'!$C:$C,'BASE DE EXCEL'!BV:BV,"NO HAY REFERENCIA")</f>
        <v>ZYA</v>
      </c>
      <c r="FC111" s="3">
        <f>_xlfn.XLOOKUP(B111,QUERY!$C:$C,QUERY!D:D)</f>
        <v>430</v>
      </c>
      <c r="FD111" s="4">
        <f>_xlfn.XLOOKUP(B111,QUERY!$C:$C,QUERY!E:E)</f>
        <v>46105</v>
      </c>
      <c r="FE111" s="3">
        <f>_xlfn.XLOOKUP(B111,QUERY!$C:$C,QUERY!F:F)</f>
        <v>3</v>
      </c>
      <c r="FF111" s="4">
        <f>_xlfn.XLOOKUP(B111,QUERY!$C:$C,QUERY!G:G)</f>
        <v>46097</v>
      </c>
      <c r="FG111" s="4">
        <f>_xlfn.XLOOKUP(B111,QUERY!$C:$C,QUERY!H:H)</f>
        <v>46105</v>
      </c>
      <c r="FH111" s="3">
        <f>_xlfn.XLOOKUP(B111,QUERY!$C:$C,QUERY!I:I)</f>
        <v>6</v>
      </c>
      <c r="FI111" s="3" t="str">
        <f>_xlfn.XLOOKUP(B111,QUERY!$C:$C,QUERY!J:J)</f>
        <v>6 a 10 días</v>
      </c>
      <c r="FJ111" s="4">
        <f>_xlfn.XLOOKUP(B111,QUERY!$C:$C,QUERY!K:K)</f>
        <v>46105</v>
      </c>
      <c r="FK111" s="3">
        <f>_xlfn.XLOOKUP(B111,QUERY!$C:$C,QUERY!L:L)</f>
        <v>6</v>
      </c>
      <c r="FL111" s="3" t="str">
        <f>_xlfn.XLOOKUP(B111,QUERY!$C:$C,QUERY!M:M)</f>
        <v>6 a 10 días</v>
      </c>
      <c r="FM111" s="3">
        <f>_xlfn.XLOOKUP(B111,QUERY!$C:$C,QUERY!N:N)</f>
        <v>0</v>
      </c>
      <c r="FN111" s="3" t="str">
        <f>_xlfn.XLOOKUP(B111,QUERY!$C:$C,QUERY!O:O)</f>
        <v>1 día o menos</v>
      </c>
      <c r="FO111" s="3">
        <f>_xlfn.XLOOKUP(B111,QUERY!$C:$C,QUERY!P:P)</f>
        <v>0</v>
      </c>
      <c r="FP111" s="3">
        <f>_xlfn.XLOOKUP(B111,QUERY!$C:$C,QUERY!Q:Q)</f>
        <v>1</v>
      </c>
      <c r="FQ111" s="3" t="str">
        <f>_xlfn.XLOOKUP(B111,QUERY!$C:$C,QUERY!R:R)</f>
        <v>1 día o menos</v>
      </c>
      <c r="FR111" s="4">
        <f>_xlfn.XLOOKUP(B111,QUERY!$C:$C,QUERY!S:S)</f>
        <v>46106</v>
      </c>
      <c r="FS111" s="3">
        <f>_xlfn.XLOOKUP(B111,QUERY!$C:$C,QUERY!T:T)</f>
        <v>7</v>
      </c>
      <c r="FT111" s="3" t="str">
        <f>_xlfn.XLOOKUP(B111,QUERY!$C:$C,QUERY!U:U)</f>
        <v>6 a 10 días</v>
      </c>
      <c r="FU111" s="3">
        <f>_xlfn.XLOOKUP(B111,QUERY!$C:$C,QUERY!V:V)</f>
        <v>18</v>
      </c>
      <c r="FV111" s="3" t="str">
        <f>_xlfn.XLOOKUP(B111,QUERY!$C:$C,QUERY!W:W)</f>
        <v>más de 16 días</v>
      </c>
      <c r="FW111" s="4">
        <f>_xlfn.XLOOKUP(B111,QUERY!$C:$C,QUERY!X:X)</f>
        <v>46121</v>
      </c>
      <c r="FX111" s="3">
        <f>_xlfn.XLOOKUP(B111,QUERY!$C:$C,QUERY!Y:Y)</f>
        <v>11</v>
      </c>
      <c r="FY111" s="3">
        <f>_xlfn.XLOOKUP(B111,QUERY!$C:$C,QUERY!Z:Z)</f>
        <v>11</v>
      </c>
      <c r="FZ111" s="4" t="str">
        <f>_xlfn.XLOOKUP(B111,QUERY!$C:$C,QUERY!AA:AA)</f>
        <v>11 a 15 días</v>
      </c>
      <c r="GA111" s="4">
        <f>_xlfn.XLOOKUP(B111,QUERY!$C:$C,QUERY!AB:AB)</f>
        <v>46121</v>
      </c>
      <c r="GB111" s="4">
        <f>_xlfn.XLOOKUP(B111,QUERY!$C:$C,QUERY!AC:AC)</f>
        <v>46121</v>
      </c>
      <c r="GC111" s="3">
        <f>_xlfn.XLOOKUP(B111,QUERY!$C:$C,QUERY!AD:AD)</f>
        <v>0</v>
      </c>
      <c r="GD111" s="4">
        <f>_xlfn.XLOOKUP(B111,QUERY!$C:$C,QUERY!AE:AE)</f>
        <v>46121</v>
      </c>
      <c r="GE111" s="3">
        <f>_xlfn.XLOOKUP(B111,QUERY!$C:$C,QUERY!AF:AF)</f>
        <v>1</v>
      </c>
      <c r="GF111" s="4" t="str">
        <f>_xlfn.XLOOKUP(B111,QUERY!$C:$C,QUERY!AG:AG)</f>
        <v>Es anterior</v>
      </c>
      <c r="GG111" s="3" t="str">
        <f>_xlfn.XLOOKUP(B111,QUERY!$C:$C,QUERY!AH:AH)</f>
        <v>A1</v>
      </c>
      <c r="GH111" s="3" t="str">
        <f>_xlfn.XLOOKUP(B111,QUERY!$C:$C,QUERY!AI:AI)</f>
        <v>ZULEIMA PEREZ RUIZ</v>
      </c>
      <c r="GI111" s="3" t="str">
        <f>_xlfn.XLOOKUP(B111,QUERY!$C:$C,QUERY!AJ:AJ)</f>
        <v>HLCURTM260238200</v>
      </c>
      <c r="GJ111" s="3" t="str">
        <f>_xlfn.XLOOKUP(B111,QUERY!$C:$C,QUERY!AK:AK)</f>
        <v>NULL</v>
      </c>
      <c r="GK111" s="3">
        <f>_xlfn.XLOOKUP(B111,QUERY!$C:$C,QUERY!AL:AL)</f>
        <v>6000363</v>
      </c>
      <c r="GL111" s="3" t="str">
        <f>_xlfn.XLOOKUP(B111,QUERY!$C:$C,QUERY!AM:AM)</f>
        <v>Importación</v>
      </c>
      <c r="GM111" s="3" t="str">
        <f>_xlfn.XLOOKUP(B111,QUERY!$C:$C,QUERY!AN:AN)</f>
        <v>NOBILIS IB 4-91  (VACUNA DE USO VETERINARIO)</v>
      </c>
      <c r="GN111" s="3" t="str">
        <f>_xlfn.XLOOKUP(B111,QUERY!$C:$C,QUERY!AO:AO)</f>
        <v>SIN CLASIFICACION</v>
      </c>
      <c r="GO111" s="3">
        <f>_xlfn.XLOOKUP(B111,QUERY!$C:$C,QUERY!AP:AP)</f>
        <v>0</v>
      </c>
      <c r="GP111" s="3" t="str">
        <f>_xlfn.XLOOKUP(B111,QUERY!$C:$C,QUERY!AQ:AQ)</f>
        <v>Cargas de Importación</v>
      </c>
      <c r="GQ111" s="3" t="str">
        <f>_xlfn.XLOOKUP(B111,QUERY!$C:$C,QUERY!AR:AR)</f>
        <v>INTERVET MEXICO SA DE CV</v>
      </c>
      <c r="GR111" s="3">
        <f>_xlfn.XLOOKUP(B111,QUERY!$C:$C,QUERY!AS:AS)</f>
        <v>0</v>
      </c>
      <c r="GS111" s="3" t="str">
        <f>_xlfn.XLOOKUP(B111,QUERY!$C:$C,QUERY!AT:AT)</f>
        <v>FALTA IMPUESTOS</v>
      </c>
      <c r="GT111" s="3">
        <f>_xlfn.XLOOKUP(B111,QUERY!$C:$C,QUERY!AU:AU)</f>
        <v>0</v>
      </c>
      <c r="GU111" s="3" t="str">
        <f>_xlfn.XLOOKUP(B111,QUERY!$C:$C,QUERY!AV:AV)</f>
        <v>FALTA IMPUESTOS</v>
      </c>
      <c r="GV111" s="3" t="str">
        <f>_xlfn.XLOOKUP(B111,QUERY!$C:$C,QUERY!AW:AW)</f>
        <v>PRODUCTO TERMINADO</v>
      </c>
      <c r="GW111" s="3" t="str">
        <f>_xlfn.XLOOKUP(B111,QUERY!$C:$C,QUERY!AX:AX)</f>
        <v>Rojo</v>
      </c>
      <c r="GX111" s="3" t="str">
        <f>_xlfn.XLOOKUP(B111,QUERY!$C:$C,QUERY!AY:AY)</f>
        <v xml:space="preserve"> SUPER EXPRESS DE CARGA FEDERAL S.A. DE C.V.</v>
      </c>
      <c r="GY111" s="3">
        <f>_xlfn.XLOOKUP(B111,QUERY!$C:$C,QUERY!AZ:AZ)</f>
        <v>0</v>
      </c>
      <c r="GZ111" s="3" t="str">
        <f>_xlfn.XLOOKUP(B111,QUERY!$C:$C,QUERY!BA:BA)</f>
        <v>IME-T004</v>
      </c>
      <c r="HA111" s="3" t="str">
        <f>_xlfn.XLOOKUP(B111,QUERY!$C:$C,QUERY!BB:BB)</f>
        <v>IME850329RH2</v>
      </c>
      <c r="HB111" s="3">
        <f>_xlfn.XLOOKUP(B111,QUERY!$C:$C,QUERY!BC:BC)</f>
        <v>0</v>
      </c>
      <c r="HC111" s="3">
        <f>_xlfn.XLOOKUP(B111,QUERY!$C:$C,QUERY!BD:BD)</f>
        <v>99</v>
      </c>
      <c r="HD111" s="3" t="str">
        <f>_xlfn.XLOOKUP(B111,QUERY!$C:$C,QUERY!BE:BE)</f>
        <v>LOTE: SA726AA17,LOTE: SA747AA17,LOTE: A313A01,LOTE: B294A01,LOTE: A061A02,LOTE: A333A02,LOTE: A610FB01,LOTE: B290A01,LOTE: 1E080A02</v>
      </c>
      <c r="HE111" s="3">
        <f>_xlfn.XLOOKUP(B111,QUERY!$C:$C,QUERY!BF:BF)</f>
        <v>90</v>
      </c>
      <c r="HF111" s="3" t="str">
        <f>_xlfn.XLOOKUP(B111,QUERY!$C:$C,QUERY!BG:BG)</f>
        <v xml:space="preserve"> 368740.59, 12202490.96, 10460124.66, 9453419.98</v>
      </c>
      <c r="HG111" s="3" t="str">
        <f>_xlfn.XLOOKUP(B111,QUERY!$C:$C,QUERY!BH:BH)</f>
        <v>KILO,KILO,KILO,KILO,KILO,KILO,KILO,KILO,KILO</v>
      </c>
      <c r="HH111" s="3">
        <f>_xlfn.XLOOKUP(B111,QUERY!$C:$C,QUERY!BI:BI)</f>
        <v>0</v>
      </c>
      <c r="HI111" s="3" t="str">
        <f>_xlfn.XLOOKUP(B111,QUERY!$C:$C,QUERY!BJ:BJ)</f>
        <v>PAISES BAJOS (REINO DE LOS) (HOLANDA)</v>
      </c>
      <c r="HJ111" s="3" t="str">
        <f>_xlfn.XLOOKUP(B111,QUERY!$C:$C,QUERY!BK:BK)</f>
        <v>PAISES BAJOS (REINO DE LOS) (HOLANDA)</v>
      </c>
      <c r="HK111" s="3" t="str">
        <f>_xlfn.XLOOKUP(B111,QUERY!$C:$C,QUERY!BL:BL)</f>
        <v>ZYA</v>
      </c>
      <c r="HL111" s="3" t="str">
        <f>_xlfn.XLOOKUP(B111,QUERY!$C:$C,QUERY!BM:BM)</f>
        <v>ZYA</v>
      </c>
      <c r="HM111" s="3">
        <f>_xlfn.XLOOKUP(B111,QUERY!$C:$C,QUERY!BN:BN)</f>
        <v>32484777</v>
      </c>
      <c r="HN111" s="3" t="str">
        <f>_xlfn.XLOOKUP(B111,QUERY!$C:$C,QUERY!BO:BO)</f>
        <v>462.00</v>
      </c>
      <c r="HO111" s="3" t="str">
        <f>_xlfn.XLOOKUP(B111,QUERY!$C:$C,QUERY!BP:BP)</f>
        <v>NULL</v>
      </c>
      <c r="HP111" s="3" t="str">
        <f>_xlfn.XLOOKUP(B111,QUERY!$C:$C,QUERY!BQ:BQ)</f>
        <v>NULL</v>
      </c>
      <c r="HQ111" s="3" t="str">
        <f>_xlfn.XLOOKUP(B111,QUERY!$C:$C,QUERY!BR:BR)</f>
        <v>218768.33</v>
      </c>
      <c r="HR111" s="3">
        <f>_xlfn.XLOOKUP(B111,QUERY!$C:$C,QUERY!BS:BS)</f>
        <v>0</v>
      </c>
      <c r="HS111" s="3">
        <f>_xlfn.XLOOKUP(B111,QUERY!$C:$C,QUERY!BT:BT)</f>
        <v>0</v>
      </c>
      <c r="HT111" s="3" t="str">
        <f>_xlfn.XLOOKUP(B111,QUERY!$C:$C,QUERY!A:A)</f>
        <v>VERACRUZ</v>
      </c>
      <c r="HU111" s="3" t="str">
        <f>_xlfn.XLOOKUP(B111,QUERY!$C:$C,QUERY!B:B)</f>
        <v>MARÍTIMO VERACRUZ</v>
      </c>
    </row>
    <row r="112" spans="1:229" x14ac:dyDescent="0.25">
      <c r="A112" s="3" t="s">
        <v>90</v>
      </c>
      <c r="B112" s="3" t="s">
        <v>329</v>
      </c>
      <c r="C112" s="3">
        <v>3942</v>
      </c>
      <c r="D112" s="3">
        <v>6000363</v>
      </c>
      <c r="E112" s="3"/>
      <c r="F112" s="3" t="s">
        <v>92</v>
      </c>
      <c r="G112" s="3" t="s">
        <v>93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430</v>
      </c>
      <c r="S112" s="3" t="s">
        <v>330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338</v>
      </c>
      <c r="AB112" s="3"/>
      <c r="AC112" s="3">
        <v>938597</v>
      </c>
      <c r="AD112" s="3">
        <v>1305.42003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/>
      <c r="AP112" s="3" t="s">
        <v>98</v>
      </c>
      <c r="AQ112" s="3">
        <v>210367105</v>
      </c>
      <c r="AR112" s="3" t="s">
        <v>99</v>
      </c>
      <c r="AS112" s="3" t="s">
        <v>100</v>
      </c>
      <c r="AT112" s="3">
        <v>0</v>
      </c>
      <c r="AU112" s="3">
        <v>0</v>
      </c>
      <c r="AV112" s="3">
        <v>0</v>
      </c>
      <c r="AW112" s="3">
        <v>30024201</v>
      </c>
      <c r="AX112" s="3">
        <v>99</v>
      </c>
      <c r="AY112" s="3">
        <v>719</v>
      </c>
      <c r="AZ112" s="3">
        <v>719</v>
      </c>
      <c r="BA112" s="3" t="s">
        <v>121</v>
      </c>
      <c r="BB112" s="3"/>
      <c r="BC112" s="3" t="s">
        <v>105</v>
      </c>
      <c r="BD112" s="3" t="s">
        <v>105</v>
      </c>
      <c r="BE112" s="3"/>
      <c r="BF112" s="3"/>
      <c r="BG112" s="5"/>
      <c r="BH112" s="3"/>
      <c r="BI112" s="3"/>
      <c r="BJ112" s="3"/>
      <c r="BK112" s="3" t="s">
        <v>337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 t="s">
        <v>192</v>
      </c>
      <c r="CF112" s="3">
        <v>0</v>
      </c>
      <c r="CG112" s="3">
        <v>0</v>
      </c>
      <c r="CH112" s="3">
        <v>0</v>
      </c>
      <c r="CI112" s="3" t="s">
        <v>112</v>
      </c>
      <c r="CJ112" s="3" t="s">
        <v>112</v>
      </c>
      <c r="CK112" s="3">
        <f>_xlfn.XLOOKUP($B$2,'BASE DE EXCEL'!C:C,'BASE DE EXCEL'!D:D,"NO HAY REFERENCIA")</f>
        <v>470</v>
      </c>
      <c r="CL112" s="5">
        <f>_xlfn.XLOOKUP($B$2,'BASE DE EXCEL'!$C:$C,'BASE DE EXCEL'!F:F,"NO HAY REFERENCIA")</f>
        <v>3</v>
      </c>
      <c r="CM112" s="4">
        <f>_xlfn.XLOOKUP($B$2,'BASE DE EXCEL'!$C:$C,'BASE DE EXCEL'!G:G,"NO HAY REFERENCIA")</f>
        <v>46080</v>
      </c>
      <c r="CN112" s="4">
        <f>_xlfn.XLOOKUP($B$2,'BASE DE EXCEL'!$C:$C,'BASE DE EXCEL'!H:H,"NO HAY REFERENCIA")</f>
        <v>46086</v>
      </c>
      <c r="CO112" s="3">
        <f>_xlfn.XLOOKUP($B$2,'BASE DE EXCEL'!$C:$C,'BASE DE EXCEL'!I:I,"NO HAY REFERENCIA")</f>
        <v>4</v>
      </c>
      <c r="CP112" s="3" t="str">
        <f>_xlfn.XLOOKUP($B$2,'BASE DE EXCEL'!$C:$C,'BASE DE EXCEL'!J:J,"NO HAY REFERENCIA")</f>
        <v>4 a 5 días</v>
      </c>
      <c r="CQ112" s="4">
        <f>_xlfn.XLOOKUP($B$2,'BASE DE EXCEL'!$C:$C,'BASE DE EXCEL'!K:K,"NO HAY REFERENCIA")</f>
        <v>46087</v>
      </c>
      <c r="CR112" s="3">
        <f>_xlfn.XLOOKUP($B$2,'BASE DE EXCEL'!$C:$C,'BASE DE EXCEL'!L:L,"NO HAY REFERENCIA")</f>
        <v>5</v>
      </c>
      <c r="CS112" s="3">
        <f>_xlfn.XLOOKUP($B$2,'BASE DE EXCEL'!$C:$C,'BASE DE EXCEL'!M:M,"NO HAY REFERENCIA")</f>
        <v>6</v>
      </c>
      <c r="CT112" s="3" t="str">
        <f>_xlfn.XLOOKUP($B$2,'BASE DE EXCEL'!$C:$C,'BASE DE EXCEL'!N:N,"NO HAY REFERENCIA")</f>
        <v>6 a 10 días</v>
      </c>
      <c r="CU112" s="3" t="str">
        <f>_xlfn.XLOOKUP($B$2,'BASE DE EXCEL'!$C:$C,'BASE DE EXCEL'!O:O,"NO HAY REFERENCIA")</f>
        <v>On Time</v>
      </c>
      <c r="CV112" s="3" t="str">
        <f>_xlfn.XLOOKUP(B112,'BASE DE EXCEL'!$C:$C,'BASE DE EXCEL'!P:P,"NO HAY REFERENCIA")</f>
        <v>6 a 10 días</v>
      </c>
      <c r="CW112" s="4">
        <f>_xlfn.XLOOKUP(B112,'BASE DE EXCEL'!$C:$C,'BASE DE EXCEL'!Q:Q,"NO HAY REFERENCIA")</f>
        <v>46106</v>
      </c>
      <c r="CX112" s="3">
        <f>_xlfn.XLOOKUP(B112,'BASE DE EXCEL'!$C:$C,'BASE DE EXCEL'!R:R,"NO HAY REFERENCIA")</f>
        <v>7</v>
      </c>
      <c r="CY112" s="3" t="str">
        <f>_xlfn.XLOOKUP(B112,'BASE DE EXCEL'!$C:$C,'BASE DE EXCEL'!S:S,"NO HAY REFERENCIA")</f>
        <v>6 a 10 días</v>
      </c>
      <c r="CZ112" s="3" t="str">
        <f>_xlfn.XLOOKUP(B112,'BASE DE EXCEL'!$C:$C,'BASE DE EXCEL'!T:T,"NO HAY REFERENCIA")</f>
        <v>Delayed</v>
      </c>
      <c r="DA112" s="3">
        <f>_xlfn.XLOOKUP(B112,'BASE DE EXCEL'!$C:$C,'BASE DE EXCEL'!U:U,"NO HAY REFERENCIA")</f>
        <v>9</v>
      </c>
      <c r="DB112" s="3" t="str">
        <f>_xlfn.XLOOKUP(B112,'BASE DE EXCEL'!$C:$C,'BASE DE EXCEL'!V:V,"NO HAY REFERENCIA")</f>
        <v>6 a 10 días</v>
      </c>
      <c r="DC112" s="3">
        <f>_xlfn.XLOOKUP(B112,'BASE DE EXCEL'!$C:$C,'BASE DE EXCEL'!W:W,"NO HAY REFERENCIA")</f>
        <v>18</v>
      </c>
      <c r="DD112" s="3" t="str">
        <f>_xlfn.XLOOKUP(B112,'BASE DE EXCEL'!$C:$C,'BASE DE EXCEL'!X:X,"NO HAY REFERENCIA")</f>
        <v>más de 16 días</v>
      </c>
      <c r="DE112" s="3">
        <f>_xlfn.XLOOKUP(B112,'BASE DE EXCEL'!$C:$C,'BASE DE EXCEL'!Y:Y,"NO HAY REFERENCIA")</f>
        <v>0</v>
      </c>
      <c r="DF112" s="3" t="str">
        <f>_xlfn.XLOOKUP(B112,'BASE DE EXCEL'!$C:$C,'BASE DE EXCEL'!Z:Z,"NO HAY REFERENCIA")</f>
        <v>1 día o menos</v>
      </c>
      <c r="DG112" s="3">
        <f>_xlfn.XLOOKUP(B112,'BASE DE EXCEL'!$C:$C,'BASE DE EXCEL'!AA:AA,"NO HAY REFERENCIA")</f>
        <v>8</v>
      </c>
      <c r="DH112" s="3">
        <f>_xlfn.XLOOKUP(B112,'BASE DE EXCEL'!$C:$C,'BASE DE EXCEL'!AB:AB,"NO HAY REFERENCIA")</f>
        <v>1</v>
      </c>
      <c r="DI112" s="3" t="str">
        <f>_xlfn.XLOOKUP(B112,'BASE DE EXCEL'!$C:$C,'BASE DE EXCEL'!AC:AC,"NO HAY REFERENCIA")</f>
        <v>1 día o menos</v>
      </c>
      <c r="DJ112" s="4">
        <f>_xlfn.XLOOKUP(B112,'BASE DE EXCEL'!$C:$C,'BASE DE EXCEL'!AD:AD,"NO HAY REFERENCIA")</f>
        <v>46121</v>
      </c>
      <c r="DK112" s="3">
        <f>_xlfn.XLOOKUP(B112,'BASE DE EXCEL'!$C:$C,'BASE DE EXCEL'!AE:AE,"NO HAY REFERENCIA")</f>
        <v>15</v>
      </c>
      <c r="DL112" s="3">
        <f>_xlfn.XLOOKUP(B112,'BASE DE EXCEL'!$C:$C,'BASE DE EXCEL'!AF:AF,"NO HAY REFERENCIA")</f>
        <v>11</v>
      </c>
      <c r="DM112" s="4">
        <f>_xlfn.XLOOKUP(B112,'BASE DE EXCEL'!$C:$C,'BASE DE EXCEL'!AG:AG,"NO HAY REFERENCIA")</f>
        <v>46121</v>
      </c>
      <c r="DN112" s="4">
        <f>_xlfn.XLOOKUP(B112,'BASE DE EXCEL'!$C:$C,'BASE DE EXCEL'!AH:AH,"NO HAY REFERENCIA")</f>
        <v>46121</v>
      </c>
      <c r="DO112" s="3">
        <f>_xlfn.XLOOKUP(B112,'BASE DE EXCEL'!$C:$C,'BASE DE EXCEL'!AI:AI,"NO HAY REFERENCIA")</f>
        <v>0</v>
      </c>
      <c r="DP112" s="4" t="str">
        <f>_xlfn.XLOOKUP(B112,'BASE DE EXCEL'!$C:$C,'BASE DE EXCEL'!AJ:AJ,"NO HAY REFERENCIA")</f>
        <v>11 a 15 días</v>
      </c>
      <c r="DQ112" s="4">
        <f>_xlfn.XLOOKUP(B112,'BASE DE EXCEL'!$C:$C,'BASE DE EXCEL'!AK:AK,"NO HAY REFERENCIA")</f>
        <v>46121</v>
      </c>
      <c r="DR112" s="3">
        <f>_xlfn.XLOOKUP(B112,'BASE DE EXCEL'!$C:$C,'BASE DE EXCEL'!AL:AL,"NO HAY REFERENCIA")</f>
        <v>10</v>
      </c>
      <c r="DS112" s="3" t="str">
        <f>_xlfn.XLOOKUP(B112,'BASE DE EXCEL'!$C:$C,'BASE DE EXCEL'!AM:AM,"NO HAY REFERENCIA")</f>
        <v>6 a 10 días</v>
      </c>
      <c r="DT112" s="3" t="str">
        <f>_xlfn.XLOOKUP(B112,'BASE DE EXCEL'!$C:$C,'BASE DE EXCEL'!AN:AN,"NO HAY REFERENCIA")</f>
        <v>Delayed</v>
      </c>
      <c r="DU112" s="3">
        <f>_xlfn.XLOOKUP(B112,'BASE DE EXCEL'!$C:$C,'BASE DE EXCEL'!AO:AO,"NO HAY REFERENCIA")</f>
        <v>1</v>
      </c>
      <c r="DV112" s="3" t="str">
        <f>_xlfn.XLOOKUP(B112,'BASE DE EXCEL'!$C:$C,'BASE DE EXCEL'!AP:AP,"NO HAY REFERENCIA")</f>
        <v>Es anterior</v>
      </c>
      <c r="DW112" s="3" t="str">
        <f>_xlfn.XLOOKUP(B112,'BASE DE EXCEL'!$C:$C,'BASE DE EXCEL'!AQ:AQ,"NO HAY REFERENCIA")</f>
        <v>A1</v>
      </c>
      <c r="DX112" s="3" t="str">
        <f>_xlfn.XLOOKUP(B112,'BASE DE EXCEL'!$C:$C,'BASE DE EXCEL'!AR:AR,"NO HAY REFERENCIA")</f>
        <v>ZULEIMA PEREZ RUIZ</v>
      </c>
      <c r="DY112" s="3" t="str">
        <f>_xlfn.XLOOKUP(B112,'BASE DE EXCEL'!$C:$C,'BASE DE EXCEL'!AS:AS,"NO HAY REFERENCIA")</f>
        <v>HLCURTM260238200</v>
      </c>
      <c r="DZ112" s="3" t="str">
        <f>_xlfn.XLOOKUP(B112,'BASE DE EXCEL'!$C:$C,'BASE DE EXCEL'!AT:AT,"NO HAY REFERENCIA")</f>
        <v>NULL</v>
      </c>
      <c r="EA112" s="3">
        <f>_xlfn.XLOOKUP(B112,'BASE DE EXCEL'!$C:$C,'BASE DE EXCEL'!AU:AU,"NO HAY REFERENCIA")</f>
        <v>6000363</v>
      </c>
      <c r="EB112" s="3" t="str">
        <f>_xlfn.XLOOKUP(B112,'BASE DE EXCEL'!$C:$C,'BASE DE EXCEL'!AV:AV,"NO HAY REFERENCIA")</f>
        <v>Importación</v>
      </c>
      <c r="EC112" s="3" t="str">
        <f>_xlfn.XLOOKUP(B112,'BASE DE EXCEL'!$C:$C,'BASE DE EXCEL'!AW:AW,"NO HAY REFERENCIA")</f>
        <v>NOBILIS IB 4-91  (VACUNA DE USO VETERINARIO)</v>
      </c>
      <c r="ED112" s="3" t="str">
        <f>_xlfn.XLOOKUP(B112,'BASE DE EXCEL'!$C:$C,'BASE DE EXCEL'!AX:AX,"NO HAY REFERENCIA")</f>
        <v>SIN CLASIFICACION</v>
      </c>
      <c r="EE112" s="3">
        <f>_xlfn.XLOOKUP(B112,'BASE DE EXCEL'!$C:$C,'BASE DE EXCEL'!AY:AY,"NO HAY REFERENCIA")</f>
        <v>0</v>
      </c>
      <c r="EF112" s="3" t="str">
        <f>_xlfn.XLOOKUP(B112,'BASE DE EXCEL'!$C:$C,'BASE DE EXCEL'!AZ:AZ,"NO HAY REFERENCIA")</f>
        <v>Cargas de Importación</v>
      </c>
      <c r="EG112" s="3" t="str">
        <f>_xlfn.XLOOKUP(B112,'BASE DE EXCEL'!$C:$C,'BASE DE EXCEL'!BA:BA,"NO HAY REFERENCIA")</f>
        <v>INTERVET MEXICO SA DE CV</v>
      </c>
      <c r="EH112" s="3">
        <f>_xlfn.XLOOKUP(B112,'BASE DE EXCEL'!$C:$C,'BASE DE EXCEL'!BB:BB,"NO HAY REFERENCIA")</f>
        <v>0</v>
      </c>
      <c r="EI112" s="3" t="str">
        <f>_xlfn.XLOOKUP(B112,'BASE DE EXCEL'!$C:$C,'BASE DE EXCEL'!BC:BC,"NO HAY REFERENCIA")</f>
        <v>FALTA IMPUESTOS</v>
      </c>
      <c r="EJ112" s="3">
        <f>_xlfn.XLOOKUP(B112,'BASE DE EXCEL'!$C:$C,'BASE DE EXCEL'!BD:BD,"NO HAY REFERENCIA")</f>
        <v>0</v>
      </c>
      <c r="EK112" s="3" t="str">
        <f>_xlfn.XLOOKUP(B112,'BASE DE EXCEL'!$C:$C,'BASE DE EXCEL'!BE:BE,"NO HAY REFERENCIA")</f>
        <v>FALTA IMPUESTOS</v>
      </c>
      <c r="EL112" s="3" t="str">
        <f>_xlfn.XLOOKUP(B112,'BASE DE EXCEL'!$C:$C,'BASE DE EXCEL'!BF:BF,"NO HAY REFERENCIA")</f>
        <v>PRODUCTO TERMINADO</v>
      </c>
      <c r="EM112" s="3" t="str">
        <f>_xlfn.XLOOKUP(B112,'BASE DE EXCEL'!$C:$C,'BASE DE EXCEL'!BG:BG,"NO HAY REFERENCIA")</f>
        <v>Rojo</v>
      </c>
      <c r="EN112" s="3" t="str">
        <f>_xlfn.XLOOKUP(B112,'BASE DE EXCEL'!$C:$C,'BASE DE EXCEL'!BH:BH,"NO HAY REFERENCIA")</f>
        <v xml:space="preserve"> SUPER EXPRESS DE CARGA FEDERAL S.A. DE C.V.</v>
      </c>
      <c r="EO112" s="3">
        <f>_xlfn.XLOOKUP(B112,'BASE DE EXCEL'!$C:$C,'BASE DE EXCEL'!BI:BI,"NO HAY REFERENCIA")</f>
        <v>0</v>
      </c>
      <c r="EP112" s="3" t="str">
        <f>_xlfn.XLOOKUP(B112,'BASE DE EXCEL'!$C:$C,'BASE DE EXCEL'!BJ:BJ,"NO HAY REFERENCIA")</f>
        <v>IME-T004</v>
      </c>
      <c r="EQ112" s="3" t="str">
        <f>_xlfn.XLOOKUP(B112,'BASE DE EXCEL'!$C:$C,'BASE DE EXCEL'!BK:BK,"NO HAY REFERENCIA")</f>
        <v>IME850329RH2</v>
      </c>
      <c r="ER112" s="3">
        <f>_xlfn.XLOOKUP(B112,'BASE DE EXCEL'!$C:$C,'BASE DE EXCEL'!BL:BL,"NO HAY REFERENCIA")</f>
        <v>0</v>
      </c>
      <c r="ES112" s="3">
        <f>_xlfn.XLOOKUP(B112,'BASE DE EXCEL'!$C:$C,'BASE DE EXCEL'!BM:BM,"NO HAY REFERENCIA")</f>
        <v>99</v>
      </c>
      <c r="ET112" s="3" t="str">
        <f>_xlfn.XLOOKUP(B112,'BASE DE EXCEL'!$C:$C,'BASE DE EXCEL'!BN:BN,"NO HAY REFERENCIA")</f>
        <v>LOTE: SA726AA17,LOTE: SA747AA17,LOTE: A313A01,LOTE: B294A01,LOTE: A061A02,LOTE: A333A02,LOTE: A610FB01,LOTE: 1E080A02,LOTE: B290A01</v>
      </c>
      <c r="EU112" s="3">
        <f>_xlfn.XLOOKUP(B112,'BASE DE EXCEL'!$C:$C,'BASE DE EXCEL'!BO:BO,"NO HAY REFERENCIA")</f>
        <v>90</v>
      </c>
      <c r="EV112" s="3" t="str">
        <f>_xlfn.XLOOKUP(B112,'BASE DE EXCEL'!$C:$C,'BASE DE EXCEL'!BP:BP,"NO HAY REFERENCIA")</f>
        <v xml:space="preserve"> 368740.59, 12202490.96, 10460124.66, 9453419.98</v>
      </c>
      <c r="EW112" s="3" t="str">
        <f>_xlfn.XLOOKUP(B112,'BASE DE EXCEL'!$C:$C,'BASE DE EXCEL'!BQ:BQ,"NO HAY REFERENCIA")</f>
        <v>KILO,KILO,KILO,KILO,KILO,KILO,KILO,KILO,KILO</v>
      </c>
      <c r="EX112" s="3">
        <f>_xlfn.XLOOKUP(B112,'BASE DE EXCEL'!$C:$C,'BASE DE EXCEL'!BR:BR,"NO HAY REFERENCIA")</f>
        <v>0</v>
      </c>
      <c r="EY112" s="3" t="str">
        <f>_xlfn.XLOOKUP(B112,'BASE DE EXCEL'!$C:$C,'BASE DE EXCEL'!BS:BS,"NO HAY REFERENCIA")</f>
        <v>PAISES BAJOS (REINO DE LOS) (HOLANDA)</v>
      </c>
      <c r="EZ112" s="3" t="str">
        <f>_xlfn.XLOOKUP(B112,'BASE DE EXCEL'!$C:$C,'BASE DE EXCEL'!BT:BT,"NO HAY REFERENCIA")</f>
        <v>PAISES BAJOS (REINO DE LOS) (HOLANDA)</v>
      </c>
      <c r="FA112" s="3" t="str">
        <f>_xlfn.XLOOKUP(B112,'BASE DE EXCEL'!$C:$C,'BASE DE EXCEL'!BU:BU,"NO HAY REFERENCIA")</f>
        <v>ZYA</v>
      </c>
      <c r="FB112" s="3" t="str">
        <f>_xlfn.XLOOKUP(B112,'BASE DE EXCEL'!$C:$C,'BASE DE EXCEL'!BV:BV,"NO HAY REFERENCIA")</f>
        <v>ZYA</v>
      </c>
      <c r="FC112" s="3">
        <f>_xlfn.XLOOKUP(B112,QUERY!$C:$C,QUERY!D:D)</f>
        <v>430</v>
      </c>
      <c r="FD112" s="4">
        <f>_xlfn.XLOOKUP(B112,QUERY!$C:$C,QUERY!E:E)</f>
        <v>46105</v>
      </c>
      <c r="FE112" s="3">
        <f>_xlfn.XLOOKUP(B112,QUERY!$C:$C,QUERY!F:F)</f>
        <v>3</v>
      </c>
      <c r="FF112" s="4">
        <f>_xlfn.XLOOKUP(B112,QUERY!$C:$C,QUERY!G:G)</f>
        <v>46097</v>
      </c>
      <c r="FG112" s="4">
        <f>_xlfn.XLOOKUP(B112,QUERY!$C:$C,QUERY!H:H)</f>
        <v>46105</v>
      </c>
      <c r="FH112" s="3">
        <f>_xlfn.XLOOKUP(B112,QUERY!$C:$C,QUERY!I:I)</f>
        <v>6</v>
      </c>
      <c r="FI112" s="3" t="str">
        <f>_xlfn.XLOOKUP(B112,QUERY!$C:$C,QUERY!J:J)</f>
        <v>6 a 10 días</v>
      </c>
      <c r="FJ112" s="4">
        <f>_xlfn.XLOOKUP(B112,QUERY!$C:$C,QUERY!K:K)</f>
        <v>46105</v>
      </c>
      <c r="FK112" s="3">
        <f>_xlfn.XLOOKUP(B112,QUERY!$C:$C,QUERY!L:L)</f>
        <v>6</v>
      </c>
      <c r="FL112" s="3" t="str">
        <f>_xlfn.XLOOKUP(B112,QUERY!$C:$C,QUERY!M:M)</f>
        <v>6 a 10 días</v>
      </c>
      <c r="FM112" s="3">
        <f>_xlfn.XLOOKUP(B112,QUERY!$C:$C,QUERY!N:N)</f>
        <v>0</v>
      </c>
      <c r="FN112" s="3" t="str">
        <f>_xlfn.XLOOKUP(B112,QUERY!$C:$C,QUERY!O:O)</f>
        <v>1 día o menos</v>
      </c>
      <c r="FO112" s="3">
        <f>_xlfn.XLOOKUP(B112,QUERY!$C:$C,QUERY!P:P)</f>
        <v>0</v>
      </c>
      <c r="FP112" s="3">
        <f>_xlfn.XLOOKUP(B112,QUERY!$C:$C,QUERY!Q:Q)</f>
        <v>1</v>
      </c>
      <c r="FQ112" s="3" t="str">
        <f>_xlfn.XLOOKUP(B112,QUERY!$C:$C,QUERY!R:R)</f>
        <v>1 día o menos</v>
      </c>
      <c r="FR112" s="4">
        <f>_xlfn.XLOOKUP(B112,QUERY!$C:$C,QUERY!S:S)</f>
        <v>46106</v>
      </c>
      <c r="FS112" s="3">
        <f>_xlfn.XLOOKUP(B112,QUERY!$C:$C,QUERY!T:T)</f>
        <v>7</v>
      </c>
      <c r="FT112" s="3" t="str">
        <f>_xlfn.XLOOKUP(B112,QUERY!$C:$C,QUERY!U:U)</f>
        <v>6 a 10 días</v>
      </c>
      <c r="FU112" s="3">
        <f>_xlfn.XLOOKUP(B112,QUERY!$C:$C,QUERY!V:V)</f>
        <v>18</v>
      </c>
      <c r="FV112" s="3" t="str">
        <f>_xlfn.XLOOKUP(B112,QUERY!$C:$C,QUERY!W:W)</f>
        <v>más de 16 días</v>
      </c>
      <c r="FW112" s="4">
        <f>_xlfn.XLOOKUP(B112,QUERY!$C:$C,QUERY!X:X)</f>
        <v>46121</v>
      </c>
      <c r="FX112" s="3">
        <f>_xlfn.XLOOKUP(B112,QUERY!$C:$C,QUERY!Y:Y)</f>
        <v>11</v>
      </c>
      <c r="FY112" s="3">
        <f>_xlfn.XLOOKUP(B112,QUERY!$C:$C,QUERY!Z:Z)</f>
        <v>11</v>
      </c>
      <c r="FZ112" s="4" t="str">
        <f>_xlfn.XLOOKUP(B112,QUERY!$C:$C,QUERY!AA:AA)</f>
        <v>11 a 15 días</v>
      </c>
      <c r="GA112" s="4">
        <f>_xlfn.XLOOKUP(B112,QUERY!$C:$C,QUERY!AB:AB)</f>
        <v>46121</v>
      </c>
      <c r="GB112" s="4">
        <f>_xlfn.XLOOKUP(B112,QUERY!$C:$C,QUERY!AC:AC)</f>
        <v>46121</v>
      </c>
      <c r="GC112" s="3">
        <f>_xlfn.XLOOKUP(B112,QUERY!$C:$C,QUERY!AD:AD)</f>
        <v>0</v>
      </c>
      <c r="GD112" s="4">
        <f>_xlfn.XLOOKUP(B112,QUERY!$C:$C,QUERY!AE:AE)</f>
        <v>46121</v>
      </c>
      <c r="GE112" s="3">
        <f>_xlfn.XLOOKUP(B112,QUERY!$C:$C,QUERY!AF:AF)</f>
        <v>1</v>
      </c>
      <c r="GF112" s="4" t="str">
        <f>_xlfn.XLOOKUP(B112,QUERY!$C:$C,QUERY!AG:AG)</f>
        <v>Es anterior</v>
      </c>
      <c r="GG112" s="3" t="str">
        <f>_xlfn.XLOOKUP(B112,QUERY!$C:$C,QUERY!AH:AH)</f>
        <v>A1</v>
      </c>
      <c r="GH112" s="3" t="str">
        <f>_xlfn.XLOOKUP(B112,QUERY!$C:$C,QUERY!AI:AI)</f>
        <v>ZULEIMA PEREZ RUIZ</v>
      </c>
      <c r="GI112" s="3" t="str">
        <f>_xlfn.XLOOKUP(B112,QUERY!$C:$C,QUERY!AJ:AJ)</f>
        <v>HLCURTM260238200</v>
      </c>
      <c r="GJ112" s="3" t="str">
        <f>_xlfn.XLOOKUP(B112,QUERY!$C:$C,QUERY!AK:AK)</f>
        <v>NULL</v>
      </c>
      <c r="GK112" s="3">
        <f>_xlfn.XLOOKUP(B112,QUERY!$C:$C,QUERY!AL:AL)</f>
        <v>6000363</v>
      </c>
      <c r="GL112" s="3" t="str">
        <f>_xlfn.XLOOKUP(B112,QUERY!$C:$C,QUERY!AM:AM)</f>
        <v>Importación</v>
      </c>
      <c r="GM112" s="3" t="str">
        <f>_xlfn.XLOOKUP(B112,QUERY!$C:$C,QUERY!AN:AN)</f>
        <v>NOBILIS IB 4-91  (VACUNA DE USO VETERINARIO)</v>
      </c>
      <c r="GN112" s="3" t="str">
        <f>_xlfn.XLOOKUP(B112,QUERY!$C:$C,QUERY!AO:AO)</f>
        <v>SIN CLASIFICACION</v>
      </c>
      <c r="GO112" s="3">
        <f>_xlfn.XLOOKUP(B112,QUERY!$C:$C,QUERY!AP:AP)</f>
        <v>0</v>
      </c>
      <c r="GP112" s="3" t="str">
        <f>_xlfn.XLOOKUP(B112,QUERY!$C:$C,QUERY!AQ:AQ)</f>
        <v>Cargas de Importación</v>
      </c>
      <c r="GQ112" s="3" t="str">
        <f>_xlfn.XLOOKUP(B112,QUERY!$C:$C,QUERY!AR:AR)</f>
        <v>INTERVET MEXICO SA DE CV</v>
      </c>
      <c r="GR112" s="3">
        <f>_xlfn.XLOOKUP(B112,QUERY!$C:$C,QUERY!AS:AS)</f>
        <v>0</v>
      </c>
      <c r="GS112" s="3" t="str">
        <f>_xlfn.XLOOKUP(B112,QUERY!$C:$C,QUERY!AT:AT)</f>
        <v>FALTA IMPUESTOS</v>
      </c>
      <c r="GT112" s="3">
        <f>_xlfn.XLOOKUP(B112,QUERY!$C:$C,QUERY!AU:AU)</f>
        <v>0</v>
      </c>
      <c r="GU112" s="3" t="str">
        <f>_xlfn.XLOOKUP(B112,QUERY!$C:$C,QUERY!AV:AV)</f>
        <v>FALTA IMPUESTOS</v>
      </c>
      <c r="GV112" s="3" t="str">
        <f>_xlfn.XLOOKUP(B112,QUERY!$C:$C,QUERY!AW:AW)</f>
        <v>PRODUCTO TERMINADO</v>
      </c>
      <c r="GW112" s="3" t="str">
        <f>_xlfn.XLOOKUP(B112,QUERY!$C:$C,QUERY!AX:AX)</f>
        <v>Rojo</v>
      </c>
      <c r="GX112" s="3" t="str">
        <f>_xlfn.XLOOKUP(B112,QUERY!$C:$C,QUERY!AY:AY)</f>
        <v xml:space="preserve"> SUPER EXPRESS DE CARGA FEDERAL S.A. DE C.V.</v>
      </c>
      <c r="GY112" s="3">
        <f>_xlfn.XLOOKUP(B112,QUERY!$C:$C,QUERY!AZ:AZ)</f>
        <v>0</v>
      </c>
      <c r="GZ112" s="3" t="str">
        <f>_xlfn.XLOOKUP(B112,QUERY!$C:$C,QUERY!BA:BA)</f>
        <v>IME-T004</v>
      </c>
      <c r="HA112" s="3" t="str">
        <f>_xlfn.XLOOKUP(B112,QUERY!$C:$C,QUERY!BB:BB)</f>
        <v>IME850329RH2</v>
      </c>
      <c r="HB112" s="3">
        <f>_xlfn.XLOOKUP(B112,QUERY!$C:$C,QUERY!BC:BC)</f>
        <v>0</v>
      </c>
      <c r="HC112" s="3">
        <f>_xlfn.XLOOKUP(B112,QUERY!$C:$C,QUERY!BD:BD)</f>
        <v>99</v>
      </c>
      <c r="HD112" s="3" t="str">
        <f>_xlfn.XLOOKUP(B112,QUERY!$C:$C,QUERY!BE:BE)</f>
        <v>LOTE: SA726AA17,LOTE: SA747AA17,LOTE: A313A01,LOTE: B294A01,LOTE: A061A02,LOTE: A333A02,LOTE: A610FB01,LOTE: B290A01,LOTE: 1E080A02</v>
      </c>
      <c r="HE112" s="3">
        <f>_xlfn.XLOOKUP(B112,QUERY!$C:$C,QUERY!BF:BF)</f>
        <v>90</v>
      </c>
      <c r="HF112" s="3" t="str">
        <f>_xlfn.XLOOKUP(B112,QUERY!$C:$C,QUERY!BG:BG)</f>
        <v xml:space="preserve"> 368740.59, 12202490.96, 10460124.66, 9453419.98</v>
      </c>
      <c r="HG112" s="3" t="str">
        <f>_xlfn.XLOOKUP(B112,QUERY!$C:$C,QUERY!BH:BH)</f>
        <v>KILO,KILO,KILO,KILO,KILO,KILO,KILO,KILO,KILO</v>
      </c>
      <c r="HH112" s="3">
        <f>_xlfn.XLOOKUP(B112,QUERY!$C:$C,QUERY!BI:BI)</f>
        <v>0</v>
      </c>
      <c r="HI112" s="3" t="str">
        <f>_xlfn.XLOOKUP(B112,QUERY!$C:$C,QUERY!BJ:BJ)</f>
        <v>PAISES BAJOS (REINO DE LOS) (HOLANDA)</v>
      </c>
      <c r="HJ112" s="3" t="str">
        <f>_xlfn.XLOOKUP(B112,QUERY!$C:$C,QUERY!BK:BK)</f>
        <v>PAISES BAJOS (REINO DE LOS) (HOLANDA)</v>
      </c>
      <c r="HK112" s="3" t="str">
        <f>_xlfn.XLOOKUP(B112,QUERY!$C:$C,QUERY!BL:BL)</f>
        <v>ZYA</v>
      </c>
      <c r="HL112" s="3" t="str">
        <f>_xlfn.XLOOKUP(B112,QUERY!$C:$C,QUERY!BM:BM)</f>
        <v>ZYA</v>
      </c>
      <c r="HM112" s="3">
        <f>_xlfn.XLOOKUP(B112,QUERY!$C:$C,QUERY!BN:BN)</f>
        <v>32484777</v>
      </c>
      <c r="HN112" s="3" t="str">
        <f>_xlfn.XLOOKUP(B112,QUERY!$C:$C,QUERY!BO:BO)</f>
        <v>462.00</v>
      </c>
      <c r="HO112" s="3" t="str">
        <f>_xlfn.XLOOKUP(B112,QUERY!$C:$C,QUERY!BP:BP)</f>
        <v>NULL</v>
      </c>
      <c r="HP112" s="3" t="str">
        <f>_xlfn.XLOOKUP(B112,QUERY!$C:$C,QUERY!BQ:BQ)</f>
        <v>NULL</v>
      </c>
      <c r="HQ112" s="3" t="str">
        <f>_xlfn.XLOOKUP(B112,QUERY!$C:$C,QUERY!BR:BR)</f>
        <v>218768.33</v>
      </c>
      <c r="HR112" s="3">
        <f>_xlfn.XLOOKUP(B112,QUERY!$C:$C,QUERY!BS:BS)</f>
        <v>0</v>
      </c>
      <c r="HS112" s="3">
        <f>_xlfn.XLOOKUP(B112,QUERY!$C:$C,QUERY!BT:BT)</f>
        <v>0</v>
      </c>
      <c r="HT112" s="3" t="str">
        <f>_xlfn.XLOOKUP(B112,QUERY!$C:$C,QUERY!A:A)</f>
        <v>VERACRUZ</v>
      </c>
      <c r="HU112" s="3" t="str">
        <f>_xlfn.XLOOKUP(B112,QUERY!$C:$C,QUERY!B:B)</f>
        <v>MARÍTIMO VERACRUZ</v>
      </c>
    </row>
    <row r="113" spans="1:229" x14ac:dyDescent="0.25">
      <c r="A113" s="3" t="s">
        <v>90</v>
      </c>
      <c r="B113" s="3" t="s">
        <v>329</v>
      </c>
      <c r="C113" s="3">
        <v>3942</v>
      </c>
      <c r="D113" s="3">
        <v>6000363</v>
      </c>
      <c r="E113" s="3"/>
      <c r="F113" s="3" t="s">
        <v>92</v>
      </c>
      <c r="G113" s="3" t="s">
        <v>93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430</v>
      </c>
      <c r="S113" s="3" t="s">
        <v>330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 t="s">
        <v>339</v>
      </c>
      <c r="AB113" s="3"/>
      <c r="AC113" s="3">
        <v>963972</v>
      </c>
      <c r="AD113" s="3">
        <v>1071.08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/>
      <c r="AP113" s="3" t="s">
        <v>98</v>
      </c>
      <c r="AQ113" s="3">
        <v>210367106</v>
      </c>
      <c r="AR113" s="3" t="s">
        <v>99</v>
      </c>
      <c r="AS113" s="3" t="s">
        <v>100</v>
      </c>
      <c r="AT113" s="3">
        <v>0</v>
      </c>
      <c r="AU113" s="3">
        <v>0</v>
      </c>
      <c r="AV113" s="3">
        <v>0</v>
      </c>
      <c r="AW113" s="3">
        <v>30024201</v>
      </c>
      <c r="AX113" s="3">
        <v>99</v>
      </c>
      <c r="AY113" s="3">
        <v>900</v>
      </c>
      <c r="AZ113" s="3">
        <v>900</v>
      </c>
      <c r="BA113" s="3" t="s">
        <v>121</v>
      </c>
      <c r="BB113" s="3"/>
      <c r="BC113" s="3" t="s">
        <v>105</v>
      </c>
      <c r="BD113" s="3" t="s">
        <v>105</v>
      </c>
      <c r="BE113" s="3"/>
      <c r="BF113" s="3"/>
      <c r="BG113" s="5"/>
      <c r="BH113" s="3"/>
      <c r="BI113" s="3"/>
      <c r="BJ113" s="3"/>
      <c r="BK113" s="3" t="s">
        <v>340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 t="s">
        <v>192</v>
      </c>
      <c r="CF113" s="3">
        <v>0</v>
      </c>
      <c r="CG113" s="3">
        <v>0</v>
      </c>
      <c r="CH113" s="3">
        <v>0</v>
      </c>
      <c r="CI113" s="3" t="s">
        <v>112</v>
      </c>
      <c r="CJ113" s="3" t="s">
        <v>112</v>
      </c>
      <c r="CK113" s="3">
        <f>_xlfn.XLOOKUP($B$2,'BASE DE EXCEL'!C:C,'BASE DE EXCEL'!D:D,"NO HAY REFERENCIA")</f>
        <v>470</v>
      </c>
      <c r="CL113" s="5">
        <f>_xlfn.XLOOKUP($B$2,'BASE DE EXCEL'!$C:$C,'BASE DE EXCEL'!F:F,"NO HAY REFERENCIA")</f>
        <v>3</v>
      </c>
      <c r="CM113" s="4">
        <f>_xlfn.XLOOKUP($B$2,'BASE DE EXCEL'!$C:$C,'BASE DE EXCEL'!G:G,"NO HAY REFERENCIA")</f>
        <v>46080</v>
      </c>
      <c r="CN113" s="4">
        <f>_xlfn.XLOOKUP($B$2,'BASE DE EXCEL'!$C:$C,'BASE DE EXCEL'!H:H,"NO HAY REFERENCIA")</f>
        <v>46086</v>
      </c>
      <c r="CO113" s="3">
        <f>_xlfn.XLOOKUP($B$2,'BASE DE EXCEL'!$C:$C,'BASE DE EXCEL'!I:I,"NO HAY REFERENCIA")</f>
        <v>4</v>
      </c>
      <c r="CP113" s="3" t="str">
        <f>_xlfn.XLOOKUP($B$2,'BASE DE EXCEL'!$C:$C,'BASE DE EXCEL'!J:J,"NO HAY REFERENCIA")</f>
        <v>4 a 5 días</v>
      </c>
      <c r="CQ113" s="4">
        <f>_xlfn.XLOOKUP($B$2,'BASE DE EXCEL'!$C:$C,'BASE DE EXCEL'!K:K,"NO HAY REFERENCIA")</f>
        <v>46087</v>
      </c>
      <c r="CR113" s="3">
        <f>_xlfn.XLOOKUP($B$2,'BASE DE EXCEL'!$C:$C,'BASE DE EXCEL'!L:L,"NO HAY REFERENCIA")</f>
        <v>5</v>
      </c>
      <c r="CS113" s="3">
        <f>_xlfn.XLOOKUP($B$2,'BASE DE EXCEL'!$C:$C,'BASE DE EXCEL'!M:M,"NO HAY REFERENCIA")</f>
        <v>6</v>
      </c>
      <c r="CT113" s="3" t="str">
        <f>_xlfn.XLOOKUP($B$2,'BASE DE EXCEL'!$C:$C,'BASE DE EXCEL'!N:N,"NO HAY REFERENCIA")</f>
        <v>6 a 10 días</v>
      </c>
      <c r="CU113" s="3" t="str">
        <f>_xlfn.XLOOKUP($B$2,'BASE DE EXCEL'!$C:$C,'BASE DE EXCEL'!O:O,"NO HAY REFERENCIA")</f>
        <v>On Time</v>
      </c>
      <c r="CV113" s="3" t="str">
        <f>_xlfn.XLOOKUP(B113,'BASE DE EXCEL'!$C:$C,'BASE DE EXCEL'!P:P,"NO HAY REFERENCIA")</f>
        <v>6 a 10 días</v>
      </c>
      <c r="CW113" s="4">
        <f>_xlfn.XLOOKUP(B113,'BASE DE EXCEL'!$C:$C,'BASE DE EXCEL'!Q:Q,"NO HAY REFERENCIA")</f>
        <v>46106</v>
      </c>
      <c r="CX113" s="3">
        <f>_xlfn.XLOOKUP(B113,'BASE DE EXCEL'!$C:$C,'BASE DE EXCEL'!R:R,"NO HAY REFERENCIA")</f>
        <v>7</v>
      </c>
      <c r="CY113" s="3" t="str">
        <f>_xlfn.XLOOKUP(B113,'BASE DE EXCEL'!$C:$C,'BASE DE EXCEL'!S:S,"NO HAY REFERENCIA")</f>
        <v>6 a 10 días</v>
      </c>
      <c r="CZ113" s="3" t="str">
        <f>_xlfn.XLOOKUP(B113,'BASE DE EXCEL'!$C:$C,'BASE DE EXCEL'!T:T,"NO HAY REFERENCIA")</f>
        <v>Delayed</v>
      </c>
      <c r="DA113" s="3">
        <f>_xlfn.XLOOKUP(B113,'BASE DE EXCEL'!$C:$C,'BASE DE EXCEL'!U:U,"NO HAY REFERENCIA")</f>
        <v>9</v>
      </c>
      <c r="DB113" s="3" t="str">
        <f>_xlfn.XLOOKUP(B113,'BASE DE EXCEL'!$C:$C,'BASE DE EXCEL'!V:V,"NO HAY REFERENCIA")</f>
        <v>6 a 10 días</v>
      </c>
      <c r="DC113" s="3">
        <f>_xlfn.XLOOKUP(B113,'BASE DE EXCEL'!$C:$C,'BASE DE EXCEL'!W:W,"NO HAY REFERENCIA")</f>
        <v>18</v>
      </c>
      <c r="DD113" s="3" t="str">
        <f>_xlfn.XLOOKUP(B113,'BASE DE EXCEL'!$C:$C,'BASE DE EXCEL'!X:X,"NO HAY REFERENCIA")</f>
        <v>más de 16 días</v>
      </c>
      <c r="DE113" s="3">
        <f>_xlfn.XLOOKUP(B113,'BASE DE EXCEL'!$C:$C,'BASE DE EXCEL'!Y:Y,"NO HAY REFERENCIA")</f>
        <v>0</v>
      </c>
      <c r="DF113" s="3" t="str">
        <f>_xlfn.XLOOKUP(B113,'BASE DE EXCEL'!$C:$C,'BASE DE EXCEL'!Z:Z,"NO HAY REFERENCIA")</f>
        <v>1 día o menos</v>
      </c>
      <c r="DG113" s="3">
        <f>_xlfn.XLOOKUP(B113,'BASE DE EXCEL'!$C:$C,'BASE DE EXCEL'!AA:AA,"NO HAY REFERENCIA")</f>
        <v>8</v>
      </c>
      <c r="DH113" s="3">
        <f>_xlfn.XLOOKUP(B113,'BASE DE EXCEL'!$C:$C,'BASE DE EXCEL'!AB:AB,"NO HAY REFERENCIA")</f>
        <v>1</v>
      </c>
      <c r="DI113" s="3" t="str">
        <f>_xlfn.XLOOKUP(B113,'BASE DE EXCEL'!$C:$C,'BASE DE EXCEL'!AC:AC,"NO HAY REFERENCIA")</f>
        <v>1 día o menos</v>
      </c>
      <c r="DJ113" s="4">
        <f>_xlfn.XLOOKUP(B113,'BASE DE EXCEL'!$C:$C,'BASE DE EXCEL'!AD:AD,"NO HAY REFERENCIA")</f>
        <v>46121</v>
      </c>
      <c r="DK113" s="3">
        <f>_xlfn.XLOOKUP(B113,'BASE DE EXCEL'!$C:$C,'BASE DE EXCEL'!AE:AE,"NO HAY REFERENCIA")</f>
        <v>15</v>
      </c>
      <c r="DL113" s="3">
        <f>_xlfn.XLOOKUP(B113,'BASE DE EXCEL'!$C:$C,'BASE DE EXCEL'!AF:AF,"NO HAY REFERENCIA")</f>
        <v>11</v>
      </c>
      <c r="DM113" s="4">
        <f>_xlfn.XLOOKUP(B113,'BASE DE EXCEL'!$C:$C,'BASE DE EXCEL'!AG:AG,"NO HAY REFERENCIA")</f>
        <v>46121</v>
      </c>
      <c r="DN113" s="4">
        <f>_xlfn.XLOOKUP(B113,'BASE DE EXCEL'!$C:$C,'BASE DE EXCEL'!AH:AH,"NO HAY REFERENCIA")</f>
        <v>46121</v>
      </c>
      <c r="DO113" s="3">
        <f>_xlfn.XLOOKUP(B113,'BASE DE EXCEL'!$C:$C,'BASE DE EXCEL'!AI:AI,"NO HAY REFERENCIA")</f>
        <v>0</v>
      </c>
      <c r="DP113" s="4" t="str">
        <f>_xlfn.XLOOKUP(B113,'BASE DE EXCEL'!$C:$C,'BASE DE EXCEL'!AJ:AJ,"NO HAY REFERENCIA")</f>
        <v>11 a 15 días</v>
      </c>
      <c r="DQ113" s="4">
        <f>_xlfn.XLOOKUP(B113,'BASE DE EXCEL'!$C:$C,'BASE DE EXCEL'!AK:AK,"NO HAY REFERENCIA")</f>
        <v>46121</v>
      </c>
      <c r="DR113" s="3">
        <f>_xlfn.XLOOKUP(B113,'BASE DE EXCEL'!$C:$C,'BASE DE EXCEL'!AL:AL,"NO HAY REFERENCIA")</f>
        <v>10</v>
      </c>
      <c r="DS113" s="3" t="str">
        <f>_xlfn.XLOOKUP(B113,'BASE DE EXCEL'!$C:$C,'BASE DE EXCEL'!AM:AM,"NO HAY REFERENCIA")</f>
        <v>6 a 10 días</v>
      </c>
      <c r="DT113" s="3" t="str">
        <f>_xlfn.XLOOKUP(B113,'BASE DE EXCEL'!$C:$C,'BASE DE EXCEL'!AN:AN,"NO HAY REFERENCIA")</f>
        <v>Delayed</v>
      </c>
      <c r="DU113" s="3">
        <f>_xlfn.XLOOKUP(B113,'BASE DE EXCEL'!$C:$C,'BASE DE EXCEL'!AO:AO,"NO HAY REFERENCIA")</f>
        <v>1</v>
      </c>
      <c r="DV113" s="3" t="str">
        <f>_xlfn.XLOOKUP(B113,'BASE DE EXCEL'!$C:$C,'BASE DE EXCEL'!AP:AP,"NO HAY REFERENCIA")</f>
        <v>Es anterior</v>
      </c>
      <c r="DW113" s="3" t="str">
        <f>_xlfn.XLOOKUP(B113,'BASE DE EXCEL'!$C:$C,'BASE DE EXCEL'!AQ:AQ,"NO HAY REFERENCIA")</f>
        <v>A1</v>
      </c>
      <c r="DX113" s="3" t="str">
        <f>_xlfn.XLOOKUP(B113,'BASE DE EXCEL'!$C:$C,'BASE DE EXCEL'!AR:AR,"NO HAY REFERENCIA")</f>
        <v>ZULEIMA PEREZ RUIZ</v>
      </c>
      <c r="DY113" s="3" t="str">
        <f>_xlfn.XLOOKUP(B113,'BASE DE EXCEL'!$C:$C,'BASE DE EXCEL'!AS:AS,"NO HAY REFERENCIA")</f>
        <v>HLCURTM260238200</v>
      </c>
      <c r="DZ113" s="3" t="str">
        <f>_xlfn.XLOOKUP(B113,'BASE DE EXCEL'!$C:$C,'BASE DE EXCEL'!AT:AT,"NO HAY REFERENCIA")</f>
        <v>NULL</v>
      </c>
      <c r="EA113" s="3">
        <f>_xlfn.XLOOKUP(B113,'BASE DE EXCEL'!$C:$C,'BASE DE EXCEL'!AU:AU,"NO HAY REFERENCIA")</f>
        <v>6000363</v>
      </c>
      <c r="EB113" s="3" t="str">
        <f>_xlfn.XLOOKUP(B113,'BASE DE EXCEL'!$C:$C,'BASE DE EXCEL'!AV:AV,"NO HAY REFERENCIA")</f>
        <v>Importación</v>
      </c>
      <c r="EC113" s="3" t="str">
        <f>_xlfn.XLOOKUP(B113,'BASE DE EXCEL'!$C:$C,'BASE DE EXCEL'!AW:AW,"NO HAY REFERENCIA")</f>
        <v>NOBILIS IB 4-91  (VACUNA DE USO VETERINARIO)</v>
      </c>
      <c r="ED113" s="3" t="str">
        <f>_xlfn.XLOOKUP(B113,'BASE DE EXCEL'!$C:$C,'BASE DE EXCEL'!AX:AX,"NO HAY REFERENCIA")</f>
        <v>SIN CLASIFICACION</v>
      </c>
      <c r="EE113" s="3">
        <f>_xlfn.XLOOKUP(B113,'BASE DE EXCEL'!$C:$C,'BASE DE EXCEL'!AY:AY,"NO HAY REFERENCIA")</f>
        <v>0</v>
      </c>
      <c r="EF113" s="3" t="str">
        <f>_xlfn.XLOOKUP(B113,'BASE DE EXCEL'!$C:$C,'BASE DE EXCEL'!AZ:AZ,"NO HAY REFERENCIA")</f>
        <v>Cargas de Importación</v>
      </c>
      <c r="EG113" s="3" t="str">
        <f>_xlfn.XLOOKUP(B113,'BASE DE EXCEL'!$C:$C,'BASE DE EXCEL'!BA:BA,"NO HAY REFERENCIA")</f>
        <v>INTERVET MEXICO SA DE CV</v>
      </c>
      <c r="EH113" s="3">
        <f>_xlfn.XLOOKUP(B113,'BASE DE EXCEL'!$C:$C,'BASE DE EXCEL'!BB:BB,"NO HAY REFERENCIA")</f>
        <v>0</v>
      </c>
      <c r="EI113" s="3" t="str">
        <f>_xlfn.XLOOKUP(B113,'BASE DE EXCEL'!$C:$C,'BASE DE EXCEL'!BC:BC,"NO HAY REFERENCIA")</f>
        <v>FALTA IMPUESTOS</v>
      </c>
      <c r="EJ113" s="3">
        <f>_xlfn.XLOOKUP(B113,'BASE DE EXCEL'!$C:$C,'BASE DE EXCEL'!BD:BD,"NO HAY REFERENCIA")</f>
        <v>0</v>
      </c>
      <c r="EK113" s="3" t="str">
        <f>_xlfn.XLOOKUP(B113,'BASE DE EXCEL'!$C:$C,'BASE DE EXCEL'!BE:BE,"NO HAY REFERENCIA")</f>
        <v>FALTA IMPUESTOS</v>
      </c>
      <c r="EL113" s="3" t="str">
        <f>_xlfn.XLOOKUP(B113,'BASE DE EXCEL'!$C:$C,'BASE DE EXCEL'!BF:BF,"NO HAY REFERENCIA")</f>
        <v>PRODUCTO TERMINADO</v>
      </c>
      <c r="EM113" s="3" t="str">
        <f>_xlfn.XLOOKUP(B113,'BASE DE EXCEL'!$C:$C,'BASE DE EXCEL'!BG:BG,"NO HAY REFERENCIA")</f>
        <v>Rojo</v>
      </c>
      <c r="EN113" s="3" t="str">
        <f>_xlfn.XLOOKUP(B113,'BASE DE EXCEL'!$C:$C,'BASE DE EXCEL'!BH:BH,"NO HAY REFERENCIA")</f>
        <v xml:space="preserve"> SUPER EXPRESS DE CARGA FEDERAL S.A. DE C.V.</v>
      </c>
      <c r="EO113" s="3">
        <f>_xlfn.XLOOKUP(B113,'BASE DE EXCEL'!$C:$C,'BASE DE EXCEL'!BI:BI,"NO HAY REFERENCIA")</f>
        <v>0</v>
      </c>
      <c r="EP113" s="3" t="str">
        <f>_xlfn.XLOOKUP(B113,'BASE DE EXCEL'!$C:$C,'BASE DE EXCEL'!BJ:BJ,"NO HAY REFERENCIA")</f>
        <v>IME-T004</v>
      </c>
      <c r="EQ113" s="3" t="str">
        <f>_xlfn.XLOOKUP(B113,'BASE DE EXCEL'!$C:$C,'BASE DE EXCEL'!BK:BK,"NO HAY REFERENCIA")</f>
        <v>IME850329RH2</v>
      </c>
      <c r="ER113" s="3">
        <f>_xlfn.XLOOKUP(B113,'BASE DE EXCEL'!$C:$C,'BASE DE EXCEL'!BL:BL,"NO HAY REFERENCIA")</f>
        <v>0</v>
      </c>
      <c r="ES113" s="3">
        <f>_xlfn.XLOOKUP(B113,'BASE DE EXCEL'!$C:$C,'BASE DE EXCEL'!BM:BM,"NO HAY REFERENCIA")</f>
        <v>99</v>
      </c>
      <c r="ET113" s="3" t="str">
        <f>_xlfn.XLOOKUP(B113,'BASE DE EXCEL'!$C:$C,'BASE DE EXCEL'!BN:BN,"NO HAY REFERENCIA")</f>
        <v>LOTE: SA726AA17,LOTE: SA747AA17,LOTE: A313A01,LOTE: B294A01,LOTE: A061A02,LOTE: A333A02,LOTE: A610FB01,LOTE: 1E080A02,LOTE: B290A01</v>
      </c>
      <c r="EU113" s="3">
        <f>_xlfn.XLOOKUP(B113,'BASE DE EXCEL'!$C:$C,'BASE DE EXCEL'!BO:BO,"NO HAY REFERENCIA")</f>
        <v>90</v>
      </c>
      <c r="EV113" s="3" t="str">
        <f>_xlfn.XLOOKUP(B113,'BASE DE EXCEL'!$C:$C,'BASE DE EXCEL'!BP:BP,"NO HAY REFERENCIA")</f>
        <v xml:space="preserve"> 368740.59, 12202490.96, 10460124.66, 9453419.98</v>
      </c>
      <c r="EW113" s="3" t="str">
        <f>_xlfn.XLOOKUP(B113,'BASE DE EXCEL'!$C:$C,'BASE DE EXCEL'!BQ:BQ,"NO HAY REFERENCIA")</f>
        <v>KILO,KILO,KILO,KILO,KILO,KILO,KILO,KILO,KILO</v>
      </c>
      <c r="EX113" s="3">
        <f>_xlfn.XLOOKUP(B113,'BASE DE EXCEL'!$C:$C,'BASE DE EXCEL'!BR:BR,"NO HAY REFERENCIA")</f>
        <v>0</v>
      </c>
      <c r="EY113" s="3" t="str">
        <f>_xlfn.XLOOKUP(B113,'BASE DE EXCEL'!$C:$C,'BASE DE EXCEL'!BS:BS,"NO HAY REFERENCIA")</f>
        <v>PAISES BAJOS (REINO DE LOS) (HOLANDA)</v>
      </c>
      <c r="EZ113" s="3" t="str">
        <f>_xlfn.XLOOKUP(B113,'BASE DE EXCEL'!$C:$C,'BASE DE EXCEL'!BT:BT,"NO HAY REFERENCIA")</f>
        <v>PAISES BAJOS (REINO DE LOS) (HOLANDA)</v>
      </c>
      <c r="FA113" s="3" t="str">
        <f>_xlfn.XLOOKUP(B113,'BASE DE EXCEL'!$C:$C,'BASE DE EXCEL'!BU:BU,"NO HAY REFERENCIA")</f>
        <v>ZYA</v>
      </c>
      <c r="FB113" s="3" t="str">
        <f>_xlfn.XLOOKUP(B113,'BASE DE EXCEL'!$C:$C,'BASE DE EXCEL'!BV:BV,"NO HAY REFERENCIA")</f>
        <v>ZYA</v>
      </c>
      <c r="FC113" s="3">
        <f>_xlfn.XLOOKUP(B113,QUERY!$C:$C,QUERY!D:D)</f>
        <v>430</v>
      </c>
      <c r="FD113" s="4">
        <f>_xlfn.XLOOKUP(B113,QUERY!$C:$C,QUERY!E:E)</f>
        <v>46105</v>
      </c>
      <c r="FE113" s="3">
        <f>_xlfn.XLOOKUP(B113,QUERY!$C:$C,QUERY!F:F)</f>
        <v>3</v>
      </c>
      <c r="FF113" s="4">
        <f>_xlfn.XLOOKUP(B113,QUERY!$C:$C,QUERY!G:G)</f>
        <v>46097</v>
      </c>
      <c r="FG113" s="4">
        <f>_xlfn.XLOOKUP(B113,QUERY!$C:$C,QUERY!H:H)</f>
        <v>46105</v>
      </c>
      <c r="FH113" s="3">
        <f>_xlfn.XLOOKUP(B113,QUERY!$C:$C,QUERY!I:I)</f>
        <v>6</v>
      </c>
      <c r="FI113" s="3" t="str">
        <f>_xlfn.XLOOKUP(B113,QUERY!$C:$C,QUERY!J:J)</f>
        <v>6 a 10 días</v>
      </c>
      <c r="FJ113" s="4">
        <f>_xlfn.XLOOKUP(B113,QUERY!$C:$C,QUERY!K:K)</f>
        <v>46105</v>
      </c>
      <c r="FK113" s="3">
        <f>_xlfn.XLOOKUP(B113,QUERY!$C:$C,QUERY!L:L)</f>
        <v>6</v>
      </c>
      <c r="FL113" s="3" t="str">
        <f>_xlfn.XLOOKUP(B113,QUERY!$C:$C,QUERY!M:M)</f>
        <v>6 a 10 días</v>
      </c>
      <c r="FM113" s="3">
        <f>_xlfn.XLOOKUP(B113,QUERY!$C:$C,QUERY!N:N)</f>
        <v>0</v>
      </c>
      <c r="FN113" s="3" t="str">
        <f>_xlfn.XLOOKUP(B113,QUERY!$C:$C,QUERY!O:O)</f>
        <v>1 día o menos</v>
      </c>
      <c r="FO113" s="3">
        <f>_xlfn.XLOOKUP(B113,QUERY!$C:$C,QUERY!P:P)</f>
        <v>0</v>
      </c>
      <c r="FP113" s="3">
        <f>_xlfn.XLOOKUP(B113,QUERY!$C:$C,QUERY!Q:Q)</f>
        <v>1</v>
      </c>
      <c r="FQ113" s="3" t="str">
        <f>_xlfn.XLOOKUP(B113,QUERY!$C:$C,QUERY!R:R)</f>
        <v>1 día o menos</v>
      </c>
      <c r="FR113" s="4">
        <f>_xlfn.XLOOKUP(B113,QUERY!$C:$C,QUERY!S:S)</f>
        <v>46106</v>
      </c>
      <c r="FS113" s="3">
        <f>_xlfn.XLOOKUP(B113,QUERY!$C:$C,QUERY!T:T)</f>
        <v>7</v>
      </c>
      <c r="FT113" s="3" t="str">
        <f>_xlfn.XLOOKUP(B113,QUERY!$C:$C,QUERY!U:U)</f>
        <v>6 a 10 días</v>
      </c>
      <c r="FU113" s="3">
        <f>_xlfn.XLOOKUP(B113,QUERY!$C:$C,QUERY!V:V)</f>
        <v>18</v>
      </c>
      <c r="FV113" s="3" t="str">
        <f>_xlfn.XLOOKUP(B113,QUERY!$C:$C,QUERY!W:W)</f>
        <v>más de 16 días</v>
      </c>
      <c r="FW113" s="4">
        <f>_xlfn.XLOOKUP(B113,QUERY!$C:$C,QUERY!X:X)</f>
        <v>46121</v>
      </c>
      <c r="FX113" s="3">
        <f>_xlfn.XLOOKUP(B113,QUERY!$C:$C,QUERY!Y:Y)</f>
        <v>11</v>
      </c>
      <c r="FY113" s="3">
        <f>_xlfn.XLOOKUP(B113,QUERY!$C:$C,QUERY!Z:Z)</f>
        <v>11</v>
      </c>
      <c r="FZ113" s="4" t="str">
        <f>_xlfn.XLOOKUP(B113,QUERY!$C:$C,QUERY!AA:AA)</f>
        <v>11 a 15 días</v>
      </c>
      <c r="GA113" s="4">
        <f>_xlfn.XLOOKUP(B113,QUERY!$C:$C,QUERY!AB:AB)</f>
        <v>46121</v>
      </c>
      <c r="GB113" s="4">
        <f>_xlfn.XLOOKUP(B113,QUERY!$C:$C,QUERY!AC:AC)</f>
        <v>46121</v>
      </c>
      <c r="GC113" s="3">
        <f>_xlfn.XLOOKUP(B113,QUERY!$C:$C,QUERY!AD:AD)</f>
        <v>0</v>
      </c>
      <c r="GD113" s="4">
        <f>_xlfn.XLOOKUP(B113,QUERY!$C:$C,QUERY!AE:AE)</f>
        <v>46121</v>
      </c>
      <c r="GE113" s="3">
        <f>_xlfn.XLOOKUP(B113,QUERY!$C:$C,QUERY!AF:AF)</f>
        <v>1</v>
      </c>
      <c r="GF113" s="4" t="str">
        <f>_xlfn.XLOOKUP(B113,QUERY!$C:$C,QUERY!AG:AG)</f>
        <v>Es anterior</v>
      </c>
      <c r="GG113" s="3" t="str">
        <f>_xlfn.XLOOKUP(B113,QUERY!$C:$C,QUERY!AH:AH)</f>
        <v>A1</v>
      </c>
      <c r="GH113" s="3" t="str">
        <f>_xlfn.XLOOKUP(B113,QUERY!$C:$C,QUERY!AI:AI)</f>
        <v>ZULEIMA PEREZ RUIZ</v>
      </c>
      <c r="GI113" s="3" t="str">
        <f>_xlfn.XLOOKUP(B113,QUERY!$C:$C,QUERY!AJ:AJ)</f>
        <v>HLCURTM260238200</v>
      </c>
      <c r="GJ113" s="3" t="str">
        <f>_xlfn.XLOOKUP(B113,QUERY!$C:$C,QUERY!AK:AK)</f>
        <v>NULL</v>
      </c>
      <c r="GK113" s="3">
        <f>_xlfn.XLOOKUP(B113,QUERY!$C:$C,QUERY!AL:AL)</f>
        <v>6000363</v>
      </c>
      <c r="GL113" s="3" t="str">
        <f>_xlfn.XLOOKUP(B113,QUERY!$C:$C,QUERY!AM:AM)</f>
        <v>Importación</v>
      </c>
      <c r="GM113" s="3" t="str">
        <f>_xlfn.XLOOKUP(B113,QUERY!$C:$C,QUERY!AN:AN)</f>
        <v>NOBILIS IB 4-91  (VACUNA DE USO VETERINARIO)</v>
      </c>
      <c r="GN113" s="3" t="str">
        <f>_xlfn.XLOOKUP(B113,QUERY!$C:$C,QUERY!AO:AO)</f>
        <v>SIN CLASIFICACION</v>
      </c>
      <c r="GO113" s="3">
        <f>_xlfn.XLOOKUP(B113,QUERY!$C:$C,QUERY!AP:AP)</f>
        <v>0</v>
      </c>
      <c r="GP113" s="3" t="str">
        <f>_xlfn.XLOOKUP(B113,QUERY!$C:$C,QUERY!AQ:AQ)</f>
        <v>Cargas de Importación</v>
      </c>
      <c r="GQ113" s="3" t="str">
        <f>_xlfn.XLOOKUP(B113,QUERY!$C:$C,QUERY!AR:AR)</f>
        <v>INTERVET MEXICO SA DE CV</v>
      </c>
      <c r="GR113" s="3">
        <f>_xlfn.XLOOKUP(B113,QUERY!$C:$C,QUERY!AS:AS)</f>
        <v>0</v>
      </c>
      <c r="GS113" s="3" t="str">
        <f>_xlfn.XLOOKUP(B113,QUERY!$C:$C,QUERY!AT:AT)</f>
        <v>FALTA IMPUESTOS</v>
      </c>
      <c r="GT113" s="3">
        <f>_xlfn.XLOOKUP(B113,QUERY!$C:$C,QUERY!AU:AU)</f>
        <v>0</v>
      </c>
      <c r="GU113" s="3" t="str">
        <f>_xlfn.XLOOKUP(B113,QUERY!$C:$C,QUERY!AV:AV)</f>
        <v>FALTA IMPUESTOS</v>
      </c>
      <c r="GV113" s="3" t="str">
        <f>_xlfn.XLOOKUP(B113,QUERY!$C:$C,QUERY!AW:AW)</f>
        <v>PRODUCTO TERMINADO</v>
      </c>
      <c r="GW113" s="3" t="str">
        <f>_xlfn.XLOOKUP(B113,QUERY!$C:$C,QUERY!AX:AX)</f>
        <v>Rojo</v>
      </c>
      <c r="GX113" s="3" t="str">
        <f>_xlfn.XLOOKUP(B113,QUERY!$C:$C,QUERY!AY:AY)</f>
        <v xml:space="preserve"> SUPER EXPRESS DE CARGA FEDERAL S.A. DE C.V.</v>
      </c>
      <c r="GY113" s="3">
        <f>_xlfn.XLOOKUP(B113,QUERY!$C:$C,QUERY!AZ:AZ)</f>
        <v>0</v>
      </c>
      <c r="GZ113" s="3" t="str">
        <f>_xlfn.XLOOKUP(B113,QUERY!$C:$C,QUERY!BA:BA)</f>
        <v>IME-T004</v>
      </c>
      <c r="HA113" s="3" t="str">
        <f>_xlfn.XLOOKUP(B113,QUERY!$C:$C,QUERY!BB:BB)</f>
        <v>IME850329RH2</v>
      </c>
      <c r="HB113" s="3">
        <f>_xlfn.XLOOKUP(B113,QUERY!$C:$C,QUERY!BC:BC)</f>
        <v>0</v>
      </c>
      <c r="HC113" s="3">
        <f>_xlfn.XLOOKUP(B113,QUERY!$C:$C,QUERY!BD:BD)</f>
        <v>99</v>
      </c>
      <c r="HD113" s="3" t="str">
        <f>_xlfn.XLOOKUP(B113,QUERY!$C:$C,QUERY!BE:BE)</f>
        <v>LOTE: SA726AA17,LOTE: SA747AA17,LOTE: A313A01,LOTE: B294A01,LOTE: A061A02,LOTE: A333A02,LOTE: A610FB01,LOTE: B290A01,LOTE: 1E080A02</v>
      </c>
      <c r="HE113" s="3">
        <f>_xlfn.XLOOKUP(B113,QUERY!$C:$C,QUERY!BF:BF)</f>
        <v>90</v>
      </c>
      <c r="HF113" s="3" t="str">
        <f>_xlfn.XLOOKUP(B113,QUERY!$C:$C,QUERY!BG:BG)</f>
        <v xml:space="preserve"> 368740.59, 12202490.96, 10460124.66, 9453419.98</v>
      </c>
      <c r="HG113" s="3" t="str">
        <f>_xlfn.XLOOKUP(B113,QUERY!$C:$C,QUERY!BH:BH)</f>
        <v>KILO,KILO,KILO,KILO,KILO,KILO,KILO,KILO,KILO</v>
      </c>
      <c r="HH113" s="3">
        <f>_xlfn.XLOOKUP(B113,QUERY!$C:$C,QUERY!BI:BI)</f>
        <v>0</v>
      </c>
      <c r="HI113" s="3" t="str">
        <f>_xlfn.XLOOKUP(B113,QUERY!$C:$C,QUERY!BJ:BJ)</f>
        <v>PAISES BAJOS (REINO DE LOS) (HOLANDA)</v>
      </c>
      <c r="HJ113" s="3" t="str">
        <f>_xlfn.XLOOKUP(B113,QUERY!$C:$C,QUERY!BK:BK)</f>
        <v>PAISES BAJOS (REINO DE LOS) (HOLANDA)</v>
      </c>
      <c r="HK113" s="3" t="str">
        <f>_xlfn.XLOOKUP(B113,QUERY!$C:$C,QUERY!BL:BL)</f>
        <v>ZYA</v>
      </c>
      <c r="HL113" s="3" t="str">
        <f>_xlfn.XLOOKUP(B113,QUERY!$C:$C,QUERY!BM:BM)</f>
        <v>ZYA</v>
      </c>
      <c r="HM113" s="3">
        <f>_xlfn.XLOOKUP(B113,QUERY!$C:$C,QUERY!BN:BN)</f>
        <v>32484777</v>
      </c>
      <c r="HN113" s="3" t="str">
        <f>_xlfn.XLOOKUP(B113,QUERY!$C:$C,QUERY!BO:BO)</f>
        <v>462.00</v>
      </c>
      <c r="HO113" s="3" t="str">
        <f>_xlfn.XLOOKUP(B113,QUERY!$C:$C,QUERY!BP:BP)</f>
        <v>NULL</v>
      </c>
      <c r="HP113" s="3" t="str">
        <f>_xlfn.XLOOKUP(B113,QUERY!$C:$C,QUERY!BQ:BQ)</f>
        <v>NULL</v>
      </c>
      <c r="HQ113" s="3" t="str">
        <f>_xlfn.XLOOKUP(B113,QUERY!$C:$C,QUERY!BR:BR)</f>
        <v>218768.33</v>
      </c>
      <c r="HR113" s="3">
        <f>_xlfn.XLOOKUP(B113,QUERY!$C:$C,QUERY!BS:BS)</f>
        <v>0</v>
      </c>
      <c r="HS113" s="3">
        <f>_xlfn.XLOOKUP(B113,QUERY!$C:$C,QUERY!BT:BT)</f>
        <v>0</v>
      </c>
      <c r="HT113" s="3" t="str">
        <f>_xlfn.XLOOKUP(B113,QUERY!$C:$C,QUERY!A:A)</f>
        <v>VERACRUZ</v>
      </c>
      <c r="HU113" s="3" t="str">
        <f>_xlfn.XLOOKUP(B113,QUERY!$C:$C,QUERY!B:B)</f>
        <v>MARÍTIMO VERACRUZ</v>
      </c>
    </row>
    <row r="114" spans="1:229" x14ac:dyDescent="0.25">
      <c r="A114" s="3" t="s">
        <v>90</v>
      </c>
      <c r="B114" s="3" t="s">
        <v>329</v>
      </c>
      <c r="C114" s="3">
        <v>3942</v>
      </c>
      <c r="D114" s="3">
        <v>6000363</v>
      </c>
      <c r="E114" s="3"/>
      <c r="F114" s="3" t="s">
        <v>92</v>
      </c>
      <c r="G114" s="3" t="s">
        <v>93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430</v>
      </c>
      <c r="S114" s="3" t="s">
        <v>330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 t="s">
        <v>161</v>
      </c>
      <c r="AB114" s="3"/>
      <c r="AC114" s="3">
        <v>4459920</v>
      </c>
      <c r="AD114" s="3">
        <v>371.96996999999999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/>
      <c r="AP114" s="3" t="s">
        <v>98</v>
      </c>
      <c r="AQ114" s="3">
        <v>210367106</v>
      </c>
      <c r="AR114" s="3" t="s">
        <v>99</v>
      </c>
      <c r="AS114" s="3" t="s">
        <v>100</v>
      </c>
      <c r="AT114" s="3">
        <v>0</v>
      </c>
      <c r="AU114" s="3">
        <v>0</v>
      </c>
      <c r="AV114" s="3">
        <v>0</v>
      </c>
      <c r="AW114" s="3">
        <v>30024201</v>
      </c>
      <c r="AX114" s="3">
        <v>99</v>
      </c>
      <c r="AY114" s="3">
        <v>11990</v>
      </c>
      <c r="AZ114" s="3">
        <v>11990</v>
      </c>
      <c r="BA114" s="3" t="s">
        <v>103</v>
      </c>
      <c r="BB114" s="3"/>
      <c r="BC114" s="3" t="s">
        <v>105</v>
      </c>
      <c r="BD114" s="3" t="s">
        <v>105</v>
      </c>
      <c r="BE114" s="3"/>
      <c r="BF114" s="3"/>
      <c r="BG114" s="5"/>
      <c r="BH114" s="3"/>
      <c r="BI114" s="3"/>
      <c r="BJ114" s="3"/>
      <c r="BK114" s="3" t="s">
        <v>340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 t="s">
        <v>192</v>
      </c>
      <c r="CF114" s="3">
        <v>0</v>
      </c>
      <c r="CG114" s="3">
        <v>0</v>
      </c>
      <c r="CH114" s="3">
        <v>0</v>
      </c>
      <c r="CI114" s="3" t="s">
        <v>112</v>
      </c>
      <c r="CJ114" s="3" t="s">
        <v>112</v>
      </c>
      <c r="CK114" s="3">
        <f>_xlfn.XLOOKUP($B$2,'BASE DE EXCEL'!C:C,'BASE DE EXCEL'!D:D,"NO HAY REFERENCIA")</f>
        <v>470</v>
      </c>
      <c r="CL114" s="5">
        <f>_xlfn.XLOOKUP($B$2,'BASE DE EXCEL'!$C:$C,'BASE DE EXCEL'!F:F,"NO HAY REFERENCIA")</f>
        <v>3</v>
      </c>
      <c r="CM114" s="4">
        <f>_xlfn.XLOOKUP($B$2,'BASE DE EXCEL'!$C:$C,'BASE DE EXCEL'!G:G,"NO HAY REFERENCIA")</f>
        <v>46080</v>
      </c>
      <c r="CN114" s="4">
        <f>_xlfn.XLOOKUP($B$2,'BASE DE EXCEL'!$C:$C,'BASE DE EXCEL'!H:H,"NO HAY REFERENCIA")</f>
        <v>46086</v>
      </c>
      <c r="CO114" s="3">
        <f>_xlfn.XLOOKUP($B$2,'BASE DE EXCEL'!$C:$C,'BASE DE EXCEL'!I:I,"NO HAY REFERENCIA")</f>
        <v>4</v>
      </c>
      <c r="CP114" s="3" t="str">
        <f>_xlfn.XLOOKUP($B$2,'BASE DE EXCEL'!$C:$C,'BASE DE EXCEL'!J:J,"NO HAY REFERENCIA")</f>
        <v>4 a 5 días</v>
      </c>
      <c r="CQ114" s="4">
        <f>_xlfn.XLOOKUP($B$2,'BASE DE EXCEL'!$C:$C,'BASE DE EXCEL'!K:K,"NO HAY REFERENCIA")</f>
        <v>46087</v>
      </c>
      <c r="CR114" s="3">
        <f>_xlfn.XLOOKUP($B$2,'BASE DE EXCEL'!$C:$C,'BASE DE EXCEL'!L:L,"NO HAY REFERENCIA")</f>
        <v>5</v>
      </c>
      <c r="CS114" s="3">
        <f>_xlfn.XLOOKUP($B$2,'BASE DE EXCEL'!$C:$C,'BASE DE EXCEL'!M:M,"NO HAY REFERENCIA")</f>
        <v>6</v>
      </c>
      <c r="CT114" s="3" t="str">
        <f>_xlfn.XLOOKUP($B$2,'BASE DE EXCEL'!$C:$C,'BASE DE EXCEL'!N:N,"NO HAY REFERENCIA")</f>
        <v>6 a 10 días</v>
      </c>
      <c r="CU114" s="3" t="str">
        <f>_xlfn.XLOOKUP($B$2,'BASE DE EXCEL'!$C:$C,'BASE DE EXCEL'!O:O,"NO HAY REFERENCIA")</f>
        <v>On Time</v>
      </c>
      <c r="CV114" s="3" t="str">
        <f>_xlfn.XLOOKUP(B114,'BASE DE EXCEL'!$C:$C,'BASE DE EXCEL'!P:P,"NO HAY REFERENCIA")</f>
        <v>6 a 10 días</v>
      </c>
      <c r="CW114" s="4">
        <f>_xlfn.XLOOKUP(B114,'BASE DE EXCEL'!$C:$C,'BASE DE EXCEL'!Q:Q,"NO HAY REFERENCIA")</f>
        <v>46106</v>
      </c>
      <c r="CX114" s="3">
        <f>_xlfn.XLOOKUP(B114,'BASE DE EXCEL'!$C:$C,'BASE DE EXCEL'!R:R,"NO HAY REFERENCIA")</f>
        <v>7</v>
      </c>
      <c r="CY114" s="3" t="str">
        <f>_xlfn.XLOOKUP(B114,'BASE DE EXCEL'!$C:$C,'BASE DE EXCEL'!S:S,"NO HAY REFERENCIA")</f>
        <v>6 a 10 días</v>
      </c>
      <c r="CZ114" s="3" t="str">
        <f>_xlfn.XLOOKUP(B114,'BASE DE EXCEL'!$C:$C,'BASE DE EXCEL'!T:T,"NO HAY REFERENCIA")</f>
        <v>Delayed</v>
      </c>
      <c r="DA114" s="3">
        <f>_xlfn.XLOOKUP(B114,'BASE DE EXCEL'!$C:$C,'BASE DE EXCEL'!U:U,"NO HAY REFERENCIA")</f>
        <v>9</v>
      </c>
      <c r="DB114" s="3" t="str">
        <f>_xlfn.XLOOKUP(B114,'BASE DE EXCEL'!$C:$C,'BASE DE EXCEL'!V:V,"NO HAY REFERENCIA")</f>
        <v>6 a 10 días</v>
      </c>
      <c r="DC114" s="3">
        <f>_xlfn.XLOOKUP(B114,'BASE DE EXCEL'!$C:$C,'BASE DE EXCEL'!W:W,"NO HAY REFERENCIA")</f>
        <v>18</v>
      </c>
      <c r="DD114" s="3" t="str">
        <f>_xlfn.XLOOKUP(B114,'BASE DE EXCEL'!$C:$C,'BASE DE EXCEL'!X:X,"NO HAY REFERENCIA")</f>
        <v>más de 16 días</v>
      </c>
      <c r="DE114" s="3">
        <f>_xlfn.XLOOKUP(B114,'BASE DE EXCEL'!$C:$C,'BASE DE EXCEL'!Y:Y,"NO HAY REFERENCIA")</f>
        <v>0</v>
      </c>
      <c r="DF114" s="3" t="str">
        <f>_xlfn.XLOOKUP(B114,'BASE DE EXCEL'!$C:$C,'BASE DE EXCEL'!Z:Z,"NO HAY REFERENCIA")</f>
        <v>1 día o menos</v>
      </c>
      <c r="DG114" s="3">
        <f>_xlfn.XLOOKUP(B114,'BASE DE EXCEL'!$C:$C,'BASE DE EXCEL'!AA:AA,"NO HAY REFERENCIA")</f>
        <v>8</v>
      </c>
      <c r="DH114" s="3">
        <f>_xlfn.XLOOKUP(B114,'BASE DE EXCEL'!$C:$C,'BASE DE EXCEL'!AB:AB,"NO HAY REFERENCIA")</f>
        <v>1</v>
      </c>
      <c r="DI114" s="3" t="str">
        <f>_xlfn.XLOOKUP(B114,'BASE DE EXCEL'!$C:$C,'BASE DE EXCEL'!AC:AC,"NO HAY REFERENCIA")</f>
        <v>1 día o menos</v>
      </c>
      <c r="DJ114" s="4">
        <f>_xlfn.XLOOKUP(B114,'BASE DE EXCEL'!$C:$C,'BASE DE EXCEL'!AD:AD,"NO HAY REFERENCIA")</f>
        <v>46121</v>
      </c>
      <c r="DK114" s="3">
        <f>_xlfn.XLOOKUP(B114,'BASE DE EXCEL'!$C:$C,'BASE DE EXCEL'!AE:AE,"NO HAY REFERENCIA")</f>
        <v>15</v>
      </c>
      <c r="DL114" s="3">
        <f>_xlfn.XLOOKUP(B114,'BASE DE EXCEL'!$C:$C,'BASE DE EXCEL'!AF:AF,"NO HAY REFERENCIA")</f>
        <v>11</v>
      </c>
      <c r="DM114" s="4">
        <f>_xlfn.XLOOKUP(B114,'BASE DE EXCEL'!$C:$C,'BASE DE EXCEL'!AG:AG,"NO HAY REFERENCIA")</f>
        <v>46121</v>
      </c>
      <c r="DN114" s="4">
        <f>_xlfn.XLOOKUP(B114,'BASE DE EXCEL'!$C:$C,'BASE DE EXCEL'!AH:AH,"NO HAY REFERENCIA")</f>
        <v>46121</v>
      </c>
      <c r="DO114" s="3">
        <f>_xlfn.XLOOKUP(B114,'BASE DE EXCEL'!$C:$C,'BASE DE EXCEL'!AI:AI,"NO HAY REFERENCIA")</f>
        <v>0</v>
      </c>
      <c r="DP114" s="4" t="str">
        <f>_xlfn.XLOOKUP(B114,'BASE DE EXCEL'!$C:$C,'BASE DE EXCEL'!AJ:AJ,"NO HAY REFERENCIA")</f>
        <v>11 a 15 días</v>
      </c>
      <c r="DQ114" s="4">
        <f>_xlfn.XLOOKUP(B114,'BASE DE EXCEL'!$C:$C,'BASE DE EXCEL'!AK:AK,"NO HAY REFERENCIA")</f>
        <v>46121</v>
      </c>
      <c r="DR114" s="3">
        <f>_xlfn.XLOOKUP(B114,'BASE DE EXCEL'!$C:$C,'BASE DE EXCEL'!AL:AL,"NO HAY REFERENCIA")</f>
        <v>10</v>
      </c>
      <c r="DS114" s="3" t="str">
        <f>_xlfn.XLOOKUP(B114,'BASE DE EXCEL'!$C:$C,'BASE DE EXCEL'!AM:AM,"NO HAY REFERENCIA")</f>
        <v>6 a 10 días</v>
      </c>
      <c r="DT114" s="3" t="str">
        <f>_xlfn.XLOOKUP(B114,'BASE DE EXCEL'!$C:$C,'BASE DE EXCEL'!AN:AN,"NO HAY REFERENCIA")</f>
        <v>Delayed</v>
      </c>
      <c r="DU114" s="3">
        <f>_xlfn.XLOOKUP(B114,'BASE DE EXCEL'!$C:$C,'BASE DE EXCEL'!AO:AO,"NO HAY REFERENCIA")</f>
        <v>1</v>
      </c>
      <c r="DV114" s="3" t="str">
        <f>_xlfn.XLOOKUP(B114,'BASE DE EXCEL'!$C:$C,'BASE DE EXCEL'!AP:AP,"NO HAY REFERENCIA")</f>
        <v>Es anterior</v>
      </c>
      <c r="DW114" s="3" t="str">
        <f>_xlfn.XLOOKUP(B114,'BASE DE EXCEL'!$C:$C,'BASE DE EXCEL'!AQ:AQ,"NO HAY REFERENCIA")</f>
        <v>A1</v>
      </c>
      <c r="DX114" s="3" t="str">
        <f>_xlfn.XLOOKUP(B114,'BASE DE EXCEL'!$C:$C,'BASE DE EXCEL'!AR:AR,"NO HAY REFERENCIA")</f>
        <v>ZULEIMA PEREZ RUIZ</v>
      </c>
      <c r="DY114" s="3" t="str">
        <f>_xlfn.XLOOKUP(B114,'BASE DE EXCEL'!$C:$C,'BASE DE EXCEL'!AS:AS,"NO HAY REFERENCIA")</f>
        <v>HLCURTM260238200</v>
      </c>
      <c r="DZ114" s="3" t="str">
        <f>_xlfn.XLOOKUP(B114,'BASE DE EXCEL'!$C:$C,'BASE DE EXCEL'!AT:AT,"NO HAY REFERENCIA")</f>
        <v>NULL</v>
      </c>
      <c r="EA114" s="3">
        <f>_xlfn.XLOOKUP(B114,'BASE DE EXCEL'!$C:$C,'BASE DE EXCEL'!AU:AU,"NO HAY REFERENCIA")</f>
        <v>6000363</v>
      </c>
      <c r="EB114" s="3" t="str">
        <f>_xlfn.XLOOKUP(B114,'BASE DE EXCEL'!$C:$C,'BASE DE EXCEL'!AV:AV,"NO HAY REFERENCIA")</f>
        <v>Importación</v>
      </c>
      <c r="EC114" s="3" t="str">
        <f>_xlfn.XLOOKUP(B114,'BASE DE EXCEL'!$C:$C,'BASE DE EXCEL'!AW:AW,"NO HAY REFERENCIA")</f>
        <v>NOBILIS IB 4-91  (VACUNA DE USO VETERINARIO)</v>
      </c>
      <c r="ED114" s="3" t="str">
        <f>_xlfn.XLOOKUP(B114,'BASE DE EXCEL'!$C:$C,'BASE DE EXCEL'!AX:AX,"NO HAY REFERENCIA")</f>
        <v>SIN CLASIFICACION</v>
      </c>
      <c r="EE114" s="3">
        <f>_xlfn.XLOOKUP(B114,'BASE DE EXCEL'!$C:$C,'BASE DE EXCEL'!AY:AY,"NO HAY REFERENCIA")</f>
        <v>0</v>
      </c>
      <c r="EF114" s="3" t="str">
        <f>_xlfn.XLOOKUP(B114,'BASE DE EXCEL'!$C:$C,'BASE DE EXCEL'!AZ:AZ,"NO HAY REFERENCIA")</f>
        <v>Cargas de Importación</v>
      </c>
      <c r="EG114" s="3" t="str">
        <f>_xlfn.XLOOKUP(B114,'BASE DE EXCEL'!$C:$C,'BASE DE EXCEL'!BA:BA,"NO HAY REFERENCIA")</f>
        <v>INTERVET MEXICO SA DE CV</v>
      </c>
      <c r="EH114" s="3">
        <f>_xlfn.XLOOKUP(B114,'BASE DE EXCEL'!$C:$C,'BASE DE EXCEL'!BB:BB,"NO HAY REFERENCIA")</f>
        <v>0</v>
      </c>
      <c r="EI114" s="3" t="str">
        <f>_xlfn.XLOOKUP(B114,'BASE DE EXCEL'!$C:$C,'BASE DE EXCEL'!BC:BC,"NO HAY REFERENCIA")</f>
        <v>FALTA IMPUESTOS</v>
      </c>
      <c r="EJ114" s="3">
        <f>_xlfn.XLOOKUP(B114,'BASE DE EXCEL'!$C:$C,'BASE DE EXCEL'!BD:BD,"NO HAY REFERENCIA")</f>
        <v>0</v>
      </c>
      <c r="EK114" s="3" t="str">
        <f>_xlfn.XLOOKUP(B114,'BASE DE EXCEL'!$C:$C,'BASE DE EXCEL'!BE:BE,"NO HAY REFERENCIA")</f>
        <v>FALTA IMPUESTOS</v>
      </c>
      <c r="EL114" s="3" t="str">
        <f>_xlfn.XLOOKUP(B114,'BASE DE EXCEL'!$C:$C,'BASE DE EXCEL'!BF:BF,"NO HAY REFERENCIA")</f>
        <v>PRODUCTO TERMINADO</v>
      </c>
      <c r="EM114" s="3" t="str">
        <f>_xlfn.XLOOKUP(B114,'BASE DE EXCEL'!$C:$C,'BASE DE EXCEL'!BG:BG,"NO HAY REFERENCIA")</f>
        <v>Rojo</v>
      </c>
      <c r="EN114" s="3" t="str">
        <f>_xlfn.XLOOKUP(B114,'BASE DE EXCEL'!$C:$C,'BASE DE EXCEL'!BH:BH,"NO HAY REFERENCIA")</f>
        <v xml:space="preserve"> SUPER EXPRESS DE CARGA FEDERAL S.A. DE C.V.</v>
      </c>
      <c r="EO114" s="3">
        <f>_xlfn.XLOOKUP(B114,'BASE DE EXCEL'!$C:$C,'BASE DE EXCEL'!BI:BI,"NO HAY REFERENCIA")</f>
        <v>0</v>
      </c>
      <c r="EP114" s="3" t="str">
        <f>_xlfn.XLOOKUP(B114,'BASE DE EXCEL'!$C:$C,'BASE DE EXCEL'!BJ:BJ,"NO HAY REFERENCIA")</f>
        <v>IME-T004</v>
      </c>
      <c r="EQ114" s="3" t="str">
        <f>_xlfn.XLOOKUP(B114,'BASE DE EXCEL'!$C:$C,'BASE DE EXCEL'!BK:BK,"NO HAY REFERENCIA")</f>
        <v>IME850329RH2</v>
      </c>
      <c r="ER114" s="3">
        <f>_xlfn.XLOOKUP(B114,'BASE DE EXCEL'!$C:$C,'BASE DE EXCEL'!BL:BL,"NO HAY REFERENCIA")</f>
        <v>0</v>
      </c>
      <c r="ES114" s="3">
        <f>_xlfn.XLOOKUP(B114,'BASE DE EXCEL'!$C:$C,'BASE DE EXCEL'!BM:BM,"NO HAY REFERENCIA")</f>
        <v>99</v>
      </c>
      <c r="ET114" s="3" t="str">
        <f>_xlfn.XLOOKUP(B114,'BASE DE EXCEL'!$C:$C,'BASE DE EXCEL'!BN:BN,"NO HAY REFERENCIA")</f>
        <v>LOTE: SA726AA17,LOTE: SA747AA17,LOTE: A313A01,LOTE: B294A01,LOTE: A061A02,LOTE: A333A02,LOTE: A610FB01,LOTE: 1E080A02,LOTE: B290A01</v>
      </c>
      <c r="EU114" s="3">
        <f>_xlfn.XLOOKUP(B114,'BASE DE EXCEL'!$C:$C,'BASE DE EXCEL'!BO:BO,"NO HAY REFERENCIA")</f>
        <v>90</v>
      </c>
      <c r="EV114" s="3" t="str">
        <f>_xlfn.XLOOKUP(B114,'BASE DE EXCEL'!$C:$C,'BASE DE EXCEL'!BP:BP,"NO HAY REFERENCIA")</f>
        <v xml:space="preserve"> 368740.59, 12202490.96, 10460124.66, 9453419.98</v>
      </c>
      <c r="EW114" s="3" t="str">
        <f>_xlfn.XLOOKUP(B114,'BASE DE EXCEL'!$C:$C,'BASE DE EXCEL'!BQ:BQ,"NO HAY REFERENCIA")</f>
        <v>KILO,KILO,KILO,KILO,KILO,KILO,KILO,KILO,KILO</v>
      </c>
      <c r="EX114" s="3">
        <f>_xlfn.XLOOKUP(B114,'BASE DE EXCEL'!$C:$C,'BASE DE EXCEL'!BR:BR,"NO HAY REFERENCIA")</f>
        <v>0</v>
      </c>
      <c r="EY114" s="3" t="str">
        <f>_xlfn.XLOOKUP(B114,'BASE DE EXCEL'!$C:$C,'BASE DE EXCEL'!BS:BS,"NO HAY REFERENCIA")</f>
        <v>PAISES BAJOS (REINO DE LOS) (HOLANDA)</v>
      </c>
      <c r="EZ114" s="3" t="str">
        <f>_xlfn.XLOOKUP(B114,'BASE DE EXCEL'!$C:$C,'BASE DE EXCEL'!BT:BT,"NO HAY REFERENCIA")</f>
        <v>PAISES BAJOS (REINO DE LOS) (HOLANDA)</v>
      </c>
      <c r="FA114" s="3" t="str">
        <f>_xlfn.XLOOKUP(B114,'BASE DE EXCEL'!$C:$C,'BASE DE EXCEL'!BU:BU,"NO HAY REFERENCIA")</f>
        <v>ZYA</v>
      </c>
      <c r="FB114" s="3" t="str">
        <f>_xlfn.XLOOKUP(B114,'BASE DE EXCEL'!$C:$C,'BASE DE EXCEL'!BV:BV,"NO HAY REFERENCIA")</f>
        <v>ZYA</v>
      </c>
      <c r="FC114" s="3">
        <f>_xlfn.XLOOKUP(B114,QUERY!$C:$C,QUERY!D:D)</f>
        <v>430</v>
      </c>
      <c r="FD114" s="4">
        <f>_xlfn.XLOOKUP(B114,QUERY!$C:$C,QUERY!E:E)</f>
        <v>46105</v>
      </c>
      <c r="FE114" s="3">
        <f>_xlfn.XLOOKUP(B114,QUERY!$C:$C,QUERY!F:F)</f>
        <v>3</v>
      </c>
      <c r="FF114" s="4">
        <f>_xlfn.XLOOKUP(B114,QUERY!$C:$C,QUERY!G:G)</f>
        <v>46097</v>
      </c>
      <c r="FG114" s="4">
        <f>_xlfn.XLOOKUP(B114,QUERY!$C:$C,QUERY!H:H)</f>
        <v>46105</v>
      </c>
      <c r="FH114" s="3">
        <f>_xlfn.XLOOKUP(B114,QUERY!$C:$C,QUERY!I:I)</f>
        <v>6</v>
      </c>
      <c r="FI114" s="3" t="str">
        <f>_xlfn.XLOOKUP(B114,QUERY!$C:$C,QUERY!J:J)</f>
        <v>6 a 10 días</v>
      </c>
      <c r="FJ114" s="4">
        <f>_xlfn.XLOOKUP(B114,QUERY!$C:$C,QUERY!K:K)</f>
        <v>46105</v>
      </c>
      <c r="FK114" s="3">
        <f>_xlfn.XLOOKUP(B114,QUERY!$C:$C,QUERY!L:L)</f>
        <v>6</v>
      </c>
      <c r="FL114" s="3" t="str">
        <f>_xlfn.XLOOKUP(B114,QUERY!$C:$C,QUERY!M:M)</f>
        <v>6 a 10 días</v>
      </c>
      <c r="FM114" s="3">
        <f>_xlfn.XLOOKUP(B114,QUERY!$C:$C,QUERY!N:N)</f>
        <v>0</v>
      </c>
      <c r="FN114" s="3" t="str">
        <f>_xlfn.XLOOKUP(B114,QUERY!$C:$C,QUERY!O:O)</f>
        <v>1 día o menos</v>
      </c>
      <c r="FO114" s="3">
        <f>_xlfn.XLOOKUP(B114,QUERY!$C:$C,QUERY!P:P)</f>
        <v>0</v>
      </c>
      <c r="FP114" s="3">
        <f>_xlfn.XLOOKUP(B114,QUERY!$C:$C,QUERY!Q:Q)</f>
        <v>1</v>
      </c>
      <c r="FQ114" s="3" t="str">
        <f>_xlfn.XLOOKUP(B114,QUERY!$C:$C,QUERY!R:R)</f>
        <v>1 día o menos</v>
      </c>
      <c r="FR114" s="4">
        <f>_xlfn.XLOOKUP(B114,QUERY!$C:$C,QUERY!S:S)</f>
        <v>46106</v>
      </c>
      <c r="FS114" s="3">
        <f>_xlfn.XLOOKUP(B114,QUERY!$C:$C,QUERY!T:T)</f>
        <v>7</v>
      </c>
      <c r="FT114" s="3" t="str">
        <f>_xlfn.XLOOKUP(B114,QUERY!$C:$C,QUERY!U:U)</f>
        <v>6 a 10 días</v>
      </c>
      <c r="FU114" s="3">
        <f>_xlfn.XLOOKUP(B114,QUERY!$C:$C,QUERY!V:V)</f>
        <v>18</v>
      </c>
      <c r="FV114" s="3" t="str">
        <f>_xlfn.XLOOKUP(B114,QUERY!$C:$C,QUERY!W:W)</f>
        <v>más de 16 días</v>
      </c>
      <c r="FW114" s="4">
        <f>_xlfn.XLOOKUP(B114,QUERY!$C:$C,QUERY!X:X)</f>
        <v>46121</v>
      </c>
      <c r="FX114" s="3">
        <f>_xlfn.XLOOKUP(B114,QUERY!$C:$C,QUERY!Y:Y)</f>
        <v>11</v>
      </c>
      <c r="FY114" s="3">
        <f>_xlfn.XLOOKUP(B114,QUERY!$C:$C,QUERY!Z:Z)</f>
        <v>11</v>
      </c>
      <c r="FZ114" s="4" t="str">
        <f>_xlfn.XLOOKUP(B114,QUERY!$C:$C,QUERY!AA:AA)</f>
        <v>11 a 15 días</v>
      </c>
      <c r="GA114" s="4">
        <f>_xlfn.XLOOKUP(B114,QUERY!$C:$C,QUERY!AB:AB)</f>
        <v>46121</v>
      </c>
      <c r="GB114" s="4">
        <f>_xlfn.XLOOKUP(B114,QUERY!$C:$C,QUERY!AC:AC)</f>
        <v>46121</v>
      </c>
      <c r="GC114" s="3">
        <f>_xlfn.XLOOKUP(B114,QUERY!$C:$C,QUERY!AD:AD)</f>
        <v>0</v>
      </c>
      <c r="GD114" s="4">
        <f>_xlfn.XLOOKUP(B114,QUERY!$C:$C,QUERY!AE:AE)</f>
        <v>46121</v>
      </c>
      <c r="GE114" s="3">
        <f>_xlfn.XLOOKUP(B114,QUERY!$C:$C,QUERY!AF:AF)</f>
        <v>1</v>
      </c>
      <c r="GF114" s="4" t="str">
        <f>_xlfn.XLOOKUP(B114,QUERY!$C:$C,QUERY!AG:AG)</f>
        <v>Es anterior</v>
      </c>
      <c r="GG114" s="3" t="str">
        <f>_xlfn.XLOOKUP(B114,QUERY!$C:$C,QUERY!AH:AH)</f>
        <v>A1</v>
      </c>
      <c r="GH114" s="3" t="str">
        <f>_xlfn.XLOOKUP(B114,QUERY!$C:$C,QUERY!AI:AI)</f>
        <v>ZULEIMA PEREZ RUIZ</v>
      </c>
      <c r="GI114" s="3" t="str">
        <f>_xlfn.XLOOKUP(B114,QUERY!$C:$C,QUERY!AJ:AJ)</f>
        <v>HLCURTM260238200</v>
      </c>
      <c r="GJ114" s="3" t="str">
        <f>_xlfn.XLOOKUP(B114,QUERY!$C:$C,QUERY!AK:AK)</f>
        <v>NULL</v>
      </c>
      <c r="GK114" s="3">
        <f>_xlfn.XLOOKUP(B114,QUERY!$C:$C,QUERY!AL:AL)</f>
        <v>6000363</v>
      </c>
      <c r="GL114" s="3" t="str">
        <f>_xlfn.XLOOKUP(B114,QUERY!$C:$C,QUERY!AM:AM)</f>
        <v>Importación</v>
      </c>
      <c r="GM114" s="3" t="str">
        <f>_xlfn.XLOOKUP(B114,QUERY!$C:$C,QUERY!AN:AN)</f>
        <v>NOBILIS IB 4-91  (VACUNA DE USO VETERINARIO)</v>
      </c>
      <c r="GN114" s="3" t="str">
        <f>_xlfn.XLOOKUP(B114,QUERY!$C:$C,QUERY!AO:AO)</f>
        <v>SIN CLASIFICACION</v>
      </c>
      <c r="GO114" s="3">
        <f>_xlfn.XLOOKUP(B114,QUERY!$C:$C,QUERY!AP:AP)</f>
        <v>0</v>
      </c>
      <c r="GP114" s="3" t="str">
        <f>_xlfn.XLOOKUP(B114,QUERY!$C:$C,QUERY!AQ:AQ)</f>
        <v>Cargas de Importación</v>
      </c>
      <c r="GQ114" s="3" t="str">
        <f>_xlfn.XLOOKUP(B114,QUERY!$C:$C,QUERY!AR:AR)</f>
        <v>INTERVET MEXICO SA DE CV</v>
      </c>
      <c r="GR114" s="3">
        <f>_xlfn.XLOOKUP(B114,QUERY!$C:$C,QUERY!AS:AS)</f>
        <v>0</v>
      </c>
      <c r="GS114" s="3" t="str">
        <f>_xlfn.XLOOKUP(B114,QUERY!$C:$C,QUERY!AT:AT)</f>
        <v>FALTA IMPUESTOS</v>
      </c>
      <c r="GT114" s="3">
        <f>_xlfn.XLOOKUP(B114,QUERY!$C:$C,QUERY!AU:AU)</f>
        <v>0</v>
      </c>
      <c r="GU114" s="3" t="str">
        <f>_xlfn.XLOOKUP(B114,QUERY!$C:$C,QUERY!AV:AV)</f>
        <v>FALTA IMPUESTOS</v>
      </c>
      <c r="GV114" s="3" t="str">
        <f>_xlfn.XLOOKUP(B114,QUERY!$C:$C,QUERY!AW:AW)</f>
        <v>PRODUCTO TERMINADO</v>
      </c>
      <c r="GW114" s="3" t="str">
        <f>_xlfn.XLOOKUP(B114,QUERY!$C:$C,QUERY!AX:AX)</f>
        <v>Rojo</v>
      </c>
      <c r="GX114" s="3" t="str">
        <f>_xlfn.XLOOKUP(B114,QUERY!$C:$C,QUERY!AY:AY)</f>
        <v xml:space="preserve"> SUPER EXPRESS DE CARGA FEDERAL S.A. DE C.V.</v>
      </c>
      <c r="GY114" s="3">
        <f>_xlfn.XLOOKUP(B114,QUERY!$C:$C,QUERY!AZ:AZ)</f>
        <v>0</v>
      </c>
      <c r="GZ114" s="3" t="str">
        <f>_xlfn.XLOOKUP(B114,QUERY!$C:$C,QUERY!BA:BA)</f>
        <v>IME-T004</v>
      </c>
      <c r="HA114" s="3" t="str">
        <f>_xlfn.XLOOKUP(B114,QUERY!$C:$C,QUERY!BB:BB)</f>
        <v>IME850329RH2</v>
      </c>
      <c r="HB114" s="3">
        <f>_xlfn.XLOOKUP(B114,QUERY!$C:$C,QUERY!BC:BC)</f>
        <v>0</v>
      </c>
      <c r="HC114" s="3">
        <f>_xlfn.XLOOKUP(B114,QUERY!$C:$C,QUERY!BD:BD)</f>
        <v>99</v>
      </c>
      <c r="HD114" s="3" t="str">
        <f>_xlfn.XLOOKUP(B114,QUERY!$C:$C,QUERY!BE:BE)</f>
        <v>LOTE: SA726AA17,LOTE: SA747AA17,LOTE: A313A01,LOTE: B294A01,LOTE: A061A02,LOTE: A333A02,LOTE: A610FB01,LOTE: B290A01,LOTE: 1E080A02</v>
      </c>
      <c r="HE114" s="3">
        <f>_xlfn.XLOOKUP(B114,QUERY!$C:$C,QUERY!BF:BF)</f>
        <v>90</v>
      </c>
      <c r="HF114" s="3" t="str">
        <f>_xlfn.XLOOKUP(B114,QUERY!$C:$C,QUERY!BG:BG)</f>
        <v xml:space="preserve"> 368740.59, 12202490.96, 10460124.66, 9453419.98</v>
      </c>
      <c r="HG114" s="3" t="str">
        <f>_xlfn.XLOOKUP(B114,QUERY!$C:$C,QUERY!BH:BH)</f>
        <v>KILO,KILO,KILO,KILO,KILO,KILO,KILO,KILO,KILO</v>
      </c>
      <c r="HH114" s="3">
        <f>_xlfn.XLOOKUP(B114,QUERY!$C:$C,QUERY!BI:BI)</f>
        <v>0</v>
      </c>
      <c r="HI114" s="3" t="str">
        <f>_xlfn.XLOOKUP(B114,QUERY!$C:$C,QUERY!BJ:BJ)</f>
        <v>PAISES BAJOS (REINO DE LOS) (HOLANDA)</v>
      </c>
      <c r="HJ114" s="3" t="str">
        <f>_xlfn.XLOOKUP(B114,QUERY!$C:$C,QUERY!BK:BK)</f>
        <v>PAISES BAJOS (REINO DE LOS) (HOLANDA)</v>
      </c>
      <c r="HK114" s="3" t="str">
        <f>_xlfn.XLOOKUP(B114,QUERY!$C:$C,QUERY!BL:BL)</f>
        <v>ZYA</v>
      </c>
      <c r="HL114" s="3" t="str">
        <f>_xlfn.XLOOKUP(B114,QUERY!$C:$C,QUERY!BM:BM)</f>
        <v>ZYA</v>
      </c>
      <c r="HM114" s="3">
        <f>_xlfn.XLOOKUP(B114,QUERY!$C:$C,QUERY!BN:BN)</f>
        <v>32484777</v>
      </c>
      <c r="HN114" s="3" t="str">
        <f>_xlfn.XLOOKUP(B114,QUERY!$C:$C,QUERY!BO:BO)</f>
        <v>462.00</v>
      </c>
      <c r="HO114" s="3" t="str">
        <f>_xlfn.XLOOKUP(B114,QUERY!$C:$C,QUERY!BP:BP)</f>
        <v>NULL</v>
      </c>
      <c r="HP114" s="3" t="str">
        <f>_xlfn.XLOOKUP(B114,QUERY!$C:$C,QUERY!BQ:BQ)</f>
        <v>NULL</v>
      </c>
      <c r="HQ114" s="3" t="str">
        <f>_xlfn.XLOOKUP(B114,QUERY!$C:$C,QUERY!BR:BR)</f>
        <v>218768.33</v>
      </c>
      <c r="HR114" s="3">
        <f>_xlfn.XLOOKUP(B114,QUERY!$C:$C,QUERY!BS:BS)</f>
        <v>0</v>
      </c>
      <c r="HS114" s="3">
        <f>_xlfn.XLOOKUP(B114,QUERY!$C:$C,QUERY!BT:BT)</f>
        <v>0</v>
      </c>
      <c r="HT114" s="3" t="str">
        <f>_xlfn.XLOOKUP(B114,QUERY!$C:$C,QUERY!A:A)</f>
        <v>VERACRUZ</v>
      </c>
      <c r="HU114" s="3" t="str">
        <f>_xlfn.XLOOKUP(B114,QUERY!$C:$C,QUERY!B:B)</f>
        <v>MARÍTIMO VERACRUZ</v>
      </c>
    </row>
    <row r="115" spans="1:229" x14ac:dyDescent="0.25">
      <c r="A115" s="3" t="s">
        <v>90</v>
      </c>
      <c r="B115" s="3" t="s">
        <v>329</v>
      </c>
      <c r="C115" s="3">
        <v>3942</v>
      </c>
      <c r="D115" s="3">
        <v>6000363</v>
      </c>
      <c r="E115" s="3"/>
      <c r="F115" s="3" t="s">
        <v>92</v>
      </c>
      <c r="G115" s="3" t="s">
        <v>93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430</v>
      </c>
      <c r="S115" s="3" t="s">
        <v>330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 t="s">
        <v>217</v>
      </c>
      <c r="AB115" s="3"/>
      <c r="AC115" s="3">
        <v>4029528</v>
      </c>
      <c r="AD115" s="3">
        <v>520.88004000000001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/>
      <c r="AP115" s="3" t="s">
        <v>98</v>
      </c>
      <c r="AQ115" s="3">
        <v>210367106</v>
      </c>
      <c r="AR115" s="3" t="s">
        <v>99</v>
      </c>
      <c r="AS115" s="3" t="s">
        <v>100</v>
      </c>
      <c r="AT115" s="3">
        <v>0</v>
      </c>
      <c r="AU115" s="3">
        <v>0</v>
      </c>
      <c r="AV115" s="3">
        <v>0</v>
      </c>
      <c r="AW115" s="3">
        <v>30024201</v>
      </c>
      <c r="AX115" s="3">
        <v>99</v>
      </c>
      <c r="AY115" s="3">
        <v>7736</v>
      </c>
      <c r="AZ115" s="3">
        <v>7736</v>
      </c>
      <c r="BA115" s="3" t="s">
        <v>103</v>
      </c>
      <c r="BB115" s="3"/>
      <c r="BC115" s="3" t="s">
        <v>105</v>
      </c>
      <c r="BD115" s="3" t="s">
        <v>105</v>
      </c>
      <c r="BE115" s="3"/>
      <c r="BF115" s="3"/>
      <c r="BG115" s="5"/>
      <c r="BH115" s="3"/>
      <c r="BI115" s="3"/>
      <c r="BJ115" s="3"/>
      <c r="BK115" s="3" t="s">
        <v>340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 t="s">
        <v>192</v>
      </c>
      <c r="CF115" s="3">
        <v>0</v>
      </c>
      <c r="CG115" s="3">
        <v>0</v>
      </c>
      <c r="CH115" s="3">
        <v>0</v>
      </c>
      <c r="CI115" s="3" t="s">
        <v>112</v>
      </c>
      <c r="CJ115" s="3" t="s">
        <v>112</v>
      </c>
      <c r="CK115" s="3">
        <f>_xlfn.XLOOKUP($B$2,'BASE DE EXCEL'!C:C,'BASE DE EXCEL'!D:D,"NO HAY REFERENCIA")</f>
        <v>470</v>
      </c>
      <c r="CL115" s="5">
        <f>_xlfn.XLOOKUP($B$2,'BASE DE EXCEL'!$C:$C,'BASE DE EXCEL'!F:F,"NO HAY REFERENCIA")</f>
        <v>3</v>
      </c>
      <c r="CM115" s="4">
        <f>_xlfn.XLOOKUP($B$2,'BASE DE EXCEL'!$C:$C,'BASE DE EXCEL'!G:G,"NO HAY REFERENCIA")</f>
        <v>46080</v>
      </c>
      <c r="CN115" s="4">
        <f>_xlfn.XLOOKUP($B$2,'BASE DE EXCEL'!$C:$C,'BASE DE EXCEL'!H:H,"NO HAY REFERENCIA")</f>
        <v>46086</v>
      </c>
      <c r="CO115" s="3">
        <f>_xlfn.XLOOKUP($B$2,'BASE DE EXCEL'!$C:$C,'BASE DE EXCEL'!I:I,"NO HAY REFERENCIA")</f>
        <v>4</v>
      </c>
      <c r="CP115" s="3" t="str">
        <f>_xlfn.XLOOKUP($B$2,'BASE DE EXCEL'!$C:$C,'BASE DE EXCEL'!J:J,"NO HAY REFERENCIA")</f>
        <v>4 a 5 días</v>
      </c>
      <c r="CQ115" s="4">
        <f>_xlfn.XLOOKUP($B$2,'BASE DE EXCEL'!$C:$C,'BASE DE EXCEL'!K:K,"NO HAY REFERENCIA")</f>
        <v>46087</v>
      </c>
      <c r="CR115" s="3">
        <f>_xlfn.XLOOKUP($B$2,'BASE DE EXCEL'!$C:$C,'BASE DE EXCEL'!L:L,"NO HAY REFERENCIA")</f>
        <v>5</v>
      </c>
      <c r="CS115" s="3">
        <f>_xlfn.XLOOKUP($B$2,'BASE DE EXCEL'!$C:$C,'BASE DE EXCEL'!M:M,"NO HAY REFERENCIA")</f>
        <v>6</v>
      </c>
      <c r="CT115" s="3" t="str">
        <f>_xlfn.XLOOKUP($B$2,'BASE DE EXCEL'!$C:$C,'BASE DE EXCEL'!N:N,"NO HAY REFERENCIA")</f>
        <v>6 a 10 días</v>
      </c>
      <c r="CU115" s="3" t="str">
        <f>_xlfn.XLOOKUP($B$2,'BASE DE EXCEL'!$C:$C,'BASE DE EXCEL'!O:O,"NO HAY REFERENCIA")</f>
        <v>On Time</v>
      </c>
      <c r="CV115" s="3" t="str">
        <f>_xlfn.XLOOKUP(B115,'BASE DE EXCEL'!$C:$C,'BASE DE EXCEL'!P:P,"NO HAY REFERENCIA")</f>
        <v>6 a 10 días</v>
      </c>
      <c r="CW115" s="4">
        <f>_xlfn.XLOOKUP(B115,'BASE DE EXCEL'!$C:$C,'BASE DE EXCEL'!Q:Q,"NO HAY REFERENCIA")</f>
        <v>46106</v>
      </c>
      <c r="CX115" s="3">
        <f>_xlfn.XLOOKUP(B115,'BASE DE EXCEL'!$C:$C,'BASE DE EXCEL'!R:R,"NO HAY REFERENCIA")</f>
        <v>7</v>
      </c>
      <c r="CY115" s="3" t="str">
        <f>_xlfn.XLOOKUP(B115,'BASE DE EXCEL'!$C:$C,'BASE DE EXCEL'!S:S,"NO HAY REFERENCIA")</f>
        <v>6 a 10 días</v>
      </c>
      <c r="CZ115" s="3" t="str">
        <f>_xlfn.XLOOKUP(B115,'BASE DE EXCEL'!$C:$C,'BASE DE EXCEL'!T:T,"NO HAY REFERENCIA")</f>
        <v>Delayed</v>
      </c>
      <c r="DA115" s="3">
        <f>_xlfn.XLOOKUP(B115,'BASE DE EXCEL'!$C:$C,'BASE DE EXCEL'!U:U,"NO HAY REFERENCIA")</f>
        <v>9</v>
      </c>
      <c r="DB115" s="3" t="str">
        <f>_xlfn.XLOOKUP(B115,'BASE DE EXCEL'!$C:$C,'BASE DE EXCEL'!V:V,"NO HAY REFERENCIA")</f>
        <v>6 a 10 días</v>
      </c>
      <c r="DC115" s="3">
        <f>_xlfn.XLOOKUP(B115,'BASE DE EXCEL'!$C:$C,'BASE DE EXCEL'!W:W,"NO HAY REFERENCIA")</f>
        <v>18</v>
      </c>
      <c r="DD115" s="3" t="str">
        <f>_xlfn.XLOOKUP(B115,'BASE DE EXCEL'!$C:$C,'BASE DE EXCEL'!X:X,"NO HAY REFERENCIA")</f>
        <v>más de 16 días</v>
      </c>
      <c r="DE115" s="3">
        <f>_xlfn.XLOOKUP(B115,'BASE DE EXCEL'!$C:$C,'BASE DE EXCEL'!Y:Y,"NO HAY REFERENCIA")</f>
        <v>0</v>
      </c>
      <c r="DF115" s="3" t="str">
        <f>_xlfn.XLOOKUP(B115,'BASE DE EXCEL'!$C:$C,'BASE DE EXCEL'!Z:Z,"NO HAY REFERENCIA")</f>
        <v>1 día o menos</v>
      </c>
      <c r="DG115" s="3">
        <f>_xlfn.XLOOKUP(B115,'BASE DE EXCEL'!$C:$C,'BASE DE EXCEL'!AA:AA,"NO HAY REFERENCIA")</f>
        <v>8</v>
      </c>
      <c r="DH115" s="3">
        <f>_xlfn.XLOOKUP(B115,'BASE DE EXCEL'!$C:$C,'BASE DE EXCEL'!AB:AB,"NO HAY REFERENCIA")</f>
        <v>1</v>
      </c>
      <c r="DI115" s="3" t="str">
        <f>_xlfn.XLOOKUP(B115,'BASE DE EXCEL'!$C:$C,'BASE DE EXCEL'!AC:AC,"NO HAY REFERENCIA")</f>
        <v>1 día o menos</v>
      </c>
      <c r="DJ115" s="4">
        <f>_xlfn.XLOOKUP(B115,'BASE DE EXCEL'!$C:$C,'BASE DE EXCEL'!AD:AD,"NO HAY REFERENCIA")</f>
        <v>46121</v>
      </c>
      <c r="DK115" s="3">
        <f>_xlfn.XLOOKUP(B115,'BASE DE EXCEL'!$C:$C,'BASE DE EXCEL'!AE:AE,"NO HAY REFERENCIA")</f>
        <v>15</v>
      </c>
      <c r="DL115" s="3">
        <f>_xlfn.XLOOKUP(B115,'BASE DE EXCEL'!$C:$C,'BASE DE EXCEL'!AF:AF,"NO HAY REFERENCIA")</f>
        <v>11</v>
      </c>
      <c r="DM115" s="4">
        <f>_xlfn.XLOOKUP(B115,'BASE DE EXCEL'!$C:$C,'BASE DE EXCEL'!AG:AG,"NO HAY REFERENCIA")</f>
        <v>46121</v>
      </c>
      <c r="DN115" s="4">
        <f>_xlfn.XLOOKUP(B115,'BASE DE EXCEL'!$C:$C,'BASE DE EXCEL'!AH:AH,"NO HAY REFERENCIA")</f>
        <v>46121</v>
      </c>
      <c r="DO115" s="3">
        <f>_xlfn.XLOOKUP(B115,'BASE DE EXCEL'!$C:$C,'BASE DE EXCEL'!AI:AI,"NO HAY REFERENCIA")</f>
        <v>0</v>
      </c>
      <c r="DP115" s="4" t="str">
        <f>_xlfn.XLOOKUP(B115,'BASE DE EXCEL'!$C:$C,'BASE DE EXCEL'!AJ:AJ,"NO HAY REFERENCIA")</f>
        <v>11 a 15 días</v>
      </c>
      <c r="DQ115" s="4">
        <f>_xlfn.XLOOKUP(B115,'BASE DE EXCEL'!$C:$C,'BASE DE EXCEL'!AK:AK,"NO HAY REFERENCIA")</f>
        <v>46121</v>
      </c>
      <c r="DR115" s="3">
        <f>_xlfn.XLOOKUP(B115,'BASE DE EXCEL'!$C:$C,'BASE DE EXCEL'!AL:AL,"NO HAY REFERENCIA")</f>
        <v>10</v>
      </c>
      <c r="DS115" s="3" t="str">
        <f>_xlfn.XLOOKUP(B115,'BASE DE EXCEL'!$C:$C,'BASE DE EXCEL'!AM:AM,"NO HAY REFERENCIA")</f>
        <v>6 a 10 días</v>
      </c>
      <c r="DT115" s="3" t="str">
        <f>_xlfn.XLOOKUP(B115,'BASE DE EXCEL'!$C:$C,'BASE DE EXCEL'!AN:AN,"NO HAY REFERENCIA")</f>
        <v>Delayed</v>
      </c>
      <c r="DU115" s="3">
        <f>_xlfn.XLOOKUP(B115,'BASE DE EXCEL'!$C:$C,'BASE DE EXCEL'!AO:AO,"NO HAY REFERENCIA")</f>
        <v>1</v>
      </c>
      <c r="DV115" s="3" t="str">
        <f>_xlfn.XLOOKUP(B115,'BASE DE EXCEL'!$C:$C,'BASE DE EXCEL'!AP:AP,"NO HAY REFERENCIA")</f>
        <v>Es anterior</v>
      </c>
      <c r="DW115" s="3" t="str">
        <f>_xlfn.XLOOKUP(B115,'BASE DE EXCEL'!$C:$C,'BASE DE EXCEL'!AQ:AQ,"NO HAY REFERENCIA")</f>
        <v>A1</v>
      </c>
      <c r="DX115" s="3" t="str">
        <f>_xlfn.XLOOKUP(B115,'BASE DE EXCEL'!$C:$C,'BASE DE EXCEL'!AR:AR,"NO HAY REFERENCIA")</f>
        <v>ZULEIMA PEREZ RUIZ</v>
      </c>
      <c r="DY115" s="3" t="str">
        <f>_xlfn.XLOOKUP(B115,'BASE DE EXCEL'!$C:$C,'BASE DE EXCEL'!AS:AS,"NO HAY REFERENCIA")</f>
        <v>HLCURTM260238200</v>
      </c>
      <c r="DZ115" s="3" t="str">
        <f>_xlfn.XLOOKUP(B115,'BASE DE EXCEL'!$C:$C,'BASE DE EXCEL'!AT:AT,"NO HAY REFERENCIA")</f>
        <v>NULL</v>
      </c>
      <c r="EA115" s="3">
        <f>_xlfn.XLOOKUP(B115,'BASE DE EXCEL'!$C:$C,'BASE DE EXCEL'!AU:AU,"NO HAY REFERENCIA")</f>
        <v>6000363</v>
      </c>
      <c r="EB115" s="3" t="str">
        <f>_xlfn.XLOOKUP(B115,'BASE DE EXCEL'!$C:$C,'BASE DE EXCEL'!AV:AV,"NO HAY REFERENCIA")</f>
        <v>Importación</v>
      </c>
      <c r="EC115" s="3" t="str">
        <f>_xlfn.XLOOKUP(B115,'BASE DE EXCEL'!$C:$C,'BASE DE EXCEL'!AW:AW,"NO HAY REFERENCIA")</f>
        <v>NOBILIS IB 4-91  (VACUNA DE USO VETERINARIO)</v>
      </c>
      <c r="ED115" s="3" t="str">
        <f>_xlfn.XLOOKUP(B115,'BASE DE EXCEL'!$C:$C,'BASE DE EXCEL'!AX:AX,"NO HAY REFERENCIA")</f>
        <v>SIN CLASIFICACION</v>
      </c>
      <c r="EE115" s="3">
        <f>_xlfn.XLOOKUP(B115,'BASE DE EXCEL'!$C:$C,'BASE DE EXCEL'!AY:AY,"NO HAY REFERENCIA")</f>
        <v>0</v>
      </c>
      <c r="EF115" s="3" t="str">
        <f>_xlfn.XLOOKUP(B115,'BASE DE EXCEL'!$C:$C,'BASE DE EXCEL'!AZ:AZ,"NO HAY REFERENCIA")</f>
        <v>Cargas de Importación</v>
      </c>
      <c r="EG115" s="3" t="str">
        <f>_xlfn.XLOOKUP(B115,'BASE DE EXCEL'!$C:$C,'BASE DE EXCEL'!BA:BA,"NO HAY REFERENCIA")</f>
        <v>INTERVET MEXICO SA DE CV</v>
      </c>
      <c r="EH115" s="3">
        <f>_xlfn.XLOOKUP(B115,'BASE DE EXCEL'!$C:$C,'BASE DE EXCEL'!BB:BB,"NO HAY REFERENCIA")</f>
        <v>0</v>
      </c>
      <c r="EI115" s="3" t="str">
        <f>_xlfn.XLOOKUP(B115,'BASE DE EXCEL'!$C:$C,'BASE DE EXCEL'!BC:BC,"NO HAY REFERENCIA")</f>
        <v>FALTA IMPUESTOS</v>
      </c>
      <c r="EJ115" s="3">
        <f>_xlfn.XLOOKUP(B115,'BASE DE EXCEL'!$C:$C,'BASE DE EXCEL'!BD:BD,"NO HAY REFERENCIA")</f>
        <v>0</v>
      </c>
      <c r="EK115" s="3" t="str">
        <f>_xlfn.XLOOKUP(B115,'BASE DE EXCEL'!$C:$C,'BASE DE EXCEL'!BE:BE,"NO HAY REFERENCIA")</f>
        <v>FALTA IMPUESTOS</v>
      </c>
      <c r="EL115" s="3" t="str">
        <f>_xlfn.XLOOKUP(B115,'BASE DE EXCEL'!$C:$C,'BASE DE EXCEL'!BF:BF,"NO HAY REFERENCIA")</f>
        <v>PRODUCTO TERMINADO</v>
      </c>
      <c r="EM115" s="3" t="str">
        <f>_xlfn.XLOOKUP(B115,'BASE DE EXCEL'!$C:$C,'BASE DE EXCEL'!BG:BG,"NO HAY REFERENCIA")</f>
        <v>Rojo</v>
      </c>
      <c r="EN115" s="3" t="str">
        <f>_xlfn.XLOOKUP(B115,'BASE DE EXCEL'!$C:$C,'BASE DE EXCEL'!BH:BH,"NO HAY REFERENCIA")</f>
        <v xml:space="preserve"> SUPER EXPRESS DE CARGA FEDERAL S.A. DE C.V.</v>
      </c>
      <c r="EO115" s="3">
        <f>_xlfn.XLOOKUP(B115,'BASE DE EXCEL'!$C:$C,'BASE DE EXCEL'!BI:BI,"NO HAY REFERENCIA")</f>
        <v>0</v>
      </c>
      <c r="EP115" s="3" t="str">
        <f>_xlfn.XLOOKUP(B115,'BASE DE EXCEL'!$C:$C,'BASE DE EXCEL'!BJ:BJ,"NO HAY REFERENCIA")</f>
        <v>IME-T004</v>
      </c>
      <c r="EQ115" s="3" t="str">
        <f>_xlfn.XLOOKUP(B115,'BASE DE EXCEL'!$C:$C,'BASE DE EXCEL'!BK:BK,"NO HAY REFERENCIA")</f>
        <v>IME850329RH2</v>
      </c>
      <c r="ER115" s="3">
        <f>_xlfn.XLOOKUP(B115,'BASE DE EXCEL'!$C:$C,'BASE DE EXCEL'!BL:BL,"NO HAY REFERENCIA")</f>
        <v>0</v>
      </c>
      <c r="ES115" s="3">
        <f>_xlfn.XLOOKUP(B115,'BASE DE EXCEL'!$C:$C,'BASE DE EXCEL'!BM:BM,"NO HAY REFERENCIA")</f>
        <v>99</v>
      </c>
      <c r="ET115" s="3" t="str">
        <f>_xlfn.XLOOKUP(B115,'BASE DE EXCEL'!$C:$C,'BASE DE EXCEL'!BN:BN,"NO HAY REFERENCIA")</f>
        <v>LOTE: SA726AA17,LOTE: SA747AA17,LOTE: A313A01,LOTE: B294A01,LOTE: A061A02,LOTE: A333A02,LOTE: A610FB01,LOTE: 1E080A02,LOTE: B290A01</v>
      </c>
      <c r="EU115" s="3">
        <f>_xlfn.XLOOKUP(B115,'BASE DE EXCEL'!$C:$C,'BASE DE EXCEL'!BO:BO,"NO HAY REFERENCIA")</f>
        <v>90</v>
      </c>
      <c r="EV115" s="3" t="str">
        <f>_xlfn.XLOOKUP(B115,'BASE DE EXCEL'!$C:$C,'BASE DE EXCEL'!BP:BP,"NO HAY REFERENCIA")</f>
        <v xml:space="preserve"> 368740.59, 12202490.96, 10460124.66, 9453419.98</v>
      </c>
      <c r="EW115" s="3" t="str">
        <f>_xlfn.XLOOKUP(B115,'BASE DE EXCEL'!$C:$C,'BASE DE EXCEL'!BQ:BQ,"NO HAY REFERENCIA")</f>
        <v>KILO,KILO,KILO,KILO,KILO,KILO,KILO,KILO,KILO</v>
      </c>
      <c r="EX115" s="3">
        <f>_xlfn.XLOOKUP(B115,'BASE DE EXCEL'!$C:$C,'BASE DE EXCEL'!BR:BR,"NO HAY REFERENCIA")</f>
        <v>0</v>
      </c>
      <c r="EY115" s="3" t="str">
        <f>_xlfn.XLOOKUP(B115,'BASE DE EXCEL'!$C:$C,'BASE DE EXCEL'!BS:BS,"NO HAY REFERENCIA")</f>
        <v>PAISES BAJOS (REINO DE LOS) (HOLANDA)</v>
      </c>
      <c r="EZ115" s="3" t="str">
        <f>_xlfn.XLOOKUP(B115,'BASE DE EXCEL'!$C:$C,'BASE DE EXCEL'!BT:BT,"NO HAY REFERENCIA")</f>
        <v>PAISES BAJOS (REINO DE LOS) (HOLANDA)</v>
      </c>
      <c r="FA115" s="3" t="str">
        <f>_xlfn.XLOOKUP(B115,'BASE DE EXCEL'!$C:$C,'BASE DE EXCEL'!BU:BU,"NO HAY REFERENCIA")</f>
        <v>ZYA</v>
      </c>
      <c r="FB115" s="3" t="str">
        <f>_xlfn.XLOOKUP(B115,'BASE DE EXCEL'!$C:$C,'BASE DE EXCEL'!BV:BV,"NO HAY REFERENCIA")</f>
        <v>ZYA</v>
      </c>
      <c r="FC115" s="3">
        <f>_xlfn.XLOOKUP(B115,QUERY!$C:$C,QUERY!D:D)</f>
        <v>430</v>
      </c>
      <c r="FD115" s="4">
        <f>_xlfn.XLOOKUP(B115,QUERY!$C:$C,QUERY!E:E)</f>
        <v>46105</v>
      </c>
      <c r="FE115" s="3">
        <f>_xlfn.XLOOKUP(B115,QUERY!$C:$C,QUERY!F:F)</f>
        <v>3</v>
      </c>
      <c r="FF115" s="4">
        <f>_xlfn.XLOOKUP(B115,QUERY!$C:$C,QUERY!G:G)</f>
        <v>46097</v>
      </c>
      <c r="FG115" s="4">
        <f>_xlfn.XLOOKUP(B115,QUERY!$C:$C,QUERY!H:H)</f>
        <v>46105</v>
      </c>
      <c r="FH115" s="3">
        <f>_xlfn.XLOOKUP(B115,QUERY!$C:$C,QUERY!I:I)</f>
        <v>6</v>
      </c>
      <c r="FI115" s="3" t="str">
        <f>_xlfn.XLOOKUP(B115,QUERY!$C:$C,QUERY!J:J)</f>
        <v>6 a 10 días</v>
      </c>
      <c r="FJ115" s="4">
        <f>_xlfn.XLOOKUP(B115,QUERY!$C:$C,QUERY!K:K)</f>
        <v>46105</v>
      </c>
      <c r="FK115" s="3">
        <f>_xlfn.XLOOKUP(B115,QUERY!$C:$C,QUERY!L:L)</f>
        <v>6</v>
      </c>
      <c r="FL115" s="3" t="str">
        <f>_xlfn.XLOOKUP(B115,QUERY!$C:$C,QUERY!M:M)</f>
        <v>6 a 10 días</v>
      </c>
      <c r="FM115" s="3">
        <f>_xlfn.XLOOKUP(B115,QUERY!$C:$C,QUERY!N:N)</f>
        <v>0</v>
      </c>
      <c r="FN115" s="3" t="str">
        <f>_xlfn.XLOOKUP(B115,QUERY!$C:$C,QUERY!O:O)</f>
        <v>1 día o menos</v>
      </c>
      <c r="FO115" s="3">
        <f>_xlfn.XLOOKUP(B115,QUERY!$C:$C,QUERY!P:P)</f>
        <v>0</v>
      </c>
      <c r="FP115" s="3">
        <f>_xlfn.XLOOKUP(B115,QUERY!$C:$C,QUERY!Q:Q)</f>
        <v>1</v>
      </c>
      <c r="FQ115" s="3" t="str">
        <f>_xlfn.XLOOKUP(B115,QUERY!$C:$C,QUERY!R:R)</f>
        <v>1 día o menos</v>
      </c>
      <c r="FR115" s="4">
        <f>_xlfn.XLOOKUP(B115,QUERY!$C:$C,QUERY!S:S)</f>
        <v>46106</v>
      </c>
      <c r="FS115" s="3">
        <f>_xlfn.XLOOKUP(B115,QUERY!$C:$C,QUERY!T:T)</f>
        <v>7</v>
      </c>
      <c r="FT115" s="3" t="str">
        <f>_xlfn.XLOOKUP(B115,QUERY!$C:$C,QUERY!U:U)</f>
        <v>6 a 10 días</v>
      </c>
      <c r="FU115" s="3">
        <f>_xlfn.XLOOKUP(B115,QUERY!$C:$C,QUERY!V:V)</f>
        <v>18</v>
      </c>
      <c r="FV115" s="3" t="str">
        <f>_xlfn.XLOOKUP(B115,QUERY!$C:$C,QUERY!W:W)</f>
        <v>más de 16 días</v>
      </c>
      <c r="FW115" s="4">
        <f>_xlfn.XLOOKUP(B115,QUERY!$C:$C,QUERY!X:X)</f>
        <v>46121</v>
      </c>
      <c r="FX115" s="3">
        <f>_xlfn.XLOOKUP(B115,QUERY!$C:$C,QUERY!Y:Y)</f>
        <v>11</v>
      </c>
      <c r="FY115" s="3">
        <f>_xlfn.XLOOKUP(B115,QUERY!$C:$C,QUERY!Z:Z)</f>
        <v>11</v>
      </c>
      <c r="FZ115" s="4" t="str">
        <f>_xlfn.XLOOKUP(B115,QUERY!$C:$C,QUERY!AA:AA)</f>
        <v>11 a 15 días</v>
      </c>
      <c r="GA115" s="4">
        <f>_xlfn.XLOOKUP(B115,QUERY!$C:$C,QUERY!AB:AB)</f>
        <v>46121</v>
      </c>
      <c r="GB115" s="4">
        <f>_xlfn.XLOOKUP(B115,QUERY!$C:$C,QUERY!AC:AC)</f>
        <v>46121</v>
      </c>
      <c r="GC115" s="3">
        <f>_xlfn.XLOOKUP(B115,QUERY!$C:$C,QUERY!AD:AD)</f>
        <v>0</v>
      </c>
      <c r="GD115" s="4">
        <f>_xlfn.XLOOKUP(B115,QUERY!$C:$C,QUERY!AE:AE)</f>
        <v>46121</v>
      </c>
      <c r="GE115" s="3">
        <f>_xlfn.XLOOKUP(B115,QUERY!$C:$C,QUERY!AF:AF)</f>
        <v>1</v>
      </c>
      <c r="GF115" s="4" t="str">
        <f>_xlfn.XLOOKUP(B115,QUERY!$C:$C,QUERY!AG:AG)</f>
        <v>Es anterior</v>
      </c>
      <c r="GG115" s="3" t="str">
        <f>_xlfn.XLOOKUP(B115,QUERY!$C:$C,QUERY!AH:AH)</f>
        <v>A1</v>
      </c>
      <c r="GH115" s="3" t="str">
        <f>_xlfn.XLOOKUP(B115,QUERY!$C:$C,QUERY!AI:AI)</f>
        <v>ZULEIMA PEREZ RUIZ</v>
      </c>
      <c r="GI115" s="3" t="str">
        <f>_xlfn.XLOOKUP(B115,QUERY!$C:$C,QUERY!AJ:AJ)</f>
        <v>HLCURTM260238200</v>
      </c>
      <c r="GJ115" s="3" t="str">
        <f>_xlfn.XLOOKUP(B115,QUERY!$C:$C,QUERY!AK:AK)</f>
        <v>NULL</v>
      </c>
      <c r="GK115" s="3">
        <f>_xlfn.XLOOKUP(B115,QUERY!$C:$C,QUERY!AL:AL)</f>
        <v>6000363</v>
      </c>
      <c r="GL115" s="3" t="str">
        <f>_xlfn.XLOOKUP(B115,QUERY!$C:$C,QUERY!AM:AM)</f>
        <v>Importación</v>
      </c>
      <c r="GM115" s="3" t="str">
        <f>_xlfn.XLOOKUP(B115,QUERY!$C:$C,QUERY!AN:AN)</f>
        <v>NOBILIS IB 4-91  (VACUNA DE USO VETERINARIO)</v>
      </c>
      <c r="GN115" s="3" t="str">
        <f>_xlfn.XLOOKUP(B115,QUERY!$C:$C,QUERY!AO:AO)</f>
        <v>SIN CLASIFICACION</v>
      </c>
      <c r="GO115" s="3">
        <f>_xlfn.XLOOKUP(B115,QUERY!$C:$C,QUERY!AP:AP)</f>
        <v>0</v>
      </c>
      <c r="GP115" s="3" t="str">
        <f>_xlfn.XLOOKUP(B115,QUERY!$C:$C,QUERY!AQ:AQ)</f>
        <v>Cargas de Importación</v>
      </c>
      <c r="GQ115" s="3" t="str">
        <f>_xlfn.XLOOKUP(B115,QUERY!$C:$C,QUERY!AR:AR)</f>
        <v>INTERVET MEXICO SA DE CV</v>
      </c>
      <c r="GR115" s="3">
        <f>_xlfn.XLOOKUP(B115,QUERY!$C:$C,QUERY!AS:AS)</f>
        <v>0</v>
      </c>
      <c r="GS115" s="3" t="str">
        <f>_xlfn.XLOOKUP(B115,QUERY!$C:$C,QUERY!AT:AT)</f>
        <v>FALTA IMPUESTOS</v>
      </c>
      <c r="GT115" s="3">
        <f>_xlfn.XLOOKUP(B115,QUERY!$C:$C,QUERY!AU:AU)</f>
        <v>0</v>
      </c>
      <c r="GU115" s="3" t="str">
        <f>_xlfn.XLOOKUP(B115,QUERY!$C:$C,QUERY!AV:AV)</f>
        <v>FALTA IMPUESTOS</v>
      </c>
      <c r="GV115" s="3" t="str">
        <f>_xlfn.XLOOKUP(B115,QUERY!$C:$C,QUERY!AW:AW)</f>
        <v>PRODUCTO TERMINADO</v>
      </c>
      <c r="GW115" s="3" t="str">
        <f>_xlfn.XLOOKUP(B115,QUERY!$C:$C,QUERY!AX:AX)</f>
        <v>Rojo</v>
      </c>
      <c r="GX115" s="3" t="str">
        <f>_xlfn.XLOOKUP(B115,QUERY!$C:$C,QUERY!AY:AY)</f>
        <v xml:space="preserve"> SUPER EXPRESS DE CARGA FEDERAL S.A. DE C.V.</v>
      </c>
      <c r="GY115" s="3">
        <f>_xlfn.XLOOKUP(B115,QUERY!$C:$C,QUERY!AZ:AZ)</f>
        <v>0</v>
      </c>
      <c r="GZ115" s="3" t="str">
        <f>_xlfn.XLOOKUP(B115,QUERY!$C:$C,QUERY!BA:BA)</f>
        <v>IME-T004</v>
      </c>
      <c r="HA115" s="3" t="str">
        <f>_xlfn.XLOOKUP(B115,QUERY!$C:$C,QUERY!BB:BB)</f>
        <v>IME850329RH2</v>
      </c>
      <c r="HB115" s="3">
        <f>_xlfn.XLOOKUP(B115,QUERY!$C:$C,QUERY!BC:BC)</f>
        <v>0</v>
      </c>
      <c r="HC115" s="3">
        <f>_xlfn.XLOOKUP(B115,QUERY!$C:$C,QUERY!BD:BD)</f>
        <v>99</v>
      </c>
      <c r="HD115" s="3" t="str">
        <f>_xlfn.XLOOKUP(B115,QUERY!$C:$C,QUERY!BE:BE)</f>
        <v>LOTE: SA726AA17,LOTE: SA747AA17,LOTE: A313A01,LOTE: B294A01,LOTE: A061A02,LOTE: A333A02,LOTE: A610FB01,LOTE: B290A01,LOTE: 1E080A02</v>
      </c>
      <c r="HE115" s="3">
        <f>_xlfn.XLOOKUP(B115,QUERY!$C:$C,QUERY!BF:BF)</f>
        <v>90</v>
      </c>
      <c r="HF115" s="3" t="str">
        <f>_xlfn.XLOOKUP(B115,QUERY!$C:$C,QUERY!BG:BG)</f>
        <v xml:space="preserve"> 368740.59, 12202490.96, 10460124.66, 9453419.98</v>
      </c>
      <c r="HG115" s="3" t="str">
        <f>_xlfn.XLOOKUP(B115,QUERY!$C:$C,QUERY!BH:BH)</f>
        <v>KILO,KILO,KILO,KILO,KILO,KILO,KILO,KILO,KILO</v>
      </c>
      <c r="HH115" s="3">
        <f>_xlfn.XLOOKUP(B115,QUERY!$C:$C,QUERY!BI:BI)</f>
        <v>0</v>
      </c>
      <c r="HI115" s="3" t="str">
        <f>_xlfn.XLOOKUP(B115,QUERY!$C:$C,QUERY!BJ:BJ)</f>
        <v>PAISES BAJOS (REINO DE LOS) (HOLANDA)</v>
      </c>
      <c r="HJ115" s="3" t="str">
        <f>_xlfn.XLOOKUP(B115,QUERY!$C:$C,QUERY!BK:BK)</f>
        <v>PAISES BAJOS (REINO DE LOS) (HOLANDA)</v>
      </c>
      <c r="HK115" s="3" t="str">
        <f>_xlfn.XLOOKUP(B115,QUERY!$C:$C,QUERY!BL:BL)</f>
        <v>ZYA</v>
      </c>
      <c r="HL115" s="3" t="str">
        <f>_xlfn.XLOOKUP(B115,QUERY!$C:$C,QUERY!BM:BM)</f>
        <v>ZYA</v>
      </c>
      <c r="HM115" s="3">
        <f>_xlfn.XLOOKUP(B115,QUERY!$C:$C,QUERY!BN:BN)</f>
        <v>32484777</v>
      </c>
      <c r="HN115" s="3" t="str">
        <f>_xlfn.XLOOKUP(B115,QUERY!$C:$C,QUERY!BO:BO)</f>
        <v>462.00</v>
      </c>
      <c r="HO115" s="3" t="str">
        <f>_xlfn.XLOOKUP(B115,QUERY!$C:$C,QUERY!BP:BP)</f>
        <v>NULL</v>
      </c>
      <c r="HP115" s="3" t="str">
        <f>_xlfn.XLOOKUP(B115,QUERY!$C:$C,QUERY!BQ:BQ)</f>
        <v>NULL</v>
      </c>
      <c r="HQ115" s="3" t="str">
        <f>_xlfn.XLOOKUP(B115,QUERY!$C:$C,QUERY!BR:BR)</f>
        <v>218768.33</v>
      </c>
      <c r="HR115" s="3">
        <f>_xlfn.XLOOKUP(B115,QUERY!$C:$C,QUERY!BS:BS)</f>
        <v>0</v>
      </c>
      <c r="HS115" s="3">
        <f>_xlfn.XLOOKUP(B115,QUERY!$C:$C,QUERY!BT:BT)</f>
        <v>0</v>
      </c>
      <c r="HT115" s="3" t="str">
        <f>_xlfn.XLOOKUP(B115,QUERY!$C:$C,QUERY!A:A)</f>
        <v>VERACRUZ</v>
      </c>
      <c r="HU115" s="3" t="str">
        <f>_xlfn.XLOOKUP(B115,QUERY!$C:$C,QUERY!B:B)</f>
        <v>MARÍTIMO VERACRUZ</v>
      </c>
    </row>
    <row r="116" spans="1:229" x14ac:dyDescent="0.25">
      <c r="A116" s="3" t="s">
        <v>90</v>
      </c>
      <c r="B116" s="3" t="s">
        <v>322</v>
      </c>
      <c r="C116" s="3">
        <v>3942</v>
      </c>
      <c r="D116" s="3">
        <v>6000371</v>
      </c>
      <c r="E116" s="3"/>
      <c r="F116" s="3" t="s">
        <v>92</v>
      </c>
      <c r="G116" s="3" t="s">
        <v>93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17.677</v>
      </c>
      <c r="Q116" s="3">
        <v>2252</v>
      </c>
      <c r="R116" s="3">
        <v>430</v>
      </c>
      <c r="S116" s="3" t="s">
        <v>323</v>
      </c>
      <c r="T116" s="3" t="s">
        <v>95</v>
      </c>
      <c r="U116" s="3">
        <v>10515563</v>
      </c>
      <c r="V116" s="3">
        <v>10515563</v>
      </c>
      <c r="W116" s="3">
        <v>0</v>
      </c>
      <c r="X116" s="3">
        <v>0</v>
      </c>
      <c r="Y116" s="3">
        <v>0</v>
      </c>
      <c r="Z116" s="3">
        <v>0</v>
      </c>
      <c r="AA116" s="3" t="s">
        <v>324</v>
      </c>
      <c r="AB116" s="3"/>
      <c r="AC116" s="3">
        <v>3921751</v>
      </c>
      <c r="AD116" s="3">
        <v>145.79</v>
      </c>
      <c r="AE116" s="3">
        <v>354</v>
      </c>
      <c r="AF116" s="3">
        <v>10</v>
      </c>
      <c r="AG116" s="3">
        <v>598513</v>
      </c>
      <c r="AH116" s="3">
        <v>0</v>
      </c>
      <c r="AI116" s="3">
        <v>53</v>
      </c>
      <c r="AJ116" s="3">
        <v>47881</v>
      </c>
      <c r="AK116" s="3">
        <v>0</v>
      </c>
      <c r="AL116" s="3">
        <v>0</v>
      </c>
      <c r="AM116" s="3">
        <v>330</v>
      </c>
      <c r="AN116" s="3">
        <v>646777</v>
      </c>
      <c r="AO116" s="3" t="s">
        <v>97</v>
      </c>
      <c r="AP116" s="3" t="s">
        <v>98</v>
      </c>
      <c r="AQ116" s="3">
        <v>210366709</v>
      </c>
      <c r="AR116" s="3" t="s">
        <v>99</v>
      </c>
      <c r="AS116" s="3" t="s">
        <v>100</v>
      </c>
      <c r="AT116" s="3" t="s">
        <v>325</v>
      </c>
      <c r="AU116" s="3"/>
      <c r="AV116" s="3" t="s">
        <v>102</v>
      </c>
      <c r="AW116" s="3">
        <v>30049099</v>
      </c>
      <c r="AX116" s="3">
        <v>99</v>
      </c>
      <c r="AY116" s="3">
        <v>26900</v>
      </c>
      <c r="AZ116" s="3">
        <v>26900</v>
      </c>
      <c r="BA116" s="3" t="s">
        <v>103</v>
      </c>
      <c r="BB116" s="3"/>
      <c r="BC116" s="3" t="s">
        <v>133</v>
      </c>
      <c r="BD116" s="3" t="s">
        <v>105</v>
      </c>
      <c r="BE116" s="3" t="s">
        <v>106</v>
      </c>
      <c r="BF116" s="3"/>
      <c r="BG116" s="5"/>
      <c r="BH116" s="3"/>
      <c r="BI116" s="3"/>
      <c r="BJ116" s="3" t="s">
        <v>109</v>
      </c>
      <c r="BK116" s="3" t="s">
        <v>326</v>
      </c>
      <c r="BL116" s="3">
        <v>44297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22189.59</v>
      </c>
      <c r="BY116" s="3">
        <v>0</v>
      </c>
      <c r="BZ116" s="3">
        <v>0</v>
      </c>
      <c r="CA116" s="3">
        <v>5163.37</v>
      </c>
      <c r="CB116" s="3">
        <v>15799.61</v>
      </c>
      <c r="CC116" s="3">
        <v>2651.14</v>
      </c>
      <c r="CD116" s="3">
        <v>142313.69</v>
      </c>
      <c r="CE116" s="3" t="s">
        <v>192</v>
      </c>
      <c r="CF116" s="3">
        <v>142313.69</v>
      </c>
      <c r="CG116" s="3">
        <v>0</v>
      </c>
      <c r="CH116" s="3">
        <v>0</v>
      </c>
      <c r="CI116" s="3" t="s">
        <v>112</v>
      </c>
      <c r="CJ116" s="3" t="s">
        <v>112</v>
      </c>
      <c r="CK116" s="3">
        <f>_xlfn.XLOOKUP($B$2,'BASE DE EXCEL'!C:C,'BASE DE EXCEL'!D:D,"NO HAY REFERENCIA")</f>
        <v>470</v>
      </c>
      <c r="CL116" s="5">
        <f>_xlfn.XLOOKUP($B$2,'BASE DE EXCEL'!$C:$C,'BASE DE EXCEL'!F:F,"NO HAY REFERENCIA")</f>
        <v>3</v>
      </c>
      <c r="CM116" s="4">
        <f>_xlfn.XLOOKUP($B$2,'BASE DE EXCEL'!$C:$C,'BASE DE EXCEL'!G:G,"NO HAY REFERENCIA")</f>
        <v>46080</v>
      </c>
      <c r="CN116" s="4">
        <f>_xlfn.XLOOKUP($B$2,'BASE DE EXCEL'!$C:$C,'BASE DE EXCEL'!H:H,"NO HAY REFERENCIA")</f>
        <v>46086</v>
      </c>
      <c r="CO116" s="3">
        <f>_xlfn.XLOOKUP($B$2,'BASE DE EXCEL'!$C:$C,'BASE DE EXCEL'!I:I,"NO HAY REFERENCIA")</f>
        <v>4</v>
      </c>
      <c r="CP116" s="3" t="str">
        <f>_xlfn.XLOOKUP($B$2,'BASE DE EXCEL'!$C:$C,'BASE DE EXCEL'!J:J,"NO HAY REFERENCIA")</f>
        <v>4 a 5 días</v>
      </c>
      <c r="CQ116" s="4">
        <f>_xlfn.XLOOKUP($B$2,'BASE DE EXCEL'!$C:$C,'BASE DE EXCEL'!K:K,"NO HAY REFERENCIA")</f>
        <v>46087</v>
      </c>
      <c r="CR116" s="3">
        <f>_xlfn.XLOOKUP($B$2,'BASE DE EXCEL'!$C:$C,'BASE DE EXCEL'!L:L,"NO HAY REFERENCIA")</f>
        <v>5</v>
      </c>
      <c r="CS116" s="3">
        <f>_xlfn.XLOOKUP($B$2,'BASE DE EXCEL'!$C:$C,'BASE DE EXCEL'!M:M,"NO HAY REFERENCIA")</f>
        <v>6</v>
      </c>
      <c r="CT116" s="3" t="str">
        <f>_xlfn.XLOOKUP($B$2,'BASE DE EXCEL'!$C:$C,'BASE DE EXCEL'!N:N,"NO HAY REFERENCIA")</f>
        <v>6 a 10 días</v>
      </c>
      <c r="CU116" s="3" t="str">
        <f>_xlfn.XLOOKUP($B$2,'BASE DE EXCEL'!$C:$C,'BASE DE EXCEL'!O:O,"NO HAY REFERENCIA")</f>
        <v>On Time</v>
      </c>
      <c r="CV116" s="3" t="str">
        <f>_xlfn.XLOOKUP(B116,'BASE DE EXCEL'!$C:$C,'BASE DE EXCEL'!P:P,"NO HAY REFERENCIA")</f>
        <v>4 a 5 días</v>
      </c>
      <c r="CW116" s="4">
        <f>_xlfn.XLOOKUP(B116,'BASE DE EXCEL'!$C:$C,'BASE DE EXCEL'!Q:Q,"NO HAY REFERENCIA")</f>
        <v>46095</v>
      </c>
      <c r="CX116" s="3">
        <f>_xlfn.XLOOKUP(B116,'BASE DE EXCEL'!$C:$C,'BASE DE EXCEL'!R:R,"NO HAY REFERENCIA")</f>
        <v>5</v>
      </c>
      <c r="CY116" s="3" t="str">
        <f>_xlfn.XLOOKUP(B116,'BASE DE EXCEL'!$C:$C,'BASE DE EXCEL'!S:S,"NO HAY REFERENCIA")</f>
        <v>4 a 5 días</v>
      </c>
      <c r="CZ116" s="3" t="str">
        <f>_xlfn.XLOOKUP(B116,'BASE DE EXCEL'!$C:$C,'BASE DE EXCEL'!T:T,"NO HAY REFERENCIA")</f>
        <v>On Time</v>
      </c>
      <c r="DA116" s="3">
        <f>_xlfn.XLOOKUP(B116,'BASE DE EXCEL'!$C:$C,'BASE DE EXCEL'!U:U,"NO HAY REFERENCIA")</f>
        <v>5</v>
      </c>
      <c r="DB116" s="3" t="str">
        <f>_xlfn.XLOOKUP(B116,'BASE DE EXCEL'!$C:$C,'BASE DE EXCEL'!V:V,"NO HAY REFERENCIA")</f>
        <v>4 a 5 días</v>
      </c>
      <c r="DC116" s="3">
        <f>_xlfn.XLOOKUP(B116,'BASE DE EXCEL'!$C:$C,'BASE DE EXCEL'!W:W,"NO HAY REFERENCIA")</f>
        <v>16</v>
      </c>
      <c r="DD116" s="3" t="str">
        <f>_xlfn.XLOOKUP(B116,'BASE DE EXCEL'!$C:$C,'BASE DE EXCEL'!X:X,"NO HAY REFERENCIA")</f>
        <v>más de 16 días</v>
      </c>
      <c r="DE116" s="3">
        <f>_xlfn.XLOOKUP(B116,'BASE DE EXCEL'!$C:$C,'BASE DE EXCEL'!Y:Y,"NO HAY REFERENCIA")</f>
        <v>1</v>
      </c>
      <c r="DF116" s="3" t="str">
        <f>_xlfn.XLOOKUP(B116,'BASE DE EXCEL'!$C:$C,'BASE DE EXCEL'!Z:Z,"NO HAY REFERENCIA")</f>
        <v>1 día o menos</v>
      </c>
      <c r="DG116" s="3">
        <f>_xlfn.XLOOKUP(B116,'BASE DE EXCEL'!$C:$C,'BASE DE EXCEL'!AA:AA,"NO HAY REFERENCIA")</f>
        <v>3</v>
      </c>
      <c r="DH116" s="3">
        <f>_xlfn.XLOOKUP(B116,'BASE DE EXCEL'!$C:$C,'BASE DE EXCEL'!AB:AB,"NO HAY REFERENCIA")</f>
        <v>1</v>
      </c>
      <c r="DI116" s="3" t="str">
        <f>_xlfn.XLOOKUP(B116,'BASE DE EXCEL'!$C:$C,'BASE DE EXCEL'!AC:AC,"NO HAY REFERENCIA")</f>
        <v>1 día o menos</v>
      </c>
      <c r="DJ116" s="4">
        <f>_xlfn.XLOOKUP(B116,'BASE DE EXCEL'!$C:$C,'BASE DE EXCEL'!AD:AD,"NO HAY REFERENCIA")</f>
        <v>46112</v>
      </c>
      <c r="DK116" s="3">
        <f>_xlfn.XLOOKUP(B116,'BASE DE EXCEL'!$C:$C,'BASE DE EXCEL'!AE:AE,"NO HAY REFERENCIA")</f>
        <v>16</v>
      </c>
      <c r="DL116" s="3">
        <f>_xlfn.XLOOKUP(B116,'BASE DE EXCEL'!$C:$C,'BASE DE EXCEL'!AF:AF,"NO HAY REFERENCIA")</f>
        <v>11</v>
      </c>
      <c r="DM116" s="4">
        <f>_xlfn.XLOOKUP(B116,'BASE DE EXCEL'!$C:$C,'BASE DE EXCEL'!AG:AG,"NO HAY REFERENCIA")</f>
        <v>46111</v>
      </c>
      <c r="DN116" s="4">
        <f>_xlfn.XLOOKUP(B116,'BASE DE EXCEL'!$C:$C,'BASE DE EXCEL'!AH:AH,"NO HAY REFERENCIA")</f>
        <v>46112</v>
      </c>
      <c r="DO116" s="3">
        <f>_xlfn.XLOOKUP(B116,'BASE DE EXCEL'!$C:$C,'BASE DE EXCEL'!AI:AI,"NO HAY REFERENCIA")</f>
        <v>1</v>
      </c>
      <c r="DP116" s="4" t="str">
        <f>_xlfn.XLOOKUP(B116,'BASE DE EXCEL'!$C:$C,'BASE DE EXCEL'!AJ:AJ,"NO HAY REFERENCIA")</f>
        <v>más de 16 días</v>
      </c>
      <c r="DQ116" s="4">
        <f>_xlfn.XLOOKUP(B116,'BASE DE EXCEL'!$C:$C,'BASE DE EXCEL'!AK:AK,"NO HAY REFERENCIA")</f>
        <v>46112</v>
      </c>
      <c r="DR116" s="3">
        <f>_xlfn.XLOOKUP(B116,'BASE DE EXCEL'!$C:$C,'BASE DE EXCEL'!AL:AL,"NO HAY REFERENCIA")</f>
        <v>11</v>
      </c>
      <c r="DS116" s="3" t="str">
        <f>_xlfn.XLOOKUP(B116,'BASE DE EXCEL'!$C:$C,'BASE DE EXCEL'!AM:AM,"NO HAY REFERENCIA")</f>
        <v>11 a 15 días</v>
      </c>
      <c r="DT116" s="3" t="str">
        <f>_xlfn.XLOOKUP(B116,'BASE DE EXCEL'!$C:$C,'BASE DE EXCEL'!AN:AN,"NO HAY REFERENCIA")</f>
        <v>Delayed</v>
      </c>
      <c r="DU116" s="3">
        <f>_xlfn.XLOOKUP(B116,'BASE DE EXCEL'!$C:$C,'BASE DE EXCEL'!AO:AO,"NO HAY REFERENCIA")</f>
        <v>1</v>
      </c>
      <c r="DV116" s="3" t="str">
        <f>_xlfn.XLOOKUP(B116,'BASE DE EXCEL'!$C:$C,'BASE DE EXCEL'!AP:AP,"NO HAY REFERENCIA")</f>
        <v>Es anterior</v>
      </c>
      <c r="DW116" s="3" t="str">
        <f>_xlfn.XLOOKUP(B116,'BASE DE EXCEL'!$C:$C,'BASE DE EXCEL'!AQ:AQ,"NO HAY REFERENCIA")</f>
        <v>A1</v>
      </c>
      <c r="DX116" s="3" t="str">
        <f>_xlfn.XLOOKUP(B116,'BASE DE EXCEL'!$C:$C,'BASE DE EXCEL'!AR:AR,"NO HAY REFERENCIA")</f>
        <v>ZULEIMA PEREZ RUIZ</v>
      </c>
      <c r="DY116" s="3" t="str">
        <f>_xlfn.XLOOKUP(B116,'BASE DE EXCEL'!$C:$C,'BASE DE EXCEL'!AS:AS,"NO HAY REFERENCIA")</f>
        <v>HLCUHAM260271930</v>
      </c>
      <c r="DZ116" s="3" t="str">
        <f>_xlfn.XLOOKUP(B116,'BASE DE EXCEL'!$C:$C,'BASE DE EXCEL'!AT:AT,"NO HAY REFERENCIA")</f>
        <v>NULL</v>
      </c>
      <c r="EA116" s="3">
        <f>_xlfn.XLOOKUP(B116,'BASE DE EXCEL'!$C:$C,'BASE DE EXCEL'!AU:AU,"NO HAY REFERENCIA")</f>
        <v>6000371</v>
      </c>
      <c r="EB116" s="3" t="str">
        <f>_xlfn.XLOOKUP(B116,'BASE DE EXCEL'!$C:$C,'BASE DE EXCEL'!AV:AV,"NO HAY REFERENCIA")</f>
        <v>Importación</v>
      </c>
      <c r="EC116" s="3" t="str">
        <f>_xlfn.XLOOKUP(B116,'BASE DE EXCEL'!$C:$C,'BASE DE EXCEL'!AW:AW,"NO HAY REFERENCIA")</f>
        <v>BRAVECTO 112.5 MG (MEDICAMENTO DOSIFICADO DE USO VETERINARIO)</v>
      </c>
      <c r="ED116" s="3" t="str">
        <f>_xlfn.XLOOKUP(B116,'BASE DE EXCEL'!$C:$C,'BASE DE EXCEL'!AX:AX,"NO HAY REFERENCIA")</f>
        <v>SIN CLASIFICACION</v>
      </c>
      <c r="EE116" s="3">
        <f>_xlfn.XLOOKUP(B116,'BASE DE EXCEL'!$C:$C,'BASE DE EXCEL'!AY:AY,"NO HAY REFERENCIA")</f>
        <v>0</v>
      </c>
      <c r="EF116" s="3" t="str">
        <f>_xlfn.XLOOKUP(B116,'BASE DE EXCEL'!$C:$C,'BASE DE EXCEL'!AZ:AZ,"NO HAY REFERENCIA")</f>
        <v>Cargas de Importación</v>
      </c>
      <c r="EG116" s="3" t="str">
        <f>_xlfn.XLOOKUP(B116,'BASE DE EXCEL'!$C:$C,'BASE DE EXCEL'!BA:BA,"NO HAY REFERENCIA")</f>
        <v>INTERVET MEXICO SA DE CV</v>
      </c>
      <c r="EH116" s="3">
        <f>_xlfn.XLOOKUP(B116,'BASE DE EXCEL'!$C:$C,'BASE DE EXCEL'!BB:BB,"NO HAY REFERENCIA")</f>
        <v>0</v>
      </c>
      <c r="EI116" s="3">
        <f>_xlfn.XLOOKUP(B116,'BASE DE EXCEL'!$C:$C,'BASE DE EXCEL'!BC:BC,"NO HAY REFERENCIA")</f>
        <v>0</v>
      </c>
      <c r="EJ116" s="3">
        <f>_xlfn.XLOOKUP(B116,'BASE DE EXCEL'!$C:$C,'BASE DE EXCEL'!BD:BD,"NO HAY REFERENCIA")</f>
        <v>0</v>
      </c>
      <c r="EK116" s="3">
        <f>_xlfn.XLOOKUP(B116,'BASE DE EXCEL'!$C:$C,'BASE DE EXCEL'!BE:BE,"NO HAY REFERENCIA")</f>
        <v>0</v>
      </c>
      <c r="EL116" s="3" t="str">
        <f>_xlfn.XLOOKUP(B116,'BASE DE EXCEL'!$C:$C,'BASE DE EXCEL'!BF:BF,"NO HAY REFERENCIA")</f>
        <v>PRODUCTO TERMINADO</v>
      </c>
      <c r="EM116" s="3" t="str">
        <f>_xlfn.XLOOKUP(B116,'BASE DE EXCEL'!$C:$C,'BASE DE EXCEL'!BG:BG,"NO HAY REFERENCIA")</f>
        <v>Verde</v>
      </c>
      <c r="EN116" s="3" t="str">
        <f>_xlfn.XLOOKUP(B116,'BASE DE EXCEL'!$C:$C,'BASE DE EXCEL'!BH:BH,"NO HAY REFERENCIA")</f>
        <v xml:space="preserve"> SUPER EXPRESS DE CARGA FEDERAL S.A. DE C.V.</v>
      </c>
      <c r="EO116" s="3">
        <f>_xlfn.XLOOKUP(B116,'BASE DE EXCEL'!$C:$C,'BASE DE EXCEL'!BI:BI,"NO HAY REFERENCIA")</f>
        <v>0</v>
      </c>
      <c r="EP116" s="3" t="str">
        <f>_xlfn.XLOOKUP(B116,'BASE DE EXCEL'!$C:$C,'BASE DE EXCEL'!BJ:BJ,"NO HAY REFERENCIA")</f>
        <v>IME-T004</v>
      </c>
      <c r="EQ116" s="3" t="str">
        <f>_xlfn.XLOOKUP(B116,'BASE DE EXCEL'!$C:$C,'BASE DE EXCEL'!BK:BK,"NO HAY REFERENCIA")</f>
        <v>IME850329RH2</v>
      </c>
      <c r="ER116" s="3">
        <f>_xlfn.XLOOKUP(B116,'BASE DE EXCEL'!$C:$C,'BASE DE EXCEL'!BL:BL,"NO HAY REFERENCIA")</f>
        <v>0</v>
      </c>
      <c r="ES116" s="3">
        <f>_xlfn.XLOOKUP(B116,'BASE DE EXCEL'!$C:$C,'BASE DE EXCEL'!BM:BM,"NO HAY REFERENCIA")</f>
        <v>99</v>
      </c>
      <c r="ET116" s="3" t="str">
        <f>_xlfn.XLOOKUP(B116,'BASE DE EXCEL'!$C:$C,'BASE DE EXCEL'!BN:BN,"NO HAY REFERENCIA")</f>
        <v>LOTE: 25M1014C05,LOTE: 25M5071C02,LOTE: 25E3005C01</v>
      </c>
      <c r="EU116" s="3">
        <f>_xlfn.XLOOKUP(B116,'BASE DE EXCEL'!$C:$C,'BASE DE EXCEL'!BO:BO,"NO HAY REFERENCIA")</f>
        <v>90</v>
      </c>
      <c r="EV116" s="3">
        <f>_xlfn.XLOOKUP(B116,'BASE DE EXCEL'!$C:$C,'BASE DE EXCEL'!BP:BP,"NO HAY REFERENCIA")</f>
        <v>10515563.199999999</v>
      </c>
      <c r="EW116" s="3" t="str">
        <f>_xlfn.XLOOKUP(B116,'BASE DE EXCEL'!$C:$C,'BASE DE EXCEL'!BQ:BQ,"NO HAY REFERENCIA")</f>
        <v>KILO,KILO,KILO</v>
      </c>
      <c r="EX116" s="3">
        <f>_xlfn.XLOOKUP(B116,'BASE DE EXCEL'!$C:$C,'BASE DE EXCEL'!BR:BR,"NO HAY REFERENCIA")</f>
        <v>0</v>
      </c>
      <c r="EY116" s="3" t="str">
        <f>_xlfn.XLOOKUP(B116,'BASE DE EXCEL'!$C:$C,'BASE DE EXCEL'!BS:BS,"NO HAY REFERENCIA")</f>
        <v>AUSTRIA (REPUBLICA DE)</v>
      </c>
      <c r="EZ116" s="3" t="str">
        <f>_xlfn.XLOOKUP(B116,'BASE DE EXCEL'!$C:$C,'BASE DE EXCEL'!BT:BT,"NO HAY REFERENCIA")</f>
        <v>PAISES BAJOS (REINO DE LOS) (HOLANDA)</v>
      </c>
      <c r="FA116" s="3" t="str">
        <f>_xlfn.XLOOKUP(B116,'BASE DE EXCEL'!$C:$C,'BASE DE EXCEL'!BU:BU,"NO HAY REFERENCIA")</f>
        <v>AUT</v>
      </c>
      <c r="FB116" s="3" t="str">
        <f>_xlfn.XLOOKUP(B116,'BASE DE EXCEL'!$C:$C,'BASE DE EXCEL'!BV:BV,"NO HAY REFERENCIA")</f>
        <v>ZYA</v>
      </c>
      <c r="FC116" s="3">
        <f>_xlfn.XLOOKUP(B116,QUERY!$C:$C,QUERY!D:D)</f>
        <v>430</v>
      </c>
      <c r="FD116" s="4">
        <f>_xlfn.XLOOKUP(B116,QUERY!$C:$C,QUERY!E:E)</f>
        <v>46093</v>
      </c>
      <c r="FE116" s="3">
        <f>_xlfn.XLOOKUP(B116,QUERY!$C:$C,QUERY!F:F)</f>
        <v>3</v>
      </c>
      <c r="FF116" s="4">
        <f>_xlfn.XLOOKUP(B116,QUERY!$C:$C,QUERY!G:G)</f>
        <v>46090</v>
      </c>
      <c r="FG116" s="4">
        <f>_xlfn.XLOOKUP(B116,QUERY!$C:$C,QUERY!H:H)</f>
        <v>46093</v>
      </c>
      <c r="FH116" s="3">
        <f>_xlfn.XLOOKUP(B116,QUERY!$C:$C,QUERY!I:I)</f>
        <v>3</v>
      </c>
      <c r="FI116" s="3" t="str">
        <f>_xlfn.XLOOKUP(B116,QUERY!$C:$C,QUERY!J:J)</f>
        <v>2 a 3 días</v>
      </c>
      <c r="FJ116" s="4">
        <f>_xlfn.XLOOKUP(B116,QUERY!$C:$C,QUERY!K:K)</f>
        <v>46094</v>
      </c>
      <c r="FK116" s="3">
        <f>_xlfn.XLOOKUP(B116,QUERY!$C:$C,QUERY!L:L)</f>
        <v>4</v>
      </c>
      <c r="FL116" s="3" t="str">
        <f>_xlfn.XLOOKUP(B116,QUERY!$C:$C,QUERY!M:M)</f>
        <v>4 a 5 días</v>
      </c>
      <c r="FM116" s="3">
        <f>_xlfn.XLOOKUP(B116,QUERY!$C:$C,QUERY!N:N)</f>
        <v>1</v>
      </c>
      <c r="FN116" s="3" t="str">
        <f>_xlfn.XLOOKUP(B116,QUERY!$C:$C,QUERY!O:O)</f>
        <v>1 día o menos</v>
      </c>
      <c r="FO116" s="3">
        <f>_xlfn.XLOOKUP(B116,QUERY!$C:$C,QUERY!P:P)</f>
        <v>1</v>
      </c>
      <c r="FP116" s="3">
        <f>_xlfn.XLOOKUP(B116,QUERY!$C:$C,QUERY!Q:Q)</f>
        <v>1</v>
      </c>
      <c r="FQ116" s="3" t="str">
        <f>_xlfn.XLOOKUP(B116,QUERY!$C:$C,QUERY!R:R)</f>
        <v>1 día o menos</v>
      </c>
      <c r="FR116" s="4">
        <f>_xlfn.XLOOKUP(B116,QUERY!$C:$C,QUERY!S:S)</f>
        <v>46095</v>
      </c>
      <c r="FS116" s="3">
        <f>_xlfn.XLOOKUP(B116,QUERY!$C:$C,QUERY!T:T)</f>
        <v>5</v>
      </c>
      <c r="FT116" s="3" t="str">
        <f>_xlfn.XLOOKUP(B116,QUERY!$C:$C,QUERY!U:U)</f>
        <v>4 a 5 días</v>
      </c>
      <c r="FU116" s="3">
        <f>_xlfn.XLOOKUP(B116,QUERY!$C:$C,QUERY!V:V)</f>
        <v>16</v>
      </c>
      <c r="FV116" s="3" t="str">
        <f>_xlfn.XLOOKUP(B116,QUERY!$C:$C,QUERY!W:W)</f>
        <v>más de 16 días</v>
      </c>
      <c r="FW116" s="4">
        <f>_xlfn.XLOOKUP(B116,QUERY!$C:$C,QUERY!X:X)</f>
        <v>46112</v>
      </c>
      <c r="FX116" s="3">
        <f>_xlfn.XLOOKUP(B116,QUERY!$C:$C,QUERY!Y:Y)</f>
        <v>10</v>
      </c>
      <c r="FY116" s="3">
        <f>_xlfn.XLOOKUP(B116,QUERY!$C:$C,QUERY!Z:Z)</f>
        <v>11</v>
      </c>
      <c r="FZ116" s="4" t="str">
        <f>_xlfn.XLOOKUP(B116,QUERY!$C:$C,QUERY!AA:AA)</f>
        <v>más de 16 días</v>
      </c>
      <c r="GA116" s="4">
        <f>_xlfn.XLOOKUP(B116,QUERY!$C:$C,QUERY!AB:AB)</f>
        <v>46111</v>
      </c>
      <c r="GB116" s="4">
        <f>_xlfn.XLOOKUP(B116,QUERY!$C:$C,QUERY!AC:AC)</f>
        <v>46112</v>
      </c>
      <c r="GC116" s="3">
        <f>_xlfn.XLOOKUP(B116,QUERY!$C:$C,QUERY!AD:AD)</f>
        <v>1</v>
      </c>
      <c r="GD116" s="4">
        <f>_xlfn.XLOOKUP(B116,QUERY!$C:$C,QUERY!AE:AE)</f>
        <v>46112</v>
      </c>
      <c r="GE116" s="3">
        <f>_xlfn.XLOOKUP(B116,QUERY!$C:$C,QUERY!AF:AF)</f>
        <v>1</v>
      </c>
      <c r="GF116" s="4" t="str">
        <f>_xlfn.XLOOKUP(B116,QUERY!$C:$C,QUERY!AG:AG)</f>
        <v>Es anterior</v>
      </c>
      <c r="GG116" s="3" t="str">
        <f>_xlfn.XLOOKUP(B116,QUERY!$C:$C,QUERY!AH:AH)</f>
        <v>A1</v>
      </c>
      <c r="GH116" s="3" t="str">
        <f>_xlfn.XLOOKUP(B116,QUERY!$C:$C,QUERY!AI:AI)</f>
        <v>ZULEIMA PEREZ RUIZ</v>
      </c>
      <c r="GI116" s="3" t="str">
        <f>_xlfn.XLOOKUP(B116,QUERY!$C:$C,QUERY!AJ:AJ)</f>
        <v>HLCUHAM260271930</v>
      </c>
      <c r="GJ116" s="3" t="str">
        <f>_xlfn.XLOOKUP(B116,QUERY!$C:$C,QUERY!AK:AK)</f>
        <v>NULL</v>
      </c>
      <c r="GK116" s="3">
        <f>_xlfn.XLOOKUP(B116,QUERY!$C:$C,QUERY!AL:AL)</f>
        <v>6000371</v>
      </c>
      <c r="GL116" s="3" t="str">
        <f>_xlfn.XLOOKUP(B116,QUERY!$C:$C,QUERY!AM:AM)</f>
        <v>Importación</v>
      </c>
      <c r="GM116" s="3" t="str">
        <f>_xlfn.XLOOKUP(B116,QUERY!$C:$C,QUERY!AN:AN)</f>
        <v>BRAVECTO 112.5 MG (MEDICAMENTO DOSIFICADO DE USO VETERINARIO)</v>
      </c>
      <c r="GN116" s="3" t="str">
        <f>_xlfn.XLOOKUP(B116,QUERY!$C:$C,QUERY!AO:AO)</f>
        <v>SIN CLASIFICACION</v>
      </c>
      <c r="GO116" s="3">
        <f>_xlfn.XLOOKUP(B116,QUERY!$C:$C,QUERY!AP:AP)</f>
        <v>0</v>
      </c>
      <c r="GP116" s="3" t="str">
        <f>_xlfn.XLOOKUP(B116,QUERY!$C:$C,QUERY!AQ:AQ)</f>
        <v>Cargas de Importación</v>
      </c>
      <c r="GQ116" s="3" t="str">
        <f>_xlfn.XLOOKUP(B116,QUERY!$C:$C,QUERY!AR:AR)</f>
        <v>INTERVET MEXICO SA DE CV</v>
      </c>
      <c r="GR116" s="3">
        <f>_xlfn.XLOOKUP(B116,QUERY!$C:$C,QUERY!AS:AS)</f>
        <v>0</v>
      </c>
      <c r="GS116" s="3">
        <f>_xlfn.XLOOKUP(B116,QUERY!$C:$C,QUERY!AT:AT)</f>
        <v>0</v>
      </c>
      <c r="GT116" s="3">
        <f>_xlfn.XLOOKUP(B116,QUERY!$C:$C,QUERY!AU:AU)</f>
        <v>0</v>
      </c>
      <c r="GU116" s="3">
        <f>_xlfn.XLOOKUP(B116,QUERY!$C:$C,QUERY!AV:AV)</f>
        <v>0</v>
      </c>
      <c r="GV116" s="3" t="str">
        <f>_xlfn.XLOOKUP(B116,QUERY!$C:$C,QUERY!AW:AW)</f>
        <v>PRODUCTO TERMINADO</v>
      </c>
      <c r="GW116" s="3" t="str">
        <f>_xlfn.XLOOKUP(B116,QUERY!$C:$C,QUERY!AX:AX)</f>
        <v>Verde</v>
      </c>
      <c r="GX116" s="3" t="str">
        <f>_xlfn.XLOOKUP(B116,QUERY!$C:$C,QUERY!AY:AY)</f>
        <v xml:space="preserve"> SUPER EXPRESS DE CARGA FEDERAL S.A. DE C.V.</v>
      </c>
      <c r="GY116" s="3">
        <f>_xlfn.XLOOKUP(B116,QUERY!$C:$C,QUERY!AZ:AZ)</f>
        <v>0</v>
      </c>
      <c r="GZ116" s="3" t="str">
        <f>_xlfn.XLOOKUP(B116,QUERY!$C:$C,QUERY!BA:BA)</f>
        <v>IME-T004</v>
      </c>
      <c r="HA116" s="3" t="str">
        <f>_xlfn.XLOOKUP(B116,QUERY!$C:$C,QUERY!BB:BB)</f>
        <v>IME850329RH2</v>
      </c>
      <c r="HB116" s="3">
        <f>_xlfn.XLOOKUP(B116,QUERY!$C:$C,QUERY!BC:BC)</f>
        <v>0</v>
      </c>
      <c r="HC116" s="3">
        <f>_xlfn.XLOOKUP(B116,QUERY!$C:$C,QUERY!BD:BD)</f>
        <v>99</v>
      </c>
      <c r="HD116" s="3" t="str">
        <f>_xlfn.XLOOKUP(B116,QUERY!$C:$C,QUERY!BE:BE)</f>
        <v>LOTE: 25M1014C05,LOTE: 25M5071C02,LOTE: 25E3005C01</v>
      </c>
      <c r="HE116" s="3">
        <f>_xlfn.XLOOKUP(B116,QUERY!$C:$C,QUERY!BF:BF)</f>
        <v>90</v>
      </c>
      <c r="HF116" s="3" t="str">
        <f>_xlfn.XLOOKUP(B116,QUERY!$C:$C,QUERY!BG:BG)</f>
        <v xml:space="preserve"> 10515563.20</v>
      </c>
      <c r="HG116" s="3" t="str">
        <f>_xlfn.XLOOKUP(B116,QUERY!$C:$C,QUERY!BH:BH)</f>
        <v>KILO,KILO,KILO</v>
      </c>
      <c r="HH116" s="3">
        <f>_xlfn.XLOOKUP(B116,QUERY!$C:$C,QUERY!BI:BI)</f>
        <v>0</v>
      </c>
      <c r="HI116" s="3" t="str">
        <f>_xlfn.XLOOKUP(B116,QUERY!$C:$C,QUERY!BJ:BJ)</f>
        <v>AUSTRIA (REPUBLICA DE)</v>
      </c>
      <c r="HJ116" s="3" t="str">
        <f>_xlfn.XLOOKUP(B116,QUERY!$C:$C,QUERY!BK:BK)</f>
        <v>PAISES BAJOS (REINO DE LOS) (HOLANDA)</v>
      </c>
      <c r="HK116" s="3" t="str">
        <f>_xlfn.XLOOKUP(B116,QUERY!$C:$C,QUERY!BL:BL)</f>
        <v>AUT</v>
      </c>
      <c r="HL116" s="3" t="str">
        <f>_xlfn.XLOOKUP(B116,QUERY!$C:$C,QUERY!BM:BM)</f>
        <v>ZYA</v>
      </c>
      <c r="HM116" s="3">
        <f>_xlfn.XLOOKUP(B116,QUERY!$C:$C,QUERY!BN:BN)</f>
        <v>10515563</v>
      </c>
      <c r="HN116" s="3" t="str">
        <f>_xlfn.XLOOKUP(B116,QUERY!$C:$C,QUERY!BO:BO)</f>
        <v>47881.00</v>
      </c>
      <c r="HO116" s="3" t="str">
        <f>_xlfn.XLOOKUP(B116,QUERY!$C:$C,QUERY!BP:BP)</f>
        <v>NULL</v>
      </c>
      <c r="HP116" s="3" t="str">
        <f>_xlfn.XLOOKUP(B116,QUERY!$C:$C,QUERY!BQ:BQ)</f>
        <v>598513.00</v>
      </c>
      <c r="HQ116" s="3" t="str">
        <f>_xlfn.XLOOKUP(B116,QUERY!$C:$C,QUERY!BR:BR)</f>
        <v>142313.69</v>
      </c>
      <c r="HR116" s="3">
        <f>_xlfn.XLOOKUP(B116,QUERY!$C:$C,QUERY!BS:BS)</f>
        <v>0</v>
      </c>
      <c r="HS116" s="3">
        <f>_xlfn.XLOOKUP(B116,QUERY!$C:$C,QUERY!BT:BT)</f>
        <v>0</v>
      </c>
      <c r="HT116" s="3" t="str">
        <f>_xlfn.XLOOKUP(B116,QUERY!$C:$C,QUERY!A:A)</f>
        <v>VERACRUZ</v>
      </c>
      <c r="HU116" s="3" t="str">
        <f>_xlfn.XLOOKUP(B116,QUERY!$C:$C,QUERY!B:B)</f>
        <v>MARÍTIMO VERACRUZ</v>
      </c>
    </row>
    <row r="117" spans="1:229" x14ac:dyDescent="0.25">
      <c r="A117" s="3" t="s">
        <v>90</v>
      </c>
      <c r="B117" s="3" t="s">
        <v>322</v>
      </c>
      <c r="C117" s="3">
        <v>3942</v>
      </c>
      <c r="D117" s="3">
        <v>6000371</v>
      </c>
      <c r="E117" s="3"/>
      <c r="F117" s="3" t="s">
        <v>92</v>
      </c>
      <c r="G117" s="3" t="s">
        <v>93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10</v>
      </c>
      <c r="O117" s="3">
        <v>598513</v>
      </c>
      <c r="P117" s="3">
        <v>0</v>
      </c>
      <c r="Q117" s="3">
        <v>0</v>
      </c>
      <c r="R117" s="3">
        <v>430</v>
      </c>
      <c r="S117" s="3" t="s">
        <v>323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 t="s">
        <v>327</v>
      </c>
      <c r="AB117" s="3"/>
      <c r="AC117" s="3">
        <v>5985131</v>
      </c>
      <c r="AD117" s="3">
        <v>236.65997999999999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/>
      <c r="AP117" s="3" t="s">
        <v>98</v>
      </c>
      <c r="AQ117" s="3">
        <v>210366709</v>
      </c>
      <c r="AR117" s="3" t="s">
        <v>99</v>
      </c>
      <c r="AS117" s="3" t="s">
        <v>100</v>
      </c>
      <c r="AT117" s="3">
        <v>0</v>
      </c>
      <c r="AU117" s="3">
        <v>0</v>
      </c>
      <c r="AV117" s="3">
        <v>0</v>
      </c>
      <c r="AW117" s="3">
        <v>30049099</v>
      </c>
      <c r="AX117" s="3">
        <v>99</v>
      </c>
      <c r="AY117" s="3">
        <v>25290</v>
      </c>
      <c r="AZ117" s="3">
        <v>25290</v>
      </c>
      <c r="BA117" s="3" t="s">
        <v>103</v>
      </c>
      <c r="BB117" s="3"/>
      <c r="BC117" s="3" t="s">
        <v>133</v>
      </c>
      <c r="BD117" s="3" t="s">
        <v>105</v>
      </c>
      <c r="BE117" s="3"/>
      <c r="BF117" s="3"/>
      <c r="BG117" s="5"/>
      <c r="BH117" s="3"/>
      <c r="BI117" s="3"/>
      <c r="BJ117" s="3"/>
      <c r="BK117" s="3" t="s">
        <v>326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 t="s">
        <v>192</v>
      </c>
      <c r="CF117" s="3">
        <v>0</v>
      </c>
      <c r="CG117" s="3">
        <v>0</v>
      </c>
      <c r="CH117" s="3">
        <v>0</v>
      </c>
      <c r="CI117" s="3" t="s">
        <v>112</v>
      </c>
      <c r="CJ117" s="3" t="s">
        <v>112</v>
      </c>
      <c r="CK117" s="3">
        <f>_xlfn.XLOOKUP($B$2,'BASE DE EXCEL'!C:C,'BASE DE EXCEL'!D:D,"NO HAY REFERENCIA")</f>
        <v>470</v>
      </c>
      <c r="CL117" s="5">
        <f>_xlfn.XLOOKUP($B$2,'BASE DE EXCEL'!$C:$C,'BASE DE EXCEL'!F:F,"NO HAY REFERENCIA")</f>
        <v>3</v>
      </c>
      <c r="CM117" s="4">
        <f>_xlfn.XLOOKUP($B$2,'BASE DE EXCEL'!$C:$C,'BASE DE EXCEL'!G:G,"NO HAY REFERENCIA")</f>
        <v>46080</v>
      </c>
      <c r="CN117" s="4">
        <f>_xlfn.XLOOKUP($B$2,'BASE DE EXCEL'!$C:$C,'BASE DE EXCEL'!H:H,"NO HAY REFERENCIA")</f>
        <v>46086</v>
      </c>
      <c r="CO117" s="3">
        <f>_xlfn.XLOOKUP($B$2,'BASE DE EXCEL'!$C:$C,'BASE DE EXCEL'!I:I,"NO HAY REFERENCIA")</f>
        <v>4</v>
      </c>
      <c r="CP117" s="3" t="str">
        <f>_xlfn.XLOOKUP($B$2,'BASE DE EXCEL'!$C:$C,'BASE DE EXCEL'!J:J,"NO HAY REFERENCIA")</f>
        <v>4 a 5 días</v>
      </c>
      <c r="CQ117" s="4">
        <f>_xlfn.XLOOKUP($B$2,'BASE DE EXCEL'!$C:$C,'BASE DE EXCEL'!K:K,"NO HAY REFERENCIA")</f>
        <v>46087</v>
      </c>
      <c r="CR117" s="3">
        <f>_xlfn.XLOOKUP($B$2,'BASE DE EXCEL'!$C:$C,'BASE DE EXCEL'!L:L,"NO HAY REFERENCIA")</f>
        <v>5</v>
      </c>
      <c r="CS117" s="3">
        <f>_xlfn.XLOOKUP($B$2,'BASE DE EXCEL'!$C:$C,'BASE DE EXCEL'!M:M,"NO HAY REFERENCIA")</f>
        <v>6</v>
      </c>
      <c r="CT117" s="3" t="str">
        <f>_xlfn.XLOOKUP($B$2,'BASE DE EXCEL'!$C:$C,'BASE DE EXCEL'!N:N,"NO HAY REFERENCIA")</f>
        <v>6 a 10 días</v>
      </c>
      <c r="CU117" s="3" t="str">
        <f>_xlfn.XLOOKUP($B$2,'BASE DE EXCEL'!$C:$C,'BASE DE EXCEL'!O:O,"NO HAY REFERENCIA")</f>
        <v>On Time</v>
      </c>
      <c r="CV117" s="3" t="str">
        <f>_xlfn.XLOOKUP(B117,'BASE DE EXCEL'!$C:$C,'BASE DE EXCEL'!P:P,"NO HAY REFERENCIA")</f>
        <v>4 a 5 días</v>
      </c>
      <c r="CW117" s="4">
        <f>_xlfn.XLOOKUP(B117,'BASE DE EXCEL'!$C:$C,'BASE DE EXCEL'!Q:Q,"NO HAY REFERENCIA")</f>
        <v>46095</v>
      </c>
      <c r="CX117" s="3">
        <f>_xlfn.XLOOKUP(B117,'BASE DE EXCEL'!$C:$C,'BASE DE EXCEL'!R:R,"NO HAY REFERENCIA")</f>
        <v>5</v>
      </c>
      <c r="CY117" s="3" t="str">
        <f>_xlfn.XLOOKUP(B117,'BASE DE EXCEL'!$C:$C,'BASE DE EXCEL'!S:S,"NO HAY REFERENCIA")</f>
        <v>4 a 5 días</v>
      </c>
      <c r="CZ117" s="3" t="str">
        <f>_xlfn.XLOOKUP(B117,'BASE DE EXCEL'!$C:$C,'BASE DE EXCEL'!T:T,"NO HAY REFERENCIA")</f>
        <v>On Time</v>
      </c>
      <c r="DA117" s="3">
        <f>_xlfn.XLOOKUP(B117,'BASE DE EXCEL'!$C:$C,'BASE DE EXCEL'!U:U,"NO HAY REFERENCIA")</f>
        <v>5</v>
      </c>
      <c r="DB117" s="3" t="str">
        <f>_xlfn.XLOOKUP(B117,'BASE DE EXCEL'!$C:$C,'BASE DE EXCEL'!V:V,"NO HAY REFERENCIA")</f>
        <v>4 a 5 días</v>
      </c>
      <c r="DC117" s="3">
        <f>_xlfn.XLOOKUP(B117,'BASE DE EXCEL'!$C:$C,'BASE DE EXCEL'!W:W,"NO HAY REFERENCIA")</f>
        <v>16</v>
      </c>
      <c r="DD117" s="3" t="str">
        <f>_xlfn.XLOOKUP(B117,'BASE DE EXCEL'!$C:$C,'BASE DE EXCEL'!X:X,"NO HAY REFERENCIA")</f>
        <v>más de 16 días</v>
      </c>
      <c r="DE117" s="3">
        <f>_xlfn.XLOOKUP(B117,'BASE DE EXCEL'!$C:$C,'BASE DE EXCEL'!Y:Y,"NO HAY REFERENCIA")</f>
        <v>1</v>
      </c>
      <c r="DF117" s="3" t="str">
        <f>_xlfn.XLOOKUP(B117,'BASE DE EXCEL'!$C:$C,'BASE DE EXCEL'!Z:Z,"NO HAY REFERENCIA")</f>
        <v>1 día o menos</v>
      </c>
      <c r="DG117" s="3">
        <f>_xlfn.XLOOKUP(B117,'BASE DE EXCEL'!$C:$C,'BASE DE EXCEL'!AA:AA,"NO HAY REFERENCIA")</f>
        <v>3</v>
      </c>
      <c r="DH117" s="3">
        <f>_xlfn.XLOOKUP(B117,'BASE DE EXCEL'!$C:$C,'BASE DE EXCEL'!AB:AB,"NO HAY REFERENCIA")</f>
        <v>1</v>
      </c>
      <c r="DI117" s="3" t="str">
        <f>_xlfn.XLOOKUP(B117,'BASE DE EXCEL'!$C:$C,'BASE DE EXCEL'!AC:AC,"NO HAY REFERENCIA")</f>
        <v>1 día o menos</v>
      </c>
      <c r="DJ117" s="4">
        <f>_xlfn.XLOOKUP(B117,'BASE DE EXCEL'!$C:$C,'BASE DE EXCEL'!AD:AD,"NO HAY REFERENCIA")</f>
        <v>46112</v>
      </c>
      <c r="DK117" s="3">
        <f>_xlfn.XLOOKUP(B117,'BASE DE EXCEL'!$C:$C,'BASE DE EXCEL'!AE:AE,"NO HAY REFERENCIA")</f>
        <v>16</v>
      </c>
      <c r="DL117" s="3">
        <f>_xlfn.XLOOKUP(B117,'BASE DE EXCEL'!$C:$C,'BASE DE EXCEL'!AF:AF,"NO HAY REFERENCIA")</f>
        <v>11</v>
      </c>
      <c r="DM117" s="4">
        <f>_xlfn.XLOOKUP(B117,'BASE DE EXCEL'!$C:$C,'BASE DE EXCEL'!AG:AG,"NO HAY REFERENCIA")</f>
        <v>46111</v>
      </c>
      <c r="DN117" s="4">
        <f>_xlfn.XLOOKUP(B117,'BASE DE EXCEL'!$C:$C,'BASE DE EXCEL'!AH:AH,"NO HAY REFERENCIA")</f>
        <v>46112</v>
      </c>
      <c r="DO117" s="3">
        <f>_xlfn.XLOOKUP(B117,'BASE DE EXCEL'!$C:$C,'BASE DE EXCEL'!AI:AI,"NO HAY REFERENCIA")</f>
        <v>1</v>
      </c>
      <c r="DP117" s="4" t="str">
        <f>_xlfn.XLOOKUP(B117,'BASE DE EXCEL'!$C:$C,'BASE DE EXCEL'!AJ:AJ,"NO HAY REFERENCIA")</f>
        <v>más de 16 días</v>
      </c>
      <c r="DQ117" s="4">
        <f>_xlfn.XLOOKUP(B117,'BASE DE EXCEL'!$C:$C,'BASE DE EXCEL'!AK:AK,"NO HAY REFERENCIA")</f>
        <v>46112</v>
      </c>
      <c r="DR117" s="3">
        <f>_xlfn.XLOOKUP(B117,'BASE DE EXCEL'!$C:$C,'BASE DE EXCEL'!AL:AL,"NO HAY REFERENCIA")</f>
        <v>11</v>
      </c>
      <c r="DS117" s="3" t="str">
        <f>_xlfn.XLOOKUP(B117,'BASE DE EXCEL'!$C:$C,'BASE DE EXCEL'!AM:AM,"NO HAY REFERENCIA")</f>
        <v>11 a 15 días</v>
      </c>
      <c r="DT117" s="3" t="str">
        <f>_xlfn.XLOOKUP(B117,'BASE DE EXCEL'!$C:$C,'BASE DE EXCEL'!AN:AN,"NO HAY REFERENCIA")</f>
        <v>Delayed</v>
      </c>
      <c r="DU117" s="3">
        <f>_xlfn.XLOOKUP(B117,'BASE DE EXCEL'!$C:$C,'BASE DE EXCEL'!AO:AO,"NO HAY REFERENCIA")</f>
        <v>1</v>
      </c>
      <c r="DV117" s="3" t="str">
        <f>_xlfn.XLOOKUP(B117,'BASE DE EXCEL'!$C:$C,'BASE DE EXCEL'!AP:AP,"NO HAY REFERENCIA")</f>
        <v>Es anterior</v>
      </c>
      <c r="DW117" s="3" t="str">
        <f>_xlfn.XLOOKUP(B117,'BASE DE EXCEL'!$C:$C,'BASE DE EXCEL'!AQ:AQ,"NO HAY REFERENCIA")</f>
        <v>A1</v>
      </c>
      <c r="DX117" s="3" t="str">
        <f>_xlfn.XLOOKUP(B117,'BASE DE EXCEL'!$C:$C,'BASE DE EXCEL'!AR:AR,"NO HAY REFERENCIA")</f>
        <v>ZULEIMA PEREZ RUIZ</v>
      </c>
      <c r="DY117" s="3" t="str">
        <f>_xlfn.XLOOKUP(B117,'BASE DE EXCEL'!$C:$C,'BASE DE EXCEL'!AS:AS,"NO HAY REFERENCIA")</f>
        <v>HLCUHAM260271930</v>
      </c>
      <c r="DZ117" s="3" t="str">
        <f>_xlfn.XLOOKUP(B117,'BASE DE EXCEL'!$C:$C,'BASE DE EXCEL'!AT:AT,"NO HAY REFERENCIA")</f>
        <v>NULL</v>
      </c>
      <c r="EA117" s="3">
        <f>_xlfn.XLOOKUP(B117,'BASE DE EXCEL'!$C:$C,'BASE DE EXCEL'!AU:AU,"NO HAY REFERENCIA")</f>
        <v>6000371</v>
      </c>
      <c r="EB117" s="3" t="str">
        <f>_xlfn.XLOOKUP(B117,'BASE DE EXCEL'!$C:$C,'BASE DE EXCEL'!AV:AV,"NO HAY REFERENCIA")</f>
        <v>Importación</v>
      </c>
      <c r="EC117" s="3" t="str">
        <f>_xlfn.XLOOKUP(B117,'BASE DE EXCEL'!$C:$C,'BASE DE EXCEL'!AW:AW,"NO HAY REFERENCIA")</f>
        <v>BRAVECTO 112.5 MG (MEDICAMENTO DOSIFICADO DE USO VETERINARIO)</v>
      </c>
      <c r="ED117" s="3" t="str">
        <f>_xlfn.XLOOKUP(B117,'BASE DE EXCEL'!$C:$C,'BASE DE EXCEL'!AX:AX,"NO HAY REFERENCIA")</f>
        <v>SIN CLASIFICACION</v>
      </c>
      <c r="EE117" s="3">
        <f>_xlfn.XLOOKUP(B117,'BASE DE EXCEL'!$C:$C,'BASE DE EXCEL'!AY:AY,"NO HAY REFERENCIA")</f>
        <v>0</v>
      </c>
      <c r="EF117" s="3" t="str">
        <f>_xlfn.XLOOKUP(B117,'BASE DE EXCEL'!$C:$C,'BASE DE EXCEL'!AZ:AZ,"NO HAY REFERENCIA")</f>
        <v>Cargas de Importación</v>
      </c>
      <c r="EG117" s="3" t="str">
        <f>_xlfn.XLOOKUP(B117,'BASE DE EXCEL'!$C:$C,'BASE DE EXCEL'!BA:BA,"NO HAY REFERENCIA")</f>
        <v>INTERVET MEXICO SA DE CV</v>
      </c>
      <c r="EH117" s="3">
        <f>_xlfn.XLOOKUP(B117,'BASE DE EXCEL'!$C:$C,'BASE DE EXCEL'!BB:BB,"NO HAY REFERENCIA")</f>
        <v>0</v>
      </c>
      <c r="EI117" s="3">
        <f>_xlfn.XLOOKUP(B117,'BASE DE EXCEL'!$C:$C,'BASE DE EXCEL'!BC:BC,"NO HAY REFERENCIA")</f>
        <v>0</v>
      </c>
      <c r="EJ117" s="3">
        <f>_xlfn.XLOOKUP(B117,'BASE DE EXCEL'!$C:$C,'BASE DE EXCEL'!BD:BD,"NO HAY REFERENCIA")</f>
        <v>0</v>
      </c>
      <c r="EK117" s="3">
        <f>_xlfn.XLOOKUP(B117,'BASE DE EXCEL'!$C:$C,'BASE DE EXCEL'!BE:BE,"NO HAY REFERENCIA")</f>
        <v>0</v>
      </c>
      <c r="EL117" s="3" t="str">
        <f>_xlfn.XLOOKUP(B117,'BASE DE EXCEL'!$C:$C,'BASE DE EXCEL'!BF:BF,"NO HAY REFERENCIA")</f>
        <v>PRODUCTO TERMINADO</v>
      </c>
      <c r="EM117" s="3" t="str">
        <f>_xlfn.XLOOKUP(B117,'BASE DE EXCEL'!$C:$C,'BASE DE EXCEL'!BG:BG,"NO HAY REFERENCIA")</f>
        <v>Verde</v>
      </c>
      <c r="EN117" s="3" t="str">
        <f>_xlfn.XLOOKUP(B117,'BASE DE EXCEL'!$C:$C,'BASE DE EXCEL'!BH:BH,"NO HAY REFERENCIA")</f>
        <v xml:space="preserve"> SUPER EXPRESS DE CARGA FEDERAL S.A. DE C.V.</v>
      </c>
      <c r="EO117" s="3">
        <f>_xlfn.XLOOKUP(B117,'BASE DE EXCEL'!$C:$C,'BASE DE EXCEL'!BI:BI,"NO HAY REFERENCIA")</f>
        <v>0</v>
      </c>
      <c r="EP117" s="3" t="str">
        <f>_xlfn.XLOOKUP(B117,'BASE DE EXCEL'!$C:$C,'BASE DE EXCEL'!BJ:BJ,"NO HAY REFERENCIA")</f>
        <v>IME-T004</v>
      </c>
      <c r="EQ117" s="3" t="str">
        <f>_xlfn.XLOOKUP(B117,'BASE DE EXCEL'!$C:$C,'BASE DE EXCEL'!BK:BK,"NO HAY REFERENCIA")</f>
        <v>IME850329RH2</v>
      </c>
      <c r="ER117" s="3">
        <f>_xlfn.XLOOKUP(B117,'BASE DE EXCEL'!$C:$C,'BASE DE EXCEL'!BL:BL,"NO HAY REFERENCIA")</f>
        <v>0</v>
      </c>
      <c r="ES117" s="3">
        <f>_xlfn.XLOOKUP(B117,'BASE DE EXCEL'!$C:$C,'BASE DE EXCEL'!BM:BM,"NO HAY REFERENCIA")</f>
        <v>99</v>
      </c>
      <c r="ET117" s="3" t="str">
        <f>_xlfn.XLOOKUP(B117,'BASE DE EXCEL'!$C:$C,'BASE DE EXCEL'!BN:BN,"NO HAY REFERENCIA")</f>
        <v>LOTE: 25M1014C05,LOTE: 25M5071C02,LOTE: 25E3005C01</v>
      </c>
      <c r="EU117" s="3">
        <f>_xlfn.XLOOKUP(B117,'BASE DE EXCEL'!$C:$C,'BASE DE EXCEL'!BO:BO,"NO HAY REFERENCIA")</f>
        <v>90</v>
      </c>
      <c r="EV117" s="3">
        <f>_xlfn.XLOOKUP(B117,'BASE DE EXCEL'!$C:$C,'BASE DE EXCEL'!BP:BP,"NO HAY REFERENCIA")</f>
        <v>10515563.199999999</v>
      </c>
      <c r="EW117" s="3" t="str">
        <f>_xlfn.XLOOKUP(B117,'BASE DE EXCEL'!$C:$C,'BASE DE EXCEL'!BQ:BQ,"NO HAY REFERENCIA")</f>
        <v>KILO,KILO,KILO</v>
      </c>
      <c r="EX117" s="3">
        <f>_xlfn.XLOOKUP(B117,'BASE DE EXCEL'!$C:$C,'BASE DE EXCEL'!BR:BR,"NO HAY REFERENCIA")</f>
        <v>0</v>
      </c>
      <c r="EY117" s="3" t="str">
        <f>_xlfn.XLOOKUP(B117,'BASE DE EXCEL'!$C:$C,'BASE DE EXCEL'!BS:BS,"NO HAY REFERENCIA")</f>
        <v>AUSTRIA (REPUBLICA DE)</v>
      </c>
      <c r="EZ117" s="3" t="str">
        <f>_xlfn.XLOOKUP(B117,'BASE DE EXCEL'!$C:$C,'BASE DE EXCEL'!BT:BT,"NO HAY REFERENCIA")</f>
        <v>PAISES BAJOS (REINO DE LOS) (HOLANDA)</v>
      </c>
      <c r="FA117" s="3" t="str">
        <f>_xlfn.XLOOKUP(B117,'BASE DE EXCEL'!$C:$C,'BASE DE EXCEL'!BU:BU,"NO HAY REFERENCIA")</f>
        <v>AUT</v>
      </c>
      <c r="FB117" s="3" t="str">
        <f>_xlfn.XLOOKUP(B117,'BASE DE EXCEL'!$C:$C,'BASE DE EXCEL'!BV:BV,"NO HAY REFERENCIA")</f>
        <v>ZYA</v>
      </c>
      <c r="FC117" s="3">
        <f>_xlfn.XLOOKUP(B117,QUERY!$C:$C,QUERY!D:D)</f>
        <v>430</v>
      </c>
      <c r="FD117" s="4">
        <f>_xlfn.XLOOKUP(B117,QUERY!$C:$C,QUERY!E:E)</f>
        <v>46093</v>
      </c>
      <c r="FE117" s="3">
        <f>_xlfn.XLOOKUP(B117,QUERY!$C:$C,QUERY!F:F)</f>
        <v>3</v>
      </c>
      <c r="FF117" s="4">
        <f>_xlfn.XLOOKUP(B117,QUERY!$C:$C,QUERY!G:G)</f>
        <v>46090</v>
      </c>
      <c r="FG117" s="4">
        <f>_xlfn.XLOOKUP(B117,QUERY!$C:$C,QUERY!H:H)</f>
        <v>46093</v>
      </c>
      <c r="FH117" s="3">
        <f>_xlfn.XLOOKUP(B117,QUERY!$C:$C,QUERY!I:I)</f>
        <v>3</v>
      </c>
      <c r="FI117" s="3" t="str">
        <f>_xlfn.XLOOKUP(B117,QUERY!$C:$C,QUERY!J:J)</f>
        <v>2 a 3 días</v>
      </c>
      <c r="FJ117" s="4">
        <f>_xlfn.XLOOKUP(B117,QUERY!$C:$C,QUERY!K:K)</f>
        <v>46094</v>
      </c>
      <c r="FK117" s="3">
        <f>_xlfn.XLOOKUP(B117,QUERY!$C:$C,QUERY!L:L)</f>
        <v>4</v>
      </c>
      <c r="FL117" s="3" t="str">
        <f>_xlfn.XLOOKUP(B117,QUERY!$C:$C,QUERY!M:M)</f>
        <v>4 a 5 días</v>
      </c>
      <c r="FM117" s="3">
        <f>_xlfn.XLOOKUP(B117,QUERY!$C:$C,QUERY!N:N)</f>
        <v>1</v>
      </c>
      <c r="FN117" s="3" t="str">
        <f>_xlfn.XLOOKUP(B117,QUERY!$C:$C,QUERY!O:O)</f>
        <v>1 día o menos</v>
      </c>
      <c r="FO117" s="3">
        <f>_xlfn.XLOOKUP(B117,QUERY!$C:$C,QUERY!P:P)</f>
        <v>1</v>
      </c>
      <c r="FP117" s="3">
        <f>_xlfn.XLOOKUP(B117,QUERY!$C:$C,QUERY!Q:Q)</f>
        <v>1</v>
      </c>
      <c r="FQ117" s="3" t="str">
        <f>_xlfn.XLOOKUP(B117,QUERY!$C:$C,QUERY!R:R)</f>
        <v>1 día o menos</v>
      </c>
      <c r="FR117" s="4">
        <f>_xlfn.XLOOKUP(B117,QUERY!$C:$C,QUERY!S:S)</f>
        <v>46095</v>
      </c>
      <c r="FS117" s="3">
        <f>_xlfn.XLOOKUP(B117,QUERY!$C:$C,QUERY!T:T)</f>
        <v>5</v>
      </c>
      <c r="FT117" s="3" t="str">
        <f>_xlfn.XLOOKUP(B117,QUERY!$C:$C,QUERY!U:U)</f>
        <v>4 a 5 días</v>
      </c>
      <c r="FU117" s="3">
        <f>_xlfn.XLOOKUP(B117,QUERY!$C:$C,QUERY!V:V)</f>
        <v>16</v>
      </c>
      <c r="FV117" s="3" t="str">
        <f>_xlfn.XLOOKUP(B117,QUERY!$C:$C,QUERY!W:W)</f>
        <v>más de 16 días</v>
      </c>
      <c r="FW117" s="4">
        <f>_xlfn.XLOOKUP(B117,QUERY!$C:$C,QUERY!X:X)</f>
        <v>46112</v>
      </c>
      <c r="FX117" s="3">
        <f>_xlfn.XLOOKUP(B117,QUERY!$C:$C,QUERY!Y:Y)</f>
        <v>10</v>
      </c>
      <c r="FY117" s="3">
        <f>_xlfn.XLOOKUP(B117,QUERY!$C:$C,QUERY!Z:Z)</f>
        <v>11</v>
      </c>
      <c r="FZ117" s="4" t="str">
        <f>_xlfn.XLOOKUP(B117,QUERY!$C:$C,QUERY!AA:AA)</f>
        <v>más de 16 días</v>
      </c>
      <c r="GA117" s="4">
        <f>_xlfn.XLOOKUP(B117,QUERY!$C:$C,QUERY!AB:AB)</f>
        <v>46111</v>
      </c>
      <c r="GB117" s="4">
        <f>_xlfn.XLOOKUP(B117,QUERY!$C:$C,QUERY!AC:AC)</f>
        <v>46112</v>
      </c>
      <c r="GC117" s="3">
        <f>_xlfn.XLOOKUP(B117,QUERY!$C:$C,QUERY!AD:AD)</f>
        <v>1</v>
      </c>
      <c r="GD117" s="4">
        <f>_xlfn.XLOOKUP(B117,QUERY!$C:$C,QUERY!AE:AE)</f>
        <v>46112</v>
      </c>
      <c r="GE117" s="3">
        <f>_xlfn.XLOOKUP(B117,QUERY!$C:$C,QUERY!AF:AF)</f>
        <v>1</v>
      </c>
      <c r="GF117" s="4" t="str">
        <f>_xlfn.XLOOKUP(B117,QUERY!$C:$C,QUERY!AG:AG)</f>
        <v>Es anterior</v>
      </c>
      <c r="GG117" s="3" t="str">
        <f>_xlfn.XLOOKUP(B117,QUERY!$C:$C,QUERY!AH:AH)</f>
        <v>A1</v>
      </c>
      <c r="GH117" s="3" t="str">
        <f>_xlfn.XLOOKUP(B117,QUERY!$C:$C,QUERY!AI:AI)</f>
        <v>ZULEIMA PEREZ RUIZ</v>
      </c>
      <c r="GI117" s="3" t="str">
        <f>_xlfn.XLOOKUP(B117,QUERY!$C:$C,QUERY!AJ:AJ)</f>
        <v>HLCUHAM260271930</v>
      </c>
      <c r="GJ117" s="3" t="str">
        <f>_xlfn.XLOOKUP(B117,QUERY!$C:$C,QUERY!AK:AK)</f>
        <v>NULL</v>
      </c>
      <c r="GK117" s="3">
        <f>_xlfn.XLOOKUP(B117,QUERY!$C:$C,QUERY!AL:AL)</f>
        <v>6000371</v>
      </c>
      <c r="GL117" s="3" t="str">
        <f>_xlfn.XLOOKUP(B117,QUERY!$C:$C,QUERY!AM:AM)</f>
        <v>Importación</v>
      </c>
      <c r="GM117" s="3" t="str">
        <f>_xlfn.XLOOKUP(B117,QUERY!$C:$C,QUERY!AN:AN)</f>
        <v>BRAVECTO 112.5 MG (MEDICAMENTO DOSIFICADO DE USO VETERINARIO)</v>
      </c>
      <c r="GN117" s="3" t="str">
        <f>_xlfn.XLOOKUP(B117,QUERY!$C:$C,QUERY!AO:AO)</f>
        <v>SIN CLASIFICACION</v>
      </c>
      <c r="GO117" s="3">
        <f>_xlfn.XLOOKUP(B117,QUERY!$C:$C,QUERY!AP:AP)</f>
        <v>0</v>
      </c>
      <c r="GP117" s="3" t="str">
        <f>_xlfn.XLOOKUP(B117,QUERY!$C:$C,QUERY!AQ:AQ)</f>
        <v>Cargas de Importación</v>
      </c>
      <c r="GQ117" s="3" t="str">
        <f>_xlfn.XLOOKUP(B117,QUERY!$C:$C,QUERY!AR:AR)</f>
        <v>INTERVET MEXICO SA DE CV</v>
      </c>
      <c r="GR117" s="3">
        <f>_xlfn.XLOOKUP(B117,QUERY!$C:$C,QUERY!AS:AS)</f>
        <v>0</v>
      </c>
      <c r="GS117" s="3">
        <f>_xlfn.XLOOKUP(B117,QUERY!$C:$C,QUERY!AT:AT)</f>
        <v>0</v>
      </c>
      <c r="GT117" s="3">
        <f>_xlfn.XLOOKUP(B117,QUERY!$C:$C,QUERY!AU:AU)</f>
        <v>0</v>
      </c>
      <c r="GU117" s="3">
        <f>_xlfn.XLOOKUP(B117,QUERY!$C:$C,QUERY!AV:AV)</f>
        <v>0</v>
      </c>
      <c r="GV117" s="3" t="str">
        <f>_xlfn.XLOOKUP(B117,QUERY!$C:$C,QUERY!AW:AW)</f>
        <v>PRODUCTO TERMINADO</v>
      </c>
      <c r="GW117" s="3" t="str">
        <f>_xlfn.XLOOKUP(B117,QUERY!$C:$C,QUERY!AX:AX)</f>
        <v>Verde</v>
      </c>
      <c r="GX117" s="3" t="str">
        <f>_xlfn.XLOOKUP(B117,QUERY!$C:$C,QUERY!AY:AY)</f>
        <v xml:space="preserve"> SUPER EXPRESS DE CARGA FEDERAL S.A. DE C.V.</v>
      </c>
      <c r="GY117" s="3">
        <f>_xlfn.XLOOKUP(B117,QUERY!$C:$C,QUERY!AZ:AZ)</f>
        <v>0</v>
      </c>
      <c r="GZ117" s="3" t="str">
        <f>_xlfn.XLOOKUP(B117,QUERY!$C:$C,QUERY!BA:BA)</f>
        <v>IME-T004</v>
      </c>
      <c r="HA117" s="3" t="str">
        <f>_xlfn.XLOOKUP(B117,QUERY!$C:$C,QUERY!BB:BB)</f>
        <v>IME850329RH2</v>
      </c>
      <c r="HB117" s="3">
        <f>_xlfn.XLOOKUP(B117,QUERY!$C:$C,QUERY!BC:BC)</f>
        <v>0</v>
      </c>
      <c r="HC117" s="3">
        <f>_xlfn.XLOOKUP(B117,QUERY!$C:$C,QUERY!BD:BD)</f>
        <v>99</v>
      </c>
      <c r="HD117" s="3" t="str">
        <f>_xlfn.XLOOKUP(B117,QUERY!$C:$C,QUERY!BE:BE)</f>
        <v>LOTE: 25M1014C05,LOTE: 25M5071C02,LOTE: 25E3005C01</v>
      </c>
      <c r="HE117" s="3">
        <f>_xlfn.XLOOKUP(B117,QUERY!$C:$C,QUERY!BF:BF)</f>
        <v>90</v>
      </c>
      <c r="HF117" s="3" t="str">
        <f>_xlfn.XLOOKUP(B117,QUERY!$C:$C,QUERY!BG:BG)</f>
        <v xml:space="preserve"> 10515563.20</v>
      </c>
      <c r="HG117" s="3" t="str">
        <f>_xlfn.XLOOKUP(B117,QUERY!$C:$C,QUERY!BH:BH)</f>
        <v>KILO,KILO,KILO</v>
      </c>
      <c r="HH117" s="3">
        <f>_xlfn.XLOOKUP(B117,QUERY!$C:$C,QUERY!BI:BI)</f>
        <v>0</v>
      </c>
      <c r="HI117" s="3" t="str">
        <f>_xlfn.XLOOKUP(B117,QUERY!$C:$C,QUERY!BJ:BJ)</f>
        <v>AUSTRIA (REPUBLICA DE)</v>
      </c>
      <c r="HJ117" s="3" t="str">
        <f>_xlfn.XLOOKUP(B117,QUERY!$C:$C,QUERY!BK:BK)</f>
        <v>PAISES BAJOS (REINO DE LOS) (HOLANDA)</v>
      </c>
      <c r="HK117" s="3" t="str">
        <f>_xlfn.XLOOKUP(B117,QUERY!$C:$C,QUERY!BL:BL)</f>
        <v>AUT</v>
      </c>
      <c r="HL117" s="3" t="str">
        <f>_xlfn.XLOOKUP(B117,QUERY!$C:$C,QUERY!BM:BM)</f>
        <v>ZYA</v>
      </c>
      <c r="HM117" s="3">
        <f>_xlfn.XLOOKUP(B117,QUERY!$C:$C,QUERY!BN:BN)</f>
        <v>10515563</v>
      </c>
      <c r="HN117" s="3" t="str">
        <f>_xlfn.XLOOKUP(B117,QUERY!$C:$C,QUERY!BO:BO)</f>
        <v>47881.00</v>
      </c>
      <c r="HO117" s="3" t="str">
        <f>_xlfn.XLOOKUP(B117,QUERY!$C:$C,QUERY!BP:BP)</f>
        <v>NULL</v>
      </c>
      <c r="HP117" s="3" t="str">
        <f>_xlfn.XLOOKUP(B117,QUERY!$C:$C,QUERY!BQ:BQ)</f>
        <v>598513.00</v>
      </c>
      <c r="HQ117" s="3" t="str">
        <f>_xlfn.XLOOKUP(B117,QUERY!$C:$C,QUERY!BR:BR)</f>
        <v>142313.69</v>
      </c>
      <c r="HR117" s="3">
        <f>_xlfn.XLOOKUP(B117,QUERY!$C:$C,QUERY!BS:BS)</f>
        <v>0</v>
      </c>
      <c r="HS117" s="3">
        <f>_xlfn.XLOOKUP(B117,QUERY!$C:$C,QUERY!BT:BT)</f>
        <v>0</v>
      </c>
      <c r="HT117" s="3" t="str">
        <f>_xlfn.XLOOKUP(B117,QUERY!$C:$C,QUERY!A:A)</f>
        <v>VERACRUZ</v>
      </c>
      <c r="HU117" s="3" t="str">
        <f>_xlfn.XLOOKUP(B117,QUERY!$C:$C,QUERY!B:B)</f>
        <v>MARÍTIMO VERACRUZ</v>
      </c>
    </row>
    <row r="118" spans="1:229" x14ac:dyDescent="0.25">
      <c r="A118" s="3" t="s">
        <v>90</v>
      </c>
      <c r="B118" s="3" t="s">
        <v>322</v>
      </c>
      <c r="C118" s="3">
        <v>3942</v>
      </c>
      <c r="D118" s="3">
        <v>6000371</v>
      </c>
      <c r="E118" s="3"/>
      <c r="F118" s="3" t="s">
        <v>92</v>
      </c>
      <c r="G118" s="3" t="s">
        <v>93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430</v>
      </c>
      <c r="S118" s="3" t="s">
        <v>323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328</v>
      </c>
      <c r="AB118" s="3"/>
      <c r="AC118" s="3">
        <v>608681</v>
      </c>
      <c r="AD118" s="3">
        <v>65.520020000000002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/>
      <c r="AP118" s="3" t="s">
        <v>98</v>
      </c>
      <c r="AQ118" s="3">
        <v>210366709</v>
      </c>
      <c r="AR118" s="3" t="s">
        <v>99</v>
      </c>
      <c r="AS118" s="3" t="s">
        <v>100</v>
      </c>
      <c r="AT118" s="3">
        <v>0</v>
      </c>
      <c r="AU118" s="3">
        <v>0</v>
      </c>
      <c r="AV118" s="3">
        <v>0</v>
      </c>
      <c r="AW118" s="3">
        <v>30049099</v>
      </c>
      <c r="AX118" s="3">
        <v>99</v>
      </c>
      <c r="AY118" s="3">
        <v>9290</v>
      </c>
      <c r="AZ118" s="3">
        <v>9290</v>
      </c>
      <c r="BA118" s="3" t="s">
        <v>103</v>
      </c>
      <c r="BB118" s="3"/>
      <c r="BC118" s="3" t="s">
        <v>133</v>
      </c>
      <c r="BD118" s="3" t="s">
        <v>105</v>
      </c>
      <c r="BE118" s="3"/>
      <c r="BF118" s="3"/>
      <c r="BG118" s="5"/>
      <c r="BH118" s="3"/>
      <c r="BI118" s="3"/>
      <c r="BJ118" s="3"/>
      <c r="BK118" s="3" t="s">
        <v>326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 t="s">
        <v>192</v>
      </c>
      <c r="CF118" s="3">
        <v>0</v>
      </c>
      <c r="CG118" s="3">
        <v>0</v>
      </c>
      <c r="CH118" s="3">
        <v>0</v>
      </c>
      <c r="CI118" s="3" t="s">
        <v>112</v>
      </c>
      <c r="CJ118" s="3" t="s">
        <v>112</v>
      </c>
      <c r="CK118" s="3">
        <f>_xlfn.XLOOKUP($B$2,'BASE DE EXCEL'!C:C,'BASE DE EXCEL'!D:D,"NO HAY REFERENCIA")</f>
        <v>470</v>
      </c>
      <c r="CL118" s="5">
        <f>_xlfn.XLOOKUP($B$2,'BASE DE EXCEL'!$C:$C,'BASE DE EXCEL'!F:F,"NO HAY REFERENCIA")</f>
        <v>3</v>
      </c>
      <c r="CM118" s="4">
        <f>_xlfn.XLOOKUP($B$2,'BASE DE EXCEL'!$C:$C,'BASE DE EXCEL'!G:G,"NO HAY REFERENCIA")</f>
        <v>46080</v>
      </c>
      <c r="CN118" s="4">
        <f>_xlfn.XLOOKUP($B$2,'BASE DE EXCEL'!$C:$C,'BASE DE EXCEL'!H:H,"NO HAY REFERENCIA")</f>
        <v>46086</v>
      </c>
      <c r="CO118" s="3">
        <f>_xlfn.XLOOKUP($B$2,'BASE DE EXCEL'!$C:$C,'BASE DE EXCEL'!I:I,"NO HAY REFERENCIA")</f>
        <v>4</v>
      </c>
      <c r="CP118" s="3" t="str">
        <f>_xlfn.XLOOKUP($B$2,'BASE DE EXCEL'!$C:$C,'BASE DE EXCEL'!J:J,"NO HAY REFERENCIA")</f>
        <v>4 a 5 días</v>
      </c>
      <c r="CQ118" s="4">
        <f>_xlfn.XLOOKUP($B$2,'BASE DE EXCEL'!$C:$C,'BASE DE EXCEL'!K:K,"NO HAY REFERENCIA")</f>
        <v>46087</v>
      </c>
      <c r="CR118" s="3">
        <f>_xlfn.XLOOKUP($B$2,'BASE DE EXCEL'!$C:$C,'BASE DE EXCEL'!L:L,"NO HAY REFERENCIA")</f>
        <v>5</v>
      </c>
      <c r="CS118" s="3">
        <f>_xlfn.XLOOKUP($B$2,'BASE DE EXCEL'!$C:$C,'BASE DE EXCEL'!M:M,"NO HAY REFERENCIA")</f>
        <v>6</v>
      </c>
      <c r="CT118" s="3" t="str">
        <f>_xlfn.XLOOKUP($B$2,'BASE DE EXCEL'!$C:$C,'BASE DE EXCEL'!N:N,"NO HAY REFERENCIA")</f>
        <v>6 a 10 días</v>
      </c>
      <c r="CU118" s="3" t="str">
        <f>_xlfn.XLOOKUP($B$2,'BASE DE EXCEL'!$C:$C,'BASE DE EXCEL'!O:O,"NO HAY REFERENCIA")</f>
        <v>On Time</v>
      </c>
      <c r="CV118" s="3" t="str">
        <f>_xlfn.XLOOKUP(B118,'BASE DE EXCEL'!$C:$C,'BASE DE EXCEL'!P:P,"NO HAY REFERENCIA")</f>
        <v>4 a 5 días</v>
      </c>
      <c r="CW118" s="4">
        <f>_xlfn.XLOOKUP(B118,'BASE DE EXCEL'!$C:$C,'BASE DE EXCEL'!Q:Q,"NO HAY REFERENCIA")</f>
        <v>46095</v>
      </c>
      <c r="CX118" s="3">
        <f>_xlfn.XLOOKUP(B118,'BASE DE EXCEL'!$C:$C,'BASE DE EXCEL'!R:R,"NO HAY REFERENCIA")</f>
        <v>5</v>
      </c>
      <c r="CY118" s="3" t="str">
        <f>_xlfn.XLOOKUP(B118,'BASE DE EXCEL'!$C:$C,'BASE DE EXCEL'!S:S,"NO HAY REFERENCIA")</f>
        <v>4 a 5 días</v>
      </c>
      <c r="CZ118" s="3" t="str">
        <f>_xlfn.XLOOKUP(B118,'BASE DE EXCEL'!$C:$C,'BASE DE EXCEL'!T:T,"NO HAY REFERENCIA")</f>
        <v>On Time</v>
      </c>
      <c r="DA118" s="3">
        <f>_xlfn.XLOOKUP(B118,'BASE DE EXCEL'!$C:$C,'BASE DE EXCEL'!U:U,"NO HAY REFERENCIA")</f>
        <v>5</v>
      </c>
      <c r="DB118" s="3" t="str">
        <f>_xlfn.XLOOKUP(B118,'BASE DE EXCEL'!$C:$C,'BASE DE EXCEL'!V:V,"NO HAY REFERENCIA")</f>
        <v>4 a 5 días</v>
      </c>
      <c r="DC118" s="3">
        <f>_xlfn.XLOOKUP(B118,'BASE DE EXCEL'!$C:$C,'BASE DE EXCEL'!W:W,"NO HAY REFERENCIA")</f>
        <v>16</v>
      </c>
      <c r="DD118" s="3" t="str">
        <f>_xlfn.XLOOKUP(B118,'BASE DE EXCEL'!$C:$C,'BASE DE EXCEL'!X:X,"NO HAY REFERENCIA")</f>
        <v>más de 16 días</v>
      </c>
      <c r="DE118" s="3">
        <f>_xlfn.XLOOKUP(B118,'BASE DE EXCEL'!$C:$C,'BASE DE EXCEL'!Y:Y,"NO HAY REFERENCIA")</f>
        <v>1</v>
      </c>
      <c r="DF118" s="3" t="str">
        <f>_xlfn.XLOOKUP(B118,'BASE DE EXCEL'!$C:$C,'BASE DE EXCEL'!Z:Z,"NO HAY REFERENCIA")</f>
        <v>1 día o menos</v>
      </c>
      <c r="DG118" s="3">
        <f>_xlfn.XLOOKUP(B118,'BASE DE EXCEL'!$C:$C,'BASE DE EXCEL'!AA:AA,"NO HAY REFERENCIA")</f>
        <v>3</v>
      </c>
      <c r="DH118" s="3">
        <f>_xlfn.XLOOKUP(B118,'BASE DE EXCEL'!$C:$C,'BASE DE EXCEL'!AB:AB,"NO HAY REFERENCIA")</f>
        <v>1</v>
      </c>
      <c r="DI118" s="3" t="str">
        <f>_xlfn.XLOOKUP(B118,'BASE DE EXCEL'!$C:$C,'BASE DE EXCEL'!AC:AC,"NO HAY REFERENCIA")</f>
        <v>1 día o menos</v>
      </c>
      <c r="DJ118" s="4">
        <f>_xlfn.XLOOKUP(B118,'BASE DE EXCEL'!$C:$C,'BASE DE EXCEL'!AD:AD,"NO HAY REFERENCIA")</f>
        <v>46112</v>
      </c>
      <c r="DK118" s="3">
        <f>_xlfn.XLOOKUP(B118,'BASE DE EXCEL'!$C:$C,'BASE DE EXCEL'!AE:AE,"NO HAY REFERENCIA")</f>
        <v>16</v>
      </c>
      <c r="DL118" s="3">
        <f>_xlfn.XLOOKUP(B118,'BASE DE EXCEL'!$C:$C,'BASE DE EXCEL'!AF:AF,"NO HAY REFERENCIA")</f>
        <v>11</v>
      </c>
      <c r="DM118" s="4">
        <f>_xlfn.XLOOKUP(B118,'BASE DE EXCEL'!$C:$C,'BASE DE EXCEL'!AG:AG,"NO HAY REFERENCIA")</f>
        <v>46111</v>
      </c>
      <c r="DN118" s="4">
        <f>_xlfn.XLOOKUP(B118,'BASE DE EXCEL'!$C:$C,'BASE DE EXCEL'!AH:AH,"NO HAY REFERENCIA")</f>
        <v>46112</v>
      </c>
      <c r="DO118" s="3">
        <f>_xlfn.XLOOKUP(B118,'BASE DE EXCEL'!$C:$C,'BASE DE EXCEL'!AI:AI,"NO HAY REFERENCIA")</f>
        <v>1</v>
      </c>
      <c r="DP118" s="4" t="str">
        <f>_xlfn.XLOOKUP(B118,'BASE DE EXCEL'!$C:$C,'BASE DE EXCEL'!AJ:AJ,"NO HAY REFERENCIA")</f>
        <v>más de 16 días</v>
      </c>
      <c r="DQ118" s="4">
        <f>_xlfn.XLOOKUP(B118,'BASE DE EXCEL'!$C:$C,'BASE DE EXCEL'!AK:AK,"NO HAY REFERENCIA")</f>
        <v>46112</v>
      </c>
      <c r="DR118" s="3">
        <f>_xlfn.XLOOKUP(B118,'BASE DE EXCEL'!$C:$C,'BASE DE EXCEL'!AL:AL,"NO HAY REFERENCIA")</f>
        <v>11</v>
      </c>
      <c r="DS118" s="3" t="str">
        <f>_xlfn.XLOOKUP(B118,'BASE DE EXCEL'!$C:$C,'BASE DE EXCEL'!AM:AM,"NO HAY REFERENCIA")</f>
        <v>11 a 15 días</v>
      </c>
      <c r="DT118" s="3" t="str">
        <f>_xlfn.XLOOKUP(B118,'BASE DE EXCEL'!$C:$C,'BASE DE EXCEL'!AN:AN,"NO HAY REFERENCIA")</f>
        <v>Delayed</v>
      </c>
      <c r="DU118" s="3">
        <f>_xlfn.XLOOKUP(B118,'BASE DE EXCEL'!$C:$C,'BASE DE EXCEL'!AO:AO,"NO HAY REFERENCIA")</f>
        <v>1</v>
      </c>
      <c r="DV118" s="3" t="str">
        <f>_xlfn.XLOOKUP(B118,'BASE DE EXCEL'!$C:$C,'BASE DE EXCEL'!AP:AP,"NO HAY REFERENCIA")</f>
        <v>Es anterior</v>
      </c>
      <c r="DW118" s="3" t="str">
        <f>_xlfn.XLOOKUP(B118,'BASE DE EXCEL'!$C:$C,'BASE DE EXCEL'!AQ:AQ,"NO HAY REFERENCIA")</f>
        <v>A1</v>
      </c>
      <c r="DX118" s="3" t="str">
        <f>_xlfn.XLOOKUP(B118,'BASE DE EXCEL'!$C:$C,'BASE DE EXCEL'!AR:AR,"NO HAY REFERENCIA")</f>
        <v>ZULEIMA PEREZ RUIZ</v>
      </c>
      <c r="DY118" s="3" t="str">
        <f>_xlfn.XLOOKUP(B118,'BASE DE EXCEL'!$C:$C,'BASE DE EXCEL'!AS:AS,"NO HAY REFERENCIA")</f>
        <v>HLCUHAM260271930</v>
      </c>
      <c r="DZ118" s="3" t="str">
        <f>_xlfn.XLOOKUP(B118,'BASE DE EXCEL'!$C:$C,'BASE DE EXCEL'!AT:AT,"NO HAY REFERENCIA")</f>
        <v>NULL</v>
      </c>
      <c r="EA118" s="3">
        <f>_xlfn.XLOOKUP(B118,'BASE DE EXCEL'!$C:$C,'BASE DE EXCEL'!AU:AU,"NO HAY REFERENCIA")</f>
        <v>6000371</v>
      </c>
      <c r="EB118" s="3" t="str">
        <f>_xlfn.XLOOKUP(B118,'BASE DE EXCEL'!$C:$C,'BASE DE EXCEL'!AV:AV,"NO HAY REFERENCIA")</f>
        <v>Importación</v>
      </c>
      <c r="EC118" s="3" t="str">
        <f>_xlfn.XLOOKUP(B118,'BASE DE EXCEL'!$C:$C,'BASE DE EXCEL'!AW:AW,"NO HAY REFERENCIA")</f>
        <v>BRAVECTO 112.5 MG (MEDICAMENTO DOSIFICADO DE USO VETERINARIO)</v>
      </c>
      <c r="ED118" s="3" t="str">
        <f>_xlfn.XLOOKUP(B118,'BASE DE EXCEL'!$C:$C,'BASE DE EXCEL'!AX:AX,"NO HAY REFERENCIA")</f>
        <v>SIN CLASIFICACION</v>
      </c>
      <c r="EE118" s="3">
        <f>_xlfn.XLOOKUP(B118,'BASE DE EXCEL'!$C:$C,'BASE DE EXCEL'!AY:AY,"NO HAY REFERENCIA")</f>
        <v>0</v>
      </c>
      <c r="EF118" s="3" t="str">
        <f>_xlfn.XLOOKUP(B118,'BASE DE EXCEL'!$C:$C,'BASE DE EXCEL'!AZ:AZ,"NO HAY REFERENCIA")</f>
        <v>Cargas de Importación</v>
      </c>
      <c r="EG118" s="3" t="str">
        <f>_xlfn.XLOOKUP(B118,'BASE DE EXCEL'!$C:$C,'BASE DE EXCEL'!BA:BA,"NO HAY REFERENCIA")</f>
        <v>INTERVET MEXICO SA DE CV</v>
      </c>
      <c r="EH118" s="3">
        <f>_xlfn.XLOOKUP(B118,'BASE DE EXCEL'!$C:$C,'BASE DE EXCEL'!BB:BB,"NO HAY REFERENCIA")</f>
        <v>0</v>
      </c>
      <c r="EI118" s="3">
        <f>_xlfn.XLOOKUP(B118,'BASE DE EXCEL'!$C:$C,'BASE DE EXCEL'!BC:BC,"NO HAY REFERENCIA")</f>
        <v>0</v>
      </c>
      <c r="EJ118" s="3">
        <f>_xlfn.XLOOKUP(B118,'BASE DE EXCEL'!$C:$C,'BASE DE EXCEL'!BD:BD,"NO HAY REFERENCIA")</f>
        <v>0</v>
      </c>
      <c r="EK118" s="3">
        <f>_xlfn.XLOOKUP(B118,'BASE DE EXCEL'!$C:$C,'BASE DE EXCEL'!BE:BE,"NO HAY REFERENCIA")</f>
        <v>0</v>
      </c>
      <c r="EL118" s="3" t="str">
        <f>_xlfn.XLOOKUP(B118,'BASE DE EXCEL'!$C:$C,'BASE DE EXCEL'!BF:BF,"NO HAY REFERENCIA")</f>
        <v>PRODUCTO TERMINADO</v>
      </c>
      <c r="EM118" s="3" t="str">
        <f>_xlfn.XLOOKUP(B118,'BASE DE EXCEL'!$C:$C,'BASE DE EXCEL'!BG:BG,"NO HAY REFERENCIA")</f>
        <v>Verde</v>
      </c>
      <c r="EN118" s="3" t="str">
        <f>_xlfn.XLOOKUP(B118,'BASE DE EXCEL'!$C:$C,'BASE DE EXCEL'!BH:BH,"NO HAY REFERENCIA")</f>
        <v xml:space="preserve"> SUPER EXPRESS DE CARGA FEDERAL S.A. DE C.V.</v>
      </c>
      <c r="EO118" s="3">
        <f>_xlfn.XLOOKUP(B118,'BASE DE EXCEL'!$C:$C,'BASE DE EXCEL'!BI:BI,"NO HAY REFERENCIA")</f>
        <v>0</v>
      </c>
      <c r="EP118" s="3" t="str">
        <f>_xlfn.XLOOKUP(B118,'BASE DE EXCEL'!$C:$C,'BASE DE EXCEL'!BJ:BJ,"NO HAY REFERENCIA")</f>
        <v>IME-T004</v>
      </c>
      <c r="EQ118" s="3" t="str">
        <f>_xlfn.XLOOKUP(B118,'BASE DE EXCEL'!$C:$C,'BASE DE EXCEL'!BK:BK,"NO HAY REFERENCIA")</f>
        <v>IME850329RH2</v>
      </c>
      <c r="ER118" s="3">
        <f>_xlfn.XLOOKUP(B118,'BASE DE EXCEL'!$C:$C,'BASE DE EXCEL'!BL:BL,"NO HAY REFERENCIA")</f>
        <v>0</v>
      </c>
      <c r="ES118" s="3">
        <f>_xlfn.XLOOKUP(B118,'BASE DE EXCEL'!$C:$C,'BASE DE EXCEL'!BM:BM,"NO HAY REFERENCIA")</f>
        <v>99</v>
      </c>
      <c r="ET118" s="3" t="str">
        <f>_xlfn.XLOOKUP(B118,'BASE DE EXCEL'!$C:$C,'BASE DE EXCEL'!BN:BN,"NO HAY REFERENCIA")</f>
        <v>LOTE: 25M1014C05,LOTE: 25M5071C02,LOTE: 25E3005C01</v>
      </c>
      <c r="EU118" s="3">
        <f>_xlfn.XLOOKUP(B118,'BASE DE EXCEL'!$C:$C,'BASE DE EXCEL'!BO:BO,"NO HAY REFERENCIA")</f>
        <v>90</v>
      </c>
      <c r="EV118" s="3">
        <f>_xlfn.XLOOKUP(B118,'BASE DE EXCEL'!$C:$C,'BASE DE EXCEL'!BP:BP,"NO HAY REFERENCIA")</f>
        <v>10515563.199999999</v>
      </c>
      <c r="EW118" s="3" t="str">
        <f>_xlfn.XLOOKUP(B118,'BASE DE EXCEL'!$C:$C,'BASE DE EXCEL'!BQ:BQ,"NO HAY REFERENCIA")</f>
        <v>KILO,KILO,KILO</v>
      </c>
      <c r="EX118" s="3">
        <f>_xlfn.XLOOKUP(B118,'BASE DE EXCEL'!$C:$C,'BASE DE EXCEL'!BR:BR,"NO HAY REFERENCIA")</f>
        <v>0</v>
      </c>
      <c r="EY118" s="3" t="str">
        <f>_xlfn.XLOOKUP(B118,'BASE DE EXCEL'!$C:$C,'BASE DE EXCEL'!BS:BS,"NO HAY REFERENCIA")</f>
        <v>AUSTRIA (REPUBLICA DE)</v>
      </c>
      <c r="EZ118" s="3" t="str">
        <f>_xlfn.XLOOKUP(B118,'BASE DE EXCEL'!$C:$C,'BASE DE EXCEL'!BT:BT,"NO HAY REFERENCIA")</f>
        <v>PAISES BAJOS (REINO DE LOS) (HOLANDA)</v>
      </c>
      <c r="FA118" s="3" t="str">
        <f>_xlfn.XLOOKUP(B118,'BASE DE EXCEL'!$C:$C,'BASE DE EXCEL'!BU:BU,"NO HAY REFERENCIA")</f>
        <v>AUT</v>
      </c>
      <c r="FB118" s="3" t="str">
        <f>_xlfn.XLOOKUP(B118,'BASE DE EXCEL'!$C:$C,'BASE DE EXCEL'!BV:BV,"NO HAY REFERENCIA")</f>
        <v>ZYA</v>
      </c>
      <c r="FC118" s="3">
        <f>_xlfn.XLOOKUP(B118,QUERY!$C:$C,QUERY!D:D)</f>
        <v>430</v>
      </c>
      <c r="FD118" s="4">
        <f>_xlfn.XLOOKUP(B118,QUERY!$C:$C,QUERY!E:E)</f>
        <v>46093</v>
      </c>
      <c r="FE118" s="3">
        <f>_xlfn.XLOOKUP(B118,QUERY!$C:$C,QUERY!F:F)</f>
        <v>3</v>
      </c>
      <c r="FF118" s="4">
        <f>_xlfn.XLOOKUP(B118,QUERY!$C:$C,QUERY!G:G)</f>
        <v>46090</v>
      </c>
      <c r="FG118" s="4">
        <f>_xlfn.XLOOKUP(B118,QUERY!$C:$C,QUERY!H:H)</f>
        <v>46093</v>
      </c>
      <c r="FH118" s="3">
        <f>_xlfn.XLOOKUP(B118,QUERY!$C:$C,QUERY!I:I)</f>
        <v>3</v>
      </c>
      <c r="FI118" s="3" t="str">
        <f>_xlfn.XLOOKUP(B118,QUERY!$C:$C,QUERY!J:J)</f>
        <v>2 a 3 días</v>
      </c>
      <c r="FJ118" s="4">
        <f>_xlfn.XLOOKUP(B118,QUERY!$C:$C,QUERY!K:K)</f>
        <v>46094</v>
      </c>
      <c r="FK118" s="3">
        <f>_xlfn.XLOOKUP(B118,QUERY!$C:$C,QUERY!L:L)</f>
        <v>4</v>
      </c>
      <c r="FL118" s="3" t="str">
        <f>_xlfn.XLOOKUP(B118,QUERY!$C:$C,QUERY!M:M)</f>
        <v>4 a 5 días</v>
      </c>
      <c r="FM118" s="3">
        <f>_xlfn.XLOOKUP(B118,QUERY!$C:$C,QUERY!N:N)</f>
        <v>1</v>
      </c>
      <c r="FN118" s="3" t="str">
        <f>_xlfn.XLOOKUP(B118,QUERY!$C:$C,QUERY!O:O)</f>
        <v>1 día o menos</v>
      </c>
      <c r="FO118" s="3">
        <f>_xlfn.XLOOKUP(B118,QUERY!$C:$C,QUERY!P:P)</f>
        <v>1</v>
      </c>
      <c r="FP118" s="3">
        <f>_xlfn.XLOOKUP(B118,QUERY!$C:$C,QUERY!Q:Q)</f>
        <v>1</v>
      </c>
      <c r="FQ118" s="3" t="str">
        <f>_xlfn.XLOOKUP(B118,QUERY!$C:$C,QUERY!R:R)</f>
        <v>1 día o menos</v>
      </c>
      <c r="FR118" s="4">
        <f>_xlfn.XLOOKUP(B118,QUERY!$C:$C,QUERY!S:S)</f>
        <v>46095</v>
      </c>
      <c r="FS118" s="3">
        <f>_xlfn.XLOOKUP(B118,QUERY!$C:$C,QUERY!T:T)</f>
        <v>5</v>
      </c>
      <c r="FT118" s="3" t="str">
        <f>_xlfn.XLOOKUP(B118,QUERY!$C:$C,QUERY!U:U)</f>
        <v>4 a 5 días</v>
      </c>
      <c r="FU118" s="3">
        <f>_xlfn.XLOOKUP(B118,QUERY!$C:$C,QUERY!V:V)</f>
        <v>16</v>
      </c>
      <c r="FV118" s="3" t="str">
        <f>_xlfn.XLOOKUP(B118,QUERY!$C:$C,QUERY!W:W)</f>
        <v>más de 16 días</v>
      </c>
      <c r="FW118" s="4">
        <f>_xlfn.XLOOKUP(B118,QUERY!$C:$C,QUERY!X:X)</f>
        <v>46112</v>
      </c>
      <c r="FX118" s="3">
        <f>_xlfn.XLOOKUP(B118,QUERY!$C:$C,QUERY!Y:Y)</f>
        <v>10</v>
      </c>
      <c r="FY118" s="3">
        <f>_xlfn.XLOOKUP(B118,QUERY!$C:$C,QUERY!Z:Z)</f>
        <v>11</v>
      </c>
      <c r="FZ118" s="4" t="str">
        <f>_xlfn.XLOOKUP(B118,QUERY!$C:$C,QUERY!AA:AA)</f>
        <v>más de 16 días</v>
      </c>
      <c r="GA118" s="4">
        <f>_xlfn.XLOOKUP(B118,QUERY!$C:$C,QUERY!AB:AB)</f>
        <v>46111</v>
      </c>
      <c r="GB118" s="4">
        <f>_xlfn.XLOOKUP(B118,QUERY!$C:$C,QUERY!AC:AC)</f>
        <v>46112</v>
      </c>
      <c r="GC118" s="3">
        <f>_xlfn.XLOOKUP(B118,QUERY!$C:$C,QUERY!AD:AD)</f>
        <v>1</v>
      </c>
      <c r="GD118" s="4">
        <f>_xlfn.XLOOKUP(B118,QUERY!$C:$C,QUERY!AE:AE)</f>
        <v>46112</v>
      </c>
      <c r="GE118" s="3">
        <f>_xlfn.XLOOKUP(B118,QUERY!$C:$C,QUERY!AF:AF)</f>
        <v>1</v>
      </c>
      <c r="GF118" s="4" t="str">
        <f>_xlfn.XLOOKUP(B118,QUERY!$C:$C,QUERY!AG:AG)</f>
        <v>Es anterior</v>
      </c>
      <c r="GG118" s="3" t="str">
        <f>_xlfn.XLOOKUP(B118,QUERY!$C:$C,QUERY!AH:AH)</f>
        <v>A1</v>
      </c>
      <c r="GH118" s="3" t="str">
        <f>_xlfn.XLOOKUP(B118,QUERY!$C:$C,QUERY!AI:AI)</f>
        <v>ZULEIMA PEREZ RUIZ</v>
      </c>
      <c r="GI118" s="3" t="str">
        <f>_xlfn.XLOOKUP(B118,QUERY!$C:$C,QUERY!AJ:AJ)</f>
        <v>HLCUHAM260271930</v>
      </c>
      <c r="GJ118" s="3" t="str">
        <f>_xlfn.XLOOKUP(B118,QUERY!$C:$C,QUERY!AK:AK)</f>
        <v>NULL</v>
      </c>
      <c r="GK118" s="3">
        <f>_xlfn.XLOOKUP(B118,QUERY!$C:$C,QUERY!AL:AL)</f>
        <v>6000371</v>
      </c>
      <c r="GL118" s="3" t="str">
        <f>_xlfn.XLOOKUP(B118,QUERY!$C:$C,QUERY!AM:AM)</f>
        <v>Importación</v>
      </c>
      <c r="GM118" s="3" t="str">
        <f>_xlfn.XLOOKUP(B118,QUERY!$C:$C,QUERY!AN:AN)</f>
        <v>BRAVECTO 112.5 MG (MEDICAMENTO DOSIFICADO DE USO VETERINARIO)</v>
      </c>
      <c r="GN118" s="3" t="str">
        <f>_xlfn.XLOOKUP(B118,QUERY!$C:$C,QUERY!AO:AO)</f>
        <v>SIN CLASIFICACION</v>
      </c>
      <c r="GO118" s="3">
        <f>_xlfn.XLOOKUP(B118,QUERY!$C:$C,QUERY!AP:AP)</f>
        <v>0</v>
      </c>
      <c r="GP118" s="3" t="str">
        <f>_xlfn.XLOOKUP(B118,QUERY!$C:$C,QUERY!AQ:AQ)</f>
        <v>Cargas de Importación</v>
      </c>
      <c r="GQ118" s="3" t="str">
        <f>_xlfn.XLOOKUP(B118,QUERY!$C:$C,QUERY!AR:AR)</f>
        <v>INTERVET MEXICO SA DE CV</v>
      </c>
      <c r="GR118" s="3">
        <f>_xlfn.XLOOKUP(B118,QUERY!$C:$C,QUERY!AS:AS)</f>
        <v>0</v>
      </c>
      <c r="GS118" s="3">
        <f>_xlfn.XLOOKUP(B118,QUERY!$C:$C,QUERY!AT:AT)</f>
        <v>0</v>
      </c>
      <c r="GT118" s="3">
        <f>_xlfn.XLOOKUP(B118,QUERY!$C:$C,QUERY!AU:AU)</f>
        <v>0</v>
      </c>
      <c r="GU118" s="3">
        <f>_xlfn.XLOOKUP(B118,QUERY!$C:$C,QUERY!AV:AV)</f>
        <v>0</v>
      </c>
      <c r="GV118" s="3" t="str">
        <f>_xlfn.XLOOKUP(B118,QUERY!$C:$C,QUERY!AW:AW)</f>
        <v>PRODUCTO TERMINADO</v>
      </c>
      <c r="GW118" s="3" t="str">
        <f>_xlfn.XLOOKUP(B118,QUERY!$C:$C,QUERY!AX:AX)</f>
        <v>Verde</v>
      </c>
      <c r="GX118" s="3" t="str">
        <f>_xlfn.XLOOKUP(B118,QUERY!$C:$C,QUERY!AY:AY)</f>
        <v xml:space="preserve"> SUPER EXPRESS DE CARGA FEDERAL S.A. DE C.V.</v>
      </c>
      <c r="GY118" s="3">
        <f>_xlfn.XLOOKUP(B118,QUERY!$C:$C,QUERY!AZ:AZ)</f>
        <v>0</v>
      </c>
      <c r="GZ118" s="3" t="str">
        <f>_xlfn.XLOOKUP(B118,QUERY!$C:$C,QUERY!BA:BA)</f>
        <v>IME-T004</v>
      </c>
      <c r="HA118" s="3" t="str">
        <f>_xlfn.XLOOKUP(B118,QUERY!$C:$C,QUERY!BB:BB)</f>
        <v>IME850329RH2</v>
      </c>
      <c r="HB118" s="3">
        <f>_xlfn.XLOOKUP(B118,QUERY!$C:$C,QUERY!BC:BC)</f>
        <v>0</v>
      </c>
      <c r="HC118" s="3">
        <f>_xlfn.XLOOKUP(B118,QUERY!$C:$C,QUERY!BD:BD)</f>
        <v>99</v>
      </c>
      <c r="HD118" s="3" t="str">
        <f>_xlfn.XLOOKUP(B118,QUERY!$C:$C,QUERY!BE:BE)</f>
        <v>LOTE: 25M1014C05,LOTE: 25M5071C02,LOTE: 25E3005C01</v>
      </c>
      <c r="HE118" s="3">
        <f>_xlfn.XLOOKUP(B118,QUERY!$C:$C,QUERY!BF:BF)</f>
        <v>90</v>
      </c>
      <c r="HF118" s="3" t="str">
        <f>_xlfn.XLOOKUP(B118,QUERY!$C:$C,QUERY!BG:BG)</f>
        <v xml:space="preserve"> 10515563.20</v>
      </c>
      <c r="HG118" s="3" t="str">
        <f>_xlfn.XLOOKUP(B118,QUERY!$C:$C,QUERY!BH:BH)</f>
        <v>KILO,KILO,KILO</v>
      </c>
      <c r="HH118" s="3">
        <f>_xlfn.XLOOKUP(B118,QUERY!$C:$C,QUERY!BI:BI)</f>
        <v>0</v>
      </c>
      <c r="HI118" s="3" t="str">
        <f>_xlfn.XLOOKUP(B118,QUERY!$C:$C,QUERY!BJ:BJ)</f>
        <v>AUSTRIA (REPUBLICA DE)</v>
      </c>
      <c r="HJ118" s="3" t="str">
        <f>_xlfn.XLOOKUP(B118,QUERY!$C:$C,QUERY!BK:BK)</f>
        <v>PAISES BAJOS (REINO DE LOS) (HOLANDA)</v>
      </c>
      <c r="HK118" s="3" t="str">
        <f>_xlfn.XLOOKUP(B118,QUERY!$C:$C,QUERY!BL:BL)</f>
        <v>AUT</v>
      </c>
      <c r="HL118" s="3" t="str">
        <f>_xlfn.XLOOKUP(B118,QUERY!$C:$C,QUERY!BM:BM)</f>
        <v>ZYA</v>
      </c>
      <c r="HM118" s="3">
        <f>_xlfn.XLOOKUP(B118,QUERY!$C:$C,QUERY!BN:BN)</f>
        <v>10515563</v>
      </c>
      <c r="HN118" s="3" t="str">
        <f>_xlfn.XLOOKUP(B118,QUERY!$C:$C,QUERY!BO:BO)</f>
        <v>47881.00</v>
      </c>
      <c r="HO118" s="3" t="str">
        <f>_xlfn.XLOOKUP(B118,QUERY!$C:$C,QUERY!BP:BP)</f>
        <v>NULL</v>
      </c>
      <c r="HP118" s="3" t="str">
        <f>_xlfn.XLOOKUP(B118,QUERY!$C:$C,QUERY!BQ:BQ)</f>
        <v>598513.00</v>
      </c>
      <c r="HQ118" s="3" t="str">
        <f>_xlfn.XLOOKUP(B118,QUERY!$C:$C,QUERY!BR:BR)</f>
        <v>142313.69</v>
      </c>
      <c r="HR118" s="3">
        <f>_xlfn.XLOOKUP(B118,QUERY!$C:$C,QUERY!BS:BS)</f>
        <v>0</v>
      </c>
      <c r="HS118" s="3">
        <f>_xlfn.XLOOKUP(B118,QUERY!$C:$C,QUERY!BT:BT)</f>
        <v>0</v>
      </c>
      <c r="HT118" s="3" t="str">
        <f>_xlfn.XLOOKUP(B118,QUERY!$C:$C,QUERY!A:A)</f>
        <v>VERACRUZ</v>
      </c>
      <c r="HU118" s="3" t="str">
        <f>_xlfn.XLOOKUP(B118,QUERY!$C:$C,QUERY!B:B)</f>
        <v>MARÍTIMO VERACRUZ</v>
      </c>
    </row>
    <row r="119" spans="1:229" x14ac:dyDescent="0.25">
      <c r="A119" s="3" t="s">
        <v>90</v>
      </c>
      <c r="B119" s="3" t="s">
        <v>301</v>
      </c>
      <c r="C119" s="3">
        <v>3942</v>
      </c>
      <c r="D119" s="3">
        <v>6000372</v>
      </c>
      <c r="E119" s="3"/>
      <c r="F119" s="3" t="s">
        <v>92</v>
      </c>
      <c r="G119" s="3" t="s">
        <v>93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17.8368</v>
      </c>
      <c r="Q119" s="3">
        <v>9828</v>
      </c>
      <c r="R119" s="3">
        <v>430</v>
      </c>
      <c r="S119" s="3" t="s">
        <v>302</v>
      </c>
      <c r="T119" s="3" t="s">
        <v>130</v>
      </c>
      <c r="U119" s="3">
        <v>12690063</v>
      </c>
      <c r="V119" s="3">
        <v>12690063</v>
      </c>
      <c r="W119" s="3">
        <v>0</v>
      </c>
      <c r="X119" s="3">
        <v>0</v>
      </c>
      <c r="Y119" s="3">
        <v>0</v>
      </c>
      <c r="Z119" s="3">
        <v>0</v>
      </c>
      <c r="AA119" s="3" t="s">
        <v>96</v>
      </c>
      <c r="AB119" s="3"/>
      <c r="AC119" s="3">
        <v>12690063</v>
      </c>
      <c r="AD119" s="3">
        <v>14100.07</v>
      </c>
      <c r="AE119" s="3">
        <v>354</v>
      </c>
      <c r="AF119" s="3">
        <v>0</v>
      </c>
      <c r="AG119" s="3">
        <v>0</v>
      </c>
      <c r="AH119" s="3">
        <v>0</v>
      </c>
      <c r="AI119" s="3">
        <v>53</v>
      </c>
      <c r="AJ119" s="3">
        <v>101520</v>
      </c>
      <c r="AK119" s="3">
        <v>0</v>
      </c>
      <c r="AL119" s="3">
        <v>0</v>
      </c>
      <c r="AM119" s="3">
        <v>330</v>
      </c>
      <c r="AN119" s="3">
        <v>101903</v>
      </c>
      <c r="AO119" s="3" t="s">
        <v>97</v>
      </c>
      <c r="AP119" s="3" t="s">
        <v>98</v>
      </c>
      <c r="AQ119" s="3">
        <v>210366567</v>
      </c>
      <c r="AR119" s="3" t="s">
        <v>99</v>
      </c>
      <c r="AS119" s="3" t="s">
        <v>100</v>
      </c>
      <c r="AT119" s="3" t="s">
        <v>303</v>
      </c>
      <c r="AU119" s="3"/>
      <c r="AV119" s="3" t="s">
        <v>102</v>
      </c>
      <c r="AW119" s="3">
        <v>23099099</v>
      </c>
      <c r="AX119" s="3">
        <v>99</v>
      </c>
      <c r="AY119" s="3">
        <v>900</v>
      </c>
      <c r="AZ119" s="3">
        <v>900</v>
      </c>
      <c r="BA119" s="3" t="s">
        <v>103</v>
      </c>
      <c r="BB119" s="3"/>
      <c r="BC119" s="3" t="s">
        <v>104</v>
      </c>
      <c r="BD119" s="3" t="s">
        <v>105</v>
      </c>
      <c r="BE119" s="3" t="s">
        <v>228</v>
      </c>
      <c r="BF119" s="3" t="s">
        <v>107</v>
      </c>
      <c r="BG119" s="5">
        <v>4.3064022026090896E+16</v>
      </c>
      <c r="BH119" s="3" t="s">
        <v>108</v>
      </c>
      <c r="BI119" s="3"/>
      <c r="BJ119" s="3" t="s">
        <v>109</v>
      </c>
      <c r="BK119" s="3" t="s">
        <v>304</v>
      </c>
      <c r="BL119" s="3">
        <v>44419</v>
      </c>
      <c r="BM119" s="3">
        <v>0</v>
      </c>
      <c r="BN119" s="3">
        <v>0</v>
      </c>
      <c r="BO119" s="3">
        <v>0</v>
      </c>
      <c r="BP119" s="3">
        <v>1800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22189.59</v>
      </c>
      <c r="BY119" s="3">
        <v>0</v>
      </c>
      <c r="BZ119" s="3">
        <v>0</v>
      </c>
      <c r="CA119" s="3">
        <v>44251.68</v>
      </c>
      <c r="CB119" s="3">
        <v>18000</v>
      </c>
      <c r="CC119" s="3">
        <v>3630.4</v>
      </c>
      <c r="CD119" s="3">
        <v>218715.07</v>
      </c>
      <c r="CE119" s="3" t="s">
        <v>192</v>
      </c>
      <c r="CF119" s="3">
        <v>218715.07</v>
      </c>
      <c r="CG119" s="3">
        <v>0</v>
      </c>
      <c r="CH119" s="3">
        <v>0</v>
      </c>
      <c r="CI119" s="3" t="s">
        <v>112</v>
      </c>
      <c r="CJ119" s="3" t="s">
        <v>112</v>
      </c>
      <c r="CK119" s="3">
        <f>_xlfn.XLOOKUP($B$2,'BASE DE EXCEL'!C:C,'BASE DE EXCEL'!D:D,"NO HAY REFERENCIA")</f>
        <v>470</v>
      </c>
      <c r="CL119" s="5">
        <f>_xlfn.XLOOKUP($B$2,'BASE DE EXCEL'!$C:$C,'BASE DE EXCEL'!F:F,"NO HAY REFERENCIA")</f>
        <v>3</v>
      </c>
      <c r="CM119" s="4">
        <f>_xlfn.XLOOKUP($B$2,'BASE DE EXCEL'!$C:$C,'BASE DE EXCEL'!G:G,"NO HAY REFERENCIA")</f>
        <v>46080</v>
      </c>
      <c r="CN119" s="4">
        <f>_xlfn.XLOOKUP($B$2,'BASE DE EXCEL'!$C:$C,'BASE DE EXCEL'!H:H,"NO HAY REFERENCIA")</f>
        <v>46086</v>
      </c>
      <c r="CO119" s="3">
        <f>_xlfn.XLOOKUP($B$2,'BASE DE EXCEL'!$C:$C,'BASE DE EXCEL'!I:I,"NO HAY REFERENCIA")</f>
        <v>4</v>
      </c>
      <c r="CP119" s="3" t="str">
        <f>_xlfn.XLOOKUP($B$2,'BASE DE EXCEL'!$C:$C,'BASE DE EXCEL'!J:J,"NO HAY REFERENCIA")</f>
        <v>4 a 5 días</v>
      </c>
      <c r="CQ119" s="4">
        <f>_xlfn.XLOOKUP($B$2,'BASE DE EXCEL'!$C:$C,'BASE DE EXCEL'!K:K,"NO HAY REFERENCIA")</f>
        <v>46087</v>
      </c>
      <c r="CR119" s="3">
        <f>_xlfn.XLOOKUP($B$2,'BASE DE EXCEL'!$C:$C,'BASE DE EXCEL'!L:L,"NO HAY REFERENCIA")</f>
        <v>5</v>
      </c>
      <c r="CS119" s="3">
        <f>_xlfn.XLOOKUP($B$2,'BASE DE EXCEL'!$C:$C,'BASE DE EXCEL'!M:M,"NO HAY REFERENCIA")</f>
        <v>6</v>
      </c>
      <c r="CT119" s="3" t="str">
        <f>_xlfn.XLOOKUP($B$2,'BASE DE EXCEL'!$C:$C,'BASE DE EXCEL'!N:N,"NO HAY REFERENCIA")</f>
        <v>6 a 10 días</v>
      </c>
      <c r="CU119" s="3" t="str">
        <f>_xlfn.XLOOKUP($B$2,'BASE DE EXCEL'!$C:$C,'BASE DE EXCEL'!O:O,"NO HAY REFERENCIA")</f>
        <v>On Time</v>
      </c>
      <c r="CV119" s="3" t="str">
        <f>_xlfn.XLOOKUP(B119,'BASE DE EXCEL'!$C:$C,'BASE DE EXCEL'!P:P,"NO HAY REFERENCIA")</f>
        <v>6 a 10 días</v>
      </c>
      <c r="CW119" s="4">
        <f>_xlfn.XLOOKUP(B119,'BASE DE EXCEL'!$C:$C,'BASE DE EXCEL'!Q:Q,"NO HAY REFERENCIA")</f>
        <v>46106</v>
      </c>
      <c r="CX119" s="3">
        <f>_xlfn.XLOOKUP(B119,'BASE DE EXCEL'!$C:$C,'BASE DE EXCEL'!R:R,"NO HAY REFERENCIA")</f>
        <v>7</v>
      </c>
      <c r="CY119" s="3" t="str">
        <f>_xlfn.XLOOKUP(B119,'BASE DE EXCEL'!$C:$C,'BASE DE EXCEL'!S:S,"NO HAY REFERENCIA")</f>
        <v>6 a 10 días</v>
      </c>
      <c r="CZ119" s="3" t="str">
        <f>_xlfn.XLOOKUP(B119,'BASE DE EXCEL'!$C:$C,'BASE DE EXCEL'!T:T,"NO HAY REFERENCIA")</f>
        <v>Delayed</v>
      </c>
      <c r="DA119" s="3">
        <f>_xlfn.XLOOKUP(B119,'BASE DE EXCEL'!$C:$C,'BASE DE EXCEL'!U:U,"NO HAY REFERENCIA")</f>
        <v>9</v>
      </c>
      <c r="DB119" s="3" t="str">
        <f>_xlfn.XLOOKUP(B119,'BASE DE EXCEL'!$C:$C,'BASE DE EXCEL'!V:V,"NO HAY REFERENCIA")</f>
        <v>6 a 10 días</v>
      </c>
      <c r="DC119" s="3">
        <f>_xlfn.XLOOKUP(B119,'BASE DE EXCEL'!$C:$C,'BASE DE EXCEL'!W:W,"NO HAY REFERENCIA")</f>
        <v>12</v>
      </c>
      <c r="DD119" s="3" t="str">
        <f>_xlfn.XLOOKUP(B119,'BASE DE EXCEL'!$C:$C,'BASE DE EXCEL'!X:X,"NO HAY REFERENCIA")</f>
        <v>11 a 15 días</v>
      </c>
      <c r="DE119" s="3">
        <f>_xlfn.XLOOKUP(B119,'BASE DE EXCEL'!$C:$C,'BASE DE EXCEL'!Y:Y,"NO HAY REFERENCIA")</f>
        <v>0</v>
      </c>
      <c r="DF119" s="3" t="str">
        <f>_xlfn.XLOOKUP(B119,'BASE DE EXCEL'!$C:$C,'BASE DE EXCEL'!Z:Z,"NO HAY REFERENCIA")</f>
        <v>1 día o menos</v>
      </c>
      <c r="DG119" s="3">
        <f>_xlfn.XLOOKUP(B119,'BASE DE EXCEL'!$C:$C,'BASE DE EXCEL'!AA:AA,"NO HAY REFERENCIA")</f>
        <v>8</v>
      </c>
      <c r="DH119" s="3">
        <f>_xlfn.XLOOKUP(B119,'BASE DE EXCEL'!$C:$C,'BASE DE EXCEL'!AB:AB,"NO HAY REFERENCIA")</f>
        <v>1</v>
      </c>
      <c r="DI119" s="3" t="str">
        <f>_xlfn.XLOOKUP(B119,'BASE DE EXCEL'!$C:$C,'BASE DE EXCEL'!AC:AC,"NO HAY REFERENCIA")</f>
        <v>1 día o menos</v>
      </c>
      <c r="DJ119" s="4">
        <f>_xlfn.XLOOKUP(B119,'BASE DE EXCEL'!$C:$C,'BASE DE EXCEL'!AD:AD,"NO HAY REFERENCIA")</f>
        <v>46113</v>
      </c>
      <c r="DK119" s="3">
        <f>_xlfn.XLOOKUP(B119,'BASE DE EXCEL'!$C:$C,'BASE DE EXCEL'!AE:AE,"NO HAY REFERENCIA")</f>
        <v>7</v>
      </c>
      <c r="DL119" s="3">
        <f>_xlfn.XLOOKUP(B119,'BASE DE EXCEL'!$C:$C,'BASE DE EXCEL'!AF:AF,"NO HAY REFERENCIA")</f>
        <v>5</v>
      </c>
      <c r="DM119" s="4">
        <f>_xlfn.XLOOKUP(B119,'BASE DE EXCEL'!$C:$C,'BASE DE EXCEL'!AG:AG,"NO HAY REFERENCIA")</f>
        <v>46113</v>
      </c>
      <c r="DN119" s="4">
        <f>_xlfn.XLOOKUP(B119,'BASE DE EXCEL'!$C:$C,'BASE DE EXCEL'!AH:AH,"NO HAY REFERENCIA")</f>
        <v>46113</v>
      </c>
      <c r="DO119" s="3">
        <f>_xlfn.XLOOKUP(B119,'BASE DE EXCEL'!$C:$C,'BASE DE EXCEL'!AI:AI,"NO HAY REFERENCIA")</f>
        <v>0</v>
      </c>
      <c r="DP119" s="4" t="str">
        <f>_xlfn.XLOOKUP(B119,'BASE DE EXCEL'!$C:$C,'BASE DE EXCEL'!AJ:AJ,"NO HAY REFERENCIA")</f>
        <v>6 a 10 días</v>
      </c>
      <c r="DQ119" s="4">
        <f>_xlfn.XLOOKUP(B119,'BASE DE EXCEL'!$C:$C,'BASE DE EXCEL'!AK:AK,"NO HAY REFERENCIA")</f>
        <v>46113</v>
      </c>
      <c r="DR119" s="3">
        <f>_xlfn.XLOOKUP(B119,'BASE DE EXCEL'!$C:$C,'BASE DE EXCEL'!AL:AL,"NO HAY REFERENCIA")</f>
        <v>6</v>
      </c>
      <c r="DS119" s="3" t="str">
        <f>_xlfn.XLOOKUP(B119,'BASE DE EXCEL'!$C:$C,'BASE DE EXCEL'!AM:AM,"NO HAY REFERENCIA")</f>
        <v>6 a 10 días</v>
      </c>
      <c r="DT119" s="3" t="str">
        <f>_xlfn.XLOOKUP(B119,'BASE DE EXCEL'!$C:$C,'BASE DE EXCEL'!AN:AN,"NO HAY REFERENCIA")</f>
        <v>On Time</v>
      </c>
      <c r="DU119" s="3">
        <f>_xlfn.XLOOKUP(B119,'BASE DE EXCEL'!$C:$C,'BASE DE EXCEL'!AO:AO,"NO HAY REFERENCIA")</f>
        <v>1</v>
      </c>
      <c r="DV119" s="3" t="str">
        <f>_xlfn.XLOOKUP(B119,'BASE DE EXCEL'!$C:$C,'BASE DE EXCEL'!AP:AP,"NO HAY REFERENCIA")</f>
        <v>Es anterior</v>
      </c>
      <c r="DW119" s="3" t="str">
        <f>_xlfn.XLOOKUP(B119,'BASE DE EXCEL'!$C:$C,'BASE DE EXCEL'!AQ:AQ,"NO HAY REFERENCIA")</f>
        <v>A1</v>
      </c>
      <c r="DX119" s="3" t="str">
        <f>_xlfn.XLOOKUP(B119,'BASE DE EXCEL'!$C:$C,'BASE DE EXCEL'!AR:AR,"NO HAY REFERENCIA")</f>
        <v>ZULEIMA PEREZ RUIZ</v>
      </c>
      <c r="DY119" s="3" t="str">
        <f>_xlfn.XLOOKUP(B119,'BASE DE EXCEL'!$C:$C,'BASE DE EXCEL'!AS:AS,"NO HAY REFERENCIA")</f>
        <v>HLCULE1260122307</v>
      </c>
      <c r="DZ119" s="3" t="str">
        <f>_xlfn.XLOOKUP(B119,'BASE DE EXCEL'!$C:$C,'BASE DE EXCEL'!AT:AT,"NO HAY REFERENCIA")</f>
        <v>NULL</v>
      </c>
      <c r="EA119" s="3">
        <f>_xlfn.XLOOKUP(B119,'BASE DE EXCEL'!$C:$C,'BASE DE EXCEL'!AU:AU,"NO HAY REFERENCIA")</f>
        <v>6000372</v>
      </c>
      <c r="EB119" s="3" t="str">
        <f>_xlfn.XLOOKUP(B119,'BASE DE EXCEL'!$C:$C,'BASE DE EXCEL'!AV:AV,"NO HAY REFERENCIA")</f>
        <v>Importación</v>
      </c>
      <c r="EC119" s="3" t="str">
        <f>_xlfn.XLOOKUP(B119,'BASE DE EXCEL'!$C:$C,'BASE DE EXCEL'!AW:AW,"NO HAY REFERENCIA")</f>
        <v>ZILMAX (PROMOTOR DEL RENDIMIENTO)</v>
      </c>
      <c r="ED119" s="3" t="str">
        <f>_xlfn.XLOOKUP(B119,'BASE DE EXCEL'!$C:$C,'BASE DE EXCEL'!AX:AX,"NO HAY REFERENCIA")</f>
        <v>SIN CLASIFICACION</v>
      </c>
      <c r="EE119" s="3">
        <f>_xlfn.XLOOKUP(B119,'BASE DE EXCEL'!$C:$C,'BASE DE EXCEL'!AY:AY,"NO HAY REFERENCIA")</f>
        <v>0</v>
      </c>
      <c r="EF119" s="3" t="str">
        <f>_xlfn.XLOOKUP(B119,'BASE DE EXCEL'!$C:$C,'BASE DE EXCEL'!AZ:AZ,"NO HAY REFERENCIA")</f>
        <v>Cargas de Importación</v>
      </c>
      <c r="EG119" s="3" t="str">
        <f>_xlfn.XLOOKUP(B119,'BASE DE EXCEL'!$C:$C,'BASE DE EXCEL'!BA:BA,"NO HAY REFERENCIA")</f>
        <v>INTERVET MEXICO SA DE CV</v>
      </c>
      <c r="EH119" s="3">
        <f>_xlfn.XLOOKUP(B119,'BASE DE EXCEL'!$C:$C,'BASE DE EXCEL'!BB:BB,"NO HAY REFERENCIA")</f>
        <v>0</v>
      </c>
      <c r="EI119" s="3" t="str">
        <f>_xlfn.XLOOKUP(B119,'BASE DE EXCEL'!$C:$C,'BASE DE EXCEL'!BC:BC,"NO HAY REFERENCIA")</f>
        <v>FALTA RRNA</v>
      </c>
      <c r="EJ119" s="3">
        <f>_xlfn.XLOOKUP(B119,'BASE DE EXCEL'!$C:$C,'BASE DE EXCEL'!BD:BD,"NO HAY REFERENCIA")</f>
        <v>0</v>
      </c>
      <c r="EK119" s="3" t="str">
        <f>_xlfn.XLOOKUP(B119,'BASE DE EXCEL'!$C:$C,'BASE DE EXCEL'!BE:BE,"NO HAY REFERENCIA")</f>
        <v>FALTA RRNA</v>
      </c>
      <c r="EL119" s="3" t="str">
        <f>_xlfn.XLOOKUP(B119,'BASE DE EXCEL'!$C:$C,'BASE DE EXCEL'!BF:BF,"NO HAY REFERENCIA")</f>
        <v>PRODUCTO TERMINADO</v>
      </c>
      <c r="EM119" s="3" t="str">
        <f>_xlfn.XLOOKUP(B119,'BASE DE EXCEL'!$C:$C,'BASE DE EXCEL'!BG:BG,"NO HAY REFERENCIA")</f>
        <v>Rojo</v>
      </c>
      <c r="EN119" s="3" t="str">
        <f>_xlfn.XLOOKUP(B119,'BASE DE EXCEL'!$C:$C,'BASE DE EXCEL'!BH:BH,"NO HAY REFERENCIA")</f>
        <v xml:space="preserve"> SUPER EXPRESS DE CARGA FEDERAL S.A. DE C.V.</v>
      </c>
      <c r="EO119" s="3">
        <f>_xlfn.XLOOKUP(B119,'BASE DE EXCEL'!$C:$C,'BASE DE EXCEL'!BI:BI,"NO HAY REFERENCIA")</f>
        <v>0</v>
      </c>
      <c r="EP119" s="3" t="str">
        <f>_xlfn.XLOOKUP(B119,'BASE DE EXCEL'!$C:$C,'BASE DE EXCEL'!BJ:BJ,"NO HAY REFERENCIA")</f>
        <v>IME-T004</v>
      </c>
      <c r="EQ119" s="3" t="str">
        <f>_xlfn.XLOOKUP(B119,'BASE DE EXCEL'!$C:$C,'BASE DE EXCEL'!BK:BK,"NO HAY REFERENCIA")</f>
        <v>IME850329RH2</v>
      </c>
      <c r="ER119" s="3">
        <f>_xlfn.XLOOKUP(B119,'BASE DE EXCEL'!$C:$C,'BASE DE EXCEL'!BL:BL,"NO HAY REFERENCIA")</f>
        <v>0</v>
      </c>
      <c r="ES119" s="3">
        <f>_xlfn.XLOOKUP(B119,'BASE DE EXCEL'!$C:$C,'BASE DE EXCEL'!BM:BM,"NO HAY REFERENCIA")</f>
        <v>99</v>
      </c>
      <c r="ET119" s="3" t="str">
        <f>_xlfn.XLOOKUP(B119,'BASE DE EXCEL'!$C:$C,'BASE DE EXCEL'!BN:BN,"NO HAY REFERENCIA")</f>
        <v>LOTES: M168A01, M169A01, M197A01,LOTES: M199A01, M200A01, M201A01,LOTES: M202A01, M203A01, M204A01,LOTES:  M205A01, M206A01, M207A01,LOTES: M208A01, M209A01, M210A01,LOTES:  M211A01, M212A01, M213A01</v>
      </c>
      <c r="EU119" s="3">
        <f>_xlfn.XLOOKUP(B119,'BASE DE EXCEL'!$C:$C,'BASE DE EXCEL'!BO:BO,"NO HAY REFERENCIA")</f>
        <v>90</v>
      </c>
      <c r="EV119" s="3">
        <f>_xlfn.XLOOKUP(B119,'BASE DE EXCEL'!$C:$C,'BASE DE EXCEL'!BP:BP,"NO HAY REFERENCIA")</f>
        <v>12690063</v>
      </c>
      <c r="EW119" s="3" t="str">
        <f>_xlfn.XLOOKUP(B119,'BASE DE EXCEL'!$C:$C,'BASE DE EXCEL'!BQ:BQ,"NO HAY REFERENCIA")</f>
        <v>KILO</v>
      </c>
      <c r="EX119" s="3">
        <f>_xlfn.XLOOKUP(B119,'BASE DE EXCEL'!$C:$C,'BASE DE EXCEL'!BR:BR,"NO HAY REFERENCIA")</f>
        <v>0</v>
      </c>
      <c r="EY119" s="3" t="str">
        <f>_xlfn.XLOOKUP(B119,'BASE DE EXCEL'!$C:$C,'BASE DE EXCEL'!BS:BS,"NO HAY REFERENCIA")</f>
        <v>FRANCIA (REPUBLICA FRANCESA)</v>
      </c>
      <c r="EZ119" s="3" t="str">
        <f>_xlfn.XLOOKUP(B119,'BASE DE EXCEL'!$C:$C,'BASE DE EXCEL'!BT:BT,"NO HAY REFERENCIA")</f>
        <v>PAISES BAJOS (REINO DE LOS) (HOLANDA)</v>
      </c>
      <c r="FA119" s="3" t="str">
        <f>_xlfn.XLOOKUP(B119,'BASE DE EXCEL'!$C:$C,'BASE DE EXCEL'!BU:BU,"NO HAY REFERENCIA")</f>
        <v>FRA</v>
      </c>
      <c r="FB119" s="3" t="str">
        <f>_xlfn.XLOOKUP(B119,'BASE DE EXCEL'!$C:$C,'BASE DE EXCEL'!BV:BV,"NO HAY REFERENCIA")</f>
        <v>ZYA</v>
      </c>
      <c r="FC119" s="3">
        <f>_xlfn.XLOOKUP(B119,QUERY!$C:$C,QUERY!D:D)</f>
        <v>430</v>
      </c>
      <c r="FD119" s="4">
        <f>_xlfn.XLOOKUP(B119,QUERY!$C:$C,QUERY!E:E)</f>
        <v>46105</v>
      </c>
      <c r="FE119" s="3">
        <f>_xlfn.XLOOKUP(B119,QUERY!$C:$C,QUERY!F:F)</f>
        <v>3</v>
      </c>
      <c r="FF119" s="4">
        <f>_xlfn.XLOOKUP(B119,QUERY!$C:$C,QUERY!G:G)</f>
        <v>46097</v>
      </c>
      <c r="FG119" s="4">
        <f>_xlfn.XLOOKUP(B119,QUERY!$C:$C,QUERY!H:H)</f>
        <v>46105</v>
      </c>
      <c r="FH119" s="3">
        <f>_xlfn.XLOOKUP(B119,QUERY!$C:$C,QUERY!I:I)</f>
        <v>6</v>
      </c>
      <c r="FI119" s="3" t="str">
        <f>_xlfn.XLOOKUP(B119,QUERY!$C:$C,QUERY!J:J)</f>
        <v>6 a 10 días</v>
      </c>
      <c r="FJ119" s="4">
        <f>_xlfn.XLOOKUP(B119,QUERY!$C:$C,QUERY!K:K)</f>
        <v>46105</v>
      </c>
      <c r="FK119" s="3">
        <f>_xlfn.XLOOKUP(B119,QUERY!$C:$C,QUERY!L:L)</f>
        <v>6</v>
      </c>
      <c r="FL119" s="3" t="str">
        <f>_xlfn.XLOOKUP(B119,QUERY!$C:$C,QUERY!M:M)</f>
        <v>6 a 10 días</v>
      </c>
      <c r="FM119" s="3">
        <f>_xlfn.XLOOKUP(B119,QUERY!$C:$C,QUERY!N:N)</f>
        <v>0</v>
      </c>
      <c r="FN119" s="3" t="str">
        <f>_xlfn.XLOOKUP(B119,QUERY!$C:$C,QUERY!O:O)</f>
        <v>1 día o menos</v>
      </c>
      <c r="FO119" s="3">
        <f>_xlfn.XLOOKUP(B119,QUERY!$C:$C,QUERY!P:P)</f>
        <v>0</v>
      </c>
      <c r="FP119" s="3">
        <f>_xlfn.XLOOKUP(B119,QUERY!$C:$C,QUERY!Q:Q)</f>
        <v>1</v>
      </c>
      <c r="FQ119" s="3" t="str">
        <f>_xlfn.XLOOKUP(B119,QUERY!$C:$C,QUERY!R:R)</f>
        <v>1 día o menos</v>
      </c>
      <c r="FR119" s="4">
        <f>_xlfn.XLOOKUP(B119,QUERY!$C:$C,QUERY!S:S)</f>
        <v>46106</v>
      </c>
      <c r="FS119" s="3">
        <f>_xlfn.XLOOKUP(B119,QUERY!$C:$C,QUERY!T:T)</f>
        <v>7</v>
      </c>
      <c r="FT119" s="3" t="str">
        <f>_xlfn.XLOOKUP(B119,QUERY!$C:$C,QUERY!U:U)</f>
        <v>6 a 10 días</v>
      </c>
      <c r="FU119" s="3">
        <f>_xlfn.XLOOKUP(B119,QUERY!$C:$C,QUERY!V:V)</f>
        <v>12</v>
      </c>
      <c r="FV119" s="3" t="str">
        <f>_xlfn.XLOOKUP(B119,QUERY!$C:$C,QUERY!W:W)</f>
        <v>11 a 15 días</v>
      </c>
      <c r="FW119" s="4">
        <f>_xlfn.XLOOKUP(B119,QUERY!$C:$C,QUERY!X:X)</f>
        <v>46113</v>
      </c>
      <c r="FX119" s="3">
        <f>_xlfn.XLOOKUP(B119,QUERY!$C:$C,QUERY!Y:Y)</f>
        <v>5</v>
      </c>
      <c r="FY119" s="3">
        <f>_xlfn.XLOOKUP(B119,QUERY!$C:$C,QUERY!Z:Z)</f>
        <v>5</v>
      </c>
      <c r="FZ119" s="4" t="str">
        <f>_xlfn.XLOOKUP(B119,QUERY!$C:$C,QUERY!AA:AA)</f>
        <v>6 a 10 días</v>
      </c>
      <c r="GA119" s="4">
        <f>_xlfn.XLOOKUP(B119,QUERY!$C:$C,QUERY!AB:AB)</f>
        <v>46113</v>
      </c>
      <c r="GB119" s="4">
        <f>_xlfn.XLOOKUP(B119,QUERY!$C:$C,QUERY!AC:AC)</f>
        <v>46113</v>
      </c>
      <c r="GC119" s="3">
        <f>_xlfn.XLOOKUP(B119,QUERY!$C:$C,QUERY!AD:AD)</f>
        <v>0</v>
      </c>
      <c r="GD119" s="4">
        <f>_xlfn.XLOOKUP(B119,QUERY!$C:$C,QUERY!AE:AE)</f>
        <v>46113</v>
      </c>
      <c r="GE119" s="3">
        <f>_xlfn.XLOOKUP(B119,QUERY!$C:$C,QUERY!AF:AF)</f>
        <v>1</v>
      </c>
      <c r="GF119" s="4" t="str">
        <f>_xlfn.XLOOKUP(B119,QUERY!$C:$C,QUERY!AG:AG)</f>
        <v>Es anterior</v>
      </c>
      <c r="GG119" s="3" t="str">
        <f>_xlfn.XLOOKUP(B119,QUERY!$C:$C,QUERY!AH:AH)</f>
        <v>A1</v>
      </c>
      <c r="GH119" s="3" t="str">
        <f>_xlfn.XLOOKUP(B119,QUERY!$C:$C,QUERY!AI:AI)</f>
        <v>ZULEIMA PEREZ RUIZ</v>
      </c>
      <c r="GI119" s="3" t="str">
        <f>_xlfn.XLOOKUP(B119,QUERY!$C:$C,QUERY!AJ:AJ)</f>
        <v>HLCULE1260122307</v>
      </c>
      <c r="GJ119" s="3" t="str">
        <f>_xlfn.XLOOKUP(B119,QUERY!$C:$C,QUERY!AK:AK)</f>
        <v>NULL</v>
      </c>
      <c r="GK119" s="3">
        <f>_xlfn.XLOOKUP(B119,QUERY!$C:$C,QUERY!AL:AL)</f>
        <v>6000372</v>
      </c>
      <c r="GL119" s="3" t="str">
        <f>_xlfn.XLOOKUP(B119,QUERY!$C:$C,QUERY!AM:AM)</f>
        <v>Importación</v>
      </c>
      <c r="GM119" s="3" t="str">
        <f>_xlfn.XLOOKUP(B119,QUERY!$C:$C,QUERY!AN:AN)</f>
        <v>ZILMAX (PROMOTOR DEL RENDIMIENTO)</v>
      </c>
      <c r="GN119" s="3" t="str">
        <f>_xlfn.XLOOKUP(B119,QUERY!$C:$C,QUERY!AO:AO)</f>
        <v>SIN CLASIFICACION</v>
      </c>
      <c r="GO119" s="3">
        <f>_xlfn.XLOOKUP(B119,QUERY!$C:$C,QUERY!AP:AP)</f>
        <v>0</v>
      </c>
      <c r="GP119" s="3" t="str">
        <f>_xlfn.XLOOKUP(B119,QUERY!$C:$C,QUERY!AQ:AQ)</f>
        <v>Cargas de Importación</v>
      </c>
      <c r="GQ119" s="3" t="str">
        <f>_xlfn.XLOOKUP(B119,QUERY!$C:$C,QUERY!AR:AR)</f>
        <v>INTERVET MEXICO SA DE CV</v>
      </c>
      <c r="GR119" s="3">
        <f>_xlfn.XLOOKUP(B119,QUERY!$C:$C,QUERY!AS:AS)</f>
        <v>0</v>
      </c>
      <c r="GS119" s="3" t="str">
        <f>_xlfn.XLOOKUP(B119,QUERY!$C:$C,QUERY!AT:AT)</f>
        <v>FALTA RRNA</v>
      </c>
      <c r="GT119" s="3">
        <f>_xlfn.XLOOKUP(B119,QUERY!$C:$C,QUERY!AU:AU)</f>
        <v>0</v>
      </c>
      <c r="GU119" s="3" t="str">
        <f>_xlfn.XLOOKUP(B119,QUERY!$C:$C,QUERY!AV:AV)</f>
        <v>FALTA RRNA</v>
      </c>
      <c r="GV119" s="3" t="str">
        <f>_xlfn.XLOOKUP(B119,QUERY!$C:$C,QUERY!AW:AW)</f>
        <v>PRODUCTO TERMINADO</v>
      </c>
      <c r="GW119" s="3" t="str">
        <f>_xlfn.XLOOKUP(B119,QUERY!$C:$C,QUERY!AX:AX)</f>
        <v>Rojo</v>
      </c>
      <c r="GX119" s="3" t="str">
        <f>_xlfn.XLOOKUP(B119,QUERY!$C:$C,QUERY!AY:AY)</f>
        <v xml:space="preserve"> SUPER EXPRESS DE CARGA FEDERAL S.A. DE C.V.</v>
      </c>
      <c r="GY119" s="3">
        <f>_xlfn.XLOOKUP(B119,QUERY!$C:$C,QUERY!AZ:AZ)</f>
        <v>0</v>
      </c>
      <c r="GZ119" s="3" t="str">
        <f>_xlfn.XLOOKUP(B119,QUERY!$C:$C,QUERY!BA:BA)</f>
        <v>IME-T004</v>
      </c>
      <c r="HA119" s="3" t="str">
        <f>_xlfn.XLOOKUP(B119,QUERY!$C:$C,QUERY!BB:BB)</f>
        <v>IME850329RH2</v>
      </c>
      <c r="HB119" s="3">
        <f>_xlfn.XLOOKUP(B119,QUERY!$C:$C,QUERY!BC:BC)</f>
        <v>0</v>
      </c>
      <c r="HC119" s="3">
        <f>_xlfn.XLOOKUP(B119,QUERY!$C:$C,QUERY!BD:BD)</f>
        <v>99</v>
      </c>
      <c r="HD119" s="3" t="str">
        <f>_xlfn.XLOOKUP(B119,QUERY!$C:$C,QUERY!BE:BE)</f>
        <v>LOTES: M168A01, M169A01, M197A01,LOTES: M199A01, M200A01, M201A01,LOTES: M202A01, M203A01, M204A01,LOTES:  M205A01, M206A01, M207A01,LOTES: M208A01, M209A01, M210A01,LOTES:  M211A01, M212A01, M213A01</v>
      </c>
      <c r="HE119" s="3">
        <f>_xlfn.XLOOKUP(B119,QUERY!$C:$C,QUERY!BF:BF)</f>
        <v>90</v>
      </c>
      <c r="HF119" s="3" t="str">
        <f>_xlfn.XLOOKUP(B119,QUERY!$C:$C,QUERY!BG:BG)</f>
        <v xml:space="preserve"> 12690063.00</v>
      </c>
      <c r="HG119" s="3" t="str">
        <f>_xlfn.XLOOKUP(B119,QUERY!$C:$C,QUERY!BH:BH)</f>
        <v>KILO</v>
      </c>
      <c r="HH119" s="3">
        <f>_xlfn.XLOOKUP(B119,QUERY!$C:$C,QUERY!BI:BI)</f>
        <v>0</v>
      </c>
      <c r="HI119" s="3" t="str">
        <f>_xlfn.XLOOKUP(B119,QUERY!$C:$C,QUERY!BJ:BJ)</f>
        <v>FRANCIA (REPUBLICA FRANCESA)</v>
      </c>
      <c r="HJ119" s="3" t="str">
        <f>_xlfn.XLOOKUP(B119,QUERY!$C:$C,QUERY!BK:BK)</f>
        <v>PAISES BAJOS (REINO DE LOS) (HOLANDA)</v>
      </c>
      <c r="HK119" s="3" t="str">
        <f>_xlfn.XLOOKUP(B119,QUERY!$C:$C,QUERY!BL:BL)</f>
        <v>FRA</v>
      </c>
      <c r="HL119" s="3" t="str">
        <f>_xlfn.XLOOKUP(B119,QUERY!$C:$C,QUERY!BM:BM)</f>
        <v>ZYA</v>
      </c>
      <c r="HM119" s="3">
        <f>_xlfn.XLOOKUP(B119,QUERY!$C:$C,QUERY!BN:BN)</f>
        <v>12690063</v>
      </c>
      <c r="HN119" s="3" t="str">
        <f>_xlfn.XLOOKUP(B119,QUERY!$C:$C,QUERY!BO:BO)</f>
        <v>101520.00</v>
      </c>
      <c r="HO119" s="3" t="str">
        <f>_xlfn.XLOOKUP(B119,QUERY!$C:$C,QUERY!BP:BP)</f>
        <v>NULL</v>
      </c>
      <c r="HP119" s="3" t="str">
        <f>_xlfn.XLOOKUP(B119,QUERY!$C:$C,QUERY!BQ:BQ)</f>
        <v>NULL</v>
      </c>
      <c r="HQ119" s="3" t="str">
        <f>_xlfn.XLOOKUP(B119,QUERY!$C:$C,QUERY!BR:BR)</f>
        <v>218715.07</v>
      </c>
      <c r="HR119" s="3">
        <f>_xlfn.XLOOKUP(B119,QUERY!$C:$C,QUERY!BS:BS)</f>
        <v>0</v>
      </c>
      <c r="HS119" s="3">
        <f>_xlfn.XLOOKUP(B119,QUERY!$C:$C,QUERY!BT:BT)</f>
        <v>0</v>
      </c>
      <c r="HT119" s="3" t="str">
        <f>_xlfn.XLOOKUP(B119,QUERY!$C:$C,QUERY!A:A)</f>
        <v>VERACRUZ</v>
      </c>
      <c r="HU119" s="3" t="str">
        <f>_xlfn.XLOOKUP(B119,QUERY!$C:$C,QUERY!B:B)</f>
        <v>MARÍTIMO VERACRUZ</v>
      </c>
    </row>
    <row r="120" spans="1:229" x14ac:dyDescent="0.25">
      <c r="A120" s="3" t="s">
        <v>90</v>
      </c>
      <c r="B120" s="3" t="s">
        <v>374</v>
      </c>
      <c r="C120" s="3">
        <v>3942</v>
      </c>
      <c r="D120" s="3">
        <v>6000401</v>
      </c>
      <c r="E120" s="3"/>
      <c r="F120" s="3" t="s">
        <v>92</v>
      </c>
      <c r="G120" s="3" t="s">
        <v>93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17.7957</v>
      </c>
      <c r="Q120" s="3">
        <v>5140.9350000000004</v>
      </c>
      <c r="R120" s="3">
        <v>430</v>
      </c>
      <c r="S120" s="3" t="s">
        <v>375</v>
      </c>
      <c r="T120" s="3" t="s">
        <v>95</v>
      </c>
      <c r="U120" s="3">
        <v>6964896</v>
      </c>
      <c r="V120" s="3">
        <v>6964896</v>
      </c>
      <c r="W120" s="3">
        <v>0</v>
      </c>
      <c r="X120" s="3">
        <v>0</v>
      </c>
      <c r="Y120" s="3">
        <v>0</v>
      </c>
      <c r="Z120" s="3">
        <v>0</v>
      </c>
      <c r="AA120" s="3" t="s">
        <v>376</v>
      </c>
      <c r="AB120" s="3"/>
      <c r="AC120" s="3">
        <v>2162410</v>
      </c>
      <c r="AD120" s="3">
        <v>2926.1299100000001</v>
      </c>
      <c r="AE120" s="3">
        <v>808</v>
      </c>
      <c r="AF120" s="3">
        <v>0</v>
      </c>
      <c r="AG120" s="3">
        <v>0</v>
      </c>
      <c r="AH120" s="3">
        <v>0</v>
      </c>
      <c r="AI120" s="3">
        <v>53</v>
      </c>
      <c r="AJ120" s="3">
        <v>462</v>
      </c>
      <c r="AK120" s="3">
        <v>0</v>
      </c>
      <c r="AL120" s="3">
        <v>0</v>
      </c>
      <c r="AM120" s="3">
        <v>330</v>
      </c>
      <c r="AN120" s="3">
        <v>845</v>
      </c>
      <c r="AO120" s="3" t="s">
        <v>97</v>
      </c>
      <c r="AP120" s="3" t="s">
        <v>98</v>
      </c>
      <c r="AQ120" s="3">
        <v>210366229</v>
      </c>
      <c r="AR120" s="3" t="s">
        <v>99</v>
      </c>
      <c r="AS120" s="3" t="s">
        <v>100</v>
      </c>
      <c r="AT120" s="3" t="s">
        <v>377</v>
      </c>
      <c r="AU120" s="3"/>
      <c r="AV120" s="3" t="s">
        <v>102</v>
      </c>
      <c r="AW120" s="3">
        <v>30049099</v>
      </c>
      <c r="AX120" s="3">
        <v>99</v>
      </c>
      <c r="AY120" s="3">
        <v>739</v>
      </c>
      <c r="AZ120" s="3">
        <v>739</v>
      </c>
      <c r="BA120" s="3" t="s">
        <v>103</v>
      </c>
      <c r="BB120" s="3"/>
      <c r="BC120" s="3" t="s">
        <v>104</v>
      </c>
      <c r="BD120" s="3" t="s">
        <v>105</v>
      </c>
      <c r="BE120" s="3" t="s">
        <v>106</v>
      </c>
      <c r="BF120" s="3"/>
      <c r="BG120" s="5">
        <v>4.3064022026102896E+16</v>
      </c>
      <c r="BH120" s="3" t="s">
        <v>108</v>
      </c>
      <c r="BI120" s="3"/>
      <c r="BJ120" s="3" t="s">
        <v>109</v>
      </c>
      <c r="BK120" s="3" t="s">
        <v>378</v>
      </c>
      <c r="BL120" s="3">
        <v>45350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22189.59</v>
      </c>
      <c r="BY120" s="3">
        <v>0</v>
      </c>
      <c r="BZ120" s="3">
        <v>0</v>
      </c>
      <c r="CA120" s="3">
        <v>15002.89</v>
      </c>
      <c r="CB120" s="3">
        <v>9966.59</v>
      </c>
      <c r="CC120" s="3">
        <v>2037.85</v>
      </c>
      <c r="CD120" s="3">
        <v>168023.32</v>
      </c>
      <c r="CE120" s="3" t="s">
        <v>192</v>
      </c>
      <c r="CF120" s="3">
        <v>168023.32</v>
      </c>
      <c r="CG120" s="3">
        <v>0</v>
      </c>
      <c r="CH120" s="3">
        <v>0</v>
      </c>
      <c r="CI120" s="3" t="s">
        <v>112</v>
      </c>
      <c r="CJ120" s="3" t="s">
        <v>112</v>
      </c>
      <c r="CK120" s="3">
        <f>_xlfn.XLOOKUP($B$2,'BASE DE EXCEL'!C:C,'BASE DE EXCEL'!D:D,"NO HAY REFERENCIA")</f>
        <v>470</v>
      </c>
      <c r="CL120" s="5">
        <f>_xlfn.XLOOKUP($B$2,'BASE DE EXCEL'!$C:$C,'BASE DE EXCEL'!F:F,"NO HAY REFERENCIA")</f>
        <v>3</v>
      </c>
      <c r="CM120" s="4">
        <f>_xlfn.XLOOKUP($B$2,'BASE DE EXCEL'!$C:$C,'BASE DE EXCEL'!G:G,"NO HAY REFERENCIA")</f>
        <v>46080</v>
      </c>
      <c r="CN120" s="4">
        <f>_xlfn.XLOOKUP($B$2,'BASE DE EXCEL'!$C:$C,'BASE DE EXCEL'!H:H,"NO HAY REFERENCIA")</f>
        <v>46086</v>
      </c>
      <c r="CO120" s="3">
        <f>_xlfn.XLOOKUP($B$2,'BASE DE EXCEL'!$C:$C,'BASE DE EXCEL'!I:I,"NO HAY REFERENCIA")</f>
        <v>4</v>
      </c>
      <c r="CP120" s="3" t="str">
        <f>_xlfn.XLOOKUP($B$2,'BASE DE EXCEL'!$C:$C,'BASE DE EXCEL'!J:J,"NO HAY REFERENCIA")</f>
        <v>4 a 5 días</v>
      </c>
      <c r="CQ120" s="4">
        <f>_xlfn.XLOOKUP($B$2,'BASE DE EXCEL'!$C:$C,'BASE DE EXCEL'!K:K,"NO HAY REFERENCIA")</f>
        <v>46087</v>
      </c>
      <c r="CR120" s="3">
        <f>_xlfn.XLOOKUP($B$2,'BASE DE EXCEL'!$C:$C,'BASE DE EXCEL'!L:L,"NO HAY REFERENCIA")</f>
        <v>5</v>
      </c>
      <c r="CS120" s="3">
        <f>_xlfn.XLOOKUP($B$2,'BASE DE EXCEL'!$C:$C,'BASE DE EXCEL'!M:M,"NO HAY REFERENCIA")</f>
        <v>6</v>
      </c>
      <c r="CT120" s="3" t="str">
        <f>_xlfn.XLOOKUP($B$2,'BASE DE EXCEL'!$C:$C,'BASE DE EXCEL'!N:N,"NO HAY REFERENCIA")</f>
        <v>6 a 10 días</v>
      </c>
      <c r="CU120" s="3" t="str">
        <f>_xlfn.XLOOKUP($B$2,'BASE DE EXCEL'!$C:$C,'BASE DE EXCEL'!O:O,"NO HAY REFERENCIA")</f>
        <v>On Time</v>
      </c>
      <c r="CV120" s="3" t="str">
        <f>_xlfn.XLOOKUP(B120,'BASE DE EXCEL'!$C:$C,'BASE DE EXCEL'!P:P,"NO HAY REFERENCIA")</f>
        <v>6 a 10 días</v>
      </c>
      <c r="CW120" s="4">
        <f>_xlfn.XLOOKUP(B120,'BASE DE EXCEL'!$C:$C,'BASE DE EXCEL'!Q:Q,"NO HAY REFERENCIA")</f>
        <v>46119</v>
      </c>
      <c r="CX120" s="3">
        <f>_xlfn.XLOOKUP(B120,'BASE DE EXCEL'!$C:$C,'BASE DE EXCEL'!R:R,"NO HAY REFERENCIA")</f>
        <v>5</v>
      </c>
      <c r="CY120" s="3" t="str">
        <f>_xlfn.XLOOKUP(B120,'BASE DE EXCEL'!$C:$C,'BASE DE EXCEL'!S:S,"NO HAY REFERENCIA")</f>
        <v>4 a 5 días</v>
      </c>
      <c r="CZ120" s="3" t="str">
        <f>_xlfn.XLOOKUP(B120,'BASE DE EXCEL'!$C:$C,'BASE DE EXCEL'!T:T,"NO HAY REFERENCIA")</f>
        <v>On Time</v>
      </c>
      <c r="DA120" s="3">
        <f>_xlfn.XLOOKUP(B120,'BASE DE EXCEL'!$C:$C,'BASE DE EXCEL'!U:U,"NO HAY REFERENCIA")</f>
        <v>8</v>
      </c>
      <c r="DB120" s="3" t="str">
        <f>_xlfn.XLOOKUP(B120,'BASE DE EXCEL'!$C:$C,'BASE DE EXCEL'!V:V,"NO HAY REFERENCIA")</f>
        <v>6 a 10 días</v>
      </c>
      <c r="DC120" s="3">
        <f>_xlfn.XLOOKUP(B120,'BASE DE EXCEL'!$C:$C,'BASE DE EXCEL'!W:W,"NO HAY REFERENCIA")</f>
        <v>18</v>
      </c>
      <c r="DD120" s="3" t="str">
        <f>_xlfn.XLOOKUP(B120,'BASE DE EXCEL'!$C:$C,'BASE DE EXCEL'!X:X,"NO HAY REFERENCIA")</f>
        <v>más de 16 días</v>
      </c>
      <c r="DE120" s="3">
        <f>_xlfn.XLOOKUP(B120,'BASE DE EXCEL'!$C:$C,'BASE DE EXCEL'!Y:Y,"NO HAY REFERENCIA")</f>
        <v>0</v>
      </c>
      <c r="DF120" s="3" t="str">
        <f>_xlfn.XLOOKUP(B120,'BASE DE EXCEL'!$C:$C,'BASE DE EXCEL'!Z:Z,"NO HAY REFERENCIA")</f>
        <v>1 día o menos</v>
      </c>
      <c r="DG120" s="3">
        <f>_xlfn.XLOOKUP(B120,'BASE DE EXCEL'!$C:$C,'BASE DE EXCEL'!AA:AA,"NO HAY REFERENCIA")</f>
        <v>7</v>
      </c>
      <c r="DH120" s="3">
        <f>_xlfn.XLOOKUP(B120,'BASE DE EXCEL'!$C:$C,'BASE DE EXCEL'!AB:AB,"NO HAY REFERENCIA")</f>
        <v>1</v>
      </c>
      <c r="DI120" s="3" t="str">
        <f>_xlfn.XLOOKUP(B120,'BASE DE EXCEL'!$C:$C,'BASE DE EXCEL'!AC:AC,"NO HAY REFERENCIA")</f>
        <v>1 día o menos</v>
      </c>
      <c r="DJ120" s="4">
        <f>_xlfn.XLOOKUP(B120,'BASE DE EXCEL'!$C:$C,'BASE DE EXCEL'!AD:AD,"NO HAY REFERENCIA")</f>
        <v>46135</v>
      </c>
      <c r="DK120" s="3">
        <f>_xlfn.XLOOKUP(B120,'BASE DE EXCEL'!$C:$C,'BASE DE EXCEL'!AE:AE,"NO HAY REFERENCIA")</f>
        <v>16</v>
      </c>
      <c r="DL120" s="3">
        <f>_xlfn.XLOOKUP(B120,'BASE DE EXCEL'!$C:$C,'BASE DE EXCEL'!AF:AF,"NO HAY REFERENCIA")</f>
        <v>12</v>
      </c>
      <c r="DM120" s="4">
        <f>_xlfn.XLOOKUP(B120,'BASE DE EXCEL'!$C:$C,'BASE DE EXCEL'!AG:AG,"NO HAY REFERENCIA")</f>
        <v>46135</v>
      </c>
      <c r="DN120" s="4">
        <f>_xlfn.XLOOKUP(B120,'BASE DE EXCEL'!$C:$C,'BASE DE EXCEL'!AH:AH,"NO HAY REFERENCIA")</f>
        <v>46135</v>
      </c>
      <c r="DO120" s="3">
        <f>_xlfn.XLOOKUP(B120,'BASE DE EXCEL'!$C:$C,'BASE DE EXCEL'!AI:AI,"NO HAY REFERENCIA")</f>
        <v>0</v>
      </c>
      <c r="DP120" s="4" t="str">
        <f>_xlfn.XLOOKUP(B120,'BASE DE EXCEL'!$C:$C,'BASE DE EXCEL'!AJ:AJ,"NO HAY REFERENCIA")</f>
        <v>más de 16 días</v>
      </c>
      <c r="DQ120" s="4">
        <f>_xlfn.XLOOKUP(B120,'BASE DE EXCEL'!$C:$C,'BASE DE EXCEL'!AK:AK,"NO HAY REFERENCIA")</f>
        <v>46135</v>
      </c>
      <c r="DR120" s="3">
        <f>_xlfn.XLOOKUP(B120,'BASE DE EXCEL'!$C:$C,'BASE DE EXCEL'!AL:AL,"NO HAY REFERENCIA")</f>
        <v>13</v>
      </c>
      <c r="DS120" s="3" t="str">
        <f>_xlfn.XLOOKUP(B120,'BASE DE EXCEL'!$C:$C,'BASE DE EXCEL'!AM:AM,"NO HAY REFERENCIA")</f>
        <v>11 a 15 días</v>
      </c>
      <c r="DT120" s="3" t="str">
        <f>_xlfn.XLOOKUP(B120,'BASE DE EXCEL'!$C:$C,'BASE DE EXCEL'!AN:AN,"NO HAY REFERENCIA")</f>
        <v>Delayed</v>
      </c>
      <c r="DU120" s="3">
        <f>_xlfn.XLOOKUP(B120,'BASE DE EXCEL'!$C:$C,'BASE DE EXCEL'!AO:AO,"NO HAY REFERENCIA")</f>
        <v>1</v>
      </c>
      <c r="DV120" s="3" t="str">
        <f>_xlfn.XLOOKUP(B120,'BASE DE EXCEL'!$C:$C,'BASE DE EXCEL'!AP:AP,"NO HAY REFERENCIA")</f>
        <v>Es anterior</v>
      </c>
      <c r="DW120" s="3" t="str">
        <f>_xlfn.XLOOKUP(B120,'BASE DE EXCEL'!$C:$C,'BASE DE EXCEL'!AQ:AQ,"NO HAY REFERENCIA")</f>
        <v>A1</v>
      </c>
      <c r="DX120" s="3" t="str">
        <f>_xlfn.XLOOKUP(B120,'BASE DE EXCEL'!$C:$C,'BASE DE EXCEL'!AR:AR,"NO HAY REFERENCIA")</f>
        <v>ZULEIMA PEREZ RUIZ</v>
      </c>
      <c r="DY120" s="3" t="str">
        <f>_xlfn.XLOOKUP(B120,'BASE DE EXCEL'!$C:$C,'BASE DE EXCEL'!AS:AS,"NO HAY REFERENCIA")</f>
        <v>HLCUANR260249908</v>
      </c>
      <c r="DZ120" s="3" t="str">
        <f>_xlfn.XLOOKUP(B120,'BASE DE EXCEL'!$C:$C,'BASE DE EXCEL'!AT:AT,"NO HAY REFERENCIA")</f>
        <v>NULL</v>
      </c>
      <c r="EA120" s="3">
        <f>_xlfn.XLOOKUP(B120,'BASE DE EXCEL'!$C:$C,'BASE DE EXCEL'!AU:AU,"NO HAY REFERENCIA")</f>
        <v>6000401</v>
      </c>
      <c r="EB120" s="3" t="str">
        <f>_xlfn.XLOOKUP(B120,'BASE DE EXCEL'!$C:$C,'BASE DE EXCEL'!AV:AV,"NO HAY REFERENCIA")</f>
        <v>Importación</v>
      </c>
      <c r="EC120" s="3" t="str">
        <f>_xlfn.XLOOKUP(B120,'BASE DE EXCEL'!$C:$C,'BASE DE EXCEL'!AW:AW,"NO HAY REFERENCIA")</f>
        <v>HALOCUR (MEDICAMENTO DOSIFICADO DE USO VETERINARIO)</v>
      </c>
      <c r="ED120" s="3" t="str">
        <f>_xlfn.XLOOKUP(B120,'BASE DE EXCEL'!$C:$C,'BASE DE EXCEL'!AX:AX,"NO HAY REFERENCIA")</f>
        <v>SIN CLASIFICACION</v>
      </c>
      <c r="EE120" s="3">
        <f>_xlfn.XLOOKUP(B120,'BASE DE EXCEL'!$C:$C,'BASE DE EXCEL'!AY:AY,"NO HAY REFERENCIA")</f>
        <v>0</v>
      </c>
      <c r="EF120" s="3" t="str">
        <f>_xlfn.XLOOKUP(B120,'BASE DE EXCEL'!$C:$C,'BASE DE EXCEL'!AZ:AZ,"NO HAY REFERENCIA")</f>
        <v>Cargas de Importación</v>
      </c>
      <c r="EG120" s="3" t="str">
        <f>_xlfn.XLOOKUP(B120,'BASE DE EXCEL'!$C:$C,'BASE DE EXCEL'!BA:BA,"NO HAY REFERENCIA")</f>
        <v>INTERVET MEXICO SA DE CV</v>
      </c>
      <c r="EH120" s="3">
        <f>_xlfn.XLOOKUP(B120,'BASE DE EXCEL'!$C:$C,'BASE DE EXCEL'!BB:BB,"NO HAY REFERENCIA")</f>
        <v>0</v>
      </c>
      <c r="EI120" s="3">
        <f>_xlfn.XLOOKUP(B120,'BASE DE EXCEL'!$C:$C,'BASE DE EXCEL'!BC:BC,"NO HAY REFERENCIA")</f>
        <v>0</v>
      </c>
      <c r="EJ120" s="3">
        <f>_xlfn.XLOOKUP(B120,'BASE DE EXCEL'!$C:$C,'BASE DE EXCEL'!BD:BD,"NO HAY REFERENCIA")</f>
        <v>0</v>
      </c>
      <c r="EK120" s="3">
        <f>_xlfn.XLOOKUP(B120,'BASE DE EXCEL'!$C:$C,'BASE DE EXCEL'!BE:BE,"NO HAY REFERENCIA")</f>
        <v>0</v>
      </c>
      <c r="EL120" s="3" t="str">
        <f>_xlfn.XLOOKUP(B120,'BASE DE EXCEL'!$C:$C,'BASE DE EXCEL'!BF:BF,"NO HAY REFERENCIA")</f>
        <v>PRODUCTO TERMINADO</v>
      </c>
      <c r="EM120" s="3" t="str">
        <f>_xlfn.XLOOKUP(B120,'BASE DE EXCEL'!$C:$C,'BASE DE EXCEL'!BG:BG,"NO HAY REFERENCIA")</f>
        <v>Verde</v>
      </c>
      <c r="EN120" s="3" t="str">
        <f>_xlfn.XLOOKUP(B120,'BASE DE EXCEL'!$C:$C,'BASE DE EXCEL'!BH:BH,"NO HAY REFERENCIA")</f>
        <v xml:space="preserve"> SUPER EXPRESS DE CARGA FEDERAL S.A. DE C.V.</v>
      </c>
      <c r="EO120" s="3">
        <f>_xlfn.XLOOKUP(B120,'BASE DE EXCEL'!$C:$C,'BASE DE EXCEL'!BI:BI,"NO HAY REFERENCIA")</f>
        <v>0</v>
      </c>
      <c r="EP120" s="3" t="str">
        <f>_xlfn.XLOOKUP(B120,'BASE DE EXCEL'!$C:$C,'BASE DE EXCEL'!BJ:BJ,"NO HAY REFERENCIA")</f>
        <v>IME-T004</v>
      </c>
      <c r="EQ120" s="3" t="str">
        <f>_xlfn.XLOOKUP(B120,'BASE DE EXCEL'!$C:$C,'BASE DE EXCEL'!BK:BK,"NO HAY REFERENCIA")</f>
        <v>IME850329RH2</v>
      </c>
      <c r="ER120" s="3">
        <f>_xlfn.XLOOKUP(B120,'BASE DE EXCEL'!$C:$C,'BASE DE EXCEL'!BL:BL,"NO HAY REFERENCIA")</f>
        <v>0</v>
      </c>
      <c r="ES120" s="3" t="str">
        <f>_xlfn.XLOOKUP(B120,'BASE DE EXCEL'!$C:$C,'BASE DE EXCEL'!BM:BM,"NO HAY REFERENCIA")</f>
        <v>00,99</v>
      </c>
      <c r="ET120" s="3" t="str">
        <f>_xlfn.XLOOKUP(B120,'BASE DE EXCEL'!$C:$C,'BASE DE EXCEL'!BN:BN,"NO HAY REFERENCIA")</f>
        <v>LOTE: F292A02,LOTE: 5774102,LOTE: H114B01,LOTE: A221A01,LOTE: J786A01,LOTE: S491601,LOTE: H101A01</v>
      </c>
      <c r="EU120" s="3">
        <f>_xlfn.XLOOKUP(B120,'BASE DE EXCEL'!$C:$C,'BASE DE EXCEL'!BO:BO,"NO HAY REFERENCIA")</f>
        <v>90</v>
      </c>
      <c r="EV120" s="3" t="str">
        <f>_xlfn.XLOOKUP(B120,'BASE DE EXCEL'!$C:$C,'BASE DE EXCEL'!BP:BP,"NO HAY REFERENCIA")</f>
        <v xml:space="preserve"> 2162410.07, 1803708.00, 1926255.36, 1072522.92</v>
      </c>
      <c r="EW120" s="3" t="str">
        <f>_xlfn.XLOOKUP(B120,'BASE DE EXCEL'!$C:$C,'BASE DE EXCEL'!BQ:BQ,"NO HAY REFERENCIA")</f>
        <v>KILO,KILO,KILO,KILO,KILO,KILO,KILO</v>
      </c>
      <c r="EX120" s="3">
        <f>_xlfn.XLOOKUP(B120,'BASE DE EXCEL'!$C:$C,'BASE DE EXCEL'!BR:BR,"NO HAY REFERENCIA")</f>
        <v>0</v>
      </c>
      <c r="EY120" s="3" t="str">
        <f>_xlfn.XLOOKUP(B120,'BASE DE EXCEL'!$C:$C,'BASE DE EXCEL'!BS:BS,"NO HAY REFERENCIA")</f>
        <v>ALEMANIA (REPUBLICA FEDERAL DE),FRANCIA (REPUBLICA FRANCESA),PAISES BAJOS (REINO DE LOS) (HOLANDA)</v>
      </c>
      <c r="EZ120" s="3" t="str">
        <f>_xlfn.XLOOKUP(B120,'BASE DE EXCEL'!$C:$C,'BASE DE EXCEL'!BT:BT,"NO HAY REFERENCIA")</f>
        <v>PAISES BAJOS (REINO DE LOS) (HOLANDA)</v>
      </c>
      <c r="FA120" s="3" t="str">
        <f>_xlfn.XLOOKUP(B120,'BASE DE EXCEL'!$C:$C,'BASE DE EXCEL'!BU:BU,"NO HAY REFERENCIA")</f>
        <v>DEU,FRA,ZYA</v>
      </c>
      <c r="FB120" s="3" t="str">
        <f>_xlfn.XLOOKUP(B120,'BASE DE EXCEL'!$C:$C,'BASE DE EXCEL'!BV:BV,"NO HAY REFERENCIA")</f>
        <v>ZYA</v>
      </c>
      <c r="FC120" s="3">
        <f>_xlfn.XLOOKUP(B120,QUERY!$C:$C,QUERY!D:D)</f>
        <v>430</v>
      </c>
      <c r="FD120" s="4">
        <f>_xlfn.XLOOKUP(B120,QUERY!$C:$C,QUERY!E:E)</f>
        <v>46118</v>
      </c>
      <c r="FE120" s="3">
        <f>_xlfn.XLOOKUP(B120,QUERY!$C:$C,QUERY!F:F)</f>
        <v>4</v>
      </c>
      <c r="FF120" s="4">
        <f>_xlfn.XLOOKUP(B120,QUERY!$C:$C,QUERY!G:G)</f>
        <v>46111</v>
      </c>
      <c r="FG120" s="4">
        <f>_xlfn.XLOOKUP(B120,QUERY!$C:$C,QUERY!H:H)</f>
        <v>46118</v>
      </c>
      <c r="FH120" s="3">
        <f>_xlfn.XLOOKUP(B120,QUERY!$C:$C,QUERY!I:I)</f>
        <v>5</v>
      </c>
      <c r="FI120" s="3" t="str">
        <f>_xlfn.XLOOKUP(B120,QUERY!$C:$C,QUERY!J:J)</f>
        <v>4 a 5 días</v>
      </c>
      <c r="FJ120" s="4">
        <f>_xlfn.XLOOKUP(B120,QUERY!$C:$C,QUERY!K:K)</f>
        <v>46118</v>
      </c>
      <c r="FK120" s="3">
        <f>_xlfn.XLOOKUP(B120,QUERY!$C:$C,QUERY!L:L)</f>
        <v>5</v>
      </c>
      <c r="FL120" s="3" t="str">
        <f>_xlfn.XLOOKUP(B120,QUERY!$C:$C,QUERY!M:M)</f>
        <v>4 a 5 días</v>
      </c>
      <c r="FM120" s="3">
        <f>_xlfn.XLOOKUP(B120,QUERY!$C:$C,QUERY!N:N)</f>
        <v>0</v>
      </c>
      <c r="FN120" s="3" t="str">
        <f>_xlfn.XLOOKUP(B120,QUERY!$C:$C,QUERY!O:O)</f>
        <v>1 día o menos</v>
      </c>
      <c r="FO120" s="3">
        <f>_xlfn.XLOOKUP(B120,QUERY!$C:$C,QUERY!P:P)</f>
        <v>0</v>
      </c>
      <c r="FP120" s="3">
        <f>_xlfn.XLOOKUP(B120,QUERY!$C:$C,QUERY!Q:Q)</f>
        <v>1</v>
      </c>
      <c r="FQ120" s="3" t="str">
        <f>_xlfn.XLOOKUP(B120,QUERY!$C:$C,QUERY!R:R)</f>
        <v>1 día o menos</v>
      </c>
      <c r="FR120" s="4">
        <f>_xlfn.XLOOKUP(B120,QUERY!$C:$C,QUERY!S:S)</f>
        <v>46119</v>
      </c>
      <c r="FS120" s="3">
        <f>_xlfn.XLOOKUP(B120,QUERY!$C:$C,QUERY!T:T)</f>
        <v>6</v>
      </c>
      <c r="FT120" s="3" t="str">
        <f>_xlfn.XLOOKUP(B120,QUERY!$C:$C,QUERY!U:U)</f>
        <v>6 a 10 días</v>
      </c>
      <c r="FU120" s="3">
        <f>_xlfn.XLOOKUP(B120,QUERY!$C:$C,QUERY!V:V)</f>
        <v>18</v>
      </c>
      <c r="FV120" s="3" t="str">
        <f>_xlfn.XLOOKUP(B120,QUERY!$C:$C,QUERY!W:W)</f>
        <v>más de 16 días</v>
      </c>
      <c r="FW120" s="4">
        <f>_xlfn.XLOOKUP(B120,QUERY!$C:$C,QUERY!X:X)</f>
        <v>46135</v>
      </c>
      <c r="FX120" s="3">
        <f>_xlfn.XLOOKUP(B120,QUERY!$C:$C,QUERY!Y:Y)</f>
        <v>12</v>
      </c>
      <c r="FY120" s="3">
        <f>_xlfn.XLOOKUP(B120,QUERY!$C:$C,QUERY!Z:Z)</f>
        <v>12</v>
      </c>
      <c r="FZ120" s="4" t="str">
        <f>_xlfn.XLOOKUP(B120,QUERY!$C:$C,QUERY!AA:AA)</f>
        <v>más de 16 días</v>
      </c>
      <c r="GA120" s="4">
        <f>_xlfn.XLOOKUP(B120,QUERY!$C:$C,QUERY!AB:AB)</f>
        <v>46135</v>
      </c>
      <c r="GB120" s="4">
        <f>_xlfn.XLOOKUP(B120,QUERY!$C:$C,QUERY!AC:AC)</f>
        <v>46135</v>
      </c>
      <c r="GC120" s="3">
        <f>_xlfn.XLOOKUP(B120,QUERY!$C:$C,QUERY!AD:AD)</f>
        <v>0</v>
      </c>
      <c r="GD120" s="4">
        <f>_xlfn.XLOOKUP(B120,QUERY!$C:$C,QUERY!AE:AE)</f>
        <v>46135</v>
      </c>
      <c r="GE120" s="3">
        <f>_xlfn.XLOOKUP(B120,QUERY!$C:$C,QUERY!AF:AF)</f>
        <v>1</v>
      </c>
      <c r="GF120" s="4" t="str">
        <f>_xlfn.XLOOKUP(B120,QUERY!$C:$C,QUERY!AG:AG)</f>
        <v>Es anterior</v>
      </c>
      <c r="GG120" s="3" t="str">
        <f>_xlfn.XLOOKUP(B120,QUERY!$C:$C,QUERY!AH:AH)</f>
        <v>A1</v>
      </c>
      <c r="GH120" s="3" t="str">
        <f>_xlfn.XLOOKUP(B120,QUERY!$C:$C,QUERY!AI:AI)</f>
        <v>ZULEIMA PEREZ RUIZ</v>
      </c>
      <c r="GI120" s="3" t="str">
        <f>_xlfn.XLOOKUP(B120,QUERY!$C:$C,QUERY!AJ:AJ)</f>
        <v>HLCUANR260249908</v>
      </c>
      <c r="GJ120" s="3" t="str">
        <f>_xlfn.XLOOKUP(B120,QUERY!$C:$C,QUERY!AK:AK)</f>
        <v>NULL</v>
      </c>
      <c r="GK120" s="3">
        <f>_xlfn.XLOOKUP(B120,QUERY!$C:$C,QUERY!AL:AL)</f>
        <v>6000401</v>
      </c>
      <c r="GL120" s="3" t="str">
        <f>_xlfn.XLOOKUP(B120,QUERY!$C:$C,QUERY!AM:AM)</f>
        <v>Importación</v>
      </c>
      <c r="GM120" s="3" t="str">
        <f>_xlfn.XLOOKUP(B120,QUERY!$C:$C,QUERY!AN:AN)</f>
        <v>HALOCUR (MEDICAMENTO DOSIFICADO DE USO VETERINARIO)</v>
      </c>
      <c r="GN120" s="3" t="str">
        <f>_xlfn.XLOOKUP(B120,QUERY!$C:$C,QUERY!AO:AO)</f>
        <v>SIN CLASIFICACION</v>
      </c>
      <c r="GO120" s="3">
        <f>_xlfn.XLOOKUP(B120,QUERY!$C:$C,QUERY!AP:AP)</f>
        <v>0</v>
      </c>
      <c r="GP120" s="3" t="str">
        <f>_xlfn.XLOOKUP(B120,QUERY!$C:$C,QUERY!AQ:AQ)</f>
        <v>Cargas de Importación</v>
      </c>
      <c r="GQ120" s="3" t="str">
        <f>_xlfn.XLOOKUP(B120,QUERY!$C:$C,QUERY!AR:AR)</f>
        <v>INTERVET MEXICO SA DE CV</v>
      </c>
      <c r="GR120" s="3">
        <f>_xlfn.XLOOKUP(B120,QUERY!$C:$C,QUERY!AS:AS)</f>
        <v>0</v>
      </c>
      <c r="GS120" s="3">
        <f>_xlfn.XLOOKUP(B120,QUERY!$C:$C,QUERY!AT:AT)</f>
        <v>0</v>
      </c>
      <c r="GT120" s="3">
        <f>_xlfn.XLOOKUP(B120,QUERY!$C:$C,QUERY!AU:AU)</f>
        <v>0</v>
      </c>
      <c r="GU120" s="3">
        <f>_xlfn.XLOOKUP(B120,QUERY!$C:$C,QUERY!AV:AV)</f>
        <v>0</v>
      </c>
      <c r="GV120" s="3" t="str">
        <f>_xlfn.XLOOKUP(B120,QUERY!$C:$C,QUERY!AW:AW)</f>
        <v>PRODUCTO TERMINADO</v>
      </c>
      <c r="GW120" s="3" t="str">
        <f>_xlfn.XLOOKUP(B120,QUERY!$C:$C,QUERY!AX:AX)</f>
        <v>Verde</v>
      </c>
      <c r="GX120" s="3" t="str">
        <f>_xlfn.XLOOKUP(B120,QUERY!$C:$C,QUERY!AY:AY)</f>
        <v xml:space="preserve"> SUPER EXPRESS DE CARGA FEDERAL S.A. DE C.V.</v>
      </c>
      <c r="GY120" s="3">
        <f>_xlfn.XLOOKUP(B120,QUERY!$C:$C,QUERY!AZ:AZ)</f>
        <v>0</v>
      </c>
      <c r="GZ120" s="3" t="str">
        <f>_xlfn.XLOOKUP(B120,QUERY!$C:$C,QUERY!BA:BA)</f>
        <v>IME-T004</v>
      </c>
      <c r="HA120" s="3" t="str">
        <f>_xlfn.XLOOKUP(B120,QUERY!$C:$C,QUERY!BB:BB)</f>
        <v>IME850329RH2</v>
      </c>
      <c r="HB120" s="3">
        <f>_xlfn.XLOOKUP(B120,QUERY!$C:$C,QUERY!BC:BC)</f>
        <v>0</v>
      </c>
      <c r="HC120" s="3">
        <f>_xlfn.XLOOKUP(B120,QUERY!$C:$C,QUERY!BD:BD)</f>
        <v>0.99</v>
      </c>
      <c r="HD120" s="3" t="str">
        <f>_xlfn.XLOOKUP(B120,QUERY!$C:$C,QUERY!BE:BE)</f>
        <v>LOTE: F292A02,LOTE: 5774102,LOTE: H114B01,LOTE: A221A01,LOTE: J786A01,LOTE: S491601,LOTE: H101A01</v>
      </c>
      <c r="HE120" s="3">
        <f>_xlfn.XLOOKUP(B120,QUERY!$C:$C,QUERY!BF:BF)</f>
        <v>90</v>
      </c>
      <c r="HF120" s="3" t="str">
        <f>_xlfn.XLOOKUP(B120,QUERY!$C:$C,QUERY!BG:BG)</f>
        <v xml:space="preserve"> 2162410.07, 1803708.00, 1926255.36, 1072522.92</v>
      </c>
      <c r="HG120" s="3" t="str">
        <f>_xlfn.XLOOKUP(B120,QUERY!$C:$C,QUERY!BH:BH)</f>
        <v>KILO,KILO,KILO,KILO,KILO,KILO,KILO</v>
      </c>
      <c r="HH120" s="3">
        <f>_xlfn.XLOOKUP(B120,QUERY!$C:$C,QUERY!BI:BI)</f>
        <v>0</v>
      </c>
      <c r="HI120" s="3" t="str">
        <f>_xlfn.XLOOKUP(B120,QUERY!$C:$C,QUERY!BJ:BJ)</f>
        <v>ALEMANIA (REPUBLICA FEDERAL DE),FRANCIA (REPUBLICA FRANCESA),PAISES BAJOS (REINO DE LOS) (HOLANDA)</v>
      </c>
      <c r="HJ120" s="3" t="str">
        <f>_xlfn.XLOOKUP(B120,QUERY!$C:$C,QUERY!BK:BK)</f>
        <v>PAISES BAJOS (REINO DE LOS) (HOLANDA)</v>
      </c>
      <c r="HK120" s="3" t="str">
        <f>_xlfn.XLOOKUP(B120,QUERY!$C:$C,QUERY!BL:BL)</f>
        <v>DEU,FRA,ZYA</v>
      </c>
      <c r="HL120" s="3" t="str">
        <f>_xlfn.XLOOKUP(B120,QUERY!$C:$C,QUERY!BM:BM)</f>
        <v>ZYA</v>
      </c>
      <c r="HM120" s="3">
        <f>_xlfn.XLOOKUP(B120,QUERY!$C:$C,QUERY!BN:BN)</f>
        <v>6964896</v>
      </c>
      <c r="HN120" s="3" t="str">
        <f>_xlfn.XLOOKUP(B120,QUERY!$C:$C,QUERY!BO:BO)</f>
        <v>462.00</v>
      </c>
      <c r="HO120" s="3" t="str">
        <f>_xlfn.XLOOKUP(B120,QUERY!$C:$C,QUERY!BP:BP)</f>
        <v>NULL</v>
      </c>
      <c r="HP120" s="3" t="str">
        <f>_xlfn.XLOOKUP(B120,QUERY!$C:$C,QUERY!BQ:BQ)</f>
        <v>NULL</v>
      </c>
      <c r="HQ120" s="3" t="str">
        <f>_xlfn.XLOOKUP(B120,QUERY!$C:$C,QUERY!BR:BR)</f>
        <v>168023.32</v>
      </c>
      <c r="HR120" s="3">
        <f>_xlfn.XLOOKUP(B120,QUERY!$C:$C,QUERY!BS:BS)</f>
        <v>0</v>
      </c>
      <c r="HS120" s="3">
        <f>_xlfn.XLOOKUP(B120,QUERY!$C:$C,QUERY!BT:BT)</f>
        <v>0</v>
      </c>
      <c r="HT120" s="3" t="str">
        <f>_xlfn.XLOOKUP(B120,QUERY!$C:$C,QUERY!A:A)</f>
        <v>VERACRUZ</v>
      </c>
      <c r="HU120" s="3" t="str">
        <f>_xlfn.XLOOKUP(B120,QUERY!$C:$C,QUERY!B:B)</f>
        <v>MARÍTIMO VERACRUZ</v>
      </c>
    </row>
    <row r="121" spans="1:229" x14ac:dyDescent="0.25">
      <c r="A121" s="3" t="s">
        <v>90</v>
      </c>
      <c r="B121" s="3" t="s">
        <v>374</v>
      </c>
      <c r="C121" s="3">
        <v>3942</v>
      </c>
      <c r="D121" s="3">
        <v>6000401</v>
      </c>
      <c r="E121" s="3"/>
      <c r="F121" s="3" t="s">
        <v>92</v>
      </c>
      <c r="G121" s="3" t="s">
        <v>93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430</v>
      </c>
      <c r="S121" s="3" t="s">
        <v>375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 t="s">
        <v>125</v>
      </c>
      <c r="AB121" s="3"/>
      <c r="AC121" s="3">
        <v>1803708</v>
      </c>
      <c r="AD121" s="3">
        <v>501.03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/>
      <c r="AP121" s="3" t="s">
        <v>98</v>
      </c>
      <c r="AQ121" s="3">
        <v>210366938</v>
      </c>
      <c r="AR121" s="3" t="s">
        <v>99</v>
      </c>
      <c r="AS121" s="3" t="s">
        <v>100</v>
      </c>
      <c r="AT121" s="3">
        <v>0</v>
      </c>
      <c r="AU121" s="3">
        <v>0</v>
      </c>
      <c r="AV121" s="3">
        <v>0</v>
      </c>
      <c r="AW121" s="3">
        <v>30043999</v>
      </c>
      <c r="AX121" s="3">
        <v>99</v>
      </c>
      <c r="AY121" s="3">
        <v>3600</v>
      </c>
      <c r="AZ121" s="3">
        <v>3600</v>
      </c>
      <c r="BA121" s="3" t="s">
        <v>103</v>
      </c>
      <c r="BB121" s="3"/>
      <c r="BC121" s="3" t="s">
        <v>126</v>
      </c>
      <c r="BD121" s="3" t="s">
        <v>105</v>
      </c>
      <c r="BE121" s="3"/>
      <c r="BF121" s="3"/>
      <c r="BG121" s="5"/>
      <c r="BH121" s="3"/>
      <c r="BI121" s="3"/>
      <c r="BJ121" s="3"/>
      <c r="BK121" s="3" t="s">
        <v>379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 t="s">
        <v>192</v>
      </c>
      <c r="CF121" s="3">
        <v>0</v>
      </c>
      <c r="CG121" s="3">
        <v>0</v>
      </c>
      <c r="CH121" s="3">
        <v>0</v>
      </c>
      <c r="CI121" s="3" t="s">
        <v>112</v>
      </c>
      <c r="CJ121" s="3" t="s">
        <v>112</v>
      </c>
      <c r="CK121" s="3">
        <f>_xlfn.XLOOKUP($B$2,'BASE DE EXCEL'!C:C,'BASE DE EXCEL'!D:D,"NO HAY REFERENCIA")</f>
        <v>470</v>
      </c>
      <c r="CL121" s="5">
        <f>_xlfn.XLOOKUP($B$2,'BASE DE EXCEL'!$C:$C,'BASE DE EXCEL'!F:F,"NO HAY REFERENCIA")</f>
        <v>3</v>
      </c>
      <c r="CM121" s="4">
        <f>_xlfn.XLOOKUP($B$2,'BASE DE EXCEL'!$C:$C,'BASE DE EXCEL'!G:G,"NO HAY REFERENCIA")</f>
        <v>46080</v>
      </c>
      <c r="CN121" s="4">
        <f>_xlfn.XLOOKUP($B$2,'BASE DE EXCEL'!$C:$C,'BASE DE EXCEL'!H:H,"NO HAY REFERENCIA")</f>
        <v>46086</v>
      </c>
      <c r="CO121" s="3">
        <f>_xlfn.XLOOKUP($B$2,'BASE DE EXCEL'!$C:$C,'BASE DE EXCEL'!I:I,"NO HAY REFERENCIA")</f>
        <v>4</v>
      </c>
      <c r="CP121" s="3" t="str">
        <f>_xlfn.XLOOKUP($B$2,'BASE DE EXCEL'!$C:$C,'BASE DE EXCEL'!J:J,"NO HAY REFERENCIA")</f>
        <v>4 a 5 días</v>
      </c>
      <c r="CQ121" s="4">
        <f>_xlfn.XLOOKUP($B$2,'BASE DE EXCEL'!$C:$C,'BASE DE EXCEL'!K:K,"NO HAY REFERENCIA")</f>
        <v>46087</v>
      </c>
      <c r="CR121" s="3">
        <f>_xlfn.XLOOKUP($B$2,'BASE DE EXCEL'!$C:$C,'BASE DE EXCEL'!L:L,"NO HAY REFERENCIA")</f>
        <v>5</v>
      </c>
      <c r="CS121" s="3">
        <f>_xlfn.XLOOKUP($B$2,'BASE DE EXCEL'!$C:$C,'BASE DE EXCEL'!M:M,"NO HAY REFERENCIA")</f>
        <v>6</v>
      </c>
      <c r="CT121" s="3" t="str">
        <f>_xlfn.XLOOKUP($B$2,'BASE DE EXCEL'!$C:$C,'BASE DE EXCEL'!N:N,"NO HAY REFERENCIA")</f>
        <v>6 a 10 días</v>
      </c>
      <c r="CU121" s="3" t="str">
        <f>_xlfn.XLOOKUP($B$2,'BASE DE EXCEL'!$C:$C,'BASE DE EXCEL'!O:O,"NO HAY REFERENCIA")</f>
        <v>On Time</v>
      </c>
      <c r="CV121" s="3" t="str">
        <f>_xlfn.XLOOKUP(B121,'BASE DE EXCEL'!$C:$C,'BASE DE EXCEL'!P:P,"NO HAY REFERENCIA")</f>
        <v>6 a 10 días</v>
      </c>
      <c r="CW121" s="4">
        <f>_xlfn.XLOOKUP(B121,'BASE DE EXCEL'!$C:$C,'BASE DE EXCEL'!Q:Q,"NO HAY REFERENCIA")</f>
        <v>46119</v>
      </c>
      <c r="CX121" s="3">
        <f>_xlfn.XLOOKUP(B121,'BASE DE EXCEL'!$C:$C,'BASE DE EXCEL'!R:R,"NO HAY REFERENCIA")</f>
        <v>5</v>
      </c>
      <c r="CY121" s="3" t="str">
        <f>_xlfn.XLOOKUP(B121,'BASE DE EXCEL'!$C:$C,'BASE DE EXCEL'!S:S,"NO HAY REFERENCIA")</f>
        <v>4 a 5 días</v>
      </c>
      <c r="CZ121" s="3" t="str">
        <f>_xlfn.XLOOKUP(B121,'BASE DE EXCEL'!$C:$C,'BASE DE EXCEL'!T:T,"NO HAY REFERENCIA")</f>
        <v>On Time</v>
      </c>
      <c r="DA121" s="3">
        <f>_xlfn.XLOOKUP(B121,'BASE DE EXCEL'!$C:$C,'BASE DE EXCEL'!U:U,"NO HAY REFERENCIA")</f>
        <v>8</v>
      </c>
      <c r="DB121" s="3" t="str">
        <f>_xlfn.XLOOKUP(B121,'BASE DE EXCEL'!$C:$C,'BASE DE EXCEL'!V:V,"NO HAY REFERENCIA")</f>
        <v>6 a 10 días</v>
      </c>
      <c r="DC121" s="3">
        <f>_xlfn.XLOOKUP(B121,'BASE DE EXCEL'!$C:$C,'BASE DE EXCEL'!W:W,"NO HAY REFERENCIA")</f>
        <v>18</v>
      </c>
      <c r="DD121" s="3" t="str">
        <f>_xlfn.XLOOKUP(B121,'BASE DE EXCEL'!$C:$C,'BASE DE EXCEL'!X:X,"NO HAY REFERENCIA")</f>
        <v>más de 16 días</v>
      </c>
      <c r="DE121" s="3">
        <f>_xlfn.XLOOKUP(B121,'BASE DE EXCEL'!$C:$C,'BASE DE EXCEL'!Y:Y,"NO HAY REFERENCIA")</f>
        <v>0</v>
      </c>
      <c r="DF121" s="3" t="str">
        <f>_xlfn.XLOOKUP(B121,'BASE DE EXCEL'!$C:$C,'BASE DE EXCEL'!Z:Z,"NO HAY REFERENCIA")</f>
        <v>1 día o menos</v>
      </c>
      <c r="DG121" s="3">
        <f>_xlfn.XLOOKUP(B121,'BASE DE EXCEL'!$C:$C,'BASE DE EXCEL'!AA:AA,"NO HAY REFERENCIA")</f>
        <v>7</v>
      </c>
      <c r="DH121" s="3">
        <f>_xlfn.XLOOKUP(B121,'BASE DE EXCEL'!$C:$C,'BASE DE EXCEL'!AB:AB,"NO HAY REFERENCIA")</f>
        <v>1</v>
      </c>
      <c r="DI121" s="3" t="str">
        <f>_xlfn.XLOOKUP(B121,'BASE DE EXCEL'!$C:$C,'BASE DE EXCEL'!AC:AC,"NO HAY REFERENCIA")</f>
        <v>1 día o menos</v>
      </c>
      <c r="DJ121" s="4">
        <f>_xlfn.XLOOKUP(B121,'BASE DE EXCEL'!$C:$C,'BASE DE EXCEL'!AD:AD,"NO HAY REFERENCIA")</f>
        <v>46135</v>
      </c>
      <c r="DK121" s="3">
        <f>_xlfn.XLOOKUP(B121,'BASE DE EXCEL'!$C:$C,'BASE DE EXCEL'!AE:AE,"NO HAY REFERENCIA")</f>
        <v>16</v>
      </c>
      <c r="DL121" s="3">
        <f>_xlfn.XLOOKUP(B121,'BASE DE EXCEL'!$C:$C,'BASE DE EXCEL'!AF:AF,"NO HAY REFERENCIA")</f>
        <v>12</v>
      </c>
      <c r="DM121" s="4">
        <f>_xlfn.XLOOKUP(B121,'BASE DE EXCEL'!$C:$C,'BASE DE EXCEL'!AG:AG,"NO HAY REFERENCIA")</f>
        <v>46135</v>
      </c>
      <c r="DN121" s="4">
        <f>_xlfn.XLOOKUP(B121,'BASE DE EXCEL'!$C:$C,'BASE DE EXCEL'!AH:AH,"NO HAY REFERENCIA")</f>
        <v>46135</v>
      </c>
      <c r="DO121" s="3">
        <f>_xlfn.XLOOKUP(B121,'BASE DE EXCEL'!$C:$C,'BASE DE EXCEL'!AI:AI,"NO HAY REFERENCIA")</f>
        <v>0</v>
      </c>
      <c r="DP121" s="4" t="str">
        <f>_xlfn.XLOOKUP(B121,'BASE DE EXCEL'!$C:$C,'BASE DE EXCEL'!AJ:AJ,"NO HAY REFERENCIA")</f>
        <v>más de 16 días</v>
      </c>
      <c r="DQ121" s="4">
        <f>_xlfn.XLOOKUP(B121,'BASE DE EXCEL'!$C:$C,'BASE DE EXCEL'!AK:AK,"NO HAY REFERENCIA")</f>
        <v>46135</v>
      </c>
      <c r="DR121" s="3">
        <f>_xlfn.XLOOKUP(B121,'BASE DE EXCEL'!$C:$C,'BASE DE EXCEL'!AL:AL,"NO HAY REFERENCIA")</f>
        <v>13</v>
      </c>
      <c r="DS121" s="3" t="str">
        <f>_xlfn.XLOOKUP(B121,'BASE DE EXCEL'!$C:$C,'BASE DE EXCEL'!AM:AM,"NO HAY REFERENCIA")</f>
        <v>11 a 15 días</v>
      </c>
      <c r="DT121" s="3" t="str">
        <f>_xlfn.XLOOKUP(B121,'BASE DE EXCEL'!$C:$C,'BASE DE EXCEL'!AN:AN,"NO HAY REFERENCIA")</f>
        <v>Delayed</v>
      </c>
      <c r="DU121" s="3">
        <f>_xlfn.XLOOKUP(B121,'BASE DE EXCEL'!$C:$C,'BASE DE EXCEL'!AO:AO,"NO HAY REFERENCIA")</f>
        <v>1</v>
      </c>
      <c r="DV121" s="3" t="str">
        <f>_xlfn.XLOOKUP(B121,'BASE DE EXCEL'!$C:$C,'BASE DE EXCEL'!AP:AP,"NO HAY REFERENCIA")</f>
        <v>Es anterior</v>
      </c>
      <c r="DW121" s="3" t="str">
        <f>_xlfn.XLOOKUP(B121,'BASE DE EXCEL'!$C:$C,'BASE DE EXCEL'!AQ:AQ,"NO HAY REFERENCIA")</f>
        <v>A1</v>
      </c>
      <c r="DX121" s="3" t="str">
        <f>_xlfn.XLOOKUP(B121,'BASE DE EXCEL'!$C:$C,'BASE DE EXCEL'!AR:AR,"NO HAY REFERENCIA")</f>
        <v>ZULEIMA PEREZ RUIZ</v>
      </c>
      <c r="DY121" s="3" t="str">
        <f>_xlfn.XLOOKUP(B121,'BASE DE EXCEL'!$C:$C,'BASE DE EXCEL'!AS:AS,"NO HAY REFERENCIA")</f>
        <v>HLCUANR260249908</v>
      </c>
      <c r="DZ121" s="3" t="str">
        <f>_xlfn.XLOOKUP(B121,'BASE DE EXCEL'!$C:$C,'BASE DE EXCEL'!AT:AT,"NO HAY REFERENCIA")</f>
        <v>NULL</v>
      </c>
      <c r="EA121" s="3">
        <f>_xlfn.XLOOKUP(B121,'BASE DE EXCEL'!$C:$C,'BASE DE EXCEL'!AU:AU,"NO HAY REFERENCIA")</f>
        <v>6000401</v>
      </c>
      <c r="EB121" s="3" t="str">
        <f>_xlfn.XLOOKUP(B121,'BASE DE EXCEL'!$C:$C,'BASE DE EXCEL'!AV:AV,"NO HAY REFERENCIA")</f>
        <v>Importación</v>
      </c>
      <c r="EC121" s="3" t="str">
        <f>_xlfn.XLOOKUP(B121,'BASE DE EXCEL'!$C:$C,'BASE DE EXCEL'!AW:AW,"NO HAY REFERENCIA")</f>
        <v>HALOCUR (MEDICAMENTO DOSIFICADO DE USO VETERINARIO)</v>
      </c>
      <c r="ED121" s="3" t="str">
        <f>_xlfn.XLOOKUP(B121,'BASE DE EXCEL'!$C:$C,'BASE DE EXCEL'!AX:AX,"NO HAY REFERENCIA")</f>
        <v>SIN CLASIFICACION</v>
      </c>
      <c r="EE121" s="3">
        <f>_xlfn.XLOOKUP(B121,'BASE DE EXCEL'!$C:$C,'BASE DE EXCEL'!AY:AY,"NO HAY REFERENCIA")</f>
        <v>0</v>
      </c>
      <c r="EF121" s="3" t="str">
        <f>_xlfn.XLOOKUP(B121,'BASE DE EXCEL'!$C:$C,'BASE DE EXCEL'!AZ:AZ,"NO HAY REFERENCIA")</f>
        <v>Cargas de Importación</v>
      </c>
      <c r="EG121" s="3" t="str">
        <f>_xlfn.XLOOKUP(B121,'BASE DE EXCEL'!$C:$C,'BASE DE EXCEL'!BA:BA,"NO HAY REFERENCIA")</f>
        <v>INTERVET MEXICO SA DE CV</v>
      </c>
      <c r="EH121" s="3">
        <f>_xlfn.XLOOKUP(B121,'BASE DE EXCEL'!$C:$C,'BASE DE EXCEL'!BB:BB,"NO HAY REFERENCIA")</f>
        <v>0</v>
      </c>
      <c r="EI121" s="3">
        <f>_xlfn.XLOOKUP(B121,'BASE DE EXCEL'!$C:$C,'BASE DE EXCEL'!BC:BC,"NO HAY REFERENCIA")</f>
        <v>0</v>
      </c>
      <c r="EJ121" s="3">
        <f>_xlfn.XLOOKUP(B121,'BASE DE EXCEL'!$C:$C,'BASE DE EXCEL'!BD:BD,"NO HAY REFERENCIA")</f>
        <v>0</v>
      </c>
      <c r="EK121" s="3">
        <f>_xlfn.XLOOKUP(B121,'BASE DE EXCEL'!$C:$C,'BASE DE EXCEL'!BE:BE,"NO HAY REFERENCIA")</f>
        <v>0</v>
      </c>
      <c r="EL121" s="3" t="str">
        <f>_xlfn.XLOOKUP(B121,'BASE DE EXCEL'!$C:$C,'BASE DE EXCEL'!BF:BF,"NO HAY REFERENCIA")</f>
        <v>PRODUCTO TERMINADO</v>
      </c>
      <c r="EM121" s="3" t="str">
        <f>_xlfn.XLOOKUP(B121,'BASE DE EXCEL'!$C:$C,'BASE DE EXCEL'!BG:BG,"NO HAY REFERENCIA")</f>
        <v>Verde</v>
      </c>
      <c r="EN121" s="3" t="str">
        <f>_xlfn.XLOOKUP(B121,'BASE DE EXCEL'!$C:$C,'BASE DE EXCEL'!BH:BH,"NO HAY REFERENCIA")</f>
        <v xml:space="preserve"> SUPER EXPRESS DE CARGA FEDERAL S.A. DE C.V.</v>
      </c>
      <c r="EO121" s="3">
        <f>_xlfn.XLOOKUP(B121,'BASE DE EXCEL'!$C:$C,'BASE DE EXCEL'!BI:BI,"NO HAY REFERENCIA")</f>
        <v>0</v>
      </c>
      <c r="EP121" s="3" t="str">
        <f>_xlfn.XLOOKUP(B121,'BASE DE EXCEL'!$C:$C,'BASE DE EXCEL'!BJ:BJ,"NO HAY REFERENCIA")</f>
        <v>IME-T004</v>
      </c>
      <c r="EQ121" s="3" t="str">
        <f>_xlfn.XLOOKUP(B121,'BASE DE EXCEL'!$C:$C,'BASE DE EXCEL'!BK:BK,"NO HAY REFERENCIA")</f>
        <v>IME850329RH2</v>
      </c>
      <c r="ER121" s="3">
        <f>_xlfn.XLOOKUP(B121,'BASE DE EXCEL'!$C:$C,'BASE DE EXCEL'!BL:BL,"NO HAY REFERENCIA")</f>
        <v>0</v>
      </c>
      <c r="ES121" s="3" t="str">
        <f>_xlfn.XLOOKUP(B121,'BASE DE EXCEL'!$C:$C,'BASE DE EXCEL'!BM:BM,"NO HAY REFERENCIA")</f>
        <v>00,99</v>
      </c>
      <c r="ET121" s="3" t="str">
        <f>_xlfn.XLOOKUP(B121,'BASE DE EXCEL'!$C:$C,'BASE DE EXCEL'!BN:BN,"NO HAY REFERENCIA")</f>
        <v>LOTE: F292A02,LOTE: 5774102,LOTE: H114B01,LOTE: A221A01,LOTE: J786A01,LOTE: S491601,LOTE: H101A01</v>
      </c>
      <c r="EU121" s="3">
        <f>_xlfn.XLOOKUP(B121,'BASE DE EXCEL'!$C:$C,'BASE DE EXCEL'!BO:BO,"NO HAY REFERENCIA")</f>
        <v>90</v>
      </c>
      <c r="EV121" s="3" t="str">
        <f>_xlfn.XLOOKUP(B121,'BASE DE EXCEL'!$C:$C,'BASE DE EXCEL'!BP:BP,"NO HAY REFERENCIA")</f>
        <v xml:space="preserve"> 2162410.07, 1803708.00, 1926255.36, 1072522.92</v>
      </c>
      <c r="EW121" s="3" t="str">
        <f>_xlfn.XLOOKUP(B121,'BASE DE EXCEL'!$C:$C,'BASE DE EXCEL'!BQ:BQ,"NO HAY REFERENCIA")</f>
        <v>KILO,KILO,KILO,KILO,KILO,KILO,KILO</v>
      </c>
      <c r="EX121" s="3">
        <f>_xlfn.XLOOKUP(B121,'BASE DE EXCEL'!$C:$C,'BASE DE EXCEL'!BR:BR,"NO HAY REFERENCIA")</f>
        <v>0</v>
      </c>
      <c r="EY121" s="3" t="str">
        <f>_xlfn.XLOOKUP(B121,'BASE DE EXCEL'!$C:$C,'BASE DE EXCEL'!BS:BS,"NO HAY REFERENCIA")</f>
        <v>ALEMANIA (REPUBLICA FEDERAL DE),FRANCIA (REPUBLICA FRANCESA),PAISES BAJOS (REINO DE LOS) (HOLANDA)</v>
      </c>
      <c r="EZ121" s="3" t="str">
        <f>_xlfn.XLOOKUP(B121,'BASE DE EXCEL'!$C:$C,'BASE DE EXCEL'!BT:BT,"NO HAY REFERENCIA")</f>
        <v>PAISES BAJOS (REINO DE LOS) (HOLANDA)</v>
      </c>
      <c r="FA121" s="3" t="str">
        <f>_xlfn.XLOOKUP(B121,'BASE DE EXCEL'!$C:$C,'BASE DE EXCEL'!BU:BU,"NO HAY REFERENCIA")</f>
        <v>DEU,FRA,ZYA</v>
      </c>
      <c r="FB121" s="3" t="str">
        <f>_xlfn.XLOOKUP(B121,'BASE DE EXCEL'!$C:$C,'BASE DE EXCEL'!BV:BV,"NO HAY REFERENCIA")</f>
        <v>ZYA</v>
      </c>
      <c r="FC121" s="3">
        <f>_xlfn.XLOOKUP(B121,QUERY!$C:$C,QUERY!D:D)</f>
        <v>430</v>
      </c>
      <c r="FD121" s="4">
        <f>_xlfn.XLOOKUP(B121,QUERY!$C:$C,QUERY!E:E)</f>
        <v>46118</v>
      </c>
      <c r="FE121" s="3">
        <f>_xlfn.XLOOKUP(B121,QUERY!$C:$C,QUERY!F:F)</f>
        <v>4</v>
      </c>
      <c r="FF121" s="4">
        <f>_xlfn.XLOOKUP(B121,QUERY!$C:$C,QUERY!G:G)</f>
        <v>46111</v>
      </c>
      <c r="FG121" s="4">
        <f>_xlfn.XLOOKUP(B121,QUERY!$C:$C,QUERY!H:H)</f>
        <v>46118</v>
      </c>
      <c r="FH121" s="3">
        <f>_xlfn.XLOOKUP(B121,QUERY!$C:$C,QUERY!I:I)</f>
        <v>5</v>
      </c>
      <c r="FI121" s="3" t="str">
        <f>_xlfn.XLOOKUP(B121,QUERY!$C:$C,QUERY!J:J)</f>
        <v>4 a 5 días</v>
      </c>
      <c r="FJ121" s="4">
        <f>_xlfn.XLOOKUP(B121,QUERY!$C:$C,QUERY!K:K)</f>
        <v>46118</v>
      </c>
      <c r="FK121" s="3">
        <f>_xlfn.XLOOKUP(B121,QUERY!$C:$C,QUERY!L:L)</f>
        <v>5</v>
      </c>
      <c r="FL121" s="3" t="str">
        <f>_xlfn.XLOOKUP(B121,QUERY!$C:$C,QUERY!M:M)</f>
        <v>4 a 5 días</v>
      </c>
      <c r="FM121" s="3">
        <f>_xlfn.XLOOKUP(B121,QUERY!$C:$C,QUERY!N:N)</f>
        <v>0</v>
      </c>
      <c r="FN121" s="3" t="str">
        <f>_xlfn.XLOOKUP(B121,QUERY!$C:$C,QUERY!O:O)</f>
        <v>1 día o menos</v>
      </c>
      <c r="FO121" s="3">
        <f>_xlfn.XLOOKUP(B121,QUERY!$C:$C,QUERY!P:P)</f>
        <v>0</v>
      </c>
      <c r="FP121" s="3">
        <f>_xlfn.XLOOKUP(B121,QUERY!$C:$C,QUERY!Q:Q)</f>
        <v>1</v>
      </c>
      <c r="FQ121" s="3" t="str">
        <f>_xlfn.XLOOKUP(B121,QUERY!$C:$C,QUERY!R:R)</f>
        <v>1 día o menos</v>
      </c>
      <c r="FR121" s="4">
        <f>_xlfn.XLOOKUP(B121,QUERY!$C:$C,QUERY!S:S)</f>
        <v>46119</v>
      </c>
      <c r="FS121" s="3">
        <f>_xlfn.XLOOKUP(B121,QUERY!$C:$C,QUERY!T:T)</f>
        <v>6</v>
      </c>
      <c r="FT121" s="3" t="str">
        <f>_xlfn.XLOOKUP(B121,QUERY!$C:$C,QUERY!U:U)</f>
        <v>6 a 10 días</v>
      </c>
      <c r="FU121" s="3">
        <f>_xlfn.XLOOKUP(B121,QUERY!$C:$C,QUERY!V:V)</f>
        <v>18</v>
      </c>
      <c r="FV121" s="3" t="str">
        <f>_xlfn.XLOOKUP(B121,QUERY!$C:$C,QUERY!W:W)</f>
        <v>más de 16 días</v>
      </c>
      <c r="FW121" s="4">
        <f>_xlfn.XLOOKUP(B121,QUERY!$C:$C,QUERY!X:X)</f>
        <v>46135</v>
      </c>
      <c r="FX121" s="3">
        <f>_xlfn.XLOOKUP(B121,QUERY!$C:$C,QUERY!Y:Y)</f>
        <v>12</v>
      </c>
      <c r="FY121" s="3">
        <f>_xlfn.XLOOKUP(B121,QUERY!$C:$C,QUERY!Z:Z)</f>
        <v>12</v>
      </c>
      <c r="FZ121" s="4" t="str">
        <f>_xlfn.XLOOKUP(B121,QUERY!$C:$C,QUERY!AA:AA)</f>
        <v>más de 16 días</v>
      </c>
      <c r="GA121" s="4">
        <f>_xlfn.XLOOKUP(B121,QUERY!$C:$C,QUERY!AB:AB)</f>
        <v>46135</v>
      </c>
      <c r="GB121" s="4">
        <f>_xlfn.XLOOKUP(B121,QUERY!$C:$C,QUERY!AC:AC)</f>
        <v>46135</v>
      </c>
      <c r="GC121" s="3">
        <f>_xlfn.XLOOKUP(B121,QUERY!$C:$C,QUERY!AD:AD)</f>
        <v>0</v>
      </c>
      <c r="GD121" s="4">
        <f>_xlfn.XLOOKUP(B121,QUERY!$C:$C,QUERY!AE:AE)</f>
        <v>46135</v>
      </c>
      <c r="GE121" s="3">
        <f>_xlfn.XLOOKUP(B121,QUERY!$C:$C,QUERY!AF:AF)</f>
        <v>1</v>
      </c>
      <c r="GF121" s="4" t="str">
        <f>_xlfn.XLOOKUP(B121,QUERY!$C:$C,QUERY!AG:AG)</f>
        <v>Es anterior</v>
      </c>
      <c r="GG121" s="3" t="str">
        <f>_xlfn.XLOOKUP(B121,QUERY!$C:$C,QUERY!AH:AH)</f>
        <v>A1</v>
      </c>
      <c r="GH121" s="3" t="str">
        <f>_xlfn.XLOOKUP(B121,QUERY!$C:$C,QUERY!AI:AI)</f>
        <v>ZULEIMA PEREZ RUIZ</v>
      </c>
      <c r="GI121" s="3" t="str">
        <f>_xlfn.XLOOKUP(B121,QUERY!$C:$C,QUERY!AJ:AJ)</f>
        <v>HLCUANR260249908</v>
      </c>
      <c r="GJ121" s="3" t="str">
        <f>_xlfn.XLOOKUP(B121,QUERY!$C:$C,QUERY!AK:AK)</f>
        <v>NULL</v>
      </c>
      <c r="GK121" s="3">
        <f>_xlfn.XLOOKUP(B121,QUERY!$C:$C,QUERY!AL:AL)</f>
        <v>6000401</v>
      </c>
      <c r="GL121" s="3" t="str">
        <f>_xlfn.XLOOKUP(B121,QUERY!$C:$C,QUERY!AM:AM)</f>
        <v>Importación</v>
      </c>
      <c r="GM121" s="3" t="str">
        <f>_xlfn.XLOOKUP(B121,QUERY!$C:$C,QUERY!AN:AN)</f>
        <v>HALOCUR (MEDICAMENTO DOSIFICADO DE USO VETERINARIO)</v>
      </c>
      <c r="GN121" s="3" t="str">
        <f>_xlfn.XLOOKUP(B121,QUERY!$C:$C,QUERY!AO:AO)</f>
        <v>SIN CLASIFICACION</v>
      </c>
      <c r="GO121" s="3">
        <f>_xlfn.XLOOKUP(B121,QUERY!$C:$C,QUERY!AP:AP)</f>
        <v>0</v>
      </c>
      <c r="GP121" s="3" t="str">
        <f>_xlfn.XLOOKUP(B121,QUERY!$C:$C,QUERY!AQ:AQ)</f>
        <v>Cargas de Importación</v>
      </c>
      <c r="GQ121" s="3" t="str">
        <f>_xlfn.XLOOKUP(B121,QUERY!$C:$C,QUERY!AR:AR)</f>
        <v>INTERVET MEXICO SA DE CV</v>
      </c>
      <c r="GR121" s="3">
        <f>_xlfn.XLOOKUP(B121,QUERY!$C:$C,QUERY!AS:AS)</f>
        <v>0</v>
      </c>
      <c r="GS121" s="3">
        <f>_xlfn.XLOOKUP(B121,QUERY!$C:$C,QUERY!AT:AT)</f>
        <v>0</v>
      </c>
      <c r="GT121" s="3">
        <f>_xlfn.XLOOKUP(B121,QUERY!$C:$C,QUERY!AU:AU)</f>
        <v>0</v>
      </c>
      <c r="GU121" s="3">
        <f>_xlfn.XLOOKUP(B121,QUERY!$C:$C,QUERY!AV:AV)</f>
        <v>0</v>
      </c>
      <c r="GV121" s="3" t="str">
        <f>_xlfn.XLOOKUP(B121,QUERY!$C:$C,QUERY!AW:AW)</f>
        <v>PRODUCTO TERMINADO</v>
      </c>
      <c r="GW121" s="3" t="str">
        <f>_xlfn.XLOOKUP(B121,QUERY!$C:$C,QUERY!AX:AX)</f>
        <v>Verde</v>
      </c>
      <c r="GX121" s="3" t="str">
        <f>_xlfn.XLOOKUP(B121,QUERY!$C:$C,QUERY!AY:AY)</f>
        <v xml:space="preserve"> SUPER EXPRESS DE CARGA FEDERAL S.A. DE C.V.</v>
      </c>
      <c r="GY121" s="3">
        <f>_xlfn.XLOOKUP(B121,QUERY!$C:$C,QUERY!AZ:AZ)</f>
        <v>0</v>
      </c>
      <c r="GZ121" s="3" t="str">
        <f>_xlfn.XLOOKUP(B121,QUERY!$C:$C,QUERY!BA:BA)</f>
        <v>IME-T004</v>
      </c>
      <c r="HA121" s="3" t="str">
        <f>_xlfn.XLOOKUP(B121,QUERY!$C:$C,QUERY!BB:BB)</f>
        <v>IME850329RH2</v>
      </c>
      <c r="HB121" s="3">
        <f>_xlfn.XLOOKUP(B121,QUERY!$C:$C,QUERY!BC:BC)</f>
        <v>0</v>
      </c>
      <c r="HC121" s="3">
        <f>_xlfn.XLOOKUP(B121,QUERY!$C:$C,QUERY!BD:BD)</f>
        <v>0.99</v>
      </c>
      <c r="HD121" s="3" t="str">
        <f>_xlfn.XLOOKUP(B121,QUERY!$C:$C,QUERY!BE:BE)</f>
        <v>LOTE: F292A02,LOTE: 5774102,LOTE: H114B01,LOTE: A221A01,LOTE: J786A01,LOTE: S491601,LOTE: H101A01</v>
      </c>
      <c r="HE121" s="3">
        <f>_xlfn.XLOOKUP(B121,QUERY!$C:$C,QUERY!BF:BF)</f>
        <v>90</v>
      </c>
      <c r="HF121" s="3" t="str">
        <f>_xlfn.XLOOKUP(B121,QUERY!$C:$C,QUERY!BG:BG)</f>
        <v xml:space="preserve"> 2162410.07, 1803708.00, 1926255.36, 1072522.92</v>
      </c>
      <c r="HG121" s="3" t="str">
        <f>_xlfn.XLOOKUP(B121,QUERY!$C:$C,QUERY!BH:BH)</f>
        <v>KILO,KILO,KILO,KILO,KILO,KILO,KILO</v>
      </c>
      <c r="HH121" s="3">
        <f>_xlfn.XLOOKUP(B121,QUERY!$C:$C,QUERY!BI:BI)</f>
        <v>0</v>
      </c>
      <c r="HI121" s="3" t="str">
        <f>_xlfn.XLOOKUP(B121,QUERY!$C:$C,QUERY!BJ:BJ)</f>
        <v>ALEMANIA (REPUBLICA FEDERAL DE),FRANCIA (REPUBLICA FRANCESA),PAISES BAJOS (REINO DE LOS) (HOLANDA)</v>
      </c>
      <c r="HJ121" s="3" t="str">
        <f>_xlfn.XLOOKUP(B121,QUERY!$C:$C,QUERY!BK:BK)</f>
        <v>PAISES BAJOS (REINO DE LOS) (HOLANDA)</v>
      </c>
      <c r="HK121" s="3" t="str">
        <f>_xlfn.XLOOKUP(B121,QUERY!$C:$C,QUERY!BL:BL)</f>
        <v>DEU,FRA,ZYA</v>
      </c>
      <c r="HL121" s="3" t="str">
        <f>_xlfn.XLOOKUP(B121,QUERY!$C:$C,QUERY!BM:BM)</f>
        <v>ZYA</v>
      </c>
      <c r="HM121" s="3">
        <f>_xlfn.XLOOKUP(B121,QUERY!$C:$C,QUERY!BN:BN)</f>
        <v>6964896</v>
      </c>
      <c r="HN121" s="3" t="str">
        <f>_xlfn.XLOOKUP(B121,QUERY!$C:$C,QUERY!BO:BO)</f>
        <v>462.00</v>
      </c>
      <c r="HO121" s="3" t="str">
        <f>_xlfn.XLOOKUP(B121,QUERY!$C:$C,QUERY!BP:BP)</f>
        <v>NULL</v>
      </c>
      <c r="HP121" s="3" t="str">
        <f>_xlfn.XLOOKUP(B121,QUERY!$C:$C,QUERY!BQ:BQ)</f>
        <v>NULL</v>
      </c>
      <c r="HQ121" s="3" t="str">
        <f>_xlfn.XLOOKUP(B121,QUERY!$C:$C,QUERY!BR:BR)</f>
        <v>168023.32</v>
      </c>
      <c r="HR121" s="3">
        <f>_xlfn.XLOOKUP(B121,QUERY!$C:$C,QUERY!BS:BS)</f>
        <v>0</v>
      </c>
      <c r="HS121" s="3">
        <f>_xlfn.XLOOKUP(B121,QUERY!$C:$C,QUERY!BT:BT)</f>
        <v>0</v>
      </c>
      <c r="HT121" s="3" t="str">
        <f>_xlfn.XLOOKUP(B121,QUERY!$C:$C,QUERY!A:A)</f>
        <v>VERACRUZ</v>
      </c>
      <c r="HU121" s="3" t="str">
        <f>_xlfn.XLOOKUP(B121,QUERY!$C:$C,QUERY!B:B)</f>
        <v>MARÍTIMO VERACRUZ</v>
      </c>
    </row>
    <row r="122" spans="1:229" x14ac:dyDescent="0.25">
      <c r="A122" s="3" t="s">
        <v>90</v>
      </c>
      <c r="B122" s="3" t="s">
        <v>374</v>
      </c>
      <c r="C122" s="3">
        <v>3942</v>
      </c>
      <c r="D122" s="3">
        <v>6000401</v>
      </c>
      <c r="E122" s="3"/>
      <c r="F122" s="3" t="s">
        <v>92</v>
      </c>
      <c r="G122" s="3" t="s">
        <v>93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430</v>
      </c>
      <c r="S122" s="3" t="s">
        <v>375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 t="s">
        <v>123</v>
      </c>
      <c r="AB122" s="3"/>
      <c r="AC122" s="3">
        <v>1497547</v>
      </c>
      <c r="AD122" s="3">
        <v>706.39008999999999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/>
      <c r="AP122" s="3" t="s">
        <v>98</v>
      </c>
      <c r="AQ122" s="3">
        <v>210367625</v>
      </c>
      <c r="AR122" s="3" t="s">
        <v>99</v>
      </c>
      <c r="AS122" s="3" t="s">
        <v>100</v>
      </c>
      <c r="AT122" s="3">
        <v>0</v>
      </c>
      <c r="AU122" s="3">
        <v>0</v>
      </c>
      <c r="AV122" s="3">
        <v>0</v>
      </c>
      <c r="AW122" s="3">
        <v>30049099</v>
      </c>
      <c r="AX122" s="3">
        <v>99</v>
      </c>
      <c r="AY122" s="3">
        <v>2120</v>
      </c>
      <c r="AZ122" s="3">
        <v>2120</v>
      </c>
      <c r="BA122" s="3" t="s">
        <v>121</v>
      </c>
      <c r="BB122" s="3"/>
      <c r="BC122" s="3" t="s">
        <v>105</v>
      </c>
      <c r="BD122" s="3" t="s">
        <v>105</v>
      </c>
      <c r="BE122" s="3"/>
      <c r="BF122" s="3"/>
      <c r="BG122" s="5"/>
      <c r="BH122" s="3"/>
      <c r="BI122" s="3"/>
      <c r="BJ122" s="3"/>
      <c r="BK122" s="3" t="s">
        <v>380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 t="s">
        <v>192</v>
      </c>
      <c r="CF122" s="3">
        <v>0</v>
      </c>
      <c r="CG122" s="3">
        <v>0</v>
      </c>
      <c r="CH122" s="3">
        <v>0</v>
      </c>
      <c r="CI122" s="3" t="s">
        <v>112</v>
      </c>
      <c r="CJ122" s="3" t="s">
        <v>112</v>
      </c>
      <c r="CK122" s="3">
        <f>_xlfn.XLOOKUP($B$2,'BASE DE EXCEL'!C:C,'BASE DE EXCEL'!D:D,"NO HAY REFERENCIA")</f>
        <v>470</v>
      </c>
      <c r="CL122" s="5">
        <f>_xlfn.XLOOKUP($B$2,'BASE DE EXCEL'!$C:$C,'BASE DE EXCEL'!F:F,"NO HAY REFERENCIA")</f>
        <v>3</v>
      </c>
      <c r="CM122" s="4">
        <f>_xlfn.XLOOKUP($B$2,'BASE DE EXCEL'!$C:$C,'BASE DE EXCEL'!G:G,"NO HAY REFERENCIA")</f>
        <v>46080</v>
      </c>
      <c r="CN122" s="4">
        <f>_xlfn.XLOOKUP($B$2,'BASE DE EXCEL'!$C:$C,'BASE DE EXCEL'!H:H,"NO HAY REFERENCIA")</f>
        <v>46086</v>
      </c>
      <c r="CO122" s="3">
        <f>_xlfn.XLOOKUP($B$2,'BASE DE EXCEL'!$C:$C,'BASE DE EXCEL'!I:I,"NO HAY REFERENCIA")</f>
        <v>4</v>
      </c>
      <c r="CP122" s="3" t="str">
        <f>_xlfn.XLOOKUP($B$2,'BASE DE EXCEL'!$C:$C,'BASE DE EXCEL'!J:J,"NO HAY REFERENCIA")</f>
        <v>4 a 5 días</v>
      </c>
      <c r="CQ122" s="4">
        <f>_xlfn.XLOOKUP($B$2,'BASE DE EXCEL'!$C:$C,'BASE DE EXCEL'!K:K,"NO HAY REFERENCIA")</f>
        <v>46087</v>
      </c>
      <c r="CR122" s="3">
        <f>_xlfn.XLOOKUP($B$2,'BASE DE EXCEL'!$C:$C,'BASE DE EXCEL'!L:L,"NO HAY REFERENCIA")</f>
        <v>5</v>
      </c>
      <c r="CS122" s="3">
        <f>_xlfn.XLOOKUP($B$2,'BASE DE EXCEL'!$C:$C,'BASE DE EXCEL'!M:M,"NO HAY REFERENCIA")</f>
        <v>6</v>
      </c>
      <c r="CT122" s="3" t="str">
        <f>_xlfn.XLOOKUP($B$2,'BASE DE EXCEL'!$C:$C,'BASE DE EXCEL'!N:N,"NO HAY REFERENCIA")</f>
        <v>6 a 10 días</v>
      </c>
      <c r="CU122" s="3" t="str">
        <f>_xlfn.XLOOKUP($B$2,'BASE DE EXCEL'!$C:$C,'BASE DE EXCEL'!O:O,"NO HAY REFERENCIA")</f>
        <v>On Time</v>
      </c>
      <c r="CV122" s="3" t="str">
        <f>_xlfn.XLOOKUP(B122,'BASE DE EXCEL'!$C:$C,'BASE DE EXCEL'!P:P,"NO HAY REFERENCIA")</f>
        <v>6 a 10 días</v>
      </c>
      <c r="CW122" s="4">
        <f>_xlfn.XLOOKUP(B122,'BASE DE EXCEL'!$C:$C,'BASE DE EXCEL'!Q:Q,"NO HAY REFERENCIA")</f>
        <v>46119</v>
      </c>
      <c r="CX122" s="3">
        <f>_xlfn.XLOOKUP(B122,'BASE DE EXCEL'!$C:$C,'BASE DE EXCEL'!R:R,"NO HAY REFERENCIA")</f>
        <v>5</v>
      </c>
      <c r="CY122" s="3" t="str">
        <f>_xlfn.XLOOKUP(B122,'BASE DE EXCEL'!$C:$C,'BASE DE EXCEL'!S:S,"NO HAY REFERENCIA")</f>
        <v>4 a 5 días</v>
      </c>
      <c r="CZ122" s="3" t="str">
        <f>_xlfn.XLOOKUP(B122,'BASE DE EXCEL'!$C:$C,'BASE DE EXCEL'!T:T,"NO HAY REFERENCIA")</f>
        <v>On Time</v>
      </c>
      <c r="DA122" s="3">
        <f>_xlfn.XLOOKUP(B122,'BASE DE EXCEL'!$C:$C,'BASE DE EXCEL'!U:U,"NO HAY REFERENCIA")</f>
        <v>8</v>
      </c>
      <c r="DB122" s="3" t="str">
        <f>_xlfn.XLOOKUP(B122,'BASE DE EXCEL'!$C:$C,'BASE DE EXCEL'!V:V,"NO HAY REFERENCIA")</f>
        <v>6 a 10 días</v>
      </c>
      <c r="DC122" s="3">
        <f>_xlfn.XLOOKUP(B122,'BASE DE EXCEL'!$C:$C,'BASE DE EXCEL'!W:W,"NO HAY REFERENCIA")</f>
        <v>18</v>
      </c>
      <c r="DD122" s="3" t="str">
        <f>_xlfn.XLOOKUP(B122,'BASE DE EXCEL'!$C:$C,'BASE DE EXCEL'!X:X,"NO HAY REFERENCIA")</f>
        <v>más de 16 días</v>
      </c>
      <c r="DE122" s="3">
        <f>_xlfn.XLOOKUP(B122,'BASE DE EXCEL'!$C:$C,'BASE DE EXCEL'!Y:Y,"NO HAY REFERENCIA")</f>
        <v>0</v>
      </c>
      <c r="DF122" s="3" t="str">
        <f>_xlfn.XLOOKUP(B122,'BASE DE EXCEL'!$C:$C,'BASE DE EXCEL'!Z:Z,"NO HAY REFERENCIA")</f>
        <v>1 día o menos</v>
      </c>
      <c r="DG122" s="3">
        <f>_xlfn.XLOOKUP(B122,'BASE DE EXCEL'!$C:$C,'BASE DE EXCEL'!AA:AA,"NO HAY REFERENCIA")</f>
        <v>7</v>
      </c>
      <c r="DH122" s="3">
        <f>_xlfn.XLOOKUP(B122,'BASE DE EXCEL'!$C:$C,'BASE DE EXCEL'!AB:AB,"NO HAY REFERENCIA")</f>
        <v>1</v>
      </c>
      <c r="DI122" s="3" t="str">
        <f>_xlfn.XLOOKUP(B122,'BASE DE EXCEL'!$C:$C,'BASE DE EXCEL'!AC:AC,"NO HAY REFERENCIA")</f>
        <v>1 día o menos</v>
      </c>
      <c r="DJ122" s="4">
        <f>_xlfn.XLOOKUP(B122,'BASE DE EXCEL'!$C:$C,'BASE DE EXCEL'!AD:AD,"NO HAY REFERENCIA")</f>
        <v>46135</v>
      </c>
      <c r="DK122" s="3">
        <f>_xlfn.XLOOKUP(B122,'BASE DE EXCEL'!$C:$C,'BASE DE EXCEL'!AE:AE,"NO HAY REFERENCIA")</f>
        <v>16</v>
      </c>
      <c r="DL122" s="3">
        <f>_xlfn.XLOOKUP(B122,'BASE DE EXCEL'!$C:$C,'BASE DE EXCEL'!AF:AF,"NO HAY REFERENCIA")</f>
        <v>12</v>
      </c>
      <c r="DM122" s="4">
        <f>_xlfn.XLOOKUP(B122,'BASE DE EXCEL'!$C:$C,'BASE DE EXCEL'!AG:AG,"NO HAY REFERENCIA")</f>
        <v>46135</v>
      </c>
      <c r="DN122" s="4">
        <f>_xlfn.XLOOKUP(B122,'BASE DE EXCEL'!$C:$C,'BASE DE EXCEL'!AH:AH,"NO HAY REFERENCIA")</f>
        <v>46135</v>
      </c>
      <c r="DO122" s="3">
        <f>_xlfn.XLOOKUP(B122,'BASE DE EXCEL'!$C:$C,'BASE DE EXCEL'!AI:AI,"NO HAY REFERENCIA")</f>
        <v>0</v>
      </c>
      <c r="DP122" s="4" t="str">
        <f>_xlfn.XLOOKUP(B122,'BASE DE EXCEL'!$C:$C,'BASE DE EXCEL'!AJ:AJ,"NO HAY REFERENCIA")</f>
        <v>más de 16 días</v>
      </c>
      <c r="DQ122" s="4">
        <f>_xlfn.XLOOKUP(B122,'BASE DE EXCEL'!$C:$C,'BASE DE EXCEL'!AK:AK,"NO HAY REFERENCIA")</f>
        <v>46135</v>
      </c>
      <c r="DR122" s="3">
        <f>_xlfn.XLOOKUP(B122,'BASE DE EXCEL'!$C:$C,'BASE DE EXCEL'!AL:AL,"NO HAY REFERENCIA")</f>
        <v>13</v>
      </c>
      <c r="DS122" s="3" t="str">
        <f>_xlfn.XLOOKUP(B122,'BASE DE EXCEL'!$C:$C,'BASE DE EXCEL'!AM:AM,"NO HAY REFERENCIA")</f>
        <v>11 a 15 días</v>
      </c>
      <c r="DT122" s="3" t="str">
        <f>_xlfn.XLOOKUP(B122,'BASE DE EXCEL'!$C:$C,'BASE DE EXCEL'!AN:AN,"NO HAY REFERENCIA")</f>
        <v>Delayed</v>
      </c>
      <c r="DU122" s="3">
        <f>_xlfn.XLOOKUP(B122,'BASE DE EXCEL'!$C:$C,'BASE DE EXCEL'!AO:AO,"NO HAY REFERENCIA")</f>
        <v>1</v>
      </c>
      <c r="DV122" s="3" t="str">
        <f>_xlfn.XLOOKUP(B122,'BASE DE EXCEL'!$C:$C,'BASE DE EXCEL'!AP:AP,"NO HAY REFERENCIA")</f>
        <v>Es anterior</v>
      </c>
      <c r="DW122" s="3" t="str">
        <f>_xlfn.XLOOKUP(B122,'BASE DE EXCEL'!$C:$C,'BASE DE EXCEL'!AQ:AQ,"NO HAY REFERENCIA")</f>
        <v>A1</v>
      </c>
      <c r="DX122" s="3" t="str">
        <f>_xlfn.XLOOKUP(B122,'BASE DE EXCEL'!$C:$C,'BASE DE EXCEL'!AR:AR,"NO HAY REFERENCIA")</f>
        <v>ZULEIMA PEREZ RUIZ</v>
      </c>
      <c r="DY122" s="3" t="str">
        <f>_xlfn.XLOOKUP(B122,'BASE DE EXCEL'!$C:$C,'BASE DE EXCEL'!AS:AS,"NO HAY REFERENCIA")</f>
        <v>HLCUANR260249908</v>
      </c>
      <c r="DZ122" s="3" t="str">
        <f>_xlfn.XLOOKUP(B122,'BASE DE EXCEL'!$C:$C,'BASE DE EXCEL'!AT:AT,"NO HAY REFERENCIA")</f>
        <v>NULL</v>
      </c>
      <c r="EA122" s="3">
        <f>_xlfn.XLOOKUP(B122,'BASE DE EXCEL'!$C:$C,'BASE DE EXCEL'!AU:AU,"NO HAY REFERENCIA")</f>
        <v>6000401</v>
      </c>
      <c r="EB122" s="3" t="str">
        <f>_xlfn.XLOOKUP(B122,'BASE DE EXCEL'!$C:$C,'BASE DE EXCEL'!AV:AV,"NO HAY REFERENCIA")</f>
        <v>Importación</v>
      </c>
      <c r="EC122" s="3" t="str">
        <f>_xlfn.XLOOKUP(B122,'BASE DE EXCEL'!$C:$C,'BASE DE EXCEL'!AW:AW,"NO HAY REFERENCIA")</f>
        <v>HALOCUR (MEDICAMENTO DOSIFICADO DE USO VETERINARIO)</v>
      </c>
      <c r="ED122" s="3" t="str">
        <f>_xlfn.XLOOKUP(B122,'BASE DE EXCEL'!$C:$C,'BASE DE EXCEL'!AX:AX,"NO HAY REFERENCIA")</f>
        <v>SIN CLASIFICACION</v>
      </c>
      <c r="EE122" s="3">
        <f>_xlfn.XLOOKUP(B122,'BASE DE EXCEL'!$C:$C,'BASE DE EXCEL'!AY:AY,"NO HAY REFERENCIA")</f>
        <v>0</v>
      </c>
      <c r="EF122" s="3" t="str">
        <f>_xlfn.XLOOKUP(B122,'BASE DE EXCEL'!$C:$C,'BASE DE EXCEL'!AZ:AZ,"NO HAY REFERENCIA")</f>
        <v>Cargas de Importación</v>
      </c>
      <c r="EG122" s="3" t="str">
        <f>_xlfn.XLOOKUP(B122,'BASE DE EXCEL'!$C:$C,'BASE DE EXCEL'!BA:BA,"NO HAY REFERENCIA")</f>
        <v>INTERVET MEXICO SA DE CV</v>
      </c>
      <c r="EH122" s="3">
        <f>_xlfn.XLOOKUP(B122,'BASE DE EXCEL'!$C:$C,'BASE DE EXCEL'!BB:BB,"NO HAY REFERENCIA")</f>
        <v>0</v>
      </c>
      <c r="EI122" s="3">
        <f>_xlfn.XLOOKUP(B122,'BASE DE EXCEL'!$C:$C,'BASE DE EXCEL'!BC:BC,"NO HAY REFERENCIA")</f>
        <v>0</v>
      </c>
      <c r="EJ122" s="3">
        <f>_xlfn.XLOOKUP(B122,'BASE DE EXCEL'!$C:$C,'BASE DE EXCEL'!BD:BD,"NO HAY REFERENCIA")</f>
        <v>0</v>
      </c>
      <c r="EK122" s="3">
        <f>_xlfn.XLOOKUP(B122,'BASE DE EXCEL'!$C:$C,'BASE DE EXCEL'!BE:BE,"NO HAY REFERENCIA")</f>
        <v>0</v>
      </c>
      <c r="EL122" s="3" t="str">
        <f>_xlfn.XLOOKUP(B122,'BASE DE EXCEL'!$C:$C,'BASE DE EXCEL'!BF:BF,"NO HAY REFERENCIA")</f>
        <v>PRODUCTO TERMINADO</v>
      </c>
      <c r="EM122" s="3" t="str">
        <f>_xlfn.XLOOKUP(B122,'BASE DE EXCEL'!$C:$C,'BASE DE EXCEL'!BG:BG,"NO HAY REFERENCIA")</f>
        <v>Verde</v>
      </c>
      <c r="EN122" s="3" t="str">
        <f>_xlfn.XLOOKUP(B122,'BASE DE EXCEL'!$C:$C,'BASE DE EXCEL'!BH:BH,"NO HAY REFERENCIA")</f>
        <v xml:space="preserve"> SUPER EXPRESS DE CARGA FEDERAL S.A. DE C.V.</v>
      </c>
      <c r="EO122" s="3">
        <f>_xlfn.XLOOKUP(B122,'BASE DE EXCEL'!$C:$C,'BASE DE EXCEL'!BI:BI,"NO HAY REFERENCIA")</f>
        <v>0</v>
      </c>
      <c r="EP122" s="3" t="str">
        <f>_xlfn.XLOOKUP(B122,'BASE DE EXCEL'!$C:$C,'BASE DE EXCEL'!BJ:BJ,"NO HAY REFERENCIA")</f>
        <v>IME-T004</v>
      </c>
      <c r="EQ122" s="3" t="str">
        <f>_xlfn.XLOOKUP(B122,'BASE DE EXCEL'!$C:$C,'BASE DE EXCEL'!BK:BK,"NO HAY REFERENCIA")</f>
        <v>IME850329RH2</v>
      </c>
      <c r="ER122" s="3">
        <f>_xlfn.XLOOKUP(B122,'BASE DE EXCEL'!$C:$C,'BASE DE EXCEL'!BL:BL,"NO HAY REFERENCIA")</f>
        <v>0</v>
      </c>
      <c r="ES122" s="3" t="str">
        <f>_xlfn.XLOOKUP(B122,'BASE DE EXCEL'!$C:$C,'BASE DE EXCEL'!BM:BM,"NO HAY REFERENCIA")</f>
        <v>00,99</v>
      </c>
      <c r="ET122" s="3" t="str">
        <f>_xlfn.XLOOKUP(B122,'BASE DE EXCEL'!$C:$C,'BASE DE EXCEL'!BN:BN,"NO HAY REFERENCIA")</f>
        <v>LOTE: F292A02,LOTE: 5774102,LOTE: H114B01,LOTE: A221A01,LOTE: J786A01,LOTE: S491601,LOTE: H101A01</v>
      </c>
      <c r="EU122" s="3">
        <f>_xlfn.XLOOKUP(B122,'BASE DE EXCEL'!$C:$C,'BASE DE EXCEL'!BO:BO,"NO HAY REFERENCIA")</f>
        <v>90</v>
      </c>
      <c r="EV122" s="3" t="str">
        <f>_xlfn.XLOOKUP(B122,'BASE DE EXCEL'!$C:$C,'BASE DE EXCEL'!BP:BP,"NO HAY REFERENCIA")</f>
        <v xml:space="preserve"> 2162410.07, 1803708.00, 1926255.36, 1072522.92</v>
      </c>
      <c r="EW122" s="3" t="str">
        <f>_xlfn.XLOOKUP(B122,'BASE DE EXCEL'!$C:$C,'BASE DE EXCEL'!BQ:BQ,"NO HAY REFERENCIA")</f>
        <v>KILO,KILO,KILO,KILO,KILO,KILO,KILO</v>
      </c>
      <c r="EX122" s="3">
        <f>_xlfn.XLOOKUP(B122,'BASE DE EXCEL'!$C:$C,'BASE DE EXCEL'!BR:BR,"NO HAY REFERENCIA")</f>
        <v>0</v>
      </c>
      <c r="EY122" s="3" t="str">
        <f>_xlfn.XLOOKUP(B122,'BASE DE EXCEL'!$C:$C,'BASE DE EXCEL'!BS:BS,"NO HAY REFERENCIA")</f>
        <v>ALEMANIA (REPUBLICA FEDERAL DE),FRANCIA (REPUBLICA FRANCESA),PAISES BAJOS (REINO DE LOS) (HOLANDA)</v>
      </c>
      <c r="EZ122" s="3" t="str">
        <f>_xlfn.XLOOKUP(B122,'BASE DE EXCEL'!$C:$C,'BASE DE EXCEL'!BT:BT,"NO HAY REFERENCIA")</f>
        <v>PAISES BAJOS (REINO DE LOS) (HOLANDA)</v>
      </c>
      <c r="FA122" s="3" t="str">
        <f>_xlfn.XLOOKUP(B122,'BASE DE EXCEL'!$C:$C,'BASE DE EXCEL'!BU:BU,"NO HAY REFERENCIA")</f>
        <v>DEU,FRA,ZYA</v>
      </c>
      <c r="FB122" s="3" t="str">
        <f>_xlfn.XLOOKUP(B122,'BASE DE EXCEL'!$C:$C,'BASE DE EXCEL'!BV:BV,"NO HAY REFERENCIA")</f>
        <v>ZYA</v>
      </c>
      <c r="FC122" s="3">
        <f>_xlfn.XLOOKUP(B122,QUERY!$C:$C,QUERY!D:D)</f>
        <v>430</v>
      </c>
      <c r="FD122" s="4">
        <f>_xlfn.XLOOKUP(B122,QUERY!$C:$C,QUERY!E:E)</f>
        <v>46118</v>
      </c>
      <c r="FE122" s="3">
        <f>_xlfn.XLOOKUP(B122,QUERY!$C:$C,QUERY!F:F)</f>
        <v>4</v>
      </c>
      <c r="FF122" s="4">
        <f>_xlfn.XLOOKUP(B122,QUERY!$C:$C,QUERY!G:G)</f>
        <v>46111</v>
      </c>
      <c r="FG122" s="4">
        <f>_xlfn.XLOOKUP(B122,QUERY!$C:$C,QUERY!H:H)</f>
        <v>46118</v>
      </c>
      <c r="FH122" s="3">
        <f>_xlfn.XLOOKUP(B122,QUERY!$C:$C,QUERY!I:I)</f>
        <v>5</v>
      </c>
      <c r="FI122" s="3" t="str">
        <f>_xlfn.XLOOKUP(B122,QUERY!$C:$C,QUERY!J:J)</f>
        <v>4 a 5 días</v>
      </c>
      <c r="FJ122" s="4">
        <f>_xlfn.XLOOKUP(B122,QUERY!$C:$C,QUERY!K:K)</f>
        <v>46118</v>
      </c>
      <c r="FK122" s="3">
        <f>_xlfn.XLOOKUP(B122,QUERY!$C:$C,QUERY!L:L)</f>
        <v>5</v>
      </c>
      <c r="FL122" s="3" t="str">
        <f>_xlfn.XLOOKUP(B122,QUERY!$C:$C,QUERY!M:M)</f>
        <v>4 a 5 días</v>
      </c>
      <c r="FM122" s="3">
        <f>_xlfn.XLOOKUP(B122,QUERY!$C:$C,QUERY!N:N)</f>
        <v>0</v>
      </c>
      <c r="FN122" s="3" t="str">
        <f>_xlfn.XLOOKUP(B122,QUERY!$C:$C,QUERY!O:O)</f>
        <v>1 día o menos</v>
      </c>
      <c r="FO122" s="3">
        <f>_xlfn.XLOOKUP(B122,QUERY!$C:$C,QUERY!P:P)</f>
        <v>0</v>
      </c>
      <c r="FP122" s="3">
        <f>_xlfn.XLOOKUP(B122,QUERY!$C:$C,QUERY!Q:Q)</f>
        <v>1</v>
      </c>
      <c r="FQ122" s="3" t="str">
        <f>_xlfn.XLOOKUP(B122,QUERY!$C:$C,QUERY!R:R)</f>
        <v>1 día o menos</v>
      </c>
      <c r="FR122" s="4">
        <f>_xlfn.XLOOKUP(B122,QUERY!$C:$C,QUERY!S:S)</f>
        <v>46119</v>
      </c>
      <c r="FS122" s="3">
        <f>_xlfn.XLOOKUP(B122,QUERY!$C:$C,QUERY!T:T)</f>
        <v>6</v>
      </c>
      <c r="FT122" s="3" t="str">
        <f>_xlfn.XLOOKUP(B122,QUERY!$C:$C,QUERY!U:U)</f>
        <v>6 a 10 días</v>
      </c>
      <c r="FU122" s="3">
        <f>_xlfn.XLOOKUP(B122,QUERY!$C:$C,QUERY!V:V)</f>
        <v>18</v>
      </c>
      <c r="FV122" s="3" t="str">
        <f>_xlfn.XLOOKUP(B122,QUERY!$C:$C,QUERY!W:W)</f>
        <v>más de 16 días</v>
      </c>
      <c r="FW122" s="4">
        <f>_xlfn.XLOOKUP(B122,QUERY!$C:$C,QUERY!X:X)</f>
        <v>46135</v>
      </c>
      <c r="FX122" s="3">
        <f>_xlfn.XLOOKUP(B122,QUERY!$C:$C,QUERY!Y:Y)</f>
        <v>12</v>
      </c>
      <c r="FY122" s="3">
        <f>_xlfn.XLOOKUP(B122,QUERY!$C:$C,QUERY!Z:Z)</f>
        <v>12</v>
      </c>
      <c r="FZ122" s="4" t="str">
        <f>_xlfn.XLOOKUP(B122,QUERY!$C:$C,QUERY!AA:AA)</f>
        <v>más de 16 días</v>
      </c>
      <c r="GA122" s="4">
        <f>_xlfn.XLOOKUP(B122,QUERY!$C:$C,QUERY!AB:AB)</f>
        <v>46135</v>
      </c>
      <c r="GB122" s="4">
        <f>_xlfn.XLOOKUP(B122,QUERY!$C:$C,QUERY!AC:AC)</f>
        <v>46135</v>
      </c>
      <c r="GC122" s="3">
        <f>_xlfn.XLOOKUP(B122,QUERY!$C:$C,QUERY!AD:AD)</f>
        <v>0</v>
      </c>
      <c r="GD122" s="4">
        <f>_xlfn.XLOOKUP(B122,QUERY!$C:$C,QUERY!AE:AE)</f>
        <v>46135</v>
      </c>
      <c r="GE122" s="3">
        <f>_xlfn.XLOOKUP(B122,QUERY!$C:$C,QUERY!AF:AF)</f>
        <v>1</v>
      </c>
      <c r="GF122" s="4" t="str">
        <f>_xlfn.XLOOKUP(B122,QUERY!$C:$C,QUERY!AG:AG)</f>
        <v>Es anterior</v>
      </c>
      <c r="GG122" s="3" t="str">
        <f>_xlfn.XLOOKUP(B122,QUERY!$C:$C,QUERY!AH:AH)</f>
        <v>A1</v>
      </c>
      <c r="GH122" s="3" t="str">
        <f>_xlfn.XLOOKUP(B122,QUERY!$C:$C,QUERY!AI:AI)</f>
        <v>ZULEIMA PEREZ RUIZ</v>
      </c>
      <c r="GI122" s="3" t="str">
        <f>_xlfn.XLOOKUP(B122,QUERY!$C:$C,QUERY!AJ:AJ)</f>
        <v>HLCUANR260249908</v>
      </c>
      <c r="GJ122" s="3" t="str">
        <f>_xlfn.XLOOKUP(B122,QUERY!$C:$C,QUERY!AK:AK)</f>
        <v>NULL</v>
      </c>
      <c r="GK122" s="3">
        <f>_xlfn.XLOOKUP(B122,QUERY!$C:$C,QUERY!AL:AL)</f>
        <v>6000401</v>
      </c>
      <c r="GL122" s="3" t="str">
        <f>_xlfn.XLOOKUP(B122,QUERY!$C:$C,QUERY!AM:AM)</f>
        <v>Importación</v>
      </c>
      <c r="GM122" s="3" t="str">
        <f>_xlfn.XLOOKUP(B122,QUERY!$C:$C,QUERY!AN:AN)</f>
        <v>HALOCUR (MEDICAMENTO DOSIFICADO DE USO VETERINARIO)</v>
      </c>
      <c r="GN122" s="3" t="str">
        <f>_xlfn.XLOOKUP(B122,QUERY!$C:$C,QUERY!AO:AO)</f>
        <v>SIN CLASIFICACION</v>
      </c>
      <c r="GO122" s="3">
        <f>_xlfn.XLOOKUP(B122,QUERY!$C:$C,QUERY!AP:AP)</f>
        <v>0</v>
      </c>
      <c r="GP122" s="3" t="str">
        <f>_xlfn.XLOOKUP(B122,QUERY!$C:$C,QUERY!AQ:AQ)</f>
        <v>Cargas de Importación</v>
      </c>
      <c r="GQ122" s="3" t="str">
        <f>_xlfn.XLOOKUP(B122,QUERY!$C:$C,QUERY!AR:AR)</f>
        <v>INTERVET MEXICO SA DE CV</v>
      </c>
      <c r="GR122" s="3">
        <f>_xlfn.XLOOKUP(B122,QUERY!$C:$C,QUERY!AS:AS)</f>
        <v>0</v>
      </c>
      <c r="GS122" s="3">
        <f>_xlfn.XLOOKUP(B122,QUERY!$C:$C,QUERY!AT:AT)</f>
        <v>0</v>
      </c>
      <c r="GT122" s="3">
        <f>_xlfn.XLOOKUP(B122,QUERY!$C:$C,QUERY!AU:AU)</f>
        <v>0</v>
      </c>
      <c r="GU122" s="3">
        <f>_xlfn.XLOOKUP(B122,QUERY!$C:$C,QUERY!AV:AV)</f>
        <v>0</v>
      </c>
      <c r="GV122" s="3" t="str">
        <f>_xlfn.XLOOKUP(B122,QUERY!$C:$C,QUERY!AW:AW)</f>
        <v>PRODUCTO TERMINADO</v>
      </c>
      <c r="GW122" s="3" t="str">
        <f>_xlfn.XLOOKUP(B122,QUERY!$C:$C,QUERY!AX:AX)</f>
        <v>Verde</v>
      </c>
      <c r="GX122" s="3" t="str">
        <f>_xlfn.XLOOKUP(B122,QUERY!$C:$C,QUERY!AY:AY)</f>
        <v xml:space="preserve"> SUPER EXPRESS DE CARGA FEDERAL S.A. DE C.V.</v>
      </c>
      <c r="GY122" s="3">
        <f>_xlfn.XLOOKUP(B122,QUERY!$C:$C,QUERY!AZ:AZ)</f>
        <v>0</v>
      </c>
      <c r="GZ122" s="3" t="str">
        <f>_xlfn.XLOOKUP(B122,QUERY!$C:$C,QUERY!BA:BA)</f>
        <v>IME-T004</v>
      </c>
      <c r="HA122" s="3" t="str">
        <f>_xlfn.XLOOKUP(B122,QUERY!$C:$C,QUERY!BB:BB)</f>
        <v>IME850329RH2</v>
      </c>
      <c r="HB122" s="3">
        <f>_xlfn.XLOOKUP(B122,QUERY!$C:$C,QUERY!BC:BC)</f>
        <v>0</v>
      </c>
      <c r="HC122" s="3">
        <f>_xlfn.XLOOKUP(B122,QUERY!$C:$C,QUERY!BD:BD)</f>
        <v>0.99</v>
      </c>
      <c r="HD122" s="3" t="str">
        <f>_xlfn.XLOOKUP(B122,QUERY!$C:$C,QUERY!BE:BE)</f>
        <v>LOTE: F292A02,LOTE: 5774102,LOTE: H114B01,LOTE: A221A01,LOTE: J786A01,LOTE: S491601,LOTE: H101A01</v>
      </c>
      <c r="HE122" s="3">
        <f>_xlfn.XLOOKUP(B122,QUERY!$C:$C,QUERY!BF:BF)</f>
        <v>90</v>
      </c>
      <c r="HF122" s="3" t="str">
        <f>_xlfn.XLOOKUP(B122,QUERY!$C:$C,QUERY!BG:BG)</f>
        <v xml:space="preserve"> 2162410.07, 1803708.00, 1926255.36, 1072522.92</v>
      </c>
      <c r="HG122" s="3" t="str">
        <f>_xlfn.XLOOKUP(B122,QUERY!$C:$C,QUERY!BH:BH)</f>
        <v>KILO,KILO,KILO,KILO,KILO,KILO,KILO</v>
      </c>
      <c r="HH122" s="3">
        <f>_xlfn.XLOOKUP(B122,QUERY!$C:$C,QUERY!BI:BI)</f>
        <v>0</v>
      </c>
      <c r="HI122" s="3" t="str">
        <f>_xlfn.XLOOKUP(B122,QUERY!$C:$C,QUERY!BJ:BJ)</f>
        <v>ALEMANIA (REPUBLICA FEDERAL DE),FRANCIA (REPUBLICA FRANCESA),PAISES BAJOS (REINO DE LOS) (HOLANDA)</v>
      </c>
      <c r="HJ122" s="3" t="str">
        <f>_xlfn.XLOOKUP(B122,QUERY!$C:$C,QUERY!BK:BK)</f>
        <v>PAISES BAJOS (REINO DE LOS) (HOLANDA)</v>
      </c>
      <c r="HK122" s="3" t="str">
        <f>_xlfn.XLOOKUP(B122,QUERY!$C:$C,QUERY!BL:BL)</f>
        <v>DEU,FRA,ZYA</v>
      </c>
      <c r="HL122" s="3" t="str">
        <f>_xlfn.XLOOKUP(B122,QUERY!$C:$C,QUERY!BM:BM)</f>
        <v>ZYA</v>
      </c>
      <c r="HM122" s="3">
        <f>_xlfn.XLOOKUP(B122,QUERY!$C:$C,QUERY!BN:BN)</f>
        <v>6964896</v>
      </c>
      <c r="HN122" s="3" t="str">
        <f>_xlfn.XLOOKUP(B122,QUERY!$C:$C,QUERY!BO:BO)</f>
        <v>462.00</v>
      </c>
      <c r="HO122" s="3" t="str">
        <f>_xlfn.XLOOKUP(B122,QUERY!$C:$C,QUERY!BP:BP)</f>
        <v>NULL</v>
      </c>
      <c r="HP122" s="3" t="str">
        <f>_xlfn.XLOOKUP(B122,QUERY!$C:$C,QUERY!BQ:BQ)</f>
        <v>NULL</v>
      </c>
      <c r="HQ122" s="3" t="str">
        <f>_xlfn.XLOOKUP(B122,QUERY!$C:$C,QUERY!BR:BR)</f>
        <v>168023.32</v>
      </c>
      <c r="HR122" s="3">
        <f>_xlfn.XLOOKUP(B122,QUERY!$C:$C,QUERY!BS:BS)</f>
        <v>0</v>
      </c>
      <c r="HS122" s="3">
        <f>_xlfn.XLOOKUP(B122,QUERY!$C:$C,QUERY!BT:BT)</f>
        <v>0</v>
      </c>
      <c r="HT122" s="3" t="str">
        <f>_xlfn.XLOOKUP(B122,QUERY!$C:$C,QUERY!A:A)</f>
        <v>VERACRUZ</v>
      </c>
      <c r="HU122" s="3" t="str">
        <f>_xlfn.XLOOKUP(B122,QUERY!$C:$C,QUERY!B:B)</f>
        <v>MARÍTIMO VERACRUZ</v>
      </c>
    </row>
    <row r="123" spans="1:229" x14ac:dyDescent="0.25">
      <c r="A123" s="3" t="s">
        <v>90</v>
      </c>
      <c r="B123" s="3" t="s">
        <v>374</v>
      </c>
      <c r="C123" s="3">
        <v>3942</v>
      </c>
      <c r="D123" s="3">
        <v>6000401</v>
      </c>
      <c r="E123" s="3"/>
      <c r="F123" s="3" t="s">
        <v>92</v>
      </c>
      <c r="G123" s="3" t="s">
        <v>93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430</v>
      </c>
      <c r="S123" s="3" t="s">
        <v>375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 t="s">
        <v>115</v>
      </c>
      <c r="AB123" s="3"/>
      <c r="AC123" s="3">
        <v>428709</v>
      </c>
      <c r="AD123" s="3">
        <v>2936.36301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/>
      <c r="AP123" s="3" t="s">
        <v>98</v>
      </c>
      <c r="AQ123" s="3">
        <v>210367625</v>
      </c>
      <c r="AR123" s="3" t="s">
        <v>99</v>
      </c>
      <c r="AS123" s="3" t="s">
        <v>100</v>
      </c>
      <c r="AT123" s="3">
        <v>0</v>
      </c>
      <c r="AU123" s="3">
        <v>0</v>
      </c>
      <c r="AV123" s="3">
        <v>0</v>
      </c>
      <c r="AW123" s="3">
        <v>30042099</v>
      </c>
      <c r="AX123" s="3">
        <v>0</v>
      </c>
      <c r="AY123" s="3">
        <v>146</v>
      </c>
      <c r="AZ123" s="3">
        <v>146</v>
      </c>
      <c r="BA123" s="3" t="s">
        <v>121</v>
      </c>
      <c r="BB123" s="3"/>
      <c r="BC123" s="3" t="s">
        <v>105</v>
      </c>
      <c r="BD123" s="3" t="s">
        <v>105</v>
      </c>
      <c r="BE123" s="3"/>
      <c r="BF123" s="3"/>
      <c r="BG123" s="5"/>
      <c r="BH123" s="3"/>
      <c r="BI123" s="3"/>
      <c r="BJ123" s="3"/>
      <c r="BK123" s="3" t="s">
        <v>380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 t="s">
        <v>192</v>
      </c>
      <c r="CF123" s="3">
        <v>0</v>
      </c>
      <c r="CG123" s="3">
        <v>0</v>
      </c>
      <c r="CH123" s="3">
        <v>0</v>
      </c>
      <c r="CI123" s="3" t="s">
        <v>112</v>
      </c>
      <c r="CJ123" s="3" t="s">
        <v>112</v>
      </c>
      <c r="CK123" s="3">
        <f>_xlfn.XLOOKUP($B$2,'BASE DE EXCEL'!C:C,'BASE DE EXCEL'!D:D,"NO HAY REFERENCIA")</f>
        <v>470</v>
      </c>
      <c r="CL123" s="5">
        <f>_xlfn.XLOOKUP($B$2,'BASE DE EXCEL'!$C:$C,'BASE DE EXCEL'!F:F,"NO HAY REFERENCIA")</f>
        <v>3</v>
      </c>
      <c r="CM123" s="4">
        <f>_xlfn.XLOOKUP($B$2,'BASE DE EXCEL'!$C:$C,'BASE DE EXCEL'!G:G,"NO HAY REFERENCIA")</f>
        <v>46080</v>
      </c>
      <c r="CN123" s="4">
        <f>_xlfn.XLOOKUP($B$2,'BASE DE EXCEL'!$C:$C,'BASE DE EXCEL'!H:H,"NO HAY REFERENCIA")</f>
        <v>46086</v>
      </c>
      <c r="CO123" s="3">
        <f>_xlfn.XLOOKUP($B$2,'BASE DE EXCEL'!$C:$C,'BASE DE EXCEL'!I:I,"NO HAY REFERENCIA")</f>
        <v>4</v>
      </c>
      <c r="CP123" s="3" t="str">
        <f>_xlfn.XLOOKUP($B$2,'BASE DE EXCEL'!$C:$C,'BASE DE EXCEL'!J:J,"NO HAY REFERENCIA")</f>
        <v>4 a 5 días</v>
      </c>
      <c r="CQ123" s="4">
        <f>_xlfn.XLOOKUP($B$2,'BASE DE EXCEL'!$C:$C,'BASE DE EXCEL'!K:K,"NO HAY REFERENCIA")</f>
        <v>46087</v>
      </c>
      <c r="CR123" s="3">
        <f>_xlfn.XLOOKUP($B$2,'BASE DE EXCEL'!$C:$C,'BASE DE EXCEL'!L:L,"NO HAY REFERENCIA")</f>
        <v>5</v>
      </c>
      <c r="CS123" s="3">
        <f>_xlfn.XLOOKUP($B$2,'BASE DE EXCEL'!$C:$C,'BASE DE EXCEL'!M:M,"NO HAY REFERENCIA")</f>
        <v>6</v>
      </c>
      <c r="CT123" s="3" t="str">
        <f>_xlfn.XLOOKUP($B$2,'BASE DE EXCEL'!$C:$C,'BASE DE EXCEL'!N:N,"NO HAY REFERENCIA")</f>
        <v>6 a 10 días</v>
      </c>
      <c r="CU123" s="3" t="str">
        <f>_xlfn.XLOOKUP($B$2,'BASE DE EXCEL'!$C:$C,'BASE DE EXCEL'!O:O,"NO HAY REFERENCIA")</f>
        <v>On Time</v>
      </c>
      <c r="CV123" s="3" t="str">
        <f>_xlfn.XLOOKUP(B123,'BASE DE EXCEL'!$C:$C,'BASE DE EXCEL'!P:P,"NO HAY REFERENCIA")</f>
        <v>6 a 10 días</v>
      </c>
      <c r="CW123" s="4">
        <f>_xlfn.XLOOKUP(B123,'BASE DE EXCEL'!$C:$C,'BASE DE EXCEL'!Q:Q,"NO HAY REFERENCIA")</f>
        <v>46119</v>
      </c>
      <c r="CX123" s="3">
        <f>_xlfn.XLOOKUP(B123,'BASE DE EXCEL'!$C:$C,'BASE DE EXCEL'!R:R,"NO HAY REFERENCIA")</f>
        <v>5</v>
      </c>
      <c r="CY123" s="3" t="str">
        <f>_xlfn.XLOOKUP(B123,'BASE DE EXCEL'!$C:$C,'BASE DE EXCEL'!S:S,"NO HAY REFERENCIA")</f>
        <v>4 a 5 días</v>
      </c>
      <c r="CZ123" s="3" t="str">
        <f>_xlfn.XLOOKUP(B123,'BASE DE EXCEL'!$C:$C,'BASE DE EXCEL'!T:T,"NO HAY REFERENCIA")</f>
        <v>On Time</v>
      </c>
      <c r="DA123" s="3">
        <f>_xlfn.XLOOKUP(B123,'BASE DE EXCEL'!$C:$C,'BASE DE EXCEL'!U:U,"NO HAY REFERENCIA")</f>
        <v>8</v>
      </c>
      <c r="DB123" s="3" t="str">
        <f>_xlfn.XLOOKUP(B123,'BASE DE EXCEL'!$C:$C,'BASE DE EXCEL'!V:V,"NO HAY REFERENCIA")</f>
        <v>6 a 10 días</v>
      </c>
      <c r="DC123" s="3">
        <f>_xlfn.XLOOKUP(B123,'BASE DE EXCEL'!$C:$C,'BASE DE EXCEL'!W:W,"NO HAY REFERENCIA")</f>
        <v>18</v>
      </c>
      <c r="DD123" s="3" t="str">
        <f>_xlfn.XLOOKUP(B123,'BASE DE EXCEL'!$C:$C,'BASE DE EXCEL'!X:X,"NO HAY REFERENCIA")</f>
        <v>más de 16 días</v>
      </c>
      <c r="DE123" s="3">
        <f>_xlfn.XLOOKUP(B123,'BASE DE EXCEL'!$C:$C,'BASE DE EXCEL'!Y:Y,"NO HAY REFERENCIA")</f>
        <v>0</v>
      </c>
      <c r="DF123" s="3" t="str">
        <f>_xlfn.XLOOKUP(B123,'BASE DE EXCEL'!$C:$C,'BASE DE EXCEL'!Z:Z,"NO HAY REFERENCIA")</f>
        <v>1 día o menos</v>
      </c>
      <c r="DG123" s="3">
        <f>_xlfn.XLOOKUP(B123,'BASE DE EXCEL'!$C:$C,'BASE DE EXCEL'!AA:AA,"NO HAY REFERENCIA")</f>
        <v>7</v>
      </c>
      <c r="DH123" s="3">
        <f>_xlfn.XLOOKUP(B123,'BASE DE EXCEL'!$C:$C,'BASE DE EXCEL'!AB:AB,"NO HAY REFERENCIA")</f>
        <v>1</v>
      </c>
      <c r="DI123" s="3" t="str">
        <f>_xlfn.XLOOKUP(B123,'BASE DE EXCEL'!$C:$C,'BASE DE EXCEL'!AC:AC,"NO HAY REFERENCIA")</f>
        <v>1 día o menos</v>
      </c>
      <c r="DJ123" s="4">
        <f>_xlfn.XLOOKUP(B123,'BASE DE EXCEL'!$C:$C,'BASE DE EXCEL'!AD:AD,"NO HAY REFERENCIA")</f>
        <v>46135</v>
      </c>
      <c r="DK123" s="3">
        <f>_xlfn.XLOOKUP(B123,'BASE DE EXCEL'!$C:$C,'BASE DE EXCEL'!AE:AE,"NO HAY REFERENCIA")</f>
        <v>16</v>
      </c>
      <c r="DL123" s="3">
        <f>_xlfn.XLOOKUP(B123,'BASE DE EXCEL'!$C:$C,'BASE DE EXCEL'!AF:AF,"NO HAY REFERENCIA")</f>
        <v>12</v>
      </c>
      <c r="DM123" s="4">
        <f>_xlfn.XLOOKUP(B123,'BASE DE EXCEL'!$C:$C,'BASE DE EXCEL'!AG:AG,"NO HAY REFERENCIA")</f>
        <v>46135</v>
      </c>
      <c r="DN123" s="4">
        <f>_xlfn.XLOOKUP(B123,'BASE DE EXCEL'!$C:$C,'BASE DE EXCEL'!AH:AH,"NO HAY REFERENCIA")</f>
        <v>46135</v>
      </c>
      <c r="DO123" s="3">
        <f>_xlfn.XLOOKUP(B123,'BASE DE EXCEL'!$C:$C,'BASE DE EXCEL'!AI:AI,"NO HAY REFERENCIA")</f>
        <v>0</v>
      </c>
      <c r="DP123" s="4" t="str">
        <f>_xlfn.XLOOKUP(B123,'BASE DE EXCEL'!$C:$C,'BASE DE EXCEL'!AJ:AJ,"NO HAY REFERENCIA")</f>
        <v>más de 16 días</v>
      </c>
      <c r="DQ123" s="4">
        <f>_xlfn.XLOOKUP(B123,'BASE DE EXCEL'!$C:$C,'BASE DE EXCEL'!AK:AK,"NO HAY REFERENCIA")</f>
        <v>46135</v>
      </c>
      <c r="DR123" s="3">
        <f>_xlfn.XLOOKUP(B123,'BASE DE EXCEL'!$C:$C,'BASE DE EXCEL'!AL:AL,"NO HAY REFERENCIA")</f>
        <v>13</v>
      </c>
      <c r="DS123" s="3" t="str">
        <f>_xlfn.XLOOKUP(B123,'BASE DE EXCEL'!$C:$C,'BASE DE EXCEL'!AM:AM,"NO HAY REFERENCIA")</f>
        <v>11 a 15 días</v>
      </c>
      <c r="DT123" s="3" t="str">
        <f>_xlfn.XLOOKUP(B123,'BASE DE EXCEL'!$C:$C,'BASE DE EXCEL'!AN:AN,"NO HAY REFERENCIA")</f>
        <v>Delayed</v>
      </c>
      <c r="DU123" s="3">
        <f>_xlfn.XLOOKUP(B123,'BASE DE EXCEL'!$C:$C,'BASE DE EXCEL'!AO:AO,"NO HAY REFERENCIA")</f>
        <v>1</v>
      </c>
      <c r="DV123" s="3" t="str">
        <f>_xlfn.XLOOKUP(B123,'BASE DE EXCEL'!$C:$C,'BASE DE EXCEL'!AP:AP,"NO HAY REFERENCIA")</f>
        <v>Es anterior</v>
      </c>
      <c r="DW123" s="3" t="str">
        <f>_xlfn.XLOOKUP(B123,'BASE DE EXCEL'!$C:$C,'BASE DE EXCEL'!AQ:AQ,"NO HAY REFERENCIA")</f>
        <v>A1</v>
      </c>
      <c r="DX123" s="3" t="str">
        <f>_xlfn.XLOOKUP(B123,'BASE DE EXCEL'!$C:$C,'BASE DE EXCEL'!AR:AR,"NO HAY REFERENCIA")</f>
        <v>ZULEIMA PEREZ RUIZ</v>
      </c>
      <c r="DY123" s="3" t="str">
        <f>_xlfn.XLOOKUP(B123,'BASE DE EXCEL'!$C:$C,'BASE DE EXCEL'!AS:AS,"NO HAY REFERENCIA")</f>
        <v>HLCUANR260249908</v>
      </c>
      <c r="DZ123" s="3" t="str">
        <f>_xlfn.XLOOKUP(B123,'BASE DE EXCEL'!$C:$C,'BASE DE EXCEL'!AT:AT,"NO HAY REFERENCIA")</f>
        <v>NULL</v>
      </c>
      <c r="EA123" s="3">
        <f>_xlfn.XLOOKUP(B123,'BASE DE EXCEL'!$C:$C,'BASE DE EXCEL'!AU:AU,"NO HAY REFERENCIA")</f>
        <v>6000401</v>
      </c>
      <c r="EB123" s="3" t="str">
        <f>_xlfn.XLOOKUP(B123,'BASE DE EXCEL'!$C:$C,'BASE DE EXCEL'!AV:AV,"NO HAY REFERENCIA")</f>
        <v>Importación</v>
      </c>
      <c r="EC123" s="3" t="str">
        <f>_xlfn.XLOOKUP(B123,'BASE DE EXCEL'!$C:$C,'BASE DE EXCEL'!AW:AW,"NO HAY REFERENCIA")</f>
        <v>HALOCUR (MEDICAMENTO DOSIFICADO DE USO VETERINARIO)</v>
      </c>
      <c r="ED123" s="3" t="str">
        <f>_xlfn.XLOOKUP(B123,'BASE DE EXCEL'!$C:$C,'BASE DE EXCEL'!AX:AX,"NO HAY REFERENCIA")</f>
        <v>SIN CLASIFICACION</v>
      </c>
      <c r="EE123" s="3">
        <f>_xlfn.XLOOKUP(B123,'BASE DE EXCEL'!$C:$C,'BASE DE EXCEL'!AY:AY,"NO HAY REFERENCIA")</f>
        <v>0</v>
      </c>
      <c r="EF123" s="3" t="str">
        <f>_xlfn.XLOOKUP(B123,'BASE DE EXCEL'!$C:$C,'BASE DE EXCEL'!AZ:AZ,"NO HAY REFERENCIA")</f>
        <v>Cargas de Importación</v>
      </c>
      <c r="EG123" s="3" t="str">
        <f>_xlfn.XLOOKUP(B123,'BASE DE EXCEL'!$C:$C,'BASE DE EXCEL'!BA:BA,"NO HAY REFERENCIA")</f>
        <v>INTERVET MEXICO SA DE CV</v>
      </c>
      <c r="EH123" s="3">
        <f>_xlfn.XLOOKUP(B123,'BASE DE EXCEL'!$C:$C,'BASE DE EXCEL'!BB:BB,"NO HAY REFERENCIA")</f>
        <v>0</v>
      </c>
      <c r="EI123" s="3">
        <f>_xlfn.XLOOKUP(B123,'BASE DE EXCEL'!$C:$C,'BASE DE EXCEL'!BC:BC,"NO HAY REFERENCIA")</f>
        <v>0</v>
      </c>
      <c r="EJ123" s="3">
        <f>_xlfn.XLOOKUP(B123,'BASE DE EXCEL'!$C:$C,'BASE DE EXCEL'!BD:BD,"NO HAY REFERENCIA")</f>
        <v>0</v>
      </c>
      <c r="EK123" s="3">
        <f>_xlfn.XLOOKUP(B123,'BASE DE EXCEL'!$C:$C,'BASE DE EXCEL'!BE:BE,"NO HAY REFERENCIA")</f>
        <v>0</v>
      </c>
      <c r="EL123" s="3" t="str">
        <f>_xlfn.XLOOKUP(B123,'BASE DE EXCEL'!$C:$C,'BASE DE EXCEL'!BF:BF,"NO HAY REFERENCIA")</f>
        <v>PRODUCTO TERMINADO</v>
      </c>
      <c r="EM123" s="3" t="str">
        <f>_xlfn.XLOOKUP(B123,'BASE DE EXCEL'!$C:$C,'BASE DE EXCEL'!BG:BG,"NO HAY REFERENCIA")</f>
        <v>Verde</v>
      </c>
      <c r="EN123" s="3" t="str">
        <f>_xlfn.XLOOKUP(B123,'BASE DE EXCEL'!$C:$C,'BASE DE EXCEL'!BH:BH,"NO HAY REFERENCIA")</f>
        <v xml:space="preserve"> SUPER EXPRESS DE CARGA FEDERAL S.A. DE C.V.</v>
      </c>
      <c r="EO123" s="3">
        <f>_xlfn.XLOOKUP(B123,'BASE DE EXCEL'!$C:$C,'BASE DE EXCEL'!BI:BI,"NO HAY REFERENCIA")</f>
        <v>0</v>
      </c>
      <c r="EP123" s="3" t="str">
        <f>_xlfn.XLOOKUP(B123,'BASE DE EXCEL'!$C:$C,'BASE DE EXCEL'!BJ:BJ,"NO HAY REFERENCIA")</f>
        <v>IME-T004</v>
      </c>
      <c r="EQ123" s="3" t="str">
        <f>_xlfn.XLOOKUP(B123,'BASE DE EXCEL'!$C:$C,'BASE DE EXCEL'!BK:BK,"NO HAY REFERENCIA")</f>
        <v>IME850329RH2</v>
      </c>
      <c r="ER123" s="3">
        <f>_xlfn.XLOOKUP(B123,'BASE DE EXCEL'!$C:$C,'BASE DE EXCEL'!BL:BL,"NO HAY REFERENCIA")</f>
        <v>0</v>
      </c>
      <c r="ES123" s="3" t="str">
        <f>_xlfn.XLOOKUP(B123,'BASE DE EXCEL'!$C:$C,'BASE DE EXCEL'!BM:BM,"NO HAY REFERENCIA")</f>
        <v>00,99</v>
      </c>
      <c r="ET123" s="3" t="str">
        <f>_xlfn.XLOOKUP(B123,'BASE DE EXCEL'!$C:$C,'BASE DE EXCEL'!BN:BN,"NO HAY REFERENCIA")</f>
        <v>LOTE: F292A02,LOTE: 5774102,LOTE: H114B01,LOTE: A221A01,LOTE: J786A01,LOTE: S491601,LOTE: H101A01</v>
      </c>
      <c r="EU123" s="3">
        <f>_xlfn.XLOOKUP(B123,'BASE DE EXCEL'!$C:$C,'BASE DE EXCEL'!BO:BO,"NO HAY REFERENCIA")</f>
        <v>90</v>
      </c>
      <c r="EV123" s="3" t="str">
        <f>_xlfn.XLOOKUP(B123,'BASE DE EXCEL'!$C:$C,'BASE DE EXCEL'!BP:BP,"NO HAY REFERENCIA")</f>
        <v xml:space="preserve"> 2162410.07, 1803708.00, 1926255.36, 1072522.92</v>
      </c>
      <c r="EW123" s="3" t="str">
        <f>_xlfn.XLOOKUP(B123,'BASE DE EXCEL'!$C:$C,'BASE DE EXCEL'!BQ:BQ,"NO HAY REFERENCIA")</f>
        <v>KILO,KILO,KILO,KILO,KILO,KILO,KILO</v>
      </c>
      <c r="EX123" s="3">
        <f>_xlfn.XLOOKUP(B123,'BASE DE EXCEL'!$C:$C,'BASE DE EXCEL'!BR:BR,"NO HAY REFERENCIA")</f>
        <v>0</v>
      </c>
      <c r="EY123" s="3" t="str">
        <f>_xlfn.XLOOKUP(B123,'BASE DE EXCEL'!$C:$C,'BASE DE EXCEL'!BS:BS,"NO HAY REFERENCIA")</f>
        <v>ALEMANIA (REPUBLICA FEDERAL DE),FRANCIA (REPUBLICA FRANCESA),PAISES BAJOS (REINO DE LOS) (HOLANDA)</v>
      </c>
      <c r="EZ123" s="3" t="str">
        <f>_xlfn.XLOOKUP(B123,'BASE DE EXCEL'!$C:$C,'BASE DE EXCEL'!BT:BT,"NO HAY REFERENCIA")</f>
        <v>PAISES BAJOS (REINO DE LOS) (HOLANDA)</v>
      </c>
      <c r="FA123" s="3" t="str">
        <f>_xlfn.XLOOKUP(B123,'BASE DE EXCEL'!$C:$C,'BASE DE EXCEL'!BU:BU,"NO HAY REFERENCIA")</f>
        <v>DEU,FRA,ZYA</v>
      </c>
      <c r="FB123" s="3" t="str">
        <f>_xlfn.XLOOKUP(B123,'BASE DE EXCEL'!$C:$C,'BASE DE EXCEL'!BV:BV,"NO HAY REFERENCIA")</f>
        <v>ZYA</v>
      </c>
      <c r="FC123" s="3">
        <f>_xlfn.XLOOKUP(B123,QUERY!$C:$C,QUERY!D:D)</f>
        <v>430</v>
      </c>
      <c r="FD123" s="4">
        <f>_xlfn.XLOOKUP(B123,QUERY!$C:$C,QUERY!E:E)</f>
        <v>46118</v>
      </c>
      <c r="FE123" s="3">
        <f>_xlfn.XLOOKUP(B123,QUERY!$C:$C,QUERY!F:F)</f>
        <v>4</v>
      </c>
      <c r="FF123" s="4">
        <f>_xlfn.XLOOKUP(B123,QUERY!$C:$C,QUERY!G:G)</f>
        <v>46111</v>
      </c>
      <c r="FG123" s="4">
        <f>_xlfn.XLOOKUP(B123,QUERY!$C:$C,QUERY!H:H)</f>
        <v>46118</v>
      </c>
      <c r="FH123" s="3">
        <f>_xlfn.XLOOKUP(B123,QUERY!$C:$C,QUERY!I:I)</f>
        <v>5</v>
      </c>
      <c r="FI123" s="3" t="str">
        <f>_xlfn.XLOOKUP(B123,QUERY!$C:$C,QUERY!J:J)</f>
        <v>4 a 5 días</v>
      </c>
      <c r="FJ123" s="4">
        <f>_xlfn.XLOOKUP(B123,QUERY!$C:$C,QUERY!K:K)</f>
        <v>46118</v>
      </c>
      <c r="FK123" s="3">
        <f>_xlfn.XLOOKUP(B123,QUERY!$C:$C,QUERY!L:L)</f>
        <v>5</v>
      </c>
      <c r="FL123" s="3" t="str">
        <f>_xlfn.XLOOKUP(B123,QUERY!$C:$C,QUERY!M:M)</f>
        <v>4 a 5 días</v>
      </c>
      <c r="FM123" s="3">
        <f>_xlfn.XLOOKUP(B123,QUERY!$C:$C,QUERY!N:N)</f>
        <v>0</v>
      </c>
      <c r="FN123" s="3" t="str">
        <f>_xlfn.XLOOKUP(B123,QUERY!$C:$C,QUERY!O:O)</f>
        <v>1 día o menos</v>
      </c>
      <c r="FO123" s="3">
        <f>_xlfn.XLOOKUP(B123,QUERY!$C:$C,QUERY!P:P)</f>
        <v>0</v>
      </c>
      <c r="FP123" s="3">
        <f>_xlfn.XLOOKUP(B123,QUERY!$C:$C,QUERY!Q:Q)</f>
        <v>1</v>
      </c>
      <c r="FQ123" s="3" t="str">
        <f>_xlfn.XLOOKUP(B123,QUERY!$C:$C,QUERY!R:R)</f>
        <v>1 día o menos</v>
      </c>
      <c r="FR123" s="4">
        <f>_xlfn.XLOOKUP(B123,QUERY!$C:$C,QUERY!S:S)</f>
        <v>46119</v>
      </c>
      <c r="FS123" s="3">
        <f>_xlfn.XLOOKUP(B123,QUERY!$C:$C,QUERY!T:T)</f>
        <v>6</v>
      </c>
      <c r="FT123" s="3" t="str">
        <f>_xlfn.XLOOKUP(B123,QUERY!$C:$C,QUERY!U:U)</f>
        <v>6 a 10 días</v>
      </c>
      <c r="FU123" s="3">
        <f>_xlfn.XLOOKUP(B123,QUERY!$C:$C,QUERY!V:V)</f>
        <v>18</v>
      </c>
      <c r="FV123" s="3" t="str">
        <f>_xlfn.XLOOKUP(B123,QUERY!$C:$C,QUERY!W:W)</f>
        <v>más de 16 días</v>
      </c>
      <c r="FW123" s="4">
        <f>_xlfn.XLOOKUP(B123,QUERY!$C:$C,QUERY!X:X)</f>
        <v>46135</v>
      </c>
      <c r="FX123" s="3">
        <f>_xlfn.XLOOKUP(B123,QUERY!$C:$C,QUERY!Y:Y)</f>
        <v>12</v>
      </c>
      <c r="FY123" s="3">
        <f>_xlfn.XLOOKUP(B123,QUERY!$C:$C,QUERY!Z:Z)</f>
        <v>12</v>
      </c>
      <c r="FZ123" s="4" t="str">
        <f>_xlfn.XLOOKUP(B123,QUERY!$C:$C,QUERY!AA:AA)</f>
        <v>más de 16 días</v>
      </c>
      <c r="GA123" s="4">
        <f>_xlfn.XLOOKUP(B123,QUERY!$C:$C,QUERY!AB:AB)</f>
        <v>46135</v>
      </c>
      <c r="GB123" s="4">
        <f>_xlfn.XLOOKUP(B123,QUERY!$C:$C,QUERY!AC:AC)</f>
        <v>46135</v>
      </c>
      <c r="GC123" s="3">
        <f>_xlfn.XLOOKUP(B123,QUERY!$C:$C,QUERY!AD:AD)</f>
        <v>0</v>
      </c>
      <c r="GD123" s="4">
        <f>_xlfn.XLOOKUP(B123,QUERY!$C:$C,QUERY!AE:AE)</f>
        <v>46135</v>
      </c>
      <c r="GE123" s="3">
        <f>_xlfn.XLOOKUP(B123,QUERY!$C:$C,QUERY!AF:AF)</f>
        <v>1</v>
      </c>
      <c r="GF123" s="4" t="str">
        <f>_xlfn.XLOOKUP(B123,QUERY!$C:$C,QUERY!AG:AG)</f>
        <v>Es anterior</v>
      </c>
      <c r="GG123" s="3" t="str">
        <f>_xlfn.XLOOKUP(B123,QUERY!$C:$C,QUERY!AH:AH)</f>
        <v>A1</v>
      </c>
      <c r="GH123" s="3" t="str">
        <f>_xlfn.XLOOKUP(B123,QUERY!$C:$C,QUERY!AI:AI)</f>
        <v>ZULEIMA PEREZ RUIZ</v>
      </c>
      <c r="GI123" s="3" t="str">
        <f>_xlfn.XLOOKUP(B123,QUERY!$C:$C,QUERY!AJ:AJ)</f>
        <v>HLCUANR260249908</v>
      </c>
      <c r="GJ123" s="3" t="str">
        <f>_xlfn.XLOOKUP(B123,QUERY!$C:$C,QUERY!AK:AK)</f>
        <v>NULL</v>
      </c>
      <c r="GK123" s="3">
        <f>_xlfn.XLOOKUP(B123,QUERY!$C:$C,QUERY!AL:AL)</f>
        <v>6000401</v>
      </c>
      <c r="GL123" s="3" t="str">
        <f>_xlfn.XLOOKUP(B123,QUERY!$C:$C,QUERY!AM:AM)</f>
        <v>Importación</v>
      </c>
      <c r="GM123" s="3" t="str">
        <f>_xlfn.XLOOKUP(B123,QUERY!$C:$C,QUERY!AN:AN)</f>
        <v>HALOCUR (MEDICAMENTO DOSIFICADO DE USO VETERINARIO)</v>
      </c>
      <c r="GN123" s="3" t="str">
        <f>_xlfn.XLOOKUP(B123,QUERY!$C:$C,QUERY!AO:AO)</f>
        <v>SIN CLASIFICACION</v>
      </c>
      <c r="GO123" s="3">
        <f>_xlfn.XLOOKUP(B123,QUERY!$C:$C,QUERY!AP:AP)</f>
        <v>0</v>
      </c>
      <c r="GP123" s="3" t="str">
        <f>_xlfn.XLOOKUP(B123,QUERY!$C:$C,QUERY!AQ:AQ)</f>
        <v>Cargas de Importación</v>
      </c>
      <c r="GQ123" s="3" t="str">
        <f>_xlfn.XLOOKUP(B123,QUERY!$C:$C,QUERY!AR:AR)</f>
        <v>INTERVET MEXICO SA DE CV</v>
      </c>
      <c r="GR123" s="3">
        <f>_xlfn.XLOOKUP(B123,QUERY!$C:$C,QUERY!AS:AS)</f>
        <v>0</v>
      </c>
      <c r="GS123" s="3">
        <f>_xlfn.XLOOKUP(B123,QUERY!$C:$C,QUERY!AT:AT)</f>
        <v>0</v>
      </c>
      <c r="GT123" s="3">
        <f>_xlfn.XLOOKUP(B123,QUERY!$C:$C,QUERY!AU:AU)</f>
        <v>0</v>
      </c>
      <c r="GU123" s="3">
        <f>_xlfn.XLOOKUP(B123,QUERY!$C:$C,QUERY!AV:AV)</f>
        <v>0</v>
      </c>
      <c r="GV123" s="3" t="str">
        <f>_xlfn.XLOOKUP(B123,QUERY!$C:$C,QUERY!AW:AW)</f>
        <v>PRODUCTO TERMINADO</v>
      </c>
      <c r="GW123" s="3" t="str">
        <f>_xlfn.XLOOKUP(B123,QUERY!$C:$C,QUERY!AX:AX)</f>
        <v>Verde</v>
      </c>
      <c r="GX123" s="3" t="str">
        <f>_xlfn.XLOOKUP(B123,QUERY!$C:$C,QUERY!AY:AY)</f>
        <v xml:space="preserve"> SUPER EXPRESS DE CARGA FEDERAL S.A. DE C.V.</v>
      </c>
      <c r="GY123" s="3">
        <f>_xlfn.XLOOKUP(B123,QUERY!$C:$C,QUERY!AZ:AZ)</f>
        <v>0</v>
      </c>
      <c r="GZ123" s="3" t="str">
        <f>_xlfn.XLOOKUP(B123,QUERY!$C:$C,QUERY!BA:BA)</f>
        <v>IME-T004</v>
      </c>
      <c r="HA123" s="3" t="str">
        <f>_xlfn.XLOOKUP(B123,QUERY!$C:$C,QUERY!BB:BB)</f>
        <v>IME850329RH2</v>
      </c>
      <c r="HB123" s="3">
        <f>_xlfn.XLOOKUP(B123,QUERY!$C:$C,QUERY!BC:BC)</f>
        <v>0</v>
      </c>
      <c r="HC123" s="3">
        <f>_xlfn.XLOOKUP(B123,QUERY!$C:$C,QUERY!BD:BD)</f>
        <v>0.99</v>
      </c>
      <c r="HD123" s="3" t="str">
        <f>_xlfn.XLOOKUP(B123,QUERY!$C:$C,QUERY!BE:BE)</f>
        <v>LOTE: F292A02,LOTE: 5774102,LOTE: H114B01,LOTE: A221A01,LOTE: J786A01,LOTE: S491601,LOTE: H101A01</v>
      </c>
      <c r="HE123" s="3">
        <f>_xlfn.XLOOKUP(B123,QUERY!$C:$C,QUERY!BF:BF)</f>
        <v>90</v>
      </c>
      <c r="HF123" s="3" t="str">
        <f>_xlfn.XLOOKUP(B123,QUERY!$C:$C,QUERY!BG:BG)</f>
        <v xml:space="preserve"> 2162410.07, 1803708.00, 1926255.36, 1072522.92</v>
      </c>
      <c r="HG123" s="3" t="str">
        <f>_xlfn.XLOOKUP(B123,QUERY!$C:$C,QUERY!BH:BH)</f>
        <v>KILO,KILO,KILO,KILO,KILO,KILO,KILO</v>
      </c>
      <c r="HH123" s="3">
        <f>_xlfn.XLOOKUP(B123,QUERY!$C:$C,QUERY!BI:BI)</f>
        <v>0</v>
      </c>
      <c r="HI123" s="3" t="str">
        <f>_xlfn.XLOOKUP(B123,QUERY!$C:$C,QUERY!BJ:BJ)</f>
        <v>ALEMANIA (REPUBLICA FEDERAL DE),FRANCIA (REPUBLICA FRANCESA),PAISES BAJOS (REINO DE LOS) (HOLANDA)</v>
      </c>
      <c r="HJ123" s="3" t="str">
        <f>_xlfn.XLOOKUP(B123,QUERY!$C:$C,QUERY!BK:BK)</f>
        <v>PAISES BAJOS (REINO DE LOS) (HOLANDA)</v>
      </c>
      <c r="HK123" s="3" t="str">
        <f>_xlfn.XLOOKUP(B123,QUERY!$C:$C,QUERY!BL:BL)</f>
        <v>DEU,FRA,ZYA</v>
      </c>
      <c r="HL123" s="3" t="str">
        <f>_xlfn.XLOOKUP(B123,QUERY!$C:$C,QUERY!BM:BM)</f>
        <v>ZYA</v>
      </c>
      <c r="HM123" s="3">
        <f>_xlfn.XLOOKUP(B123,QUERY!$C:$C,QUERY!BN:BN)</f>
        <v>6964896</v>
      </c>
      <c r="HN123" s="3" t="str">
        <f>_xlfn.XLOOKUP(B123,QUERY!$C:$C,QUERY!BO:BO)</f>
        <v>462.00</v>
      </c>
      <c r="HO123" s="3" t="str">
        <f>_xlfn.XLOOKUP(B123,QUERY!$C:$C,QUERY!BP:BP)</f>
        <v>NULL</v>
      </c>
      <c r="HP123" s="3" t="str">
        <f>_xlfn.XLOOKUP(B123,QUERY!$C:$C,QUERY!BQ:BQ)</f>
        <v>NULL</v>
      </c>
      <c r="HQ123" s="3" t="str">
        <f>_xlfn.XLOOKUP(B123,QUERY!$C:$C,QUERY!BR:BR)</f>
        <v>168023.32</v>
      </c>
      <c r="HR123" s="3">
        <f>_xlfn.XLOOKUP(B123,QUERY!$C:$C,QUERY!BS:BS)</f>
        <v>0</v>
      </c>
      <c r="HS123" s="3">
        <f>_xlfn.XLOOKUP(B123,QUERY!$C:$C,QUERY!BT:BT)</f>
        <v>0</v>
      </c>
      <c r="HT123" s="3" t="str">
        <f>_xlfn.XLOOKUP(B123,QUERY!$C:$C,QUERY!A:A)</f>
        <v>VERACRUZ</v>
      </c>
      <c r="HU123" s="3" t="str">
        <f>_xlfn.XLOOKUP(B123,QUERY!$C:$C,QUERY!B:B)</f>
        <v>MARÍTIMO VERACRUZ</v>
      </c>
    </row>
    <row r="124" spans="1:229" x14ac:dyDescent="0.25">
      <c r="A124" s="3" t="s">
        <v>90</v>
      </c>
      <c r="B124" s="3" t="s">
        <v>374</v>
      </c>
      <c r="C124" s="3">
        <v>3942</v>
      </c>
      <c r="D124" s="3">
        <v>6000401</v>
      </c>
      <c r="E124" s="3"/>
      <c r="F124" s="3" t="s">
        <v>92</v>
      </c>
      <c r="G124" s="3" t="s">
        <v>93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430</v>
      </c>
      <c r="S124" s="3" t="s">
        <v>375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 t="s">
        <v>124</v>
      </c>
      <c r="AB124" s="3"/>
      <c r="AC124" s="3">
        <v>464789</v>
      </c>
      <c r="AD124" s="3">
        <v>407.70965000000001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/>
      <c r="AP124" s="3" t="s">
        <v>98</v>
      </c>
      <c r="AQ124" s="3">
        <v>210367626</v>
      </c>
      <c r="AR124" s="3" t="s">
        <v>99</v>
      </c>
      <c r="AS124" s="3" t="s">
        <v>100</v>
      </c>
      <c r="AT124" s="3">
        <v>0</v>
      </c>
      <c r="AU124" s="3">
        <v>0</v>
      </c>
      <c r="AV124" s="3">
        <v>0</v>
      </c>
      <c r="AW124" s="3">
        <v>30049099</v>
      </c>
      <c r="AX124" s="3">
        <v>99</v>
      </c>
      <c r="AY124" s="3">
        <v>1140</v>
      </c>
      <c r="AZ124" s="3">
        <v>1140</v>
      </c>
      <c r="BA124" s="3" t="s">
        <v>121</v>
      </c>
      <c r="BB124" s="3"/>
      <c r="BC124" s="3" t="s">
        <v>105</v>
      </c>
      <c r="BD124" s="3" t="s">
        <v>105</v>
      </c>
      <c r="BE124" s="3"/>
      <c r="BF124" s="3"/>
      <c r="BG124" s="5"/>
      <c r="BH124" s="3"/>
      <c r="BI124" s="3"/>
      <c r="BJ124" s="3"/>
      <c r="BK124" s="3" t="s">
        <v>381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 t="s">
        <v>192</v>
      </c>
      <c r="CF124" s="3">
        <v>0</v>
      </c>
      <c r="CG124" s="3">
        <v>0</v>
      </c>
      <c r="CH124" s="3">
        <v>0</v>
      </c>
      <c r="CI124" s="3" t="s">
        <v>112</v>
      </c>
      <c r="CJ124" s="3" t="s">
        <v>112</v>
      </c>
      <c r="CK124" s="3">
        <f>_xlfn.XLOOKUP($B$2,'BASE DE EXCEL'!C:C,'BASE DE EXCEL'!D:D,"NO HAY REFERENCIA")</f>
        <v>470</v>
      </c>
      <c r="CL124" s="5">
        <f>_xlfn.XLOOKUP($B$2,'BASE DE EXCEL'!$C:$C,'BASE DE EXCEL'!F:F,"NO HAY REFERENCIA")</f>
        <v>3</v>
      </c>
      <c r="CM124" s="4">
        <f>_xlfn.XLOOKUP($B$2,'BASE DE EXCEL'!$C:$C,'BASE DE EXCEL'!G:G,"NO HAY REFERENCIA")</f>
        <v>46080</v>
      </c>
      <c r="CN124" s="4">
        <f>_xlfn.XLOOKUP($B$2,'BASE DE EXCEL'!$C:$C,'BASE DE EXCEL'!H:H,"NO HAY REFERENCIA")</f>
        <v>46086</v>
      </c>
      <c r="CO124" s="3">
        <f>_xlfn.XLOOKUP($B$2,'BASE DE EXCEL'!$C:$C,'BASE DE EXCEL'!I:I,"NO HAY REFERENCIA")</f>
        <v>4</v>
      </c>
      <c r="CP124" s="3" t="str">
        <f>_xlfn.XLOOKUP($B$2,'BASE DE EXCEL'!$C:$C,'BASE DE EXCEL'!J:J,"NO HAY REFERENCIA")</f>
        <v>4 a 5 días</v>
      </c>
      <c r="CQ124" s="4">
        <f>_xlfn.XLOOKUP($B$2,'BASE DE EXCEL'!$C:$C,'BASE DE EXCEL'!K:K,"NO HAY REFERENCIA")</f>
        <v>46087</v>
      </c>
      <c r="CR124" s="3">
        <f>_xlfn.XLOOKUP($B$2,'BASE DE EXCEL'!$C:$C,'BASE DE EXCEL'!L:L,"NO HAY REFERENCIA")</f>
        <v>5</v>
      </c>
      <c r="CS124" s="3">
        <f>_xlfn.XLOOKUP($B$2,'BASE DE EXCEL'!$C:$C,'BASE DE EXCEL'!M:M,"NO HAY REFERENCIA")</f>
        <v>6</v>
      </c>
      <c r="CT124" s="3" t="str">
        <f>_xlfn.XLOOKUP($B$2,'BASE DE EXCEL'!$C:$C,'BASE DE EXCEL'!N:N,"NO HAY REFERENCIA")</f>
        <v>6 a 10 días</v>
      </c>
      <c r="CU124" s="3" t="str">
        <f>_xlfn.XLOOKUP($B$2,'BASE DE EXCEL'!$C:$C,'BASE DE EXCEL'!O:O,"NO HAY REFERENCIA")</f>
        <v>On Time</v>
      </c>
      <c r="CV124" s="3" t="str">
        <f>_xlfn.XLOOKUP(B124,'BASE DE EXCEL'!$C:$C,'BASE DE EXCEL'!P:P,"NO HAY REFERENCIA")</f>
        <v>6 a 10 días</v>
      </c>
      <c r="CW124" s="4">
        <f>_xlfn.XLOOKUP(B124,'BASE DE EXCEL'!$C:$C,'BASE DE EXCEL'!Q:Q,"NO HAY REFERENCIA")</f>
        <v>46119</v>
      </c>
      <c r="CX124" s="3">
        <f>_xlfn.XLOOKUP(B124,'BASE DE EXCEL'!$C:$C,'BASE DE EXCEL'!R:R,"NO HAY REFERENCIA")</f>
        <v>5</v>
      </c>
      <c r="CY124" s="3" t="str">
        <f>_xlfn.XLOOKUP(B124,'BASE DE EXCEL'!$C:$C,'BASE DE EXCEL'!S:S,"NO HAY REFERENCIA")</f>
        <v>4 a 5 días</v>
      </c>
      <c r="CZ124" s="3" t="str">
        <f>_xlfn.XLOOKUP(B124,'BASE DE EXCEL'!$C:$C,'BASE DE EXCEL'!T:T,"NO HAY REFERENCIA")</f>
        <v>On Time</v>
      </c>
      <c r="DA124" s="3">
        <f>_xlfn.XLOOKUP(B124,'BASE DE EXCEL'!$C:$C,'BASE DE EXCEL'!U:U,"NO HAY REFERENCIA")</f>
        <v>8</v>
      </c>
      <c r="DB124" s="3" t="str">
        <f>_xlfn.XLOOKUP(B124,'BASE DE EXCEL'!$C:$C,'BASE DE EXCEL'!V:V,"NO HAY REFERENCIA")</f>
        <v>6 a 10 días</v>
      </c>
      <c r="DC124" s="3">
        <f>_xlfn.XLOOKUP(B124,'BASE DE EXCEL'!$C:$C,'BASE DE EXCEL'!W:W,"NO HAY REFERENCIA")</f>
        <v>18</v>
      </c>
      <c r="DD124" s="3" t="str">
        <f>_xlfn.XLOOKUP(B124,'BASE DE EXCEL'!$C:$C,'BASE DE EXCEL'!X:X,"NO HAY REFERENCIA")</f>
        <v>más de 16 días</v>
      </c>
      <c r="DE124" s="3">
        <f>_xlfn.XLOOKUP(B124,'BASE DE EXCEL'!$C:$C,'BASE DE EXCEL'!Y:Y,"NO HAY REFERENCIA")</f>
        <v>0</v>
      </c>
      <c r="DF124" s="3" t="str">
        <f>_xlfn.XLOOKUP(B124,'BASE DE EXCEL'!$C:$C,'BASE DE EXCEL'!Z:Z,"NO HAY REFERENCIA")</f>
        <v>1 día o menos</v>
      </c>
      <c r="DG124" s="3">
        <f>_xlfn.XLOOKUP(B124,'BASE DE EXCEL'!$C:$C,'BASE DE EXCEL'!AA:AA,"NO HAY REFERENCIA")</f>
        <v>7</v>
      </c>
      <c r="DH124" s="3">
        <f>_xlfn.XLOOKUP(B124,'BASE DE EXCEL'!$C:$C,'BASE DE EXCEL'!AB:AB,"NO HAY REFERENCIA")</f>
        <v>1</v>
      </c>
      <c r="DI124" s="3" t="str">
        <f>_xlfn.XLOOKUP(B124,'BASE DE EXCEL'!$C:$C,'BASE DE EXCEL'!AC:AC,"NO HAY REFERENCIA")</f>
        <v>1 día o menos</v>
      </c>
      <c r="DJ124" s="4">
        <f>_xlfn.XLOOKUP(B124,'BASE DE EXCEL'!$C:$C,'BASE DE EXCEL'!AD:AD,"NO HAY REFERENCIA")</f>
        <v>46135</v>
      </c>
      <c r="DK124" s="3">
        <f>_xlfn.XLOOKUP(B124,'BASE DE EXCEL'!$C:$C,'BASE DE EXCEL'!AE:AE,"NO HAY REFERENCIA")</f>
        <v>16</v>
      </c>
      <c r="DL124" s="3">
        <f>_xlfn.XLOOKUP(B124,'BASE DE EXCEL'!$C:$C,'BASE DE EXCEL'!AF:AF,"NO HAY REFERENCIA")</f>
        <v>12</v>
      </c>
      <c r="DM124" s="4">
        <f>_xlfn.XLOOKUP(B124,'BASE DE EXCEL'!$C:$C,'BASE DE EXCEL'!AG:AG,"NO HAY REFERENCIA")</f>
        <v>46135</v>
      </c>
      <c r="DN124" s="4">
        <f>_xlfn.XLOOKUP(B124,'BASE DE EXCEL'!$C:$C,'BASE DE EXCEL'!AH:AH,"NO HAY REFERENCIA")</f>
        <v>46135</v>
      </c>
      <c r="DO124" s="3">
        <f>_xlfn.XLOOKUP(B124,'BASE DE EXCEL'!$C:$C,'BASE DE EXCEL'!AI:AI,"NO HAY REFERENCIA")</f>
        <v>0</v>
      </c>
      <c r="DP124" s="4" t="str">
        <f>_xlfn.XLOOKUP(B124,'BASE DE EXCEL'!$C:$C,'BASE DE EXCEL'!AJ:AJ,"NO HAY REFERENCIA")</f>
        <v>más de 16 días</v>
      </c>
      <c r="DQ124" s="4">
        <f>_xlfn.XLOOKUP(B124,'BASE DE EXCEL'!$C:$C,'BASE DE EXCEL'!AK:AK,"NO HAY REFERENCIA")</f>
        <v>46135</v>
      </c>
      <c r="DR124" s="3">
        <f>_xlfn.XLOOKUP(B124,'BASE DE EXCEL'!$C:$C,'BASE DE EXCEL'!AL:AL,"NO HAY REFERENCIA")</f>
        <v>13</v>
      </c>
      <c r="DS124" s="3" t="str">
        <f>_xlfn.XLOOKUP(B124,'BASE DE EXCEL'!$C:$C,'BASE DE EXCEL'!AM:AM,"NO HAY REFERENCIA")</f>
        <v>11 a 15 días</v>
      </c>
      <c r="DT124" s="3" t="str">
        <f>_xlfn.XLOOKUP(B124,'BASE DE EXCEL'!$C:$C,'BASE DE EXCEL'!AN:AN,"NO HAY REFERENCIA")</f>
        <v>Delayed</v>
      </c>
      <c r="DU124" s="3">
        <f>_xlfn.XLOOKUP(B124,'BASE DE EXCEL'!$C:$C,'BASE DE EXCEL'!AO:AO,"NO HAY REFERENCIA")</f>
        <v>1</v>
      </c>
      <c r="DV124" s="3" t="str">
        <f>_xlfn.XLOOKUP(B124,'BASE DE EXCEL'!$C:$C,'BASE DE EXCEL'!AP:AP,"NO HAY REFERENCIA")</f>
        <v>Es anterior</v>
      </c>
      <c r="DW124" s="3" t="str">
        <f>_xlfn.XLOOKUP(B124,'BASE DE EXCEL'!$C:$C,'BASE DE EXCEL'!AQ:AQ,"NO HAY REFERENCIA")</f>
        <v>A1</v>
      </c>
      <c r="DX124" s="3" t="str">
        <f>_xlfn.XLOOKUP(B124,'BASE DE EXCEL'!$C:$C,'BASE DE EXCEL'!AR:AR,"NO HAY REFERENCIA")</f>
        <v>ZULEIMA PEREZ RUIZ</v>
      </c>
      <c r="DY124" s="3" t="str">
        <f>_xlfn.XLOOKUP(B124,'BASE DE EXCEL'!$C:$C,'BASE DE EXCEL'!AS:AS,"NO HAY REFERENCIA")</f>
        <v>HLCUANR260249908</v>
      </c>
      <c r="DZ124" s="3" t="str">
        <f>_xlfn.XLOOKUP(B124,'BASE DE EXCEL'!$C:$C,'BASE DE EXCEL'!AT:AT,"NO HAY REFERENCIA")</f>
        <v>NULL</v>
      </c>
      <c r="EA124" s="3">
        <f>_xlfn.XLOOKUP(B124,'BASE DE EXCEL'!$C:$C,'BASE DE EXCEL'!AU:AU,"NO HAY REFERENCIA")</f>
        <v>6000401</v>
      </c>
      <c r="EB124" s="3" t="str">
        <f>_xlfn.XLOOKUP(B124,'BASE DE EXCEL'!$C:$C,'BASE DE EXCEL'!AV:AV,"NO HAY REFERENCIA")</f>
        <v>Importación</v>
      </c>
      <c r="EC124" s="3" t="str">
        <f>_xlfn.XLOOKUP(B124,'BASE DE EXCEL'!$C:$C,'BASE DE EXCEL'!AW:AW,"NO HAY REFERENCIA")</f>
        <v>HALOCUR (MEDICAMENTO DOSIFICADO DE USO VETERINARIO)</v>
      </c>
      <c r="ED124" s="3" t="str">
        <f>_xlfn.XLOOKUP(B124,'BASE DE EXCEL'!$C:$C,'BASE DE EXCEL'!AX:AX,"NO HAY REFERENCIA")</f>
        <v>SIN CLASIFICACION</v>
      </c>
      <c r="EE124" s="3">
        <f>_xlfn.XLOOKUP(B124,'BASE DE EXCEL'!$C:$C,'BASE DE EXCEL'!AY:AY,"NO HAY REFERENCIA")</f>
        <v>0</v>
      </c>
      <c r="EF124" s="3" t="str">
        <f>_xlfn.XLOOKUP(B124,'BASE DE EXCEL'!$C:$C,'BASE DE EXCEL'!AZ:AZ,"NO HAY REFERENCIA")</f>
        <v>Cargas de Importación</v>
      </c>
      <c r="EG124" s="3" t="str">
        <f>_xlfn.XLOOKUP(B124,'BASE DE EXCEL'!$C:$C,'BASE DE EXCEL'!BA:BA,"NO HAY REFERENCIA")</f>
        <v>INTERVET MEXICO SA DE CV</v>
      </c>
      <c r="EH124" s="3">
        <f>_xlfn.XLOOKUP(B124,'BASE DE EXCEL'!$C:$C,'BASE DE EXCEL'!BB:BB,"NO HAY REFERENCIA")</f>
        <v>0</v>
      </c>
      <c r="EI124" s="3">
        <f>_xlfn.XLOOKUP(B124,'BASE DE EXCEL'!$C:$C,'BASE DE EXCEL'!BC:BC,"NO HAY REFERENCIA")</f>
        <v>0</v>
      </c>
      <c r="EJ124" s="3">
        <f>_xlfn.XLOOKUP(B124,'BASE DE EXCEL'!$C:$C,'BASE DE EXCEL'!BD:BD,"NO HAY REFERENCIA")</f>
        <v>0</v>
      </c>
      <c r="EK124" s="3">
        <f>_xlfn.XLOOKUP(B124,'BASE DE EXCEL'!$C:$C,'BASE DE EXCEL'!BE:BE,"NO HAY REFERENCIA")</f>
        <v>0</v>
      </c>
      <c r="EL124" s="3" t="str">
        <f>_xlfn.XLOOKUP(B124,'BASE DE EXCEL'!$C:$C,'BASE DE EXCEL'!BF:BF,"NO HAY REFERENCIA")</f>
        <v>PRODUCTO TERMINADO</v>
      </c>
      <c r="EM124" s="3" t="str">
        <f>_xlfn.XLOOKUP(B124,'BASE DE EXCEL'!$C:$C,'BASE DE EXCEL'!BG:BG,"NO HAY REFERENCIA")</f>
        <v>Verde</v>
      </c>
      <c r="EN124" s="3" t="str">
        <f>_xlfn.XLOOKUP(B124,'BASE DE EXCEL'!$C:$C,'BASE DE EXCEL'!BH:BH,"NO HAY REFERENCIA")</f>
        <v xml:space="preserve"> SUPER EXPRESS DE CARGA FEDERAL S.A. DE C.V.</v>
      </c>
      <c r="EO124" s="3">
        <f>_xlfn.XLOOKUP(B124,'BASE DE EXCEL'!$C:$C,'BASE DE EXCEL'!BI:BI,"NO HAY REFERENCIA")</f>
        <v>0</v>
      </c>
      <c r="EP124" s="3" t="str">
        <f>_xlfn.XLOOKUP(B124,'BASE DE EXCEL'!$C:$C,'BASE DE EXCEL'!BJ:BJ,"NO HAY REFERENCIA")</f>
        <v>IME-T004</v>
      </c>
      <c r="EQ124" s="3" t="str">
        <f>_xlfn.XLOOKUP(B124,'BASE DE EXCEL'!$C:$C,'BASE DE EXCEL'!BK:BK,"NO HAY REFERENCIA")</f>
        <v>IME850329RH2</v>
      </c>
      <c r="ER124" s="3">
        <f>_xlfn.XLOOKUP(B124,'BASE DE EXCEL'!$C:$C,'BASE DE EXCEL'!BL:BL,"NO HAY REFERENCIA")</f>
        <v>0</v>
      </c>
      <c r="ES124" s="3" t="str">
        <f>_xlfn.XLOOKUP(B124,'BASE DE EXCEL'!$C:$C,'BASE DE EXCEL'!BM:BM,"NO HAY REFERENCIA")</f>
        <v>00,99</v>
      </c>
      <c r="ET124" s="3" t="str">
        <f>_xlfn.XLOOKUP(B124,'BASE DE EXCEL'!$C:$C,'BASE DE EXCEL'!BN:BN,"NO HAY REFERENCIA")</f>
        <v>LOTE: F292A02,LOTE: 5774102,LOTE: H114B01,LOTE: A221A01,LOTE: J786A01,LOTE: S491601,LOTE: H101A01</v>
      </c>
      <c r="EU124" s="3">
        <f>_xlfn.XLOOKUP(B124,'BASE DE EXCEL'!$C:$C,'BASE DE EXCEL'!BO:BO,"NO HAY REFERENCIA")</f>
        <v>90</v>
      </c>
      <c r="EV124" s="3" t="str">
        <f>_xlfn.XLOOKUP(B124,'BASE DE EXCEL'!$C:$C,'BASE DE EXCEL'!BP:BP,"NO HAY REFERENCIA")</f>
        <v xml:space="preserve"> 2162410.07, 1803708.00, 1926255.36, 1072522.92</v>
      </c>
      <c r="EW124" s="3" t="str">
        <f>_xlfn.XLOOKUP(B124,'BASE DE EXCEL'!$C:$C,'BASE DE EXCEL'!BQ:BQ,"NO HAY REFERENCIA")</f>
        <v>KILO,KILO,KILO,KILO,KILO,KILO,KILO</v>
      </c>
      <c r="EX124" s="3">
        <f>_xlfn.XLOOKUP(B124,'BASE DE EXCEL'!$C:$C,'BASE DE EXCEL'!BR:BR,"NO HAY REFERENCIA")</f>
        <v>0</v>
      </c>
      <c r="EY124" s="3" t="str">
        <f>_xlfn.XLOOKUP(B124,'BASE DE EXCEL'!$C:$C,'BASE DE EXCEL'!BS:BS,"NO HAY REFERENCIA")</f>
        <v>ALEMANIA (REPUBLICA FEDERAL DE),FRANCIA (REPUBLICA FRANCESA),PAISES BAJOS (REINO DE LOS) (HOLANDA)</v>
      </c>
      <c r="EZ124" s="3" t="str">
        <f>_xlfn.XLOOKUP(B124,'BASE DE EXCEL'!$C:$C,'BASE DE EXCEL'!BT:BT,"NO HAY REFERENCIA")</f>
        <v>PAISES BAJOS (REINO DE LOS) (HOLANDA)</v>
      </c>
      <c r="FA124" s="3" t="str">
        <f>_xlfn.XLOOKUP(B124,'BASE DE EXCEL'!$C:$C,'BASE DE EXCEL'!BU:BU,"NO HAY REFERENCIA")</f>
        <v>DEU,FRA,ZYA</v>
      </c>
      <c r="FB124" s="3" t="str">
        <f>_xlfn.XLOOKUP(B124,'BASE DE EXCEL'!$C:$C,'BASE DE EXCEL'!BV:BV,"NO HAY REFERENCIA")</f>
        <v>ZYA</v>
      </c>
      <c r="FC124" s="3">
        <f>_xlfn.XLOOKUP(B124,QUERY!$C:$C,QUERY!D:D)</f>
        <v>430</v>
      </c>
      <c r="FD124" s="4">
        <f>_xlfn.XLOOKUP(B124,QUERY!$C:$C,QUERY!E:E)</f>
        <v>46118</v>
      </c>
      <c r="FE124" s="3">
        <f>_xlfn.XLOOKUP(B124,QUERY!$C:$C,QUERY!F:F)</f>
        <v>4</v>
      </c>
      <c r="FF124" s="4">
        <f>_xlfn.XLOOKUP(B124,QUERY!$C:$C,QUERY!G:G)</f>
        <v>46111</v>
      </c>
      <c r="FG124" s="4">
        <f>_xlfn.XLOOKUP(B124,QUERY!$C:$C,QUERY!H:H)</f>
        <v>46118</v>
      </c>
      <c r="FH124" s="3">
        <f>_xlfn.XLOOKUP(B124,QUERY!$C:$C,QUERY!I:I)</f>
        <v>5</v>
      </c>
      <c r="FI124" s="3" t="str">
        <f>_xlfn.XLOOKUP(B124,QUERY!$C:$C,QUERY!J:J)</f>
        <v>4 a 5 días</v>
      </c>
      <c r="FJ124" s="4">
        <f>_xlfn.XLOOKUP(B124,QUERY!$C:$C,QUERY!K:K)</f>
        <v>46118</v>
      </c>
      <c r="FK124" s="3">
        <f>_xlfn.XLOOKUP(B124,QUERY!$C:$C,QUERY!L:L)</f>
        <v>5</v>
      </c>
      <c r="FL124" s="3" t="str">
        <f>_xlfn.XLOOKUP(B124,QUERY!$C:$C,QUERY!M:M)</f>
        <v>4 a 5 días</v>
      </c>
      <c r="FM124" s="3">
        <f>_xlfn.XLOOKUP(B124,QUERY!$C:$C,QUERY!N:N)</f>
        <v>0</v>
      </c>
      <c r="FN124" s="3" t="str">
        <f>_xlfn.XLOOKUP(B124,QUERY!$C:$C,QUERY!O:O)</f>
        <v>1 día o menos</v>
      </c>
      <c r="FO124" s="3">
        <f>_xlfn.XLOOKUP(B124,QUERY!$C:$C,QUERY!P:P)</f>
        <v>0</v>
      </c>
      <c r="FP124" s="3">
        <f>_xlfn.XLOOKUP(B124,QUERY!$C:$C,QUERY!Q:Q)</f>
        <v>1</v>
      </c>
      <c r="FQ124" s="3" t="str">
        <f>_xlfn.XLOOKUP(B124,QUERY!$C:$C,QUERY!R:R)</f>
        <v>1 día o menos</v>
      </c>
      <c r="FR124" s="4">
        <f>_xlfn.XLOOKUP(B124,QUERY!$C:$C,QUERY!S:S)</f>
        <v>46119</v>
      </c>
      <c r="FS124" s="3">
        <f>_xlfn.XLOOKUP(B124,QUERY!$C:$C,QUERY!T:T)</f>
        <v>6</v>
      </c>
      <c r="FT124" s="3" t="str">
        <f>_xlfn.XLOOKUP(B124,QUERY!$C:$C,QUERY!U:U)</f>
        <v>6 a 10 días</v>
      </c>
      <c r="FU124" s="3">
        <f>_xlfn.XLOOKUP(B124,QUERY!$C:$C,QUERY!V:V)</f>
        <v>18</v>
      </c>
      <c r="FV124" s="3" t="str">
        <f>_xlfn.XLOOKUP(B124,QUERY!$C:$C,QUERY!W:W)</f>
        <v>más de 16 días</v>
      </c>
      <c r="FW124" s="4">
        <f>_xlfn.XLOOKUP(B124,QUERY!$C:$C,QUERY!X:X)</f>
        <v>46135</v>
      </c>
      <c r="FX124" s="3">
        <f>_xlfn.XLOOKUP(B124,QUERY!$C:$C,QUERY!Y:Y)</f>
        <v>12</v>
      </c>
      <c r="FY124" s="3">
        <f>_xlfn.XLOOKUP(B124,QUERY!$C:$C,QUERY!Z:Z)</f>
        <v>12</v>
      </c>
      <c r="FZ124" s="4" t="str">
        <f>_xlfn.XLOOKUP(B124,QUERY!$C:$C,QUERY!AA:AA)</f>
        <v>más de 16 días</v>
      </c>
      <c r="GA124" s="4">
        <f>_xlfn.XLOOKUP(B124,QUERY!$C:$C,QUERY!AB:AB)</f>
        <v>46135</v>
      </c>
      <c r="GB124" s="4">
        <f>_xlfn.XLOOKUP(B124,QUERY!$C:$C,QUERY!AC:AC)</f>
        <v>46135</v>
      </c>
      <c r="GC124" s="3">
        <f>_xlfn.XLOOKUP(B124,QUERY!$C:$C,QUERY!AD:AD)</f>
        <v>0</v>
      </c>
      <c r="GD124" s="4">
        <f>_xlfn.XLOOKUP(B124,QUERY!$C:$C,QUERY!AE:AE)</f>
        <v>46135</v>
      </c>
      <c r="GE124" s="3">
        <f>_xlfn.XLOOKUP(B124,QUERY!$C:$C,QUERY!AF:AF)</f>
        <v>1</v>
      </c>
      <c r="GF124" s="4" t="str">
        <f>_xlfn.XLOOKUP(B124,QUERY!$C:$C,QUERY!AG:AG)</f>
        <v>Es anterior</v>
      </c>
      <c r="GG124" s="3" t="str">
        <f>_xlfn.XLOOKUP(B124,QUERY!$C:$C,QUERY!AH:AH)</f>
        <v>A1</v>
      </c>
      <c r="GH124" s="3" t="str">
        <f>_xlfn.XLOOKUP(B124,QUERY!$C:$C,QUERY!AI:AI)</f>
        <v>ZULEIMA PEREZ RUIZ</v>
      </c>
      <c r="GI124" s="3" t="str">
        <f>_xlfn.XLOOKUP(B124,QUERY!$C:$C,QUERY!AJ:AJ)</f>
        <v>HLCUANR260249908</v>
      </c>
      <c r="GJ124" s="3" t="str">
        <f>_xlfn.XLOOKUP(B124,QUERY!$C:$C,QUERY!AK:AK)</f>
        <v>NULL</v>
      </c>
      <c r="GK124" s="3">
        <f>_xlfn.XLOOKUP(B124,QUERY!$C:$C,QUERY!AL:AL)</f>
        <v>6000401</v>
      </c>
      <c r="GL124" s="3" t="str">
        <f>_xlfn.XLOOKUP(B124,QUERY!$C:$C,QUERY!AM:AM)</f>
        <v>Importación</v>
      </c>
      <c r="GM124" s="3" t="str">
        <f>_xlfn.XLOOKUP(B124,QUERY!$C:$C,QUERY!AN:AN)</f>
        <v>HALOCUR (MEDICAMENTO DOSIFICADO DE USO VETERINARIO)</v>
      </c>
      <c r="GN124" s="3" t="str">
        <f>_xlfn.XLOOKUP(B124,QUERY!$C:$C,QUERY!AO:AO)</f>
        <v>SIN CLASIFICACION</v>
      </c>
      <c r="GO124" s="3">
        <f>_xlfn.XLOOKUP(B124,QUERY!$C:$C,QUERY!AP:AP)</f>
        <v>0</v>
      </c>
      <c r="GP124" s="3" t="str">
        <f>_xlfn.XLOOKUP(B124,QUERY!$C:$C,QUERY!AQ:AQ)</f>
        <v>Cargas de Importación</v>
      </c>
      <c r="GQ124" s="3" t="str">
        <f>_xlfn.XLOOKUP(B124,QUERY!$C:$C,QUERY!AR:AR)</f>
        <v>INTERVET MEXICO SA DE CV</v>
      </c>
      <c r="GR124" s="3">
        <f>_xlfn.XLOOKUP(B124,QUERY!$C:$C,QUERY!AS:AS)</f>
        <v>0</v>
      </c>
      <c r="GS124" s="3">
        <f>_xlfn.XLOOKUP(B124,QUERY!$C:$C,QUERY!AT:AT)</f>
        <v>0</v>
      </c>
      <c r="GT124" s="3">
        <f>_xlfn.XLOOKUP(B124,QUERY!$C:$C,QUERY!AU:AU)</f>
        <v>0</v>
      </c>
      <c r="GU124" s="3">
        <f>_xlfn.XLOOKUP(B124,QUERY!$C:$C,QUERY!AV:AV)</f>
        <v>0</v>
      </c>
      <c r="GV124" s="3" t="str">
        <f>_xlfn.XLOOKUP(B124,QUERY!$C:$C,QUERY!AW:AW)</f>
        <v>PRODUCTO TERMINADO</v>
      </c>
      <c r="GW124" s="3" t="str">
        <f>_xlfn.XLOOKUP(B124,QUERY!$C:$C,QUERY!AX:AX)</f>
        <v>Verde</v>
      </c>
      <c r="GX124" s="3" t="str">
        <f>_xlfn.XLOOKUP(B124,QUERY!$C:$C,QUERY!AY:AY)</f>
        <v xml:space="preserve"> SUPER EXPRESS DE CARGA FEDERAL S.A. DE C.V.</v>
      </c>
      <c r="GY124" s="3">
        <f>_xlfn.XLOOKUP(B124,QUERY!$C:$C,QUERY!AZ:AZ)</f>
        <v>0</v>
      </c>
      <c r="GZ124" s="3" t="str">
        <f>_xlfn.XLOOKUP(B124,QUERY!$C:$C,QUERY!BA:BA)</f>
        <v>IME-T004</v>
      </c>
      <c r="HA124" s="3" t="str">
        <f>_xlfn.XLOOKUP(B124,QUERY!$C:$C,QUERY!BB:BB)</f>
        <v>IME850329RH2</v>
      </c>
      <c r="HB124" s="3">
        <f>_xlfn.XLOOKUP(B124,QUERY!$C:$C,QUERY!BC:BC)</f>
        <v>0</v>
      </c>
      <c r="HC124" s="3">
        <f>_xlfn.XLOOKUP(B124,QUERY!$C:$C,QUERY!BD:BD)</f>
        <v>0.99</v>
      </c>
      <c r="HD124" s="3" t="str">
        <f>_xlfn.XLOOKUP(B124,QUERY!$C:$C,QUERY!BE:BE)</f>
        <v>LOTE: F292A02,LOTE: 5774102,LOTE: H114B01,LOTE: A221A01,LOTE: J786A01,LOTE: S491601,LOTE: H101A01</v>
      </c>
      <c r="HE124" s="3">
        <f>_xlfn.XLOOKUP(B124,QUERY!$C:$C,QUERY!BF:BF)</f>
        <v>90</v>
      </c>
      <c r="HF124" s="3" t="str">
        <f>_xlfn.XLOOKUP(B124,QUERY!$C:$C,QUERY!BG:BG)</f>
        <v xml:space="preserve"> 2162410.07, 1803708.00, 1926255.36, 1072522.92</v>
      </c>
      <c r="HG124" s="3" t="str">
        <f>_xlfn.XLOOKUP(B124,QUERY!$C:$C,QUERY!BH:BH)</f>
        <v>KILO,KILO,KILO,KILO,KILO,KILO,KILO</v>
      </c>
      <c r="HH124" s="3">
        <f>_xlfn.XLOOKUP(B124,QUERY!$C:$C,QUERY!BI:BI)</f>
        <v>0</v>
      </c>
      <c r="HI124" s="3" t="str">
        <f>_xlfn.XLOOKUP(B124,QUERY!$C:$C,QUERY!BJ:BJ)</f>
        <v>ALEMANIA (REPUBLICA FEDERAL DE),FRANCIA (REPUBLICA FRANCESA),PAISES BAJOS (REINO DE LOS) (HOLANDA)</v>
      </c>
      <c r="HJ124" s="3" t="str">
        <f>_xlfn.XLOOKUP(B124,QUERY!$C:$C,QUERY!BK:BK)</f>
        <v>PAISES BAJOS (REINO DE LOS) (HOLANDA)</v>
      </c>
      <c r="HK124" s="3" t="str">
        <f>_xlfn.XLOOKUP(B124,QUERY!$C:$C,QUERY!BL:BL)</f>
        <v>DEU,FRA,ZYA</v>
      </c>
      <c r="HL124" s="3" t="str">
        <f>_xlfn.XLOOKUP(B124,QUERY!$C:$C,QUERY!BM:BM)</f>
        <v>ZYA</v>
      </c>
      <c r="HM124" s="3">
        <f>_xlfn.XLOOKUP(B124,QUERY!$C:$C,QUERY!BN:BN)</f>
        <v>6964896</v>
      </c>
      <c r="HN124" s="3" t="str">
        <f>_xlfn.XLOOKUP(B124,QUERY!$C:$C,QUERY!BO:BO)</f>
        <v>462.00</v>
      </c>
      <c r="HO124" s="3" t="str">
        <f>_xlfn.XLOOKUP(B124,QUERY!$C:$C,QUERY!BP:BP)</f>
        <v>NULL</v>
      </c>
      <c r="HP124" s="3" t="str">
        <f>_xlfn.XLOOKUP(B124,QUERY!$C:$C,QUERY!BQ:BQ)</f>
        <v>NULL</v>
      </c>
      <c r="HQ124" s="3" t="str">
        <f>_xlfn.XLOOKUP(B124,QUERY!$C:$C,QUERY!BR:BR)</f>
        <v>168023.32</v>
      </c>
      <c r="HR124" s="3">
        <f>_xlfn.XLOOKUP(B124,QUERY!$C:$C,QUERY!BS:BS)</f>
        <v>0</v>
      </c>
      <c r="HS124" s="3">
        <f>_xlfn.XLOOKUP(B124,QUERY!$C:$C,QUERY!BT:BT)</f>
        <v>0</v>
      </c>
      <c r="HT124" s="3" t="str">
        <f>_xlfn.XLOOKUP(B124,QUERY!$C:$C,QUERY!A:A)</f>
        <v>VERACRUZ</v>
      </c>
      <c r="HU124" s="3" t="str">
        <f>_xlfn.XLOOKUP(B124,QUERY!$C:$C,QUERY!B:B)</f>
        <v>MARÍTIMO VERACRUZ</v>
      </c>
    </row>
    <row r="125" spans="1:229" x14ac:dyDescent="0.25">
      <c r="A125" s="3" t="s">
        <v>90</v>
      </c>
      <c r="B125" s="3" t="s">
        <v>374</v>
      </c>
      <c r="C125" s="3">
        <v>3942</v>
      </c>
      <c r="D125" s="3">
        <v>6000401</v>
      </c>
      <c r="E125" s="3"/>
      <c r="F125" s="3" t="s">
        <v>92</v>
      </c>
      <c r="G125" s="3" t="s">
        <v>93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430</v>
      </c>
      <c r="S125" s="3" t="s">
        <v>375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 t="s">
        <v>382</v>
      </c>
      <c r="AB125" s="3"/>
      <c r="AC125" s="3">
        <v>392006</v>
      </c>
      <c r="AD125" s="3">
        <v>44.959969999999998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/>
      <c r="AP125" s="3" t="s">
        <v>98</v>
      </c>
      <c r="AQ125" s="3">
        <v>210367626</v>
      </c>
      <c r="AR125" s="3" t="s">
        <v>99</v>
      </c>
      <c r="AS125" s="3" t="s">
        <v>100</v>
      </c>
      <c r="AT125" s="3">
        <v>0</v>
      </c>
      <c r="AU125" s="3">
        <v>0</v>
      </c>
      <c r="AV125" s="3">
        <v>0</v>
      </c>
      <c r="AW125" s="3">
        <v>30049099</v>
      </c>
      <c r="AX125" s="3">
        <v>99</v>
      </c>
      <c r="AY125" s="3">
        <v>8719</v>
      </c>
      <c r="AZ125" s="3">
        <v>8719</v>
      </c>
      <c r="BA125" s="3" t="s">
        <v>121</v>
      </c>
      <c r="BB125" s="3"/>
      <c r="BC125" s="3" t="s">
        <v>105</v>
      </c>
      <c r="BD125" s="3" t="s">
        <v>105</v>
      </c>
      <c r="BE125" s="3"/>
      <c r="BF125" s="3"/>
      <c r="BG125" s="5"/>
      <c r="BH125" s="3"/>
      <c r="BI125" s="3"/>
      <c r="BJ125" s="3"/>
      <c r="BK125" s="3" t="s">
        <v>381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 t="s">
        <v>192</v>
      </c>
      <c r="CF125" s="3">
        <v>0</v>
      </c>
      <c r="CG125" s="3">
        <v>0</v>
      </c>
      <c r="CH125" s="3">
        <v>0</v>
      </c>
      <c r="CI125" s="3" t="s">
        <v>112</v>
      </c>
      <c r="CJ125" s="3" t="s">
        <v>112</v>
      </c>
      <c r="CK125" s="3">
        <f>_xlfn.XLOOKUP($B$2,'BASE DE EXCEL'!C:C,'BASE DE EXCEL'!D:D,"NO HAY REFERENCIA")</f>
        <v>470</v>
      </c>
      <c r="CL125" s="5">
        <f>_xlfn.XLOOKUP($B$2,'BASE DE EXCEL'!$C:$C,'BASE DE EXCEL'!F:F,"NO HAY REFERENCIA")</f>
        <v>3</v>
      </c>
      <c r="CM125" s="4">
        <f>_xlfn.XLOOKUP($B$2,'BASE DE EXCEL'!$C:$C,'BASE DE EXCEL'!G:G,"NO HAY REFERENCIA")</f>
        <v>46080</v>
      </c>
      <c r="CN125" s="4">
        <f>_xlfn.XLOOKUP($B$2,'BASE DE EXCEL'!$C:$C,'BASE DE EXCEL'!H:H,"NO HAY REFERENCIA")</f>
        <v>46086</v>
      </c>
      <c r="CO125" s="3">
        <f>_xlfn.XLOOKUP($B$2,'BASE DE EXCEL'!$C:$C,'BASE DE EXCEL'!I:I,"NO HAY REFERENCIA")</f>
        <v>4</v>
      </c>
      <c r="CP125" s="3" t="str">
        <f>_xlfn.XLOOKUP($B$2,'BASE DE EXCEL'!$C:$C,'BASE DE EXCEL'!J:J,"NO HAY REFERENCIA")</f>
        <v>4 a 5 días</v>
      </c>
      <c r="CQ125" s="4">
        <f>_xlfn.XLOOKUP($B$2,'BASE DE EXCEL'!$C:$C,'BASE DE EXCEL'!K:K,"NO HAY REFERENCIA")</f>
        <v>46087</v>
      </c>
      <c r="CR125" s="3">
        <f>_xlfn.XLOOKUP($B$2,'BASE DE EXCEL'!$C:$C,'BASE DE EXCEL'!L:L,"NO HAY REFERENCIA")</f>
        <v>5</v>
      </c>
      <c r="CS125" s="3">
        <f>_xlfn.XLOOKUP($B$2,'BASE DE EXCEL'!$C:$C,'BASE DE EXCEL'!M:M,"NO HAY REFERENCIA")</f>
        <v>6</v>
      </c>
      <c r="CT125" s="3" t="str">
        <f>_xlfn.XLOOKUP($B$2,'BASE DE EXCEL'!$C:$C,'BASE DE EXCEL'!N:N,"NO HAY REFERENCIA")</f>
        <v>6 a 10 días</v>
      </c>
      <c r="CU125" s="3" t="str">
        <f>_xlfn.XLOOKUP($B$2,'BASE DE EXCEL'!$C:$C,'BASE DE EXCEL'!O:O,"NO HAY REFERENCIA")</f>
        <v>On Time</v>
      </c>
      <c r="CV125" s="3" t="str">
        <f>_xlfn.XLOOKUP(B125,'BASE DE EXCEL'!$C:$C,'BASE DE EXCEL'!P:P,"NO HAY REFERENCIA")</f>
        <v>6 a 10 días</v>
      </c>
      <c r="CW125" s="4">
        <f>_xlfn.XLOOKUP(B125,'BASE DE EXCEL'!$C:$C,'BASE DE EXCEL'!Q:Q,"NO HAY REFERENCIA")</f>
        <v>46119</v>
      </c>
      <c r="CX125" s="3">
        <f>_xlfn.XLOOKUP(B125,'BASE DE EXCEL'!$C:$C,'BASE DE EXCEL'!R:R,"NO HAY REFERENCIA")</f>
        <v>5</v>
      </c>
      <c r="CY125" s="3" t="str">
        <f>_xlfn.XLOOKUP(B125,'BASE DE EXCEL'!$C:$C,'BASE DE EXCEL'!S:S,"NO HAY REFERENCIA")</f>
        <v>4 a 5 días</v>
      </c>
      <c r="CZ125" s="3" t="str">
        <f>_xlfn.XLOOKUP(B125,'BASE DE EXCEL'!$C:$C,'BASE DE EXCEL'!T:T,"NO HAY REFERENCIA")</f>
        <v>On Time</v>
      </c>
      <c r="DA125" s="3">
        <f>_xlfn.XLOOKUP(B125,'BASE DE EXCEL'!$C:$C,'BASE DE EXCEL'!U:U,"NO HAY REFERENCIA")</f>
        <v>8</v>
      </c>
      <c r="DB125" s="3" t="str">
        <f>_xlfn.XLOOKUP(B125,'BASE DE EXCEL'!$C:$C,'BASE DE EXCEL'!V:V,"NO HAY REFERENCIA")</f>
        <v>6 a 10 días</v>
      </c>
      <c r="DC125" s="3">
        <f>_xlfn.XLOOKUP(B125,'BASE DE EXCEL'!$C:$C,'BASE DE EXCEL'!W:W,"NO HAY REFERENCIA")</f>
        <v>18</v>
      </c>
      <c r="DD125" s="3" t="str">
        <f>_xlfn.XLOOKUP(B125,'BASE DE EXCEL'!$C:$C,'BASE DE EXCEL'!X:X,"NO HAY REFERENCIA")</f>
        <v>más de 16 días</v>
      </c>
      <c r="DE125" s="3">
        <f>_xlfn.XLOOKUP(B125,'BASE DE EXCEL'!$C:$C,'BASE DE EXCEL'!Y:Y,"NO HAY REFERENCIA")</f>
        <v>0</v>
      </c>
      <c r="DF125" s="3" t="str">
        <f>_xlfn.XLOOKUP(B125,'BASE DE EXCEL'!$C:$C,'BASE DE EXCEL'!Z:Z,"NO HAY REFERENCIA")</f>
        <v>1 día o menos</v>
      </c>
      <c r="DG125" s="3">
        <f>_xlfn.XLOOKUP(B125,'BASE DE EXCEL'!$C:$C,'BASE DE EXCEL'!AA:AA,"NO HAY REFERENCIA")</f>
        <v>7</v>
      </c>
      <c r="DH125" s="3">
        <f>_xlfn.XLOOKUP(B125,'BASE DE EXCEL'!$C:$C,'BASE DE EXCEL'!AB:AB,"NO HAY REFERENCIA")</f>
        <v>1</v>
      </c>
      <c r="DI125" s="3" t="str">
        <f>_xlfn.XLOOKUP(B125,'BASE DE EXCEL'!$C:$C,'BASE DE EXCEL'!AC:AC,"NO HAY REFERENCIA")</f>
        <v>1 día o menos</v>
      </c>
      <c r="DJ125" s="4">
        <f>_xlfn.XLOOKUP(B125,'BASE DE EXCEL'!$C:$C,'BASE DE EXCEL'!AD:AD,"NO HAY REFERENCIA")</f>
        <v>46135</v>
      </c>
      <c r="DK125" s="3">
        <f>_xlfn.XLOOKUP(B125,'BASE DE EXCEL'!$C:$C,'BASE DE EXCEL'!AE:AE,"NO HAY REFERENCIA")</f>
        <v>16</v>
      </c>
      <c r="DL125" s="3">
        <f>_xlfn.XLOOKUP(B125,'BASE DE EXCEL'!$C:$C,'BASE DE EXCEL'!AF:AF,"NO HAY REFERENCIA")</f>
        <v>12</v>
      </c>
      <c r="DM125" s="4">
        <f>_xlfn.XLOOKUP(B125,'BASE DE EXCEL'!$C:$C,'BASE DE EXCEL'!AG:AG,"NO HAY REFERENCIA")</f>
        <v>46135</v>
      </c>
      <c r="DN125" s="4">
        <f>_xlfn.XLOOKUP(B125,'BASE DE EXCEL'!$C:$C,'BASE DE EXCEL'!AH:AH,"NO HAY REFERENCIA")</f>
        <v>46135</v>
      </c>
      <c r="DO125" s="3">
        <f>_xlfn.XLOOKUP(B125,'BASE DE EXCEL'!$C:$C,'BASE DE EXCEL'!AI:AI,"NO HAY REFERENCIA")</f>
        <v>0</v>
      </c>
      <c r="DP125" s="4" t="str">
        <f>_xlfn.XLOOKUP(B125,'BASE DE EXCEL'!$C:$C,'BASE DE EXCEL'!AJ:AJ,"NO HAY REFERENCIA")</f>
        <v>más de 16 días</v>
      </c>
      <c r="DQ125" s="4">
        <f>_xlfn.XLOOKUP(B125,'BASE DE EXCEL'!$C:$C,'BASE DE EXCEL'!AK:AK,"NO HAY REFERENCIA")</f>
        <v>46135</v>
      </c>
      <c r="DR125" s="3">
        <f>_xlfn.XLOOKUP(B125,'BASE DE EXCEL'!$C:$C,'BASE DE EXCEL'!AL:AL,"NO HAY REFERENCIA")</f>
        <v>13</v>
      </c>
      <c r="DS125" s="3" t="str">
        <f>_xlfn.XLOOKUP(B125,'BASE DE EXCEL'!$C:$C,'BASE DE EXCEL'!AM:AM,"NO HAY REFERENCIA")</f>
        <v>11 a 15 días</v>
      </c>
      <c r="DT125" s="3" t="str">
        <f>_xlfn.XLOOKUP(B125,'BASE DE EXCEL'!$C:$C,'BASE DE EXCEL'!AN:AN,"NO HAY REFERENCIA")</f>
        <v>Delayed</v>
      </c>
      <c r="DU125" s="3">
        <f>_xlfn.XLOOKUP(B125,'BASE DE EXCEL'!$C:$C,'BASE DE EXCEL'!AO:AO,"NO HAY REFERENCIA")</f>
        <v>1</v>
      </c>
      <c r="DV125" s="3" t="str">
        <f>_xlfn.XLOOKUP(B125,'BASE DE EXCEL'!$C:$C,'BASE DE EXCEL'!AP:AP,"NO HAY REFERENCIA")</f>
        <v>Es anterior</v>
      </c>
      <c r="DW125" s="3" t="str">
        <f>_xlfn.XLOOKUP(B125,'BASE DE EXCEL'!$C:$C,'BASE DE EXCEL'!AQ:AQ,"NO HAY REFERENCIA")</f>
        <v>A1</v>
      </c>
      <c r="DX125" s="3" t="str">
        <f>_xlfn.XLOOKUP(B125,'BASE DE EXCEL'!$C:$C,'BASE DE EXCEL'!AR:AR,"NO HAY REFERENCIA")</f>
        <v>ZULEIMA PEREZ RUIZ</v>
      </c>
      <c r="DY125" s="3" t="str">
        <f>_xlfn.XLOOKUP(B125,'BASE DE EXCEL'!$C:$C,'BASE DE EXCEL'!AS:AS,"NO HAY REFERENCIA")</f>
        <v>HLCUANR260249908</v>
      </c>
      <c r="DZ125" s="3" t="str">
        <f>_xlfn.XLOOKUP(B125,'BASE DE EXCEL'!$C:$C,'BASE DE EXCEL'!AT:AT,"NO HAY REFERENCIA")</f>
        <v>NULL</v>
      </c>
      <c r="EA125" s="3">
        <f>_xlfn.XLOOKUP(B125,'BASE DE EXCEL'!$C:$C,'BASE DE EXCEL'!AU:AU,"NO HAY REFERENCIA")</f>
        <v>6000401</v>
      </c>
      <c r="EB125" s="3" t="str">
        <f>_xlfn.XLOOKUP(B125,'BASE DE EXCEL'!$C:$C,'BASE DE EXCEL'!AV:AV,"NO HAY REFERENCIA")</f>
        <v>Importación</v>
      </c>
      <c r="EC125" s="3" t="str">
        <f>_xlfn.XLOOKUP(B125,'BASE DE EXCEL'!$C:$C,'BASE DE EXCEL'!AW:AW,"NO HAY REFERENCIA")</f>
        <v>HALOCUR (MEDICAMENTO DOSIFICADO DE USO VETERINARIO)</v>
      </c>
      <c r="ED125" s="3" t="str">
        <f>_xlfn.XLOOKUP(B125,'BASE DE EXCEL'!$C:$C,'BASE DE EXCEL'!AX:AX,"NO HAY REFERENCIA")</f>
        <v>SIN CLASIFICACION</v>
      </c>
      <c r="EE125" s="3">
        <f>_xlfn.XLOOKUP(B125,'BASE DE EXCEL'!$C:$C,'BASE DE EXCEL'!AY:AY,"NO HAY REFERENCIA")</f>
        <v>0</v>
      </c>
      <c r="EF125" s="3" t="str">
        <f>_xlfn.XLOOKUP(B125,'BASE DE EXCEL'!$C:$C,'BASE DE EXCEL'!AZ:AZ,"NO HAY REFERENCIA")</f>
        <v>Cargas de Importación</v>
      </c>
      <c r="EG125" s="3" t="str">
        <f>_xlfn.XLOOKUP(B125,'BASE DE EXCEL'!$C:$C,'BASE DE EXCEL'!BA:BA,"NO HAY REFERENCIA")</f>
        <v>INTERVET MEXICO SA DE CV</v>
      </c>
      <c r="EH125" s="3">
        <f>_xlfn.XLOOKUP(B125,'BASE DE EXCEL'!$C:$C,'BASE DE EXCEL'!BB:BB,"NO HAY REFERENCIA")</f>
        <v>0</v>
      </c>
      <c r="EI125" s="3">
        <f>_xlfn.XLOOKUP(B125,'BASE DE EXCEL'!$C:$C,'BASE DE EXCEL'!BC:BC,"NO HAY REFERENCIA")</f>
        <v>0</v>
      </c>
      <c r="EJ125" s="3">
        <f>_xlfn.XLOOKUP(B125,'BASE DE EXCEL'!$C:$C,'BASE DE EXCEL'!BD:BD,"NO HAY REFERENCIA")</f>
        <v>0</v>
      </c>
      <c r="EK125" s="3">
        <f>_xlfn.XLOOKUP(B125,'BASE DE EXCEL'!$C:$C,'BASE DE EXCEL'!BE:BE,"NO HAY REFERENCIA")</f>
        <v>0</v>
      </c>
      <c r="EL125" s="3" t="str">
        <f>_xlfn.XLOOKUP(B125,'BASE DE EXCEL'!$C:$C,'BASE DE EXCEL'!BF:BF,"NO HAY REFERENCIA")</f>
        <v>PRODUCTO TERMINADO</v>
      </c>
      <c r="EM125" s="3" t="str">
        <f>_xlfn.XLOOKUP(B125,'BASE DE EXCEL'!$C:$C,'BASE DE EXCEL'!BG:BG,"NO HAY REFERENCIA")</f>
        <v>Verde</v>
      </c>
      <c r="EN125" s="3" t="str">
        <f>_xlfn.XLOOKUP(B125,'BASE DE EXCEL'!$C:$C,'BASE DE EXCEL'!BH:BH,"NO HAY REFERENCIA")</f>
        <v xml:space="preserve"> SUPER EXPRESS DE CARGA FEDERAL S.A. DE C.V.</v>
      </c>
      <c r="EO125" s="3">
        <f>_xlfn.XLOOKUP(B125,'BASE DE EXCEL'!$C:$C,'BASE DE EXCEL'!BI:BI,"NO HAY REFERENCIA")</f>
        <v>0</v>
      </c>
      <c r="EP125" s="3" t="str">
        <f>_xlfn.XLOOKUP(B125,'BASE DE EXCEL'!$C:$C,'BASE DE EXCEL'!BJ:BJ,"NO HAY REFERENCIA")</f>
        <v>IME-T004</v>
      </c>
      <c r="EQ125" s="3" t="str">
        <f>_xlfn.XLOOKUP(B125,'BASE DE EXCEL'!$C:$C,'BASE DE EXCEL'!BK:BK,"NO HAY REFERENCIA")</f>
        <v>IME850329RH2</v>
      </c>
      <c r="ER125" s="3">
        <f>_xlfn.XLOOKUP(B125,'BASE DE EXCEL'!$C:$C,'BASE DE EXCEL'!BL:BL,"NO HAY REFERENCIA")</f>
        <v>0</v>
      </c>
      <c r="ES125" s="3" t="str">
        <f>_xlfn.XLOOKUP(B125,'BASE DE EXCEL'!$C:$C,'BASE DE EXCEL'!BM:BM,"NO HAY REFERENCIA")</f>
        <v>00,99</v>
      </c>
      <c r="ET125" s="3" t="str">
        <f>_xlfn.XLOOKUP(B125,'BASE DE EXCEL'!$C:$C,'BASE DE EXCEL'!BN:BN,"NO HAY REFERENCIA")</f>
        <v>LOTE: F292A02,LOTE: 5774102,LOTE: H114B01,LOTE: A221A01,LOTE: J786A01,LOTE: S491601,LOTE: H101A01</v>
      </c>
      <c r="EU125" s="3">
        <f>_xlfn.XLOOKUP(B125,'BASE DE EXCEL'!$C:$C,'BASE DE EXCEL'!BO:BO,"NO HAY REFERENCIA")</f>
        <v>90</v>
      </c>
      <c r="EV125" s="3" t="str">
        <f>_xlfn.XLOOKUP(B125,'BASE DE EXCEL'!$C:$C,'BASE DE EXCEL'!BP:BP,"NO HAY REFERENCIA")</f>
        <v xml:space="preserve"> 2162410.07, 1803708.00, 1926255.36, 1072522.92</v>
      </c>
      <c r="EW125" s="3" t="str">
        <f>_xlfn.XLOOKUP(B125,'BASE DE EXCEL'!$C:$C,'BASE DE EXCEL'!BQ:BQ,"NO HAY REFERENCIA")</f>
        <v>KILO,KILO,KILO,KILO,KILO,KILO,KILO</v>
      </c>
      <c r="EX125" s="3">
        <f>_xlfn.XLOOKUP(B125,'BASE DE EXCEL'!$C:$C,'BASE DE EXCEL'!BR:BR,"NO HAY REFERENCIA")</f>
        <v>0</v>
      </c>
      <c r="EY125" s="3" t="str">
        <f>_xlfn.XLOOKUP(B125,'BASE DE EXCEL'!$C:$C,'BASE DE EXCEL'!BS:BS,"NO HAY REFERENCIA")</f>
        <v>ALEMANIA (REPUBLICA FEDERAL DE),FRANCIA (REPUBLICA FRANCESA),PAISES BAJOS (REINO DE LOS) (HOLANDA)</v>
      </c>
      <c r="EZ125" s="3" t="str">
        <f>_xlfn.XLOOKUP(B125,'BASE DE EXCEL'!$C:$C,'BASE DE EXCEL'!BT:BT,"NO HAY REFERENCIA")</f>
        <v>PAISES BAJOS (REINO DE LOS) (HOLANDA)</v>
      </c>
      <c r="FA125" s="3" t="str">
        <f>_xlfn.XLOOKUP(B125,'BASE DE EXCEL'!$C:$C,'BASE DE EXCEL'!BU:BU,"NO HAY REFERENCIA")</f>
        <v>DEU,FRA,ZYA</v>
      </c>
      <c r="FB125" s="3" t="str">
        <f>_xlfn.XLOOKUP(B125,'BASE DE EXCEL'!$C:$C,'BASE DE EXCEL'!BV:BV,"NO HAY REFERENCIA")</f>
        <v>ZYA</v>
      </c>
      <c r="FC125" s="3">
        <f>_xlfn.XLOOKUP(B125,QUERY!$C:$C,QUERY!D:D)</f>
        <v>430</v>
      </c>
      <c r="FD125" s="4">
        <f>_xlfn.XLOOKUP(B125,QUERY!$C:$C,QUERY!E:E)</f>
        <v>46118</v>
      </c>
      <c r="FE125" s="3">
        <f>_xlfn.XLOOKUP(B125,QUERY!$C:$C,QUERY!F:F)</f>
        <v>4</v>
      </c>
      <c r="FF125" s="4">
        <f>_xlfn.XLOOKUP(B125,QUERY!$C:$C,QUERY!G:G)</f>
        <v>46111</v>
      </c>
      <c r="FG125" s="4">
        <f>_xlfn.XLOOKUP(B125,QUERY!$C:$C,QUERY!H:H)</f>
        <v>46118</v>
      </c>
      <c r="FH125" s="3">
        <f>_xlfn.XLOOKUP(B125,QUERY!$C:$C,QUERY!I:I)</f>
        <v>5</v>
      </c>
      <c r="FI125" s="3" t="str">
        <f>_xlfn.XLOOKUP(B125,QUERY!$C:$C,QUERY!J:J)</f>
        <v>4 a 5 días</v>
      </c>
      <c r="FJ125" s="4">
        <f>_xlfn.XLOOKUP(B125,QUERY!$C:$C,QUERY!K:K)</f>
        <v>46118</v>
      </c>
      <c r="FK125" s="3">
        <f>_xlfn.XLOOKUP(B125,QUERY!$C:$C,QUERY!L:L)</f>
        <v>5</v>
      </c>
      <c r="FL125" s="3" t="str">
        <f>_xlfn.XLOOKUP(B125,QUERY!$C:$C,QUERY!M:M)</f>
        <v>4 a 5 días</v>
      </c>
      <c r="FM125" s="3">
        <f>_xlfn.XLOOKUP(B125,QUERY!$C:$C,QUERY!N:N)</f>
        <v>0</v>
      </c>
      <c r="FN125" s="3" t="str">
        <f>_xlfn.XLOOKUP(B125,QUERY!$C:$C,QUERY!O:O)</f>
        <v>1 día o menos</v>
      </c>
      <c r="FO125" s="3">
        <f>_xlfn.XLOOKUP(B125,QUERY!$C:$C,QUERY!P:P)</f>
        <v>0</v>
      </c>
      <c r="FP125" s="3">
        <f>_xlfn.XLOOKUP(B125,QUERY!$C:$C,QUERY!Q:Q)</f>
        <v>1</v>
      </c>
      <c r="FQ125" s="3" t="str">
        <f>_xlfn.XLOOKUP(B125,QUERY!$C:$C,QUERY!R:R)</f>
        <v>1 día o menos</v>
      </c>
      <c r="FR125" s="4">
        <f>_xlfn.XLOOKUP(B125,QUERY!$C:$C,QUERY!S:S)</f>
        <v>46119</v>
      </c>
      <c r="FS125" s="3">
        <f>_xlfn.XLOOKUP(B125,QUERY!$C:$C,QUERY!T:T)</f>
        <v>6</v>
      </c>
      <c r="FT125" s="3" t="str">
        <f>_xlfn.XLOOKUP(B125,QUERY!$C:$C,QUERY!U:U)</f>
        <v>6 a 10 días</v>
      </c>
      <c r="FU125" s="3">
        <f>_xlfn.XLOOKUP(B125,QUERY!$C:$C,QUERY!V:V)</f>
        <v>18</v>
      </c>
      <c r="FV125" s="3" t="str">
        <f>_xlfn.XLOOKUP(B125,QUERY!$C:$C,QUERY!W:W)</f>
        <v>más de 16 días</v>
      </c>
      <c r="FW125" s="4">
        <f>_xlfn.XLOOKUP(B125,QUERY!$C:$C,QUERY!X:X)</f>
        <v>46135</v>
      </c>
      <c r="FX125" s="3">
        <f>_xlfn.XLOOKUP(B125,QUERY!$C:$C,QUERY!Y:Y)</f>
        <v>12</v>
      </c>
      <c r="FY125" s="3">
        <f>_xlfn.XLOOKUP(B125,QUERY!$C:$C,QUERY!Z:Z)</f>
        <v>12</v>
      </c>
      <c r="FZ125" s="4" t="str">
        <f>_xlfn.XLOOKUP(B125,QUERY!$C:$C,QUERY!AA:AA)</f>
        <v>más de 16 días</v>
      </c>
      <c r="GA125" s="4">
        <f>_xlfn.XLOOKUP(B125,QUERY!$C:$C,QUERY!AB:AB)</f>
        <v>46135</v>
      </c>
      <c r="GB125" s="4">
        <f>_xlfn.XLOOKUP(B125,QUERY!$C:$C,QUERY!AC:AC)</f>
        <v>46135</v>
      </c>
      <c r="GC125" s="3">
        <f>_xlfn.XLOOKUP(B125,QUERY!$C:$C,QUERY!AD:AD)</f>
        <v>0</v>
      </c>
      <c r="GD125" s="4">
        <f>_xlfn.XLOOKUP(B125,QUERY!$C:$C,QUERY!AE:AE)</f>
        <v>46135</v>
      </c>
      <c r="GE125" s="3">
        <f>_xlfn.XLOOKUP(B125,QUERY!$C:$C,QUERY!AF:AF)</f>
        <v>1</v>
      </c>
      <c r="GF125" s="4" t="str">
        <f>_xlfn.XLOOKUP(B125,QUERY!$C:$C,QUERY!AG:AG)</f>
        <v>Es anterior</v>
      </c>
      <c r="GG125" s="3" t="str">
        <f>_xlfn.XLOOKUP(B125,QUERY!$C:$C,QUERY!AH:AH)</f>
        <v>A1</v>
      </c>
      <c r="GH125" s="3" t="str">
        <f>_xlfn.XLOOKUP(B125,QUERY!$C:$C,QUERY!AI:AI)</f>
        <v>ZULEIMA PEREZ RUIZ</v>
      </c>
      <c r="GI125" s="3" t="str">
        <f>_xlfn.XLOOKUP(B125,QUERY!$C:$C,QUERY!AJ:AJ)</f>
        <v>HLCUANR260249908</v>
      </c>
      <c r="GJ125" s="3" t="str">
        <f>_xlfn.XLOOKUP(B125,QUERY!$C:$C,QUERY!AK:AK)</f>
        <v>NULL</v>
      </c>
      <c r="GK125" s="3">
        <f>_xlfn.XLOOKUP(B125,QUERY!$C:$C,QUERY!AL:AL)</f>
        <v>6000401</v>
      </c>
      <c r="GL125" s="3" t="str">
        <f>_xlfn.XLOOKUP(B125,QUERY!$C:$C,QUERY!AM:AM)</f>
        <v>Importación</v>
      </c>
      <c r="GM125" s="3" t="str">
        <f>_xlfn.XLOOKUP(B125,QUERY!$C:$C,QUERY!AN:AN)</f>
        <v>HALOCUR (MEDICAMENTO DOSIFICADO DE USO VETERINARIO)</v>
      </c>
      <c r="GN125" s="3" t="str">
        <f>_xlfn.XLOOKUP(B125,QUERY!$C:$C,QUERY!AO:AO)</f>
        <v>SIN CLASIFICACION</v>
      </c>
      <c r="GO125" s="3">
        <f>_xlfn.XLOOKUP(B125,QUERY!$C:$C,QUERY!AP:AP)</f>
        <v>0</v>
      </c>
      <c r="GP125" s="3" t="str">
        <f>_xlfn.XLOOKUP(B125,QUERY!$C:$C,QUERY!AQ:AQ)</f>
        <v>Cargas de Importación</v>
      </c>
      <c r="GQ125" s="3" t="str">
        <f>_xlfn.XLOOKUP(B125,QUERY!$C:$C,QUERY!AR:AR)</f>
        <v>INTERVET MEXICO SA DE CV</v>
      </c>
      <c r="GR125" s="3">
        <f>_xlfn.XLOOKUP(B125,QUERY!$C:$C,QUERY!AS:AS)</f>
        <v>0</v>
      </c>
      <c r="GS125" s="3">
        <f>_xlfn.XLOOKUP(B125,QUERY!$C:$C,QUERY!AT:AT)</f>
        <v>0</v>
      </c>
      <c r="GT125" s="3">
        <f>_xlfn.XLOOKUP(B125,QUERY!$C:$C,QUERY!AU:AU)</f>
        <v>0</v>
      </c>
      <c r="GU125" s="3">
        <f>_xlfn.XLOOKUP(B125,QUERY!$C:$C,QUERY!AV:AV)</f>
        <v>0</v>
      </c>
      <c r="GV125" s="3" t="str">
        <f>_xlfn.XLOOKUP(B125,QUERY!$C:$C,QUERY!AW:AW)</f>
        <v>PRODUCTO TERMINADO</v>
      </c>
      <c r="GW125" s="3" t="str">
        <f>_xlfn.XLOOKUP(B125,QUERY!$C:$C,QUERY!AX:AX)</f>
        <v>Verde</v>
      </c>
      <c r="GX125" s="3" t="str">
        <f>_xlfn.XLOOKUP(B125,QUERY!$C:$C,QUERY!AY:AY)</f>
        <v xml:space="preserve"> SUPER EXPRESS DE CARGA FEDERAL S.A. DE C.V.</v>
      </c>
      <c r="GY125" s="3">
        <f>_xlfn.XLOOKUP(B125,QUERY!$C:$C,QUERY!AZ:AZ)</f>
        <v>0</v>
      </c>
      <c r="GZ125" s="3" t="str">
        <f>_xlfn.XLOOKUP(B125,QUERY!$C:$C,QUERY!BA:BA)</f>
        <v>IME-T004</v>
      </c>
      <c r="HA125" s="3" t="str">
        <f>_xlfn.XLOOKUP(B125,QUERY!$C:$C,QUERY!BB:BB)</f>
        <v>IME850329RH2</v>
      </c>
      <c r="HB125" s="3">
        <f>_xlfn.XLOOKUP(B125,QUERY!$C:$C,QUERY!BC:BC)</f>
        <v>0</v>
      </c>
      <c r="HC125" s="3">
        <f>_xlfn.XLOOKUP(B125,QUERY!$C:$C,QUERY!BD:BD)</f>
        <v>0.99</v>
      </c>
      <c r="HD125" s="3" t="str">
        <f>_xlfn.XLOOKUP(B125,QUERY!$C:$C,QUERY!BE:BE)</f>
        <v>LOTE: F292A02,LOTE: 5774102,LOTE: H114B01,LOTE: A221A01,LOTE: J786A01,LOTE: S491601,LOTE: H101A01</v>
      </c>
      <c r="HE125" s="3">
        <f>_xlfn.XLOOKUP(B125,QUERY!$C:$C,QUERY!BF:BF)</f>
        <v>90</v>
      </c>
      <c r="HF125" s="3" t="str">
        <f>_xlfn.XLOOKUP(B125,QUERY!$C:$C,QUERY!BG:BG)</f>
        <v xml:space="preserve"> 2162410.07, 1803708.00, 1926255.36, 1072522.92</v>
      </c>
      <c r="HG125" s="3" t="str">
        <f>_xlfn.XLOOKUP(B125,QUERY!$C:$C,QUERY!BH:BH)</f>
        <v>KILO,KILO,KILO,KILO,KILO,KILO,KILO</v>
      </c>
      <c r="HH125" s="3">
        <f>_xlfn.XLOOKUP(B125,QUERY!$C:$C,QUERY!BI:BI)</f>
        <v>0</v>
      </c>
      <c r="HI125" s="3" t="str">
        <f>_xlfn.XLOOKUP(B125,QUERY!$C:$C,QUERY!BJ:BJ)</f>
        <v>ALEMANIA (REPUBLICA FEDERAL DE),FRANCIA (REPUBLICA FRANCESA),PAISES BAJOS (REINO DE LOS) (HOLANDA)</v>
      </c>
      <c r="HJ125" s="3" t="str">
        <f>_xlfn.XLOOKUP(B125,QUERY!$C:$C,QUERY!BK:BK)</f>
        <v>PAISES BAJOS (REINO DE LOS) (HOLANDA)</v>
      </c>
      <c r="HK125" s="3" t="str">
        <f>_xlfn.XLOOKUP(B125,QUERY!$C:$C,QUERY!BL:BL)</f>
        <v>DEU,FRA,ZYA</v>
      </c>
      <c r="HL125" s="3" t="str">
        <f>_xlfn.XLOOKUP(B125,QUERY!$C:$C,QUERY!BM:BM)</f>
        <v>ZYA</v>
      </c>
      <c r="HM125" s="3">
        <f>_xlfn.XLOOKUP(B125,QUERY!$C:$C,QUERY!BN:BN)</f>
        <v>6964896</v>
      </c>
      <c r="HN125" s="3" t="str">
        <f>_xlfn.XLOOKUP(B125,QUERY!$C:$C,QUERY!BO:BO)</f>
        <v>462.00</v>
      </c>
      <c r="HO125" s="3" t="str">
        <f>_xlfn.XLOOKUP(B125,QUERY!$C:$C,QUERY!BP:BP)</f>
        <v>NULL</v>
      </c>
      <c r="HP125" s="3" t="str">
        <f>_xlfn.XLOOKUP(B125,QUERY!$C:$C,QUERY!BQ:BQ)</f>
        <v>NULL</v>
      </c>
      <c r="HQ125" s="3" t="str">
        <f>_xlfn.XLOOKUP(B125,QUERY!$C:$C,QUERY!BR:BR)</f>
        <v>168023.32</v>
      </c>
      <c r="HR125" s="3">
        <f>_xlfn.XLOOKUP(B125,QUERY!$C:$C,QUERY!BS:BS)</f>
        <v>0</v>
      </c>
      <c r="HS125" s="3">
        <f>_xlfn.XLOOKUP(B125,QUERY!$C:$C,QUERY!BT:BT)</f>
        <v>0</v>
      </c>
      <c r="HT125" s="3" t="str">
        <f>_xlfn.XLOOKUP(B125,QUERY!$C:$C,QUERY!A:A)</f>
        <v>VERACRUZ</v>
      </c>
      <c r="HU125" s="3" t="str">
        <f>_xlfn.XLOOKUP(B125,QUERY!$C:$C,QUERY!B:B)</f>
        <v>MARÍTIMO VERACRUZ</v>
      </c>
    </row>
    <row r="126" spans="1:229" x14ac:dyDescent="0.25">
      <c r="A126" s="3" t="s">
        <v>90</v>
      </c>
      <c r="B126" s="3" t="s">
        <v>374</v>
      </c>
      <c r="C126" s="3">
        <v>3942</v>
      </c>
      <c r="D126" s="3">
        <v>6000401</v>
      </c>
      <c r="E126" s="3"/>
      <c r="F126" s="3" t="s">
        <v>92</v>
      </c>
      <c r="G126" s="3" t="s">
        <v>93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430</v>
      </c>
      <c r="S126" s="3" t="s">
        <v>375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 t="s">
        <v>123</v>
      </c>
      <c r="AB126" s="3"/>
      <c r="AC126" s="3">
        <v>215727</v>
      </c>
      <c r="AD126" s="3">
        <v>49.959940000000003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/>
      <c r="AP126" s="3" t="s">
        <v>98</v>
      </c>
      <c r="AQ126" s="3">
        <v>210367626</v>
      </c>
      <c r="AR126" s="3" t="s">
        <v>99</v>
      </c>
      <c r="AS126" s="3" t="s">
        <v>100</v>
      </c>
      <c r="AT126" s="3">
        <v>0</v>
      </c>
      <c r="AU126" s="3">
        <v>0</v>
      </c>
      <c r="AV126" s="3">
        <v>0</v>
      </c>
      <c r="AW126" s="3">
        <v>30049099</v>
      </c>
      <c r="AX126" s="3">
        <v>99</v>
      </c>
      <c r="AY126" s="3">
        <v>4318</v>
      </c>
      <c r="AZ126" s="3">
        <v>4318</v>
      </c>
      <c r="BA126" s="3" t="s">
        <v>103</v>
      </c>
      <c r="BB126" s="3"/>
      <c r="BC126" s="3" t="s">
        <v>105</v>
      </c>
      <c r="BD126" s="3" t="s">
        <v>105</v>
      </c>
      <c r="BE126" s="3"/>
      <c r="BF126" s="3"/>
      <c r="BG126" s="5"/>
      <c r="BH126" s="3"/>
      <c r="BI126" s="3"/>
      <c r="BJ126" s="3"/>
      <c r="BK126" s="3" t="s">
        <v>381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 t="s">
        <v>192</v>
      </c>
      <c r="CF126" s="3">
        <v>0</v>
      </c>
      <c r="CG126" s="3">
        <v>0</v>
      </c>
      <c r="CH126" s="3">
        <v>0</v>
      </c>
      <c r="CI126" s="3" t="s">
        <v>112</v>
      </c>
      <c r="CJ126" s="3" t="s">
        <v>112</v>
      </c>
      <c r="CK126" s="3">
        <f>_xlfn.XLOOKUP($B$2,'BASE DE EXCEL'!C:C,'BASE DE EXCEL'!D:D,"NO HAY REFERENCIA")</f>
        <v>470</v>
      </c>
      <c r="CL126" s="5">
        <f>_xlfn.XLOOKUP($B$2,'BASE DE EXCEL'!$C:$C,'BASE DE EXCEL'!F:F,"NO HAY REFERENCIA")</f>
        <v>3</v>
      </c>
      <c r="CM126" s="4">
        <f>_xlfn.XLOOKUP($B$2,'BASE DE EXCEL'!$C:$C,'BASE DE EXCEL'!G:G,"NO HAY REFERENCIA")</f>
        <v>46080</v>
      </c>
      <c r="CN126" s="4">
        <f>_xlfn.XLOOKUP($B$2,'BASE DE EXCEL'!$C:$C,'BASE DE EXCEL'!H:H,"NO HAY REFERENCIA")</f>
        <v>46086</v>
      </c>
      <c r="CO126" s="3">
        <f>_xlfn.XLOOKUP($B$2,'BASE DE EXCEL'!$C:$C,'BASE DE EXCEL'!I:I,"NO HAY REFERENCIA")</f>
        <v>4</v>
      </c>
      <c r="CP126" s="3" t="str">
        <f>_xlfn.XLOOKUP($B$2,'BASE DE EXCEL'!$C:$C,'BASE DE EXCEL'!J:J,"NO HAY REFERENCIA")</f>
        <v>4 a 5 días</v>
      </c>
      <c r="CQ126" s="4">
        <f>_xlfn.XLOOKUP($B$2,'BASE DE EXCEL'!$C:$C,'BASE DE EXCEL'!K:K,"NO HAY REFERENCIA")</f>
        <v>46087</v>
      </c>
      <c r="CR126" s="3">
        <f>_xlfn.XLOOKUP($B$2,'BASE DE EXCEL'!$C:$C,'BASE DE EXCEL'!L:L,"NO HAY REFERENCIA")</f>
        <v>5</v>
      </c>
      <c r="CS126" s="3">
        <f>_xlfn.XLOOKUP($B$2,'BASE DE EXCEL'!$C:$C,'BASE DE EXCEL'!M:M,"NO HAY REFERENCIA")</f>
        <v>6</v>
      </c>
      <c r="CT126" s="3" t="str">
        <f>_xlfn.XLOOKUP($B$2,'BASE DE EXCEL'!$C:$C,'BASE DE EXCEL'!N:N,"NO HAY REFERENCIA")</f>
        <v>6 a 10 días</v>
      </c>
      <c r="CU126" s="3" t="str">
        <f>_xlfn.XLOOKUP($B$2,'BASE DE EXCEL'!$C:$C,'BASE DE EXCEL'!O:O,"NO HAY REFERENCIA")</f>
        <v>On Time</v>
      </c>
      <c r="CV126" s="3" t="str">
        <f>_xlfn.XLOOKUP(B126,'BASE DE EXCEL'!$C:$C,'BASE DE EXCEL'!P:P,"NO HAY REFERENCIA")</f>
        <v>6 a 10 días</v>
      </c>
      <c r="CW126" s="4">
        <f>_xlfn.XLOOKUP(B126,'BASE DE EXCEL'!$C:$C,'BASE DE EXCEL'!Q:Q,"NO HAY REFERENCIA")</f>
        <v>46119</v>
      </c>
      <c r="CX126" s="3">
        <f>_xlfn.XLOOKUP(B126,'BASE DE EXCEL'!$C:$C,'BASE DE EXCEL'!R:R,"NO HAY REFERENCIA")</f>
        <v>5</v>
      </c>
      <c r="CY126" s="3" t="str">
        <f>_xlfn.XLOOKUP(B126,'BASE DE EXCEL'!$C:$C,'BASE DE EXCEL'!S:S,"NO HAY REFERENCIA")</f>
        <v>4 a 5 días</v>
      </c>
      <c r="CZ126" s="3" t="str">
        <f>_xlfn.XLOOKUP(B126,'BASE DE EXCEL'!$C:$C,'BASE DE EXCEL'!T:T,"NO HAY REFERENCIA")</f>
        <v>On Time</v>
      </c>
      <c r="DA126" s="3">
        <f>_xlfn.XLOOKUP(B126,'BASE DE EXCEL'!$C:$C,'BASE DE EXCEL'!U:U,"NO HAY REFERENCIA")</f>
        <v>8</v>
      </c>
      <c r="DB126" s="3" t="str">
        <f>_xlfn.XLOOKUP(B126,'BASE DE EXCEL'!$C:$C,'BASE DE EXCEL'!V:V,"NO HAY REFERENCIA")</f>
        <v>6 a 10 días</v>
      </c>
      <c r="DC126" s="3">
        <f>_xlfn.XLOOKUP(B126,'BASE DE EXCEL'!$C:$C,'BASE DE EXCEL'!W:W,"NO HAY REFERENCIA")</f>
        <v>18</v>
      </c>
      <c r="DD126" s="3" t="str">
        <f>_xlfn.XLOOKUP(B126,'BASE DE EXCEL'!$C:$C,'BASE DE EXCEL'!X:X,"NO HAY REFERENCIA")</f>
        <v>más de 16 días</v>
      </c>
      <c r="DE126" s="3">
        <f>_xlfn.XLOOKUP(B126,'BASE DE EXCEL'!$C:$C,'BASE DE EXCEL'!Y:Y,"NO HAY REFERENCIA")</f>
        <v>0</v>
      </c>
      <c r="DF126" s="3" t="str">
        <f>_xlfn.XLOOKUP(B126,'BASE DE EXCEL'!$C:$C,'BASE DE EXCEL'!Z:Z,"NO HAY REFERENCIA")</f>
        <v>1 día o menos</v>
      </c>
      <c r="DG126" s="3">
        <f>_xlfn.XLOOKUP(B126,'BASE DE EXCEL'!$C:$C,'BASE DE EXCEL'!AA:AA,"NO HAY REFERENCIA")</f>
        <v>7</v>
      </c>
      <c r="DH126" s="3">
        <f>_xlfn.XLOOKUP(B126,'BASE DE EXCEL'!$C:$C,'BASE DE EXCEL'!AB:AB,"NO HAY REFERENCIA")</f>
        <v>1</v>
      </c>
      <c r="DI126" s="3" t="str">
        <f>_xlfn.XLOOKUP(B126,'BASE DE EXCEL'!$C:$C,'BASE DE EXCEL'!AC:AC,"NO HAY REFERENCIA")</f>
        <v>1 día o menos</v>
      </c>
      <c r="DJ126" s="4">
        <f>_xlfn.XLOOKUP(B126,'BASE DE EXCEL'!$C:$C,'BASE DE EXCEL'!AD:AD,"NO HAY REFERENCIA")</f>
        <v>46135</v>
      </c>
      <c r="DK126" s="3">
        <f>_xlfn.XLOOKUP(B126,'BASE DE EXCEL'!$C:$C,'BASE DE EXCEL'!AE:AE,"NO HAY REFERENCIA")</f>
        <v>16</v>
      </c>
      <c r="DL126" s="3">
        <f>_xlfn.XLOOKUP(B126,'BASE DE EXCEL'!$C:$C,'BASE DE EXCEL'!AF:AF,"NO HAY REFERENCIA")</f>
        <v>12</v>
      </c>
      <c r="DM126" s="4">
        <f>_xlfn.XLOOKUP(B126,'BASE DE EXCEL'!$C:$C,'BASE DE EXCEL'!AG:AG,"NO HAY REFERENCIA")</f>
        <v>46135</v>
      </c>
      <c r="DN126" s="4">
        <f>_xlfn.XLOOKUP(B126,'BASE DE EXCEL'!$C:$C,'BASE DE EXCEL'!AH:AH,"NO HAY REFERENCIA")</f>
        <v>46135</v>
      </c>
      <c r="DO126" s="3">
        <f>_xlfn.XLOOKUP(B126,'BASE DE EXCEL'!$C:$C,'BASE DE EXCEL'!AI:AI,"NO HAY REFERENCIA")</f>
        <v>0</v>
      </c>
      <c r="DP126" s="4" t="str">
        <f>_xlfn.XLOOKUP(B126,'BASE DE EXCEL'!$C:$C,'BASE DE EXCEL'!AJ:AJ,"NO HAY REFERENCIA")</f>
        <v>más de 16 días</v>
      </c>
      <c r="DQ126" s="4">
        <f>_xlfn.XLOOKUP(B126,'BASE DE EXCEL'!$C:$C,'BASE DE EXCEL'!AK:AK,"NO HAY REFERENCIA")</f>
        <v>46135</v>
      </c>
      <c r="DR126" s="3">
        <f>_xlfn.XLOOKUP(B126,'BASE DE EXCEL'!$C:$C,'BASE DE EXCEL'!AL:AL,"NO HAY REFERENCIA")</f>
        <v>13</v>
      </c>
      <c r="DS126" s="3" t="str">
        <f>_xlfn.XLOOKUP(B126,'BASE DE EXCEL'!$C:$C,'BASE DE EXCEL'!AM:AM,"NO HAY REFERENCIA")</f>
        <v>11 a 15 días</v>
      </c>
      <c r="DT126" s="3" t="str">
        <f>_xlfn.XLOOKUP(B126,'BASE DE EXCEL'!$C:$C,'BASE DE EXCEL'!AN:AN,"NO HAY REFERENCIA")</f>
        <v>Delayed</v>
      </c>
      <c r="DU126" s="3">
        <f>_xlfn.XLOOKUP(B126,'BASE DE EXCEL'!$C:$C,'BASE DE EXCEL'!AO:AO,"NO HAY REFERENCIA")</f>
        <v>1</v>
      </c>
      <c r="DV126" s="3" t="str">
        <f>_xlfn.XLOOKUP(B126,'BASE DE EXCEL'!$C:$C,'BASE DE EXCEL'!AP:AP,"NO HAY REFERENCIA")</f>
        <v>Es anterior</v>
      </c>
      <c r="DW126" s="3" t="str">
        <f>_xlfn.XLOOKUP(B126,'BASE DE EXCEL'!$C:$C,'BASE DE EXCEL'!AQ:AQ,"NO HAY REFERENCIA")</f>
        <v>A1</v>
      </c>
      <c r="DX126" s="3" t="str">
        <f>_xlfn.XLOOKUP(B126,'BASE DE EXCEL'!$C:$C,'BASE DE EXCEL'!AR:AR,"NO HAY REFERENCIA")</f>
        <v>ZULEIMA PEREZ RUIZ</v>
      </c>
      <c r="DY126" s="3" t="str">
        <f>_xlfn.XLOOKUP(B126,'BASE DE EXCEL'!$C:$C,'BASE DE EXCEL'!AS:AS,"NO HAY REFERENCIA")</f>
        <v>HLCUANR260249908</v>
      </c>
      <c r="DZ126" s="3" t="str">
        <f>_xlfn.XLOOKUP(B126,'BASE DE EXCEL'!$C:$C,'BASE DE EXCEL'!AT:AT,"NO HAY REFERENCIA")</f>
        <v>NULL</v>
      </c>
      <c r="EA126" s="3">
        <f>_xlfn.XLOOKUP(B126,'BASE DE EXCEL'!$C:$C,'BASE DE EXCEL'!AU:AU,"NO HAY REFERENCIA")</f>
        <v>6000401</v>
      </c>
      <c r="EB126" s="3" t="str">
        <f>_xlfn.XLOOKUP(B126,'BASE DE EXCEL'!$C:$C,'BASE DE EXCEL'!AV:AV,"NO HAY REFERENCIA")</f>
        <v>Importación</v>
      </c>
      <c r="EC126" s="3" t="str">
        <f>_xlfn.XLOOKUP(B126,'BASE DE EXCEL'!$C:$C,'BASE DE EXCEL'!AW:AW,"NO HAY REFERENCIA")</f>
        <v>HALOCUR (MEDICAMENTO DOSIFICADO DE USO VETERINARIO)</v>
      </c>
      <c r="ED126" s="3" t="str">
        <f>_xlfn.XLOOKUP(B126,'BASE DE EXCEL'!$C:$C,'BASE DE EXCEL'!AX:AX,"NO HAY REFERENCIA")</f>
        <v>SIN CLASIFICACION</v>
      </c>
      <c r="EE126" s="3">
        <f>_xlfn.XLOOKUP(B126,'BASE DE EXCEL'!$C:$C,'BASE DE EXCEL'!AY:AY,"NO HAY REFERENCIA")</f>
        <v>0</v>
      </c>
      <c r="EF126" s="3" t="str">
        <f>_xlfn.XLOOKUP(B126,'BASE DE EXCEL'!$C:$C,'BASE DE EXCEL'!AZ:AZ,"NO HAY REFERENCIA")</f>
        <v>Cargas de Importación</v>
      </c>
      <c r="EG126" s="3" t="str">
        <f>_xlfn.XLOOKUP(B126,'BASE DE EXCEL'!$C:$C,'BASE DE EXCEL'!BA:BA,"NO HAY REFERENCIA")</f>
        <v>INTERVET MEXICO SA DE CV</v>
      </c>
      <c r="EH126" s="3">
        <f>_xlfn.XLOOKUP(B126,'BASE DE EXCEL'!$C:$C,'BASE DE EXCEL'!BB:BB,"NO HAY REFERENCIA")</f>
        <v>0</v>
      </c>
      <c r="EI126" s="3">
        <f>_xlfn.XLOOKUP(B126,'BASE DE EXCEL'!$C:$C,'BASE DE EXCEL'!BC:BC,"NO HAY REFERENCIA")</f>
        <v>0</v>
      </c>
      <c r="EJ126" s="3">
        <f>_xlfn.XLOOKUP(B126,'BASE DE EXCEL'!$C:$C,'BASE DE EXCEL'!BD:BD,"NO HAY REFERENCIA")</f>
        <v>0</v>
      </c>
      <c r="EK126" s="3">
        <f>_xlfn.XLOOKUP(B126,'BASE DE EXCEL'!$C:$C,'BASE DE EXCEL'!BE:BE,"NO HAY REFERENCIA")</f>
        <v>0</v>
      </c>
      <c r="EL126" s="3" t="str">
        <f>_xlfn.XLOOKUP(B126,'BASE DE EXCEL'!$C:$C,'BASE DE EXCEL'!BF:BF,"NO HAY REFERENCIA")</f>
        <v>PRODUCTO TERMINADO</v>
      </c>
      <c r="EM126" s="3" t="str">
        <f>_xlfn.XLOOKUP(B126,'BASE DE EXCEL'!$C:$C,'BASE DE EXCEL'!BG:BG,"NO HAY REFERENCIA")</f>
        <v>Verde</v>
      </c>
      <c r="EN126" s="3" t="str">
        <f>_xlfn.XLOOKUP(B126,'BASE DE EXCEL'!$C:$C,'BASE DE EXCEL'!BH:BH,"NO HAY REFERENCIA")</f>
        <v xml:space="preserve"> SUPER EXPRESS DE CARGA FEDERAL S.A. DE C.V.</v>
      </c>
      <c r="EO126" s="3">
        <f>_xlfn.XLOOKUP(B126,'BASE DE EXCEL'!$C:$C,'BASE DE EXCEL'!BI:BI,"NO HAY REFERENCIA")</f>
        <v>0</v>
      </c>
      <c r="EP126" s="3" t="str">
        <f>_xlfn.XLOOKUP(B126,'BASE DE EXCEL'!$C:$C,'BASE DE EXCEL'!BJ:BJ,"NO HAY REFERENCIA")</f>
        <v>IME-T004</v>
      </c>
      <c r="EQ126" s="3" t="str">
        <f>_xlfn.XLOOKUP(B126,'BASE DE EXCEL'!$C:$C,'BASE DE EXCEL'!BK:BK,"NO HAY REFERENCIA")</f>
        <v>IME850329RH2</v>
      </c>
      <c r="ER126" s="3">
        <f>_xlfn.XLOOKUP(B126,'BASE DE EXCEL'!$C:$C,'BASE DE EXCEL'!BL:BL,"NO HAY REFERENCIA")</f>
        <v>0</v>
      </c>
      <c r="ES126" s="3" t="str">
        <f>_xlfn.XLOOKUP(B126,'BASE DE EXCEL'!$C:$C,'BASE DE EXCEL'!BM:BM,"NO HAY REFERENCIA")</f>
        <v>00,99</v>
      </c>
      <c r="ET126" s="3" t="str">
        <f>_xlfn.XLOOKUP(B126,'BASE DE EXCEL'!$C:$C,'BASE DE EXCEL'!BN:BN,"NO HAY REFERENCIA")</f>
        <v>LOTE: F292A02,LOTE: 5774102,LOTE: H114B01,LOTE: A221A01,LOTE: J786A01,LOTE: S491601,LOTE: H101A01</v>
      </c>
      <c r="EU126" s="3">
        <f>_xlfn.XLOOKUP(B126,'BASE DE EXCEL'!$C:$C,'BASE DE EXCEL'!BO:BO,"NO HAY REFERENCIA")</f>
        <v>90</v>
      </c>
      <c r="EV126" s="3" t="str">
        <f>_xlfn.XLOOKUP(B126,'BASE DE EXCEL'!$C:$C,'BASE DE EXCEL'!BP:BP,"NO HAY REFERENCIA")</f>
        <v xml:space="preserve"> 2162410.07, 1803708.00, 1926255.36, 1072522.92</v>
      </c>
      <c r="EW126" s="3" t="str">
        <f>_xlfn.XLOOKUP(B126,'BASE DE EXCEL'!$C:$C,'BASE DE EXCEL'!BQ:BQ,"NO HAY REFERENCIA")</f>
        <v>KILO,KILO,KILO,KILO,KILO,KILO,KILO</v>
      </c>
      <c r="EX126" s="3">
        <f>_xlfn.XLOOKUP(B126,'BASE DE EXCEL'!$C:$C,'BASE DE EXCEL'!BR:BR,"NO HAY REFERENCIA")</f>
        <v>0</v>
      </c>
      <c r="EY126" s="3" t="str">
        <f>_xlfn.XLOOKUP(B126,'BASE DE EXCEL'!$C:$C,'BASE DE EXCEL'!BS:BS,"NO HAY REFERENCIA")</f>
        <v>ALEMANIA (REPUBLICA FEDERAL DE),FRANCIA (REPUBLICA FRANCESA),PAISES BAJOS (REINO DE LOS) (HOLANDA)</v>
      </c>
      <c r="EZ126" s="3" t="str">
        <f>_xlfn.XLOOKUP(B126,'BASE DE EXCEL'!$C:$C,'BASE DE EXCEL'!BT:BT,"NO HAY REFERENCIA")</f>
        <v>PAISES BAJOS (REINO DE LOS) (HOLANDA)</v>
      </c>
      <c r="FA126" s="3" t="str">
        <f>_xlfn.XLOOKUP(B126,'BASE DE EXCEL'!$C:$C,'BASE DE EXCEL'!BU:BU,"NO HAY REFERENCIA")</f>
        <v>DEU,FRA,ZYA</v>
      </c>
      <c r="FB126" s="3" t="str">
        <f>_xlfn.XLOOKUP(B126,'BASE DE EXCEL'!$C:$C,'BASE DE EXCEL'!BV:BV,"NO HAY REFERENCIA")</f>
        <v>ZYA</v>
      </c>
      <c r="FC126" s="3">
        <f>_xlfn.XLOOKUP(B126,QUERY!$C:$C,QUERY!D:D)</f>
        <v>430</v>
      </c>
      <c r="FD126" s="4">
        <f>_xlfn.XLOOKUP(B126,QUERY!$C:$C,QUERY!E:E)</f>
        <v>46118</v>
      </c>
      <c r="FE126" s="3">
        <f>_xlfn.XLOOKUP(B126,QUERY!$C:$C,QUERY!F:F)</f>
        <v>4</v>
      </c>
      <c r="FF126" s="4">
        <f>_xlfn.XLOOKUP(B126,QUERY!$C:$C,QUERY!G:G)</f>
        <v>46111</v>
      </c>
      <c r="FG126" s="4">
        <f>_xlfn.XLOOKUP(B126,QUERY!$C:$C,QUERY!H:H)</f>
        <v>46118</v>
      </c>
      <c r="FH126" s="3">
        <f>_xlfn.XLOOKUP(B126,QUERY!$C:$C,QUERY!I:I)</f>
        <v>5</v>
      </c>
      <c r="FI126" s="3" t="str">
        <f>_xlfn.XLOOKUP(B126,QUERY!$C:$C,QUERY!J:J)</f>
        <v>4 a 5 días</v>
      </c>
      <c r="FJ126" s="4">
        <f>_xlfn.XLOOKUP(B126,QUERY!$C:$C,QUERY!K:K)</f>
        <v>46118</v>
      </c>
      <c r="FK126" s="3">
        <f>_xlfn.XLOOKUP(B126,QUERY!$C:$C,QUERY!L:L)</f>
        <v>5</v>
      </c>
      <c r="FL126" s="3" t="str">
        <f>_xlfn.XLOOKUP(B126,QUERY!$C:$C,QUERY!M:M)</f>
        <v>4 a 5 días</v>
      </c>
      <c r="FM126" s="3">
        <f>_xlfn.XLOOKUP(B126,QUERY!$C:$C,QUERY!N:N)</f>
        <v>0</v>
      </c>
      <c r="FN126" s="3" t="str">
        <f>_xlfn.XLOOKUP(B126,QUERY!$C:$C,QUERY!O:O)</f>
        <v>1 día o menos</v>
      </c>
      <c r="FO126" s="3">
        <f>_xlfn.XLOOKUP(B126,QUERY!$C:$C,QUERY!P:P)</f>
        <v>0</v>
      </c>
      <c r="FP126" s="3">
        <f>_xlfn.XLOOKUP(B126,QUERY!$C:$C,QUERY!Q:Q)</f>
        <v>1</v>
      </c>
      <c r="FQ126" s="3" t="str">
        <f>_xlfn.XLOOKUP(B126,QUERY!$C:$C,QUERY!R:R)</f>
        <v>1 día o menos</v>
      </c>
      <c r="FR126" s="4">
        <f>_xlfn.XLOOKUP(B126,QUERY!$C:$C,QUERY!S:S)</f>
        <v>46119</v>
      </c>
      <c r="FS126" s="3">
        <f>_xlfn.XLOOKUP(B126,QUERY!$C:$C,QUERY!T:T)</f>
        <v>6</v>
      </c>
      <c r="FT126" s="3" t="str">
        <f>_xlfn.XLOOKUP(B126,QUERY!$C:$C,QUERY!U:U)</f>
        <v>6 a 10 días</v>
      </c>
      <c r="FU126" s="3">
        <f>_xlfn.XLOOKUP(B126,QUERY!$C:$C,QUERY!V:V)</f>
        <v>18</v>
      </c>
      <c r="FV126" s="3" t="str">
        <f>_xlfn.XLOOKUP(B126,QUERY!$C:$C,QUERY!W:W)</f>
        <v>más de 16 días</v>
      </c>
      <c r="FW126" s="4">
        <f>_xlfn.XLOOKUP(B126,QUERY!$C:$C,QUERY!X:X)</f>
        <v>46135</v>
      </c>
      <c r="FX126" s="3">
        <f>_xlfn.XLOOKUP(B126,QUERY!$C:$C,QUERY!Y:Y)</f>
        <v>12</v>
      </c>
      <c r="FY126" s="3">
        <f>_xlfn.XLOOKUP(B126,QUERY!$C:$C,QUERY!Z:Z)</f>
        <v>12</v>
      </c>
      <c r="FZ126" s="4" t="str">
        <f>_xlfn.XLOOKUP(B126,QUERY!$C:$C,QUERY!AA:AA)</f>
        <v>más de 16 días</v>
      </c>
      <c r="GA126" s="4">
        <f>_xlfn.XLOOKUP(B126,QUERY!$C:$C,QUERY!AB:AB)</f>
        <v>46135</v>
      </c>
      <c r="GB126" s="4">
        <f>_xlfn.XLOOKUP(B126,QUERY!$C:$C,QUERY!AC:AC)</f>
        <v>46135</v>
      </c>
      <c r="GC126" s="3">
        <f>_xlfn.XLOOKUP(B126,QUERY!$C:$C,QUERY!AD:AD)</f>
        <v>0</v>
      </c>
      <c r="GD126" s="4">
        <f>_xlfn.XLOOKUP(B126,QUERY!$C:$C,QUERY!AE:AE)</f>
        <v>46135</v>
      </c>
      <c r="GE126" s="3">
        <f>_xlfn.XLOOKUP(B126,QUERY!$C:$C,QUERY!AF:AF)</f>
        <v>1</v>
      </c>
      <c r="GF126" s="4" t="str">
        <f>_xlfn.XLOOKUP(B126,QUERY!$C:$C,QUERY!AG:AG)</f>
        <v>Es anterior</v>
      </c>
      <c r="GG126" s="3" t="str">
        <f>_xlfn.XLOOKUP(B126,QUERY!$C:$C,QUERY!AH:AH)</f>
        <v>A1</v>
      </c>
      <c r="GH126" s="3" t="str">
        <f>_xlfn.XLOOKUP(B126,QUERY!$C:$C,QUERY!AI:AI)</f>
        <v>ZULEIMA PEREZ RUIZ</v>
      </c>
      <c r="GI126" s="3" t="str">
        <f>_xlfn.XLOOKUP(B126,QUERY!$C:$C,QUERY!AJ:AJ)</f>
        <v>HLCUANR260249908</v>
      </c>
      <c r="GJ126" s="3" t="str">
        <f>_xlfn.XLOOKUP(B126,QUERY!$C:$C,QUERY!AK:AK)</f>
        <v>NULL</v>
      </c>
      <c r="GK126" s="3">
        <f>_xlfn.XLOOKUP(B126,QUERY!$C:$C,QUERY!AL:AL)</f>
        <v>6000401</v>
      </c>
      <c r="GL126" s="3" t="str">
        <f>_xlfn.XLOOKUP(B126,QUERY!$C:$C,QUERY!AM:AM)</f>
        <v>Importación</v>
      </c>
      <c r="GM126" s="3" t="str">
        <f>_xlfn.XLOOKUP(B126,QUERY!$C:$C,QUERY!AN:AN)</f>
        <v>HALOCUR (MEDICAMENTO DOSIFICADO DE USO VETERINARIO)</v>
      </c>
      <c r="GN126" s="3" t="str">
        <f>_xlfn.XLOOKUP(B126,QUERY!$C:$C,QUERY!AO:AO)</f>
        <v>SIN CLASIFICACION</v>
      </c>
      <c r="GO126" s="3">
        <f>_xlfn.XLOOKUP(B126,QUERY!$C:$C,QUERY!AP:AP)</f>
        <v>0</v>
      </c>
      <c r="GP126" s="3" t="str">
        <f>_xlfn.XLOOKUP(B126,QUERY!$C:$C,QUERY!AQ:AQ)</f>
        <v>Cargas de Importación</v>
      </c>
      <c r="GQ126" s="3" t="str">
        <f>_xlfn.XLOOKUP(B126,QUERY!$C:$C,QUERY!AR:AR)</f>
        <v>INTERVET MEXICO SA DE CV</v>
      </c>
      <c r="GR126" s="3">
        <f>_xlfn.XLOOKUP(B126,QUERY!$C:$C,QUERY!AS:AS)</f>
        <v>0</v>
      </c>
      <c r="GS126" s="3">
        <f>_xlfn.XLOOKUP(B126,QUERY!$C:$C,QUERY!AT:AT)</f>
        <v>0</v>
      </c>
      <c r="GT126" s="3">
        <f>_xlfn.XLOOKUP(B126,QUERY!$C:$C,QUERY!AU:AU)</f>
        <v>0</v>
      </c>
      <c r="GU126" s="3">
        <f>_xlfn.XLOOKUP(B126,QUERY!$C:$C,QUERY!AV:AV)</f>
        <v>0</v>
      </c>
      <c r="GV126" s="3" t="str">
        <f>_xlfn.XLOOKUP(B126,QUERY!$C:$C,QUERY!AW:AW)</f>
        <v>PRODUCTO TERMINADO</v>
      </c>
      <c r="GW126" s="3" t="str">
        <f>_xlfn.XLOOKUP(B126,QUERY!$C:$C,QUERY!AX:AX)</f>
        <v>Verde</v>
      </c>
      <c r="GX126" s="3" t="str">
        <f>_xlfn.XLOOKUP(B126,QUERY!$C:$C,QUERY!AY:AY)</f>
        <v xml:space="preserve"> SUPER EXPRESS DE CARGA FEDERAL S.A. DE C.V.</v>
      </c>
      <c r="GY126" s="3">
        <f>_xlfn.XLOOKUP(B126,QUERY!$C:$C,QUERY!AZ:AZ)</f>
        <v>0</v>
      </c>
      <c r="GZ126" s="3" t="str">
        <f>_xlfn.XLOOKUP(B126,QUERY!$C:$C,QUERY!BA:BA)</f>
        <v>IME-T004</v>
      </c>
      <c r="HA126" s="3" t="str">
        <f>_xlfn.XLOOKUP(B126,QUERY!$C:$C,QUERY!BB:BB)</f>
        <v>IME850329RH2</v>
      </c>
      <c r="HB126" s="3">
        <f>_xlfn.XLOOKUP(B126,QUERY!$C:$C,QUERY!BC:BC)</f>
        <v>0</v>
      </c>
      <c r="HC126" s="3">
        <f>_xlfn.XLOOKUP(B126,QUERY!$C:$C,QUERY!BD:BD)</f>
        <v>0.99</v>
      </c>
      <c r="HD126" s="3" t="str">
        <f>_xlfn.XLOOKUP(B126,QUERY!$C:$C,QUERY!BE:BE)</f>
        <v>LOTE: F292A02,LOTE: 5774102,LOTE: H114B01,LOTE: A221A01,LOTE: J786A01,LOTE: S491601,LOTE: H101A01</v>
      </c>
      <c r="HE126" s="3">
        <f>_xlfn.XLOOKUP(B126,QUERY!$C:$C,QUERY!BF:BF)</f>
        <v>90</v>
      </c>
      <c r="HF126" s="3" t="str">
        <f>_xlfn.XLOOKUP(B126,QUERY!$C:$C,QUERY!BG:BG)</f>
        <v xml:space="preserve"> 2162410.07, 1803708.00, 1926255.36, 1072522.92</v>
      </c>
      <c r="HG126" s="3" t="str">
        <f>_xlfn.XLOOKUP(B126,QUERY!$C:$C,QUERY!BH:BH)</f>
        <v>KILO,KILO,KILO,KILO,KILO,KILO,KILO</v>
      </c>
      <c r="HH126" s="3">
        <f>_xlfn.XLOOKUP(B126,QUERY!$C:$C,QUERY!BI:BI)</f>
        <v>0</v>
      </c>
      <c r="HI126" s="3" t="str">
        <f>_xlfn.XLOOKUP(B126,QUERY!$C:$C,QUERY!BJ:BJ)</f>
        <v>ALEMANIA (REPUBLICA FEDERAL DE),FRANCIA (REPUBLICA FRANCESA),PAISES BAJOS (REINO DE LOS) (HOLANDA)</v>
      </c>
      <c r="HJ126" s="3" t="str">
        <f>_xlfn.XLOOKUP(B126,QUERY!$C:$C,QUERY!BK:BK)</f>
        <v>PAISES BAJOS (REINO DE LOS) (HOLANDA)</v>
      </c>
      <c r="HK126" s="3" t="str">
        <f>_xlfn.XLOOKUP(B126,QUERY!$C:$C,QUERY!BL:BL)</f>
        <v>DEU,FRA,ZYA</v>
      </c>
      <c r="HL126" s="3" t="str">
        <f>_xlfn.XLOOKUP(B126,QUERY!$C:$C,QUERY!BM:BM)</f>
        <v>ZYA</v>
      </c>
      <c r="HM126" s="3">
        <f>_xlfn.XLOOKUP(B126,QUERY!$C:$C,QUERY!BN:BN)</f>
        <v>6964896</v>
      </c>
      <c r="HN126" s="3" t="str">
        <f>_xlfn.XLOOKUP(B126,QUERY!$C:$C,QUERY!BO:BO)</f>
        <v>462.00</v>
      </c>
      <c r="HO126" s="3" t="str">
        <f>_xlfn.XLOOKUP(B126,QUERY!$C:$C,QUERY!BP:BP)</f>
        <v>NULL</v>
      </c>
      <c r="HP126" s="3" t="str">
        <f>_xlfn.XLOOKUP(B126,QUERY!$C:$C,QUERY!BQ:BQ)</f>
        <v>NULL</v>
      </c>
      <c r="HQ126" s="3" t="str">
        <f>_xlfn.XLOOKUP(B126,QUERY!$C:$C,QUERY!BR:BR)</f>
        <v>168023.32</v>
      </c>
      <c r="HR126" s="3">
        <f>_xlfn.XLOOKUP(B126,QUERY!$C:$C,QUERY!BS:BS)</f>
        <v>0</v>
      </c>
      <c r="HS126" s="3">
        <f>_xlfn.XLOOKUP(B126,QUERY!$C:$C,QUERY!BT:BT)</f>
        <v>0</v>
      </c>
      <c r="HT126" s="3" t="str">
        <f>_xlfn.XLOOKUP(B126,QUERY!$C:$C,QUERY!A:A)</f>
        <v>VERACRUZ</v>
      </c>
      <c r="HU126" s="3" t="str">
        <f>_xlfn.XLOOKUP(B126,QUERY!$C:$C,QUERY!B:B)</f>
        <v>MARÍTIMO VERACRUZ</v>
      </c>
    </row>
    <row r="127" spans="1:229" x14ac:dyDescent="0.25">
      <c r="A127" s="3" t="s">
        <v>90</v>
      </c>
      <c r="B127" s="3" t="s">
        <v>347</v>
      </c>
      <c r="C127" s="3">
        <v>3942</v>
      </c>
      <c r="D127" s="3">
        <v>6000428</v>
      </c>
      <c r="E127" s="3"/>
      <c r="F127" s="3" t="s">
        <v>92</v>
      </c>
      <c r="G127" s="3" t="s">
        <v>93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15</v>
      </c>
      <c r="O127" s="3">
        <v>218461</v>
      </c>
      <c r="P127" s="3">
        <v>17.811699999999998</v>
      </c>
      <c r="Q127" s="3">
        <v>1933.32</v>
      </c>
      <c r="R127" s="3">
        <v>430</v>
      </c>
      <c r="S127" s="3" t="s">
        <v>348</v>
      </c>
      <c r="T127" s="3" t="s">
        <v>349</v>
      </c>
      <c r="U127" s="3">
        <v>1624558</v>
      </c>
      <c r="V127" s="3">
        <v>1624558</v>
      </c>
      <c r="W127" s="3">
        <v>0</v>
      </c>
      <c r="X127" s="3">
        <v>0</v>
      </c>
      <c r="Y127" s="3">
        <v>0</v>
      </c>
      <c r="Z127" s="3">
        <v>0</v>
      </c>
      <c r="AA127" s="3" t="s">
        <v>350</v>
      </c>
      <c r="AB127" s="3"/>
      <c r="AC127" s="3">
        <v>1456409</v>
      </c>
      <c r="AD127" s="3">
        <v>288.97003999999998</v>
      </c>
      <c r="AE127" s="3">
        <v>354</v>
      </c>
      <c r="AF127" s="3">
        <v>15</v>
      </c>
      <c r="AG127" s="3">
        <v>218461</v>
      </c>
      <c r="AH127" s="3">
        <v>0</v>
      </c>
      <c r="AI127" s="3">
        <v>53</v>
      </c>
      <c r="AJ127" s="3">
        <v>11651</v>
      </c>
      <c r="AK127" s="3">
        <v>0</v>
      </c>
      <c r="AL127" s="3">
        <v>0</v>
      </c>
      <c r="AM127" s="3">
        <v>330</v>
      </c>
      <c r="AN127" s="3">
        <v>230495</v>
      </c>
      <c r="AO127" s="3" t="s">
        <v>97</v>
      </c>
      <c r="AP127" s="3" t="s">
        <v>98</v>
      </c>
      <c r="AQ127" s="3">
        <v>210366010</v>
      </c>
      <c r="AR127" s="3" t="s">
        <v>99</v>
      </c>
      <c r="AS127" s="3" t="s">
        <v>100</v>
      </c>
      <c r="AT127" s="3" t="s">
        <v>351</v>
      </c>
      <c r="AU127" s="3"/>
      <c r="AV127" s="3" t="s">
        <v>102</v>
      </c>
      <c r="AW127" s="3">
        <v>30042099</v>
      </c>
      <c r="AX127" s="3">
        <v>0</v>
      </c>
      <c r="AY127" s="3">
        <v>5040</v>
      </c>
      <c r="AZ127" s="3">
        <v>5040</v>
      </c>
      <c r="BA127" s="3" t="s">
        <v>103</v>
      </c>
      <c r="BB127" s="3"/>
      <c r="BC127" s="3" t="s">
        <v>352</v>
      </c>
      <c r="BD127" s="3" t="s">
        <v>105</v>
      </c>
      <c r="BE127" s="3" t="s">
        <v>106</v>
      </c>
      <c r="BF127" s="3"/>
      <c r="BG127" s="5" t="s">
        <v>353</v>
      </c>
      <c r="BH127" s="3" t="s">
        <v>206</v>
      </c>
      <c r="BI127" s="3"/>
      <c r="BJ127" s="3" t="s">
        <v>109</v>
      </c>
      <c r="BK127" s="3" t="s">
        <v>354</v>
      </c>
      <c r="BL127" s="3">
        <v>44724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42808.18</v>
      </c>
      <c r="CB127" s="3">
        <v>5600</v>
      </c>
      <c r="CC127" s="3">
        <v>1339.2</v>
      </c>
      <c r="CD127" s="3">
        <v>181118.11</v>
      </c>
      <c r="CE127" s="3" t="s">
        <v>192</v>
      </c>
      <c r="CF127" s="3">
        <v>181118.11</v>
      </c>
      <c r="CG127" s="3">
        <v>0</v>
      </c>
      <c r="CH127" s="3">
        <v>0</v>
      </c>
      <c r="CI127" s="3" t="s">
        <v>112</v>
      </c>
      <c r="CJ127" s="3" t="s">
        <v>112</v>
      </c>
      <c r="CK127" s="3">
        <f>_xlfn.XLOOKUP($B$2,'BASE DE EXCEL'!C:C,'BASE DE EXCEL'!D:D,"NO HAY REFERENCIA")</f>
        <v>470</v>
      </c>
      <c r="CL127" s="5">
        <f>_xlfn.XLOOKUP($B$2,'BASE DE EXCEL'!$C:$C,'BASE DE EXCEL'!F:F,"NO HAY REFERENCIA")</f>
        <v>3</v>
      </c>
      <c r="CM127" s="4">
        <f>_xlfn.XLOOKUP($B$2,'BASE DE EXCEL'!$C:$C,'BASE DE EXCEL'!G:G,"NO HAY REFERENCIA")</f>
        <v>46080</v>
      </c>
      <c r="CN127" s="4">
        <f>_xlfn.XLOOKUP($B$2,'BASE DE EXCEL'!$C:$C,'BASE DE EXCEL'!H:H,"NO HAY REFERENCIA")</f>
        <v>46086</v>
      </c>
      <c r="CO127" s="3">
        <f>_xlfn.XLOOKUP($B$2,'BASE DE EXCEL'!$C:$C,'BASE DE EXCEL'!I:I,"NO HAY REFERENCIA")</f>
        <v>4</v>
      </c>
      <c r="CP127" s="3" t="str">
        <f>_xlfn.XLOOKUP($B$2,'BASE DE EXCEL'!$C:$C,'BASE DE EXCEL'!J:J,"NO HAY REFERENCIA")</f>
        <v>4 a 5 días</v>
      </c>
      <c r="CQ127" s="4">
        <f>_xlfn.XLOOKUP($B$2,'BASE DE EXCEL'!$C:$C,'BASE DE EXCEL'!K:K,"NO HAY REFERENCIA")</f>
        <v>46087</v>
      </c>
      <c r="CR127" s="3">
        <f>_xlfn.XLOOKUP($B$2,'BASE DE EXCEL'!$C:$C,'BASE DE EXCEL'!L:L,"NO HAY REFERENCIA")</f>
        <v>5</v>
      </c>
      <c r="CS127" s="3">
        <f>_xlfn.XLOOKUP($B$2,'BASE DE EXCEL'!$C:$C,'BASE DE EXCEL'!M:M,"NO HAY REFERENCIA")</f>
        <v>6</v>
      </c>
      <c r="CT127" s="3" t="str">
        <f>_xlfn.XLOOKUP($B$2,'BASE DE EXCEL'!$C:$C,'BASE DE EXCEL'!N:N,"NO HAY REFERENCIA")</f>
        <v>6 a 10 días</v>
      </c>
      <c r="CU127" s="3" t="str">
        <f>_xlfn.XLOOKUP($B$2,'BASE DE EXCEL'!$C:$C,'BASE DE EXCEL'!O:O,"NO HAY REFERENCIA")</f>
        <v>On Time</v>
      </c>
      <c r="CV127" s="3" t="str">
        <f>_xlfn.XLOOKUP(B127,'BASE DE EXCEL'!$C:$C,'BASE DE EXCEL'!P:P,"NO HAY REFERENCIA")</f>
        <v>6 a 10 días</v>
      </c>
      <c r="CW127" s="4">
        <f>_xlfn.XLOOKUP(B127,'BASE DE EXCEL'!$C:$C,'BASE DE EXCEL'!Q:Q,"NO HAY REFERENCIA")</f>
        <v>46111</v>
      </c>
      <c r="CX127" s="3">
        <f>_xlfn.XLOOKUP(B127,'BASE DE EXCEL'!$C:$C,'BASE DE EXCEL'!R:R,"NO HAY REFERENCIA")</f>
        <v>6</v>
      </c>
      <c r="CY127" s="3" t="str">
        <f>_xlfn.XLOOKUP(B127,'BASE DE EXCEL'!$C:$C,'BASE DE EXCEL'!S:S,"NO HAY REFERENCIA")</f>
        <v>6 a 10 días</v>
      </c>
      <c r="CZ127" s="3" t="str">
        <f>_xlfn.XLOOKUP(B127,'BASE DE EXCEL'!$C:$C,'BASE DE EXCEL'!T:T,"NO HAY REFERENCIA")</f>
        <v>On Time</v>
      </c>
      <c r="DA127" s="3">
        <f>_xlfn.XLOOKUP(B127,'BASE DE EXCEL'!$C:$C,'BASE DE EXCEL'!U:U,"NO HAY REFERENCIA")</f>
        <v>9</v>
      </c>
      <c r="DB127" s="3" t="str">
        <f>_xlfn.XLOOKUP(B127,'BASE DE EXCEL'!$C:$C,'BASE DE EXCEL'!V:V,"NO HAY REFERENCIA")</f>
        <v>4 a 5 días</v>
      </c>
      <c r="DC127" s="3">
        <f>_xlfn.XLOOKUP(B127,'BASE DE EXCEL'!$C:$C,'BASE DE EXCEL'!W:W,"NO HAY REFERENCIA")</f>
        <v>13</v>
      </c>
      <c r="DD127" s="3" t="str">
        <f>_xlfn.XLOOKUP(B127,'BASE DE EXCEL'!$C:$C,'BASE DE EXCEL'!X:X,"NO HAY REFERENCIA")</f>
        <v>11 a 15 días</v>
      </c>
      <c r="DE127" s="3">
        <f>_xlfn.XLOOKUP(B127,'BASE DE EXCEL'!$C:$C,'BASE DE EXCEL'!Y:Y,"NO HAY REFERENCIA")</f>
        <v>1</v>
      </c>
      <c r="DF127" s="3" t="str">
        <f>_xlfn.XLOOKUP(B127,'BASE DE EXCEL'!$C:$C,'BASE DE EXCEL'!Z:Z,"NO HAY REFERENCIA")</f>
        <v>1 día o menos</v>
      </c>
      <c r="DG127" s="3">
        <f>_xlfn.XLOOKUP(B127,'BASE DE EXCEL'!$C:$C,'BASE DE EXCEL'!AA:AA,"NO HAY REFERENCIA")</f>
        <v>6</v>
      </c>
      <c r="DH127" s="3">
        <f>_xlfn.XLOOKUP(B127,'BASE DE EXCEL'!$C:$C,'BASE DE EXCEL'!AB:AB,"NO HAY REFERENCIA")</f>
        <v>2</v>
      </c>
      <c r="DI127" s="3" t="str">
        <f>_xlfn.XLOOKUP(B127,'BASE DE EXCEL'!$C:$C,'BASE DE EXCEL'!AC:AC,"NO HAY REFERENCIA")</f>
        <v>2 a 3 días</v>
      </c>
      <c r="DJ127" s="4">
        <f>_xlfn.XLOOKUP(B127,'BASE DE EXCEL'!$C:$C,'BASE DE EXCEL'!AD:AD,"NO HAY REFERENCIA")</f>
        <v>46121</v>
      </c>
      <c r="DK127" s="3">
        <f>_xlfn.XLOOKUP(B127,'BASE DE EXCEL'!$C:$C,'BASE DE EXCEL'!AE:AE,"NO HAY REFERENCIA")</f>
        <v>10</v>
      </c>
      <c r="DL127" s="3">
        <f>_xlfn.XLOOKUP(B127,'BASE DE EXCEL'!$C:$C,'BASE DE EXCEL'!AF:AF,"NO HAY REFERENCIA")</f>
        <v>8</v>
      </c>
      <c r="DM127" s="4">
        <f>_xlfn.XLOOKUP(B127,'BASE DE EXCEL'!$C:$C,'BASE DE EXCEL'!AG:AG,"NO HAY REFERENCIA")</f>
        <v>46121</v>
      </c>
      <c r="DN127" s="4">
        <f>_xlfn.XLOOKUP(B127,'BASE DE EXCEL'!$C:$C,'BASE DE EXCEL'!AH:AH,"NO HAY REFERENCIA")</f>
        <v>46121</v>
      </c>
      <c r="DO127" s="3">
        <f>_xlfn.XLOOKUP(B127,'BASE DE EXCEL'!$C:$C,'BASE DE EXCEL'!AI:AI,"NO HAY REFERENCIA")</f>
        <v>0</v>
      </c>
      <c r="DP127" s="4" t="str">
        <f>_xlfn.XLOOKUP(B127,'BASE DE EXCEL'!$C:$C,'BASE DE EXCEL'!AJ:AJ,"NO HAY REFERENCIA")</f>
        <v>6 a 10 días</v>
      </c>
      <c r="DQ127" s="4">
        <f>_xlfn.XLOOKUP(B127,'BASE DE EXCEL'!$C:$C,'BASE DE EXCEL'!AK:AK,"NO HAY REFERENCIA")</f>
        <v>46121</v>
      </c>
      <c r="DR127" s="3">
        <f>_xlfn.XLOOKUP(B127,'BASE DE EXCEL'!$C:$C,'BASE DE EXCEL'!AL:AL,"NO HAY REFERENCIA")</f>
        <v>7</v>
      </c>
      <c r="DS127" s="3" t="str">
        <f>_xlfn.XLOOKUP(B127,'BASE DE EXCEL'!$C:$C,'BASE DE EXCEL'!AM:AM,"NO HAY REFERENCIA")</f>
        <v>6 a 10 días</v>
      </c>
      <c r="DT127" s="3" t="str">
        <f>_xlfn.XLOOKUP(B127,'BASE DE EXCEL'!$C:$C,'BASE DE EXCEL'!AN:AN,"NO HAY REFERENCIA")</f>
        <v>Delayed</v>
      </c>
      <c r="DU127" s="3">
        <f>_xlfn.XLOOKUP(B127,'BASE DE EXCEL'!$C:$C,'BASE DE EXCEL'!AO:AO,"NO HAY REFERENCIA")</f>
        <v>1</v>
      </c>
      <c r="DV127" s="3" t="str">
        <f>_xlfn.XLOOKUP(B127,'BASE DE EXCEL'!$C:$C,'BASE DE EXCEL'!AP:AP,"NO HAY REFERENCIA")</f>
        <v>Es anterior</v>
      </c>
      <c r="DW127" s="3" t="str">
        <f>_xlfn.XLOOKUP(B127,'BASE DE EXCEL'!$C:$C,'BASE DE EXCEL'!AQ:AQ,"NO HAY REFERENCIA")</f>
        <v>A1</v>
      </c>
      <c r="DX127" s="3" t="str">
        <f>_xlfn.XLOOKUP(B127,'BASE DE EXCEL'!$C:$C,'BASE DE EXCEL'!AR:AR,"NO HAY REFERENCIA")</f>
        <v>ZULEIMA PEREZ RUIZ</v>
      </c>
      <c r="DY127" s="3" t="str">
        <f>_xlfn.XLOOKUP(B127,'BASE DE EXCEL'!$C:$C,'BASE DE EXCEL'!AS:AS,"NO HAY REFERENCIA")</f>
        <v>MEDUK9666216</v>
      </c>
      <c r="DZ127" s="3" t="str">
        <f>_xlfn.XLOOKUP(B127,'BASE DE EXCEL'!$C:$C,'BASE DE EXCEL'!AT:AT,"NO HAY REFERENCIA")</f>
        <v>NULL</v>
      </c>
      <c r="EA127" s="3">
        <f>_xlfn.XLOOKUP(B127,'BASE DE EXCEL'!$C:$C,'BASE DE EXCEL'!AU:AU,"NO HAY REFERENCIA")</f>
        <v>6000428</v>
      </c>
      <c r="EB127" s="3" t="str">
        <f>_xlfn.XLOOKUP(B127,'BASE DE EXCEL'!$C:$C,'BASE DE EXCEL'!AV:AV,"NO HAY REFERENCIA")</f>
        <v>Importación</v>
      </c>
      <c r="EC127" s="3" t="str">
        <f>_xlfn.XLOOKUP(B127,'BASE DE EXCEL'!$C:$C,'BASE DE EXCEL'!AW:AW,"NO HAY REFERENCIA")</f>
        <v>ENGEMYCIN LA (MEDICAMENTO DOSIFICADO DE USO VETERINARIO)</v>
      </c>
      <c r="ED127" s="3" t="str">
        <f>_xlfn.XLOOKUP(B127,'BASE DE EXCEL'!$C:$C,'BASE DE EXCEL'!AX:AX,"NO HAY REFERENCIA")</f>
        <v>SIN CLASIFICACION</v>
      </c>
      <c r="EE127" s="3">
        <f>_xlfn.XLOOKUP(B127,'BASE DE EXCEL'!$C:$C,'BASE DE EXCEL'!AY:AY,"NO HAY REFERENCIA")</f>
        <v>0</v>
      </c>
      <c r="EF127" s="3" t="str">
        <f>_xlfn.XLOOKUP(B127,'BASE DE EXCEL'!$C:$C,'BASE DE EXCEL'!AZ:AZ,"NO HAY REFERENCIA")</f>
        <v>Cargas de Importación</v>
      </c>
      <c r="EG127" s="3" t="str">
        <f>_xlfn.XLOOKUP(B127,'BASE DE EXCEL'!$C:$C,'BASE DE EXCEL'!BA:BA,"NO HAY REFERENCIA")</f>
        <v>INTERVET MEXICO SA DE CV</v>
      </c>
      <c r="EH127" s="3">
        <f>_xlfn.XLOOKUP(B127,'BASE DE EXCEL'!$C:$C,'BASE DE EXCEL'!BB:BB,"NO HAY REFERENCIA")</f>
        <v>0</v>
      </c>
      <c r="EI127" s="3">
        <f>_xlfn.XLOOKUP(B127,'BASE DE EXCEL'!$C:$C,'BASE DE EXCEL'!BC:BC,"NO HAY REFERENCIA")</f>
        <v>0</v>
      </c>
      <c r="EJ127" s="3">
        <f>_xlfn.XLOOKUP(B127,'BASE DE EXCEL'!$C:$C,'BASE DE EXCEL'!BD:BD,"NO HAY REFERENCIA")</f>
        <v>0</v>
      </c>
      <c r="EK127" s="3">
        <f>_xlfn.XLOOKUP(B127,'BASE DE EXCEL'!$C:$C,'BASE DE EXCEL'!BE:BE,"NO HAY REFERENCIA")</f>
        <v>0</v>
      </c>
      <c r="EL127" s="3" t="str">
        <f>_xlfn.XLOOKUP(B127,'BASE DE EXCEL'!$C:$C,'BASE DE EXCEL'!BF:BF,"NO HAY REFERENCIA")</f>
        <v>PRODUCTO TERMINADO</v>
      </c>
      <c r="EM127" s="3" t="str">
        <f>_xlfn.XLOOKUP(B127,'BASE DE EXCEL'!$C:$C,'BASE DE EXCEL'!BG:BG,"NO HAY REFERENCIA")</f>
        <v>Verde</v>
      </c>
      <c r="EN127" s="3" t="str">
        <f>_xlfn.XLOOKUP(B127,'BASE DE EXCEL'!$C:$C,'BASE DE EXCEL'!BH:BH,"NO HAY REFERENCIA")</f>
        <v xml:space="preserve"> MLH TRANSPORTE, S.A. DE C.V.</v>
      </c>
      <c r="EO127" s="3" t="str">
        <f>_xlfn.XLOOKUP(B127,'BASE DE EXCEL'!$C:$C,'BASE DE EXCEL'!BI:BI,"NO HAY REFERENCIA")</f>
        <v>TRACTOCAMION, ECO 138</v>
      </c>
      <c r="EP127" s="3">
        <f>_xlfn.XLOOKUP(B127,'BASE DE EXCEL'!$C:$C,'BASE DE EXCEL'!BJ:BJ,"NO HAY REFERENCIA")</f>
        <v>0</v>
      </c>
      <c r="EQ127" s="3" t="str">
        <f>_xlfn.XLOOKUP(B127,'BASE DE EXCEL'!$C:$C,'BASE DE EXCEL'!BK:BK,"NO HAY REFERENCIA")</f>
        <v>IME850329RH2</v>
      </c>
      <c r="ER127" s="3">
        <f>_xlfn.XLOOKUP(B127,'BASE DE EXCEL'!$C:$C,'BASE DE EXCEL'!BL:BL,"NO HAY REFERENCIA")</f>
        <v>0</v>
      </c>
      <c r="ES127" s="3">
        <f>_xlfn.XLOOKUP(B127,'BASE DE EXCEL'!$C:$C,'BASE DE EXCEL'!BM:BM,"NO HAY REFERENCIA")</f>
        <v>0</v>
      </c>
      <c r="ET127" s="3" t="str">
        <f>_xlfn.XLOOKUP(B127,'BASE DE EXCEL'!$C:$C,'BASE DE EXCEL'!BN:BN,"NO HAY REFERENCIA")</f>
        <v>LOTE: 25EY041/1,LOTE: 25CC015/1</v>
      </c>
      <c r="EU127" s="3">
        <f>_xlfn.XLOOKUP(B127,'BASE DE EXCEL'!$C:$C,'BASE DE EXCEL'!BO:BO,"NO HAY REFERENCIA")</f>
        <v>90</v>
      </c>
      <c r="EV127" s="3">
        <f>_xlfn.XLOOKUP(B127,'BASE DE EXCEL'!$C:$C,'BASE DE EXCEL'!BP:BP,"NO HAY REFERENCIA")</f>
        <v>1624557.6</v>
      </c>
      <c r="EW127" s="3" t="str">
        <f>_xlfn.XLOOKUP(B127,'BASE DE EXCEL'!$C:$C,'BASE DE EXCEL'!BQ:BQ,"NO HAY REFERENCIA")</f>
        <v>KILO,KILO</v>
      </c>
      <c r="EX127" s="3">
        <f>_xlfn.XLOOKUP(B127,'BASE DE EXCEL'!$C:$C,'BASE DE EXCEL'!BR:BR,"NO HAY REFERENCIA")</f>
        <v>0</v>
      </c>
      <c r="EY127" s="3" t="str">
        <f>_xlfn.XLOOKUP(B127,'BASE DE EXCEL'!$C:$C,'BASE DE EXCEL'!BS:BS,"NO HAY REFERENCIA")</f>
        <v>ITALIA (REPUBLICA ITALIANA)</v>
      </c>
      <c r="EZ127" s="3" t="str">
        <f>_xlfn.XLOOKUP(B127,'BASE DE EXCEL'!$C:$C,'BASE DE EXCEL'!BT:BT,"NO HAY REFERENCIA")</f>
        <v>PAISES BAJOS (REINO DE LOS) (HOLANDA)</v>
      </c>
      <c r="FA127" s="3" t="str">
        <f>_xlfn.XLOOKUP(B127,'BASE DE EXCEL'!$C:$C,'BASE DE EXCEL'!BU:BU,"NO HAY REFERENCIA")</f>
        <v>ITA</v>
      </c>
      <c r="FB127" s="3" t="str">
        <f>_xlfn.XLOOKUP(B127,'BASE DE EXCEL'!$C:$C,'BASE DE EXCEL'!BV:BV,"NO HAY REFERENCIA")</f>
        <v>ZYA</v>
      </c>
      <c r="FC127" s="3">
        <f>_xlfn.XLOOKUP(B127,QUERY!$C:$C,QUERY!D:D)</f>
        <v>430</v>
      </c>
      <c r="FD127" s="4">
        <f>_xlfn.XLOOKUP(B127,QUERY!$C:$C,QUERY!E:E)</f>
        <v>46108</v>
      </c>
      <c r="FE127" s="3">
        <f>_xlfn.XLOOKUP(B127,QUERY!$C:$C,QUERY!F:F)</f>
        <v>3</v>
      </c>
      <c r="FF127" s="4">
        <f>_xlfn.XLOOKUP(B127,QUERY!$C:$C,QUERY!G:G)</f>
        <v>46102</v>
      </c>
      <c r="FG127" s="4">
        <f>_xlfn.XLOOKUP(B127,QUERY!$C:$C,QUERY!H:H)</f>
        <v>46108</v>
      </c>
      <c r="FH127" s="3">
        <f>_xlfn.XLOOKUP(B127,QUERY!$C:$C,QUERY!I:I)</f>
        <v>4</v>
      </c>
      <c r="FI127" s="3" t="str">
        <f>_xlfn.XLOOKUP(B127,QUERY!$C:$C,QUERY!J:J)</f>
        <v>4 a 5 días</v>
      </c>
      <c r="FJ127" s="4">
        <f>_xlfn.XLOOKUP(B127,QUERY!$C:$C,QUERY!K:K)</f>
        <v>46109</v>
      </c>
      <c r="FK127" s="3">
        <f>_xlfn.XLOOKUP(B127,QUERY!$C:$C,QUERY!L:L)</f>
        <v>4</v>
      </c>
      <c r="FL127" s="3" t="str">
        <f>_xlfn.XLOOKUP(B127,QUERY!$C:$C,QUERY!M:M)</f>
        <v>4 a 5 días</v>
      </c>
      <c r="FM127" s="3">
        <f>_xlfn.XLOOKUP(B127,QUERY!$C:$C,QUERY!N:N)</f>
        <v>1</v>
      </c>
      <c r="FN127" s="3" t="str">
        <f>_xlfn.XLOOKUP(B127,QUERY!$C:$C,QUERY!O:O)</f>
        <v>1 día o menos</v>
      </c>
      <c r="FO127" s="3">
        <f>_xlfn.XLOOKUP(B127,QUERY!$C:$C,QUERY!P:P)</f>
        <v>1</v>
      </c>
      <c r="FP127" s="3">
        <f>_xlfn.XLOOKUP(B127,QUERY!$C:$C,QUERY!Q:Q)</f>
        <v>2</v>
      </c>
      <c r="FQ127" s="3" t="str">
        <f>_xlfn.XLOOKUP(B127,QUERY!$C:$C,QUERY!R:R)</f>
        <v>2 a 3 días</v>
      </c>
      <c r="FR127" s="4">
        <f>_xlfn.XLOOKUP(B127,QUERY!$C:$C,QUERY!S:S)</f>
        <v>46111</v>
      </c>
      <c r="FS127" s="3">
        <f>_xlfn.XLOOKUP(B127,QUERY!$C:$C,QUERY!T:T)</f>
        <v>5</v>
      </c>
      <c r="FT127" s="3" t="str">
        <f>_xlfn.XLOOKUP(B127,QUERY!$C:$C,QUERY!U:U)</f>
        <v>4 a 5 días</v>
      </c>
      <c r="FU127" s="3">
        <f>_xlfn.XLOOKUP(B127,QUERY!$C:$C,QUERY!V:V)</f>
        <v>13</v>
      </c>
      <c r="FV127" s="3" t="str">
        <f>_xlfn.XLOOKUP(B127,QUERY!$C:$C,QUERY!W:W)</f>
        <v>11 a 15 días</v>
      </c>
      <c r="FW127" s="4">
        <f>_xlfn.XLOOKUP(B127,QUERY!$C:$C,QUERY!X:X)</f>
        <v>46121</v>
      </c>
      <c r="FX127" s="3">
        <f>_xlfn.XLOOKUP(B127,QUERY!$C:$C,QUERY!Y:Y)</f>
        <v>8</v>
      </c>
      <c r="FY127" s="3">
        <f>_xlfn.XLOOKUP(B127,QUERY!$C:$C,QUERY!Z:Z)</f>
        <v>8</v>
      </c>
      <c r="FZ127" s="4" t="str">
        <f>_xlfn.XLOOKUP(B127,QUERY!$C:$C,QUERY!AA:AA)</f>
        <v>6 a 10 días</v>
      </c>
      <c r="GA127" s="4">
        <f>_xlfn.XLOOKUP(B127,QUERY!$C:$C,QUERY!AB:AB)</f>
        <v>46121</v>
      </c>
      <c r="GB127" s="4">
        <f>_xlfn.XLOOKUP(B127,QUERY!$C:$C,QUERY!AC:AC)</f>
        <v>46121</v>
      </c>
      <c r="GC127" s="3">
        <f>_xlfn.XLOOKUP(B127,QUERY!$C:$C,QUERY!AD:AD)</f>
        <v>0</v>
      </c>
      <c r="GD127" s="4">
        <f>_xlfn.XLOOKUP(B127,QUERY!$C:$C,QUERY!AE:AE)</f>
        <v>46121</v>
      </c>
      <c r="GE127" s="3">
        <f>_xlfn.XLOOKUP(B127,QUERY!$C:$C,QUERY!AF:AF)</f>
        <v>1</v>
      </c>
      <c r="GF127" s="4" t="str">
        <f>_xlfn.XLOOKUP(B127,QUERY!$C:$C,QUERY!AG:AG)</f>
        <v>Es anterior</v>
      </c>
      <c r="GG127" s="3" t="str">
        <f>_xlfn.XLOOKUP(B127,QUERY!$C:$C,QUERY!AH:AH)</f>
        <v>A1</v>
      </c>
      <c r="GH127" s="3" t="str">
        <f>_xlfn.XLOOKUP(B127,QUERY!$C:$C,QUERY!AI:AI)</f>
        <v>ZULEIMA PEREZ RUIZ</v>
      </c>
      <c r="GI127" s="3" t="str">
        <f>_xlfn.XLOOKUP(B127,QUERY!$C:$C,QUERY!AJ:AJ)</f>
        <v>MEDUK9666216</v>
      </c>
      <c r="GJ127" s="3" t="str">
        <f>_xlfn.XLOOKUP(B127,QUERY!$C:$C,QUERY!AK:AK)</f>
        <v>NULL</v>
      </c>
      <c r="GK127" s="3">
        <f>_xlfn.XLOOKUP(B127,QUERY!$C:$C,QUERY!AL:AL)</f>
        <v>6000428</v>
      </c>
      <c r="GL127" s="3" t="str">
        <f>_xlfn.XLOOKUP(B127,QUERY!$C:$C,QUERY!AM:AM)</f>
        <v>Importación</v>
      </c>
      <c r="GM127" s="3" t="str">
        <f>_xlfn.XLOOKUP(B127,QUERY!$C:$C,QUERY!AN:AN)</f>
        <v>ENGEMYCIN LA (MEDICAMENTO DOSIFICADO DE USO VETERINARIO)</v>
      </c>
      <c r="GN127" s="3" t="str">
        <f>_xlfn.XLOOKUP(B127,QUERY!$C:$C,QUERY!AO:AO)</f>
        <v>SIN CLASIFICACION</v>
      </c>
      <c r="GO127" s="3">
        <f>_xlfn.XLOOKUP(B127,QUERY!$C:$C,QUERY!AP:AP)</f>
        <v>0</v>
      </c>
      <c r="GP127" s="3" t="str">
        <f>_xlfn.XLOOKUP(B127,QUERY!$C:$C,QUERY!AQ:AQ)</f>
        <v>Cargas de Importación</v>
      </c>
      <c r="GQ127" s="3" t="str">
        <f>_xlfn.XLOOKUP(B127,QUERY!$C:$C,QUERY!AR:AR)</f>
        <v>INTERVET MEXICO SA DE CV</v>
      </c>
      <c r="GR127" s="3">
        <f>_xlfn.XLOOKUP(B127,QUERY!$C:$C,QUERY!AS:AS)</f>
        <v>0</v>
      </c>
      <c r="GS127" s="3">
        <f>_xlfn.XLOOKUP(B127,QUERY!$C:$C,QUERY!AT:AT)</f>
        <v>0</v>
      </c>
      <c r="GT127" s="3">
        <f>_xlfn.XLOOKUP(B127,QUERY!$C:$C,QUERY!AU:AU)</f>
        <v>0</v>
      </c>
      <c r="GU127" s="3">
        <f>_xlfn.XLOOKUP(B127,QUERY!$C:$C,QUERY!AV:AV)</f>
        <v>0</v>
      </c>
      <c r="GV127" s="3" t="str">
        <f>_xlfn.XLOOKUP(B127,QUERY!$C:$C,QUERY!AW:AW)</f>
        <v>PRODUCTO TERMINADO</v>
      </c>
      <c r="GW127" s="3" t="str">
        <f>_xlfn.XLOOKUP(B127,QUERY!$C:$C,QUERY!AX:AX)</f>
        <v>Verde</v>
      </c>
      <c r="GX127" s="3" t="str">
        <f>_xlfn.XLOOKUP(B127,QUERY!$C:$C,QUERY!AY:AY)</f>
        <v xml:space="preserve"> MLH TRANSPORTE, S.A. DE C.V.</v>
      </c>
      <c r="GY127" s="3" t="str">
        <f>_xlfn.XLOOKUP(B127,QUERY!$C:$C,QUERY!AZ:AZ)</f>
        <v>TRACTOCAMION, ECO 138</v>
      </c>
      <c r="GZ127" s="3">
        <f>_xlfn.XLOOKUP(B127,QUERY!$C:$C,QUERY!BA:BA)</f>
        <v>0</v>
      </c>
      <c r="HA127" s="3" t="str">
        <f>_xlfn.XLOOKUP(B127,QUERY!$C:$C,QUERY!BB:BB)</f>
        <v>IME850329RH2</v>
      </c>
      <c r="HB127" s="3">
        <f>_xlfn.XLOOKUP(B127,QUERY!$C:$C,QUERY!BC:BC)</f>
        <v>0</v>
      </c>
      <c r="HC127" s="3">
        <f>_xlfn.XLOOKUP(B127,QUERY!$C:$C,QUERY!BD:BD)</f>
        <v>0</v>
      </c>
      <c r="HD127" s="3" t="str">
        <f>_xlfn.XLOOKUP(B127,QUERY!$C:$C,QUERY!BE:BE)</f>
        <v>LOTE: 25EY041/1,LOTE: 25CC015/1</v>
      </c>
      <c r="HE127" s="3">
        <f>_xlfn.XLOOKUP(B127,QUERY!$C:$C,QUERY!BF:BF)</f>
        <v>90</v>
      </c>
      <c r="HF127" s="3" t="str">
        <f>_xlfn.XLOOKUP(B127,QUERY!$C:$C,QUERY!BG:BG)</f>
        <v xml:space="preserve"> 1624557.60</v>
      </c>
      <c r="HG127" s="3" t="str">
        <f>_xlfn.XLOOKUP(B127,QUERY!$C:$C,QUERY!BH:BH)</f>
        <v>KILO,KILO</v>
      </c>
      <c r="HH127" s="3">
        <f>_xlfn.XLOOKUP(B127,QUERY!$C:$C,QUERY!BI:BI)</f>
        <v>0</v>
      </c>
      <c r="HI127" s="3" t="str">
        <f>_xlfn.XLOOKUP(B127,QUERY!$C:$C,QUERY!BJ:BJ)</f>
        <v>ITALIA (REPUBLICA ITALIANA)</v>
      </c>
      <c r="HJ127" s="3" t="str">
        <f>_xlfn.XLOOKUP(B127,QUERY!$C:$C,QUERY!BK:BK)</f>
        <v>PAISES BAJOS (REINO DE LOS) (HOLANDA)</v>
      </c>
      <c r="HK127" s="3" t="str">
        <f>_xlfn.XLOOKUP(B127,QUERY!$C:$C,QUERY!BL:BL)</f>
        <v>ITA</v>
      </c>
      <c r="HL127" s="3" t="str">
        <f>_xlfn.XLOOKUP(B127,QUERY!$C:$C,QUERY!BM:BM)</f>
        <v>ZYA</v>
      </c>
      <c r="HM127" s="3">
        <f>_xlfn.XLOOKUP(B127,QUERY!$C:$C,QUERY!BN:BN)</f>
        <v>1624558</v>
      </c>
      <c r="HN127" s="3" t="str">
        <f>_xlfn.XLOOKUP(B127,QUERY!$C:$C,QUERY!BO:BO)</f>
        <v>11651.00</v>
      </c>
      <c r="HO127" s="3" t="str">
        <f>_xlfn.XLOOKUP(B127,QUERY!$C:$C,QUERY!BP:BP)</f>
        <v>NULL</v>
      </c>
      <c r="HP127" s="3" t="str">
        <f>_xlfn.XLOOKUP(B127,QUERY!$C:$C,QUERY!BQ:BQ)</f>
        <v>218461.00</v>
      </c>
      <c r="HQ127" s="3" t="str">
        <f>_xlfn.XLOOKUP(B127,QUERY!$C:$C,QUERY!BR:BR)</f>
        <v>181118.11</v>
      </c>
      <c r="HR127" s="3">
        <f>_xlfn.XLOOKUP(B127,QUERY!$C:$C,QUERY!BS:BS)</f>
        <v>0</v>
      </c>
      <c r="HS127" s="3">
        <f>_xlfn.XLOOKUP(B127,QUERY!$C:$C,QUERY!BT:BT)</f>
        <v>0</v>
      </c>
      <c r="HT127" s="3" t="str">
        <f>_xlfn.XLOOKUP(B127,QUERY!$C:$C,QUERY!A:A)</f>
        <v>VERACRUZ</v>
      </c>
      <c r="HU127" s="3" t="str">
        <f>_xlfn.XLOOKUP(B127,QUERY!$C:$C,QUERY!B:B)</f>
        <v>MARÍTIMO VERACRUZ</v>
      </c>
    </row>
    <row r="128" spans="1:229" x14ac:dyDescent="0.25">
      <c r="A128" s="3" t="s">
        <v>90</v>
      </c>
      <c r="B128" s="3" t="s">
        <v>347</v>
      </c>
      <c r="C128" s="3">
        <v>3942</v>
      </c>
      <c r="D128" s="3">
        <v>6000428</v>
      </c>
      <c r="E128" s="3"/>
      <c r="F128" s="3" t="s">
        <v>92</v>
      </c>
      <c r="G128" s="3" t="s">
        <v>93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430</v>
      </c>
      <c r="S128" s="3" t="s">
        <v>348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 t="s">
        <v>355</v>
      </c>
      <c r="AB128" s="3"/>
      <c r="AC128" s="3">
        <v>168149</v>
      </c>
      <c r="AD128" s="3">
        <v>233.54028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/>
      <c r="AP128" s="3" t="s">
        <v>98</v>
      </c>
      <c r="AQ128" s="3">
        <v>210366010</v>
      </c>
      <c r="AR128" s="3" t="s">
        <v>99</v>
      </c>
      <c r="AS128" s="3" t="s">
        <v>100</v>
      </c>
      <c r="AT128" s="3">
        <v>0</v>
      </c>
      <c r="AU128" s="3">
        <v>0</v>
      </c>
      <c r="AV128" s="3">
        <v>0</v>
      </c>
      <c r="AW128" s="3">
        <v>30042099</v>
      </c>
      <c r="AX128" s="3">
        <v>0</v>
      </c>
      <c r="AY128" s="3">
        <v>720</v>
      </c>
      <c r="AZ128" s="3">
        <v>720</v>
      </c>
      <c r="BA128" s="3" t="s">
        <v>103</v>
      </c>
      <c r="BB128" s="3"/>
      <c r="BC128" s="3" t="s">
        <v>352</v>
      </c>
      <c r="BD128" s="3" t="s">
        <v>105</v>
      </c>
      <c r="BE128" s="3"/>
      <c r="BF128" s="3"/>
      <c r="BG128" s="5"/>
      <c r="BH128" s="3"/>
      <c r="BI128" s="3"/>
      <c r="BJ128" s="3"/>
      <c r="BK128" s="3" t="s">
        <v>354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 t="s">
        <v>192</v>
      </c>
      <c r="CF128" s="3">
        <v>0</v>
      </c>
      <c r="CG128" s="3">
        <v>0</v>
      </c>
      <c r="CH128" s="3">
        <v>0</v>
      </c>
      <c r="CI128" s="3" t="s">
        <v>112</v>
      </c>
      <c r="CJ128" s="3" t="s">
        <v>112</v>
      </c>
      <c r="CK128" s="3">
        <f>_xlfn.XLOOKUP($B$2,'BASE DE EXCEL'!C:C,'BASE DE EXCEL'!D:D,"NO HAY REFERENCIA")</f>
        <v>470</v>
      </c>
      <c r="CL128" s="5">
        <f>_xlfn.XLOOKUP($B$2,'BASE DE EXCEL'!$C:$C,'BASE DE EXCEL'!F:F,"NO HAY REFERENCIA")</f>
        <v>3</v>
      </c>
      <c r="CM128" s="4">
        <f>_xlfn.XLOOKUP($B$2,'BASE DE EXCEL'!$C:$C,'BASE DE EXCEL'!G:G,"NO HAY REFERENCIA")</f>
        <v>46080</v>
      </c>
      <c r="CN128" s="4">
        <f>_xlfn.XLOOKUP($B$2,'BASE DE EXCEL'!$C:$C,'BASE DE EXCEL'!H:H,"NO HAY REFERENCIA")</f>
        <v>46086</v>
      </c>
      <c r="CO128" s="3">
        <f>_xlfn.XLOOKUP($B$2,'BASE DE EXCEL'!$C:$C,'BASE DE EXCEL'!I:I,"NO HAY REFERENCIA")</f>
        <v>4</v>
      </c>
      <c r="CP128" s="3" t="str">
        <f>_xlfn.XLOOKUP($B$2,'BASE DE EXCEL'!$C:$C,'BASE DE EXCEL'!J:J,"NO HAY REFERENCIA")</f>
        <v>4 a 5 días</v>
      </c>
      <c r="CQ128" s="4">
        <f>_xlfn.XLOOKUP($B$2,'BASE DE EXCEL'!$C:$C,'BASE DE EXCEL'!K:K,"NO HAY REFERENCIA")</f>
        <v>46087</v>
      </c>
      <c r="CR128" s="3">
        <f>_xlfn.XLOOKUP($B$2,'BASE DE EXCEL'!$C:$C,'BASE DE EXCEL'!L:L,"NO HAY REFERENCIA")</f>
        <v>5</v>
      </c>
      <c r="CS128" s="3">
        <f>_xlfn.XLOOKUP($B$2,'BASE DE EXCEL'!$C:$C,'BASE DE EXCEL'!M:M,"NO HAY REFERENCIA")</f>
        <v>6</v>
      </c>
      <c r="CT128" s="3" t="str">
        <f>_xlfn.XLOOKUP($B$2,'BASE DE EXCEL'!$C:$C,'BASE DE EXCEL'!N:N,"NO HAY REFERENCIA")</f>
        <v>6 a 10 días</v>
      </c>
      <c r="CU128" s="3" t="str">
        <f>_xlfn.XLOOKUP($B$2,'BASE DE EXCEL'!$C:$C,'BASE DE EXCEL'!O:O,"NO HAY REFERENCIA")</f>
        <v>On Time</v>
      </c>
      <c r="CV128" s="3" t="str">
        <f>_xlfn.XLOOKUP(B128,'BASE DE EXCEL'!$C:$C,'BASE DE EXCEL'!P:P,"NO HAY REFERENCIA")</f>
        <v>6 a 10 días</v>
      </c>
      <c r="CW128" s="4">
        <f>_xlfn.XLOOKUP(B128,'BASE DE EXCEL'!$C:$C,'BASE DE EXCEL'!Q:Q,"NO HAY REFERENCIA")</f>
        <v>46111</v>
      </c>
      <c r="CX128" s="3">
        <f>_xlfn.XLOOKUP(B128,'BASE DE EXCEL'!$C:$C,'BASE DE EXCEL'!R:R,"NO HAY REFERENCIA")</f>
        <v>6</v>
      </c>
      <c r="CY128" s="3" t="str">
        <f>_xlfn.XLOOKUP(B128,'BASE DE EXCEL'!$C:$C,'BASE DE EXCEL'!S:S,"NO HAY REFERENCIA")</f>
        <v>6 a 10 días</v>
      </c>
      <c r="CZ128" s="3" t="str">
        <f>_xlfn.XLOOKUP(B128,'BASE DE EXCEL'!$C:$C,'BASE DE EXCEL'!T:T,"NO HAY REFERENCIA")</f>
        <v>On Time</v>
      </c>
      <c r="DA128" s="3">
        <f>_xlfn.XLOOKUP(B128,'BASE DE EXCEL'!$C:$C,'BASE DE EXCEL'!U:U,"NO HAY REFERENCIA")</f>
        <v>9</v>
      </c>
      <c r="DB128" s="3" t="str">
        <f>_xlfn.XLOOKUP(B128,'BASE DE EXCEL'!$C:$C,'BASE DE EXCEL'!V:V,"NO HAY REFERENCIA")</f>
        <v>4 a 5 días</v>
      </c>
      <c r="DC128" s="3">
        <f>_xlfn.XLOOKUP(B128,'BASE DE EXCEL'!$C:$C,'BASE DE EXCEL'!W:W,"NO HAY REFERENCIA")</f>
        <v>13</v>
      </c>
      <c r="DD128" s="3" t="str">
        <f>_xlfn.XLOOKUP(B128,'BASE DE EXCEL'!$C:$C,'BASE DE EXCEL'!X:X,"NO HAY REFERENCIA")</f>
        <v>11 a 15 días</v>
      </c>
      <c r="DE128" s="3">
        <f>_xlfn.XLOOKUP(B128,'BASE DE EXCEL'!$C:$C,'BASE DE EXCEL'!Y:Y,"NO HAY REFERENCIA")</f>
        <v>1</v>
      </c>
      <c r="DF128" s="3" t="str">
        <f>_xlfn.XLOOKUP(B128,'BASE DE EXCEL'!$C:$C,'BASE DE EXCEL'!Z:Z,"NO HAY REFERENCIA")</f>
        <v>1 día o menos</v>
      </c>
      <c r="DG128" s="3">
        <f>_xlfn.XLOOKUP(B128,'BASE DE EXCEL'!$C:$C,'BASE DE EXCEL'!AA:AA,"NO HAY REFERENCIA")</f>
        <v>6</v>
      </c>
      <c r="DH128" s="3">
        <f>_xlfn.XLOOKUP(B128,'BASE DE EXCEL'!$C:$C,'BASE DE EXCEL'!AB:AB,"NO HAY REFERENCIA")</f>
        <v>2</v>
      </c>
      <c r="DI128" s="3" t="str">
        <f>_xlfn.XLOOKUP(B128,'BASE DE EXCEL'!$C:$C,'BASE DE EXCEL'!AC:AC,"NO HAY REFERENCIA")</f>
        <v>2 a 3 días</v>
      </c>
      <c r="DJ128" s="4">
        <f>_xlfn.XLOOKUP(B128,'BASE DE EXCEL'!$C:$C,'BASE DE EXCEL'!AD:AD,"NO HAY REFERENCIA")</f>
        <v>46121</v>
      </c>
      <c r="DK128" s="3">
        <f>_xlfn.XLOOKUP(B128,'BASE DE EXCEL'!$C:$C,'BASE DE EXCEL'!AE:AE,"NO HAY REFERENCIA")</f>
        <v>10</v>
      </c>
      <c r="DL128" s="3">
        <f>_xlfn.XLOOKUP(B128,'BASE DE EXCEL'!$C:$C,'BASE DE EXCEL'!AF:AF,"NO HAY REFERENCIA")</f>
        <v>8</v>
      </c>
      <c r="DM128" s="4">
        <f>_xlfn.XLOOKUP(B128,'BASE DE EXCEL'!$C:$C,'BASE DE EXCEL'!AG:AG,"NO HAY REFERENCIA")</f>
        <v>46121</v>
      </c>
      <c r="DN128" s="4">
        <f>_xlfn.XLOOKUP(B128,'BASE DE EXCEL'!$C:$C,'BASE DE EXCEL'!AH:AH,"NO HAY REFERENCIA")</f>
        <v>46121</v>
      </c>
      <c r="DO128" s="3">
        <f>_xlfn.XLOOKUP(B128,'BASE DE EXCEL'!$C:$C,'BASE DE EXCEL'!AI:AI,"NO HAY REFERENCIA")</f>
        <v>0</v>
      </c>
      <c r="DP128" s="4" t="str">
        <f>_xlfn.XLOOKUP(B128,'BASE DE EXCEL'!$C:$C,'BASE DE EXCEL'!AJ:AJ,"NO HAY REFERENCIA")</f>
        <v>6 a 10 días</v>
      </c>
      <c r="DQ128" s="4">
        <f>_xlfn.XLOOKUP(B128,'BASE DE EXCEL'!$C:$C,'BASE DE EXCEL'!AK:AK,"NO HAY REFERENCIA")</f>
        <v>46121</v>
      </c>
      <c r="DR128" s="3">
        <f>_xlfn.XLOOKUP(B128,'BASE DE EXCEL'!$C:$C,'BASE DE EXCEL'!AL:AL,"NO HAY REFERENCIA")</f>
        <v>7</v>
      </c>
      <c r="DS128" s="3" t="str">
        <f>_xlfn.XLOOKUP(B128,'BASE DE EXCEL'!$C:$C,'BASE DE EXCEL'!AM:AM,"NO HAY REFERENCIA")</f>
        <v>6 a 10 días</v>
      </c>
      <c r="DT128" s="3" t="str">
        <f>_xlfn.XLOOKUP(B128,'BASE DE EXCEL'!$C:$C,'BASE DE EXCEL'!AN:AN,"NO HAY REFERENCIA")</f>
        <v>Delayed</v>
      </c>
      <c r="DU128" s="3">
        <f>_xlfn.XLOOKUP(B128,'BASE DE EXCEL'!$C:$C,'BASE DE EXCEL'!AO:AO,"NO HAY REFERENCIA")</f>
        <v>1</v>
      </c>
      <c r="DV128" s="3" t="str">
        <f>_xlfn.XLOOKUP(B128,'BASE DE EXCEL'!$C:$C,'BASE DE EXCEL'!AP:AP,"NO HAY REFERENCIA")</f>
        <v>Es anterior</v>
      </c>
      <c r="DW128" s="3" t="str">
        <f>_xlfn.XLOOKUP(B128,'BASE DE EXCEL'!$C:$C,'BASE DE EXCEL'!AQ:AQ,"NO HAY REFERENCIA")</f>
        <v>A1</v>
      </c>
      <c r="DX128" s="3" t="str">
        <f>_xlfn.XLOOKUP(B128,'BASE DE EXCEL'!$C:$C,'BASE DE EXCEL'!AR:AR,"NO HAY REFERENCIA")</f>
        <v>ZULEIMA PEREZ RUIZ</v>
      </c>
      <c r="DY128" s="3" t="str">
        <f>_xlfn.XLOOKUP(B128,'BASE DE EXCEL'!$C:$C,'BASE DE EXCEL'!AS:AS,"NO HAY REFERENCIA")</f>
        <v>MEDUK9666216</v>
      </c>
      <c r="DZ128" s="3" t="str">
        <f>_xlfn.XLOOKUP(B128,'BASE DE EXCEL'!$C:$C,'BASE DE EXCEL'!AT:AT,"NO HAY REFERENCIA")</f>
        <v>NULL</v>
      </c>
      <c r="EA128" s="3">
        <f>_xlfn.XLOOKUP(B128,'BASE DE EXCEL'!$C:$C,'BASE DE EXCEL'!AU:AU,"NO HAY REFERENCIA")</f>
        <v>6000428</v>
      </c>
      <c r="EB128" s="3" t="str">
        <f>_xlfn.XLOOKUP(B128,'BASE DE EXCEL'!$C:$C,'BASE DE EXCEL'!AV:AV,"NO HAY REFERENCIA")</f>
        <v>Importación</v>
      </c>
      <c r="EC128" s="3" t="str">
        <f>_xlfn.XLOOKUP(B128,'BASE DE EXCEL'!$C:$C,'BASE DE EXCEL'!AW:AW,"NO HAY REFERENCIA")</f>
        <v>ENGEMYCIN LA (MEDICAMENTO DOSIFICADO DE USO VETERINARIO)</v>
      </c>
      <c r="ED128" s="3" t="str">
        <f>_xlfn.XLOOKUP(B128,'BASE DE EXCEL'!$C:$C,'BASE DE EXCEL'!AX:AX,"NO HAY REFERENCIA")</f>
        <v>SIN CLASIFICACION</v>
      </c>
      <c r="EE128" s="3">
        <f>_xlfn.XLOOKUP(B128,'BASE DE EXCEL'!$C:$C,'BASE DE EXCEL'!AY:AY,"NO HAY REFERENCIA")</f>
        <v>0</v>
      </c>
      <c r="EF128" s="3" t="str">
        <f>_xlfn.XLOOKUP(B128,'BASE DE EXCEL'!$C:$C,'BASE DE EXCEL'!AZ:AZ,"NO HAY REFERENCIA")</f>
        <v>Cargas de Importación</v>
      </c>
      <c r="EG128" s="3" t="str">
        <f>_xlfn.XLOOKUP(B128,'BASE DE EXCEL'!$C:$C,'BASE DE EXCEL'!BA:BA,"NO HAY REFERENCIA")</f>
        <v>INTERVET MEXICO SA DE CV</v>
      </c>
      <c r="EH128" s="3">
        <f>_xlfn.XLOOKUP(B128,'BASE DE EXCEL'!$C:$C,'BASE DE EXCEL'!BB:BB,"NO HAY REFERENCIA")</f>
        <v>0</v>
      </c>
      <c r="EI128" s="3">
        <f>_xlfn.XLOOKUP(B128,'BASE DE EXCEL'!$C:$C,'BASE DE EXCEL'!BC:BC,"NO HAY REFERENCIA")</f>
        <v>0</v>
      </c>
      <c r="EJ128" s="3">
        <f>_xlfn.XLOOKUP(B128,'BASE DE EXCEL'!$C:$C,'BASE DE EXCEL'!BD:BD,"NO HAY REFERENCIA")</f>
        <v>0</v>
      </c>
      <c r="EK128" s="3">
        <f>_xlfn.XLOOKUP(B128,'BASE DE EXCEL'!$C:$C,'BASE DE EXCEL'!BE:BE,"NO HAY REFERENCIA")</f>
        <v>0</v>
      </c>
      <c r="EL128" s="3" t="str">
        <f>_xlfn.XLOOKUP(B128,'BASE DE EXCEL'!$C:$C,'BASE DE EXCEL'!BF:BF,"NO HAY REFERENCIA")</f>
        <v>PRODUCTO TERMINADO</v>
      </c>
      <c r="EM128" s="3" t="str">
        <f>_xlfn.XLOOKUP(B128,'BASE DE EXCEL'!$C:$C,'BASE DE EXCEL'!BG:BG,"NO HAY REFERENCIA")</f>
        <v>Verde</v>
      </c>
      <c r="EN128" s="3" t="str">
        <f>_xlfn.XLOOKUP(B128,'BASE DE EXCEL'!$C:$C,'BASE DE EXCEL'!BH:BH,"NO HAY REFERENCIA")</f>
        <v xml:space="preserve"> MLH TRANSPORTE, S.A. DE C.V.</v>
      </c>
      <c r="EO128" s="3" t="str">
        <f>_xlfn.XLOOKUP(B128,'BASE DE EXCEL'!$C:$C,'BASE DE EXCEL'!BI:BI,"NO HAY REFERENCIA")</f>
        <v>TRACTOCAMION, ECO 138</v>
      </c>
      <c r="EP128" s="3">
        <f>_xlfn.XLOOKUP(B128,'BASE DE EXCEL'!$C:$C,'BASE DE EXCEL'!BJ:BJ,"NO HAY REFERENCIA")</f>
        <v>0</v>
      </c>
      <c r="EQ128" s="3" t="str">
        <f>_xlfn.XLOOKUP(B128,'BASE DE EXCEL'!$C:$C,'BASE DE EXCEL'!BK:BK,"NO HAY REFERENCIA")</f>
        <v>IME850329RH2</v>
      </c>
      <c r="ER128" s="3">
        <f>_xlfn.XLOOKUP(B128,'BASE DE EXCEL'!$C:$C,'BASE DE EXCEL'!BL:BL,"NO HAY REFERENCIA")</f>
        <v>0</v>
      </c>
      <c r="ES128" s="3">
        <f>_xlfn.XLOOKUP(B128,'BASE DE EXCEL'!$C:$C,'BASE DE EXCEL'!BM:BM,"NO HAY REFERENCIA")</f>
        <v>0</v>
      </c>
      <c r="ET128" s="3" t="str">
        <f>_xlfn.XLOOKUP(B128,'BASE DE EXCEL'!$C:$C,'BASE DE EXCEL'!BN:BN,"NO HAY REFERENCIA")</f>
        <v>LOTE: 25EY041/1,LOTE: 25CC015/1</v>
      </c>
      <c r="EU128" s="3">
        <f>_xlfn.XLOOKUP(B128,'BASE DE EXCEL'!$C:$C,'BASE DE EXCEL'!BO:BO,"NO HAY REFERENCIA")</f>
        <v>90</v>
      </c>
      <c r="EV128" s="3">
        <f>_xlfn.XLOOKUP(B128,'BASE DE EXCEL'!$C:$C,'BASE DE EXCEL'!BP:BP,"NO HAY REFERENCIA")</f>
        <v>1624557.6</v>
      </c>
      <c r="EW128" s="3" t="str">
        <f>_xlfn.XLOOKUP(B128,'BASE DE EXCEL'!$C:$C,'BASE DE EXCEL'!BQ:BQ,"NO HAY REFERENCIA")</f>
        <v>KILO,KILO</v>
      </c>
      <c r="EX128" s="3">
        <f>_xlfn.XLOOKUP(B128,'BASE DE EXCEL'!$C:$C,'BASE DE EXCEL'!BR:BR,"NO HAY REFERENCIA")</f>
        <v>0</v>
      </c>
      <c r="EY128" s="3" t="str">
        <f>_xlfn.XLOOKUP(B128,'BASE DE EXCEL'!$C:$C,'BASE DE EXCEL'!BS:BS,"NO HAY REFERENCIA")</f>
        <v>ITALIA (REPUBLICA ITALIANA)</v>
      </c>
      <c r="EZ128" s="3" t="str">
        <f>_xlfn.XLOOKUP(B128,'BASE DE EXCEL'!$C:$C,'BASE DE EXCEL'!BT:BT,"NO HAY REFERENCIA")</f>
        <v>PAISES BAJOS (REINO DE LOS) (HOLANDA)</v>
      </c>
      <c r="FA128" s="3" t="str">
        <f>_xlfn.XLOOKUP(B128,'BASE DE EXCEL'!$C:$C,'BASE DE EXCEL'!BU:BU,"NO HAY REFERENCIA")</f>
        <v>ITA</v>
      </c>
      <c r="FB128" s="3" t="str">
        <f>_xlfn.XLOOKUP(B128,'BASE DE EXCEL'!$C:$C,'BASE DE EXCEL'!BV:BV,"NO HAY REFERENCIA")</f>
        <v>ZYA</v>
      </c>
      <c r="FC128" s="3">
        <f>_xlfn.XLOOKUP(B128,QUERY!$C:$C,QUERY!D:D)</f>
        <v>430</v>
      </c>
      <c r="FD128" s="4">
        <f>_xlfn.XLOOKUP(B128,QUERY!$C:$C,QUERY!E:E)</f>
        <v>46108</v>
      </c>
      <c r="FE128" s="3">
        <f>_xlfn.XLOOKUP(B128,QUERY!$C:$C,QUERY!F:F)</f>
        <v>3</v>
      </c>
      <c r="FF128" s="4">
        <f>_xlfn.XLOOKUP(B128,QUERY!$C:$C,QUERY!G:G)</f>
        <v>46102</v>
      </c>
      <c r="FG128" s="4">
        <f>_xlfn.XLOOKUP(B128,QUERY!$C:$C,QUERY!H:H)</f>
        <v>46108</v>
      </c>
      <c r="FH128" s="3">
        <f>_xlfn.XLOOKUP(B128,QUERY!$C:$C,QUERY!I:I)</f>
        <v>4</v>
      </c>
      <c r="FI128" s="3" t="str">
        <f>_xlfn.XLOOKUP(B128,QUERY!$C:$C,QUERY!J:J)</f>
        <v>4 a 5 días</v>
      </c>
      <c r="FJ128" s="4">
        <f>_xlfn.XLOOKUP(B128,QUERY!$C:$C,QUERY!K:K)</f>
        <v>46109</v>
      </c>
      <c r="FK128" s="3">
        <f>_xlfn.XLOOKUP(B128,QUERY!$C:$C,QUERY!L:L)</f>
        <v>4</v>
      </c>
      <c r="FL128" s="3" t="str">
        <f>_xlfn.XLOOKUP(B128,QUERY!$C:$C,QUERY!M:M)</f>
        <v>4 a 5 días</v>
      </c>
      <c r="FM128" s="3">
        <f>_xlfn.XLOOKUP(B128,QUERY!$C:$C,QUERY!N:N)</f>
        <v>1</v>
      </c>
      <c r="FN128" s="3" t="str">
        <f>_xlfn.XLOOKUP(B128,QUERY!$C:$C,QUERY!O:O)</f>
        <v>1 día o menos</v>
      </c>
      <c r="FO128" s="3">
        <f>_xlfn.XLOOKUP(B128,QUERY!$C:$C,QUERY!P:P)</f>
        <v>1</v>
      </c>
      <c r="FP128" s="3">
        <f>_xlfn.XLOOKUP(B128,QUERY!$C:$C,QUERY!Q:Q)</f>
        <v>2</v>
      </c>
      <c r="FQ128" s="3" t="str">
        <f>_xlfn.XLOOKUP(B128,QUERY!$C:$C,QUERY!R:R)</f>
        <v>2 a 3 días</v>
      </c>
      <c r="FR128" s="4">
        <f>_xlfn.XLOOKUP(B128,QUERY!$C:$C,QUERY!S:S)</f>
        <v>46111</v>
      </c>
      <c r="FS128" s="3">
        <f>_xlfn.XLOOKUP(B128,QUERY!$C:$C,QUERY!T:T)</f>
        <v>5</v>
      </c>
      <c r="FT128" s="3" t="str">
        <f>_xlfn.XLOOKUP(B128,QUERY!$C:$C,QUERY!U:U)</f>
        <v>4 a 5 días</v>
      </c>
      <c r="FU128" s="3">
        <f>_xlfn.XLOOKUP(B128,QUERY!$C:$C,QUERY!V:V)</f>
        <v>13</v>
      </c>
      <c r="FV128" s="3" t="str">
        <f>_xlfn.XLOOKUP(B128,QUERY!$C:$C,QUERY!W:W)</f>
        <v>11 a 15 días</v>
      </c>
      <c r="FW128" s="4">
        <f>_xlfn.XLOOKUP(B128,QUERY!$C:$C,QUERY!X:X)</f>
        <v>46121</v>
      </c>
      <c r="FX128" s="3">
        <f>_xlfn.XLOOKUP(B128,QUERY!$C:$C,QUERY!Y:Y)</f>
        <v>8</v>
      </c>
      <c r="FY128" s="3">
        <f>_xlfn.XLOOKUP(B128,QUERY!$C:$C,QUERY!Z:Z)</f>
        <v>8</v>
      </c>
      <c r="FZ128" s="4" t="str">
        <f>_xlfn.XLOOKUP(B128,QUERY!$C:$C,QUERY!AA:AA)</f>
        <v>6 a 10 días</v>
      </c>
      <c r="GA128" s="4">
        <f>_xlfn.XLOOKUP(B128,QUERY!$C:$C,QUERY!AB:AB)</f>
        <v>46121</v>
      </c>
      <c r="GB128" s="4">
        <f>_xlfn.XLOOKUP(B128,QUERY!$C:$C,QUERY!AC:AC)</f>
        <v>46121</v>
      </c>
      <c r="GC128" s="3">
        <f>_xlfn.XLOOKUP(B128,QUERY!$C:$C,QUERY!AD:AD)</f>
        <v>0</v>
      </c>
      <c r="GD128" s="4">
        <f>_xlfn.XLOOKUP(B128,QUERY!$C:$C,QUERY!AE:AE)</f>
        <v>46121</v>
      </c>
      <c r="GE128" s="3">
        <f>_xlfn.XLOOKUP(B128,QUERY!$C:$C,QUERY!AF:AF)</f>
        <v>1</v>
      </c>
      <c r="GF128" s="4" t="str">
        <f>_xlfn.XLOOKUP(B128,QUERY!$C:$C,QUERY!AG:AG)</f>
        <v>Es anterior</v>
      </c>
      <c r="GG128" s="3" t="str">
        <f>_xlfn.XLOOKUP(B128,QUERY!$C:$C,QUERY!AH:AH)</f>
        <v>A1</v>
      </c>
      <c r="GH128" s="3" t="str">
        <f>_xlfn.XLOOKUP(B128,QUERY!$C:$C,QUERY!AI:AI)</f>
        <v>ZULEIMA PEREZ RUIZ</v>
      </c>
      <c r="GI128" s="3" t="str">
        <f>_xlfn.XLOOKUP(B128,QUERY!$C:$C,QUERY!AJ:AJ)</f>
        <v>MEDUK9666216</v>
      </c>
      <c r="GJ128" s="3" t="str">
        <f>_xlfn.XLOOKUP(B128,QUERY!$C:$C,QUERY!AK:AK)</f>
        <v>NULL</v>
      </c>
      <c r="GK128" s="3">
        <f>_xlfn.XLOOKUP(B128,QUERY!$C:$C,QUERY!AL:AL)</f>
        <v>6000428</v>
      </c>
      <c r="GL128" s="3" t="str">
        <f>_xlfn.XLOOKUP(B128,QUERY!$C:$C,QUERY!AM:AM)</f>
        <v>Importación</v>
      </c>
      <c r="GM128" s="3" t="str">
        <f>_xlfn.XLOOKUP(B128,QUERY!$C:$C,QUERY!AN:AN)</f>
        <v>ENGEMYCIN LA (MEDICAMENTO DOSIFICADO DE USO VETERINARIO)</v>
      </c>
      <c r="GN128" s="3" t="str">
        <f>_xlfn.XLOOKUP(B128,QUERY!$C:$C,QUERY!AO:AO)</f>
        <v>SIN CLASIFICACION</v>
      </c>
      <c r="GO128" s="3">
        <f>_xlfn.XLOOKUP(B128,QUERY!$C:$C,QUERY!AP:AP)</f>
        <v>0</v>
      </c>
      <c r="GP128" s="3" t="str">
        <f>_xlfn.XLOOKUP(B128,QUERY!$C:$C,QUERY!AQ:AQ)</f>
        <v>Cargas de Importación</v>
      </c>
      <c r="GQ128" s="3" t="str">
        <f>_xlfn.XLOOKUP(B128,QUERY!$C:$C,QUERY!AR:AR)</f>
        <v>INTERVET MEXICO SA DE CV</v>
      </c>
      <c r="GR128" s="3">
        <f>_xlfn.XLOOKUP(B128,QUERY!$C:$C,QUERY!AS:AS)</f>
        <v>0</v>
      </c>
      <c r="GS128" s="3">
        <f>_xlfn.XLOOKUP(B128,QUERY!$C:$C,QUERY!AT:AT)</f>
        <v>0</v>
      </c>
      <c r="GT128" s="3">
        <f>_xlfn.XLOOKUP(B128,QUERY!$C:$C,QUERY!AU:AU)</f>
        <v>0</v>
      </c>
      <c r="GU128" s="3">
        <f>_xlfn.XLOOKUP(B128,QUERY!$C:$C,QUERY!AV:AV)</f>
        <v>0</v>
      </c>
      <c r="GV128" s="3" t="str">
        <f>_xlfn.XLOOKUP(B128,QUERY!$C:$C,QUERY!AW:AW)</f>
        <v>PRODUCTO TERMINADO</v>
      </c>
      <c r="GW128" s="3" t="str">
        <f>_xlfn.XLOOKUP(B128,QUERY!$C:$C,QUERY!AX:AX)</f>
        <v>Verde</v>
      </c>
      <c r="GX128" s="3" t="str">
        <f>_xlfn.XLOOKUP(B128,QUERY!$C:$C,QUERY!AY:AY)</f>
        <v xml:space="preserve"> MLH TRANSPORTE, S.A. DE C.V.</v>
      </c>
      <c r="GY128" s="3" t="str">
        <f>_xlfn.XLOOKUP(B128,QUERY!$C:$C,QUERY!AZ:AZ)</f>
        <v>TRACTOCAMION, ECO 138</v>
      </c>
      <c r="GZ128" s="3">
        <f>_xlfn.XLOOKUP(B128,QUERY!$C:$C,QUERY!BA:BA)</f>
        <v>0</v>
      </c>
      <c r="HA128" s="3" t="str">
        <f>_xlfn.XLOOKUP(B128,QUERY!$C:$C,QUERY!BB:BB)</f>
        <v>IME850329RH2</v>
      </c>
      <c r="HB128" s="3">
        <f>_xlfn.XLOOKUP(B128,QUERY!$C:$C,QUERY!BC:BC)</f>
        <v>0</v>
      </c>
      <c r="HC128" s="3">
        <f>_xlfn.XLOOKUP(B128,QUERY!$C:$C,QUERY!BD:BD)</f>
        <v>0</v>
      </c>
      <c r="HD128" s="3" t="str">
        <f>_xlfn.XLOOKUP(B128,QUERY!$C:$C,QUERY!BE:BE)</f>
        <v>LOTE: 25EY041/1,LOTE: 25CC015/1</v>
      </c>
      <c r="HE128" s="3">
        <f>_xlfn.XLOOKUP(B128,QUERY!$C:$C,QUERY!BF:BF)</f>
        <v>90</v>
      </c>
      <c r="HF128" s="3" t="str">
        <f>_xlfn.XLOOKUP(B128,QUERY!$C:$C,QUERY!BG:BG)</f>
        <v xml:space="preserve"> 1624557.60</v>
      </c>
      <c r="HG128" s="3" t="str">
        <f>_xlfn.XLOOKUP(B128,QUERY!$C:$C,QUERY!BH:BH)</f>
        <v>KILO,KILO</v>
      </c>
      <c r="HH128" s="3">
        <f>_xlfn.XLOOKUP(B128,QUERY!$C:$C,QUERY!BI:BI)</f>
        <v>0</v>
      </c>
      <c r="HI128" s="3" t="str">
        <f>_xlfn.XLOOKUP(B128,QUERY!$C:$C,QUERY!BJ:BJ)</f>
        <v>ITALIA (REPUBLICA ITALIANA)</v>
      </c>
      <c r="HJ128" s="3" t="str">
        <f>_xlfn.XLOOKUP(B128,QUERY!$C:$C,QUERY!BK:BK)</f>
        <v>PAISES BAJOS (REINO DE LOS) (HOLANDA)</v>
      </c>
      <c r="HK128" s="3" t="str">
        <f>_xlfn.XLOOKUP(B128,QUERY!$C:$C,QUERY!BL:BL)</f>
        <v>ITA</v>
      </c>
      <c r="HL128" s="3" t="str">
        <f>_xlfn.XLOOKUP(B128,QUERY!$C:$C,QUERY!BM:BM)</f>
        <v>ZYA</v>
      </c>
      <c r="HM128" s="3">
        <f>_xlfn.XLOOKUP(B128,QUERY!$C:$C,QUERY!BN:BN)</f>
        <v>1624558</v>
      </c>
      <c r="HN128" s="3" t="str">
        <f>_xlfn.XLOOKUP(B128,QUERY!$C:$C,QUERY!BO:BO)</f>
        <v>11651.00</v>
      </c>
      <c r="HO128" s="3" t="str">
        <f>_xlfn.XLOOKUP(B128,QUERY!$C:$C,QUERY!BP:BP)</f>
        <v>NULL</v>
      </c>
      <c r="HP128" s="3" t="str">
        <f>_xlfn.XLOOKUP(B128,QUERY!$C:$C,QUERY!BQ:BQ)</f>
        <v>218461.00</v>
      </c>
      <c r="HQ128" s="3" t="str">
        <f>_xlfn.XLOOKUP(B128,QUERY!$C:$C,QUERY!BR:BR)</f>
        <v>181118.11</v>
      </c>
      <c r="HR128" s="3">
        <f>_xlfn.XLOOKUP(B128,QUERY!$C:$C,QUERY!BS:BS)</f>
        <v>0</v>
      </c>
      <c r="HS128" s="3">
        <f>_xlfn.XLOOKUP(B128,QUERY!$C:$C,QUERY!BT:BT)</f>
        <v>0</v>
      </c>
      <c r="HT128" s="3" t="str">
        <f>_xlfn.XLOOKUP(B128,QUERY!$C:$C,QUERY!A:A)</f>
        <v>VERACRUZ</v>
      </c>
      <c r="HU128" s="3" t="str">
        <f>_xlfn.XLOOKUP(B128,QUERY!$C:$C,QUERY!B:B)</f>
        <v>MARÍTIMO VERACRUZ</v>
      </c>
    </row>
    <row r="129" spans="1:229" x14ac:dyDescent="0.25">
      <c r="A129" s="3" t="s">
        <v>90</v>
      </c>
      <c r="B129" s="3" t="s">
        <v>357</v>
      </c>
      <c r="C129" s="3">
        <v>3942</v>
      </c>
      <c r="D129" s="3">
        <v>6000431</v>
      </c>
      <c r="E129" s="3"/>
      <c r="F129" s="3" t="s">
        <v>92</v>
      </c>
      <c r="G129" s="3" t="s">
        <v>93</v>
      </c>
      <c r="H129" s="3">
        <v>0</v>
      </c>
      <c r="I129" s="3">
        <v>0</v>
      </c>
      <c r="J129" s="3">
        <v>0</v>
      </c>
      <c r="K129" s="3">
        <v>0</v>
      </c>
      <c r="L129" s="3" t="s">
        <v>223</v>
      </c>
      <c r="M129" s="3" t="s">
        <v>223</v>
      </c>
      <c r="N129" s="3">
        <v>0</v>
      </c>
      <c r="O129" s="3">
        <v>0</v>
      </c>
      <c r="P129" s="3">
        <v>17.669</v>
      </c>
      <c r="Q129" s="3">
        <v>6471.6</v>
      </c>
      <c r="R129" s="3">
        <v>430</v>
      </c>
      <c r="S129" s="3" t="s">
        <v>358</v>
      </c>
      <c r="T129" s="3" t="s">
        <v>185</v>
      </c>
      <c r="U129" s="3">
        <v>2189088</v>
      </c>
      <c r="V129" s="3">
        <v>2189088</v>
      </c>
      <c r="W129" s="3">
        <v>0</v>
      </c>
      <c r="X129" s="3">
        <v>0</v>
      </c>
      <c r="Y129" s="3">
        <v>0</v>
      </c>
      <c r="Z129" s="3">
        <v>0</v>
      </c>
      <c r="AA129" s="3" t="s">
        <v>359</v>
      </c>
      <c r="AB129" s="3"/>
      <c r="AC129" s="3">
        <v>872300</v>
      </c>
      <c r="AD129" s="3">
        <v>1128.46054</v>
      </c>
      <c r="AE129" s="3">
        <v>354</v>
      </c>
      <c r="AF129" s="3" t="s">
        <v>360</v>
      </c>
      <c r="AG129" s="3">
        <v>26796</v>
      </c>
      <c r="AH129" s="3">
        <v>0</v>
      </c>
      <c r="AI129" s="3">
        <v>53</v>
      </c>
      <c r="AJ129" s="3">
        <v>17513</v>
      </c>
      <c r="AK129" s="3">
        <v>0</v>
      </c>
      <c r="AL129" s="3">
        <v>179305</v>
      </c>
      <c r="AM129" s="3">
        <v>330</v>
      </c>
      <c r="AN129" s="3">
        <v>340187</v>
      </c>
      <c r="AO129" s="3" t="s">
        <v>97</v>
      </c>
      <c r="AP129" s="3" t="s">
        <v>98</v>
      </c>
      <c r="AQ129" s="3">
        <v>210367234</v>
      </c>
      <c r="AR129" s="3" t="s">
        <v>99</v>
      </c>
      <c r="AS129" s="3" t="s">
        <v>100</v>
      </c>
      <c r="AT129" s="3">
        <v>266207695</v>
      </c>
      <c r="AU129" s="3"/>
      <c r="AV129" s="3" t="s">
        <v>188</v>
      </c>
      <c r="AW129" s="3">
        <v>38089199</v>
      </c>
      <c r="AX129" s="3">
        <v>99</v>
      </c>
      <c r="AY129" s="3">
        <v>773</v>
      </c>
      <c r="AZ129" s="3">
        <v>773</v>
      </c>
      <c r="BA129" s="3" t="s">
        <v>103</v>
      </c>
      <c r="BB129" s="3"/>
      <c r="BC129" s="3" t="s">
        <v>189</v>
      </c>
      <c r="BD129" s="3" t="s">
        <v>105</v>
      </c>
      <c r="BE129" s="3" t="s">
        <v>106</v>
      </c>
      <c r="BF129" s="3" t="s">
        <v>107</v>
      </c>
      <c r="BG129" s="5" t="s">
        <v>361</v>
      </c>
      <c r="BH129" s="3" t="s">
        <v>230</v>
      </c>
      <c r="BI129" s="3"/>
      <c r="BJ129" s="3" t="s">
        <v>190</v>
      </c>
      <c r="BK129" s="3" t="s">
        <v>362</v>
      </c>
      <c r="BL129" s="3">
        <v>44556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22189.59</v>
      </c>
      <c r="BY129" s="3">
        <v>0</v>
      </c>
      <c r="BZ129" s="3">
        <v>0</v>
      </c>
      <c r="CA129" s="3">
        <v>0</v>
      </c>
      <c r="CB129" s="3">
        <v>5600</v>
      </c>
      <c r="CC129" s="3">
        <v>1659.2</v>
      </c>
      <c r="CD129" s="3">
        <v>142588.21</v>
      </c>
      <c r="CE129" s="3" t="s">
        <v>192</v>
      </c>
      <c r="CF129" s="3">
        <v>142588.21</v>
      </c>
      <c r="CG129" s="3">
        <v>0</v>
      </c>
      <c r="CH129" s="3">
        <v>0</v>
      </c>
      <c r="CI129" s="3" t="s">
        <v>112</v>
      </c>
      <c r="CJ129" s="3" t="s">
        <v>112</v>
      </c>
      <c r="CK129" s="3">
        <f>_xlfn.XLOOKUP($B$2,'BASE DE EXCEL'!C:C,'BASE DE EXCEL'!D:D,"NO HAY REFERENCIA")</f>
        <v>470</v>
      </c>
      <c r="CL129" s="5">
        <f>_xlfn.XLOOKUP($B$2,'BASE DE EXCEL'!$C:$C,'BASE DE EXCEL'!F:F,"NO HAY REFERENCIA")</f>
        <v>3</v>
      </c>
      <c r="CM129" s="4">
        <f>_xlfn.XLOOKUP($B$2,'BASE DE EXCEL'!$C:$C,'BASE DE EXCEL'!G:G,"NO HAY REFERENCIA")</f>
        <v>46080</v>
      </c>
      <c r="CN129" s="4">
        <f>_xlfn.XLOOKUP($B$2,'BASE DE EXCEL'!$C:$C,'BASE DE EXCEL'!H:H,"NO HAY REFERENCIA")</f>
        <v>46086</v>
      </c>
      <c r="CO129" s="3">
        <f>_xlfn.XLOOKUP($B$2,'BASE DE EXCEL'!$C:$C,'BASE DE EXCEL'!I:I,"NO HAY REFERENCIA")</f>
        <v>4</v>
      </c>
      <c r="CP129" s="3" t="str">
        <f>_xlfn.XLOOKUP($B$2,'BASE DE EXCEL'!$C:$C,'BASE DE EXCEL'!J:J,"NO HAY REFERENCIA")</f>
        <v>4 a 5 días</v>
      </c>
      <c r="CQ129" s="4">
        <f>_xlfn.XLOOKUP($B$2,'BASE DE EXCEL'!$C:$C,'BASE DE EXCEL'!K:K,"NO HAY REFERENCIA")</f>
        <v>46087</v>
      </c>
      <c r="CR129" s="3">
        <f>_xlfn.XLOOKUP($B$2,'BASE DE EXCEL'!$C:$C,'BASE DE EXCEL'!L:L,"NO HAY REFERENCIA")</f>
        <v>5</v>
      </c>
      <c r="CS129" s="3">
        <f>_xlfn.XLOOKUP($B$2,'BASE DE EXCEL'!$C:$C,'BASE DE EXCEL'!M:M,"NO HAY REFERENCIA")</f>
        <v>6</v>
      </c>
      <c r="CT129" s="3" t="str">
        <f>_xlfn.XLOOKUP($B$2,'BASE DE EXCEL'!$C:$C,'BASE DE EXCEL'!N:N,"NO HAY REFERENCIA")</f>
        <v>6 a 10 días</v>
      </c>
      <c r="CU129" s="3" t="str">
        <f>_xlfn.XLOOKUP($B$2,'BASE DE EXCEL'!$C:$C,'BASE DE EXCEL'!O:O,"NO HAY REFERENCIA")</f>
        <v>On Time</v>
      </c>
      <c r="CV129" s="3" t="str">
        <f>_xlfn.XLOOKUP(B129,'BASE DE EXCEL'!$C:$C,'BASE DE EXCEL'!P:P,"NO HAY REFERENCIA")</f>
        <v>6 a 10 días</v>
      </c>
      <c r="CW129" s="4">
        <f>_xlfn.XLOOKUP(B129,'BASE DE EXCEL'!$C:$C,'BASE DE EXCEL'!Q:Q,"NO HAY REFERENCIA")</f>
        <v>46111</v>
      </c>
      <c r="CX129" s="3">
        <f>_xlfn.XLOOKUP(B129,'BASE DE EXCEL'!$C:$C,'BASE DE EXCEL'!R:R,"NO HAY REFERENCIA")</f>
        <v>7</v>
      </c>
      <c r="CY129" s="3" t="str">
        <f>_xlfn.XLOOKUP(B129,'BASE DE EXCEL'!$C:$C,'BASE DE EXCEL'!S:S,"NO HAY REFERENCIA")</f>
        <v>6 a 10 días</v>
      </c>
      <c r="CZ129" s="3" t="str">
        <f>_xlfn.XLOOKUP(B129,'BASE DE EXCEL'!$C:$C,'BASE DE EXCEL'!T:T,"NO HAY REFERENCIA")</f>
        <v>Delayed</v>
      </c>
      <c r="DA129" s="3">
        <f>_xlfn.XLOOKUP(B129,'BASE DE EXCEL'!$C:$C,'BASE DE EXCEL'!U:U,"NO HAY REFERENCIA")</f>
        <v>10</v>
      </c>
      <c r="DB129" s="3" t="str">
        <f>_xlfn.XLOOKUP(B129,'BASE DE EXCEL'!$C:$C,'BASE DE EXCEL'!V:V,"NO HAY REFERENCIA")</f>
        <v>6 a 10 días</v>
      </c>
      <c r="DC129" s="3">
        <f>_xlfn.XLOOKUP(B129,'BASE DE EXCEL'!$C:$C,'BASE DE EXCEL'!W:W,"NO HAY REFERENCIA")</f>
        <v>11</v>
      </c>
      <c r="DD129" s="3" t="str">
        <f>_xlfn.XLOOKUP(B129,'BASE DE EXCEL'!$C:$C,'BASE DE EXCEL'!X:X,"NO HAY REFERENCIA")</f>
        <v>11 a 15 días</v>
      </c>
      <c r="DE129" s="3">
        <f>_xlfn.XLOOKUP(B129,'BASE DE EXCEL'!$C:$C,'BASE DE EXCEL'!Y:Y,"NO HAY REFERENCIA")</f>
        <v>1</v>
      </c>
      <c r="DF129" s="3" t="str">
        <f>_xlfn.XLOOKUP(B129,'BASE DE EXCEL'!$C:$C,'BASE DE EXCEL'!Z:Z,"NO HAY REFERENCIA")</f>
        <v>1 día o menos</v>
      </c>
      <c r="DG129" s="3">
        <f>_xlfn.XLOOKUP(B129,'BASE DE EXCEL'!$C:$C,'BASE DE EXCEL'!AA:AA,"NO HAY REFERENCIA")</f>
        <v>7</v>
      </c>
      <c r="DH129" s="3">
        <f>_xlfn.XLOOKUP(B129,'BASE DE EXCEL'!$C:$C,'BASE DE EXCEL'!AB:AB,"NO HAY REFERENCIA")</f>
        <v>2</v>
      </c>
      <c r="DI129" s="3" t="str">
        <f>_xlfn.XLOOKUP(B129,'BASE DE EXCEL'!$C:$C,'BASE DE EXCEL'!AC:AC,"NO HAY REFERENCIA")</f>
        <v>2 a 3 días</v>
      </c>
      <c r="DJ129" s="4">
        <f>_xlfn.XLOOKUP(B129,'BASE DE EXCEL'!$C:$C,'BASE DE EXCEL'!AD:AD,"NO HAY REFERENCIA")</f>
        <v>46118</v>
      </c>
      <c r="DK129" s="3">
        <f>_xlfn.XLOOKUP(B129,'BASE DE EXCEL'!$C:$C,'BASE DE EXCEL'!AE:AE,"NO HAY REFERENCIA")</f>
        <v>7</v>
      </c>
      <c r="DL129" s="3">
        <f>_xlfn.XLOOKUP(B129,'BASE DE EXCEL'!$C:$C,'BASE DE EXCEL'!AF:AF,"NO HAY REFERENCIA")</f>
        <v>5</v>
      </c>
      <c r="DM129" s="4">
        <f>_xlfn.XLOOKUP(B129,'BASE DE EXCEL'!$C:$C,'BASE DE EXCEL'!AG:AG,"NO HAY REFERENCIA")</f>
        <v>46118</v>
      </c>
      <c r="DN129" s="4">
        <f>_xlfn.XLOOKUP(B129,'BASE DE EXCEL'!$C:$C,'BASE DE EXCEL'!AH:AH,"NO HAY REFERENCIA")</f>
        <v>46118</v>
      </c>
      <c r="DO129" s="3">
        <f>_xlfn.XLOOKUP(B129,'BASE DE EXCEL'!$C:$C,'BASE DE EXCEL'!AI:AI,"NO HAY REFERENCIA")</f>
        <v>0</v>
      </c>
      <c r="DP129" s="4" t="str">
        <f>_xlfn.XLOOKUP(B129,'BASE DE EXCEL'!$C:$C,'BASE DE EXCEL'!AJ:AJ,"NO HAY REFERENCIA")</f>
        <v>6 a 10 días</v>
      </c>
      <c r="DQ129" s="4">
        <f>_xlfn.XLOOKUP(B129,'BASE DE EXCEL'!$C:$C,'BASE DE EXCEL'!AK:AK,"NO HAY REFERENCIA")</f>
        <v>46118</v>
      </c>
      <c r="DR129" s="3">
        <f>_xlfn.XLOOKUP(B129,'BASE DE EXCEL'!$C:$C,'BASE DE EXCEL'!AL:AL,"NO HAY REFERENCIA")</f>
        <v>4</v>
      </c>
      <c r="DS129" s="3" t="str">
        <f>_xlfn.XLOOKUP(B129,'BASE DE EXCEL'!$C:$C,'BASE DE EXCEL'!AM:AM,"NO HAY REFERENCIA")</f>
        <v>4 a 5 días</v>
      </c>
      <c r="DT129" s="3" t="str">
        <f>_xlfn.XLOOKUP(B129,'BASE DE EXCEL'!$C:$C,'BASE DE EXCEL'!AN:AN,"NO HAY REFERENCIA")</f>
        <v>On Time</v>
      </c>
      <c r="DU129" s="3">
        <f>_xlfn.XLOOKUP(B129,'BASE DE EXCEL'!$C:$C,'BASE DE EXCEL'!AO:AO,"NO HAY REFERENCIA")</f>
        <v>1</v>
      </c>
      <c r="DV129" s="3" t="str">
        <f>_xlfn.XLOOKUP(B129,'BASE DE EXCEL'!$C:$C,'BASE DE EXCEL'!AP:AP,"NO HAY REFERENCIA")</f>
        <v>Es anterior</v>
      </c>
      <c r="DW129" s="3" t="str">
        <f>_xlfn.XLOOKUP(B129,'BASE DE EXCEL'!$C:$C,'BASE DE EXCEL'!AQ:AQ,"NO HAY REFERENCIA")</f>
        <v>A1</v>
      </c>
      <c r="DX129" s="3" t="str">
        <f>_xlfn.XLOOKUP(B129,'BASE DE EXCEL'!$C:$C,'BASE DE EXCEL'!AR:AR,"NO HAY REFERENCIA")</f>
        <v>ZULEIMA PEREZ RUIZ</v>
      </c>
      <c r="DY129" s="3">
        <f>_xlfn.XLOOKUP(B129,'BASE DE EXCEL'!$C:$C,'BASE DE EXCEL'!AS:AS,"NO HAY REFERENCIA")</f>
        <v>266207695</v>
      </c>
      <c r="DZ129" s="3" t="str">
        <f>_xlfn.XLOOKUP(B129,'BASE DE EXCEL'!$C:$C,'BASE DE EXCEL'!AT:AT,"NO HAY REFERENCIA")</f>
        <v>NULL</v>
      </c>
      <c r="EA129" s="3">
        <f>_xlfn.XLOOKUP(B129,'BASE DE EXCEL'!$C:$C,'BASE DE EXCEL'!AU:AU,"NO HAY REFERENCIA")</f>
        <v>6000431</v>
      </c>
      <c r="EB129" s="3" t="str">
        <f>_xlfn.XLOOKUP(B129,'BASE DE EXCEL'!$C:$C,'BASE DE EXCEL'!AV:AV,"NO HAY REFERENCIA")</f>
        <v>Importación</v>
      </c>
      <c r="EC129" s="3" t="str">
        <f>_xlfn.XLOOKUP(B129,'BASE DE EXCEL'!$C:$C,'BASE DE EXCEL'!AW:AW,"NO HAY REFERENCIA")</f>
        <v>TAKTIC EC (AMITRAZ)</v>
      </c>
      <c r="ED129" s="3" t="str">
        <f>_xlfn.XLOOKUP(B129,'BASE DE EXCEL'!$C:$C,'BASE DE EXCEL'!AX:AX,"NO HAY REFERENCIA")</f>
        <v>SIN CLASIFICACION</v>
      </c>
      <c r="EE129" s="3">
        <f>_xlfn.XLOOKUP(B129,'BASE DE EXCEL'!$C:$C,'BASE DE EXCEL'!AY:AY,"NO HAY REFERENCIA")</f>
        <v>0</v>
      </c>
      <c r="EF129" s="3" t="str">
        <f>_xlfn.XLOOKUP(B129,'BASE DE EXCEL'!$C:$C,'BASE DE EXCEL'!AZ:AZ,"NO HAY REFERENCIA")</f>
        <v>Cargas de Importación</v>
      </c>
      <c r="EG129" s="3" t="str">
        <f>_xlfn.XLOOKUP(B129,'BASE DE EXCEL'!$C:$C,'BASE DE EXCEL'!BA:BA,"NO HAY REFERENCIA")</f>
        <v>INTERVET MEXICO SA DE CV</v>
      </c>
      <c r="EH129" s="3">
        <f>_xlfn.XLOOKUP(B129,'BASE DE EXCEL'!$C:$C,'BASE DE EXCEL'!BB:BB,"NO HAY REFERENCIA")</f>
        <v>0</v>
      </c>
      <c r="EI129" s="3" t="str">
        <f>_xlfn.XLOOKUP(B129,'BASE DE EXCEL'!$C:$C,'BASE DE EXCEL'!BC:BC,"NO HAY REFERENCIA")</f>
        <v>FALTA RRNA</v>
      </c>
      <c r="EJ129" s="3">
        <f>_xlfn.XLOOKUP(B129,'BASE DE EXCEL'!$C:$C,'BASE DE EXCEL'!BD:BD,"NO HAY REFERENCIA")</f>
        <v>0</v>
      </c>
      <c r="EK129" s="3" t="str">
        <f>_xlfn.XLOOKUP(B129,'BASE DE EXCEL'!$C:$C,'BASE DE EXCEL'!BE:BE,"NO HAY REFERENCIA")</f>
        <v>FALTA RRNA</v>
      </c>
      <c r="EL129" s="3" t="str">
        <f>_xlfn.XLOOKUP(B129,'BASE DE EXCEL'!$C:$C,'BASE DE EXCEL'!BF:BF,"NO HAY REFERENCIA")</f>
        <v>PRODUCTO TERMINADO</v>
      </c>
      <c r="EM129" s="3" t="str">
        <f>_xlfn.XLOOKUP(B129,'BASE DE EXCEL'!$C:$C,'BASE DE EXCEL'!BG:BG,"NO HAY REFERENCIA")</f>
        <v>Verde</v>
      </c>
      <c r="EN129" s="3" t="str">
        <f>_xlfn.XLOOKUP(B129,'BASE DE EXCEL'!$C:$C,'BASE DE EXCEL'!BH:BH,"NO HAY REFERENCIA")</f>
        <v xml:space="preserve"> MLH TRANSPORTE, S.A. DE C.V.</v>
      </c>
      <c r="EO129" s="3" t="str">
        <f>_xlfn.XLOOKUP(B129,'BASE DE EXCEL'!$C:$C,'BASE DE EXCEL'!BI:BI,"NO HAY REFERENCIA")</f>
        <v>TRACTOCAMION, ECO 138</v>
      </c>
      <c r="EP129" s="3">
        <f>_xlfn.XLOOKUP(B129,'BASE DE EXCEL'!$C:$C,'BASE DE EXCEL'!BJ:BJ,"NO HAY REFERENCIA")</f>
        <v>0</v>
      </c>
      <c r="EQ129" s="3" t="str">
        <f>_xlfn.XLOOKUP(B129,'BASE DE EXCEL'!$C:$C,'BASE DE EXCEL'!BK:BK,"NO HAY REFERENCIA")</f>
        <v>IME850329RH2</v>
      </c>
      <c r="ER129" s="3">
        <f>_xlfn.XLOOKUP(B129,'BASE DE EXCEL'!$C:$C,'BASE DE EXCEL'!BL:BL,"NO HAY REFERENCIA")</f>
        <v>0</v>
      </c>
      <c r="ES129" s="3" t="str">
        <f>_xlfn.XLOOKUP(B129,'BASE DE EXCEL'!$C:$C,'BASE DE EXCEL'!BM:BM,"NO HAY REFERENCIA")</f>
        <v>00,99</v>
      </c>
      <c r="ET129" s="3" t="str">
        <f>_xlfn.XLOOKUP(B129,'BASE DE EXCEL'!$C:$C,'BASE DE EXCEL'!BN:BN,"NO HAY REFERENCIA")</f>
        <v>LOTE: 001/26,LOTE: 001/26,LOTE: 002/26,LOTE: 001/26</v>
      </c>
      <c r="EU129" s="3">
        <f>_xlfn.XLOOKUP(B129,'BASE DE EXCEL'!$C:$C,'BASE DE EXCEL'!BO:BO,"NO HAY REFERENCIA")</f>
        <v>90</v>
      </c>
      <c r="EV129" s="3">
        <f>_xlfn.XLOOKUP(B129,'BASE DE EXCEL'!$C:$C,'BASE DE EXCEL'!BP:BP,"NO HAY REFERENCIA")</f>
        <v>2189088.5</v>
      </c>
      <c r="EW129" s="3" t="str">
        <f>_xlfn.XLOOKUP(B129,'BASE DE EXCEL'!$C:$C,'BASE DE EXCEL'!BQ:BQ,"NO HAY REFERENCIA")</f>
        <v>KILO,KILO,KILO,KILO</v>
      </c>
      <c r="EX129" s="3">
        <f>_xlfn.XLOOKUP(B129,'BASE DE EXCEL'!$C:$C,'BASE DE EXCEL'!BR:BR,"NO HAY REFERENCIA")</f>
        <v>0</v>
      </c>
      <c r="EY129" s="3" t="str">
        <f>_xlfn.XLOOKUP(B129,'BASE DE EXCEL'!$C:$C,'BASE DE EXCEL'!BS:BS,"NO HAY REFERENCIA")</f>
        <v>BRASIL (REPUBLICA FEDERATIVA DE)</v>
      </c>
      <c r="EZ129" s="3" t="str">
        <f>_xlfn.XLOOKUP(B129,'BASE DE EXCEL'!$C:$C,'BASE DE EXCEL'!BT:BT,"NO HAY REFERENCIA")</f>
        <v>PAISES BAJOS (REINO DE LOS) (HOLANDA)</v>
      </c>
      <c r="FA129" s="3" t="str">
        <f>_xlfn.XLOOKUP(B129,'BASE DE EXCEL'!$C:$C,'BASE DE EXCEL'!BU:BU,"NO HAY REFERENCIA")</f>
        <v>BRA</v>
      </c>
      <c r="FB129" s="3" t="str">
        <f>_xlfn.XLOOKUP(B129,'BASE DE EXCEL'!$C:$C,'BASE DE EXCEL'!BV:BV,"NO HAY REFERENCIA")</f>
        <v>ZYA</v>
      </c>
      <c r="FC129" s="3">
        <f>_xlfn.XLOOKUP(B129,QUERY!$C:$C,QUERY!D:D)</f>
        <v>430</v>
      </c>
      <c r="FD129" s="4">
        <f>_xlfn.XLOOKUP(B129,QUERY!$C:$C,QUERY!E:E)</f>
        <v>46108</v>
      </c>
      <c r="FE129" s="3">
        <f>_xlfn.XLOOKUP(B129,QUERY!$C:$C,QUERY!F:F)</f>
        <v>3</v>
      </c>
      <c r="FF129" s="4">
        <f>_xlfn.XLOOKUP(B129,QUERY!$C:$C,QUERY!G:G)</f>
        <v>46101</v>
      </c>
      <c r="FG129" s="4">
        <f>_xlfn.XLOOKUP(B129,QUERY!$C:$C,QUERY!H:H)</f>
        <v>46108</v>
      </c>
      <c r="FH129" s="3">
        <f>_xlfn.XLOOKUP(B129,QUERY!$C:$C,QUERY!I:I)</f>
        <v>5</v>
      </c>
      <c r="FI129" s="3" t="str">
        <f>_xlfn.XLOOKUP(B129,QUERY!$C:$C,QUERY!J:J)</f>
        <v>4 a 5 días</v>
      </c>
      <c r="FJ129" s="4">
        <f>_xlfn.XLOOKUP(B129,QUERY!$C:$C,QUERY!K:K)</f>
        <v>46109</v>
      </c>
      <c r="FK129" s="3">
        <f>_xlfn.XLOOKUP(B129,QUERY!$C:$C,QUERY!L:L)</f>
        <v>5</v>
      </c>
      <c r="FL129" s="3" t="str">
        <f>_xlfn.XLOOKUP(B129,QUERY!$C:$C,QUERY!M:M)</f>
        <v>4 a 5 días</v>
      </c>
      <c r="FM129" s="3">
        <f>_xlfn.XLOOKUP(B129,QUERY!$C:$C,QUERY!N:N)</f>
        <v>1</v>
      </c>
      <c r="FN129" s="3" t="str">
        <f>_xlfn.XLOOKUP(B129,QUERY!$C:$C,QUERY!O:O)</f>
        <v>1 día o menos</v>
      </c>
      <c r="FO129" s="3">
        <f>_xlfn.XLOOKUP(B129,QUERY!$C:$C,QUERY!P:P)</f>
        <v>1</v>
      </c>
      <c r="FP129" s="3">
        <f>_xlfn.XLOOKUP(B129,QUERY!$C:$C,QUERY!Q:Q)</f>
        <v>2</v>
      </c>
      <c r="FQ129" s="3" t="str">
        <f>_xlfn.XLOOKUP(B129,QUERY!$C:$C,QUERY!R:R)</f>
        <v>2 a 3 días</v>
      </c>
      <c r="FR129" s="4">
        <f>_xlfn.XLOOKUP(B129,QUERY!$C:$C,QUERY!S:S)</f>
        <v>46111</v>
      </c>
      <c r="FS129" s="3">
        <f>_xlfn.XLOOKUP(B129,QUERY!$C:$C,QUERY!T:T)</f>
        <v>6</v>
      </c>
      <c r="FT129" s="3" t="str">
        <f>_xlfn.XLOOKUP(B129,QUERY!$C:$C,QUERY!U:U)</f>
        <v>6 a 10 días</v>
      </c>
      <c r="FU129" s="3">
        <f>_xlfn.XLOOKUP(B129,QUERY!$C:$C,QUERY!V:V)</f>
        <v>11</v>
      </c>
      <c r="FV129" s="3" t="str">
        <f>_xlfn.XLOOKUP(B129,QUERY!$C:$C,QUERY!W:W)</f>
        <v>11 a 15 días</v>
      </c>
      <c r="FW129" s="4">
        <f>_xlfn.XLOOKUP(B129,QUERY!$C:$C,QUERY!X:X)</f>
        <v>46118</v>
      </c>
      <c r="FX129" s="3">
        <f>_xlfn.XLOOKUP(B129,QUERY!$C:$C,QUERY!Y:Y)</f>
        <v>5</v>
      </c>
      <c r="FY129" s="3">
        <f>_xlfn.XLOOKUP(B129,QUERY!$C:$C,QUERY!Z:Z)</f>
        <v>5</v>
      </c>
      <c r="FZ129" s="4" t="str">
        <f>_xlfn.XLOOKUP(B129,QUERY!$C:$C,QUERY!AA:AA)</f>
        <v>6 a 10 días</v>
      </c>
      <c r="GA129" s="4">
        <f>_xlfn.XLOOKUP(B129,QUERY!$C:$C,QUERY!AB:AB)</f>
        <v>46118</v>
      </c>
      <c r="GB129" s="4">
        <f>_xlfn.XLOOKUP(B129,QUERY!$C:$C,QUERY!AC:AC)</f>
        <v>46118</v>
      </c>
      <c r="GC129" s="3">
        <f>_xlfn.XLOOKUP(B129,QUERY!$C:$C,QUERY!AD:AD)</f>
        <v>0</v>
      </c>
      <c r="GD129" s="4">
        <f>_xlfn.XLOOKUP(B129,QUERY!$C:$C,QUERY!AE:AE)</f>
        <v>46118</v>
      </c>
      <c r="GE129" s="3">
        <f>_xlfn.XLOOKUP(B129,QUERY!$C:$C,QUERY!AF:AF)</f>
        <v>1</v>
      </c>
      <c r="GF129" s="4" t="str">
        <f>_xlfn.XLOOKUP(B129,QUERY!$C:$C,QUERY!AG:AG)</f>
        <v>Es anterior</v>
      </c>
      <c r="GG129" s="3" t="str">
        <f>_xlfn.XLOOKUP(B129,QUERY!$C:$C,QUERY!AH:AH)</f>
        <v>A1</v>
      </c>
      <c r="GH129" s="3" t="str">
        <f>_xlfn.XLOOKUP(B129,QUERY!$C:$C,QUERY!AI:AI)</f>
        <v>ZULEIMA PEREZ RUIZ</v>
      </c>
      <c r="GI129" s="3">
        <f>_xlfn.XLOOKUP(B129,QUERY!$C:$C,QUERY!AJ:AJ)</f>
        <v>266207695</v>
      </c>
      <c r="GJ129" s="3" t="str">
        <f>_xlfn.XLOOKUP(B129,QUERY!$C:$C,QUERY!AK:AK)</f>
        <v>NULL</v>
      </c>
      <c r="GK129" s="3">
        <f>_xlfn.XLOOKUP(B129,QUERY!$C:$C,QUERY!AL:AL)</f>
        <v>6000431</v>
      </c>
      <c r="GL129" s="3" t="str">
        <f>_xlfn.XLOOKUP(B129,QUERY!$C:$C,QUERY!AM:AM)</f>
        <v>Importación</v>
      </c>
      <c r="GM129" s="3" t="str">
        <f>_xlfn.XLOOKUP(B129,QUERY!$C:$C,QUERY!AN:AN)</f>
        <v>TAKTIC EC (AMITRAZ)</v>
      </c>
      <c r="GN129" s="3" t="str">
        <f>_xlfn.XLOOKUP(B129,QUERY!$C:$C,QUERY!AO:AO)</f>
        <v>SIN CLASIFICACION</v>
      </c>
      <c r="GO129" s="3">
        <f>_xlfn.XLOOKUP(B129,QUERY!$C:$C,QUERY!AP:AP)</f>
        <v>0</v>
      </c>
      <c r="GP129" s="3" t="str">
        <f>_xlfn.XLOOKUP(B129,QUERY!$C:$C,QUERY!AQ:AQ)</f>
        <v>Cargas de Importación</v>
      </c>
      <c r="GQ129" s="3" t="str">
        <f>_xlfn.XLOOKUP(B129,QUERY!$C:$C,QUERY!AR:AR)</f>
        <v>INTERVET MEXICO SA DE CV</v>
      </c>
      <c r="GR129" s="3">
        <f>_xlfn.XLOOKUP(B129,QUERY!$C:$C,QUERY!AS:AS)</f>
        <v>0</v>
      </c>
      <c r="GS129" s="3" t="str">
        <f>_xlfn.XLOOKUP(B129,QUERY!$C:$C,QUERY!AT:AT)</f>
        <v>FALTA RRNA</v>
      </c>
      <c r="GT129" s="3">
        <f>_xlfn.XLOOKUP(B129,QUERY!$C:$C,QUERY!AU:AU)</f>
        <v>0</v>
      </c>
      <c r="GU129" s="3" t="str">
        <f>_xlfn.XLOOKUP(B129,QUERY!$C:$C,QUERY!AV:AV)</f>
        <v>FALTA RRNA</v>
      </c>
      <c r="GV129" s="3" t="str">
        <f>_xlfn.XLOOKUP(B129,QUERY!$C:$C,QUERY!AW:AW)</f>
        <v>PRODUCTO TERMINADO</v>
      </c>
      <c r="GW129" s="3" t="str">
        <f>_xlfn.XLOOKUP(B129,QUERY!$C:$C,QUERY!AX:AX)</f>
        <v>Verde</v>
      </c>
      <c r="GX129" s="3" t="str">
        <f>_xlfn.XLOOKUP(B129,QUERY!$C:$C,QUERY!AY:AY)</f>
        <v xml:space="preserve"> MLH TRANSPORTE, S.A. DE C.V.</v>
      </c>
      <c r="GY129" s="3" t="str">
        <f>_xlfn.XLOOKUP(B129,QUERY!$C:$C,QUERY!AZ:AZ)</f>
        <v>TRACTOCAMION, ECO 138</v>
      </c>
      <c r="GZ129" s="3">
        <f>_xlfn.XLOOKUP(B129,QUERY!$C:$C,QUERY!BA:BA)</f>
        <v>0</v>
      </c>
      <c r="HA129" s="3" t="str">
        <f>_xlfn.XLOOKUP(B129,QUERY!$C:$C,QUERY!BB:BB)</f>
        <v>IME850329RH2</v>
      </c>
      <c r="HB129" s="3">
        <f>_xlfn.XLOOKUP(B129,QUERY!$C:$C,QUERY!BC:BC)</f>
        <v>0</v>
      </c>
      <c r="HC129" s="3">
        <f>_xlfn.XLOOKUP(B129,QUERY!$C:$C,QUERY!BD:BD)</f>
        <v>0.99</v>
      </c>
      <c r="HD129" s="3" t="str">
        <f>_xlfn.XLOOKUP(B129,QUERY!$C:$C,QUERY!BE:BE)</f>
        <v>LOTE: 001/26,LOTE: 001/26,LOTE: 002/26,LOTE: 001/26</v>
      </c>
      <c r="HE129" s="3">
        <f>_xlfn.XLOOKUP(B129,QUERY!$C:$C,QUERY!BF:BF)</f>
        <v>90</v>
      </c>
      <c r="HF129" s="3" t="str">
        <f>_xlfn.XLOOKUP(B129,QUERY!$C:$C,QUERY!BG:BG)</f>
        <v xml:space="preserve"> 2189088.50</v>
      </c>
      <c r="HG129" s="3" t="str">
        <f>_xlfn.XLOOKUP(B129,QUERY!$C:$C,QUERY!BH:BH)</f>
        <v>KILO,KILO,KILO,KILO</v>
      </c>
      <c r="HH129" s="3">
        <f>_xlfn.XLOOKUP(B129,QUERY!$C:$C,QUERY!BI:BI)</f>
        <v>0</v>
      </c>
      <c r="HI129" s="3" t="str">
        <f>_xlfn.XLOOKUP(B129,QUERY!$C:$C,QUERY!BJ:BJ)</f>
        <v>BRASIL (REPUBLICA FEDERATIVA DE)</v>
      </c>
      <c r="HJ129" s="3" t="str">
        <f>_xlfn.XLOOKUP(B129,QUERY!$C:$C,QUERY!BK:BK)</f>
        <v>PAISES BAJOS (REINO DE LOS) (HOLANDA)</v>
      </c>
      <c r="HK129" s="3" t="str">
        <f>_xlfn.XLOOKUP(B129,QUERY!$C:$C,QUERY!BL:BL)</f>
        <v>BRA</v>
      </c>
      <c r="HL129" s="3" t="str">
        <f>_xlfn.XLOOKUP(B129,QUERY!$C:$C,QUERY!BM:BM)</f>
        <v>ZYA</v>
      </c>
      <c r="HM129" s="3">
        <f>_xlfn.XLOOKUP(B129,QUERY!$C:$C,QUERY!BN:BN)</f>
        <v>2189088</v>
      </c>
      <c r="HN129" s="3" t="str">
        <f>_xlfn.XLOOKUP(B129,QUERY!$C:$C,QUERY!BO:BO)</f>
        <v>17513.00</v>
      </c>
      <c r="HO129" s="3" t="str">
        <f>_xlfn.XLOOKUP(B129,QUERY!$C:$C,QUERY!BP:BP)</f>
        <v>179305.00</v>
      </c>
      <c r="HP129" s="3" t="str">
        <f>_xlfn.XLOOKUP(B129,QUERY!$C:$C,QUERY!BQ:BQ)</f>
        <v>26796.00</v>
      </c>
      <c r="HQ129" s="3" t="str">
        <f>_xlfn.XLOOKUP(B129,QUERY!$C:$C,QUERY!BR:BR)</f>
        <v>142588.21</v>
      </c>
      <c r="HR129" s="3">
        <f>_xlfn.XLOOKUP(B129,QUERY!$C:$C,QUERY!BS:BS)</f>
        <v>0</v>
      </c>
      <c r="HS129" s="3">
        <f>_xlfn.XLOOKUP(B129,QUERY!$C:$C,QUERY!BT:BT)</f>
        <v>0</v>
      </c>
      <c r="HT129" s="3" t="str">
        <f>_xlfn.XLOOKUP(B129,QUERY!$C:$C,QUERY!A:A)</f>
        <v>VERACRUZ</v>
      </c>
      <c r="HU129" s="3" t="str">
        <f>_xlfn.XLOOKUP(B129,QUERY!$C:$C,QUERY!B:B)</f>
        <v>MARÍTIMO VERACRUZ</v>
      </c>
    </row>
    <row r="130" spans="1:229" x14ac:dyDescent="0.25">
      <c r="A130" s="3" t="s">
        <v>90</v>
      </c>
      <c r="B130" s="3" t="s">
        <v>357</v>
      </c>
      <c r="C130" s="3">
        <v>3942</v>
      </c>
      <c r="D130" s="3">
        <v>6000431</v>
      </c>
      <c r="E130" s="3"/>
      <c r="F130" s="3" t="s">
        <v>92</v>
      </c>
      <c r="G130" s="3" t="s">
        <v>93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10</v>
      </c>
      <c r="O130" s="3">
        <v>17730</v>
      </c>
      <c r="P130" s="3">
        <v>0</v>
      </c>
      <c r="Q130" s="3">
        <v>0</v>
      </c>
      <c r="R130" s="3">
        <v>430</v>
      </c>
      <c r="S130" s="3" t="s">
        <v>358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 t="s">
        <v>363</v>
      </c>
      <c r="AB130" s="3"/>
      <c r="AC130" s="3">
        <v>177301</v>
      </c>
      <c r="AD130" s="3">
        <v>410.41897999999998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/>
      <c r="AP130" s="3" t="s">
        <v>98</v>
      </c>
      <c r="AQ130" s="3">
        <v>210367234</v>
      </c>
      <c r="AR130" s="3" t="s">
        <v>99</v>
      </c>
      <c r="AS130" s="3" t="s">
        <v>100</v>
      </c>
      <c r="AT130" s="3">
        <v>0</v>
      </c>
      <c r="AU130" s="3">
        <v>0</v>
      </c>
      <c r="AV130" s="3">
        <v>0</v>
      </c>
      <c r="AW130" s="3">
        <v>30049099</v>
      </c>
      <c r="AX130" s="3">
        <v>99</v>
      </c>
      <c r="AY130" s="3">
        <v>432</v>
      </c>
      <c r="AZ130" s="3">
        <v>432</v>
      </c>
      <c r="BA130" s="3" t="s">
        <v>103</v>
      </c>
      <c r="BB130" s="3"/>
      <c r="BC130" s="3" t="s">
        <v>189</v>
      </c>
      <c r="BD130" s="3" t="s">
        <v>105</v>
      </c>
      <c r="BE130" s="3"/>
      <c r="BF130" s="3"/>
      <c r="BG130" s="5"/>
      <c r="BH130" s="3"/>
      <c r="BI130" s="3"/>
      <c r="BJ130" s="3"/>
      <c r="BK130" s="3" t="s">
        <v>362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 t="s">
        <v>192</v>
      </c>
      <c r="CF130" s="3">
        <v>0</v>
      </c>
      <c r="CG130" s="3">
        <v>0</v>
      </c>
      <c r="CH130" s="3">
        <v>0</v>
      </c>
      <c r="CI130" s="3" t="s">
        <v>112</v>
      </c>
      <c r="CJ130" s="3" t="s">
        <v>112</v>
      </c>
      <c r="CK130" s="3">
        <f>_xlfn.XLOOKUP($B$2,'BASE DE EXCEL'!C:C,'BASE DE EXCEL'!D:D,"NO HAY REFERENCIA")</f>
        <v>470</v>
      </c>
      <c r="CL130" s="5">
        <f>_xlfn.XLOOKUP($B$2,'BASE DE EXCEL'!$C:$C,'BASE DE EXCEL'!F:F,"NO HAY REFERENCIA")</f>
        <v>3</v>
      </c>
      <c r="CM130" s="4">
        <f>_xlfn.XLOOKUP($B$2,'BASE DE EXCEL'!$C:$C,'BASE DE EXCEL'!G:G,"NO HAY REFERENCIA")</f>
        <v>46080</v>
      </c>
      <c r="CN130" s="4">
        <f>_xlfn.XLOOKUP($B$2,'BASE DE EXCEL'!$C:$C,'BASE DE EXCEL'!H:H,"NO HAY REFERENCIA")</f>
        <v>46086</v>
      </c>
      <c r="CO130" s="3">
        <f>_xlfn.XLOOKUP($B$2,'BASE DE EXCEL'!$C:$C,'BASE DE EXCEL'!I:I,"NO HAY REFERENCIA")</f>
        <v>4</v>
      </c>
      <c r="CP130" s="3" t="str">
        <f>_xlfn.XLOOKUP($B$2,'BASE DE EXCEL'!$C:$C,'BASE DE EXCEL'!J:J,"NO HAY REFERENCIA")</f>
        <v>4 a 5 días</v>
      </c>
      <c r="CQ130" s="4">
        <f>_xlfn.XLOOKUP($B$2,'BASE DE EXCEL'!$C:$C,'BASE DE EXCEL'!K:K,"NO HAY REFERENCIA")</f>
        <v>46087</v>
      </c>
      <c r="CR130" s="3">
        <f>_xlfn.XLOOKUP($B$2,'BASE DE EXCEL'!$C:$C,'BASE DE EXCEL'!L:L,"NO HAY REFERENCIA")</f>
        <v>5</v>
      </c>
      <c r="CS130" s="3">
        <f>_xlfn.XLOOKUP($B$2,'BASE DE EXCEL'!$C:$C,'BASE DE EXCEL'!M:M,"NO HAY REFERENCIA")</f>
        <v>6</v>
      </c>
      <c r="CT130" s="3" t="str">
        <f>_xlfn.XLOOKUP($B$2,'BASE DE EXCEL'!$C:$C,'BASE DE EXCEL'!N:N,"NO HAY REFERENCIA")</f>
        <v>6 a 10 días</v>
      </c>
      <c r="CU130" s="3" t="str">
        <f>_xlfn.XLOOKUP($B$2,'BASE DE EXCEL'!$C:$C,'BASE DE EXCEL'!O:O,"NO HAY REFERENCIA")</f>
        <v>On Time</v>
      </c>
      <c r="CV130" s="3" t="str">
        <f>_xlfn.XLOOKUP(B130,'BASE DE EXCEL'!$C:$C,'BASE DE EXCEL'!P:P,"NO HAY REFERENCIA")</f>
        <v>6 a 10 días</v>
      </c>
      <c r="CW130" s="4">
        <f>_xlfn.XLOOKUP(B130,'BASE DE EXCEL'!$C:$C,'BASE DE EXCEL'!Q:Q,"NO HAY REFERENCIA")</f>
        <v>46111</v>
      </c>
      <c r="CX130" s="3">
        <f>_xlfn.XLOOKUP(B130,'BASE DE EXCEL'!$C:$C,'BASE DE EXCEL'!R:R,"NO HAY REFERENCIA")</f>
        <v>7</v>
      </c>
      <c r="CY130" s="3" t="str">
        <f>_xlfn.XLOOKUP(B130,'BASE DE EXCEL'!$C:$C,'BASE DE EXCEL'!S:S,"NO HAY REFERENCIA")</f>
        <v>6 a 10 días</v>
      </c>
      <c r="CZ130" s="3" t="str">
        <f>_xlfn.XLOOKUP(B130,'BASE DE EXCEL'!$C:$C,'BASE DE EXCEL'!T:T,"NO HAY REFERENCIA")</f>
        <v>Delayed</v>
      </c>
      <c r="DA130" s="3">
        <f>_xlfn.XLOOKUP(B130,'BASE DE EXCEL'!$C:$C,'BASE DE EXCEL'!U:U,"NO HAY REFERENCIA")</f>
        <v>10</v>
      </c>
      <c r="DB130" s="3" t="str">
        <f>_xlfn.XLOOKUP(B130,'BASE DE EXCEL'!$C:$C,'BASE DE EXCEL'!V:V,"NO HAY REFERENCIA")</f>
        <v>6 a 10 días</v>
      </c>
      <c r="DC130" s="3">
        <f>_xlfn.XLOOKUP(B130,'BASE DE EXCEL'!$C:$C,'BASE DE EXCEL'!W:W,"NO HAY REFERENCIA")</f>
        <v>11</v>
      </c>
      <c r="DD130" s="3" t="str">
        <f>_xlfn.XLOOKUP(B130,'BASE DE EXCEL'!$C:$C,'BASE DE EXCEL'!X:X,"NO HAY REFERENCIA")</f>
        <v>11 a 15 días</v>
      </c>
      <c r="DE130" s="3">
        <f>_xlfn.XLOOKUP(B130,'BASE DE EXCEL'!$C:$C,'BASE DE EXCEL'!Y:Y,"NO HAY REFERENCIA")</f>
        <v>1</v>
      </c>
      <c r="DF130" s="3" t="str">
        <f>_xlfn.XLOOKUP(B130,'BASE DE EXCEL'!$C:$C,'BASE DE EXCEL'!Z:Z,"NO HAY REFERENCIA")</f>
        <v>1 día o menos</v>
      </c>
      <c r="DG130" s="3">
        <f>_xlfn.XLOOKUP(B130,'BASE DE EXCEL'!$C:$C,'BASE DE EXCEL'!AA:AA,"NO HAY REFERENCIA")</f>
        <v>7</v>
      </c>
      <c r="DH130" s="3">
        <f>_xlfn.XLOOKUP(B130,'BASE DE EXCEL'!$C:$C,'BASE DE EXCEL'!AB:AB,"NO HAY REFERENCIA")</f>
        <v>2</v>
      </c>
      <c r="DI130" s="3" t="str">
        <f>_xlfn.XLOOKUP(B130,'BASE DE EXCEL'!$C:$C,'BASE DE EXCEL'!AC:AC,"NO HAY REFERENCIA")</f>
        <v>2 a 3 días</v>
      </c>
      <c r="DJ130" s="4">
        <f>_xlfn.XLOOKUP(B130,'BASE DE EXCEL'!$C:$C,'BASE DE EXCEL'!AD:AD,"NO HAY REFERENCIA")</f>
        <v>46118</v>
      </c>
      <c r="DK130" s="3">
        <f>_xlfn.XLOOKUP(B130,'BASE DE EXCEL'!$C:$C,'BASE DE EXCEL'!AE:AE,"NO HAY REFERENCIA")</f>
        <v>7</v>
      </c>
      <c r="DL130" s="3">
        <f>_xlfn.XLOOKUP(B130,'BASE DE EXCEL'!$C:$C,'BASE DE EXCEL'!AF:AF,"NO HAY REFERENCIA")</f>
        <v>5</v>
      </c>
      <c r="DM130" s="4">
        <f>_xlfn.XLOOKUP(B130,'BASE DE EXCEL'!$C:$C,'BASE DE EXCEL'!AG:AG,"NO HAY REFERENCIA")</f>
        <v>46118</v>
      </c>
      <c r="DN130" s="4">
        <f>_xlfn.XLOOKUP(B130,'BASE DE EXCEL'!$C:$C,'BASE DE EXCEL'!AH:AH,"NO HAY REFERENCIA")</f>
        <v>46118</v>
      </c>
      <c r="DO130" s="3">
        <f>_xlfn.XLOOKUP(B130,'BASE DE EXCEL'!$C:$C,'BASE DE EXCEL'!AI:AI,"NO HAY REFERENCIA")</f>
        <v>0</v>
      </c>
      <c r="DP130" s="4" t="str">
        <f>_xlfn.XLOOKUP(B130,'BASE DE EXCEL'!$C:$C,'BASE DE EXCEL'!AJ:AJ,"NO HAY REFERENCIA")</f>
        <v>6 a 10 días</v>
      </c>
      <c r="DQ130" s="4">
        <f>_xlfn.XLOOKUP(B130,'BASE DE EXCEL'!$C:$C,'BASE DE EXCEL'!AK:AK,"NO HAY REFERENCIA")</f>
        <v>46118</v>
      </c>
      <c r="DR130" s="3">
        <f>_xlfn.XLOOKUP(B130,'BASE DE EXCEL'!$C:$C,'BASE DE EXCEL'!AL:AL,"NO HAY REFERENCIA")</f>
        <v>4</v>
      </c>
      <c r="DS130" s="3" t="str">
        <f>_xlfn.XLOOKUP(B130,'BASE DE EXCEL'!$C:$C,'BASE DE EXCEL'!AM:AM,"NO HAY REFERENCIA")</f>
        <v>4 a 5 días</v>
      </c>
      <c r="DT130" s="3" t="str">
        <f>_xlfn.XLOOKUP(B130,'BASE DE EXCEL'!$C:$C,'BASE DE EXCEL'!AN:AN,"NO HAY REFERENCIA")</f>
        <v>On Time</v>
      </c>
      <c r="DU130" s="3">
        <f>_xlfn.XLOOKUP(B130,'BASE DE EXCEL'!$C:$C,'BASE DE EXCEL'!AO:AO,"NO HAY REFERENCIA")</f>
        <v>1</v>
      </c>
      <c r="DV130" s="3" t="str">
        <f>_xlfn.XLOOKUP(B130,'BASE DE EXCEL'!$C:$C,'BASE DE EXCEL'!AP:AP,"NO HAY REFERENCIA")</f>
        <v>Es anterior</v>
      </c>
      <c r="DW130" s="3" t="str">
        <f>_xlfn.XLOOKUP(B130,'BASE DE EXCEL'!$C:$C,'BASE DE EXCEL'!AQ:AQ,"NO HAY REFERENCIA")</f>
        <v>A1</v>
      </c>
      <c r="DX130" s="3" t="str">
        <f>_xlfn.XLOOKUP(B130,'BASE DE EXCEL'!$C:$C,'BASE DE EXCEL'!AR:AR,"NO HAY REFERENCIA")</f>
        <v>ZULEIMA PEREZ RUIZ</v>
      </c>
      <c r="DY130" s="3">
        <f>_xlfn.XLOOKUP(B130,'BASE DE EXCEL'!$C:$C,'BASE DE EXCEL'!AS:AS,"NO HAY REFERENCIA")</f>
        <v>266207695</v>
      </c>
      <c r="DZ130" s="3" t="str">
        <f>_xlfn.XLOOKUP(B130,'BASE DE EXCEL'!$C:$C,'BASE DE EXCEL'!AT:AT,"NO HAY REFERENCIA")</f>
        <v>NULL</v>
      </c>
      <c r="EA130" s="3">
        <f>_xlfn.XLOOKUP(B130,'BASE DE EXCEL'!$C:$C,'BASE DE EXCEL'!AU:AU,"NO HAY REFERENCIA")</f>
        <v>6000431</v>
      </c>
      <c r="EB130" s="3" t="str">
        <f>_xlfn.XLOOKUP(B130,'BASE DE EXCEL'!$C:$C,'BASE DE EXCEL'!AV:AV,"NO HAY REFERENCIA")</f>
        <v>Importación</v>
      </c>
      <c r="EC130" s="3" t="str">
        <f>_xlfn.XLOOKUP(B130,'BASE DE EXCEL'!$C:$C,'BASE DE EXCEL'!AW:AW,"NO HAY REFERENCIA")</f>
        <v>TAKTIC EC (AMITRAZ)</v>
      </c>
      <c r="ED130" s="3" t="str">
        <f>_xlfn.XLOOKUP(B130,'BASE DE EXCEL'!$C:$C,'BASE DE EXCEL'!AX:AX,"NO HAY REFERENCIA")</f>
        <v>SIN CLASIFICACION</v>
      </c>
      <c r="EE130" s="3">
        <f>_xlfn.XLOOKUP(B130,'BASE DE EXCEL'!$C:$C,'BASE DE EXCEL'!AY:AY,"NO HAY REFERENCIA")</f>
        <v>0</v>
      </c>
      <c r="EF130" s="3" t="str">
        <f>_xlfn.XLOOKUP(B130,'BASE DE EXCEL'!$C:$C,'BASE DE EXCEL'!AZ:AZ,"NO HAY REFERENCIA")</f>
        <v>Cargas de Importación</v>
      </c>
      <c r="EG130" s="3" t="str">
        <f>_xlfn.XLOOKUP(B130,'BASE DE EXCEL'!$C:$C,'BASE DE EXCEL'!BA:BA,"NO HAY REFERENCIA")</f>
        <v>INTERVET MEXICO SA DE CV</v>
      </c>
      <c r="EH130" s="3">
        <f>_xlfn.XLOOKUP(B130,'BASE DE EXCEL'!$C:$C,'BASE DE EXCEL'!BB:BB,"NO HAY REFERENCIA")</f>
        <v>0</v>
      </c>
      <c r="EI130" s="3" t="str">
        <f>_xlfn.XLOOKUP(B130,'BASE DE EXCEL'!$C:$C,'BASE DE EXCEL'!BC:BC,"NO HAY REFERENCIA")</f>
        <v>FALTA RRNA</v>
      </c>
      <c r="EJ130" s="3">
        <f>_xlfn.XLOOKUP(B130,'BASE DE EXCEL'!$C:$C,'BASE DE EXCEL'!BD:BD,"NO HAY REFERENCIA")</f>
        <v>0</v>
      </c>
      <c r="EK130" s="3" t="str">
        <f>_xlfn.XLOOKUP(B130,'BASE DE EXCEL'!$C:$C,'BASE DE EXCEL'!BE:BE,"NO HAY REFERENCIA")</f>
        <v>FALTA RRNA</v>
      </c>
      <c r="EL130" s="3" t="str">
        <f>_xlfn.XLOOKUP(B130,'BASE DE EXCEL'!$C:$C,'BASE DE EXCEL'!BF:BF,"NO HAY REFERENCIA")</f>
        <v>PRODUCTO TERMINADO</v>
      </c>
      <c r="EM130" s="3" t="str">
        <f>_xlfn.XLOOKUP(B130,'BASE DE EXCEL'!$C:$C,'BASE DE EXCEL'!BG:BG,"NO HAY REFERENCIA")</f>
        <v>Verde</v>
      </c>
      <c r="EN130" s="3" t="str">
        <f>_xlfn.XLOOKUP(B130,'BASE DE EXCEL'!$C:$C,'BASE DE EXCEL'!BH:BH,"NO HAY REFERENCIA")</f>
        <v xml:space="preserve"> MLH TRANSPORTE, S.A. DE C.V.</v>
      </c>
      <c r="EO130" s="3" t="str">
        <f>_xlfn.XLOOKUP(B130,'BASE DE EXCEL'!$C:$C,'BASE DE EXCEL'!BI:BI,"NO HAY REFERENCIA")</f>
        <v>TRACTOCAMION, ECO 138</v>
      </c>
      <c r="EP130" s="3">
        <f>_xlfn.XLOOKUP(B130,'BASE DE EXCEL'!$C:$C,'BASE DE EXCEL'!BJ:BJ,"NO HAY REFERENCIA")</f>
        <v>0</v>
      </c>
      <c r="EQ130" s="3" t="str">
        <f>_xlfn.XLOOKUP(B130,'BASE DE EXCEL'!$C:$C,'BASE DE EXCEL'!BK:BK,"NO HAY REFERENCIA")</f>
        <v>IME850329RH2</v>
      </c>
      <c r="ER130" s="3">
        <f>_xlfn.XLOOKUP(B130,'BASE DE EXCEL'!$C:$C,'BASE DE EXCEL'!BL:BL,"NO HAY REFERENCIA")</f>
        <v>0</v>
      </c>
      <c r="ES130" s="3" t="str">
        <f>_xlfn.XLOOKUP(B130,'BASE DE EXCEL'!$C:$C,'BASE DE EXCEL'!BM:BM,"NO HAY REFERENCIA")</f>
        <v>00,99</v>
      </c>
      <c r="ET130" s="3" t="str">
        <f>_xlfn.XLOOKUP(B130,'BASE DE EXCEL'!$C:$C,'BASE DE EXCEL'!BN:BN,"NO HAY REFERENCIA")</f>
        <v>LOTE: 001/26,LOTE: 001/26,LOTE: 002/26,LOTE: 001/26</v>
      </c>
      <c r="EU130" s="3">
        <f>_xlfn.XLOOKUP(B130,'BASE DE EXCEL'!$C:$C,'BASE DE EXCEL'!BO:BO,"NO HAY REFERENCIA")</f>
        <v>90</v>
      </c>
      <c r="EV130" s="3">
        <f>_xlfn.XLOOKUP(B130,'BASE DE EXCEL'!$C:$C,'BASE DE EXCEL'!BP:BP,"NO HAY REFERENCIA")</f>
        <v>2189088.5</v>
      </c>
      <c r="EW130" s="3" t="str">
        <f>_xlfn.XLOOKUP(B130,'BASE DE EXCEL'!$C:$C,'BASE DE EXCEL'!BQ:BQ,"NO HAY REFERENCIA")</f>
        <v>KILO,KILO,KILO,KILO</v>
      </c>
      <c r="EX130" s="3">
        <f>_xlfn.XLOOKUP(B130,'BASE DE EXCEL'!$C:$C,'BASE DE EXCEL'!BR:BR,"NO HAY REFERENCIA")</f>
        <v>0</v>
      </c>
      <c r="EY130" s="3" t="str">
        <f>_xlfn.XLOOKUP(B130,'BASE DE EXCEL'!$C:$C,'BASE DE EXCEL'!BS:BS,"NO HAY REFERENCIA")</f>
        <v>BRASIL (REPUBLICA FEDERATIVA DE)</v>
      </c>
      <c r="EZ130" s="3" t="str">
        <f>_xlfn.XLOOKUP(B130,'BASE DE EXCEL'!$C:$C,'BASE DE EXCEL'!BT:BT,"NO HAY REFERENCIA")</f>
        <v>PAISES BAJOS (REINO DE LOS) (HOLANDA)</v>
      </c>
      <c r="FA130" s="3" t="str">
        <f>_xlfn.XLOOKUP(B130,'BASE DE EXCEL'!$C:$C,'BASE DE EXCEL'!BU:BU,"NO HAY REFERENCIA")</f>
        <v>BRA</v>
      </c>
      <c r="FB130" s="3" t="str">
        <f>_xlfn.XLOOKUP(B130,'BASE DE EXCEL'!$C:$C,'BASE DE EXCEL'!BV:BV,"NO HAY REFERENCIA")</f>
        <v>ZYA</v>
      </c>
      <c r="FC130" s="3">
        <f>_xlfn.XLOOKUP(B130,QUERY!$C:$C,QUERY!D:D)</f>
        <v>430</v>
      </c>
      <c r="FD130" s="4">
        <f>_xlfn.XLOOKUP(B130,QUERY!$C:$C,QUERY!E:E)</f>
        <v>46108</v>
      </c>
      <c r="FE130" s="3">
        <f>_xlfn.XLOOKUP(B130,QUERY!$C:$C,QUERY!F:F)</f>
        <v>3</v>
      </c>
      <c r="FF130" s="4">
        <f>_xlfn.XLOOKUP(B130,QUERY!$C:$C,QUERY!G:G)</f>
        <v>46101</v>
      </c>
      <c r="FG130" s="4">
        <f>_xlfn.XLOOKUP(B130,QUERY!$C:$C,QUERY!H:H)</f>
        <v>46108</v>
      </c>
      <c r="FH130" s="3">
        <f>_xlfn.XLOOKUP(B130,QUERY!$C:$C,QUERY!I:I)</f>
        <v>5</v>
      </c>
      <c r="FI130" s="3" t="str">
        <f>_xlfn.XLOOKUP(B130,QUERY!$C:$C,QUERY!J:J)</f>
        <v>4 a 5 días</v>
      </c>
      <c r="FJ130" s="4">
        <f>_xlfn.XLOOKUP(B130,QUERY!$C:$C,QUERY!K:K)</f>
        <v>46109</v>
      </c>
      <c r="FK130" s="3">
        <f>_xlfn.XLOOKUP(B130,QUERY!$C:$C,QUERY!L:L)</f>
        <v>5</v>
      </c>
      <c r="FL130" s="3" t="str">
        <f>_xlfn.XLOOKUP(B130,QUERY!$C:$C,QUERY!M:M)</f>
        <v>4 a 5 días</v>
      </c>
      <c r="FM130" s="3">
        <f>_xlfn.XLOOKUP(B130,QUERY!$C:$C,QUERY!N:N)</f>
        <v>1</v>
      </c>
      <c r="FN130" s="3" t="str">
        <f>_xlfn.XLOOKUP(B130,QUERY!$C:$C,QUERY!O:O)</f>
        <v>1 día o menos</v>
      </c>
      <c r="FO130" s="3">
        <f>_xlfn.XLOOKUP(B130,QUERY!$C:$C,QUERY!P:P)</f>
        <v>1</v>
      </c>
      <c r="FP130" s="3">
        <f>_xlfn.XLOOKUP(B130,QUERY!$C:$C,QUERY!Q:Q)</f>
        <v>2</v>
      </c>
      <c r="FQ130" s="3" t="str">
        <f>_xlfn.XLOOKUP(B130,QUERY!$C:$C,QUERY!R:R)</f>
        <v>2 a 3 días</v>
      </c>
      <c r="FR130" s="4">
        <f>_xlfn.XLOOKUP(B130,QUERY!$C:$C,QUERY!S:S)</f>
        <v>46111</v>
      </c>
      <c r="FS130" s="3">
        <f>_xlfn.XLOOKUP(B130,QUERY!$C:$C,QUERY!T:T)</f>
        <v>6</v>
      </c>
      <c r="FT130" s="3" t="str">
        <f>_xlfn.XLOOKUP(B130,QUERY!$C:$C,QUERY!U:U)</f>
        <v>6 a 10 días</v>
      </c>
      <c r="FU130" s="3">
        <f>_xlfn.XLOOKUP(B130,QUERY!$C:$C,QUERY!V:V)</f>
        <v>11</v>
      </c>
      <c r="FV130" s="3" t="str">
        <f>_xlfn.XLOOKUP(B130,QUERY!$C:$C,QUERY!W:W)</f>
        <v>11 a 15 días</v>
      </c>
      <c r="FW130" s="4">
        <f>_xlfn.XLOOKUP(B130,QUERY!$C:$C,QUERY!X:X)</f>
        <v>46118</v>
      </c>
      <c r="FX130" s="3">
        <f>_xlfn.XLOOKUP(B130,QUERY!$C:$C,QUERY!Y:Y)</f>
        <v>5</v>
      </c>
      <c r="FY130" s="3">
        <f>_xlfn.XLOOKUP(B130,QUERY!$C:$C,QUERY!Z:Z)</f>
        <v>5</v>
      </c>
      <c r="FZ130" s="4" t="str">
        <f>_xlfn.XLOOKUP(B130,QUERY!$C:$C,QUERY!AA:AA)</f>
        <v>6 a 10 días</v>
      </c>
      <c r="GA130" s="4">
        <f>_xlfn.XLOOKUP(B130,QUERY!$C:$C,QUERY!AB:AB)</f>
        <v>46118</v>
      </c>
      <c r="GB130" s="4">
        <f>_xlfn.XLOOKUP(B130,QUERY!$C:$C,QUERY!AC:AC)</f>
        <v>46118</v>
      </c>
      <c r="GC130" s="3">
        <f>_xlfn.XLOOKUP(B130,QUERY!$C:$C,QUERY!AD:AD)</f>
        <v>0</v>
      </c>
      <c r="GD130" s="4">
        <f>_xlfn.XLOOKUP(B130,QUERY!$C:$C,QUERY!AE:AE)</f>
        <v>46118</v>
      </c>
      <c r="GE130" s="3">
        <f>_xlfn.XLOOKUP(B130,QUERY!$C:$C,QUERY!AF:AF)</f>
        <v>1</v>
      </c>
      <c r="GF130" s="4" t="str">
        <f>_xlfn.XLOOKUP(B130,QUERY!$C:$C,QUERY!AG:AG)</f>
        <v>Es anterior</v>
      </c>
      <c r="GG130" s="3" t="str">
        <f>_xlfn.XLOOKUP(B130,QUERY!$C:$C,QUERY!AH:AH)</f>
        <v>A1</v>
      </c>
      <c r="GH130" s="3" t="str">
        <f>_xlfn.XLOOKUP(B130,QUERY!$C:$C,QUERY!AI:AI)</f>
        <v>ZULEIMA PEREZ RUIZ</v>
      </c>
      <c r="GI130" s="3">
        <f>_xlfn.XLOOKUP(B130,QUERY!$C:$C,QUERY!AJ:AJ)</f>
        <v>266207695</v>
      </c>
      <c r="GJ130" s="3" t="str">
        <f>_xlfn.XLOOKUP(B130,QUERY!$C:$C,QUERY!AK:AK)</f>
        <v>NULL</v>
      </c>
      <c r="GK130" s="3">
        <f>_xlfn.XLOOKUP(B130,QUERY!$C:$C,QUERY!AL:AL)</f>
        <v>6000431</v>
      </c>
      <c r="GL130" s="3" t="str">
        <f>_xlfn.XLOOKUP(B130,QUERY!$C:$C,QUERY!AM:AM)</f>
        <v>Importación</v>
      </c>
      <c r="GM130" s="3" t="str">
        <f>_xlfn.XLOOKUP(B130,QUERY!$C:$C,QUERY!AN:AN)</f>
        <v>TAKTIC EC (AMITRAZ)</v>
      </c>
      <c r="GN130" s="3" t="str">
        <f>_xlfn.XLOOKUP(B130,QUERY!$C:$C,QUERY!AO:AO)</f>
        <v>SIN CLASIFICACION</v>
      </c>
      <c r="GO130" s="3">
        <f>_xlfn.XLOOKUP(B130,QUERY!$C:$C,QUERY!AP:AP)</f>
        <v>0</v>
      </c>
      <c r="GP130" s="3" t="str">
        <f>_xlfn.XLOOKUP(B130,QUERY!$C:$C,QUERY!AQ:AQ)</f>
        <v>Cargas de Importación</v>
      </c>
      <c r="GQ130" s="3" t="str">
        <f>_xlfn.XLOOKUP(B130,QUERY!$C:$C,QUERY!AR:AR)</f>
        <v>INTERVET MEXICO SA DE CV</v>
      </c>
      <c r="GR130" s="3">
        <f>_xlfn.XLOOKUP(B130,QUERY!$C:$C,QUERY!AS:AS)</f>
        <v>0</v>
      </c>
      <c r="GS130" s="3" t="str">
        <f>_xlfn.XLOOKUP(B130,QUERY!$C:$C,QUERY!AT:AT)</f>
        <v>FALTA RRNA</v>
      </c>
      <c r="GT130" s="3">
        <f>_xlfn.XLOOKUP(B130,QUERY!$C:$C,QUERY!AU:AU)</f>
        <v>0</v>
      </c>
      <c r="GU130" s="3" t="str">
        <f>_xlfn.XLOOKUP(B130,QUERY!$C:$C,QUERY!AV:AV)</f>
        <v>FALTA RRNA</v>
      </c>
      <c r="GV130" s="3" t="str">
        <f>_xlfn.XLOOKUP(B130,QUERY!$C:$C,QUERY!AW:AW)</f>
        <v>PRODUCTO TERMINADO</v>
      </c>
      <c r="GW130" s="3" t="str">
        <f>_xlfn.XLOOKUP(B130,QUERY!$C:$C,QUERY!AX:AX)</f>
        <v>Verde</v>
      </c>
      <c r="GX130" s="3" t="str">
        <f>_xlfn.XLOOKUP(B130,QUERY!$C:$C,QUERY!AY:AY)</f>
        <v xml:space="preserve"> MLH TRANSPORTE, S.A. DE C.V.</v>
      </c>
      <c r="GY130" s="3" t="str">
        <f>_xlfn.XLOOKUP(B130,QUERY!$C:$C,QUERY!AZ:AZ)</f>
        <v>TRACTOCAMION, ECO 138</v>
      </c>
      <c r="GZ130" s="3">
        <f>_xlfn.XLOOKUP(B130,QUERY!$C:$C,QUERY!BA:BA)</f>
        <v>0</v>
      </c>
      <c r="HA130" s="3" t="str">
        <f>_xlfn.XLOOKUP(B130,QUERY!$C:$C,QUERY!BB:BB)</f>
        <v>IME850329RH2</v>
      </c>
      <c r="HB130" s="3">
        <f>_xlfn.XLOOKUP(B130,QUERY!$C:$C,QUERY!BC:BC)</f>
        <v>0</v>
      </c>
      <c r="HC130" s="3">
        <f>_xlfn.XLOOKUP(B130,QUERY!$C:$C,QUERY!BD:BD)</f>
        <v>0.99</v>
      </c>
      <c r="HD130" s="3" t="str">
        <f>_xlfn.XLOOKUP(B130,QUERY!$C:$C,QUERY!BE:BE)</f>
        <v>LOTE: 001/26,LOTE: 001/26,LOTE: 002/26,LOTE: 001/26</v>
      </c>
      <c r="HE130" s="3">
        <f>_xlfn.XLOOKUP(B130,QUERY!$C:$C,QUERY!BF:BF)</f>
        <v>90</v>
      </c>
      <c r="HF130" s="3" t="str">
        <f>_xlfn.XLOOKUP(B130,QUERY!$C:$C,QUERY!BG:BG)</f>
        <v xml:space="preserve"> 2189088.50</v>
      </c>
      <c r="HG130" s="3" t="str">
        <f>_xlfn.XLOOKUP(B130,QUERY!$C:$C,QUERY!BH:BH)</f>
        <v>KILO,KILO,KILO,KILO</v>
      </c>
      <c r="HH130" s="3">
        <f>_xlfn.XLOOKUP(B130,QUERY!$C:$C,QUERY!BI:BI)</f>
        <v>0</v>
      </c>
      <c r="HI130" s="3" t="str">
        <f>_xlfn.XLOOKUP(B130,QUERY!$C:$C,QUERY!BJ:BJ)</f>
        <v>BRASIL (REPUBLICA FEDERATIVA DE)</v>
      </c>
      <c r="HJ130" s="3" t="str">
        <f>_xlfn.XLOOKUP(B130,QUERY!$C:$C,QUERY!BK:BK)</f>
        <v>PAISES BAJOS (REINO DE LOS) (HOLANDA)</v>
      </c>
      <c r="HK130" s="3" t="str">
        <f>_xlfn.XLOOKUP(B130,QUERY!$C:$C,QUERY!BL:BL)</f>
        <v>BRA</v>
      </c>
      <c r="HL130" s="3" t="str">
        <f>_xlfn.XLOOKUP(B130,QUERY!$C:$C,QUERY!BM:BM)</f>
        <v>ZYA</v>
      </c>
      <c r="HM130" s="3">
        <f>_xlfn.XLOOKUP(B130,QUERY!$C:$C,QUERY!BN:BN)</f>
        <v>2189088</v>
      </c>
      <c r="HN130" s="3" t="str">
        <f>_xlfn.XLOOKUP(B130,QUERY!$C:$C,QUERY!BO:BO)</f>
        <v>17513.00</v>
      </c>
      <c r="HO130" s="3" t="str">
        <f>_xlfn.XLOOKUP(B130,QUERY!$C:$C,QUERY!BP:BP)</f>
        <v>179305.00</v>
      </c>
      <c r="HP130" s="3" t="str">
        <f>_xlfn.XLOOKUP(B130,QUERY!$C:$C,QUERY!BQ:BQ)</f>
        <v>26796.00</v>
      </c>
      <c r="HQ130" s="3" t="str">
        <f>_xlfn.XLOOKUP(B130,QUERY!$C:$C,QUERY!BR:BR)</f>
        <v>142588.21</v>
      </c>
      <c r="HR130" s="3">
        <f>_xlfn.XLOOKUP(B130,QUERY!$C:$C,QUERY!BS:BS)</f>
        <v>0</v>
      </c>
      <c r="HS130" s="3">
        <f>_xlfn.XLOOKUP(B130,QUERY!$C:$C,QUERY!BT:BT)</f>
        <v>0</v>
      </c>
      <c r="HT130" s="3" t="str">
        <f>_xlfn.XLOOKUP(B130,QUERY!$C:$C,QUERY!A:A)</f>
        <v>VERACRUZ</v>
      </c>
      <c r="HU130" s="3" t="str">
        <f>_xlfn.XLOOKUP(B130,QUERY!$C:$C,QUERY!B:B)</f>
        <v>MARÍTIMO VERACRUZ</v>
      </c>
    </row>
    <row r="131" spans="1:229" x14ac:dyDescent="0.25">
      <c r="A131" s="3" t="s">
        <v>90</v>
      </c>
      <c r="B131" s="3" t="s">
        <v>357</v>
      </c>
      <c r="C131" s="3">
        <v>3942</v>
      </c>
      <c r="D131" s="3">
        <v>6000431</v>
      </c>
      <c r="E131" s="3"/>
      <c r="F131" s="3" t="s">
        <v>92</v>
      </c>
      <c r="G131" s="3" t="s">
        <v>93</v>
      </c>
      <c r="H131" s="3">
        <v>16</v>
      </c>
      <c r="I131" s="3">
        <v>179305</v>
      </c>
      <c r="J131" s="3">
        <v>0</v>
      </c>
      <c r="K131" s="3">
        <v>0</v>
      </c>
      <c r="L131" s="3" t="s">
        <v>223</v>
      </c>
      <c r="M131" s="3" t="s">
        <v>223</v>
      </c>
      <c r="N131" s="3">
        <v>0</v>
      </c>
      <c r="O131" s="3">
        <v>0</v>
      </c>
      <c r="P131" s="3">
        <v>0</v>
      </c>
      <c r="Q131" s="3">
        <v>0</v>
      </c>
      <c r="R131" s="3">
        <v>430</v>
      </c>
      <c r="S131" s="3" t="s">
        <v>358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 t="s">
        <v>364</v>
      </c>
      <c r="AB131" s="3"/>
      <c r="AC131" s="3">
        <v>1048831</v>
      </c>
      <c r="AD131" s="3">
        <v>592.55989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/>
      <c r="AP131" s="3" t="s">
        <v>98</v>
      </c>
      <c r="AQ131" s="3">
        <v>210367234</v>
      </c>
      <c r="AR131" s="3" t="s">
        <v>99</v>
      </c>
      <c r="AS131" s="3" t="s">
        <v>100</v>
      </c>
      <c r="AT131" s="3">
        <v>0</v>
      </c>
      <c r="AU131" s="3">
        <v>0</v>
      </c>
      <c r="AV131" s="3">
        <v>0</v>
      </c>
      <c r="AW131" s="3">
        <v>38086201</v>
      </c>
      <c r="AX131" s="3">
        <v>0</v>
      </c>
      <c r="AY131" s="3">
        <v>1770</v>
      </c>
      <c r="AZ131" s="3">
        <v>1770</v>
      </c>
      <c r="BA131" s="3" t="s">
        <v>103</v>
      </c>
      <c r="BB131" s="3"/>
      <c r="BC131" s="3" t="s">
        <v>189</v>
      </c>
      <c r="BD131" s="3" t="s">
        <v>105</v>
      </c>
      <c r="BE131" s="3"/>
      <c r="BF131" s="3"/>
      <c r="BG131" s="5"/>
      <c r="BH131" s="3"/>
      <c r="BI131" s="3"/>
      <c r="BJ131" s="3"/>
      <c r="BK131" s="3" t="s">
        <v>362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 t="s">
        <v>192</v>
      </c>
      <c r="CF131" s="3">
        <v>0</v>
      </c>
      <c r="CG131" s="3">
        <v>0</v>
      </c>
      <c r="CH131" s="3">
        <v>0</v>
      </c>
      <c r="CI131" s="3" t="s">
        <v>112</v>
      </c>
      <c r="CJ131" s="3" t="s">
        <v>112</v>
      </c>
      <c r="CK131" s="3">
        <f>_xlfn.XLOOKUP($B$2,'BASE DE EXCEL'!C:C,'BASE DE EXCEL'!D:D,"NO HAY REFERENCIA")</f>
        <v>470</v>
      </c>
      <c r="CL131" s="5">
        <f>_xlfn.XLOOKUP($B$2,'BASE DE EXCEL'!$C:$C,'BASE DE EXCEL'!F:F,"NO HAY REFERENCIA")</f>
        <v>3</v>
      </c>
      <c r="CM131" s="4">
        <f>_xlfn.XLOOKUP($B$2,'BASE DE EXCEL'!$C:$C,'BASE DE EXCEL'!G:G,"NO HAY REFERENCIA")</f>
        <v>46080</v>
      </c>
      <c r="CN131" s="4">
        <f>_xlfn.XLOOKUP($B$2,'BASE DE EXCEL'!$C:$C,'BASE DE EXCEL'!H:H,"NO HAY REFERENCIA")</f>
        <v>46086</v>
      </c>
      <c r="CO131" s="3">
        <f>_xlfn.XLOOKUP($B$2,'BASE DE EXCEL'!$C:$C,'BASE DE EXCEL'!I:I,"NO HAY REFERENCIA")</f>
        <v>4</v>
      </c>
      <c r="CP131" s="3" t="str">
        <f>_xlfn.XLOOKUP($B$2,'BASE DE EXCEL'!$C:$C,'BASE DE EXCEL'!J:J,"NO HAY REFERENCIA")</f>
        <v>4 a 5 días</v>
      </c>
      <c r="CQ131" s="4">
        <f>_xlfn.XLOOKUP($B$2,'BASE DE EXCEL'!$C:$C,'BASE DE EXCEL'!K:K,"NO HAY REFERENCIA")</f>
        <v>46087</v>
      </c>
      <c r="CR131" s="3">
        <f>_xlfn.XLOOKUP($B$2,'BASE DE EXCEL'!$C:$C,'BASE DE EXCEL'!L:L,"NO HAY REFERENCIA")</f>
        <v>5</v>
      </c>
      <c r="CS131" s="3">
        <f>_xlfn.XLOOKUP($B$2,'BASE DE EXCEL'!$C:$C,'BASE DE EXCEL'!M:M,"NO HAY REFERENCIA")</f>
        <v>6</v>
      </c>
      <c r="CT131" s="3" t="str">
        <f>_xlfn.XLOOKUP($B$2,'BASE DE EXCEL'!$C:$C,'BASE DE EXCEL'!N:N,"NO HAY REFERENCIA")</f>
        <v>6 a 10 días</v>
      </c>
      <c r="CU131" s="3" t="str">
        <f>_xlfn.XLOOKUP($B$2,'BASE DE EXCEL'!$C:$C,'BASE DE EXCEL'!O:O,"NO HAY REFERENCIA")</f>
        <v>On Time</v>
      </c>
      <c r="CV131" s="3" t="str">
        <f>_xlfn.XLOOKUP(B131,'BASE DE EXCEL'!$C:$C,'BASE DE EXCEL'!P:P,"NO HAY REFERENCIA")</f>
        <v>6 a 10 días</v>
      </c>
      <c r="CW131" s="4">
        <f>_xlfn.XLOOKUP(B131,'BASE DE EXCEL'!$C:$C,'BASE DE EXCEL'!Q:Q,"NO HAY REFERENCIA")</f>
        <v>46111</v>
      </c>
      <c r="CX131" s="3">
        <f>_xlfn.XLOOKUP(B131,'BASE DE EXCEL'!$C:$C,'BASE DE EXCEL'!R:R,"NO HAY REFERENCIA")</f>
        <v>7</v>
      </c>
      <c r="CY131" s="3" t="str">
        <f>_xlfn.XLOOKUP(B131,'BASE DE EXCEL'!$C:$C,'BASE DE EXCEL'!S:S,"NO HAY REFERENCIA")</f>
        <v>6 a 10 días</v>
      </c>
      <c r="CZ131" s="3" t="str">
        <f>_xlfn.XLOOKUP(B131,'BASE DE EXCEL'!$C:$C,'BASE DE EXCEL'!T:T,"NO HAY REFERENCIA")</f>
        <v>Delayed</v>
      </c>
      <c r="DA131" s="3">
        <f>_xlfn.XLOOKUP(B131,'BASE DE EXCEL'!$C:$C,'BASE DE EXCEL'!U:U,"NO HAY REFERENCIA")</f>
        <v>10</v>
      </c>
      <c r="DB131" s="3" t="str">
        <f>_xlfn.XLOOKUP(B131,'BASE DE EXCEL'!$C:$C,'BASE DE EXCEL'!V:V,"NO HAY REFERENCIA")</f>
        <v>6 a 10 días</v>
      </c>
      <c r="DC131" s="3">
        <f>_xlfn.XLOOKUP(B131,'BASE DE EXCEL'!$C:$C,'BASE DE EXCEL'!W:W,"NO HAY REFERENCIA")</f>
        <v>11</v>
      </c>
      <c r="DD131" s="3" t="str">
        <f>_xlfn.XLOOKUP(B131,'BASE DE EXCEL'!$C:$C,'BASE DE EXCEL'!X:X,"NO HAY REFERENCIA")</f>
        <v>11 a 15 días</v>
      </c>
      <c r="DE131" s="3">
        <f>_xlfn.XLOOKUP(B131,'BASE DE EXCEL'!$C:$C,'BASE DE EXCEL'!Y:Y,"NO HAY REFERENCIA")</f>
        <v>1</v>
      </c>
      <c r="DF131" s="3" t="str">
        <f>_xlfn.XLOOKUP(B131,'BASE DE EXCEL'!$C:$C,'BASE DE EXCEL'!Z:Z,"NO HAY REFERENCIA")</f>
        <v>1 día o menos</v>
      </c>
      <c r="DG131" s="3">
        <f>_xlfn.XLOOKUP(B131,'BASE DE EXCEL'!$C:$C,'BASE DE EXCEL'!AA:AA,"NO HAY REFERENCIA")</f>
        <v>7</v>
      </c>
      <c r="DH131" s="3">
        <f>_xlfn.XLOOKUP(B131,'BASE DE EXCEL'!$C:$C,'BASE DE EXCEL'!AB:AB,"NO HAY REFERENCIA")</f>
        <v>2</v>
      </c>
      <c r="DI131" s="3" t="str">
        <f>_xlfn.XLOOKUP(B131,'BASE DE EXCEL'!$C:$C,'BASE DE EXCEL'!AC:AC,"NO HAY REFERENCIA")</f>
        <v>2 a 3 días</v>
      </c>
      <c r="DJ131" s="4">
        <f>_xlfn.XLOOKUP(B131,'BASE DE EXCEL'!$C:$C,'BASE DE EXCEL'!AD:AD,"NO HAY REFERENCIA")</f>
        <v>46118</v>
      </c>
      <c r="DK131" s="3">
        <f>_xlfn.XLOOKUP(B131,'BASE DE EXCEL'!$C:$C,'BASE DE EXCEL'!AE:AE,"NO HAY REFERENCIA")</f>
        <v>7</v>
      </c>
      <c r="DL131" s="3">
        <f>_xlfn.XLOOKUP(B131,'BASE DE EXCEL'!$C:$C,'BASE DE EXCEL'!AF:AF,"NO HAY REFERENCIA")</f>
        <v>5</v>
      </c>
      <c r="DM131" s="4">
        <f>_xlfn.XLOOKUP(B131,'BASE DE EXCEL'!$C:$C,'BASE DE EXCEL'!AG:AG,"NO HAY REFERENCIA")</f>
        <v>46118</v>
      </c>
      <c r="DN131" s="4">
        <f>_xlfn.XLOOKUP(B131,'BASE DE EXCEL'!$C:$C,'BASE DE EXCEL'!AH:AH,"NO HAY REFERENCIA")</f>
        <v>46118</v>
      </c>
      <c r="DO131" s="3">
        <f>_xlfn.XLOOKUP(B131,'BASE DE EXCEL'!$C:$C,'BASE DE EXCEL'!AI:AI,"NO HAY REFERENCIA")</f>
        <v>0</v>
      </c>
      <c r="DP131" s="4" t="str">
        <f>_xlfn.XLOOKUP(B131,'BASE DE EXCEL'!$C:$C,'BASE DE EXCEL'!AJ:AJ,"NO HAY REFERENCIA")</f>
        <v>6 a 10 días</v>
      </c>
      <c r="DQ131" s="4">
        <f>_xlfn.XLOOKUP(B131,'BASE DE EXCEL'!$C:$C,'BASE DE EXCEL'!AK:AK,"NO HAY REFERENCIA")</f>
        <v>46118</v>
      </c>
      <c r="DR131" s="3">
        <f>_xlfn.XLOOKUP(B131,'BASE DE EXCEL'!$C:$C,'BASE DE EXCEL'!AL:AL,"NO HAY REFERENCIA")</f>
        <v>4</v>
      </c>
      <c r="DS131" s="3" t="str">
        <f>_xlfn.XLOOKUP(B131,'BASE DE EXCEL'!$C:$C,'BASE DE EXCEL'!AM:AM,"NO HAY REFERENCIA")</f>
        <v>4 a 5 días</v>
      </c>
      <c r="DT131" s="3" t="str">
        <f>_xlfn.XLOOKUP(B131,'BASE DE EXCEL'!$C:$C,'BASE DE EXCEL'!AN:AN,"NO HAY REFERENCIA")</f>
        <v>On Time</v>
      </c>
      <c r="DU131" s="3">
        <f>_xlfn.XLOOKUP(B131,'BASE DE EXCEL'!$C:$C,'BASE DE EXCEL'!AO:AO,"NO HAY REFERENCIA")</f>
        <v>1</v>
      </c>
      <c r="DV131" s="3" t="str">
        <f>_xlfn.XLOOKUP(B131,'BASE DE EXCEL'!$C:$C,'BASE DE EXCEL'!AP:AP,"NO HAY REFERENCIA")</f>
        <v>Es anterior</v>
      </c>
      <c r="DW131" s="3" t="str">
        <f>_xlfn.XLOOKUP(B131,'BASE DE EXCEL'!$C:$C,'BASE DE EXCEL'!AQ:AQ,"NO HAY REFERENCIA")</f>
        <v>A1</v>
      </c>
      <c r="DX131" s="3" t="str">
        <f>_xlfn.XLOOKUP(B131,'BASE DE EXCEL'!$C:$C,'BASE DE EXCEL'!AR:AR,"NO HAY REFERENCIA")</f>
        <v>ZULEIMA PEREZ RUIZ</v>
      </c>
      <c r="DY131" s="3">
        <f>_xlfn.XLOOKUP(B131,'BASE DE EXCEL'!$C:$C,'BASE DE EXCEL'!AS:AS,"NO HAY REFERENCIA")</f>
        <v>266207695</v>
      </c>
      <c r="DZ131" s="3" t="str">
        <f>_xlfn.XLOOKUP(B131,'BASE DE EXCEL'!$C:$C,'BASE DE EXCEL'!AT:AT,"NO HAY REFERENCIA")</f>
        <v>NULL</v>
      </c>
      <c r="EA131" s="3">
        <f>_xlfn.XLOOKUP(B131,'BASE DE EXCEL'!$C:$C,'BASE DE EXCEL'!AU:AU,"NO HAY REFERENCIA")</f>
        <v>6000431</v>
      </c>
      <c r="EB131" s="3" t="str">
        <f>_xlfn.XLOOKUP(B131,'BASE DE EXCEL'!$C:$C,'BASE DE EXCEL'!AV:AV,"NO HAY REFERENCIA")</f>
        <v>Importación</v>
      </c>
      <c r="EC131" s="3" t="str">
        <f>_xlfn.XLOOKUP(B131,'BASE DE EXCEL'!$C:$C,'BASE DE EXCEL'!AW:AW,"NO HAY REFERENCIA")</f>
        <v>TAKTIC EC (AMITRAZ)</v>
      </c>
      <c r="ED131" s="3" t="str">
        <f>_xlfn.XLOOKUP(B131,'BASE DE EXCEL'!$C:$C,'BASE DE EXCEL'!AX:AX,"NO HAY REFERENCIA")</f>
        <v>SIN CLASIFICACION</v>
      </c>
      <c r="EE131" s="3">
        <f>_xlfn.XLOOKUP(B131,'BASE DE EXCEL'!$C:$C,'BASE DE EXCEL'!AY:AY,"NO HAY REFERENCIA")</f>
        <v>0</v>
      </c>
      <c r="EF131" s="3" t="str">
        <f>_xlfn.XLOOKUP(B131,'BASE DE EXCEL'!$C:$C,'BASE DE EXCEL'!AZ:AZ,"NO HAY REFERENCIA")</f>
        <v>Cargas de Importación</v>
      </c>
      <c r="EG131" s="3" t="str">
        <f>_xlfn.XLOOKUP(B131,'BASE DE EXCEL'!$C:$C,'BASE DE EXCEL'!BA:BA,"NO HAY REFERENCIA")</f>
        <v>INTERVET MEXICO SA DE CV</v>
      </c>
      <c r="EH131" s="3">
        <f>_xlfn.XLOOKUP(B131,'BASE DE EXCEL'!$C:$C,'BASE DE EXCEL'!BB:BB,"NO HAY REFERENCIA")</f>
        <v>0</v>
      </c>
      <c r="EI131" s="3" t="str">
        <f>_xlfn.XLOOKUP(B131,'BASE DE EXCEL'!$C:$C,'BASE DE EXCEL'!BC:BC,"NO HAY REFERENCIA")</f>
        <v>FALTA RRNA</v>
      </c>
      <c r="EJ131" s="3">
        <f>_xlfn.XLOOKUP(B131,'BASE DE EXCEL'!$C:$C,'BASE DE EXCEL'!BD:BD,"NO HAY REFERENCIA")</f>
        <v>0</v>
      </c>
      <c r="EK131" s="3" t="str">
        <f>_xlfn.XLOOKUP(B131,'BASE DE EXCEL'!$C:$C,'BASE DE EXCEL'!BE:BE,"NO HAY REFERENCIA")</f>
        <v>FALTA RRNA</v>
      </c>
      <c r="EL131" s="3" t="str">
        <f>_xlfn.XLOOKUP(B131,'BASE DE EXCEL'!$C:$C,'BASE DE EXCEL'!BF:BF,"NO HAY REFERENCIA")</f>
        <v>PRODUCTO TERMINADO</v>
      </c>
      <c r="EM131" s="3" t="str">
        <f>_xlfn.XLOOKUP(B131,'BASE DE EXCEL'!$C:$C,'BASE DE EXCEL'!BG:BG,"NO HAY REFERENCIA")</f>
        <v>Verde</v>
      </c>
      <c r="EN131" s="3" t="str">
        <f>_xlfn.XLOOKUP(B131,'BASE DE EXCEL'!$C:$C,'BASE DE EXCEL'!BH:BH,"NO HAY REFERENCIA")</f>
        <v xml:space="preserve"> MLH TRANSPORTE, S.A. DE C.V.</v>
      </c>
      <c r="EO131" s="3" t="str">
        <f>_xlfn.XLOOKUP(B131,'BASE DE EXCEL'!$C:$C,'BASE DE EXCEL'!BI:BI,"NO HAY REFERENCIA")</f>
        <v>TRACTOCAMION, ECO 138</v>
      </c>
      <c r="EP131" s="3">
        <f>_xlfn.XLOOKUP(B131,'BASE DE EXCEL'!$C:$C,'BASE DE EXCEL'!BJ:BJ,"NO HAY REFERENCIA")</f>
        <v>0</v>
      </c>
      <c r="EQ131" s="3" t="str">
        <f>_xlfn.XLOOKUP(B131,'BASE DE EXCEL'!$C:$C,'BASE DE EXCEL'!BK:BK,"NO HAY REFERENCIA")</f>
        <v>IME850329RH2</v>
      </c>
      <c r="ER131" s="3">
        <f>_xlfn.XLOOKUP(B131,'BASE DE EXCEL'!$C:$C,'BASE DE EXCEL'!BL:BL,"NO HAY REFERENCIA")</f>
        <v>0</v>
      </c>
      <c r="ES131" s="3" t="str">
        <f>_xlfn.XLOOKUP(B131,'BASE DE EXCEL'!$C:$C,'BASE DE EXCEL'!BM:BM,"NO HAY REFERENCIA")</f>
        <v>00,99</v>
      </c>
      <c r="ET131" s="3" t="str">
        <f>_xlfn.XLOOKUP(B131,'BASE DE EXCEL'!$C:$C,'BASE DE EXCEL'!BN:BN,"NO HAY REFERENCIA")</f>
        <v>LOTE: 001/26,LOTE: 001/26,LOTE: 002/26,LOTE: 001/26</v>
      </c>
      <c r="EU131" s="3">
        <f>_xlfn.XLOOKUP(B131,'BASE DE EXCEL'!$C:$C,'BASE DE EXCEL'!BO:BO,"NO HAY REFERENCIA")</f>
        <v>90</v>
      </c>
      <c r="EV131" s="3">
        <f>_xlfn.XLOOKUP(B131,'BASE DE EXCEL'!$C:$C,'BASE DE EXCEL'!BP:BP,"NO HAY REFERENCIA")</f>
        <v>2189088.5</v>
      </c>
      <c r="EW131" s="3" t="str">
        <f>_xlfn.XLOOKUP(B131,'BASE DE EXCEL'!$C:$C,'BASE DE EXCEL'!BQ:BQ,"NO HAY REFERENCIA")</f>
        <v>KILO,KILO,KILO,KILO</v>
      </c>
      <c r="EX131" s="3">
        <f>_xlfn.XLOOKUP(B131,'BASE DE EXCEL'!$C:$C,'BASE DE EXCEL'!BR:BR,"NO HAY REFERENCIA")</f>
        <v>0</v>
      </c>
      <c r="EY131" s="3" t="str">
        <f>_xlfn.XLOOKUP(B131,'BASE DE EXCEL'!$C:$C,'BASE DE EXCEL'!BS:BS,"NO HAY REFERENCIA")</f>
        <v>BRASIL (REPUBLICA FEDERATIVA DE)</v>
      </c>
      <c r="EZ131" s="3" t="str">
        <f>_xlfn.XLOOKUP(B131,'BASE DE EXCEL'!$C:$C,'BASE DE EXCEL'!BT:BT,"NO HAY REFERENCIA")</f>
        <v>PAISES BAJOS (REINO DE LOS) (HOLANDA)</v>
      </c>
      <c r="FA131" s="3" t="str">
        <f>_xlfn.XLOOKUP(B131,'BASE DE EXCEL'!$C:$C,'BASE DE EXCEL'!BU:BU,"NO HAY REFERENCIA")</f>
        <v>BRA</v>
      </c>
      <c r="FB131" s="3" t="str">
        <f>_xlfn.XLOOKUP(B131,'BASE DE EXCEL'!$C:$C,'BASE DE EXCEL'!BV:BV,"NO HAY REFERENCIA")</f>
        <v>ZYA</v>
      </c>
      <c r="FC131" s="3">
        <f>_xlfn.XLOOKUP(B131,QUERY!$C:$C,QUERY!D:D)</f>
        <v>430</v>
      </c>
      <c r="FD131" s="4">
        <f>_xlfn.XLOOKUP(B131,QUERY!$C:$C,QUERY!E:E)</f>
        <v>46108</v>
      </c>
      <c r="FE131" s="3">
        <f>_xlfn.XLOOKUP(B131,QUERY!$C:$C,QUERY!F:F)</f>
        <v>3</v>
      </c>
      <c r="FF131" s="4">
        <f>_xlfn.XLOOKUP(B131,QUERY!$C:$C,QUERY!G:G)</f>
        <v>46101</v>
      </c>
      <c r="FG131" s="4">
        <f>_xlfn.XLOOKUP(B131,QUERY!$C:$C,QUERY!H:H)</f>
        <v>46108</v>
      </c>
      <c r="FH131" s="3">
        <f>_xlfn.XLOOKUP(B131,QUERY!$C:$C,QUERY!I:I)</f>
        <v>5</v>
      </c>
      <c r="FI131" s="3" t="str">
        <f>_xlfn.XLOOKUP(B131,QUERY!$C:$C,QUERY!J:J)</f>
        <v>4 a 5 días</v>
      </c>
      <c r="FJ131" s="4">
        <f>_xlfn.XLOOKUP(B131,QUERY!$C:$C,QUERY!K:K)</f>
        <v>46109</v>
      </c>
      <c r="FK131" s="3">
        <f>_xlfn.XLOOKUP(B131,QUERY!$C:$C,QUERY!L:L)</f>
        <v>5</v>
      </c>
      <c r="FL131" s="3" t="str">
        <f>_xlfn.XLOOKUP(B131,QUERY!$C:$C,QUERY!M:M)</f>
        <v>4 a 5 días</v>
      </c>
      <c r="FM131" s="3">
        <f>_xlfn.XLOOKUP(B131,QUERY!$C:$C,QUERY!N:N)</f>
        <v>1</v>
      </c>
      <c r="FN131" s="3" t="str">
        <f>_xlfn.XLOOKUP(B131,QUERY!$C:$C,QUERY!O:O)</f>
        <v>1 día o menos</v>
      </c>
      <c r="FO131" s="3">
        <f>_xlfn.XLOOKUP(B131,QUERY!$C:$C,QUERY!P:P)</f>
        <v>1</v>
      </c>
      <c r="FP131" s="3">
        <f>_xlfn.XLOOKUP(B131,QUERY!$C:$C,QUERY!Q:Q)</f>
        <v>2</v>
      </c>
      <c r="FQ131" s="3" t="str">
        <f>_xlfn.XLOOKUP(B131,QUERY!$C:$C,QUERY!R:R)</f>
        <v>2 a 3 días</v>
      </c>
      <c r="FR131" s="4">
        <f>_xlfn.XLOOKUP(B131,QUERY!$C:$C,QUERY!S:S)</f>
        <v>46111</v>
      </c>
      <c r="FS131" s="3">
        <f>_xlfn.XLOOKUP(B131,QUERY!$C:$C,QUERY!T:T)</f>
        <v>6</v>
      </c>
      <c r="FT131" s="3" t="str">
        <f>_xlfn.XLOOKUP(B131,QUERY!$C:$C,QUERY!U:U)</f>
        <v>6 a 10 días</v>
      </c>
      <c r="FU131" s="3">
        <f>_xlfn.XLOOKUP(B131,QUERY!$C:$C,QUERY!V:V)</f>
        <v>11</v>
      </c>
      <c r="FV131" s="3" t="str">
        <f>_xlfn.XLOOKUP(B131,QUERY!$C:$C,QUERY!W:W)</f>
        <v>11 a 15 días</v>
      </c>
      <c r="FW131" s="4">
        <f>_xlfn.XLOOKUP(B131,QUERY!$C:$C,QUERY!X:X)</f>
        <v>46118</v>
      </c>
      <c r="FX131" s="3">
        <f>_xlfn.XLOOKUP(B131,QUERY!$C:$C,QUERY!Y:Y)</f>
        <v>5</v>
      </c>
      <c r="FY131" s="3">
        <f>_xlfn.XLOOKUP(B131,QUERY!$C:$C,QUERY!Z:Z)</f>
        <v>5</v>
      </c>
      <c r="FZ131" s="4" t="str">
        <f>_xlfn.XLOOKUP(B131,QUERY!$C:$C,QUERY!AA:AA)</f>
        <v>6 a 10 días</v>
      </c>
      <c r="GA131" s="4">
        <f>_xlfn.XLOOKUP(B131,QUERY!$C:$C,QUERY!AB:AB)</f>
        <v>46118</v>
      </c>
      <c r="GB131" s="4">
        <f>_xlfn.XLOOKUP(B131,QUERY!$C:$C,QUERY!AC:AC)</f>
        <v>46118</v>
      </c>
      <c r="GC131" s="3">
        <f>_xlfn.XLOOKUP(B131,QUERY!$C:$C,QUERY!AD:AD)</f>
        <v>0</v>
      </c>
      <c r="GD131" s="4">
        <f>_xlfn.XLOOKUP(B131,QUERY!$C:$C,QUERY!AE:AE)</f>
        <v>46118</v>
      </c>
      <c r="GE131" s="3">
        <f>_xlfn.XLOOKUP(B131,QUERY!$C:$C,QUERY!AF:AF)</f>
        <v>1</v>
      </c>
      <c r="GF131" s="4" t="str">
        <f>_xlfn.XLOOKUP(B131,QUERY!$C:$C,QUERY!AG:AG)</f>
        <v>Es anterior</v>
      </c>
      <c r="GG131" s="3" t="str">
        <f>_xlfn.XLOOKUP(B131,QUERY!$C:$C,QUERY!AH:AH)</f>
        <v>A1</v>
      </c>
      <c r="GH131" s="3" t="str">
        <f>_xlfn.XLOOKUP(B131,QUERY!$C:$C,QUERY!AI:AI)</f>
        <v>ZULEIMA PEREZ RUIZ</v>
      </c>
      <c r="GI131" s="3">
        <f>_xlfn.XLOOKUP(B131,QUERY!$C:$C,QUERY!AJ:AJ)</f>
        <v>266207695</v>
      </c>
      <c r="GJ131" s="3" t="str">
        <f>_xlfn.XLOOKUP(B131,QUERY!$C:$C,QUERY!AK:AK)</f>
        <v>NULL</v>
      </c>
      <c r="GK131" s="3">
        <f>_xlfn.XLOOKUP(B131,QUERY!$C:$C,QUERY!AL:AL)</f>
        <v>6000431</v>
      </c>
      <c r="GL131" s="3" t="str">
        <f>_xlfn.XLOOKUP(B131,QUERY!$C:$C,QUERY!AM:AM)</f>
        <v>Importación</v>
      </c>
      <c r="GM131" s="3" t="str">
        <f>_xlfn.XLOOKUP(B131,QUERY!$C:$C,QUERY!AN:AN)</f>
        <v>TAKTIC EC (AMITRAZ)</v>
      </c>
      <c r="GN131" s="3" t="str">
        <f>_xlfn.XLOOKUP(B131,QUERY!$C:$C,QUERY!AO:AO)</f>
        <v>SIN CLASIFICACION</v>
      </c>
      <c r="GO131" s="3">
        <f>_xlfn.XLOOKUP(B131,QUERY!$C:$C,QUERY!AP:AP)</f>
        <v>0</v>
      </c>
      <c r="GP131" s="3" t="str">
        <f>_xlfn.XLOOKUP(B131,QUERY!$C:$C,QUERY!AQ:AQ)</f>
        <v>Cargas de Importación</v>
      </c>
      <c r="GQ131" s="3" t="str">
        <f>_xlfn.XLOOKUP(B131,QUERY!$C:$C,QUERY!AR:AR)</f>
        <v>INTERVET MEXICO SA DE CV</v>
      </c>
      <c r="GR131" s="3">
        <f>_xlfn.XLOOKUP(B131,QUERY!$C:$C,QUERY!AS:AS)</f>
        <v>0</v>
      </c>
      <c r="GS131" s="3" t="str">
        <f>_xlfn.XLOOKUP(B131,QUERY!$C:$C,QUERY!AT:AT)</f>
        <v>FALTA RRNA</v>
      </c>
      <c r="GT131" s="3">
        <f>_xlfn.XLOOKUP(B131,QUERY!$C:$C,QUERY!AU:AU)</f>
        <v>0</v>
      </c>
      <c r="GU131" s="3" t="str">
        <f>_xlfn.XLOOKUP(B131,QUERY!$C:$C,QUERY!AV:AV)</f>
        <v>FALTA RRNA</v>
      </c>
      <c r="GV131" s="3" t="str">
        <f>_xlfn.XLOOKUP(B131,QUERY!$C:$C,QUERY!AW:AW)</f>
        <v>PRODUCTO TERMINADO</v>
      </c>
      <c r="GW131" s="3" t="str">
        <f>_xlfn.XLOOKUP(B131,QUERY!$C:$C,QUERY!AX:AX)</f>
        <v>Verde</v>
      </c>
      <c r="GX131" s="3" t="str">
        <f>_xlfn.XLOOKUP(B131,QUERY!$C:$C,QUERY!AY:AY)</f>
        <v xml:space="preserve"> MLH TRANSPORTE, S.A. DE C.V.</v>
      </c>
      <c r="GY131" s="3" t="str">
        <f>_xlfn.XLOOKUP(B131,QUERY!$C:$C,QUERY!AZ:AZ)</f>
        <v>TRACTOCAMION, ECO 138</v>
      </c>
      <c r="GZ131" s="3">
        <f>_xlfn.XLOOKUP(B131,QUERY!$C:$C,QUERY!BA:BA)</f>
        <v>0</v>
      </c>
      <c r="HA131" s="3" t="str">
        <f>_xlfn.XLOOKUP(B131,QUERY!$C:$C,QUERY!BB:BB)</f>
        <v>IME850329RH2</v>
      </c>
      <c r="HB131" s="3">
        <f>_xlfn.XLOOKUP(B131,QUERY!$C:$C,QUERY!BC:BC)</f>
        <v>0</v>
      </c>
      <c r="HC131" s="3">
        <f>_xlfn.XLOOKUP(B131,QUERY!$C:$C,QUERY!BD:BD)</f>
        <v>0.99</v>
      </c>
      <c r="HD131" s="3" t="str">
        <f>_xlfn.XLOOKUP(B131,QUERY!$C:$C,QUERY!BE:BE)</f>
        <v>LOTE: 001/26,LOTE: 001/26,LOTE: 002/26,LOTE: 001/26</v>
      </c>
      <c r="HE131" s="3">
        <f>_xlfn.XLOOKUP(B131,QUERY!$C:$C,QUERY!BF:BF)</f>
        <v>90</v>
      </c>
      <c r="HF131" s="3" t="str">
        <f>_xlfn.XLOOKUP(B131,QUERY!$C:$C,QUERY!BG:BG)</f>
        <v xml:space="preserve"> 2189088.50</v>
      </c>
      <c r="HG131" s="3" t="str">
        <f>_xlfn.XLOOKUP(B131,QUERY!$C:$C,QUERY!BH:BH)</f>
        <v>KILO,KILO,KILO,KILO</v>
      </c>
      <c r="HH131" s="3">
        <f>_xlfn.XLOOKUP(B131,QUERY!$C:$C,QUERY!BI:BI)</f>
        <v>0</v>
      </c>
      <c r="HI131" s="3" t="str">
        <f>_xlfn.XLOOKUP(B131,QUERY!$C:$C,QUERY!BJ:BJ)</f>
        <v>BRASIL (REPUBLICA FEDERATIVA DE)</v>
      </c>
      <c r="HJ131" s="3" t="str">
        <f>_xlfn.XLOOKUP(B131,QUERY!$C:$C,QUERY!BK:BK)</f>
        <v>PAISES BAJOS (REINO DE LOS) (HOLANDA)</v>
      </c>
      <c r="HK131" s="3" t="str">
        <f>_xlfn.XLOOKUP(B131,QUERY!$C:$C,QUERY!BL:BL)</f>
        <v>BRA</v>
      </c>
      <c r="HL131" s="3" t="str">
        <f>_xlfn.XLOOKUP(B131,QUERY!$C:$C,QUERY!BM:BM)</f>
        <v>ZYA</v>
      </c>
      <c r="HM131" s="3">
        <f>_xlfn.XLOOKUP(B131,QUERY!$C:$C,QUERY!BN:BN)</f>
        <v>2189088</v>
      </c>
      <c r="HN131" s="3" t="str">
        <f>_xlfn.XLOOKUP(B131,QUERY!$C:$C,QUERY!BO:BO)</f>
        <v>17513.00</v>
      </c>
      <c r="HO131" s="3" t="str">
        <f>_xlfn.XLOOKUP(B131,QUERY!$C:$C,QUERY!BP:BP)</f>
        <v>179305.00</v>
      </c>
      <c r="HP131" s="3" t="str">
        <f>_xlfn.XLOOKUP(B131,QUERY!$C:$C,QUERY!BQ:BQ)</f>
        <v>26796.00</v>
      </c>
      <c r="HQ131" s="3" t="str">
        <f>_xlfn.XLOOKUP(B131,QUERY!$C:$C,QUERY!BR:BR)</f>
        <v>142588.21</v>
      </c>
      <c r="HR131" s="3">
        <f>_xlfn.XLOOKUP(B131,QUERY!$C:$C,QUERY!BS:BS)</f>
        <v>0</v>
      </c>
      <c r="HS131" s="3">
        <f>_xlfn.XLOOKUP(B131,QUERY!$C:$C,QUERY!BT:BT)</f>
        <v>0</v>
      </c>
      <c r="HT131" s="3" t="str">
        <f>_xlfn.XLOOKUP(B131,QUERY!$C:$C,QUERY!A:A)</f>
        <v>VERACRUZ</v>
      </c>
      <c r="HU131" s="3" t="str">
        <f>_xlfn.XLOOKUP(B131,QUERY!$C:$C,QUERY!B:B)</f>
        <v>MARÍTIMO VERACRUZ</v>
      </c>
    </row>
    <row r="132" spans="1:229" x14ac:dyDescent="0.25">
      <c r="A132" s="3" t="s">
        <v>90</v>
      </c>
      <c r="B132" s="3" t="s">
        <v>357</v>
      </c>
      <c r="C132" s="3">
        <v>3942</v>
      </c>
      <c r="D132" s="3">
        <v>6000431</v>
      </c>
      <c r="E132" s="3"/>
      <c r="F132" s="3" t="s">
        <v>92</v>
      </c>
      <c r="G132" s="3" t="s">
        <v>93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10</v>
      </c>
      <c r="O132" s="3">
        <v>9066</v>
      </c>
      <c r="P132" s="3">
        <v>0</v>
      </c>
      <c r="Q132" s="3">
        <v>0</v>
      </c>
      <c r="R132" s="3">
        <v>430</v>
      </c>
      <c r="S132" s="3" t="s">
        <v>358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 t="s">
        <v>365</v>
      </c>
      <c r="AB132" s="3"/>
      <c r="AC132" s="3">
        <v>90656</v>
      </c>
      <c r="AD132" s="3">
        <v>1373.5757599999999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/>
      <c r="AP132" s="3" t="s">
        <v>98</v>
      </c>
      <c r="AQ132" s="3">
        <v>210367234</v>
      </c>
      <c r="AR132" s="3" t="s">
        <v>99</v>
      </c>
      <c r="AS132" s="3" t="s">
        <v>100</v>
      </c>
      <c r="AT132" s="3">
        <v>0</v>
      </c>
      <c r="AU132" s="3">
        <v>0</v>
      </c>
      <c r="AV132" s="3">
        <v>0</v>
      </c>
      <c r="AW132" s="3">
        <v>30049099</v>
      </c>
      <c r="AX132" s="3">
        <v>99</v>
      </c>
      <c r="AY132" s="3">
        <v>66</v>
      </c>
      <c r="AZ132" s="3">
        <v>66</v>
      </c>
      <c r="BA132" s="3" t="s">
        <v>103</v>
      </c>
      <c r="BB132" s="3"/>
      <c r="BC132" s="3" t="s">
        <v>189</v>
      </c>
      <c r="BD132" s="3" t="s">
        <v>105</v>
      </c>
      <c r="BE132" s="3"/>
      <c r="BF132" s="3"/>
      <c r="BG132" s="5"/>
      <c r="BH132" s="3"/>
      <c r="BI132" s="3"/>
      <c r="BJ132" s="3"/>
      <c r="BK132" s="3" t="s">
        <v>362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 t="s">
        <v>192</v>
      </c>
      <c r="CF132" s="3">
        <v>0</v>
      </c>
      <c r="CG132" s="3">
        <v>0</v>
      </c>
      <c r="CH132" s="3">
        <v>0</v>
      </c>
      <c r="CI132" s="3" t="s">
        <v>112</v>
      </c>
      <c r="CJ132" s="3" t="s">
        <v>112</v>
      </c>
      <c r="CK132" s="3">
        <f>_xlfn.XLOOKUP($B$2,'BASE DE EXCEL'!C:C,'BASE DE EXCEL'!D:D,"NO HAY REFERENCIA")</f>
        <v>470</v>
      </c>
      <c r="CL132" s="5">
        <f>_xlfn.XLOOKUP($B$2,'BASE DE EXCEL'!$C:$C,'BASE DE EXCEL'!F:F,"NO HAY REFERENCIA")</f>
        <v>3</v>
      </c>
      <c r="CM132" s="4">
        <f>_xlfn.XLOOKUP($B$2,'BASE DE EXCEL'!$C:$C,'BASE DE EXCEL'!G:G,"NO HAY REFERENCIA")</f>
        <v>46080</v>
      </c>
      <c r="CN132" s="4">
        <f>_xlfn.XLOOKUP($B$2,'BASE DE EXCEL'!$C:$C,'BASE DE EXCEL'!H:H,"NO HAY REFERENCIA")</f>
        <v>46086</v>
      </c>
      <c r="CO132" s="3">
        <f>_xlfn.XLOOKUP($B$2,'BASE DE EXCEL'!$C:$C,'BASE DE EXCEL'!I:I,"NO HAY REFERENCIA")</f>
        <v>4</v>
      </c>
      <c r="CP132" s="3" t="str">
        <f>_xlfn.XLOOKUP($B$2,'BASE DE EXCEL'!$C:$C,'BASE DE EXCEL'!J:J,"NO HAY REFERENCIA")</f>
        <v>4 a 5 días</v>
      </c>
      <c r="CQ132" s="4">
        <f>_xlfn.XLOOKUP($B$2,'BASE DE EXCEL'!$C:$C,'BASE DE EXCEL'!K:K,"NO HAY REFERENCIA")</f>
        <v>46087</v>
      </c>
      <c r="CR132" s="3">
        <f>_xlfn.XLOOKUP($B$2,'BASE DE EXCEL'!$C:$C,'BASE DE EXCEL'!L:L,"NO HAY REFERENCIA")</f>
        <v>5</v>
      </c>
      <c r="CS132" s="3">
        <f>_xlfn.XLOOKUP($B$2,'BASE DE EXCEL'!$C:$C,'BASE DE EXCEL'!M:M,"NO HAY REFERENCIA")</f>
        <v>6</v>
      </c>
      <c r="CT132" s="3" t="str">
        <f>_xlfn.XLOOKUP($B$2,'BASE DE EXCEL'!$C:$C,'BASE DE EXCEL'!N:N,"NO HAY REFERENCIA")</f>
        <v>6 a 10 días</v>
      </c>
      <c r="CU132" s="3" t="str">
        <f>_xlfn.XLOOKUP($B$2,'BASE DE EXCEL'!$C:$C,'BASE DE EXCEL'!O:O,"NO HAY REFERENCIA")</f>
        <v>On Time</v>
      </c>
      <c r="CV132" s="3" t="str">
        <f>_xlfn.XLOOKUP(B132,'BASE DE EXCEL'!$C:$C,'BASE DE EXCEL'!P:P,"NO HAY REFERENCIA")</f>
        <v>6 a 10 días</v>
      </c>
      <c r="CW132" s="4">
        <f>_xlfn.XLOOKUP(B132,'BASE DE EXCEL'!$C:$C,'BASE DE EXCEL'!Q:Q,"NO HAY REFERENCIA")</f>
        <v>46111</v>
      </c>
      <c r="CX132" s="3">
        <f>_xlfn.XLOOKUP(B132,'BASE DE EXCEL'!$C:$C,'BASE DE EXCEL'!R:R,"NO HAY REFERENCIA")</f>
        <v>7</v>
      </c>
      <c r="CY132" s="3" t="str">
        <f>_xlfn.XLOOKUP(B132,'BASE DE EXCEL'!$C:$C,'BASE DE EXCEL'!S:S,"NO HAY REFERENCIA")</f>
        <v>6 a 10 días</v>
      </c>
      <c r="CZ132" s="3" t="str">
        <f>_xlfn.XLOOKUP(B132,'BASE DE EXCEL'!$C:$C,'BASE DE EXCEL'!T:T,"NO HAY REFERENCIA")</f>
        <v>Delayed</v>
      </c>
      <c r="DA132" s="3">
        <f>_xlfn.XLOOKUP(B132,'BASE DE EXCEL'!$C:$C,'BASE DE EXCEL'!U:U,"NO HAY REFERENCIA")</f>
        <v>10</v>
      </c>
      <c r="DB132" s="3" t="str">
        <f>_xlfn.XLOOKUP(B132,'BASE DE EXCEL'!$C:$C,'BASE DE EXCEL'!V:V,"NO HAY REFERENCIA")</f>
        <v>6 a 10 días</v>
      </c>
      <c r="DC132" s="3">
        <f>_xlfn.XLOOKUP(B132,'BASE DE EXCEL'!$C:$C,'BASE DE EXCEL'!W:W,"NO HAY REFERENCIA")</f>
        <v>11</v>
      </c>
      <c r="DD132" s="3" t="str">
        <f>_xlfn.XLOOKUP(B132,'BASE DE EXCEL'!$C:$C,'BASE DE EXCEL'!X:X,"NO HAY REFERENCIA")</f>
        <v>11 a 15 días</v>
      </c>
      <c r="DE132" s="3">
        <f>_xlfn.XLOOKUP(B132,'BASE DE EXCEL'!$C:$C,'BASE DE EXCEL'!Y:Y,"NO HAY REFERENCIA")</f>
        <v>1</v>
      </c>
      <c r="DF132" s="3" t="str">
        <f>_xlfn.XLOOKUP(B132,'BASE DE EXCEL'!$C:$C,'BASE DE EXCEL'!Z:Z,"NO HAY REFERENCIA")</f>
        <v>1 día o menos</v>
      </c>
      <c r="DG132" s="3">
        <f>_xlfn.XLOOKUP(B132,'BASE DE EXCEL'!$C:$C,'BASE DE EXCEL'!AA:AA,"NO HAY REFERENCIA")</f>
        <v>7</v>
      </c>
      <c r="DH132" s="3">
        <f>_xlfn.XLOOKUP(B132,'BASE DE EXCEL'!$C:$C,'BASE DE EXCEL'!AB:AB,"NO HAY REFERENCIA")</f>
        <v>2</v>
      </c>
      <c r="DI132" s="3" t="str">
        <f>_xlfn.XLOOKUP(B132,'BASE DE EXCEL'!$C:$C,'BASE DE EXCEL'!AC:AC,"NO HAY REFERENCIA")</f>
        <v>2 a 3 días</v>
      </c>
      <c r="DJ132" s="4">
        <f>_xlfn.XLOOKUP(B132,'BASE DE EXCEL'!$C:$C,'BASE DE EXCEL'!AD:AD,"NO HAY REFERENCIA")</f>
        <v>46118</v>
      </c>
      <c r="DK132" s="3">
        <f>_xlfn.XLOOKUP(B132,'BASE DE EXCEL'!$C:$C,'BASE DE EXCEL'!AE:AE,"NO HAY REFERENCIA")</f>
        <v>7</v>
      </c>
      <c r="DL132" s="3">
        <f>_xlfn.XLOOKUP(B132,'BASE DE EXCEL'!$C:$C,'BASE DE EXCEL'!AF:AF,"NO HAY REFERENCIA")</f>
        <v>5</v>
      </c>
      <c r="DM132" s="4">
        <f>_xlfn.XLOOKUP(B132,'BASE DE EXCEL'!$C:$C,'BASE DE EXCEL'!AG:AG,"NO HAY REFERENCIA")</f>
        <v>46118</v>
      </c>
      <c r="DN132" s="4">
        <f>_xlfn.XLOOKUP(B132,'BASE DE EXCEL'!$C:$C,'BASE DE EXCEL'!AH:AH,"NO HAY REFERENCIA")</f>
        <v>46118</v>
      </c>
      <c r="DO132" s="3">
        <f>_xlfn.XLOOKUP(B132,'BASE DE EXCEL'!$C:$C,'BASE DE EXCEL'!AI:AI,"NO HAY REFERENCIA")</f>
        <v>0</v>
      </c>
      <c r="DP132" s="4" t="str">
        <f>_xlfn.XLOOKUP(B132,'BASE DE EXCEL'!$C:$C,'BASE DE EXCEL'!AJ:AJ,"NO HAY REFERENCIA")</f>
        <v>6 a 10 días</v>
      </c>
      <c r="DQ132" s="4">
        <f>_xlfn.XLOOKUP(B132,'BASE DE EXCEL'!$C:$C,'BASE DE EXCEL'!AK:AK,"NO HAY REFERENCIA")</f>
        <v>46118</v>
      </c>
      <c r="DR132" s="3">
        <f>_xlfn.XLOOKUP(B132,'BASE DE EXCEL'!$C:$C,'BASE DE EXCEL'!AL:AL,"NO HAY REFERENCIA")</f>
        <v>4</v>
      </c>
      <c r="DS132" s="3" t="str">
        <f>_xlfn.XLOOKUP(B132,'BASE DE EXCEL'!$C:$C,'BASE DE EXCEL'!AM:AM,"NO HAY REFERENCIA")</f>
        <v>4 a 5 días</v>
      </c>
      <c r="DT132" s="3" t="str">
        <f>_xlfn.XLOOKUP(B132,'BASE DE EXCEL'!$C:$C,'BASE DE EXCEL'!AN:AN,"NO HAY REFERENCIA")</f>
        <v>On Time</v>
      </c>
      <c r="DU132" s="3">
        <f>_xlfn.XLOOKUP(B132,'BASE DE EXCEL'!$C:$C,'BASE DE EXCEL'!AO:AO,"NO HAY REFERENCIA")</f>
        <v>1</v>
      </c>
      <c r="DV132" s="3" t="str">
        <f>_xlfn.XLOOKUP(B132,'BASE DE EXCEL'!$C:$C,'BASE DE EXCEL'!AP:AP,"NO HAY REFERENCIA")</f>
        <v>Es anterior</v>
      </c>
      <c r="DW132" s="3" t="str">
        <f>_xlfn.XLOOKUP(B132,'BASE DE EXCEL'!$C:$C,'BASE DE EXCEL'!AQ:AQ,"NO HAY REFERENCIA")</f>
        <v>A1</v>
      </c>
      <c r="DX132" s="3" t="str">
        <f>_xlfn.XLOOKUP(B132,'BASE DE EXCEL'!$C:$C,'BASE DE EXCEL'!AR:AR,"NO HAY REFERENCIA")</f>
        <v>ZULEIMA PEREZ RUIZ</v>
      </c>
      <c r="DY132" s="3">
        <f>_xlfn.XLOOKUP(B132,'BASE DE EXCEL'!$C:$C,'BASE DE EXCEL'!AS:AS,"NO HAY REFERENCIA")</f>
        <v>266207695</v>
      </c>
      <c r="DZ132" s="3" t="str">
        <f>_xlfn.XLOOKUP(B132,'BASE DE EXCEL'!$C:$C,'BASE DE EXCEL'!AT:AT,"NO HAY REFERENCIA")</f>
        <v>NULL</v>
      </c>
      <c r="EA132" s="3">
        <f>_xlfn.XLOOKUP(B132,'BASE DE EXCEL'!$C:$C,'BASE DE EXCEL'!AU:AU,"NO HAY REFERENCIA")</f>
        <v>6000431</v>
      </c>
      <c r="EB132" s="3" t="str">
        <f>_xlfn.XLOOKUP(B132,'BASE DE EXCEL'!$C:$C,'BASE DE EXCEL'!AV:AV,"NO HAY REFERENCIA")</f>
        <v>Importación</v>
      </c>
      <c r="EC132" s="3" t="str">
        <f>_xlfn.XLOOKUP(B132,'BASE DE EXCEL'!$C:$C,'BASE DE EXCEL'!AW:AW,"NO HAY REFERENCIA")</f>
        <v>TAKTIC EC (AMITRAZ)</v>
      </c>
      <c r="ED132" s="3" t="str">
        <f>_xlfn.XLOOKUP(B132,'BASE DE EXCEL'!$C:$C,'BASE DE EXCEL'!AX:AX,"NO HAY REFERENCIA")</f>
        <v>SIN CLASIFICACION</v>
      </c>
      <c r="EE132" s="3">
        <f>_xlfn.XLOOKUP(B132,'BASE DE EXCEL'!$C:$C,'BASE DE EXCEL'!AY:AY,"NO HAY REFERENCIA")</f>
        <v>0</v>
      </c>
      <c r="EF132" s="3" t="str">
        <f>_xlfn.XLOOKUP(B132,'BASE DE EXCEL'!$C:$C,'BASE DE EXCEL'!AZ:AZ,"NO HAY REFERENCIA")</f>
        <v>Cargas de Importación</v>
      </c>
      <c r="EG132" s="3" t="str">
        <f>_xlfn.XLOOKUP(B132,'BASE DE EXCEL'!$C:$C,'BASE DE EXCEL'!BA:BA,"NO HAY REFERENCIA")</f>
        <v>INTERVET MEXICO SA DE CV</v>
      </c>
      <c r="EH132" s="3">
        <f>_xlfn.XLOOKUP(B132,'BASE DE EXCEL'!$C:$C,'BASE DE EXCEL'!BB:BB,"NO HAY REFERENCIA")</f>
        <v>0</v>
      </c>
      <c r="EI132" s="3" t="str">
        <f>_xlfn.XLOOKUP(B132,'BASE DE EXCEL'!$C:$C,'BASE DE EXCEL'!BC:BC,"NO HAY REFERENCIA")</f>
        <v>FALTA RRNA</v>
      </c>
      <c r="EJ132" s="3">
        <f>_xlfn.XLOOKUP(B132,'BASE DE EXCEL'!$C:$C,'BASE DE EXCEL'!BD:BD,"NO HAY REFERENCIA")</f>
        <v>0</v>
      </c>
      <c r="EK132" s="3" t="str">
        <f>_xlfn.XLOOKUP(B132,'BASE DE EXCEL'!$C:$C,'BASE DE EXCEL'!BE:BE,"NO HAY REFERENCIA")</f>
        <v>FALTA RRNA</v>
      </c>
      <c r="EL132" s="3" t="str">
        <f>_xlfn.XLOOKUP(B132,'BASE DE EXCEL'!$C:$C,'BASE DE EXCEL'!BF:BF,"NO HAY REFERENCIA")</f>
        <v>PRODUCTO TERMINADO</v>
      </c>
      <c r="EM132" s="3" t="str">
        <f>_xlfn.XLOOKUP(B132,'BASE DE EXCEL'!$C:$C,'BASE DE EXCEL'!BG:BG,"NO HAY REFERENCIA")</f>
        <v>Verde</v>
      </c>
      <c r="EN132" s="3" t="str">
        <f>_xlfn.XLOOKUP(B132,'BASE DE EXCEL'!$C:$C,'BASE DE EXCEL'!BH:BH,"NO HAY REFERENCIA")</f>
        <v xml:space="preserve"> MLH TRANSPORTE, S.A. DE C.V.</v>
      </c>
      <c r="EO132" s="3" t="str">
        <f>_xlfn.XLOOKUP(B132,'BASE DE EXCEL'!$C:$C,'BASE DE EXCEL'!BI:BI,"NO HAY REFERENCIA")</f>
        <v>TRACTOCAMION, ECO 138</v>
      </c>
      <c r="EP132" s="3">
        <f>_xlfn.XLOOKUP(B132,'BASE DE EXCEL'!$C:$C,'BASE DE EXCEL'!BJ:BJ,"NO HAY REFERENCIA")</f>
        <v>0</v>
      </c>
      <c r="EQ132" s="3" t="str">
        <f>_xlfn.XLOOKUP(B132,'BASE DE EXCEL'!$C:$C,'BASE DE EXCEL'!BK:BK,"NO HAY REFERENCIA")</f>
        <v>IME850329RH2</v>
      </c>
      <c r="ER132" s="3">
        <f>_xlfn.XLOOKUP(B132,'BASE DE EXCEL'!$C:$C,'BASE DE EXCEL'!BL:BL,"NO HAY REFERENCIA")</f>
        <v>0</v>
      </c>
      <c r="ES132" s="3" t="str">
        <f>_xlfn.XLOOKUP(B132,'BASE DE EXCEL'!$C:$C,'BASE DE EXCEL'!BM:BM,"NO HAY REFERENCIA")</f>
        <v>00,99</v>
      </c>
      <c r="ET132" s="3" t="str">
        <f>_xlfn.XLOOKUP(B132,'BASE DE EXCEL'!$C:$C,'BASE DE EXCEL'!BN:BN,"NO HAY REFERENCIA")</f>
        <v>LOTE: 001/26,LOTE: 001/26,LOTE: 002/26,LOTE: 001/26</v>
      </c>
      <c r="EU132" s="3">
        <f>_xlfn.XLOOKUP(B132,'BASE DE EXCEL'!$C:$C,'BASE DE EXCEL'!BO:BO,"NO HAY REFERENCIA")</f>
        <v>90</v>
      </c>
      <c r="EV132" s="3">
        <f>_xlfn.XLOOKUP(B132,'BASE DE EXCEL'!$C:$C,'BASE DE EXCEL'!BP:BP,"NO HAY REFERENCIA")</f>
        <v>2189088.5</v>
      </c>
      <c r="EW132" s="3" t="str">
        <f>_xlfn.XLOOKUP(B132,'BASE DE EXCEL'!$C:$C,'BASE DE EXCEL'!BQ:BQ,"NO HAY REFERENCIA")</f>
        <v>KILO,KILO,KILO,KILO</v>
      </c>
      <c r="EX132" s="3">
        <f>_xlfn.XLOOKUP(B132,'BASE DE EXCEL'!$C:$C,'BASE DE EXCEL'!BR:BR,"NO HAY REFERENCIA")</f>
        <v>0</v>
      </c>
      <c r="EY132" s="3" t="str">
        <f>_xlfn.XLOOKUP(B132,'BASE DE EXCEL'!$C:$C,'BASE DE EXCEL'!BS:BS,"NO HAY REFERENCIA")</f>
        <v>BRASIL (REPUBLICA FEDERATIVA DE)</v>
      </c>
      <c r="EZ132" s="3" t="str">
        <f>_xlfn.XLOOKUP(B132,'BASE DE EXCEL'!$C:$C,'BASE DE EXCEL'!BT:BT,"NO HAY REFERENCIA")</f>
        <v>PAISES BAJOS (REINO DE LOS) (HOLANDA)</v>
      </c>
      <c r="FA132" s="3" t="str">
        <f>_xlfn.XLOOKUP(B132,'BASE DE EXCEL'!$C:$C,'BASE DE EXCEL'!BU:BU,"NO HAY REFERENCIA")</f>
        <v>BRA</v>
      </c>
      <c r="FB132" s="3" t="str">
        <f>_xlfn.XLOOKUP(B132,'BASE DE EXCEL'!$C:$C,'BASE DE EXCEL'!BV:BV,"NO HAY REFERENCIA")</f>
        <v>ZYA</v>
      </c>
      <c r="FC132" s="3">
        <f>_xlfn.XLOOKUP(B132,QUERY!$C:$C,QUERY!D:D)</f>
        <v>430</v>
      </c>
      <c r="FD132" s="4">
        <f>_xlfn.XLOOKUP(B132,QUERY!$C:$C,QUERY!E:E)</f>
        <v>46108</v>
      </c>
      <c r="FE132" s="3">
        <f>_xlfn.XLOOKUP(B132,QUERY!$C:$C,QUERY!F:F)</f>
        <v>3</v>
      </c>
      <c r="FF132" s="4">
        <f>_xlfn.XLOOKUP(B132,QUERY!$C:$C,QUERY!G:G)</f>
        <v>46101</v>
      </c>
      <c r="FG132" s="4">
        <f>_xlfn.XLOOKUP(B132,QUERY!$C:$C,QUERY!H:H)</f>
        <v>46108</v>
      </c>
      <c r="FH132" s="3">
        <f>_xlfn.XLOOKUP(B132,QUERY!$C:$C,QUERY!I:I)</f>
        <v>5</v>
      </c>
      <c r="FI132" s="3" t="str">
        <f>_xlfn.XLOOKUP(B132,QUERY!$C:$C,QUERY!J:J)</f>
        <v>4 a 5 días</v>
      </c>
      <c r="FJ132" s="4">
        <f>_xlfn.XLOOKUP(B132,QUERY!$C:$C,QUERY!K:K)</f>
        <v>46109</v>
      </c>
      <c r="FK132" s="3">
        <f>_xlfn.XLOOKUP(B132,QUERY!$C:$C,QUERY!L:L)</f>
        <v>5</v>
      </c>
      <c r="FL132" s="3" t="str">
        <f>_xlfn.XLOOKUP(B132,QUERY!$C:$C,QUERY!M:M)</f>
        <v>4 a 5 días</v>
      </c>
      <c r="FM132" s="3">
        <f>_xlfn.XLOOKUP(B132,QUERY!$C:$C,QUERY!N:N)</f>
        <v>1</v>
      </c>
      <c r="FN132" s="3" t="str">
        <f>_xlfn.XLOOKUP(B132,QUERY!$C:$C,QUERY!O:O)</f>
        <v>1 día o menos</v>
      </c>
      <c r="FO132" s="3">
        <f>_xlfn.XLOOKUP(B132,QUERY!$C:$C,QUERY!P:P)</f>
        <v>1</v>
      </c>
      <c r="FP132" s="3">
        <f>_xlfn.XLOOKUP(B132,QUERY!$C:$C,QUERY!Q:Q)</f>
        <v>2</v>
      </c>
      <c r="FQ132" s="3" t="str">
        <f>_xlfn.XLOOKUP(B132,QUERY!$C:$C,QUERY!R:R)</f>
        <v>2 a 3 días</v>
      </c>
      <c r="FR132" s="4">
        <f>_xlfn.XLOOKUP(B132,QUERY!$C:$C,QUERY!S:S)</f>
        <v>46111</v>
      </c>
      <c r="FS132" s="3">
        <f>_xlfn.XLOOKUP(B132,QUERY!$C:$C,QUERY!T:T)</f>
        <v>6</v>
      </c>
      <c r="FT132" s="3" t="str">
        <f>_xlfn.XLOOKUP(B132,QUERY!$C:$C,QUERY!U:U)</f>
        <v>6 a 10 días</v>
      </c>
      <c r="FU132" s="3">
        <f>_xlfn.XLOOKUP(B132,QUERY!$C:$C,QUERY!V:V)</f>
        <v>11</v>
      </c>
      <c r="FV132" s="3" t="str">
        <f>_xlfn.XLOOKUP(B132,QUERY!$C:$C,QUERY!W:W)</f>
        <v>11 a 15 días</v>
      </c>
      <c r="FW132" s="4">
        <f>_xlfn.XLOOKUP(B132,QUERY!$C:$C,QUERY!X:X)</f>
        <v>46118</v>
      </c>
      <c r="FX132" s="3">
        <f>_xlfn.XLOOKUP(B132,QUERY!$C:$C,QUERY!Y:Y)</f>
        <v>5</v>
      </c>
      <c r="FY132" s="3">
        <f>_xlfn.XLOOKUP(B132,QUERY!$C:$C,QUERY!Z:Z)</f>
        <v>5</v>
      </c>
      <c r="FZ132" s="4" t="str">
        <f>_xlfn.XLOOKUP(B132,QUERY!$C:$C,QUERY!AA:AA)</f>
        <v>6 a 10 días</v>
      </c>
      <c r="GA132" s="4">
        <f>_xlfn.XLOOKUP(B132,QUERY!$C:$C,QUERY!AB:AB)</f>
        <v>46118</v>
      </c>
      <c r="GB132" s="4">
        <f>_xlfn.XLOOKUP(B132,QUERY!$C:$C,QUERY!AC:AC)</f>
        <v>46118</v>
      </c>
      <c r="GC132" s="3">
        <f>_xlfn.XLOOKUP(B132,QUERY!$C:$C,QUERY!AD:AD)</f>
        <v>0</v>
      </c>
      <c r="GD132" s="4">
        <f>_xlfn.XLOOKUP(B132,QUERY!$C:$C,QUERY!AE:AE)</f>
        <v>46118</v>
      </c>
      <c r="GE132" s="3">
        <f>_xlfn.XLOOKUP(B132,QUERY!$C:$C,QUERY!AF:AF)</f>
        <v>1</v>
      </c>
      <c r="GF132" s="4" t="str">
        <f>_xlfn.XLOOKUP(B132,QUERY!$C:$C,QUERY!AG:AG)</f>
        <v>Es anterior</v>
      </c>
      <c r="GG132" s="3" t="str">
        <f>_xlfn.XLOOKUP(B132,QUERY!$C:$C,QUERY!AH:AH)</f>
        <v>A1</v>
      </c>
      <c r="GH132" s="3" t="str">
        <f>_xlfn.XLOOKUP(B132,QUERY!$C:$C,QUERY!AI:AI)</f>
        <v>ZULEIMA PEREZ RUIZ</v>
      </c>
      <c r="GI132" s="3">
        <f>_xlfn.XLOOKUP(B132,QUERY!$C:$C,QUERY!AJ:AJ)</f>
        <v>266207695</v>
      </c>
      <c r="GJ132" s="3" t="str">
        <f>_xlfn.XLOOKUP(B132,QUERY!$C:$C,QUERY!AK:AK)</f>
        <v>NULL</v>
      </c>
      <c r="GK132" s="3">
        <f>_xlfn.XLOOKUP(B132,QUERY!$C:$C,QUERY!AL:AL)</f>
        <v>6000431</v>
      </c>
      <c r="GL132" s="3" t="str">
        <f>_xlfn.XLOOKUP(B132,QUERY!$C:$C,QUERY!AM:AM)</f>
        <v>Importación</v>
      </c>
      <c r="GM132" s="3" t="str">
        <f>_xlfn.XLOOKUP(B132,QUERY!$C:$C,QUERY!AN:AN)</f>
        <v>TAKTIC EC (AMITRAZ)</v>
      </c>
      <c r="GN132" s="3" t="str">
        <f>_xlfn.XLOOKUP(B132,QUERY!$C:$C,QUERY!AO:AO)</f>
        <v>SIN CLASIFICACION</v>
      </c>
      <c r="GO132" s="3">
        <f>_xlfn.XLOOKUP(B132,QUERY!$C:$C,QUERY!AP:AP)</f>
        <v>0</v>
      </c>
      <c r="GP132" s="3" t="str">
        <f>_xlfn.XLOOKUP(B132,QUERY!$C:$C,QUERY!AQ:AQ)</f>
        <v>Cargas de Importación</v>
      </c>
      <c r="GQ132" s="3" t="str">
        <f>_xlfn.XLOOKUP(B132,QUERY!$C:$C,QUERY!AR:AR)</f>
        <v>INTERVET MEXICO SA DE CV</v>
      </c>
      <c r="GR132" s="3">
        <f>_xlfn.XLOOKUP(B132,QUERY!$C:$C,QUERY!AS:AS)</f>
        <v>0</v>
      </c>
      <c r="GS132" s="3" t="str">
        <f>_xlfn.XLOOKUP(B132,QUERY!$C:$C,QUERY!AT:AT)</f>
        <v>FALTA RRNA</v>
      </c>
      <c r="GT132" s="3">
        <f>_xlfn.XLOOKUP(B132,QUERY!$C:$C,QUERY!AU:AU)</f>
        <v>0</v>
      </c>
      <c r="GU132" s="3" t="str">
        <f>_xlfn.XLOOKUP(B132,QUERY!$C:$C,QUERY!AV:AV)</f>
        <v>FALTA RRNA</v>
      </c>
      <c r="GV132" s="3" t="str">
        <f>_xlfn.XLOOKUP(B132,QUERY!$C:$C,QUERY!AW:AW)</f>
        <v>PRODUCTO TERMINADO</v>
      </c>
      <c r="GW132" s="3" t="str">
        <f>_xlfn.XLOOKUP(B132,QUERY!$C:$C,QUERY!AX:AX)</f>
        <v>Verde</v>
      </c>
      <c r="GX132" s="3" t="str">
        <f>_xlfn.XLOOKUP(B132,QUERY!$C:$C,QUERY!AY:AY)</f>
        <v xml:space="preserve"> MLH TRANSPORTE, S.A. DE C.V.</v>
      </c>
      <c r="GY132" s="3" t="str">
        <f>_xlfn.XLOOKUP(B132,QUERY!$C:$C,QUERY!AZ:AZ)</f>
        <v>TRACTOCAMION, ECO 138</v>
      </c>
      <c r="GZ132" s="3">
        <f>_xlfn.XLOOKUP(B132,QUERY!$C:$C,QUERY!BA:BA)</f>
        <v>0</v>
      </c>
      <c r="HA132" s="3" t="str">
        <f>_xlfn.XLOOKUP(B132,QUERY!$C:$C,QUERY!BB:BB)</f>
        <v>IME850329RH2</v>
      </c>
      <c r="HB132" s="3">
        <f>_xlfn.XLOOKUP(B132,QUERY!$C:$C,QUERY!BC:BC)</f>
        <v>0</v>
      </c>
      <c r="HC132" s="3">
        <f>_xlfn.XLOOKUP(B132,QUERY!$C:$C,QUERY!BD:BD)</f>
        <v>0.99</v>
      </c>
      <c r="HD132" s="3" t="str">
        <f>_xlfn.XLOOKUP(B132,QUERY!$C:$C,QUERY!BE:BE)</f>
        <v>LOTE: 001/26,LOTE: 001/26,LOTE: 002/26,LOTE: 001/26</v>
      </c>
      <c r="HE132" s="3">
        <f>_xlfn.XLOOKUP(B132,QUERY!$C:$C,QUERY!BF:BF)</f>
        <v>90</v>
      </c>
      <c r="HF132" s="3" t="str">
        <f>_xlfn.XLOOKUP(B132,QUERY!$C:$C,QUERY!BG:BG)</f>
        <v xml:space="preserve"> 2189088.50</v>
      </c>
      <c r="HG132" s="3" t="str">
        <f>_xlfn.XLOOKUP(B132,QUERY!$C:$C,QUERY!BH:BH)</f>
        <v>KILO,KILO,KILO,KILO</v>
      </c>
      <c r="HH132" s="3">
        <f>_xlfn.XLOOKUP(B132,QUERY!$C:$C,QUERY!BI:BI)</f>
        <v>0</v>
      </c>
      <c r="HI132" s="3" t="str">
        <f>_xlfn.XLOOKUP(B132,QUERY!$C:$C,QUERY!BJ:BJ)</f>
        <v>BRASIL (REPUBLICA FEDERATIVA DE)</v>
      </c>
      <c r="HJ132" s="3" t="str">
        <f>_xlfn.XLOOKUP(B132,QUERY!$C:$C,QUERY!BK:BK)</f>
        <v>PAISES BAJOS (REINO DE LOS) (HOLANDA)</v>
      </c>
      <c r="HK132" s="3" t="str">
        <f>_xlfn.XLOOKUP(B132,QUERY!$C:$C,QUERY!BL:BL)</f>
        <v>BRA</v>
      </c>
      <c r="HL132" s="3" t="str">
        <f>_xlfn.XLOOKUP(B132,QUERY!$C:$C,QUERY!BM:BM)</f>
        <v>ZYA</v>
      </c>
      <c r="HM132" s="3">
        <f>_xlfn.XLOOKUP(B132,QUERY!$C:$C,QUERY!BN:BN)</f>
        <v>2189088</v>
      </c>
      <c r="HN132" s="3" t="str">
        <f>_xlfn.XLOOKUP(B132,QUERY!$C:$C,QUERY!BO:BO)</f>
        <v>17513.00</v>
      </c>
      <c r="HO132" s="3" t="str">
        <f>_xlfn.XLOOKUP(B132,QUERY!$C:$C,QUERY!BP:BP)</f>
        <v>179305.00</v>
      </c>
      <c r="HP132" s="3" t="str">
        <f>_xlfn.XLOOKUP(B132,QUERY!$C:$C,QUERY!BQ:BQ)</f>
        <v>26796.00</v>
      </c>
      <c r="HQ132" s="3" t="str">
        <f>_xlfn.XLOOKUP(B132,QUERY!$C:$C,QUERY!BR:BR)</f>
        <v>142588.21</v>
      </c>
      <c r="HR132" s="3">
        <f>_xlfn.XLOOKUP(B132,QUERY!$C:$C,QUERY!BS:BS)</f>
        <v>0</v>
      </c>
      <c r="HS132" s="3">
        <f>_xlfn.XLOOKUP(B132,QUERY!$C:$C,QUERY!BT:BT)</f>
        <v>0</v>
      </c>
      <c r="HT132" s="3" t="str">
        <f>_xlfn.XLOOKUP(B132,QUERY!$C:$C,QUERY!A:A)</f>
        <v>VERACRUZ</v>
      </c>
      <c r="HU132" s="3" t="str">
        <f>_xlfn.XLOOKUP(B132,QUERY!$C:$C,QUERY!B:B)</f>
        <v>MARÍTIMO VERACRUZ</v>
      </c>
    </row>
    <row r="133" spans="1:229" x14ac:dyDescent="0.25">
      <c r="A133" s="3" t="s">
        <v>90</v>
      </c>
      <c r="B133" s="3" t="s">
        <v>399</v>
      </c>
      <c r="C133" s="3">
        <v>3942</v>
      </c>
      <c r="D133" s="3">
        <v>6000433</v>
      </c>
      <c r="E133" s="3"/>
      <c r="F133" s="3" t="s">
        <v>92</v>
      </c>
      <c r="G133" s="3" t="s">
        <v>93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10</v>
      </c>
      <c r="O133" s="3">
        <v>493546</v>
      </c>
      <c r="P133" s="3">
        <v>17.793199999999999</v>
      </c>
      <c r="Q133" s="3">
        <v>5547</v>
      </c>
      <c r="R133" s="3">
        <v>430</v>
      </c>
      <c r="S133" s="3" t="s">
        <v>400</v>
      </c>
      <c r="T133" s="3" t="s">
        <v>95</v>
      </c>
      <c r="U133" s="3">
        <v>8920265</v>
      </c>
      <c r="V133" s="3">
        <v>8920265</v>
      </c>
      <c r="W133" s="3">
        <v>0</v>
      </c>
      <c r="X133" s="3">
        <v>0</v>
      </c>
      <c r="Y133" s="3">
        <v>0</v>
      </c>
      <c r="Z133" s="3">
        <v>0</v>
      </c>
      <c r="AA133" s="3" t="s">
        <v>401</v>
      </c>
      <c r="AB133" s="3"/>
      <c r="AC133" s="3">
        <v>4935456</v>
      </c>
      <c r="AD133" s="3">
        <v>171.37</v>
      </c>
      <c r="AE133" s="3">
        <v>354</v>
      </c>
      <c r="AF133" s="3">
        <v>10</v>
      </c>
      <c r="AG133" s="3">
        <v>493546</v>
      </c>
      <c r="AH133" s="3">
        <v>0</v>
      </c>
      <c r="AI133" s="3">
        <v>53</v>
      </c>
      <c r="AJ133" s="3">
        <v>39484</v>
      </c>
      <c r="AK133" s="3">
        <v>0</v>
      </c>
      <c r="AL133" s="3">
        <v>0</v>
      </c>
      <c r="AM133" s="3">
        <v>330</v>
      </c>
      <c r="AN133" s="3">
        <v>533413</v>
      </c>
      <c r="AO133" s="3" t="s">
        <v>97</v>
      </c>
      <c r="AP133" s="3" t="s">
        <v>98</v>
      </c>
      <c r="AQ133" s="3">
        <v>210367645</v>
      </c>
      <c r="AR133" s="3" t="s">
        <v>99</v>
      </c>
      <c r="AS133" s="3" t="s">
        <v>100</v>
      </c>
      <c r="AT133" s="3" t="s">
        <v>402</v>
      </c>
      <c r="AU133" s="3"/>
      <c r="AV133" s="3" t="s">
        <v>102</v>
      </c>
      <c r="AW133" s="3">
        <v>30049099</v>
      </c>
      <c r="AX133" s="3">
        <v>99</v>
      </c>
      <c r="AY133" s="3">
        <v>28800</v>
      </c>
      <c r="AZ133" s="3">
        <v>28800</v>
      </c>
      <c r="BA133" s="3" t="s">
        <v>103</v>
      </c>
      <c r="BB133" s="3"/>
      <c r="BC133" s="3" t="s">
        <v>133</v>
      </c>
      <c r="BD133" s="3" t="s">
        <v>105</v>
      </c>
      <c r="BE133" s="3" t="s">
        <v>228</v>
      </c>
      <c r="BF133" s="3" t="s">
        <v>117</v>
      </c>
      <c r="BG133" s="5">
        <v>4.3064022026114304E+16</v>
      </c>
      <c r="BH133" s="3" t="s">
        <v>108</v>
      </c>
      <c r="BI133" s="3"/>
      <c r="BJ133" s="3" t="s">
        <v>109</v>
      </c>
      <c r="BK133" s="3" t="s">
        <v>403</v>
      </c>
      <c r="BL133" s="3">
        <v>45997</v>
      </c>
      <c r="BM133" s="3">
        <v>0</v>
      </c>
      <c r="BN133" s="3">
        <v>0</v>
      </c>
      <c r="BO133" s="3">
        <v>0</v>
      </c>
      <c r="BP133" s="3">
        <v>1800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22189.59</v>
      </c>
      <c r="BY133" s="3">
        <v>0</v>
      </c>
      <c r="BZ133" s="3">
        <v>0</v>
      </c>
      <c r="CA133" s="3">
        <v>10077.620000000001</v>
      </c>
      <c r="CB133" s="3">
        <v>13448.84</v>
      </c>
      <c r="CC133" s="3">
        <v>2902.21</v>
      </c>
      <c r="CD133" s="3">
        <v>173677.59</v>
      </c>
      <c r="CE133" s="3" t="s">
        <v>192</v>
      </c>
      <c r="CF133" s="3">
        <v>173677.59</v>
      </c>
      <c r="CG133" s="3">
        <v>0</v>
      </c>
      <c r="CH133" s="3">
        <v>0</v>
      </c>
      <c r="CI133" s="3" t="s">
        <v>112</v>
      </c>
      <c r="CJ133" s="3" t="s">
        <v>112</v>
      </c>
      <c r="CK133" s="3">
        <f>_xlfn.XLOOKUP($B$2,'BASE DE EXCEL'!C:C,'BASE DE EXCEL'!D:D,"NO HAY REFERENCIA")</f>
        <v>470</v>
      </c>
      <c r="CL133" s="5">
        <f>_xlfn.XLOOKUP($B$2,'BASE DE EXCEL'!$C:$C,'BASE DE EXCEL'!F:F,"NO HAY REFERENCIA")</f>
        <v>3</v>
      </c>
      <c r="CM133" s="4">
        <f>_xlfn.XLOOKUP($B$2,'BASE DE EXCEL'!$C:$C,'BASE DE EXCEL'!G:G,"NO HAY REFERENCIA")</f>
        <v>46080</v>
      </c>
      <c r="CN133" s="4">
        <f>_xlfn.XLOOKUP($B$2,'BASE DE EXCEL'!$C:$C,'BASE DE EXCEL'!H:H,"NO HAY REFERENCIA")</f>
        <v>46086</v>
      </c>
      <c r="CO133" s="3">
        <f>_xlfn.XLOOKUP($B$2,'BASE DE EXCEL'!$C:$C,'BASE DE EXCEL'!I:I,"NO HAY REFERENCIA")</f>
        <v>4</v>
      </c>
      <c r="CP133" s="3" t="str">
        <f>_xlfn.XLOOKUP($B$2,'BASE DE EXCEL'!$C:$C,'BASE DE EXCEL'!J:J,"NO HAY REFERENCIA")</f>
        <v>4 a 5 días</v>
      </c>
      <c r="CQ133" s="4">
        <f>_xlfn.XLOOKUP($B$2,'BASE DE EXCEL'!$C:$C,'BASE DE EXCEL'!K:K,"NO HAY REFERENCIA")</f>
        <v>46087</v>
      </c>
      <c r="CR133" s="3">
        <f>_xlfn.XLOOKUP($B$2,'BASE DE EXCEL'!$C:$C,'BASE DE EXCEL'!L:L,"NO HAY REFERENCIA")</f>
        <v>5</v>
      </c>
      <c r="CS133" s="3">
        <f>_xlfn.XLOOKUP($B$2,'BASE DE EXCEL'!$C:$C,'BASE DE EXCEL'!M:M,"NO HAY REFERENCIA")</f>
        <v>6</v>
      </c>
      <c r="CT133" s="3" t="str">
        <f>_xlfn.XLOOKUP($B$2,'BASE DE EXCEL'!$C:$C,'BASE DE EXCEL'!N:N,"NO HAY REFERENCIA")</f>
        <v>6 a 10 días</v>
      </c>
      <c r="CU133" s="3" t="str">
        <f>_xlfn.XLOOKUP($B$2,'BASE DE EXCEL'!$C:$C,'BASE DE EXCEL'!O:O,"NO HAY REFERENCIA")</f>
        <v>On Time</v>
      </c>
      <c r="CV133" s="3" t="str">
        <f>_xlfn.XLOOKUP(B133,'BASE DE EXCEL'!$C:$C,'BASE DE EXCEL'!P:P,"NO HAY REFERENCIA")</f>
        <v>6 a 10 días</v>
      </c>
      <c r="CW133" s="4">
        <f>_xlfn.XLOOKUP(B133,'BASE DE EXCEL'!$C:$C,'BASE DE EXCEL'!Q:Q,"NO HAY REFERENCIA")</f>
        <v>46128</v>
      </c>
      <c r="CX133" s="3">
        <f>_xlfn.XLOOKUP(B133,'BASE DE EXCEL'!$C:$C,'BASE DE EXCEL'!R:R,"NO HAY REFERENCIA")</f>
        <v>7</v>
      </c>
      <c r="CY133" s="3" t="str">
        <f>_xlfn.XLOOKUP(B133,'BASE DE EXCEL'!$C:$C,'BASE DE EXCEL'!S:S,"NO HAY REFERENCIA")</f>
        <v>6 a 10 días</v>
      </c>
      <c r="CZ133" s="3" t="str">
        <f>_xlfn.XLOOKUP(B133,'BASE DE EXCEL'!$C:$C,'BASE DE EXCEL'!T:T,"NO HAY REFERENCIA")</f>
        <v>Delayed</v>
      </c>
      <c r="DA133" s="3">
        <f>_xlfn.XLOOKUP(B133,'BASE DE EXCEL'!$C:$C,'BASE DE EXCEL'!U:U,"NO HAY REFERENCIA")</f>
        <v>8</v>
      </c>
      <c r="DB133" s="3" t="str">
        <f>_xlfn.XLOOKUP(B133,'BASE DE EXCEL'!$C:$C,'BASE DE EXCEL'!V:V,"NO HAY REFERENCIA")</f>
        <v>6 a 10 días</v>
      </c>
      <c r="DC133" s="3">
        <f>_xlfn.XLOOKUP(B133,'BASE DE EXCEL'!$C:$C,'BASE DE EXCEL'!W:W,"NO HAY REFERENCIA")</f>
        <v>23</v>
      </c>
      <c r="DD133" s="3" t="str">
        <f>_xlfn.XLOOKUP(B133,'BASE DE EXCEL'!$C:$C,'BASE DE EXCEL'!X:X,"NO HAY REFERENCIA")</f>
        <v>más de 16 días</v>
      </c>
      <c r="DE133" s="3">
        <f>_xlfn.XLOOKUP(B133,'BASE DE EXCEL'!$C:$C,'BASE DE EXCEL'!Y:Y,"NO HAY REFERENCIA")</f>
        <v>1</v>
      </c>
      <c r="DF133" s="3" t="str">
        <f>_xlfn.XLOOKUP(B133,'BASE DE EXCEL'!$C:$C,'BASE DE EXCEL'!Z:Z,"NO HAY REFERENCIA")</f>
        <v>1 día o menos</v>
      </c>
      <c r="DG133" s="3">
        <f>_xlfn.XLOOKUP(B133,'BASE DE EXCEL'!$C:$C,'BASE DE EXCEL'!AA:AA,"NO HAY REFERENCIA")</f>
        <v>6</v>
      </c>
      <c r="DH133" s="3">
        <f>_xlfn.XLOOKUP(B133,'BASE DE EXCEL'!$C:$C,'BASE DE EXCEL'!AB:AB,"NO HAY REFERENCIA")</f>
        <v>1</v>
      </c>
      <c r="DI133" s="3" t="str">
        <f>_xlfn.XLOOKUP(B133,'BASE DE EXCEL'!$C:$C,'BASE DE EXCEL'!AC:AC,"NO HAY REFERENCIA")</f>
        <v>1 día o menos</v>
      </c>
      <c r="DJ133" s="4">
        <f>_xlfn.XLOOKUP(B133,'BASE DE EXCEL'!$C:$C,'BASE DE EXCEL'!AD:AD,"NO HAY REFERENCIA")</f>
        <v>46153</v>
      </c>
      <c r="DK133" s="3">
        <f>_xlfn.XLOOKUP(B133,'BASE DE EXCEL'!$C:$C,'BASE DE EXCEL'!AE:AE,"NO HAY REFERENCIA")</f>
        <v>25</v>
      </c>
      <c r="DL133" s="3">
        <f>_xlfn.XLOOKUP(B133,'BASE DE EXCEL'!$C:$C,'BASE DE EXCEL'!AF:AF,"NO HAY REFERENCIA")</f>
        <v>17</v>
      </c>
      <c r="DM133" s="4">
        <f>_xlfn.XLOOKUP(B133,'BASE DE EXCEL'!$C:$C,'BASE DE EXCEL'!AG:AG,"NO HAY REFERENCIA")</f>
        <v>46153</v>
      </c>
      <c r="DN133" s="4">
        <f>_xlfn.XLOOKUP(B133,'BASE DE EXCEL'!$C:$C,'BASE DE EXCEL'!AH:AH,"NO HAY REFERENCIA")</f>
        <v>46153</v>
      </c>
      <c r="DO133" s="3">
        <f>_xlfn.XLOOKUP(B133,'BASE DE EXCEL'!$C:$C,'BASE DE EXCEL'!AI:AI,"NO HAY REFERENCIA")</f>
        <v>0</v>
      </c>
      <c r="DP133" s="4" t="str">
        <f>_xlfn.XLOOKUP(B133,'BASE DE EXCEL'!$C:$C,'BASE DE EXCEL'!AJ:AJ,"NO HAY REFERENCIA")</f>
        <v>más de 16 días</v>
      </c>
      <c r="DQ133" s="4">
        <f>_xlfn.XLOOKUP(B133,'BASE DE EXCEL'!$C:$C,'BASE DE EXCEL'!AK:AK,"NO HAY REFERENCIA")</f>
        <v>46153</v>
      </c>
      <c r="DR133" s="3">
        <f>_xlfn.XLOOKUP(B133,'BASE DE EXCEL'!$C:$C,'BASE DE EXCEL'!AL:AL,"NO HAY REFERENCIA")</f>
        <v>17</v>
      </c>
      <c r="DS133" s="3" t="str">
        <f>_xlfn.XLOOKUP(B133,'BASE DE EXCEL'!$C:$C,'BASE DE EXCEL'!AM:AM,"NO HAY REFERENCIA")</f>
        <v>más de 16 días</v>
      </c>
      <c r="DT133" s="3" t="str">
        <f>_xlfn.XLOOKUP(B133,'BASE DE EXCEL'!$C:$C,'BASE DE EXCEL'!AN:AN,"NO HAY REFERENCIA")</f>
        <v>Delayed</v>
      </c>
      <c r="DU133" s="3">
        <f>_xlfn.XLOOKUP(B133,'BASE DE EXCEL'!$C:$C,'BASE DE EXCEL'!AO:AO,"NO HAY REFERENCIA")</f>
        <v>1</v>
      </c>
      <c r="DV133" s="3" t="str">
        <f>_xlfn.XLOOKUP(B133,'BASE DE EXCEL'!$C:$C,'BASE DE EXCEL'!AP:AP,"NO HAY REFERENCIA")</f>
        <v>Es anterior</v>
      </c>
      <c r="DW133" s="3" t="str">
        <f>_xlfn.XLOOKUP(B133,'BASE DE EXCEL'!$C:$C,'BASE DE EXCEL'!AQ:AQ,"NO HAY REFERENCIA")</f>
        <v>A1</v>
      </c>
      <c r="DX133" s="3" t="str">
        <f>_xlfn.XLOOKUP(B133,'BASE DE EXCEL'!$C:$C,'BASE DE EXCEL'!AR:AR,"NO HAY REFERENCIA")</f>
        <v>ZULEIMA PEREZ RUIZ</v>
      </c>
      <c r="DY133" s="3" t="str">
        <f>_xlfn.XLOOKUP(B133,'BASE DE EXCEL'!$C:$C,'BASE DE EXCEL'!AS:AS,"NO HAY REFERENCIA")</f>
        <v>HLCUANR260264210</v>
      </c>
      <c r="DZ133" s="3" t="str">
        <f>_xlfn.XLOOKUP(B133,'BASE DE EXCEL'!$C:$C,'BASE DE EXCEL'!AT:AT,"NO HAY REFERENCIA")</f>
        <v>NULL</v>
      </c>
      <c r="EA133" s="3">
        <f>_xlfn.XLOOKUP(B133,'BASE DE EXCEL'!$C:$C,'BASE DE EXCEL'!AU:AU,"NO HAY REFERENCIA")</f>
        <v>6000433</v>
      </c>
      <c r="EB133" s="3" t="str">
        <f>_xlfn.XLOOKUP(B133,'BASE DE EXCEL'!$C:$C,'BASE DE EXCEL'!AV:AV,"NO HAY REFERENCIA")</f>
        <v>Importación</v>
      </c>
      <c r="EC133" s="3" t="str">
        <f>_xlfn.XLOOKUP(B133,'BASE DE EXCEL'!$C:$C,'BASE DE EXCEL'!AW:AW,"NO HAY REFERENCIA")</f>
        <v>BRAVECTO 1000 MG (MEDICAMENTO DOSIFICADO DE USO VETERINARIO)</v>
      </c>
      <c r="ED133" s="3" t="str">
        <f>_xlfn.XLOOKUP(B133,'BASE DE EXCEL'!$C:$C,'BASE DE EXCEL'!AX:AX,"NO HAY REFERENCIA")</f>
        <v>SIN CLASIFICACION</v>
      </c>
      <c r="EE133" s="3">
        <f>_xlfn.XLOOKUP(B133,'BASE DE EXCEL'!$C:$C,'BASE DE EXCEL'!AY:AY,"NO HAY REFERENCIA")</f>
        <v>0</v>
      </c>
      <c r="EF133" s="3" t="str">
        <f>_xlfn.XLOOKUP(B133,'BASE DE EXCEL'!$C:$C,'BASE DE EXCEL'!AZ:AZ,"NO HAY REFERENCIA")</f>
        <v>Cargas de Importación</v>
      </c>
      <c r="EG133" s="3" t="str">
        <f>_xlfn.XLOOKUP(B133,'BASE DE EXCEL'!$C:$C,'BASE DE EXCEL'!BA:BA,"NO HAY REFERENCIA")</f>
        <v>INTERVET MEXICO SA DE CV</v>
      </c>
      <c r="EH133" s="3">
        <f>_xlfn.XLOOKUP(B133,'BASE DE EXCEL'!$C:$C,'BASE DE EXCEL'!BB:BB,"NO HAY REFERENCIA")</f>
        <v>0</v>
      </c>
      <c r="EI133" s="3" t="str">
        <f>_xlfn.XLOOKUP(B133,'BASE DE EXCEL'!$C:$C,'BASE DE EXCEL'!BC:BC,"NO HAY REFERENCIA")</f>
        <v>NINGUNO</v>
      </c>
      <c r="EJ133" s="3">
        <f>_xlfn.XLOOKUP(B133,'BASE DE EXCEL'!$C:$C,'BASE DE EXCEL'!BD:BD,"NO HAY REFERENCIA")</f>
        <v>0</v>
      </c>
      <c r="EK133" s="3" t="str">
        <f>_xlfn.XLOOKUP(B133,'BASE DE EXCEL'!$C:$C,'BASE DE EXCEL'!BE:BE,"NO HAY REFERENCIA")</f>
        <v>NINGUNO</v>
      </c>
      <c r="EL133" s="3" t="str">
        <f>_xlfn.XLOOKUP(B133,'BASE DE EXCEL'!$C:$C,'BASE DE EXCEL'!BF:BF,"NO HAY REFERENCIA")</f>
        <v>PRODUCTO TERMINADO</v>
      </c>
      <c r="EM133" s="3" t="str">
        <f>_xlfn.XLOOKUP(B133,'BASE DE EXCEL'!$C:$C,'BASE DE EXCEL'!BG:BG,"NO HAY REFERENCIA")</f>
        <v>Rojo</v>
      </c>
      <c r="EN133" s="3" t="str">
        <f>_xlfn.XLOOKUP(B133,'BASE DE EXCEL'!$C:$C,'BASE DE EXCEL'!BH:BH,"NO HAY REFERENCIA")</f>
        <v xml:space="preserve"> MLH TRANSPORTE, S.A. DE C.V.</v>
      </c>
      <c r="EO133" s="3" t="str">
        <f>_xlfn.XLOOKUP(B133,'BASE DE EXCEL'!$C:$C,'BASE DE EXCEL'!BI:BI,"NO HAY REFERENCIA")</f>
        <v>TRACTOCAMION ECO 04 RED</v>
      </c>
      <c r="EP133" s="3">
        <f>_xlfn.XLOOKUP(B133,'BASE DE EXCEL'!$C:$C,'BASE DE EXCEL'!BJ:BJ,"NO HAY REFERENCIA")</f>
        <v>0</v>
      </c>
      <c r="EQ133" s="3" t="str">
        <f>_xlfn.XLOOKUP(B133,'BASE DE EXCEL'!$C:$C,'BASE DE EXCEL'!BK:BK,"NO HAY REFERENCIA")</f>
        <v>IME850329RH2</v>
      </c>
      <c r="ER133" s="3">
        <f>_xlfn.XLOOKUP(B133,'BASE DE EXCEL'!$C:$C,'BASE DE EXCEL'!BL:BL,"NO HAY REFERENCIA")</f>
        <v>0</v>
      </c>
      <c r="ES133" s="3">
        <f>_xlfn.XLOOKUP(B133,'BASE DE EXCEL'!$C:$C,'BASE DE EXCEL'!BM:BM,"NO HAY REFERENCIA")</f>
        <v>99</v>
      </c>
      <c r="ET133" s="3" t="str">
        <f>_xlfn.XLOOKUP(B133,'BASE DE EXCEL'!$C:$C,'BASE DE EXCEL'!BN:BN,"NO HAY REFERENCIA")</f>
        <v>LOTE: 25M4254C01,LOTE: 5793103,LOTE: H120A01,LOTE: H127A01</v>
      </c>
      <c r="EU133" s="3">
        <f>_xlfn.XLOOKUP(B133,'BASE DE EXCEL'!$C:$C,'BASE DE EXCEL'!BO:BO,"NO HAY REFERENCIA")</f>
        <v>90</v>
      </c>
      <c r="EV133" s="3" t="str">
        <f>_xlfn.XLOOKUP(B133,'BASE DE EXCEL'!$C:$C,'BASE DE EXCEL'!BP:BP,"NO HAY REFERENCIA")</f>
        <v xml:space="preserve"> 4935456.00, 983496.00, 1527921.57, 1473391.36</v>
      </c>
      <c r="EW133" s="3" t="str">
        <f>_xlfn.XLOOKUP(B133,'BASE DE EXCEL'!$C:$C,'BASE DE EXCEL'!BQ:BQ,"NO HAY REFERENCIA")</f>
        <v>KILO,KILO,KILO,KILO</v>
      </c>
      <c r="EX133" s="3">
        <f>_xlfn.XLOOKUP(B133,'BASE DE EXCEL'!$C:$C,'BASE DE EXCEL'!BR:BR,"NO HAY REFERENCIA")</f>
        <v>0</v>
      </c>
      <c r="EY133" s="3" t="str">
        <f>_xlfn.XLOOKUP(B133,'BASE DE EXCEL'!$C:$C,'BASE DE EXCEL'!BS:BS,"NO HAY REFERENCIA")</f>
        <v>ALEMANIA (REPUBLICA FEDERAL DE),AUSTRIA (REPUBLICA DE),PAISES BAJOS (REINO DE LOS) (HOLANDA)</v>
      </c>
      <c r="EZ133" s="3" t="str">
        <f>_xlfn.XLOOKUP(B133,'BASE DE EXCEL'!$C:$C,'BASE DE EXCEL'!BT:BT,"NO HAY REFERENCIA")</f>
        <v>PAISES BAJOS (REINO DE LOS) (HOLANDA)</v>
      </c>
      <c r="FA133" s="3" t="str">
        <f>_xlfn.XLOOKUP(B133,'BASE DE EXCEL'!$C:$C,'BASE DE EXCEL'!BU:BU,"NO HAY REFERENCIA")</f>
        <v>AUT,DEU,ZYA</v>
      </c>
      <c r="FB133" s="3" t="str">
        <f>_xlfn.XLOOKUP(B133,'BASE DE EXCEL'!$C:$C,'BASE DE EXCEL'!BV:BV,"NO HAY REFERENCIA")</f>
        <v>ZYA</v>
      </c>
      <c r="FC133" s="3">
        <f>_xlfn.XLOOKUP(B133,QUERY!$C:$C,QUERY!D:D)</f>
        <v>430</v>
      </c>
      <c r="FD133" s="4">
        <f>_xlfn.XLOOKUP(B133,QUERY!$C:$C,QUERY!E:E)</f>
        <v>46126</v>
      </c>
      <c r="FE133" s="3">
        <f>_xlfn.XLOOKUP(B133,QUERY!$C:$C,QUERY!F:F)</f>
        <v>4</v>
      </c>
      <c r="FF133" s="4">
        <f>_xlfn.XLOOKUP(B133,QUERY!$C:$C,QUERY!G:G)</f>
        <v>46120</v>
      </c>
      <c r="FG133" s="4">
        <f>_xlfn.XLOOKUP(B133,QUERY!$C:$C,QUERY!H:H)</f>
        <v>46126</v>
      </c>
      <c r="FH133" s="3">
        <f>_xlfn.XLOOKUP(B133,QUERY!$C:$C,QUERY!I:I)</f>
        <v>4</v>
      </c>
      <c r="FI133" s="3" t="str">
        <f>_xlfn.XLOOKUP(B133,QUERY!$C:$C,QUERY!J:J)</f>
        <v>4 a 5 días</v>
      </c>
      <c r="FJ133" s="4">
        <f>_xlfn.XLOOKUP(B133,QUERY!$C:$C,QUERY!K:K)</f>
        <v>46127</v>
      </c>
      <c r="FK133" s="3">
        <f>_xlfn.XLOOKUP(B133,QUERY!$C:$C,QUERY!L:L)</f>
        <v>5</v>
      </c>
      <c r="FL133" s="3" t="str">
        <f>_xlfn.XLOOKUP(B133,QUERY!$C:$C,QUERY!M:M)</f>
        <v>4 a 5 días</v>
      </c>
      <c r="FM133" s="3">
        <f>_xlfn.XLOOKUP(B133,QUERY!$C:$C,QUERY!N:N)</f>
        <v>1</v>
      </c>
      <c r="FN133" s="3" t="str">
        <f>_xlfn.XLOOKUP(B133,QUERY!$C:$C,QUERY!O:O)</f>
        <v>1 día o menos</v>
      </c>
      <c r="FO133" s="3">
        <f>_xlfn.XLOOKUP(B133,QUERY!$C:$C,QUERY!P:P)</f>
        <v>1</v>
      </c>
      <c r="FP133" s="3">
        <f>_xlfn.XLOOKUP(B133,QUERY!$C:$C,QUERY!Q:Q)</f>
        <v>1</v>
      </c>
      <c r="FQ133" s="3" t="str">
        <f>_xlfn.XLOOKUP(B133,QUERY!$C:$C,QUERY!R:R)</f>
        <v>1 día o menos</v>
      </c>
      <c r="FR133" s="4">
        <f>_xlfn.XLOOKUP(B133,QUERY!$C:$C,QUERY!S:S)</f>
        <v>46128</v>
      </c>
      <c r="FS133" s="3">
        <f>_xlfn.XLOOKUP(B133,QUERY!$C:$C,QUERY!T:T)</f>
        <v>6</v>
      </c>
      <c r="FT133" s="3" t="str">
        <f>_xlfn.XLOOKUP(B133,QUERY!$C:$C,QUERY!U:U)</f>
        <v>6 a 10 días</v>
      </c>
      <c r="FU133" s="3">
        <f>_xlfn.XLOOKUP(B133,QUERY!$C:$C,QUERY!V:V)</f>
        <v>23</v>
      </c>
      <c r="FV133" s="3" t="str">
        <f>_xlfn.XLOOKUP(B133,QUERY!$C:$C,QUERY!W:W)</f>
        <v>más de 16 días</v>
      </c>
      <c r="FW133" s="4">
        <f>_xlfn.XLOOKUP(B133,QUERY!$C:$C,QUERY!X:X)</f>
        <v>46153</v>
      </c>
      <c r="FX133" s="3">
        <f>_xlfn.XLOOKUP(B133,QUERY!$C:$C,QUERY!Y:Y)</f>
        <v>17</v>
      </c>
      <c r="FY133" s="3">
        <f>_xlfn.XLOOKUP(B133,QUERY!$C:$C,QUERY!Z:Z)</f>
        <v>17</v>
      </c>
      <c r="FZ133" s="4" t="str">
        <f>_xlfn.XLOOKUP(B133,QUERY!$C:$C,QUERY!AA:AA)</f>
        <v>más de 16 días</v>
      </c>
      <c r="GA133" s="4">
        <f>_xlfn.XLOOKUP(B133,QUERY!$C:$C,QUERY!AB:AB)</f>
        <v>46153</v>
      </c>
      <c r="GB133" s="4">
        <f>_xlfn.XLOOKUP(B133,QUERY!$C:$C,QUERY!AC:AC)</f>
        <v>46153</v>
      </c>
      <c r="GC133" s="3">
        <f>_xlfn.XLOOKUP(B133,QUERY!$C:$C,QUERY!AD:AD)</f>
        <v>0</v>
      </c>
      <c r="GD133" s="4">
        <f>_xlfn.XLOOKUP(B133,QUERY!$C:$C,QUERY!AE:AE)</f>
        <v>46153</v>
      </c>
      <c r="GE133" s="3">
        <f>_xlfn.XLOOKUP(B133,QUERY!$C:$C,QUERY!AF:AF)</f>
        <v>1</v>
      </c>
      <c r="GF133" s="4" t="str">
        <f>_xlfn.XLOOKUP(B133,QUERY!$C:$C,QUERY!AG:AG)</f>
        <v>Es anterior</v>
      </c>
      <c r="GG133" s="3" t="str">
        <f>_xlfn.XLOOKUP(B133,QUERY!$C:$C,QUERY!AH:AH)</f>
        <v>A1</v>
      </c>
      <c r="GH133" s="3" t="str">
        <f>_xlfn.XLOOKUP(B133,QUERY!$C:$C,QUERY!AI:AI)</f>
        <v>ZULEIMA PEREZ RUIZ</v>
      </c>
      <c r="GI133" s="3" t="str">
        <f>_xlfn.XLOOKUP(B133,QUERY!$C:$C,QUERY!AJ:AJ)</f>
        <v>HLCUANR260264210</v>
      </c>
      <c r="GJ133" s="3" t="str">
        <f>_xlfn.XLOOKUP(B133,QUERY!$C:$C,QUERY!AK:AK)</f>
        <v>NULL</v>
      </c>
      <c r="GK133" s="3">
        <f>_xlfn.XLOOKUP(B133,QUERY!$C:$C,QUERY!AL:AL)</f>
        <v>6000433</v>
      </c>
      <c r="GL133" s="3" t="str">
        <f>_xlfn.XLOOKUP(B133,QUERY!$C:$C,QUERY!AM:AM)</f>
        <v>Importación</v>
      </c>
      <c r="GM133" s="3" t="str">
        <f>_xlfn.XLOOKUP(B133,QUERY!$C:$C,QUERY!AN:AN)</f>
        <v>BRAVECTO 1000 MG (MEDICAMENTO DOSIFICADO DE USO VETERINARIO)</v>
      </c>
      <c r="GN133" s="3" t="str">
        <f>_xlfn.XLOOKUP(B133,QUERY!$C:$C,QUERY!AO:AO)</f>
        <v>SIN CLASIFICACION</v>
      </c>
      <c r="GO133" s="3">
        <f>_xlfn.XLOOKUP(B133,QUERY!$C:$C,QUERY!AP:AP)</f>
        <v>0</v>
      </c>
      <c r="GP133" s="3" t="str">
        <f>_xlfn.XLOOKUP(B133,QUERY!$C:$C,QUERY!AQ:AQ)</f>
        <v>Cargas de Importación</v>
      </c>
      <c r="GQ133" s="3" t="str">
        <f>_xlfn.XLOOKUP(B133,QUERY!$C:$C,QUERY!AR:AR)</f>
        <v>INTERVET MEXICO SA DE CV</v>
      </c>
      <c r="GR133" s="3">
        <f>_xlfn.XLOOKUP(B133,QUERY!$C:$C,QUERY!AS:AS)</f>
        <v>0</v>
      </c>
      <c r="GS133" s="3" t="str">
        <f>_xlfn.XLOOKUP(B133,QUERY!$C:$C,QUERY!AT:AT)</f>
        <v>NINGUNO</v>
      </c>
      <c r="GT133" s="3">
        <f>_xlfn.XLOOKUP(B133,QUERY!$C:$C,QUERY!AU:AU)</f>
        <v>0</v>
      </c>
      <c r="GU133" s="3" t="str">
        <f>_xlfn.XLOOKUP(B133,QUERY!$C:$C,QUERY!AV:AV)</f>
        <v>NINGUNO</v>
      </c>
      <c r="GV133" s="3" t="str">
        <f>_xlfn.XLOOKUP(B133,QUERY!$C:$C,QUERY!AW:AW)</f>
        <v>PRODUCTO TERMINADO</v>
      </c>
      <c r="GW133" s="3" t="str">
        <f>_xlfn.XLOOKUP(B133,QUERY!$C:$C,QUERY!AX:AX)</f>
        <v>Rojo</v>
      </c>
      <c r="GX133" s="3" t="str">
        <f>_xlfn.XLOOKUP(B133,QUERY!$C:$C,QUERY!AY:AY)</f>
        <v xml:space="preserve"> MLH TRANSPORTE, S.A. DE C.V.</v>
      </c>
      <c r="GY133" s="3" t="str">
        <f>_xlfn.XLOOKUP(B133,QUERY!$C:$C,QUERY!AZ:AZ)</f>
        <v>TRACTOCAMION ECO 04 RED</v>
      </c>
      <c r="GZ133" s="3">
        <f>_xlfn.XLOOKUP(B133,QUERY!$C:$C,QUERY!BA:BA)</f>
        <v>0</v>
      </c>
      <c r="HA133" s="3" t="str">
        <f>_xlfn.XLOOKUP(B133,QUERY!$C:$C,QUERY!BB:BB)</f>
        <v>IME850329RH2</v>
      </c>
      <c r="HB133" s="3">
        <f>_xlfn.XLOOKUP(B133,QUERY!$C:$C,QUERY!BC:BC)</f>
        <v>0</v>
      </c>
      <c r="HC133" s="3">
        <f>_xlfn.XLOOKUP(B133,QUERY!$C:$C,QUERY!BD:BD)</f>
        <v>99</v>
      </c>
      <c r="HD133" s="3" t="str">
        <f>_xlfn.XLOOKUP(B133,QUERY!$C:$C,QUERY!BE:BE)</f>
        <v>LOTE: 25M4254C01,LOTE: 5793103,LOTE: H120A01,LOTE: H127A01</v>
      </c>
      <c r="HE133" s="3">
        <f>_xlfn.XLOOKUP(B133,QUERY!$C:$C,QUERY!BF:BF)</f>
        <v>90</v>
      </c>
      <c r="HF133" s="3" t="str">
        <f>_xlfn.XLOOKUP(B133,QUERY!$C:$C,QUERY!BG:BG)</f>
        <v xml:space="preserve"> 4935456.00, 983496.00, 1527921.57, 1473391.36</v>
      </c>
      <c r="HG133" s="3" t="str">
        <f>_xlfn.XLOOKUP(B133,QUERY!$C:$C,QUERY!BH:BH)</f>
        <v>KILO,KILO,KILO,KILO</v>
      </c>
      <c r="HH133" s="3">
        <f>_xlfn.XLOOKUP(B133,QUERY!$C:$C,QUERY!BI:BI)</f>
        <v>0</v>
      </c>
      <c r="HI133" s="3" t="str">
        <f>_xlfn.XLOOKUP(B133,QUERY!$C:$C,QUERY!BJ:BJ)</f>
        <v>ALEMANIA (REPUBLICA FEDERAL DE),AUSTRIA (REPUBLICA DE),PAISES BAJOS (REINO DE LOS) (HOLANDA)</v>
      </c>
      <c r="HJ133" s="3" t="str">
        <f>_xlfn.XLOOKUP(B133,QUERY!$C:$C,QUERY!BK:BK)</f>
        <v>PAISES BAJOS (REINO DE LOS) (HOLANDA)</v>
      </c>
      <c r="HK133" s="3" t="str">
        <f>_xlfn.XLOOKUP(B133,QUERY!$C:$C,QUERY!BL:BL)</f>
        <v>AUT,DEU,ZYA</v>
      </c>
      <c r="HL133" s="3" t="str">
        <f>_xlfn.XLOOKUP(B133,QUERY!$C:$C,QUERY!BM:BM)</f>
        <v>ZYA</v>
      </c>
      <c r="HM133" s="3">
        <f>_xlfn.XLOOKUP(B133,QUERY!$C:$C,QUERY!BN:BN)</f>
        <v>8920265</v>
      </c>
      <c r="HN133" s="3" t="str">
        <f>_xlfn.XLOOKUP(B133,QUERY!$C:$C,QUERY!BO:BO)</f>
        <v>39484.00</v>
      </c>
      <c r="HO133" s="3" t="str">
        <f>_xlfn.XLOOKUP(B133,QUERY!$C:$C,QUERY!BP:BP)</f>
        <v>NULL</v>
      </c>
      <c r="HP133" s="3" t="str">
        <f>_xlfn.XLOOKUP(B133,QUERY!$C:$C,QUERY!BQ:BQ)</f>
        <v>493546.00</v>
      </c>
      <c r="HQ133" s="3" t="str">
        <f>_xlfn.XLOOKUP(B133,QUERY!$C:$C,QUERY!BR:BR)</f>
        <v>173677.59</v>
      </c>
      <c r="HR133" s="3">
        <f>_xlfn.XLOOKUP(B133,QUERY!$C:$C,QUERY!BS:BS)</f>
        <v>0</v>
      </c>
      <c r="HS133" s="3">
        <f>_xlfn.XLOOKUP(B133,QUERY!$C:$C,QUERY!BT:BT)</f>
        <v>0</v>
      </c>
      <c r="HT133" s="3" t="str">
        <f>_xlfn.XLOOKUP(B133,QUERY!$C:$C,QUERY!A:A)</f>
        <v>VERACRUZ</v>
      </c>
      <c r="HU133" s="3" t="str">
        <f>_xlfn.XLOOKUP(B133,QUERY!$C:$C,QUERY!B:B)</f>
        <v>MARÍTIMO VERACRUZ</v>
      </c>
    </row>
    <row r="134" spans="1:229" x14ac:dyDescent="0.25">
      <c r="A134" s="3" t="s">
        <v>90</v>
      </c>
      <c r="B134" s="3" t="s">
        <v>399</v>
      </c>
      <c r="C134" s="3">
        <v>3942</v>
      </c>
      <c r="D134" s="3">
        <v>6000433</v>
      </c>
      <c r="E134" s="3"/>
      <c r="F134" s="3" t="s">
        <v>92</v>
      </c>
      <c r="G134" s="3" t="s">
        <v>93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430</v>
      </c>
      <c r="S134" s="3" t="s">
        <v>400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 t="s">
        <v>404</v>
      </c>
      <c r="AB134" s="3"/>
      <c r="AC134" s="3">
        <v>983496</v>
      </c>
      <c r="AD134" s="3">
        <v>819.58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/>
      <c r="AP134" s="3" t="s">
        <v>98</v>
      </c>
      <c r="AQ134" s="3">
        <v>210367794</v>
      </c>
      <c r="AR134" s="3" t="s">
        <v>99</v>
      </c>
      <c r="AS134" s="3" t="s">
        <v>100</v>
      </c>
      <c r="AT134" s="3">
        <v>0</v>
      </c>
      <c r="AU134" s="3">
        <v>0</v>
      </c>
      <c r="AV134" s="3">
        <v>0</v>
      </c>
      <c r="AW134" s="3">
        <v>30045099</v>
      </c>
      <c r="AX134" s="3">
        <v>99</v>
      </c>
      <c r="AY134" s="3">
        <v>1200</v>
      </c>
      <c r="AZ134" s="3">
        <v>1200</v>
      </c>
      <c r="BA134" s="3" t="s">
        <v>103</v>
      </c>
      <c r="BB134" s="3"/>
      <c r="BC134" s="3" t="s">
        <v>126</v>
      </c>
      <c r="BD134" s="3" t="s">
        <v>105</v>
      </c>
      <c r="BE134" s="3"/>
      <c r="BF134" s="3"/>
      <c r="BG134" s="5"/>
      <c r="BH134" s="3"/>
      <c r="BI134" s="3"/>
      <c r="BJ134" s="3"/>
      <c r="BK134" s="3" t="s">
        <v>405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 t="s">
        <v>192</v>
      </c>
      <c r="CF134" s="3">
        <v>0</v>
      </c>
      <c r="CG134" s="3">
        <v>0</v>
      </c>
      <c r="CH134" s="3">
        <v>0</v>
      </c>
      <c r="CI134" s="3" t="s">
        <v>112</v>
      </c>
      <c r="CJ134" s="3" t="s">
        <v>112</v>
      </c>
      <c r="CK134" s="3">
        <f>_xlfn.XLOOKUP($B$2,'BASE DE EXCEL'!C:C,'BASE DE EXCEL'!D:D,"NO HAY REFERENCIA")</f>
        <v>470</v>
      </c>
      <c r="CL134" s="5">
        <f>_xlfn.XLOOKUP($B$2,'BASE DE EXCEL'!$C:$C,'BASE DE EXCEL'!F:F,"NO HAY REFERENCIA")</f>
        <v>3</v>
      </c>
      <c r="CM134" s="4">
        <f>_xlfn.XLOOKUP($B$2,'BASE DE EXCEL'!$C:$C,'BASE DE EXCEL'!G:G,"NO HAY REFERENCIA")</f>
        <v>46080</v>
      </c>
      <c r="CN134" s="4">
        <f>_xlfn.XLOOKUP($B$2,'BASE DE EXCEL'!$C:$C,'BASE DE EXCEL'!H:H,"NO HAY REFERENCIA")</f>
        <v>46086</v>
      </c>
      <c r="CO134" s="3">
        <f>_xlfn.XLOOKUP($B$2,'BASE DE EXCEL'!$C:$C,'BASE DE EXCEL'!I:I,"NO HAY REFERENCIA")</f>
        <v>4</v>
      </c>
      <c r="CP134" s="3" t="str">
        <f>_xlfn.XLOOKUP($B$2,'BASE DE EXCEL'!$C:$C,'BASE DE EXCEL'!J:J,"NO HAY REFERENCIA")</f>
        <v>4 a 5 días</v>
      </c>
      <c r="CQ134" s="4">
        <f>_xlfn.XLOOKUP($B$2,'BASE DE EXCEL'!$C:$C,'BASE DE EXCEL'!K:K,"NO HAY REFERENCIA")</f>
        <v>46087</v>
      </c>
      <c r="CR134" s="3">
        <f>_xlfn.XLOOKUP($B$2,'BASE DE EXCEL'!$C:$C,'BASE DE EXCEL'!L:L,"NO HAY REFERENCIA")</f>
        <v>5</v>
      </c>
      <c r="CS134" s="3">
        <f>_xlfn.XLOOKUP($B$2,'BASE DE EXCEL'!$C:$C,'BASE DE EXCEL'!M:M,"NO HAY REFERENCIA")</f>
        <v>6</v>
      </c>
      <c r="CT134" s="3" t="str">
        <f>_xlfn.XLOOKUP($B$2,'BASE DE EXCEL'!$C:$C,'BASE DE EXCEL'!N:N,"NO HAY REFERENCIA")</f>
        <v>6 a 10 días</v>
      </c>
      <c r="CU134" s="3" t="str">
        <f>_xlfn.XLOOKUP($B$2,'BASE DE EXCEL'!$C:$C,'BASE DE EXCEL'!O:O,"NO HAY REFERENCIA")</f>
        <v>On Time</v>
      </c>
      <c r="CV134" s="3" t="str">
        <f>_xlfn.XLOOKUP(B134,'BASE DE EXCEL'!$C:$C,'BASE DE EXCEL'!P:P,"NO HAY REFERENCIA")</f>
        <v>6 a 10 días</v>
      </c>
      <c r="CW134" s="4">
        <f>_xlfn.XLOOKUP(B134,'BASE DE EXCEL'!$C:$C,'BASE DE EXCEL'!Q:Q,"NO HAY REFERENCIA")</f>
        <v>46128</v>
      </c>
      <c r="CX134" s="3">
        <f>_xlfn.XLOOKUP(B134,'BASE DE EXCEL'!$C:$C,'BASE DE EXCEL'!R:R,"NO HAY REFERENCIA")</f>
        <v>7</v>
      </c>
      <c r="CY134" s="3" t="str">
        <f>_xlfn.XLOOKUP(B134,'BASE DE EXCEL'!$C:$C,'BASE DE EXCEL'!S:S,"NO HAY REFERENCIA")</f>
        <v>6 a 10 días</v>
      </c>
      <c r="CZ134" s="3" t="str">
        <f>_xlfn.XLOOKUP(B134,'BASE DE EXCEL'!$C:$C,'BASE DE EXCEL'!T:T,"NO HAY REFERENCIA")</f>
        <v>Delayed</v>
      </c>
      <c r="DA134" s="3">
        <f>_xlfn.XLOOKUP(B134,'BASE DE EXCEL'!$C:$C,'BASE DE EXCEL'!U:U,"NO HAY REFERENCIA")</f>
        <v>8</v>
      </c>
      <c r="DB134" s="3" t="str">
        <f>_xlfn.XLOOKUP(B134,'BASE DE EXCEL'!$C:$C,'BASE DE EXCEL'!V:V,"NO HAY REFERENCIA")</f>
        <v>6 a 10 días</v>
      </c>
      <c r="DC134" s="3">
        <f>_xlfn.XLOOKUP(B134,'BASE DE EXCEL'!$C:$C,'BASE DE EXCEL'!W:W,"NO HAY REFERENCIA")</f>
        <v>23</v>
      </c>
      <c r="DD134" s="3" t="str">
        <f>_xlfn.XLOOKUP(B134,'BASE DE EXCEL'!$C:$C,'BASE DE EXCEL'!X:X,"NO HAY REFERENCIA")</f>
        <v>más de 16 días</v>
      </c>
      <c r="DE134" s="3">
        <f>_xlfn.XLOOKUP(B134,'BASE DE EXCEL'!$C:$C,'BASE DE EXCEL'!Y:Y,"NO HAY REFERENCIA")</f>
        <v>1</v>
      </c>
      <c r="DF134" s="3" t="str">
        <f>_xlfn.XLOOKUP(B134,'BASE DE EXCEL'!$C:$C,'BASE DE EXCEL'!Z:Z,"NO HAY REFERENCIA")</f>
        <v>1 día o menos</v>
      </c>
      <c r="DG134" s="3">
        <f>_xlfn.XLOOKUP(B134,'BASE DE EXCEL'!$C:$C,'BASE DE EXCEL'!AA:AA,"NO HAY REFERENCIA")</f>
        <v>6</v>
      </c>
      <c r="DH134" s="3">
        <f>_xlfn.XLOOKUP(B134,'BASE DE EXCEL'!$C:$C,'BASE DE EXCEL'!AB:AB,"NO HAY REFERENCIA")</f>
        <v>1</v>
      </c>
      <c r="DI134" s="3" t="str">
        <f>_xlfn.XLOOKUP(B134,'BASE DE EXCEL'!$C:$C,'BASE DE EXCEL'!AC:AC,"NO HAY REFERENCIA")</f>
        <v>1 día o menos</v>
      </c>
      <c r="DJ134" s="4">
        <f>_xlfn.XLOOKUP(B134,'BASE DE EXCEL'!$C:$C,'BASE DE EXCEL'!AD:AD,"NO HAY REFERENCIA")</f>
        <v>46153</v>
      </c>
      <c r="DK134" s="3">
        <f>_xlfn.XLOOKUP(B134,'BASE DE EXCEL'!$C:$C,'BASE DE EXCEL'!AE:AE,"NO HAY REFERENCIA")</f>
        <v>25</v>
      </c>
      <c r="DL134" s="3">
        <f>_xlfn.XLOOKUP(B134,'BASE DE EXCEL'!$C:$C,'BASE DE EXCEL'!AF:AF,"NO HAY REFERENCIA")</f>
        <v>17</v>
      </c>
      <c r="DM134" s="4">
        <f>_xlfn.XLOOKUP(B134,'BASE DE EXCEL'!$C:$C,'BASE DE EXCEL'!AG:AG,"NO HAY REFERENCIA")</f>
        <v>46153</v>
      </c>
      <c r="DN134" s="4">
        <f>_xlfn.XLOOKUP(B134,'BASE DE EXCEL'!$C:$C,'BASE DE EXCEL'!AH:AH,"NO HAY REFERENCIA")</f>
        <v>46153</v>
      </c>
      <c r="DO134" s="3">
        <f>_xlfn.XLOOKUP(B134,'BASE DE EXCEL'!$C:$C,'BASE DE EXCEL'!AI:AI,"NO HAY REFERENCIA")</f>
        <v>0</v>
      </c>
      <c r="DP134" s="4" t="str">
        <f>_xlfn.XLOOKUP(B134,'BASE DE EXCEL'!$C:$C,'BASE DE EXCEL'!AJ:AJ,"NO HAY REFERENCIA")</f>
        <v>más de 16 días</v>
      </c>
      <c r="DQ134" s="4">
        <f>_xlfn.XLOOKUP(B134,'BASE DE EXCEL'!$C:$C,'BASE DE EXCEL'!AK:AK,"NO HAY REFERENCIA")</f>
        <v>46153</v>
      </c>
      <c r="DR134" s="3">
        <f>_xlfn.XLOOKUP(B134,'BASE DE EXCEL'!$C:$C,'BASE DE EXCEL'!AL:AL,"NO HAY REFERENCIA")</f>
        <v>17</v>
      </c>
      <c r="DS134" s="3" t="str">
        <f>_xlfn.XLOOKUP(B134,'BASE DE EXCEL'!$C:$C,'BASE DE EXCEL'!AM:AM,"NO HAY REFERENCIA")</f>
        <v>más de 16 días</v>
      </c>
      <c r="DT134" s="3" t="str">
        <f>_xlfn.XLOOKUP(B134,'BASE DE EXCEL'!$C:$C,'BASE DE EXCEL'!AN:AN,"NO HAY REFERENCIA")</f>
        <v>Delayed</v>
      </c>
      <c r="DU134" s="3">
        <f>_xlfn.XLOOKUP(B134,'BASE DE EXCEL'!$C:$C,'BASE DE EXCEL'!AO:AO,"NO HAY REFERENCIA")</f>
        <v>1</v>
      </c>
      <c r="DV134" s="3" t="str">
        <f>_xlfn.XLOOKUP(B134,'BASE DE EXCEL'!$C:$C,'BASE DE EXCEL'!AP:AP,"NO HAY REFERENCIA")</f>
        <v>Es anterior</v>
      </c>
      <c r="DW134" s="3" t="str">
        <f>_xlfn.XLOOKUP(B134,'BASE DE EXCEL'!$C:$C,'BASE DE EXCEL'!AQ:AQ,"NO HAY REFERENCIA")</f>
        <v>A1</v>
      </c>
      <c r="DX134" s="3" t="str">
        <f>_xlfn.XLOOKUP(B134,'BASE DE EXCEL'!$C:$C,'BASE DE EXCEL'!AR:AR,"NO HAY REFERENCIA")</f>
        <v>ZULEIMA PEREZ RUIZ</v>
      </c>
      <c r="DY134" s="3" t="str">
        <f>_xlfn.XLOOKUP(B134,'BASE DE EXCEL'!$C:$C,'BASE DE EXCEL'!AS:AS,"NO HAY REFERENCIA")</f>
        <v>HLCUANR260264210</v>
      </c>
      <c r="DZ134" s="3" t="str">
        <f>_xlfn.XLOOKUP(B134,'BASE DE EXCEL'!$C:$C,'BASE DE EXCEL'!AT:AT,"NO HAY REFERENCIA")</f>
        <v>NULL</v>
      </c>
      <c r="EA134" s="3">
        <f>_xlfn.XLOOKUP(B134,'BASE DE EXCEL'!$C:$C,'BASE DE EXCEL'!AU:AU,"NO HAY REFERENCIA")</f>
        <v>6000433</v>
      </c>
      <c r="EB134" s="3" t="str">
        <f>_xlfn.XLOOKUP(B134,'BASE DE EXCEL'!$C:$C,'BASE DE EXCEL'!AV:AV,"NO HAY REFERENCIA")</f>
        <v>Importación</v>
      </c>
      <c r="EC134" s="3" t="str">
        <f>_xlfn.XLOOKUP(B134,'BASE DE EXCEL'!$C:$C,'BASE DE EXCEL'!AW:AW,"NO HAY REFERENCIA")</f>
        <v>BRAVECTO 1000 MG (MEDICAMENTO DOSIFICADO DE USO VETERINARIO)</v>
      </c>
      <c r="ED134" s="3" t="str">
        <f>_xlfn.XLOOKUP(B134,'BASE DE EXCEL'!$C:$C,'BASE DE EXCEL'!AX:AX,"NO HAY REFERENCIA")</f>
        <v>SIN CLASIFICACION</v>
      </c>
      <c r="EE134" s="3">
        <f>_xlfn.XLOOKUP(B134,'BASE DE EXCEL'!$C:$C,'BASE DE EXCEL'!AY:AY,"NO HAY REFERENCIA")</f>
        <v>0</v>
      </c>
      <c r="EF134" s="3" t="str">
        <f>_xlfn.XLOOKUP(B134,'BASE DE EXCEL'!$C:$C,'BASE DE EXCEL'!AZ:AZ,"NO HAY REFERENCIA")</f>
        <v>Cargas de Importación</v>
      </c>
      <c r="EG134" s="3" t="str">
        <f>_xlfn.XLOOKUP(B134,'BASE DE EXCEL'!$C:$C,'BASE DE EXCEL'!BA:BA,"NO HAY REFERENCIA")</f>
        <v>INTERVET MEXICO SA DE CV</v>
      </c>
      <c r="EH134" s="3">
        <f>_xlfn.XLOOKUP(B134,'BASE DE EXCEL'!$C:$C,'BASE DE EXCEL'!BB:BB,"NO HAY REFERENCIA")</f>
        <v>0</v>
      </c>
      <c r="EI134" s="3" t="str">
        <f>_xlfn.XLOOKUP(B134,'BASE DE EXCEL'!$C:$C,'BASE DE EXCEL'!BC:BC,"NO HAY REFERENCIA")</f>
        <v>NINGUNO</v>
      </c>
      <c r="EJ134" s="3">
        <f>_xlfn.XLOOKUP(B134,'BASE DE EXCEL'!$C:$C,'BASE DE EXCEL'!BD:BD,"NO HAY REFERENCIA")</f>
        <v>0</v>
      </c>
      <c r="EK134" s="3" t="str">
        <f>_xlfn.XLOOKUP(B134,'BASE DE EXCEL'!$C:$C,'BASE DE EXCEL'!BE:BE,"NO HAY REFERENCIA")</f>
        <v>NINGUNO</v>
      </c>
      <c r="EL134" s="3" t="str">
        <f>_xlfn.XLOOKUP(B134,'BASE DE EXCEL'!$C:$C,'BASE DE EXCEL'!BF:BF,"NO HAY REFERENCIA")</f>
        <v>PRODUCTO TERMINADO</v>
      </c>
      <c r="EM134" s="3" t="str">
        <f>_xlfn.XLOOKUP(B134,'BASE DE EXCEL'!$C:$C,'BASE DE EXCEL'!BG:BG,"NO HAY REFERENCIA")</f>
        <v>Rojo</v>
      </c>
      <c r="EN134" s="3" t="str">
        <f>_xlfn.XLOOKUP(B134,'BASE DE EXCEL'!$C:$C,'BASE DE EXCEL'!BH:BH,"NO HAY REFERENCIA")</f>
        <v xml:space="preserve"> MLH TRANSPORTE, S.A. DE C.V.</v>
      </c>
      <c r="EO134" s="3" t="str">
        <f>_xlfn.XLOOKUP(B134,'BASE DE EXCEL'!$C:$C,'BASE DE EXCEL'!BI:BI,"NO HAY REFERENCIA")</f>
        <v>TRACTOCAMION ECO 04 RED</v>
      </c>
      <c r="EP134" s="3">
        <f>_xlfn.XLOOKUP(B134,'BASE DE EXCEL'!$C:$C,'BASE DE EXCEL'!BJ:BJ,"NO HAY REFERENCIA")</f>
        <v>0</v>
      </c>
      <c r="EQ134" s="3" t="str">
        <f>_xlfn.XLOOKUP(B134,'BASE DE EXCEL'!$C:$C,'BASE DE EXCEL'!BK:BK,"NO HAY REFERENCIA")</f>
        <v>IME850329RH2</v>
      </c>
      <c r="ER134" s="3">
        <f>_xlfn.XLOOKUP(B134,'BASE DE EXCEL'!$C:$C,'BASE DE EXCEL'!BL:BL,"NO HAY REFERENCIA")</f>
        <v>0</v>
      </c>
      <c r="ES134" s="3">
        <f>_xlfn.XLOOKUP(B134,'BASE DE EXCEL'!$C:$C,'BASE DE EXCEL'!BM:BM,"NO HAY REFERENCIA")</f>
        <v>99</v>
      </c>
      <c r="ET134" s="3" t="str">
        <f>_xlfn.XLOOKUP(B134,'BASE DE EXCEL'!$C:$C,'BASE DE EXCEL'!BN:BN,"NO HAY REFERENCIA")</f>
        <v>LOTE: 25M4254C01,LOTE: 5793103,LOTE: H120A01,LOTE: H127A01</v>
      </c>
      <c r="EU134" s="3">
        <f>_xlfn.XLOOKUP(B134,'BASE DE EXCEL'!$C:$C,'BASE DE EXCEL'!BO:BO,"NO HAY REFERENCIA")</f>
        <v>90</v>
      </c>
      <c r="EV134" s="3" t="str">
        <f>_xlfn.XLOOKUP(B134,'BASE DE EXCEL'!$C:$C,'BASE DE EXCEL'!BP:BP,"NO HAY REFERENCIA")</f>
        <v xml:space="preserve"> 4935456.00, 983496.00, 1527921.57, 1473391.36</v>
      </c>
      <c r="EW134" s="3" t="str">
        <f>_xlfn.XLOOKUP(B134,'BASE DE EXCEL'!$C:$C,'BASE DE EXCEL'!BQ:BQ,"NO HAY REFERENCIA")</f>
        <v>KILO,KILO,KILO,KILO</v>
      </c>
      <c r="EX134" s="3">
        <f>_xlfn.XLOOKUP(B134,'BASE DE EXCEL'!$C:$C,'BASE DE EXCEL'!BR:BR,"NO HAY REFERENCIA")</f>
        <v>0</v>
      </c>
      <c r="EY134" s="3" t="str">
        <f>_xlfn.XLOOKUP(B134,'BASE DE EXCEL'!$C:$C,'BASE DE EXCEL'!BS:BS,"NO HAY REFERENCIA")</f>
        <v>ALEMANIA (REPUBLICA FEDERAL DE),AUSTRIA (REPUBLICA DE),PAISES BAJOS (REINO DE LOS) (HOLANDA)</v>
      </c>
      <c r="EZ134" s="3" t="str">
        <f>_xlfn.XLOOKUP(B134,'BASE DE EXCEL'!$C:$C,'BASE DE EXCEL'!BT:BT,"NO HAY REFERENCIA")</f>
        <v>PAISES BAJOS (REINO DE LOS) (HOLANDA)</v>
      </c>
      <c r="FA134" s="3" t="str">
        <f>_xlfn.XLOOKUP(B134,'BASE DE EXCEL'!$C:$C,'BASE DE EXCEL'!BU:BU,"NO HAY REFERENCIA")</f>
        <v>AUT,DEU,ZYA</v>
      </c>
      <c r="FB134" s="3" t="str">
        <f>_xlfn.XLOOKUP(B134,'BASE DE EXCEL'!$C:$C,'BASE DE EXCEL'!BV:BV,"NO HAY REFERENCIA")</f>
        <v>ZYA</v>
      </c>
      <c r="FC134" s="3">
        <f>_xlfn.XLOOKUP(B134,QUERY!$C:$C,QUERY!D:D)</f>
        <v>430</v>
      </c>
      <c r="FD134" s="4">
        <f>_xlfn.XLOOKUP(B134,QUERY!$C:$C,QUERY!E:E)</f>
        <v>46126</v>
      </c>
      <c r="FE134" s="3">
        <f>_xlfn.XLOOKUP(B134,QUERY!$C:$C,QUERY!F:F)</f>
        <v>4</v>
      </c>
      <c r="FF134" s="4">
        <f>_xlfn.XLOOKUP(B134,QUERY!$C:$C,QUERY!G:G)</f>
        <v>46120</v>
      </c>
      <c r="FG134" s="4">
        <f>_xlfn.XLOOKUP(B134,QUERY!$C:$C,QUERY!H:H)</f>
        <v>46126</v>
      </c>
      <c r="FH134" s="3">
        <f>_xlfn.XLOOKUP(B134,QUERY!$C:$C,QUERY!I:I)</f>
        <v>4</v>
      </c>
      <c r="FI134" s="3" t="str">
        <f>_xlfn.XLOOKUP(B134,QUERY!$C:$C,QUERY!J:J)</f>
        <v>4 a 5 días</v>
      </c>
      <c r="FJ134" s="4">
        <f>_xlfn.XLOOKUP(B134,QUERY!$C:$C,QUERY!K:K)</f>
        <v>46127</v>
      </c>
      <c r="FK134" s="3">
        <f>_xlfn.XLOOKUP(B134,QUERY!$C:$C,QUERY!L:L)</f>
        <v>5</v>
      </c>
      <c r="FL134" s="3" t="str">
        <f>_xlfn.XLOOKUP(B134,QUERY!$C:$C,QUERY!M:M)</f>
        <v>4 a 5 días</v>
      </c>
      <c r="FM134" s="3">
        <f>_xlfn.XLOOKUP(B134,QUERY!$C:$C,QUERY!N:N)</f>
        <v>1</v>
      </c>
      <c r="FN134" s="3" t="str">
        <f>_xlfn.XLOOKUP(B134,QUERY!$C:$C,QUERY!O:O)</f>
        <v>1 día o menos</v>
      </c>
      <c r="FO134" s="3">
        <f>_xlfn.XLOOKUP(B134,QUERY!$C:$C,QUERY!P:P)</f>
        <v>1</v>
      </c>
      <c r="FP134" s="3">
        <f>_xlfn.XLOOKUP(B134,QUERY!$C:$C,QUERY!Q:Q)</f>
        <v>1</v>
      </c>
      <c r="FQ134" s="3" t="str">
        <f>_xlfn.XLOOKUP(B134,QUERY!$C:$C,QUERY!R:R)</f>
        <v>1 día o menos</v>
      </c>
      <c r="FR134" s="4">
        <f>_xlfn.XLOOKUP(B134,QUERY!$C:$C,QUERY!S:S)</f>
        <v>46128</v>
      </c>
      <c r="FS134" s="3">
        <f>_xlfn.XLOOKUP(B134,QUERY!$C:$C,QUERY!T:T)</f>
        <v>6</v>
      </c>
      <c r="FT134" s="3" t="str">
        <f>_xlfn.XLOOKUP(B134,QUERY!$C:$C,QUERY!U:U)</f>
        <v>6 a 10 días</v>
      </c>
      <c r="FU134" s="3">
        <f>_xlfn.XLOOKUP(B134,QUERY!$C:$C,QUERY!V:V)</f>
        <v>23</v>
      </c>
      <c r="FV134" s="3" t="str">
        <f>_xlfn.XLOOKUP(B134,QUERY!$C:$C,QUERY!W:W)</f>
        <v>más de 16 días</v>
      </c>
      <c r="FW134" s="4">
        <f>_xlfn.XLOOKUP(B134,QUERY!$C:$C,QUERY!X:X)</f>
        <v>46153</v>
      </c>
      <c r="FX134" s="3">
        <f>_xlfn.XLOOKUP(B134,QUERY!$C:$C,QUERY!Y:Y)</f>
        <v>17</v>
      </c>
      <c r="FY134" s="3">
        <f>_xlfn.XLOOKUP(B134,QUERY!$C:$C,QUERY!Z:Z)</f>
        <v>17</v>
      </c>
      <c r="FZ134" s="4" t="str">
        <f>_xlfn.XLOOKUP(B134,QUERY!$C:$C,QUERY!AA:AA)</f>
        <v>más de 16 días</v>
      </c>
      <c r="GA134" s="4">
        <f>_xlfn.XLOOKUP(B134,QUERY!$C:$C,QUERY!AB:AB)</f>
        <v>46153</v>
      </c>
      <c r="GB134" s="4">
        <f>_xlfn.XLOOKUP(B134,QUERY!$C:$C,QUERY!AC:AC)</f>
        <v>46153</v>
      </c>
      <c r="GC134" s="3">
        <f>_xlfn.XLOOKUP(B134,QUERY!$C:$C,QUERY!AD:AD)</f>
        <v>0</v>
      </c>
      <c r="GD134" s="4">
        <f>_xlfn.XLOOKUP(B134,QUERY!$C:$C,QUERY!AE:AE)</f>
        <v>46153</v>
      </c>
      <c r="GE134" s="3">
        <f>_xlfn.XLOOKUP(B134,QUERY!$C:$C,QUERY!AF:AF)</f>
        <v>1</v>
      </c>
      <c r="GF134" s="4" t="str">
        <f>_xlfn.XLOOKUP(B134,QUERY!$C:$C,QUERY!AG:AG)</f>
        <v>Es anterior</v>
      </c>
      <c r="GG134" s="3" t="str">
        <f>_xlfn.XLOOKUP(B134,QUERY!$C:$C,QUERY!AH:AH)</f>
        <v>A1</v>
      </c>
      <c r="GH134" s="3" t="str">
        <f>_xlfn.XLOOKUP(B134,QUERY!$C:$C,QUERY!AI:AI)</f>
        <v>ZULEIMA PEREZ RUIZ</v>
      </c>
      <c r="GI134" s="3" t="str">
        <f>_xlfn.XLOOKUP(B134,QUERY!$C:$C,QUERY!AJ:AJ)</f>
        <v>HLCUANR260264210</v>
      </c>
      <c r="GJ134" s="3" t="str">
        <f>_xlfn.XLOOKUP(B134,QUERY!$C:$C,QUERY!AK:AK)</f>
        <v>NULL</v>
      </c>
      <c r="GK134" s="3">
        <f>_xlfn.XLOOKUP(B134,QUERY!$C:$C,QUERY!AL:AL)</f>
        <v>6000433</v>
      </c>
      <c r="GL134" s="3" t="str">
        <f>_xlfn.XLOOKUP(B134,QUERY!$C:$C,QUERY!AM:AM)</f>
        <v>Importación</v>
      </c>
      <c r="GM134" s="3" t="str">
        <f>_xlfn.XLOOKUP(B134,QUERY!$C:$C,QUERY!AN:AN)</f>
        <v>BRAVECTO 1000 MG (MEDICAMENTO DOSIFICADO DE USO VETERINARIO)</v>
      </c>
      <c r="GN134" s="3" t="str">
        <f>_xlfn.XLOOKUP(B134,QUERY!$C:$C,QUERY!AO:AO)</f>
        <v>SIN CLASIFICACION</v>
      </c>
      <c r="GO134" s="3">
        <f>_xlfn.XLOOKUP(B134,QUERY!$C:$C,QUERY!AP:AP)</f>
        <v>0</v>
      </c>
      <c r="GP134" s="3" t="str">
        <f>_xlfn.XLOOKUP(B134,QUERY!$C:$C,QUERY!AQ:AQ)</f>
        <v>Cargas de Importación</v>
      </c>
      <c r="GQ134" s="3" t="str">
        <f>_xlfn.XLOOKUP(B134,QUERY!$C:$C,QUERY!AR:AR)</f>
        <v>INTERVET MEXICO SA DE CV</v>
      </c>
      <c r="GR134" s="3">
        <f>_xlfn.XLOOKUP(B134,QUERY!$C:$C,QUERY!AS:AS)</f>
        <v>0</v>
      </c>
      <c r="GS134" s="3" t="str">
        <f>_xlfn.XLOOKUP(B134,QUERY!$C:$C,QUERY!AT:AT)</f>
        <v>NINGUNO</v>
      </c>
      <c r="GT134" s="3">
        <f>_xlfn.XLOOKUP(B134,QUERY!$C:$C,QUERY!AU:AU)</f>
        <v>0</v>
      </c>
      <c r="GU134" s="3" t="str">
        <f>_xlfn.XLOOKUP(B134,QUERY!$C:$C,QUERY!AV:AV)</f>
        <v>NINGUNO</v>
      </c>
      <c r="GV134" s="3" t="str">
        <f>_xlfn.XLOOKUP(B134,QUERY!$C:$C,QUERY!AW:AW)</f>
        <v>PRODUCTO TERMINADO</v>
      </c>
      <c r="GW134" s="3" t="str">
        <f>_xlfn.XLOOKUP(B134,QUERY!$C:$C,QUERY!AX:AX)</f>
        <v>Rojo</v>
      </c>
      <c r="GX134" s="3" t="str">
        <f>_xlfn.XLOOKUP(B134,QUERY!$C:$C,QUERY!AY:AY)</f>
        <v xml:space="preserve"> MLH TRANSPORTE, S.A. DE C.V.</v>
      </c>
      <c r="GY134" s="3" t="str">
        <f>_xlfn.XLOOKUP(B134,QUERY!$C:$C,QUERY!AZ:AZ)</f>
        <v>TRACTOCAMION ECO 04 RED</v>
      </c>
      <c r="GZ134" s="3">
        <f>_xlfn.XLOOKUP(B134,QUERY!$C:$C,QUERY!BA:BA)</f>
        <v>0</v>
      </c>
      <c r="HA134" s="3" t="str">
        <f>_xlfn.XLOOKUP(B134,QUERY!$C:$C,QUERY!BB:BB)</f>
        <v>IME850329RH2</v>
      </c>
      <c r="HB134" s="3">
        <f>_xlfn.XLOOKUP(B134,QUERY!$C:$C,QUERY!BC:BC)</f>
        <v>0</v>
      </c>
      <c r="HC134" s="3">
        <f>_xlfn.XLOOKUP(B134,QUERY!$C:$C,QUERY!BD:BD)</f>
        <v>99</v>
      </c>
      <c r="HD134" s="3" t="str">
        <f>_xlfn.XLOOKUP(B134,QUERY!$C:$C,QUERY!BE:BE)</f>
        <v>LOTE: 25M4254C01,LOTE: 5793103,LOTE: H120A01,LOTE: H127A01</v>
      </c>
      <c r="HE134" s="3">
        <f>_xlfn.XLOOKUP(B134,QUERY!$C:$C,QUERY!BF:BF)</f>
        <v>90</v>
      </c>
      <c r="HF134" s="3" t="str">
        <f>_xlfn.XLOOKUP(B134,QUERY!$C:$C,QUERY!BG:BG)</f>
        <v xml:space="preserve"> 4935456.00, 983496.00, 1527921.57, 1473391.36</v>
      </c>
      <c r="HG134" s="3" t="str">
        <f>_xlfn.XLOOKUP(B134,QUERY!$C:$C,QUERY!BH:BH)</f>
        <v>KILO,KILO,KILO,KILO</v>
      </c>
      <c r="HH134" s="3">
        <f>_xlfn.XLOOKUP(B134,QUERY!$C:$C,QUERY!BI:BI)</f>
        <v>0</v>
      </c>
      <c r="HI134" s="3" t="str">
        <f>_xlfn.XLOOKUP(B134,QUERY!$C:$C,QUERY!BJ:BJ)</f>
        <v>ALEMANIA (REPUBLICA FEDERAL DE),AUSTRIA (REPUBLICA DE),PAISES BAJOS (REINO DE LOS) (HOLANDA)</v>
      </c>
      <c r="HJ134" s="3" t="str">
        <f>_xlfn.XLOOKUP(B134,QUERY!$C:$C,QUERY!BK:BK)</f>
        <v>PAISES BAJOS (REINO DE LOS) (HOLANDA)</v>
      </c>
      <c r="HK134" s="3" t="str">
        <f>_xlfn.XLOOKUP(B134,QUERY!$C:$C,QUERY!BL:BL)</f>
        <v>AUT,DEU,ZYA</v>
      </c>
      <c r="HL134" s="3" t="str">
        <f>_xlfn.XLOOKUP(B134,QUERY!$C:$C,QUERY!BM:BM)</f>
        <v>ZYA</v>
      </c>
      <c r="HM134" s="3">
        <f>_xlfn.XLOOKUP(B134,QUERY!$C:$C,QUERY!BN:BN)</f>
        <v>8920265</v>
      </c>
      <c r="HN134" s="3" t="str">
        <f>_xlfn.XLOOKUP(B134,QUERY!$C:$C,QUERY!BO:BO)</f>
        <v>39484.00</v>
      </c>
      <c r="HO134" s="3" t="str">
        <f>_xlfn.XLOOKUP(B134,QUERY!$C:$C,QUERY!BP:BP)</f>
        <v>NULL</v>
      </c>
      <c r="HP134" s="3" t="str">
        <f>_xlfn.XLOOKUP(B134,QUERY!$C:$C,QUERY!BQ:BQ)</f>
        <v>493546.00</v>
      </c>
      <c r="HQ134" s="3" t="str">
        <f>_xlfn.XLOOKUP(B134,QUERY!$C:$C,QUERY!BR:BR)</f>
        <v>173677.59</v>
      </c>
      <c r="HR134" s="3">
        <f>_xlfn.XLOOKUP(B134,QUERY!$C:$C,QUERY!BS:BS)</f>
        <v>0</v>
      </c>
      <c r="HS134" s="3">
        <f>_xlfn.XLOOKUP(B134,QUERY!$C:$C,QUERY!BT:BT)</f>
        <v>0</v>
      </c>
      <c r="HT134" s="3" t="str">
        <f>_xlfn.XLOOKUP(B134,QUERY!$C:$C,QUERY!A:A)</f>
        <v>VERACRUZ</v>
      </c>
      <c r="HU134" s="3" t="str">
        <f>_xlfn.XLOOKUP(B134,QUERY!$C:$C,QUERY!B:B)</f>
        <v>MARÍTIMO VERACRUZ</v>
      </c>
    </row>
    <row r="135" spans="1:229" x14ac:dyDescent="0.25">
      <c r="A135" s="3" t="s">
        <v>90</v>
      </c>
      <c r="B135" s="3" t="s">
        <v>399</v>
      </c>
      <c r="C135" s="3">
        <v>3942</v>
      </c>
      <c r="D135" s="3">
        <v>6000433</v>
      </c>
      <c r="E135" s="3"/>
      <c r="F135" s="3" t="s">
        <v>92</v>
      </c>
      <c r="G135" s="3" t="s">
        <v>93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430</v>
      </c>
      <c r="S135" s="3" t="s">
        <v>400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 t="s">
        <v>123</v>
      </c>
      <c r="AB135" s="3"/>
      <c r="AC135" s="3">
        <v>1527922</v>
      </c>
      <c r="AD135" s="3">
        <v>706.39020000000005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/>
      <c r="AP135" s="3" t="s">
        <v>98</v>
      </c>
      <c r="AQ135" s="3">
        <v>210368335</v>
      </c>
      <c r="AR135" s="3" t="s">
        <v>99</v>
      </c>
      <c r="AS135" s="3" t="s">
        <v>100</v>
      </c>
      <c r="AT135" s="3">
        <v>0</v>
      </c>
      <c r="AU135" s="3">
        <v>0</v>
      </c>
      <c r="AV135" s="3">
        <v>0</v>
      </c>
      <c r="AW135" s="3">
        <v>30049099</v>
      </c>
      <c r="AX135" s="3">
        <v>99</v>
      </c>
      <c r="AY135" s="3">
        <v>2163</v>
      </c>
      <c r="AZ135" s="3">
        <v>2163</v>
      </c>
      <c r="BA135" s="3" t="s">
        <v>121</v>
      </c>
      <c r="BB135" s="3"/>
      <c r="BC135" s="3" t="s">
        <v>105</v>
      </c>
      <c r="BD135" s="3" t="s">
        <v>105</v>
      </c>
      <c r="BE135" s="3"/>
      <c r="BF135" s="3"/>
      <c r="BG135" s="5"/>
      <c r="BH135" s="3"/>
      <c r="BI135" s="3"/>
      <c r="BJ135" s="3"/>
      <c r="BK135" s="3" t="s">
        <v>406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 t="s">
        <v>192</v>
      </c>
      <c r="CF135" s="3">
        <v>0</v>
      </c>
      <c r="CG135" s="3">
        <v>0</v>
      </c>
      <c r="CH135" s="3">
        <v>0</v>
      </c>
      <c r="CI135" s="3" t="s">
        <v>112</v>
      </c>
      <c r="CJ135" s="3" t="s">
        <v>112</v>
      </c>
      <c r="CK135" s="3">
        <f>_xlfn.XLOOKUP($B$2,'BASE DE EXCEL'!C:C,'BASE DE EXCEL'!D:D,"NO HAY REFERENCIA")</f>
        <v>470</v>
      </c>
      <c r="CL135" s="5">
        <f>_xlfn.XLOOKUP($B$2,'BASE DE EXCEL'!$C:$C,'BASE DE EXCEL'!F:F,"NO HAY REFERENCIA")</f>
        <v>3</v>
      </c>
      <c r="CM135" s="4">
        <f>_xlfn.XLOOKUP($B$2,'BASE DE EXCEL'!$C:$C,'BASE DE EXCEL'!G:G,"NO HAY REFERENCIA")</f>
        <v>46080</v>
      </c>
      <c r="CN135" s="4">
        <f>_xlfn.XLOOKUP($B$2,'BASE DE EXCEL'!$C:$C,'BASE DE EXCEL'!H:H,"NO HAY REFERENCIA")</f>
        <v>46086</v>
      </c>
      <c r="CO135" s="3">
        <f>_xlfn.XLOOKUP($B$2,'BASE DE EXCEL'!$C:$C,'BASE DE EXCEL'!I:I,"NO HAY REFERENCIA")</f>
        <v>4</v>
      </c>
      <c r="CP135" s="3" t="str">
        <f>_xlfn.XLOOKUP($B$2,'BASE DE EXCEL'!$C:$C,'BASE DE EXCEL'!J:J,"NO HAY REFERENCIA")</f>
        <v>4 a 5 días</v>
      </c>
      <c r="CQ135" s="4">
        <f>_xlfn.XLOOKUP($B$2,'BASE DE EXCEL'!$C:$C,'BASE DE EXCEL'!K:K,"NO HAY REFERENCIA")</f>
        <v>46087</v>
      </c>
      <c r="CR135" s="3">
        <f>_xlfn.XLOOKUP($B$2,'BASE DE EXCEL'!$C:$C,'BASE DE EXCEL'!L:L,"NO HAY REFERENCIA")</f>
        <v>5</v>
      </c>
      <c r="CS135" s="3">
        <f>_xlfn.XLOOKUP($B$2,'BASE DE EXCEL'!$C:$C,'BASE DE EXCEL'!M:M,"NO HAY REFERENCIA")</f>
        <v>6</v>
      </c>
      <c r="CT135" s="3" t="str">
        <f>_xlfn.XLOOKUP($B$2,'BASE DE EXCEL'!$C:$C,'BASE DE EXCEL'!N:N,"NO HAY REFERENCIA")</f>
        <v>6 a 10 días</v>
      </c>
      <c r="CU135" s="3" t="str">
        <f>_xlfn.XLOOKUP($B$2,'BASE DE EXCEL'!$C:$C,'BASE DE EXCEL'!O:O,"NO HAY REFERENCIA")</f>
        <v>On Time</v>
      </c>
      <c r="CV135" s="3" t="str">
        <f>_xlfn.XLOOKUP(B135,'BASE DE EXCEL'!$C:$C,'BASE DE EXCEL'!P:P,"NO HAY REFERENCIA")</f>
        <v>6 a 10 días</v>
      </c>
      <c r="CW135" s="4">
        <f>_xlfn.XLOOKUP(B135,'BASE DE EXCEL'!$C:$C,'BASE DE EXCEL'!Q:Q,"NO HAY REFERENCIA")</f>
        <v>46128</v>
      </c>
      <c r="CX135" s="3">
        <f>_xlfn.XLOOKUP(B135,'BASE DE EXCEL'!$C:$C,'BASE DE EXCEL'!R:R,"NO HAY REFERENCIA")</f>
        <v>7</v>
      </c>
      <c r="CY135" s="3" t="str">
        <f>_xlfn.XLOOKUP(B135,'BASE DE EXCEL'!$C:$C,'BASE DE EXCEL'!S:S,"NO HAY REFERENCIA")</f>
        <v>6 a 10 días</v>
      </c>
      <c r="CZ135" s="3" t="str">
        <f>_xlfn.XLOOKUP(B135,'BASE DE EXCEL'!$C:$C,'BASE DE EXCEL'!T:T,"NO HAY REFERENCIA")</f>
        <v>Delayed</v>
      </c>
      <c r="DA135" s="3">
        <f>_xlfn.XLOOKUP(B135,'BASE DE EXCEL'!$C:$C,'BASE DE EXCEL'!U:U,"NO HAY REFERENCIA")</f>
        <v>8</v>
      </c>
      <c r="DB135" s="3" t="str">
        <f>_xlfn.XLOOKUP(B135,'BASE DE EXCEL'!$C:$C,'BASE DE EXCEL'!V:V,"NO HAY REFERENCIA")</f>
        <v>6 a 10 días</v>
      </c>
      <c r="DC135" s="3">
        <f>_xlfn.XLOOKUP(B135,'BASE DE EXCEL'!$C:$C,'BASE DE EXCEL'!W:W,"NO HAY REFERENCIA")</f>
        <v>23</v>
      </c>
      <c r="DD135" s="3" t="str">
        <f>_xlfn.XLOOKUP(B135,'BASE DE EXCEL'!$C:$C,'BASE DE EXCEL'!X:X,"NO HAY REFERENCIA")</f>
        <v>más de 16 días</v>
      </c>
      <c r="DE135" s="3">
        <f>_xlfn.XLOOKUP(B135,'BASE DE EXCEL'!$C:$C,'BASE DE EXCEL'!Y:Y,"NO HAY REFERENCIA")</f>
        <v>1</v>
      </c>
      <c r="DF135" s="3" t="str">
        <f>_xlfn.XLOOKUP(B135,'BASE DE EXCEL'!$C:$C,'BASE DE EXCEL'!Z:Z,"NO HAY REFERENCIA")</f>
        <v>1 día o menos</v>
      </c>
      <c r="DG135" s="3">
        <f>_xlfn.XLOOKUP(B135,'BASE DE EXCEL'!$C:$C,'BASE DE EXCEL'!AA:AA,"NO HAY REFERENCIA")</f>
        <v>6</v>
      </c>
      <c r="DH135" s="3">
        <f>_xlfn.XLOOKUP(B135,'BASE DE EXCEL'!$C:$C,'BASE DE EXCEL'!AB:AB,"NO HAY REFERENCIA")</f>
        <v>1</v>
      </c>
      <c r="DI135" s="3" t="str">
        <f>_xlfn.XLOOKUP(B135,'BASE DE EXCEL'!$C:$C,'BASE DE EXCEL'!AC:AC,"NO HAY REFERENCIA")</f>
        <v>1 día o menos</v>
      </c>
      <c r="DJ135" s="4">
        <f>_xlfn.XLOOKUP(B135,'BASE DE EXCEL'!$C:$C,'BASE DE EXCEL'!AD:AD,"NO HAY REFERENCIA")</f>
        <v>46153</v>
      </c>
      <c r="DK135" s="3">
        <f>_xlfn.XLOOKUP(B135,'BASE DE EXCEL'!$C:$C,'BASE DE EXCEL'!AE:AE,"NO HAY REFERENCIA")</f>
        <v>25</v>
      </c>
      <c r="DL135" s="3">
        <f>_xlfn.XLOOKUP(B135,'BASE DE EXCEL'!$C:$C,'BASE DE EXCEL'!AF:AF,"NO HAY REFERENCIA")</f>
        <v>17</v>
      </c>
      <c r="DM135" s="4">
        <f>_xlfn.XLOOKUP(B135,'BASE DE EXCEL'!$C:$C,'BASE DE EXCEL'!AG:AG,"NO HAY REFERENCIA")</f>
        <v>46153</v>
      </c>
      <c r="DN135" s="4">
        <f>_xlfn.XLOOKUP(B135,'BASE DE EXCEL'!$C:$C,'BASE DE EXCEL'!AH:AH,"NO HAY REFERENCIA")</f>
        <v>46153</v>
      </c>
      <c r="DO135" s="3">
        <f>_xlfn.XLOOKUP(B135,'BASE DE EXCEL'!$C:$C,'BASE DE EXCEL'!AI:AI,"NO HAY REFERENCIA")</f>
        <v>0</v>
      </c>
      <c r="DP135" s="4" t="str">
        <f>_xlfn.XLOOKUP(B135,'BASE DE EXCEL'!$C:$C,'BASE DE EXCEL'!AJ:AJ,"NO HAY REFERENCIA")</f>
        <v>más de 16 días</v>
      </c>
      <c r="DQ135" s="4">
        <f>_xlfn.XLOOKUP(B135,'BASE DE EXCEL'!$C:$C,'BASE DE EXCEL'!AK:AK,"NO HAY REFERENCIA")</f>
        <v>46153</v>
      </c>
      <c r="DR135" s="3">
        <f>_xlfn.XLOOKUP(B135,'BASE DE EXCEL'!$C:$C,'BASE DE EXCEL'!AL:AL,"NO HAY REFERENCIA")</f>
        <v>17</v>
      </c>
      <c r="DS135" s="3" t="str">
        <f>_xlfn.XLOOKUP(B135,'BASE DE EXCEL'!$C:$C,'BASE DE EXCEL'!AM:AM,"NO HAY REFERENCIA")</f>
        <v>más de 16 días</v>
      </c>
      <c r="DT135" s="3" t="str">
        <f>_xlfn.XLOOKUP(B135,'BASE DE EXCEL'!$C:$C,'BASE DE EXCEL'!AN:AN,"NO HAY REFERENCIA")</f>
        <v>Delayed</v>
      </c>
      <c r="DU135" s="3">
        <f>_xlfn.XLOOKUP(B135,'BASE DE EXCEL'!$C:$C,'BASE DE EXCEL'!AO:AO,"NO HAY REFERENCIA")</f>
        <v>1</v>
      </c>
      <c r="DV135" s="3" t="str">
        <f>_xlfn.XLOOKUP(B135,'BASE DE EXCEL'!$C:$C,'BASE DE EXCEL'!AP:AP,"NO HAY REFERENCIA")</f>
        <v>Es anterior</v>
      </c>
      <c r="DW135" s="3" t="str">
        <f>_xlfn.XLOOKUP(B135,'BASE DE EXCEL'!$C:$C,'BASE DE EXCEL'!AQ:AQ,"NO HAY REFERENCIA")</f>
        <v>A1</v>
      </c>
      <c r="DX135" s="3" t="str">
        <f>_xlfn.XLOOKUP(B135,'BASE DE EXCEL'!$C:$C,'BASE DE EXCEL'!AR:AR,"NO HAY REFERENCIA")</f>
        <v>ZULEIMA PEREZ RUIZ</v>
      </c>
      <c r="DY135" s="3" t="str">
        <f>_xlfn.XLOOKUP(B135,'BASE DE EXCEL'!$C:$C,'BASE DE EXCEL'!AS:AS,"NO HAY REFERENCIA")</f>
        <v>HLCUANR260264210</v>
      </c>
      <c r="DZ135" s="3" t="str">
        <f>_xlfn.XLOOKUP(B135,'BASE DE EXCEL'!$C:$C,'BASE DE EXCEL'!AT:AT,"NO HAY REFERENCIA")</f>
        <v>NULL</v>
      </c>
      <c r="EA135" s="3">
        <f>_xlfn.XLOOKUP(B135,'BASE DE EXCEL'!$C:$C,'BASE DE EXCEL'!AU:AU,"NO HAY REFERENCIA")</f>
        <v>6000433</v>
      </c>
      <c r="EB135" s="3" t="str">
        <f>_xlfn.XLOOKUP(B135,'BASE DE EXCEL'!$C:$C,'BASE DE EXCEL'!AV:AV,"NO HAY REFERENCIA")</f>
        <v>Importación</v>
      </c>
      <c r="EC135" s="3" t="str">
        <f>_xlfn.XLOOKUP(B135,'BASE DE EXCEL'!$C:$C,'BASE DE EXCEL'!AW:AW,"NO HAY REFERENCIA")</f>
        <v>BRAVECTO 1000 MG (MEDICAMENTO DOSIFICADO DE USO VETERINARIO)</v>
      </c>
      <c r="ED135" s="3" t="str">
        <f>_xlfn.XLOOKUP(B135,'BASE DE EXCEL'!$C:$C,'BASE DE EXCEL'!AX:AX,"NO HAY REFERENCIA")</f>
        <v>SIN CLASIFICACION</v>
      </c>
      <c r="EE135" s="3">
        <f>_xlfn.XLOOKUP(B135,'BASE DE EXCEL'!$C:$C,'BASE DE EXCEL'!AY:AY,"NO HAY REFERENCIA")</f>
        <v>0</v>
      </c>
      <c r="EF135" s="3" t="str">
        <f>_xlfn.XLOOKUP(B135,'BASE DE EXCEL'!$C:$C,'BASE DE EXCEL'!AZ:AZ,"NO HAY REFERENCIA")</f>
        <v>Cargas de Importación</v>
      </c>
      <c r="EG135" s="3" t="str">
        <f>_xlfn.XLOOKUP(B135,'BASE DE EXCEL'!$C:$C,'BASE DE EXCEL'!BA:BA,"NO HAY REFERENCIA")</f>
        <v>INTERVET MEXICO SA DE CV</v>
      </c>
      <c r="EH135" s="3">
        <f>_xlfn.XLOOKUP(B135,'BASE DE EXCEL'!$C:$C,'BASE DE EXCEL'!BB:BB,"NO HAY REFERENCIA")</f>
        <v>0</v>
      </c>
      <c r="EI135" s="3" t="str">
        <f>_xlfn.XLOOKUP(B135,'BASE DE EXCEL'!$C:$C,'BASE DE EXCEL'!BC:BC,"NO HAY REFERENCIA")</f>
        <v>NINGUNO</v>
      </c>
      <c r="EJ135" s="3">
        <f>_xlfn.XLOOKUP(B135,'BASE DE EXCEL'!$C:$C,'BASE DE EXCEL'!BD:BD,"NO HAY REFERENCIA")</f>
        <v>0</v>
      </c>
      <c r="EK135" s="3" t="str">
        <f>_xlfn.XLOOKUP(B135,'BASE DE EXCEL'!$C:$C,'BASE DE EXCEL'!BE:BE,"NO HAY REFERENCIA")</f>
        <v>NINGUNO</v>
      </c>
      <c r="EL135" s="3" t="str">
        <f>_xlfn.XLOOKUP(B135,'BASE DE EXCEL'!$C:$C,'BASE DE EXCEL'!BF:BF,"NO HAY REFERENCIA")</f>
        <v>PRODUCTO TERMINADO</v>
      </c>
      <c r="EM135" s="3" t="str">
        <f>_xlfn.XLOOKUP(B135,'BASE DE EXCEL'!$C:$C,'BASE DE EXCEL'!BG:BG,"NO HAY REFERENCIA")</f>
        <v>Rojo</v>
      </c>
      <c r="EN135" s="3" t="str">
        <f>_xlfn.XLOOKUP(B135,'BASE DE EXCEL'!$C:$C,'BASE DE EXCEL'!BH:BH,"NO HAY REFERENCIA")</f>
        <v xml:space="preserve"> MLH TRANSPORTE, S.A. DE C.V.</v>
      </c>
      <c r="EO135" s="3" t="str">
        <f>_xlfn.XLOOKUP(B135,'BASE DE EXCEL'!$C:$C,'BASE DE EXCEL'!BI:BI,"NO HAY REFERENCIA")</f>
        <v>TRACTOCAMION ECO 04 RED</v>
      </c>
      <c r="EP135" s="3">
        <f>_xlfn.XLOOKUP(B135,'BASE DE EXCEL'!$C:$C,'BASE DE EXCEL'!BJ:BJ,"NO HAY REFERENCIA")</f>
        <v>0</v>
      </c>
      <c r="EQ135" s="3" t="str">
        <f>_xlfn.XLOOKUP(B135,'BASE DE EXCEL'!$C:$C,'BASE DE EXCEL'!BK:BK,"NO HAY REFERENCIA")</f>
        <v>IME850329RH2</v>
      </c>
      <c r="ER135" s="3">
        <f>_xlfn.XLOOKUP(B135,'BASE DE EXCEL'!$C:$C,'BASE DE EXCEL'!BL:BL,"NO HAY REFERENCIA")</f>
        <v>0</v>
      </c>
      <c r="ES135" s="3">
        <f>_xlfn.XLOOKUP(B135,'BASE DE EXCEL'!$C:$C,'BASE DE EXCEL'!BM:BM,"NO HAY REFERENCIA")</f>
        <v>99</v>
      </c>
      <c r="ET135" s="3" t="str">
        <f>_xlfn.XLOOKUP(B135,'BASE DE EXCEL'!$C:$C,'BASE DE EXCEL'!BN:BN,"NO HAY REFERENCIA")</f>
        <v>LOTE: 25M4254C01,LOTE: 5793103,LOTE: H120A01,LOTE: H127A01</v>
      </c>
      <c r="EU135" s="3">
        <f>_xlfn.XLOOKUP(B135,'BASE DE EXCEL'!$C:$C,'BASE DE EXCEL'!BO:BO,"NO HAY REFERENCIA")</f>
        <v>90</v>
      </c>
      <c r="EV135" s="3" t="str">
        <f>_xlfn.XLOOKUP(B135,'BASE DE EXCEL'!$C:$C,'BASE DE EXCEL'!BP:BP,"NO HAY REFERENCIA")</f>
        <v xml:space="preserve"> 4935456.00, 983496.00, 1527921.57, 1473391.36</v>
      </c>
      <c r="EW135" s="3" t="str">
        <f>_xlfn.XLOOKUP(B135,'BASE DE EXCEL'!$C:$C,'BASE DE EXCEL'!BQ:BQ,"NO HAY REFERENCIA")</f>
        <v>KILO,KILO,KILO,KILO</v>
      </c>
      <c r="EX135" s="3">
        <f>_xlfn.XLOOKUP(B135,'BASE DE EXCEL'!$C:$C,'BASE DE EXCEL'!BR:BR,"NO HAY REFERENCIA")</f>
        <v>0</v>
      </c>
      <c r="EY135" s="3" t="str">
        <f>_xlfn.XLOOKUP(B135,'BASE DE EXCEL'!$C:$C,'BASE DE EXCEL'!BS:BS,"NO HAY REFERENCIA")</f>
        <v>ALEMANIA (REPUBLICA FEDERAL DE),AUSTRIA (REPUBLICA DE),PAISES BAJOS (REINO DE LOS) (HOLANDA)</v>
      </c>
      <c r="EZ135" s="3" t="str">
        <f>_xlfn.XLOOKUP(B135,'BASE DE EXCEL'!$C:$C,'BASE DE EXCEL'!BT:BT,"NO HAY REFERENCIA")</f>
        <v>PAISES BAJOS (REINO DE LOS) (HOLANDA)</v>
      </c>
      <c r="FA135" s="3" t="str">
        <f>_xlfn.XLOOKUP(B135,'BASE DE EXCEL'!$C:$C,'BASE DE EXCEL'!BU:BU,"NO HAY REFERENCIA")</f>
        <v>AUT,DEU,ZYA</v>
      </c>
      <c r="FB135" s="3" t="str">
        <f>_xlfn.XLOOKUP(B135,'BASE DE EXCEL'!$C:$C,'BASE DE EXCEL'!BV:BV,"NO HAY REFERENCIA")</f>
        <v>ZYA</v>
      </c>
      <c r="FC135" s="3">
        <f>_xlfn.XLOOKUP(B135,QUERY!$C:$C,QUERY!D:D)</f>
        <v>430</v>
      </c>
      <c r="FD135" s="4">
        <f>_xlfn.XLOOKUP(B135,QUERY!$C:$C,QUERY!E:E)</f>
        <v>46126</v>
      </c>
      <c r="FE135" s="3">
        <f>_xlfn.XLOOKUP(B135,QUERY!$C:$C,QUERY!F:F)</f>
        <v>4</v>
      </c>
      <c r="FF135" s="4">
        <f>_xlfn.XLOOKUP(B135,QUERY!$C:$C,QUERY!G:G)</f>
        <v>46120</v>
      </c>
      <c r="FG135" s="4">
        <f>_xlfn.XLOOKUP(B135,QUERY!$C:$C,QUERY!H:H)</f>
        <v>46126</v>
      </c>
      <c r="FH135" s="3">
        <f>_xlfn.XLOOKUP(B135,QUERY!$C:$C,QUERY!I:I)</f>
        <v>4</v>
      </c>
      <c r="FI135" s="3" t="str">
        <f>_xlfn.XLOOKUP(B135,QUERY!$C:$C,QUERY!J:J)</f>
        <v>4 a 5 días</v>
      </c>
      <c r="FJ135" s="4">
        <f>_xlfn.XLOOKUP(B135,QUERY!$C:$C,QUERY!K:K)</f>
        <v>46127</v>
      </c>
      <c r="FK135" s="3">
        <f>_xlfn.XLOOKUP(B135,QUERY!$C:$C,QUERY!L:L)</f>
        <v>5</v>
      </c>
      <c r="FL135" s="3" t="str">
        <f>_xlfn.XLOOKUP(B135,QUERY!$C:$C,QUERY!M:M)</f>
        <v>4 a 5 días</v>
      </c>
      <c r="FM135" s="3">
        <f>_xlfn.XLOOKUP(B135,QUERY!$C:$C,QUERY!N:N)</f>
        <v>1</v>
      </c>
      <c r="FN135" s="3" t="str">
        <f>_xlfn.XLOOKUP(B135,QUERY!$C:$C,QUERY!O:O)</f>
        <v>1 día o menos</v>
      </c>
      <c r="FO135" s="3">
        <f>_xlfn.XLOOKUP(B135,QUERY!$C:$C,QUERY!P:P)</f>
        <v>1</v>
      </c>
      <c r="FP135" s="3">
        <f>_xlfn.XLOOKUP(B135,QUERY!$C:$C,QUERY!Q:Q)</f>
        <v>1</v>
      </c>
      <c r="FQ135" s="3" t="str">
        <f>_xlfn.XLOOKUP(B135,QUERY!$C:$C,QUERY!R:R)</f>
        <v>1 día o menos</v>
      </c>
      <c r="FR135" s="4">
        <f>_xlfn.XLOOKUP(B135,QUERY!$C:$C,QUERY!S:S)</f>
        <v>46128</v>
      </c>
      <c r="FS135" s="3">
        <f>_xlfn.XLOOKUP(B135,QUERY!$C:$C,QUERY!T:T)</f>
        <v>6</v>
      </c>
      <c r="FT135" s="3" t="str">
        <f>_xlfn.XLOOKUP(B135,QUERY!$C:$C,QUERY!U:U)</f>
        <v>6 a 10 días</v>
      </c>
      <c r="FU135" s="3">
        <f>_xlfn.XLOOKUP(B135,QUERY!$C:$C,QUERY!V:V)</f>
        <v>23</v>
      </c>
      <c r="FV135" s="3" t="str">
        <f>_xlfn.XLOOKUP(B135,QUERY!$C:$C,QUERY!W:W)</f>
        <v>más de 16 días</v>
      </c>
      <c r="FW135" s="4">
        <f>_xlfn.XLOOKUP(B135,QUERY!$C:$C,QUERY!X:X)</f>
        <v>46153</v>
      </c>
      <c r="FX135" s="3">
        <f>_xlfn.XLOOKUP(B135,QUERY!$C:$C,QUERY!Y:Y)</f>
        <v>17</v>
      </c>
      <c r="FY135" s="3">
        <f>_xlfn.XLOOKUP(B135,QUERY!$C:$C,QUERY!Z:Z)</f>
        <v>17</v>
      </c>
      <c r="FZ135" s="4" t="str">
        <f>_xlfn.XLOOKUP(B135,QUERY!$C:$C,QUERY!AA:AA)</f>
        <v>más de 16 días</v>
      </c>
      <c r="GA135" s="4">
        <f>_xlfn.XLOOKUP(B135,QUERY!$C:$C,QUERY!AB:AB)</f>
        <v>46153</v>
      </c>
      <c r="GB135" s="4">
        <f>_xlfn.XLOOKUP(B135,QUERY!$C:$C,QUERY!AC:AC)</f>
        <v>46153</v>
      </c>
      <c r="GC135" s="3">
        <f>_xlfn.XLOOKUP(B135,QUERY!$C:$C,QUERY!AD:AD)</f>
        <v>0</v>
      </c>
      <c r="GD135" s="4">
        <f>_xlfn.XLOOKUP(B135,QUERY!$C:$C,QUERY!AE:AE)</f>
        <v>46153</v>
      </c>
      <c r="GE135" s="3">
        <f>_xlfn.XLOOKUP(B135,QUERY!$C:$C,QUERY!AF:AF)</f>
        <v>1</v>
      </c>
      <c r="GF135" s="4" t="str">
        <f>_xlfn.XLOOKUP(B135,QUERY!$C:$C,QUERY!AG:AG)</f>
        <v>Es anterior</v>
      </c>
      <c r="GG135" s="3" t="str">
        <f>_xlfn.XLOOKUP(B135,QUERY!$C:$C,QUERY!AH:AH)</f>
        <v>A1</v>
      </c>
      <c r="GH135" s="3" t="str">
        <f>_xlfn.XLOOKUP(B135,QUERY!$C:$C,QUERY!AI:AI)</f>
        <v>ZULEIMA PEREZ RUIZ</v>
      </c>
      <c r="GI135" s="3" t="str">
        <f>_xlfn.XLOOKUP(B135,QUERY!$C:$C,QUERY!AJ:AJ)</f>
        <v>HLCUANR260264210</v>
      </c>
      <c r="GJ135" s="3" t="str">
        <f>_xlfn.XLOOKUP(B135,QUERY!$C:$C,QUERY!AK:AK)</f>
        <v>NULL</v>
      </c>
      <c r="GK135" s="3">
        <f>_xlfn.XLOOKUP(B135,QUERY!$C:$C,QUERY!AL:AL)</f>
        <v>6000433</v>
      </c>
      <c r="GL135" s="3" t="str">
        <f>_xlfn.XLOOKUP(B135,QUERY!$C:$C,QUERY!AM:AM)</f>
        <v>Importación</v>
      </c>
      <c r="GM135" s="3" t="str">
        <f>_xlfn.XLOOKUP(B135,QUERY!$C:$C,QUERY!AN:AN)</f>
        <v>BRAVECTO 1000 MG (MEDICAMENTO DOSIFICADO DE USO VETERINARIO)</v>
      </c>
      <c r="GN135" s="3" t="str">
        <f>_xlfn.XLOOKUP(B135,QUERY!$C:$C,QUERY!AO:AO)</f>
        <v>SIN CLASIFICACION</v>
      </c>
      <c r="GO135" s="3">
        <f>_xlfn.XLOOKUP(B135,QUERY!$C:$C,QUERY!AP:AP)</f>
        <v>0</v>
      </c>
      <c r="GP135" s="3" t="str">
        <f>_xlfn.XLOOKUP(B135,QUERY!$C:$C,QUERY!AQ:AQ)</f>
        <v>Cargas de Importación</v>
      </c>
      <c r="GQ135" s="3" t="str">
        <f>_xlfn.XLOOKUP(B135,QUERY!$C:$C,QUERY!AR:AR)</f>
        <v>INTERVET MEXICO SA DE CV</v>
      </c>
      <c r="GR135" s="3">
        <f>_xlfn.XLOOKUP(B135,QUERY!$C:$C,QUERY!AS:AS)</f>
        <v>0</v>
      </c>
      <c r="GS135" s="3" t="str">
        <f>_xlfn.XLOOKUP(B135,QUERY!$C:$C,QUERY!AT:AT)</f>
        <v>NINGUNO</v>
      </c>
      <c r="GT135" s="3">
        <f>_xlfn.XLOOKUP(B135,QUERY!$C:$C,QUERY!AU:AU)</f>
        <v>0</v>
      </c>
      <c r="GU135" s="3" t="str">
        <f>_xlfn.XLOOKUP(B135,QUERY!$C:$C,QUERY!AV:AV)</f>
        <v>NINGUNO</v>
      </c>
      <c r="GV135" s="3" t="str">
        <f>_xlfn.XLOOKUP(B135,QUERY!$C:$C,QUERY!AW:AW)</f>
        <v>PRODUCTO TERMINADO</v>
      </c>
      <c r="GW135" s="3" t="str">
        <f>_xlfn.XLOOKUP(B135,QUERY!$C:$C,QUERY!AX:AX)</f>
        <v>Rojo</v>
      </c>
      <c r="GX135" s="3" t="str">
        <f>_xlfn.XLOOKUP(B135,QUERY!$C:$C,QUERY!AY:AY)</f>
        <v xml:space="preserve"> MLH TRANSPORTE, S.A. DE C.V.</v>
      </c>
      <c r="GY135" s="3" t="str">
        <f>_xlfn.XLOOKUP(B135,QUERY!$C:$C,QUERY!AZ:AZ)</f>
        <v>TRACTOCAMION ECO 04 RED</v>
      </c>
      <c r="GZ135" s="3">
        <f>_xlfn.XLOOKUP(B135,QUERY!$C:$C,QUERY!BA:BA)</f>
        <v>0</v>
      </c>
      <c r="HA135" s="3" t="str">
        <f>_xlfn.XLOOKUP(B135,QUERY!$C:$C,QUERY!BB:BB)</f>
        <v>IME850329RH2</v>
      </c>
      <c r="HB135" s="3">
        <f>_xlfn.XLOOKUP(B135,QUERY!$C:$C,QUERY!BC:BC)</f>
        <v>0</v>
      </c>
      <c r="HC135" s="3">
        <f>_xlfn.XLOOKUP(B135,QUERY!$C:$C,QUERY!BD:BD)</f>
        <v>99</v>
      </c>
      <c r="HD135" s="3" t="str">
        <f>_xlfn.XLOOKUP(B135,QUERY!$C:$C,QUERY!BE:BE)</f>
        <v>LOTE: 25M4254C01,LOTE: 5793103,LOTE: H120A01,LOTE: H127A01</v>
      </c>
      <c r="HE135" s="3">
        <f>_xlfn.XLOOKUP(B135,QUERY!$C:$C,QUERY!BF:BF)</f>
        <v>90</v>
      </c>
      <c r="HF135" s="3" t="str">
        <f>_xlfn.XLOOKUP(B135,QUERY!$C:$C,QUERY!BG:BG)</f>
        <v xml:space="preserve"> 4935456.00, 983496.00, 1527921.57, 1473391.36</v>
      </c>
      <c r="HG135" s="3" t="str">
        <f>_xlfn.XLOOKUP(B135,QUERY!$C:$C,QUERY!BH:BH)</f>
        <v>KILO,KILO,KILO,KILO</v>
      </c>
      <c r="HH135" s="3">
        <f>_xlfn.XLOOKUP(B135,QUERY!$C:$C,QUERY!BI:BI)</f>
        <v>0</v>
      </c>
      <c r="HI135" s="3" t="str">
        <f>_xlfn.XLOOKUP(B135,QUERY!$C:$C,QUERY!BJ:BJ)</f>
        <v>ALEMANIA (REPUBLICA FEDERAL DE),AUSTRIA (REPUBLICA DE),PAISES BAJOS (REINO DE LOS) (HOLANDA)</v>
      </c>
      <c r="HJ135" s="3" t="str">
        <f>_xlfn.XLOOKUP(B135,QUERY!$C:$C,QUERY!BK:BK)</f>
        <v>PAISES BAJOS (REINO DE LOS) (HOLANDA)</v>
      </c>
      <c r="HK135" s="3" t="str">
        <f>_xlfn.XLOOKUP(B135,QUERY!$C:$C,QUERY!BL:BL)</f>
        <v>AUT,DEU,ZYA</v>
      </c>
      <c r="HL135" s="3" t="str">
        <f>_xlfn.XLOOKUP(B135,QUERY!$C:$C,QUERY!BM:BM)</f>
        <v>ZYA</v>
      </c>
      <c r="HM135" s="3">
        <f>_xlfn.XLOOKUP(B135,QUERY!$C:$C,QUERY!BN:BN)</f>
        <v>8920265</v>
      </c>
      <c r="HN135" s="3" t="str">
        <f>_xlfn.XLOOKUP(B135,QUERY!$C:$C,QUERY!BO:BO)</f>
        <v>39484.00</v>
      </c>
      <c r="HO135" s="3" t="str">
        <f>_xlfn.XLOOKUP(B135,QUERY!$C:$C,QUERY!BP:BP)</f>
        <v>NULL</v>
      </c>
      <c r="HP135" s="3" t="str">
        <f>_xlfn.XLOOKUP(B135,QUERY!$C:$C,QUERY!BQ:BQ)</f>
        <v>493546.00</v>
      </c>
      <c r="HQ135" s="3" t="str">
        <f>_xlfn.XLOOKUP(B135,QUERY!$C:$C,QUERY!BR:BR)</f>
        <v>173677.59</v>
      </c>
      <c r="HR135" s="3">
        <f>_xlfn.XLOOKUP(B135,QUERY!$C:$C,QUERY!BS:BS)</f>
        <v>0</v>
      </c>
      <c r="HS135" s="3">
        <f>_xlfn.XLOOKUP(B135,QUERY!$C:$C,QUERY!BT:BT)</f>
        <v>0</v>
      </c>
      <c r="HT135" s="3" t="str">
        <f>_xlfn.XLOOKUP(B135,QUERY!$C:$C,QUERY!A:A)</f>
        <v>VERACRUZ</v>
      </c>
      <c r="HU135" s="3" t="str">
        <f>_xlfn.XLOOKUP(B135,QUERY!$C:$C,QUERY!B:B)</f>
        <v>MARÍTIMO VERACRUZ</v>
      </c>
    </row>
    <row r="136" spans="1:229" x14ac:dyDescent="0.25">
      <c r="A136" s="3" t="s">
        <v>90</v>
      </c>
      <c r="B136" s="3" t="s">
        <v>399</v>
      </c>
      <c r="C136" s="3">
        <v>3942</v>
      </c>
      <c r="D136" s="3">
        <v>6000433</v>
      </c>
      <c r="E136" s="3"/>
      <c r="F136" s="3" t="s">
        <v>92</v>
      </c>
      <c r="G136" s="3" t="s">
        <v>93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430</v>
      </c>
      <c r="S136" s="3" t="s">
        <v>400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 t="s">
        <v>123</v>
      </c>
      <c r="AB136" s="3"/>
      <c r="AC136" s="3">
        <v>1473391</v>
      </c>
      <c r="AD136" s="3">
        <v>728.31982000000005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/>
      <c r="AP136" s="3" t="s">
        <v>98</v>
      </c>
      <c r="AQ136" s="3">
        <v>210368336</v>
      </c>
      <c r="AR136" s="3" t="s">
        <v>99</v>
      </c>
      <c r="AS136" s="3" t="s">
        <v>100</v>
      </c>
      <c r="AT136" s="3">
        <v>0</v>
      </c>
      <c r="AU136" s="3">
        <v>0</v>
      </c>
      <c r="AV136" s="3">
        <v>0</v>
      </c>
      <c r="AW136" s="3">
        <v>30049099</v>
      </c>
      <c r="AX136" s="3">
        <v>99</v>
      </c>
      <c r="AY136" s="3">
        <v>2023</v>
      </c>
      <c r="AZ136" s="3">
        <v>2023</v>
      </c>
      <c r="BA136" s="3" t="s">
        <v>121</v>
      </c>
      <c r="BB136" s="3"/>
      <c r="BC136" s="3" t="s">
        <v>105</v>
      </c>
      <c r="BD136" s="3" t="s">
        <v>105</v>
      </c>
      <c r="BE136" s="3"/>
      <c r="BF136" s="3"/>
      <c r="BG136" s="5"/>
      <c r="BH136" s="3"/>
      <c r="BI136" s="3"/>
      <c r="BJ136" s="3"/>
      <c r="BK136" s="3" t="s">
        <v>407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 t="s">
        <v>192</v>
      </c>
      <c r="CF136" s="3">
        <v>0</v>
      </c>
      <c r="CG136" s="3">
        <v>0</v>
      </c>
      <c r="CH136" s="3">
        <v>0</v>
      </c>
      <c r="CI136" s="3" t="s">
        <v>112</v>
      </c>
      <c r="CJ136" s="3" t="s">
        <v>112</v>
      </c>
      <c r="CK136" s="3">
        <f>_xlfn.XLOOKUP($B$2,'BASE DE EXCEL'!C:C,'BASE DE EXCEL'!D:D,"NO HAY REFERENCIA")</f>
        <v>470</v>
      </c>
      <c r="CL136" s="5">
        <f>_xlfn.XLOOKUP($B$2,'BASE DE EXCEL'!$C:$C,'BASE DE EXCEL'!F:F,"NO HAY REFERENCIA")</f>
        <v>3</v>
      </c>
      <c r="CM136" s="4">
        <f>_xlfn.XLOOKUP($B$2,'BASE DE EXCEL'!$C:$C,'BASE DE EXCEL'!G:G,"NO HAY REFERENCIA")</f>
        <v>46080</v>
      </c>
      <c r="CN136" s="4">
        <f>_xlfn.XLOOKUP($B$2,'BASE DE EXCEL'!$C:$C,'BASE DE EXCEL'!H:H,"NO HAY REFERENCIA")</f>
        <v>46086</v>
      </c>
      <c r="CO136" s="3">
        <f>_xlfn.XLOOKUP($B$2,'BASE DE EXCEL'!$C:$C,'BASE DE EXCEL'!I:I,"NO HAY REFERENCIA")</f>
        <v>4</v>
      </c>
      <c r="CP136" s="3" t="str">
        <f>_xlfn.XLOOKUP($B$2,'BASE DE EXCEL'!$C:$C,'BASE DE EXCEL'!J:J,"NO HAY REFERENCIA")</f>
        <v>4 a 5 días</v>
      </c>
      <c r="CQ136" s="4">
        <f>_xlfn.XLOOKUP($B$2,'BASE DE EXCEL'!$C:$C,'BASE DE EXCEL'!K:K,"NO HAY REFERENCIA")</f>
        <v>46087</v>
      </c>
      <c r="CR136" s="3">
        <f>_xlfn.XLOOKUP($B$2,'BASE DE EXCEL'!$C:$C,'BASE DE EXCEL'!L:L,"NO HAY REFERENCIA")</f>
        <v>5</v>
      </c>
      <c r="CS136" s="3">
        <f>_xlfn.XLOOKUP($B$2,'BASE DE EXCEL'!$C:$C,'BASE DE EXCEL'!M:M,"NO HAY REFERENCIA")</f>
        <v>6</v>
      </c>
      <c r="CT136" s="3" t="str">
        <f>_xlfn.XLOOKUP($B$2,'BASE DE EXCEL'!$C:$C,'BASE DE EXCEL'!N:N,"NO HAY REFERENCIA")</f>
        <v>6 a 10 días</v>
      </c>
      <c r="CU136" s="3" t="str">
        <f>_xlfn.XLOOKUP($B$2,'BASE DE EXCEL'!$C:$C,'BASE DE EXCEL'!O:O,"NO HAY REFERENCIA")</f>
        <v>On Time</v>
      </c>
      <c r="CV136" s="3" t="str">
        <f>_xlfn.XLOOKUP(B136,'BASE DE EXCEL'!$C:$C,'BASE DE EXCEL'!P:P,"NO HAY REFERENCIA")</f>
        <v>6 a 10 días</v>
      </c>
      <c r="CW136" s="4">
        <f>_xlfn.XLOOKUP(B136,'BASE DE EXCEL'!$C:$C,'BASE DE EXCEL'!Q:Q,"NO HAY REFERENCIA")</f>
        <v>46128</v>
      </c>
      <c r="CX136" s="3">
        <f>_xlfn.XLOOKUP(B136,'BASE DE EXCEL'!$C:$C,'BASE DE EXCEL'!R:R,"NO HAY REFERENCIA")</f>
        <v>7</v>
      </c>
      <c r="CY136" s="3" t="str">
        <f>_xlfn.XLOOKUP(B136,'BASE DE EXCEL'!$C:$C,'BASE DE EXCEL'!S:S,"NO HAY REFERENCIA")</f>
        <v>6 a 10 días</v>
      </c>
      <c r="CZ136" s="3" t="str">
        <f>_xlfn.XLOOKUP(B136,'BASE DE EXCEL'!$C:$C,'BASE DE EXCEL'!T:T,"NO HAY REFERENCIA")</f>
        <v>Delayed</v>
      </c>
      <c r="DA136" s="3">
        <f>_xlfn.XLOOKUP(B136,'BASE DE EXCEL'!$C:$C,'BASE DE EXCEL'!U:U,"NO HAY REFERENCIA")</f>
        <v>8</v>
      </c>
      <c r="DB136" s="3" t="str">
        <f>_xlfn.XLOOKUP(B136,'BASE DE EXCEL'!$C:$C,'BASE DE EXCEL'!V:V,"NO HAY REFERENCIA")</f>
        <v>6 a 10 días</v>
      </c>
      <c r="DC136" s="3">
        <f>_xlfn.XLOOKUP(B136,'BASE DE EXCEL'!$C:$C,'BASE DE EXCEL'!W:W,"NO HAY REFERENCIA")</f>
        <v>23</v>
      </c>
      <c r="DD136" s="3" t="str">
        <f>_xlfn.XLOOKUP(B136,'BASE DE EXCEL'!$C:$C,'BASE DE EXCEL'!X:X,"NO HAY REFERENCIA")</f>
        <v>más de 16 días</v>
      </c>
      <c r="DE136" s="3">
        <f>_xlfn.XLOOKUP(B136,'BASE DE EXCEL'!$C:$C,'BASE DE EXCEL'!Y:Y,"NO HAY REFERENCIA")</f>
        <v>1</v>
      </c>
      <c r="DF136" s="3" t="str">
        <f>_xlfn.XLOOKUP(B136,'BASE DE EXCEL'!$C:$C,'BASE DE EXCEL'!Z:Z,"NO HAY REFERENCIA")</f>
        <v>1 día o menos</v>
      </c>
      <c r="DG136" s="3">
        <f>_xlfn.XLOOKUP(B136,'BASE DE EXCEL'!$C:$C,'BASE DE EXCEL'!AA:AA,"NO HAY REFERENCIA")</f>
        <v>6</v>
      </c>
      <c r="DH136" s="3">
        <f>_xlfn.XLOOKUP(B136,'BASE DE EXCEL'!$C:$C,'BASE DE EXCEL'!AB:AB,"NO HAY REFERENCIA")</f>
        <v>1</v>
      </c>
      <c r="DI136" s="3" t="str">
        <f>_xlfn.XLOOKUP(B136,'BASE DE EXCEL'!$C:$C,'BASE DE EXCEL'!AC:AC,"NO HAY REFERENCIA")</f>
        <v>1 día o menos</v>
      </c>
      <c r="DJ136" s="4">
        <f>_xlfn.XLOOKUP(B136,'BASE DE EXCEL'!$C:$C,'BASE DE EXCEL'!AD:AD,"NO HAY REFERENCIA")</f>
        <v>46153</v>
      </c>
      <c r="DK136" s="3">
        <f>_xlfn.XLOOKUP(B136,'BASE DE EXCEL'!$C:$C,'BASE DE EXCEL'!AE:AE,"NO HAY REFERENCIA")</f>
        <v>25</v>
      </c>
      <c r="DL136" s="3">
        <f>_xlfn.XLOOKUP(B136,'BASE DE EXCEL'!$C:$C,'BASE DE EXCEL'!AF:AF,"NO HAY REFERENCIA")</f>
        <v>17</v>
      </c>
      <c r="DM136" s="4">
        <f>_xlfn.XLOOKUP(B136,'BASE DE EXCEL'!$C:$C,'BASE DE EXCEL'!AG:AG,"NO HAY REFERENCIA")</f>
        <v>46153</v>
      </c>
      <c r="DN136" s="4">
        <f>_xlfn.XLOOKUP(B136,'BASE DE EXCEL'!$C:$C,'BASE DE EXCEL'!AH:AH,"NO HAY REFERENCIA")</f>
        <v>46153</v>
      </c>
      <c r="DO136" s="3">
        <f>_xlfn.XLOOKUP(B136,'BASE DE EXCEL'!$C:$C,'BASE DE EXCEL'!AI:AI,"NO HAY REFERENCIA")</f>
        <v>0</v>
      </c>
      <c r="DP136" s="4" t="str">
        <f>_xlfn.XLOOKUP(B136,'BASE DE EXCEL'!$C:$C,'BASE DE EXCEL'!AJ:AJ,"NO HAY REFERENCIA")</f>
        <v>más de 16 días</v>
      </c>
      <c r="DQ136" s="4">
        <f>_xlfn.XLOOKUP(B136,'BASE DE EXCEL'!$C:$C,'BASE DE EXCEL'!AK:AK,"NO HAY REFERENCIA")</f>
        <v>46153</v>
      </c>
      <c r="DR136" s="3">
        <f>_xlfn.XLOOKUP(B136,'BASE DE EXCEL'!$C:$C,'BASE DE EXCEL'!AL:AL,"NO HAY REFERENCIA")</f>
        <v>17</v>
      </c>
      <c r="DS136" s="3" t="str">
        <f>_xlfn.XLOOKUP(B136,'BASE DE EXCEL'!$C:$C,'BASE DE EXCEL'!AM:AM,"NO HAY REFERENCIA")</f>
        <v>más de 16 días</v>
      </c>
      <c r="DT136" s="3" t="str">
        <f>_xlfn.XLOOKUP(B136,'BASE DE EXCEL'!$C:$C,'BASE DE EXCEL'!AN:AN,"NO HAY REFERENCIA")</f>
        <v>Delayed</v>
      </c>
      <c r="DU136" s="3">
        <f>_xlfn.XLOOKUP(B136,'BASE DE EXCEL'!$C:$C,'BASE DE EXCEL'!AO:AO,"NO HAY REFERENCIA")</f>
        <v>1</v>
      </c>
      <c r="DV136" s="3" t="str">
        <f>_xlfn.XLOOKUP(B136,'BASE DE EXCEL'!$C:$C,'BASE DE EXCEL'!AP:AP,"NO HAY REFERENCIA")</f>
        <v>Es anterior</v>
      </c>
      <c r="DW136" s="3" t="str">
        <f>_xlfn.XLOOKUP(B136,'BASE DE EXCEL'!$C:$C,'BASE DE EXCEL'!AQ:AQ,"NO HAY REFERENCIA")</f>
        <v>A1</v>
      </c>
      <c r="DX136" s="3" t="str">
        <f>_xlfn.XLOOKUP(B136,'BASE DE EXCEL'!$C:$C,'BASE DE EXCEL'!AR:AR,"NO HAY REFERENCIA")</f>
        <v>ZULEIMA PEREZ RUIZ</v>
      </c>
      <c r="DY136" s="3" t="str">
        <f>_xlfn.XLOOKUP(B136,'BASE DE EXCEL'!$C:$C,'BASE DE EXCEL'!AS:AS,"NO HAY REFERENCIA")</f>
        <v>HLCUANR260264210</v>
      </c>
      <c r="DZ136" s="3" t="str">
        <f>_xlfn.XLOOKUP(B136,'BASE DE EXCEL'!$C:$C,'BASE DE EXCEL'!AT:AT,"NO HAY REFERENCIA")</f>
        <v>NULL</v>
      </c>
      <c r="EA136" s="3">
        <f>_xlfn.XLOOKUP(B136,'BASE DE EXCEL'!$C:$C,'BASE DE EXCEL'!AU:AU,"NO HAY REFERENCIA")</f>
        <v>6000433</v>
      </c>
      <c r="EB136" s="3" t="str">
        <f>_xlfn.XLOOKUP(B136,'BASE DE EXCEL'!$C:$C,'BASE DE EXCEL'!AV:AV,"NO HAY REFERENCIA")</f>
        <v>Importación</v>
      </c>
      <c r="EC136" s="3" t="str">
        <f>_xlfn.XLOOKUP(B136,'BASE DE EXCEL'!$C:$C,'BASE DE EXCEL'!AW:AW,"NO HAY REFERENCIA")</f>
        <v>BRAVECTO 1000 MG (MEDICAMENTO DOSIFICADO DE USO VETERINARIO)</v>
      </c>
      <c r="ED136" s="3" t="str">
        <f>_xlfn.XLOOKUP(B136,'BASE DE EXCEL'!$C:$C,'BASE DE EXCEL'!AX:AX,"NO HAY REFERENCIA")</f>
        <v>SIN CLASIFICACION</v>
      </c>
      <c r="EE136" s="3">
        <f>_xlfn.XLOOKUP(B136,'BASE DE EXCEL'!$C:$C,'BASE DE EXCEL'!AY:AY,"NO HAY REFERENCIA")</f>
        <v>0</v>
      </c>
      <c r="EF136" s="3" t="str">
        <f>_xlfn.XLOOKUP(B136,'BASE DE EXCEL'!$C:$C,'BASE DE EXCEL'!AZ:AZ,"NO HAY REFERENCIA")</f>
        <v>Cargas de Importación</v>
      </c>
      <c r="EG136" s="3" t="str">
        <f>_xlfn.XLOOKUP(B136,'BASE DE EXCEL'!$C:$C,'BASE DE EXCEL'!BA:BA,"NO HAY REFERENCIA")</f>
        <v>INTERVET MEXICO SA DE CV</v>
      </c>
      <c r="EH136" s="3">
        <f>_xlfn.XLOOKUP(B136,'BASE DE EXCEL'!$C:$C,'BASE DE EXCEL'!BB:BB,"NO HAY REFERENCIA")</f>
        <v>0</v>
      </c>
      <c r="EI136" s="3" t="str">
        <f>_xlfn.XLOOKUP(B136,'BASE DE EXCEL'!$C:$C,'BASE DE EXCEL'!BC:BC,"NO HAY REFERENCIA")</f>
        <v>NINGUNO</v>
      </c>
      <c r="EJ136" s="3">
        <f>_xlfn.XLOOKUP(B136,'BASE DE EXCEL'!$C:$C,'BASE DE EXCEL'!BD:BD,"NO HAY REFERENCIA")</f>
        <v>0</v>
      </c>
      <c r="EK136" s="3" t="str">
        <f>_xlfn.XLOOKUP(B136,'BASE DE EXCEL'!$C:$C,'BASE DE EXCEL'!BE:BE,"NO HAY REFERENCIA")</f>
        <v>NINGUNO</v>
      </c>
      <c r="EL136" s="3" t="str">
        <f>_xlfn.XLOOKUP(B136,'BASE DE EXCEL'!$C:$C,'BASE DE EXCEL'!BF:BF,"NO HAY REFERENCIA")</f>
        <v>PRODUCTO TERMINADO</v>
      </c>
      <c r="EM136" s="3" t="str">
        <f>_xlfn.XLOOKUP(B136,'BASE DE EXCEL'!$C:$C,'BASE DE EXCEL'!BG:BG,"NO HAY REFERENCIA")</f>
        <v>Rojo</v>
      </c>
      <c r="EN136" s="3" t="str">
        <f>_xlfn.XLOOKUP(B136,'BASE DE EXCEL'!$C:$C,'BASE DE EXCEL'!BH:BH,"NO HAY REFERENCIA")</f>
        <v xml:space="preserve"> MLH TRANSPORTE, S.A. DE C.V.</v>
      </c>
      <c r="EO136" s="3" t="str">
        <f>_xlfn.XLOOKUP(B136,'BASE DE EXCEL'!$C:$C,'BASE DE EXCEL'!BI:BI,"NO HAY REFERENCIA")</f>
        <v>TRACTOCAMION ECO 04 RED</v>
      </c>
      <c r="EP136" s="3">
        <f>_xlfn.XLOOKUP(B136,'BASE DE EXCEL'!$C:$C,'BASE DE EXCEL'!BJ:BJ,"NO HAY REFERENCIA")</f>
        <v>0</v>
      </c>
      <c r="EQ136" s="3" t="str">
        <f>_xlfn.XLOOKUP(B136,'BASE DE EXCEL'!$C:$C,'BASE DE EXCEL'!BK:BK,"NO HAY REFERENCIA")</f>
        <v>IME850329RH2</v>
      </c>
      <c r="ER136" s="3">
        <f>_xlfn.XLOOKUP(B136,'BASE DE EXCEL'!$C:$C,'BASE DE EXCEL'!BL:BL,"NO HAY REFERENCIA")</f>
        <v>0</v>
      </c>
      <c r="ES136" s="3">
        <f>_xlfn.XLOOKUP(B136,'BASE DE EXCEL'!$C:$C,'BASE DE EXCEL'!BM:BM,"NO HAY REFERENCIA")</f>
        <v>99</v>
      </c>
      <c r="ET136" s="3" t="str">
        <f>_xlfn.XLOOKUP(B136,'BASE DE EXCEL'!$C:$C,'BASE DE EXCEL'!BN:BN,"NO HAY REFERENCIA")</f>
        <v>LOTE: 25M4254C01,LOTE: 5793103,LOTE: H120A01,LOTE: H127A01</v>
      </c>
      <c r="EU136" s="3">
        <f>_xlfn.XLOOKUP(B136,'BASE DE EXCEL'!$C:$C,'BASE DE EXCEL'!BO:BO,"NO HAY REFERENCIA")</f>
        <v>90</v>
      </c>
      <c r="EV136" s="3" t="str">
        <f>_xlfn.XLOOKUP(B136,'BASE DE EXCEL'!$C:$C,'BASE DE EXCEL'!BP:BP,"NO HAY REFERENCIA")</f>
        <v xml:space="preserve"> 4935456.00, 983496.00, 1527921.57, 1473391.36</v>
      </c>
      <c r="EW136" s="3" t="str">
        <f>_xlfn.XLOOKUP(B136,'BASE DE EXCEL'!$C:$C,'BASE DE EXCEL'!BQ:BQ,"NO HAY REFERENCIA")</f>
        <v>KILO,KILO,KILO,KILO</v>
      </c>
      <c r="EX136" s="3">
        <f>_xlfn.XLOOKUP(B136,'BASE DE EXCEL'!$C:$C,'BASE DE EXCEL'!BR:BR,"NO HAY REFERENCIA")</f>
        <v>0</v>
      </c>
      <c r="EY136" s="3" t="str">
        <f>_xlfn.XLOOKUP(B136,'BASE DE EXCEL'!$C:$C,'BASE DE EXCEL'!BS:BS,"NO HAY REFERENCIA")</f>
        <v>ALEMANIA (REPUBLICA FEDERAL DE),AUSTRIA (REPUBLICA DE),PAISES BAJOS (REINO DE LOS) (HOLANDA)</v>
      </c>
      <c r="EZ136" s="3" t="str">
        <f>_xlfn.XLOOKUP(B136,'BASE DE EXCEL'!$C:$C,'BASE DE EXCEL'!BT:BT,"NO HAY REFERENCIA")</f>
        <v>PAISES BAJOS (REINO DE LOS) (HOLANDA)</v>
      </c>
      <c r="FA136" s="3" t="str">
        <f>_xlfn.XLOOKUP(B136,'BASE DE EXCEL'!$C:$C,'BASE DE EXCEL'!BU:BU,"NO HAY REFERENCIA")</f>
        <v>AUT,DEU,ZYA</v>
      </c>
      <c r="FB136" s="3" t="str">
        <f>_xlfn.XLOOKUP(B136,'BASE DE EXCEL'!$C:$C,'BASE DE EXCEL'!BV:BV,"NO HAY REFERENCIA")</f>
        <v>ZYA</v>
      </c>
      <c r="FC136" s="3">
        <f>_xlfn.XLOOKUP(B136,QUERY!$C:$C,QUERY!D:D)</f>
        <v>430</v>
      </c>
      <c r="FD136" s="4">
        <f>_xlfn.XLOOKUP(B136,QUERY!$C:$C,QUERY!E:E)</f>
        <v>46126</v>
      </c>
      <c r="FE136" s="3">
        <f>_xlfn.XLOOKUP(B136,QUERY!$C:$C,QUERY!F:F)</f>
        <v>4</v>
      </c>
      <c r="FF136" s="4">
        <f>_xlfn.XLOOKUP(B136,QUERY!$C:$C,QUERY!G:G)</f>
        <v>46120</v>
      </c>
      <c r="FG136" s="4">
        <f>_xlfn.XLOOKUP(B136,QUERY!$C:$C,QUERY!H:H)</f>
        <v>46126</v>
      </c>
      <c r="FH136" s="3">
        <f>_xlfn.XLOOKUP(B136,QUERY!$C:$C,QUERY!I:I)</f>
        <v>4</v>
      </c>
      <c r="FI136" s="3" t="str">
        <f>_xlfn.XLOOKUP(B136,QUERY!$C:$C,QUERY!J:J)</f>
        <v>4 a 5 días</v>
      </c>
      <c r="FJ136" s="4">
        <f>_xlfn.XLOOKUP(B136,QUERY!$C:$C,QUERY!K:K)</f>
        <v>46127</v>
      </c>
      <c r="FK136" s="3">
        <f>_xlfn.XLOOKUP(B136,QUERY!$C:$C,QUERY!L:L)</f>
        <v>5</v>
      </c>
      <c r="FL136" s="3" t="str">
        <f>_xlfn.XLOOKUP(B136,QUERY!$C:$C,QUERY!M:M)</f>
        <v>4 a 5 días</v>
      </c>
      <c r="FM136" s="3">
        <f>_xlfn.XLOOKUP(B136,QUERY!$C:$C,QUERY!N:N)</f>
        <v>1</v>
      </c>
      <c r="FN136" s="3" t="str">
        <f>_xlfn.XLOOKUP(B136,QUERY!$C:$C,QUERY!O:O)</f>
        <v>1 día o menos</v>
      </c>
      <c r="FO136" s="3">
        <f>_xlfn.XLOOKUP(B136,QUERY!$C:$C,QUERY!P:P)</f>
        <v>1</v>
      </c>
      <c r="FP136" s="3">
        <f>_xlfn.XLOOKUP(B136,QUERY!$C:$C,QUERY!Q:Q)</f>
        <v>1</v>
      </c>
      <c r="FQ136" s="3" t="str">
        <f>_xlfn.XLOOKUP(B136,QUERY!$C:$C,QUERY!R:R)</f>
        <v>1 día o menos</v>
      </c>
      <c r="FR136" s="4">
        <f>_xlfn.XLOOKUP(B136,QUERY!$C:$C,QUERY!S:S)</f>
        <v>46128</v>
      </c>
      <c r="FS136" s="3">
        <f>_xlfn.XLOOKUP(B136,QUERY!$C:$C,QUERY!T:T)</f>
        <v>6</v>
      </c>
      <c r="FT136" s="3" t="str">
        <f>_xlfn.XLOOKUP(B136,QUERY!$C:$C,QUERY!U:U)</f>
        <v>6 a 10 días</v>
      </c>
      <c r="FU136" s="3">
        <f>_xlfn.XLOOKUP(B136,QUERY!$C:$C,QUERY!V:V)</f>
        <v>23</v>
      </c>
      <c r="FV136" s="3" t="str">
        <f>_xlfn.XLOOKUP(B136,QUERY!$C:$C,QUERY!W:W)</f>
        <v>más de 16 días</v>
      </c>
      <c r="FW136" s="4">
        <f>_xlfn.XLOOKUP(B136,QUERY!$C:$C,QUERY!X:X)</f>
        <v>46153</v>
      </c>
      <c r="FX136" s="3">
        <f>_xlfn.XLOOKUP(B136,QUERY!$C:$C,QUERY!Y:Y)</f>
        <v>17</v>
      </c>
      <c r="FY136" s="3">
        <f>_xlfn.XLOOKUP(B136,QUERY!$C:$C,QUERY!Z:Z)</f>
        <v>17</v>
      </c>
      <c r="FZ136" s="4" t="str">
        <f>_xlfn.XLOOKUP(B136,QUERY!$C:$C,QUERY!AA:AA)</f>
        <v>más de 16 días</v>
      </c>
      <c r="GA136" s="4">
        <f>_xlfn.XLOOKUP(B136,QUERY!$C:$C,QUERY!AB:AB)</f>
        <v>46153</v>
      </c>
      <c r="GB136" s="4">
        <f>_xlfn.XLOOKUP(B136,QUERY!$C:$C,QUERY!AC:AC)</f>
        <v>46153</v>
      </c>
      <c r="GC136" s="3">
        <f>_xlfn.XLOOKUP(B136,QUERY!$C:$C,QUERY!AD:AD)</f>
        <v>0</v>
      </c>
      <c r="GD136" s="4">
        <f>_xlfn.XLOOKUP(B136,QUERY!$C:$C,QUERY!AE:AE)</f>
        <v>46153</v>
      </c>
      <c r="GE136" s="3">
        <f>_xlfn.XLOOKUP(B136,QUERY!$C:$C,QUERY!AF:AF)</f>
        <v>1</v>
      </c>
      <c r="GF136" s="4" t="str">
        <f>_xlfn.XLOOKUP(B136,QUERY!$C:$C,QUERY!AG:AG)</f>
        <v>Es anterior</v>
      </c>
      <c r="GG136" s="3" t="str">
        <f>_xlfn.XLOOKUP(B136,QUERY!$C:$C,QUERY!AH:AH)</f>
        <v>A1</v>
      </c>
      <c r="GH136" s="3" t="str">
        <f>_xlfn.XLOOKUP(B136,QUERY!$C:$C,QUERY!AI:AI)</f>
        <v>ZULEIMA PEREZ RUIZ</v>
      </c>
      <c r="GI136" s="3" t="str">
        <f>_xlfn.XLOOKUP(B136,QUERY!$C:$C,QUERY!AJ:AJ)</f>
        <v>HLCUANR260264210</v>
      </c>
      <c r="GJ136" s="3" t="str">
        <f>_xlfn.XLOOKUP(B136,QUERY!$C:$C,QUERY!AK:AK)</f>
        <v>NULL</v>
      </c>
      <c r="GK136" s="3">
        <f>_xlfn.XLOOKUP(B136,QUERY!$C:$C,QUERY!AL:AL)</f>
        <v>6000433</v>
      </c>
      <c r="GL136" s="3" t="str">
        <f>_xlfn.XLOOKUP(B136,QUERY!$C:$C,QUERY!AM:AM)</f>
        <v>Importación</v>
      </c>
      <c r="GM136" s="3" t="str">
        <f>_xlfn.XLOOKUP(B136,QUERY!$C:$C,QUERY!AN:AN)</f>
        <v>BRAVECTO 1000 MG (MEDICAMENTO DOSIFICADO DE USO VETERINARIO)</v>
      </c>
      <c r="GN136" s="3" t="str">
        <f>_xlfn.XLOOKUP(B136,QUERY!$C:$C,QUERY!AO:AO)</f>
        <v>SIN CLASIFICACION</v>
      </c>
      <c r="GO136" s="3">
        <f>_xlfn.XLOOKUP(B136,QUERY!$C:$C,QUERY!AP:AP)</f>
        <v>0</v>
      </c>
      <c r="GP136" s="3" t="str">
        <f>_xlfn.XLOOKUP(B136,QUERY!$C:$C,QUERY!AQ:AQ)</f>
        <v>Cargas de Importación</v>
      </c>
      <c r="GQ136" s="3" t="str">
        <f>_xlfn.XLOOKUP(B136,QUERY!$C:$C,QUERY!AR:AR)</f>
        <v>INTERVET MEXICO SA DE CV</v>
      </c>
      <c r="GR136" s="3">
        <f>_xlfn.XLOOKUP(B136,QUERY!$C:$C,QUERY!AS:AS)</f>
        <v>0</v>
      </c>
      <c r="GS136" s="3" t="str">
        <f>_xlfn.XLOOKUP(B136,QUERY!$C:$C,QUERY!AT:AT)</f>
        <v>NINGUNO</v>
      </c>
      <c r="GT136" s="3">
        <f>_xlfn.XLOOKUP(B136,QUERY!$C:$C,QUERY!AU:AU)</f>
        <v>0</v>
      </c>
      <c r="GU136" s="3" t="str">
        <f>_xlfn.XLOOKUP(B136,QUERY!$C:$C,QUERY!AV:AV)</f>
        <v>NINGUNO</v>
      </c>
      <c r="GV136" s="3" t="str">
        <f>_xlfn.XLOOKUP(B136,QUERY!$C:$C,QUERY!AW:AW)</f>
        <v>PRODUCTO TERMINADO</v>
      </c>
      <c r="GW136" s="3" t="str">
        <f>_xlfn.XLOOKUP(B136,QUERY!$C:$C,QUERY!AX:AX)</f>
        <v>Rojo</v>
      </c>
      <c r="GX136" s="3" t="str">
        <f>_xlfn.XLOOKUP(B136,QUERY!$C:$C,QUERY!AY:AY)</f>
        <v xml:space="preserve"> MLH TRANSPORTE, S.A. DE C.V.</v>
      </c>
      <c r="GY136" s="3" t="str">
        <f>_xlfn.XLOOKUP(B136,QUERY!$C:$C,QUERY!AZ:AZ)</f>
        <v>TRACTOCAMION ECO 04 RED</v>
      </c>
      <c r="GZ136" s="3">
        <f>_xlfn.XLOOKUP(B136,QUERY!$C:$C,QUERY!BA:BA)</f>
        <v>0</v>
      </c>
      <c r="HA136" s="3" t="str">
        <f>_xlfn.XLOOKUP(B136,QUERY!$C:$C,QUERY!BB:BB)</f>
        <v>IME850329RH2</v>
      </c>
      <c r="HB136" s="3">
        <f>_xlfn.XLOOKUP(B136,QUERY!$C:$C,QUERY!BC:BC)</f>
        <v>0</v>
      </c>
      <c r="HC136" s="3">
        <f>_xlfn.XLOOKUP(B136,QUERY!$C:$C,QUERY!BD:BD)</f>
        <v>99</v>
      </c>
      <c r="HD136" s="3" t="str">
        <f>_xlfn.XLOOKUP(B136,QUERY!$C:$C,QUERY!BE:BE)</f>
        <v>LOTE: 25M4254C01,LOTE: 5793103,LOTE: H120A01,LOTE: H127A01</v>
      </c>
      <c r="HE136" s="3">
        <f>_xlfn.XLOOKUP(B136,QUERY!$C:$C,QUERY!BF:BF)</f>
        <v>90</v>
      </c>
      <c r="HF136" s="3" t="str">
        <f>_xlfn.XLOOKUP(B136,QUERY!$C:$C,QUERY!BG:BG)</f>
        <v xml:space="preserve"> 4935456.00, 983496.00, 1527921.57, 1473391.36</v>
      </c>
      <c r="HG136" s="3" t="str">
        <f>_xlfn.XLOOKUP(B136,QUERY!$C:$C,QUERY!BH:BH)</f>
        <v>KILO,KILO,KILO,KILO</v>
      </c>
      <c r="HH136" s="3">
        <f>_xlfn.XLOOKUP(B136,QUERY!$C:$C,QUERY!BI:BI)</f>
        <v>0</v>
      </c>
      <c r="HI136" s="3" t="str">
        <f>_xlfn.XLOOKUP(B136,QUERY!$C:$C,QUERY!BJ:BJ)</f>
        <v>ALEMANIA (REPUBLICA FEDERAL DE),AUSTRIA (REPUBLICA DE),PAISES BAJOS (REINO DE LOS) (HOLANDA)</v>
      </c>
      <c r="HJ136" s="3" t="str">
        <f>_xlfn.XLOOKUP(B136,QUERY!$C:$C,QUERY!BK:BK)</f>
        <v>PAISES BAJOS (REINO DE LOS) (HOLANDA)</v>
      </c>
      <c r="HK136" s="3" t="str">
        <f>_xlfn.XLOOKUP(B136,QUERY!$C:$C,QUERY!BL:BL)</f>
        <v>AUT,DEU,ZYA</v>
      </c>
      <c r="HL136" s="3" t="str">
        <f>_xlfn.XLOOKUP(B136,QUERY!$C:$C,QUERY!BM:BM)</f>
        <v>ZYA</v>
      </c>
      <c r="HM136" s="3">
        <f>_xlfn.XLOOKUP(B136,QUERY!$C:$C,QUERY!BN:BN)</f>
        <v>8920265</v>
      </c>
      <c r="HN136" s="3" t="str">
        <f>_xlfn.XLOOKUP(B136,QUERY!$C:$C,QUERY!BO:BO)</f>
        <v>39484.00</v>
      </c>
      <c r="HO136" s="3" t="str">
        <f>_xlfn.XLOOKUP(B136,QUERY!$C:$C,QUERY!BP:BP)</f>
        <v>NULL</v>
      </c>
      <c r="HP136" s="3" t="str">
        <f>_xlfn.XLOOKUP(B136,QUERY!$C:$C,QUERY!BQ:BQ)</f>
        <v>493546.00</v>
      </c>
      <c r="HQ136" s="3" t="str">
        <f>_xlfn.XLOOKUP(B136,QUERY!$C:$C,QUERY!BR:BR)</f>
        <v>173677.59</v>
      </c>
      <c r="HR136" s="3">
        <f>_xlfn.XLOOKUP(B136,QUERY!$C:$C,QUERY!BS:BS)</f>
        <v>0</v>
      </c>
      <c r="HS136" s="3">
        <f>_xlfn.XLOOKUP(B136,QUERY!$C:$C,QUERY!BT:BT)</f>
        <v>0</v>
      </c>
      <c r="HT136" s="3" t="str">
        <f>_xlfn.XLOOKUP(B136,QUERY!$C:$C,QUERY!A:A)</f>
        <v>VERACRUZ</v>
      </c>
      <c r="HU136" s="3" t="str">
        <f>_xlfn.XLOOKUP(B136,QUERY!$C:$C,QUERY!B:B)</f>
        <v>MARÍTIMO VERACRUZ</v>
      </c>
    </row>
    <row r="137" spans="1:229" x14ac:dyDescent="0.25">
      <c r="A137" s="3" t="s">
        <v>90</v>
      </c>
      <c r="B137" s="3" t="s">
        <v>366</v>
      </c>
      <c r="C137" s="3">
        <v>3942</v>
      </c>
      <c r="D137" s="3">
        <v>6000434</v>
      </c>
      <c r="E137" s="3"/>
      <c r="F137" s="3" t="s">
        <v>92</v>
      </c>
      <c r="G137" s="3" t="s">
        <v>93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17.7957</v>
      </c>
      <c r="Q137" s="3">
        <v>5571</v>
      </c>
      <c r="R137" s="3">
        <v>430</v>
      </c>
      <c r="S137" s="3" t="s">
        <v>367</v>
      </c>
      <c r="T137" s="3" t="s">
        <v>130</v>
      </c>
      <c r="U137" s="3">
        <v>41757683</v>
      </c>
      <c r="V137" s="3">
        <v>41757683</v>
      </c>
      <c r="W137" s="3">
        <v>0</v>
      </c>
      <c r="X137" s="3">
        <v>0</v>
      </c>
      <c r="Y137" s="3">
        <v>0</v>
      </c>
      <c r="Z137" s="3">
        <v>0</v>
      </c>
      <c r="AA137" s="3" t="s">
        <v>159</v>
      </c>
      <c r="AB137" s="3"/>
      <c r="AC137" s="3">
        <v>959881</v>
      </c>
      <c r="AD137" s="3">
        <v>532.37991999999997</v>
      </c>
      <c r="AE137" s="3">
        <v>808</v>
      </c>
      <c r="AF137" s="3">
        <v>0</v>
      </c>
      <c r="AG137" s="3">
        <v>0</v>
      </c>
      <c r="AH137" s="3">
        <v>0</v>
      </c>
      <c r="AI137" s="3">
        <v>53</v>
      </c>
      <c r="AJ137" s="3">
        <v>462</v>
      </c>
      <c r="AK137" s="3">
        <v>0</v>
      </c>
      <c r="AL137" s="3">
        <v>0</v>
      </c>
      <c r="AM137" s="3">
        <v>330</v>
      </c>
      <c r="AN137" s="3">
        <v>845</v>
      </c>
      <c r="AO137" s="3" t="s">
        <v>97</v>
      </c>
      <c r="AP137" s="3" t="s">
        <v>98</v>
      </c>
      <c r="AQ137" s="3">
        <v>210368546</v>
      </c>
      <c r="AR137" s="3" t="s">
        <v>99</v>
      </c>
      <c r="AS137" s="3" t="s">
        <v>100</v>
      </c>
      <c r="AT137" s="3" t="s">
        <v>368</v>
      </c>
      <c r="AU137" s="3"/>
      <c r="AV137" s="3" t="s">
        <v>146</v>
      </c>
      <c r="AW137" s="3">
        <v>30024201</v>
      </c>
      <c r="AX137" s="3">
        <v>99</v>
      </c>
      <c r="AY137" s="3">
        <v>1803</v>
      </c>
      <c r="AZ137" s="3">
        <v>1803</v>
      </c>
      <c r="BA137" s="3" t="s">
        <v>103</v>
      </c>
      <c r="BB137" s="3"/>
      <c r="BC137" s="3" t="s">
        <v>105</v>
      </c>
      <c r="BD137" s="3" t="s">
        <v>105</v>
      </c>
      <c r="BE137" s="3" t="s">
        <v>228</v>
      </c>
      <c r="BF137" s="3" t="s">
        <v>117</v>
      </c>
      <c r="BG137" s="5" t="s">
        <v>369</v>
      </c>
      <c r="BH137" s="3" t="s">
        <v>148</v>
      </c>
      <c r="BI137" s="3"/>
      <c r="BJ137" s="3" t="s">
        <v>109</v>
      </c>
      <c r="BK137" s="3" t="s">
        <v>370</v>
      </c>
      <c r="BL137" s="3">
        <v>45086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44379.18</v>
      </c>
      <c r="BY137" s="3">
        <v>0</v>
      </c>
      <c r="BZ137" s="3">
        <v>0</v>
      </c>
      <c r="CA137" s="3">
        <v>36525.379999999997</v>
      </c>
      <c r="CB137" s="3">
        <v>18000</v>
      </c>
      <c r="CC137" s="3">
        <v>3342.4</v>
      </c>
      <c r="CD137" s="3">
        <v>248801.02</v>
      </c>
      <c r="CE137" s="3" t="s">
        <v>192</v>
      </c>
      <c r="CF137" s="3">
        <v>248801.02</v>
      </c>
      <c r="CG137" s="3">
        <v>0</v>
      </c>
      <c r="CH137" s="3">
        <v>0</v>
      </c>
      <c r="CI137" s="3" t="s">
        <v>112</v>
      </c>
      <c r="CJ137" s="3" t="s">
        <v>112</v>
      </c>
      <c r="CK137" s="3">
        <f>_xlfn.XLOOKUP($B$2,'BASE DE EXCEL'!C:C,'BASE DE EXCEL'!D:D,"NO HAY REFERENCIA")</f>
        <v>470</v>
      </c>
      <c r="CL137" s="5">
        <f>_xlfn.XLOOKUP($B$2,'BASE DE EXCEL'!$C:$C,'BASE DE EXCEL'!F:F,"NO HAY REFERENCIA")</f>
        <v>3</v>
      </c>
      <c r="CM137" s="4">
        <f>_xlfn.XLOOKUP($B$2,'BASE DE EXCEL'!$C:$C,'BASE DE EXCEL'!G:G,"NO HAY REFERENCIA")</f>
        <v>46080</v>
      </c>
      <c r="CN137" s="4">
        <f>_xlfn.XLOOKUP($B$2,'BASE DE EXCEL'!$C:$C,'BASE DE EXCEL'!H:H,"NO HAY REFERENCIA")</f>
        <v>46086</v>
      </c>
      <c r="CO137" s="3">
        <f>_xlfn.XLOOKUP($B$2,'BASE DE EXCEL'!$C:$C,'BASE DE EXCEL'!I:I,"NO HAY REFERENCIA")</f>
        <v>4</v>
      </c>
      <c r="CP137" s="3" t="str">
        <f>_xlfn.XLOOKUP($B$2,'BASE DE EXCEL'!$C:$C,'BASE DE EXCEL'!J:J,"NO HAY REFERENCIA")</f>
        <v>4 a 5 días</v>
      </c>
      <c r="CQ137" s="4">
        <f>_xlfn.XLOOKUP($B$2,'BASE DE EXCEL'!$C:$C,'BASE DE EXCEL'!K:K,"NO HAY REFERENCIA")</f>
        <v>46087</v>
      </c>
      <c r="CR137" s="3">
        <f>_xlfn.XLOOKUP($B$2,'BASE DE EXCEL'!$C:$C,'BASE DE EXCEL'!L:L,"NO HAY REFERENCIA")</f>
        <v>5</v>
      </c>
      <c r="CS137" s="3">
        <f>_xlfn.XLOOKUP($B$2,'BASE DE EXCEL'!$C:$C,'BASE DE EXCEL'!M:M,"NO HAY REFERENCIA")</f>
        <v>6</v>
      </c>
      <c r="CT137" s="3" t="str">
        <f>_xlfn.XLOOKUP($B$2,'BASE DE EXCEL'!$C:$C,'BASE DE EXCEL'!N:N,"NO HAY REFERENCIA")</f>
        <v>6 a 10 días</v>
      </c>
      <c r="CU137" s="3" t="str">
        <f>_xlfn.XLOOKUP($B$2,'BASE DE EXCEL'!$C:$C,'BASE DE EXCEL'!O:O,"NO HAY REFERENCIA")</f>
        <v>On Time</v>
      </c>
      <c r="CV137" s="3" t="str">
        <f>_xlfn.XLOOKUP(B137,'BASE DE EXCEL'!$C:$C,'BASE DE EXCEL'!P:P,"NO HAY REFERENCIA")</f>
        <v>6 a 10 días</v>
      </c>
      <c r="CW137" s="4">
        <f>_xlfn.XLOOKUP(B137,'BASE DE EXCEL'!$C:$C,'BASE DE EXCEL'!Q:Q,"NO HAY REFERENCIA")</f>
        <v>46119</v>
      </c>
      <c r="CX137" s="3">
        <f>_xlfn.XLOOKUP(B137,'BASE DE EXCEL'!$C:$C,'BASE DE EXCEL'!R:R,"NO HAY REFERENCIA")</f>
        <v>5</v>
      </c>
      <c r="CY137" s="3" t="str">
        <f>_xlfn.XLOOKUP(B137,'BASE DE EXCEL'!$C:$C,'BASE DE EXCEL'!S:S,"NO HAY REFERENCIA")</f>
        <v>4 a 5 días</v>
      </c>
      <c r="CZ137" s="3" t="str">
        <f>_xlfn.XLOOKUP(B137,'BASE DE EXCEL'!$C:$C,'BASE DE EXCEL'!T:T,"NO HAY REFERENCIA")</f>
        <v>On Time</v>
      </c>
      <c r="DA137" s="3">
        <f>_xlfn.XLOOKUP(B137,'BASE DE EXCEL'!$C:$C,'BASE DE EXCEL'!U:U,"NO HAY REFERENCIA")</f>
        <v>8</v>
      </c>
      <c r="DB137" s="3" t="str">
        <f>_xlfn.XLOOKUP(B137,'BASE DE EXCEL'!$C:$C,'BASE DE EXCEL'!V:V,"NO HAY REFERENCIA")</f>
        <v>6 a 10 días</v>
      </c>
      <c r="DC137" s="3">
        <f>_xlfn.XLOOKUP(B137,'BASE DE EXCEL'!$C:$C,'BASE DE EXCEL'!W:W,"NO HAY REFERENCIA")</f>
        <v>14</v>
      </c>
      <c r="DD137" s="3" t="str">
        <f>_xlfn.XLOOKUP(B137,'BASE DE EXCEL'!$C:$C,'BASE DE EXCEL'!X:X,"NO HAY REFERENCIA")</f>
        <v>11 a 15 días</v>
      </c>
      <c r="DE137" s="3">
        <f>_xlfn.XLOOKUP(B137,'BASE DE EXCEL'!$C:$C,'BASE DE EXCEL'!Y:Y,"NO HAY REFERENCIA")</f>
        <v>0</v>
      </c>
      <c r="DF137" s="3" t="str">
        <f>_xlfn.XLOOKUP(B137,'BASE DE EXCEL'!$C:$C,'BASE DE EXCEL'!Z:Z,"NO HAY REFERENCIA")</f>
        <v>1 día o menos</v>
      </c>
      <c r="DG137" s="3">
        <f>_xlfn.XLOOKUP(B137,'BASE DE EXCEL'!$C:$C,'BASE DE EXCEL'!AA:AA,"NO HAY REFERENCIA")</f>
        <v>7</v>
      </c>
      <c r="DH137" s="3">
        <f>_xlfn.XLOOKUP(B137,'BASE DE EXCEL'!$C:$C,'BASE DE EXCEL'!AB:AB,"NO HAY REFERENCIA")</f>
        <v>1</v>
      </c>
      <c r="DI137" s="3" t="str">
        <f>_xlfn.XLOOKUP(B137,'BASE DE EXCEL'!$C:$C,'BASE DE EXCEL'!AC:AC,"NO HAY REFERENCIA")</f>
        <v>1 día o menos</v>
      </c>
      <c r="DJ137" s="4">
        <f>_xlfn.XLOOKUP(B137,'BASE DE EXCEL'!$C:$C,'BASE DE EXCEL'!AD:AD,"NO HAY REFERENCIA")</f>
        <v>46129</v>
      </c>
      <c r="DK137" s="3">
        <f>_xlfn.XLOOKUP(B137,'BASE DE EXCEL'!$C:$C,'BASE DE EXCEL'!AE:AE,"NO HAY REFERENCIA")</f>
        <v>9</v>
      </c>
      <c r="DL137" s="3">
        <f>_xlfn.XLOOKUP(B137,'BASE DE EXCEL'!$C:$C,'BASE DE EXCEL'!AF:AF,"NO HAY REFERENCIA")</f>
        <v>8</v>
      </c>
      <c r="DM137" s="4">
        <f>_xlfn.XLOOKUP(B137,'BASE DE EXCEL'!$C:$C,'BASE DE EXCEL'!AG:AG,"NO HAY REFERENCIA")</f>
        <v>46128</v>
      </c>
      <c r="DN137" s="4">
        <f>_xlfn.XLOOKUP(B137,'BASE DE EXCEL'!$C:$C,'BASE DE EXCEL'!AH:AH,"NO HAY REFERENCIA")</f>
        <v>46129</v>
      </c>
      <c r="DO137" s="3">
        <f>_xlfn.XLOOKUP(B137,'BASE DE EXCEL'!$C:$C,'BASE DE EXCEL'!AI:AI,"NO HAY REFERENCIA")</f>
        <v>1</v>
      </c>
      <c r="DP137" s="4" t="str">
        <f>_xlfn.XLOOKUP(B137,'BASE DE EXCEL'!$C:$C,'BASE DE EXCEL'!AJ:AJ,"NO HAY REFERENCIA")</f>
        <v>6 a 10 días</v>
      </c>
      <c r="DQ137" s="4">
        <f>_xlfn.XLOOKUP(B137,'BASE DE EXCEL'!$C:$C,'BASE DE EXCEL'!AK:AK,"NO HAY REFERENCIA")</f>
        <v>46129</v>
      </c>
      <c r="DR137" s="3">
        <f>_xlfn.XLOOKUP(B137,'BASE DE EXCEL'!$C:$C,'BASE DE EXCEL'!AL:AL,"NO HAY REFERENCIA")</f>
        <v>9</v>
      </c>
      <c r="DS137" s="3" t="str">
        <f>_xlfn.XLOOKUP(B137,'BASE DE EXCEL'!$C:$C,'BASE DE EXCEL'!AM:AM,"NO HAY REFERENCIA")</f>
        <v>6 a 10 días</v>
      </c>
      <c r="DT137" s="3" t="str">
        <f>_xlfn.XLOOKUP(B137,'BASE DE EXCEL'!$C:$C,'BASE DE EXCEL'!AN:AN,"NO HAY REFERENCIA")</f>
        <v>Delayed</v>
      </c>
      <c r="DU137" s="3">
        <f>_xlfn.XLOOKUP(B137,'BASE DE EXCEL'!$C:$C,'BASE DE EXCEL'!AO:AO,"NO HAY REFERENCIA")</f>
        <v>1</v>
      </c>
      <c r="DV137" s="3" t="str">
        <f>_xlfn.XLOOKUP(B137,'BASE DE EXCEL'!$C:$C,'BASE DE EXCEL'!AP:AP,"NO HAY REFERENCIA")</f>
        <v>Es anterior</v>
      </c>
      <c r="DW137" s="3" t="str">
        <f>_xlfn.XLOOKUP(B137,'BASE DE EXCEL'!$C:$C,'BASE DE EXCEL'!AQ:AQ,"NO HAY REFERENCIA")</f>
        <v>A1</v>
      </c>
      <c r="DX137" s="3" t="str">
        <f>_xlfn.XLOOKUP(B137,'BASE DE EXCEL'!$C:$C,'BASE DE EXCEL'!AR:AR,"NO HAY REFERENCIA")</f>
        <v>ZULEIMA PEREZ RUIZ</v>
      </c>
      <c r="DY137" s="3" t="str">
        <f>_xlfn.XLOOKUP(B137,'BASE DE EXCEL'!$C:$C,'BASE DE EXCEL'!AS:AS,"NO HAY REFERENCIA")</f>
        <v>HLCURTM260288670</v>
      </c>
      <c r="DZ137" s="3" t="str">
        <f>_xlfn.XLOOKUP(B137,'BASE DE EXCEL'!$C:$C,'BASE DE EXCEL'!AT:AT,"NO HAY REFERENCIA")</f>
        <v>NULL</v>
      </c>
      <c r="EA137" s="3">
        <f>_xlfn.XLOOKUP(B137,'BASE DE EXCEL'!$C:$C,'BASE DE EXCEL'!AU:AU,"NO HAY REFERENCIA")</f>
        <v>6000434</v>
      </c>
      <c r="EB137" s="3" t="str">
        <f>_xlfn.XLOOKUP(B137,'BASE DE EXCEL'!$C:$C,'BASE DE EXCEL'!AV:AV,"NO HAY REFERENCIA")</f>
        <v>Importación</v>
      </c>
      <c r="EC137" s="3" t="str">
        <f>_xlfn.XLOOKUP(B137,'BASE DE EXCEL'!$C:$C,'BASE DE EXCEL'!AW:AW,"NO HAY REFERENCIA")</f>
        <v>NOBIVAC DH PARVO C (VACUNA DE USO VETERINARIO)</v>
      </c>
      <c r="ED137" s="3" t="str">
        <f>_xlfn.XLOOKUP(B137,'BASE DE EXCEL'!$C:$C,'BASE DE EXCEL'!AX:AX,"NO HAY REFERENCIA")</f>
        <v>SIN CLASIFICACION</v>
      </c>
      <c r="EE137" s="3">
        <f>_xlfn.XLOOKUP(B137,'BASE DE EXCEL'!$C:$C,'BASE DE EXCEL'!AY:AY,"NO HAY REFERENCIA")</f>
        <v>0</v>
      </c>
      <c r="EF137" s="3" t="str">
        <f>_xlfn.XLOOKUP(B137,'BASE DE EXCEL'!$C:$C,'BASE DE EXCEL'!AZ:AZ,"NO HAY REFERENCIA")</f>
        <v>Cargas de Importación</v>
      </c>
      <c r="EG137" s="3" t="str">
        <f>_xlfn.XLOOKUP(B137,'BASE DE EXCEL'!$C:$C,'BASE DE EXCEL'!BA:BA,"NO HAY REFERENCIA")</f>
        <v>INTERVET MEXICO SA DE CV</v>
      </c>
      <c r="EH137" s="3">
        <f>_xlfn.XLOOKUP(B137,'BASE DE EXCEL'!$C:$C,'BASE DE EXCEL'!BB:BB,"NO HAY REFERENCIA")</f>
        <v>0</v>
      </c>
      <c r="EI137" s="3" t="str">
        <f>_xlfn.XLOOKUP(B137,'BASE DE EXCEL'!$C:$C,'BASE DE EXCEL'!BC:BC,"NO HAY REFERENCIA")</f>
        <v>NINGUNO</v>
      </c>
      <c r="EJ137" s="3">
        <f>_xlfn.XLOOKUP(B137,'BASE DE EXCEL'!$C:$C,'BASE DE EXCEL'!BD:BD,"NO HAY REFERENCIA")</f>
        <v>0</v>
      </c>
      <c r="EK137" s="3" t="str">
        <f>_xlfn.XLOOKUP(B137,'BASE DE EXCEL'!$C:$C,'BASE DE EXCEL'!BE:BE,"NO HAY REFERENCIA")</f>
        <v>NINGUNO</v>
      </c>
      <c r="EL137" s="3" t="str">
        <f>_xlfn.XLOOKUP(B137,'BASE DE EXCEL'!$C:$C,'BASE DE EXCEL'!BF:BF,"NO HAY REFERENCIA")</f>
        <v>PRODUCTO TERMINADO</v>
      </c>
      <c r="EM137" s="3" t="str">
        <f>_xlfn.XLOOKUP(B137,'BASE DE EXCEL'!$C:$C,'BASE DE EXCEL'!BG:BG,"NO HAY REFERENCIA")</f>
        <v>Rojo</v>
      </c>
      <c r="EN137" s="3" t="str">
        <f>_xlfn.XLOOKUP(B137,'BASE DE EXCEL'!$C:$C,'BASE DE EXCEL'!BH:BH,"NO HAY REFERENCIA")</f>
        <v xml:space="preserve"> MLH TRANSPORTE, S.A. DE C.V.</v>
      </c>
      <c r="EO137" s="3" t="str">
        <f>_xlfn.XLOOKUP(B137,'BASE DE EXCEL'!$C:$C,'BASE DE EXCEL'!BI:BI,"NO HAY REFERENCIA")</f>
        <v>TRACTOCAMION ECO 110</v>
      </c>
      <c r="EP137" s="3">
        <f>_xlfn.XLOOKUP(B137,'BASE DE EXCEL'!$C:$C,'BASE DE EXCEL'!BJ:BJ,"NO HAY REFERENCIA")</f>
        <v>0</v>
      </c>
      <c r="EQ137" s="3" t="str">
        <f>_xlfn.XLOOKUP(B137,'BASE DE EXCEL'!$C:$C,'BASE DE EXCEL'!BK:BK,"NO HAY REFERENCIA")</f>
        <v>IME850329RH2</v>
      </c>
      <c r="ER137" s="3">
        <f>_xlfn.XLOOKUP(B137,'BASE DE EXCEL'!$C:$C,'BASE DE EXCEL'!BL:BL,"NO HAY REFERENCIA")</f>
        <v>0</v>
      </c>
      <c r="ES137" s="3">
        <f>_xlfn.XLOOKUP(B137,'BASE DE EXCEL'!$C:$C,'BASE DE EXCEL'!BM:BM,"NO HAY REFERENCIA")</f>
        <v>99</v>
      </c>
      <c r="ET137" s="3" t="str">
        <f>_xlfn.XLOOKUP(B137,'BASE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37" s="3">
        <f>_xlfn.XLOOKUP(B137,'BASE DE EXCEL'!$C:$C,'BASE DE EXCEL'!BO:BO,"NO HAY REFERENCIA")</f>
        <v>90</v>
      </c>
      <c r="EV137" s="3" t="str">
        <f>_xlfn.XLOOKUP(B137,'BASE DE EXCEL'!$C:$C,'BASE DE EXCEL'!BP:BP,"NO HAY REFERENCIA")</f>
        <v xml:space="preserve"> 11626987.90, 30130695.36</v>
      </c>
      <c r="EW137" s="3" t="str">
        <f>_xlfn.XLOOKUP(B137,'BASE DE EXCEL'!$C:$C,'BASE DE EXCEL'!BQ:BQ,"NO HAY REFERENCIA")</f>
        <v>KILO,KILO,KILO,KILO,KILO,KILO,KILO,KILO,KILO,KILO,KILO,KILO,KILO</v>
      </c>
      <c r="EX137" s="3">
        <f>_xlfn.XLOOKUP(B137,'BASE DE EXCEL'!$C:$C,'BASE DE EXCEL'!BR:BR,"NO HAY REFERENCIA")</f>
        <v>0</v>
      </c>
      <c r="EY137" s="3" t="str">
        <f>_xlfn.XLOOKUP(B137,'BASE DE EXCEL'!$C:$C,'BASE DE EXCEL'!BS:BS,"NO HAY REFERENCIA")</f>
        <v>PAISES BAJOS (REINO DE LOS) (HOLANDA)</v>
      </c>
      <c r="EZ137" s="3" t="str">
        <f>_xlfn.XLOOKUP(B137,'BASE DE EXCEL'!$C:$C,'BASE DE EXCEL'!BT:BT,"NO HAY REFERENCIA")</f>
        <v>PAISES BAJOS (REINO DE LOS) (HOLANDA)</v>
      </c>
      <c r="FA137" s="3" t="str">
        <f>_xlfn.XLOOKUP(B137,'BASE DE EXCEL'!$C:$C,'BASE DE EXCEL'!BU:BU,"NO HAY REFERENCIA")</f>
        <v>ZYA</v>
      </c>
      <c r="FB137" s="3" t="str">
        <f>_xlfn.XLOOKUP(B137,'BASE DE EXCEL'!$C:$C,'BASE DE EXCEL'!BV:BV,"NO HAY REFERENCIA")</f>
        <v>ZYA</v>
      </c>
      <c r="FC137" s="3">
        <f>_xlfn.XLOOKUP(B137,QUERY!$C:$C,QUERY!D:D)</f>
        <v>430</v>
      </c>
      <c r="FD137" s="4">
        <f>_xlfn.XLOOKUP(B137,QUERY!$C:$C,QUERY!E:E)</f>
        <v>46118</v>
      </c>
      <c r="FE137" s="3">
        <f>_xlfn.XLOOKUP(B137,QUERY!$C:$C,QUERY!F:F)</f>
        <v>4</v>
      </c>
      <c r="FF137" s="4">
        <f>_xlfn.XLOOKUP(B137,QUERY!$C:$C,QUERY!G:G)</f>
        <v>46111</v>
      </c>
      <c r="FG137" s="4">
        <f>_xlfn.XLOOKUP(B137,QUERY!$C:$C,QUERY!H:H)</f>
        <v>46118</v>
      </c>
      <c r="FH137" s="3">
        <f>_xlfn.XLOOKUP(B137,QUERY!$C:$C,QUERY!I:I)</f>
        <v>5</v>
      </c>
      <c r="FI137" s="3" t="str">
        <f>_xlfn.XLOOKUP(B137,QUERY!$C:$C,QUERY!J:J)</f>
        <v>4 a 5 días</v>
      </c>
      <c r="FJ137" s="4">
        <f>_xlfn.XLOOKUP(B137,QUERY!$C:$C,QUERY!K:K)</f>
        <v>46118</v>
      </c>
      <c r="FK137" s="3">
        <f>_xlfn.XLOOKUP(B137,QUERY!$C:$C,QUERY!L:L)</f>
        <v>5</v>
      </c>
      <c r="FL137" s="3" t="str">
        <f>_xlfn.XLOOKUP(B137,QUERY!$C:$C,QUERY!M:M)</f>
        <v>4 a 5 días</v>
      </c>
      <c r="FM137" s="3">
        <f>_xlfn.XLOOKUP(B137,QUERY!$C:$C,QUERY!N:N)</f>
        <v>0</v>
      </c>
      <c r="FN137" s="3" t="str">
        <f>_xlfn.XLOOKUP(B137,QUERY!$C:$C,QUERY!O:O)</f>
        <v>1 día o menos</v>
      </c>
      <c r="FO137" s="3">
        <f>_xlfn.XLOOKUP(B137,QUERY!$C:$C,QUERY!P:P)</f>
        <v>0</v>
      </c>
      <c r="FP137" s="3">
        <f>_xlfn.XLOOKUP(B137,QUERY!$C:$C,QUERY!Q:Q)</f>
        <v>1</v>
      </c>
      <c r="FQ137" s="3" t="str">
        <f>_xlfn.XLOOKUP(B137,QUERY!$C:$C,QUERY!R:R)</f>
        <v>1 día o menos</v>
      </c>
      <c r="FR137" s="4">
        <f>_xlfn.XLOOKUP(B137,QUERY!$C:$C,QUERY!S:S)</f>
        <v>46119</v>
      </c>
      <c r="FS137" s="3">
        <f>_xlfn.XLOOKUP(B137,QUERY!$C:$C,QUERY!T:T)</f>
        <v>6</v>
      </c>
      <c r="FT137" s="3" t="str">
        <f>_xlfn.XLOOKUP(B137,QUERY!$C:$C,QUERY!U:U)</f>
        <v>6 a 10 días</v>
      </c>
      <c r="FU137" s="3">
        <f>_xlfn.XLOOKUP(B137,QUERY!$C:$C,QUERY!V:V)</f>
        <v>14</v>
      </c>
      <c r="FV137" s="3" t="str">
        <f>_xlfn.XLOOKUP(B137,QUERY!$C:$C,QUERY!W:W)</f>
        <v>11 a 15 días</v>
      </c>
      <c r="FW137" s="4">
        <f>_xlfn.XLOOKUP(B137,QUERY!$C:$C,QUERY!X:X)</f>
        <v>46129</v>
      </c>
      <c r="FX137" s="3">
        <f>_xlfn.XLOOKUP(B137,QUERY!$C:$C,QUERY!Y:Y)</f>
        <v>7</v>
      </c>
      <c r="FY137" s="3">
        <f>_xlfn.XLOOKUP(B137,QUERY!$C:$C,QUERY!Z:Z)</f>
        <v>8</v>
      </c>
      <c r="FZ137" s="4" t="str">
        <f>_xlfn.XLOOKUP(B137,QUERY!$C:$C,QUERY!AA:AA)</f>
        <v>6 a 10 días</v>
      </c>
      <c r="GA137" s="4">
        <f>_xlfn.XLOOKUP(B137,QUERY!$C:$C,QUERY!AB:AB)</f>
        <v>46128</v>
      </c>
      <c r="GB137" s="4">
        <f>_xlfn.XLOOKUP(B137,QUERY!$C:$C,QUERY!AC:AC)</f>
        <v>46129</v>
      </c>
      <c r="GC137" s="3">
        <f>_xlfn.XLOOKUP(B137,QUERY!$C:$C,QUERY!AD:AD)</f>
        <v>1</v>
      </c>
      <c r="GD137" s="4">
        <f>_xlfn.XLOOKUP(B137,QUERY!$C:$C,QUERY!AE:AE)</f>
        <v>46129</v>
      </c>
      <c r="GE137" s="3">
        <f>_xlfn.XLOOKUP(B137,QUERY!$C:$C,QUERY!AF:AF)</f>
        <v>1</v>
      </c>
      <c r="GF137" s="4" t="str">
        <f>_xlfn.XLOOKUP(B137,QUERY!$C:$C,QUERY!AG:AG)</f>
        <v>Es anterior</v>
      </c>
      <c r="GG137" s="3" t="str">
        <f>_xlfn.XLOOKUP(B137,QUERY!$C:$C,QUERY!AH:AH)</f>
        <v>A1</v>
      </c>
      <c r="GH137" s="3" t="str">
        <f>_xlfn.XLOOKUP(B137,QUERY!$C:$C,QUERY!AI:AI)</f>
        <v>ZULEIMA PEREZ RUIZ</v>
      </c>
      <c r="GI137" s="3" t="str">
        <f>_xlfn.XLOOKUP(B137,QUERY!$C:$C,QUERY!AJ:AJ)</f>
        <v>HLCURTM260288670</v>
      </c>
      <c r="GJ137" s="3" t="str">
        <f>_xlfn.XLOOKUP(B137,QUERY!$C:$C,QUERY!AK:AK)</f>
        <v>NULL</v>
      </c>
      <c r="GK137" s="3">
        <f>_xlfn.XLOOKUP(B137,QUERY!$C:$C,QUERY!AL:AL)</f>
        <v>6000434</v>
      </c>
      <c r="GL137" s="3" t="str">
        <f>_xlfn.XLOOKUP(B137,QUERY!$C:$C,QUERY!AM:AM)</f>
        <v>Importación</v>
      </c>
      <c r="GM137" s="3" t="str">
        <f>_xlfn.XLOOKUP(B137,QUERY!$C:$C,QUERY!AN:AN)</f>
        <v>NOBIVAC DH PARVO C (VACUNA DE USO VETERINARIO)</v>
      </c>
      <c r="GN137" s="3" t="str">
        <f>_xlfn.XLOOKUP(B137,QUERY!$C:$C,QUERY!AO:AO)</f>
        <v>SIN CLASIFICACION</v>
      </c>
      <c r="GO137" s="3">
        <f>_xlfn.XLOOKUP(B137,QUERY!$C:$C,QUERY!AP:AP)</f>
        <v>0</v>
      </c>
      <c r="GP137" s="3" t="str">
        <f>_xlfn.XLOOKUP(B137,QUERY!$C:$C,QUERY!AQ:AQ)</f>
        <v>Cargas de Importación</v>
      </c>
      <c r="GQ137" s="3" t="str">
        <f>_xlfn.XLOOKUP(B137,QUERY!$C:$C,QUERY!AR:AR)</f>
        <v>INTERVET MEXICO SA DE CV</v>
      </c>
      <c r="GR137" s="3">
        <f>_xlfn.XLOOKUP(B137,QUERY!$C:$C,QUERY!AS:AS)</f>
        <v>0</v>
      </c>
      <c r="GS137" s="3" t="str">
        <f>_xlfn.XLOOKUP(B137,QUERY!$C:$C,QUERY!AT:AT)</f>
        <v>NINGUNO</v>
      </c>
      <c r="GT137" s="3">
        <f>_xlfn.XLOOKUP(B137,QUERY!$C:$C,QUERY!AU:AU)</f>
        <v>0</v>
      </c>
      <c r="GU137" s="3" t="str">
        <f>_xlfn.XLOOKUP(B137,QUERY!$C:$C,QUERY!AV:AV)</f>
        <v>NINGUNO</v>
      </c>
      <c r="GV137" s="3" t="str">
        <f>_xlfn.XLOOKUP(B137,QUERY!$C:$C,QUERY!AW:AW)</f>
        <v>PRODUCTO TERMINADO</v>
      </c>
      <c r="GW137" s="3" t="str">
        <f>_xlfn.XLOOKUP(B137,QUERY!$C:$C,QUERY!AX:AX)</f>
        <v>Rojo</v>
      </c>
      <c r="GX137" s="3" t="str">
        <f>_xlfn.XLOOKUP(B137,QUERY!$C:$C,QUERY!AY:AY)</f>
        <v xml:space="preserve"> MLH TRANSPORTE, S.A. DE C.V.</v>
      </c>
      <c r="GY137" s="3" t="str">
        <f>_xlfn.XLOOKUP(B137,QUERY!$C:$C,QUERY!AZ:AZ)</f>
        <v>TRACTOCAMION ECO 110</v>
      </c>
      <c r="GZ137" s="3">
        <f>_xlfn.XLOOKUP(B137,QUERY!$C:$C,QUERY!BA:BA)</f>
        <v>0</v>
      </c>
      <c r="HA137" s="3" t="str">
        <f>_xlfn.XLOOKUP(B137,QUERY!$C:$C,QUERY!BB:BB)</f>
        <v>IME850329RH2</v>
      </c>
      <c r="HB137" s="3">
        <f>_xlfn.XLOOKUP(B137,QUERY!$C:$C,QUERY!BC:BC)</f>
        <v>0</v>
      </c>
      <c r="HC137" s="3">
        <f>_xlfn.XLOOKUP(B137,QUERY!$C:$C,QUERY!BD:BD)</f>
        <v>99</v>
      </c>
      <c r="HD137" s="3" t="str">
        <f>_xlfn.XLOOKUP(B137,QUERY!$C:$C,QUERY!BE:BE)</f>
        <v>LOTE: A217C01,LOTE: A849F01,LOTE: A225A01,LOTE: A180E01,LOTE: 1E073A02,LOTE: A145A01,LOTE: A227A01,LOTE: A061A03,LOTE: A061A04,LOTE: 1E073A03,LOTE: A737B01,LOTE: A270A02,LOTE: A032AJ02</v>
      </c>
      <c r="HE137" s="3">
        <f>_xlfn.XLOOKUP(B137,QUERY!$C:$C,QUERY!BF:BF)</f>
        <v>90</v>
      </c>
      <c r="HF137" s="3" t="str">
        <f>_xlfn.XLOOKUP(B137,QUERY!$C:$C,QUERY!BG:BG)</f>
        <v xml:space="preserve"> 11626987.90, 30130695.36</v>
      </c>
      <c r="HG137" s="3" t="str">
        <f>_xlfn.XLOOKUP(B137,QUERY!$C:$C,QUERY!BH:BH)</f>
        <v>KILO,KILO,KILO,KILO,KILO,KILO,KILO,KILO,KILO,KILO,KILO,KILO,KILO</v>
      </c>
      <c r="HH137" s="3">
        <f>_xlfn.XLOOKUP(B137,QUERY!$C:$C,QUERY!BI:BI)</f>
        <v>0</v>
      </c>
      <c r="HI137" s="3" t="str">
        <f>_xlfn.XLOOKUP(B137,QUERY!$C:$C,QUERY!BJ:BJ)</f>
        <v>PAISES BAJOS (REINO DE LOS) (HOLANDA)</v>
      </c>
      <c r="HJ137" s="3" t="str">
        <f>_xlfn.XLOOKUP(B137,QUERY!$C:$C,QUERY!BK:BK)</f>
        <v>PAISES BAJOS (REINO DE LOS) (HOLANDA)</v>
      </c>
      <c r="HK137" s="3" t="str">
        <f>_xlfn.XLOOKUP(B137,QUERY!$C:$C,QUERY!BL:BL)</f>
        <v>ZYA</v>
      </c>
      <c r="HL137" s="3" t="str">
        <f>_xlfn.XLOOKUP(B137,QUERY!$C:$C,QUERY!BM:BM)</f>
        <v>ZYA</v>
      </c>
      <c r="HM137" s="3">
        <f>_xlfn.XLOOKUP(B137,QUERY!$C:$C,QUERY!BN:BN)</f>
        <v>41757683</v>
      </c>
      <c r="HN137" s="3" t="str">
        <f>_xlfn.XLOOKUP(B137,QUERY!$C:$C,QUERY!BO:BO)</f>
        <v>462.00</v>
      </c>
      <c r="HO137" s="3" t="str">
        <f>_xlfn.XLOOKUP(B137,QUERY!$C:$C,QUERY!BP:BP)</f>
        <v>NULL</v>
      </c>
      <c r="HP137" s="3" t="str">
        <f>_xlfn.XLOOKUP(B137,QUERY!$C:$C,QUERY!BQ:BQ)</f>
        <v>NULL</v>
      </c>
      <c r="HQ137" s="3" t="str">
        <f>_xlfn.XLOOKUP(B137,QUERY!$C:$C,QUERY!BR:BR)</f>
        <v>248801.02</v>
      </c>
      <c r="HR137" s="3">
        <f>_xlfn.XLOOKUP(B137,QUERY!$C:$C,QUERY!BS:BS)</f>
        <v>0</v>
      </c>
      <c r="HS137" s="3">
        <f>_xlfn.XLOOKUP(B137,QUERY!$C:$C,QUERY!BT:BT)</f>
        <v>0</v>
      </c>
      <c r="HT137" s="3" t="str">
        <f>_xlfn.XLOOKUP(B137,QUERY!$C:$C,QUERY!A:A)</f>
        <v>VERACRUZ</v>
      </c>
      <c r="HU137" s="3" t="str">
        <f>_xlfn.XLOOKUP(B137,QUERY!$C:$C,QUERY!B:B)</f>
        <v>MARÍTIMO VERACRUZ</v>
      </c>
    </row>
    <row r="138" spans="1:229" x14ac:dyDescent="0.25">
      <c r="A138" s="3" t="s">
        <v>90</v>
      </c>
      <c r="B138" s="3" t="s">
        <v>366</v>
      </c>
      <c r="C138" s="3">
        <v>3942</v>
      </c>
      <c r="D138" s="3">
        <v>6000434</v>
      </c>
      <c r="E138" s="3"/>
      <c r="F138" s="3" t="s">
        <v>92</v>
      </c>
      <c r="G138" s="3" t="s">
        <v>93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430</v>
      </c>
      <c r="S138" s="3" t="s">
        <v>367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 t="s">
        <v>216</v>
      </c>
      <c r="AB138" s="3"/>
      <c r="AC138" s="3">
        <v>5509452</v>
      </c>
      <c r="AD138" s="3">
        <v>484.39001000000002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/>
      <c r="AP138" s="3" t="s">
        <v>98</v>
      </c>
      <c r="AQ138" s="3">
        <v>210368546</v>
      </c>
      <c r="AR138" s="3" t="s">
        <v>99</v>
      </c>
      <c r="AS138" s="3" t="s">
        <v>100</v>
      </c>
      <c r="AT138" s="3">
        <v>0</v>
      </c>
      <c r="AU138" s="3">
        <v>0</v>
      </c>
      <c r="AV138" s="3">
        <v>0</v>
      </c>
      <c r="AW138" s="3">
        <v>30024201</v>
      </c>
      <c r="AX138" s="3">
        <v>99</v>
      </c>
      <c r="AY138" s="3">
        <v>11374</v>
      </c>
      <c r="AZ138" s="3">
        <v>11374</v>
      </c>
      <c r="BA138" s="3" t="s">
        <v>103</v>
      </c>
      <c r="BB138" s="3"/>
      <c r="BC138" s="3" t="s">
        <v>105</v>
      </c>
      <c r="BD138" s="3" t="s">
        <v>105</v>
      </c>
      <c r="BE138" s="3"/>
      <c r="BF138" s="3"/>
      <c r="BG138" s="5"/>
      <c r="BH138" s="3"/>
      <c r="BI138" s="3"/>
      <c r="BJ138" s="3"/>
      <c r="BK138" s="3" t="s">
        <v>370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 t="s">
        <v>192</v>
      </c>
      <c r="CF138" s="3">
        <v>0</v>
      </c>
      <c r="CG138" s="3">
        <v>0</v>
      </c>
      <c r="CH138" s="3">
        <v>0</v>
      </c>
      <c r="CI138" s="3" t="s">
        <v>112</v>
      </c>
      <c r="CJ138" s="3" t="s">
        <v>112</v>
      </c>
      <c r="CK138" s="3">
        <f>_xlfn.XLOOKUP($B$2,'BASE DE EXCEL'!C:C,'BASE DE EXCEL'!D:D,"NO HAY REFERENCIA")</f>
        <v>470</v>
      </c>
      <c r="CL138" s="5">
        <f>_xlfn.XLOOKUP($B$2,'BASE DE EXCEL'!$C:$C,'BASE DE EXCEL'!F:F,"NO HAY REFERENCIA")</f>
        <v>3</v>
      </c>
      <c r="CM138" s="4">
        <f>_xlfn.XLOOKUP($B$2,'BASE DE EXCEL'!$C:$C,'BASE DE EXCEL'!G:G,"NO HAY REFERENCIA")</f>
        <v>46080</v>
      </c>
      <c r="CN138" s="4">
        <f>_xlfn.XLOOKUP($B$2,'BASE DE EXCEL'!$C:$C,'BASE DE EXCEL'!H:H,"NO HAY REFERENCIA")</f>
        <v>46086</v>
      </c>
      <c r="CO138" s="3">
        <f>_xlfn.XLOOKUP($B$2,'BASE DE EXCEL'!$C:$C,'BASE DE EXCEL'!I:I,"NO HAY REFERENCIA")</f>
        <v>4</v>
      </c>
      <c r="CP138" s="3" t="str">
        <f>_xlfn.XLOOKUP($B$2,'BASE DE EXCEL'!$C:$C,'BASE DE EXCEL'!J:J,"NO HAY REFERENCIA")</f>
        <v>4 a 5 días</v>
      </c>
      <c r="CQ138" s="4">
        <f>_xlfn.XLOOKUP($B$2,'BASE DE EXCEL'!$C:$C,'BASE DE EXCEL'!K:K,"NO HAY REFERENCIA")</f>
        <v>46087</v>
      </c>
      <c r="CR138" s="3">
        <f>_xlfn.XLOOKUP($B$2,'BASE DE EXCEL'!$C:$C,'BASE DE EXCEL'!L:L,"NO HAY REFERENCIA")</f>
        <v>5</v>
      </c>
      <c r="CS138" s="3">
        <f>_xlfn.XLOOKUP($B$2,'BASE DE EXCEL'!$C:$C,'BASE DE EXCEL'!M:M,"NO HAY REFERENCIA")</f>
        <v>6</v>
      </c>
      <c r="CT138" s="3" t="str">
        <f>_xlfn.XLOOKUP($B$2,'BASE DE EXCEL'!$C:$C,'BASE DE EXCEL'!N:N,"NO HAY REFERENCIA")</f>
        <v>6 a 10 días</v>
      </c>
      <c r="CU138" s="3" t="str">
        <f>_xlfn.XLOOKUP($B$2,'BASE DE EXCEL'!$C:$C,'BASE DE EXCEL'!O:O,"NO HAY REFERENCIA")</f>
        <v>On Time</v>
      </c>
      <c r="CV138" s="3" t="str">
        <f>_xlfn.XLOOKUP(B138,'BASE DE EXCEL'!$C:$C,'BASE DE EXCEL'!P:P,"NO HAY REFERENCIA")</f>
        <v>6 a 10 días</v>
      </c>
      <c r="CW138" s="4">
        <f>_xlfn.XLOOKUP(B138,'BASE DE EXCEL'!$C:$C,'BASE DE EXCEL'!Q:Q,"NO HAY REFERENCIA")</f>
        <v>46119</v>
      </c>
      <c r="CX138" s="3">
        <f>_xlfn.XLOOKUP(B138,'BASE DE EXCEL'!$C:$C,'BASE DE EXCEL'!R:R,"NO HAY REFERENCIA")</f>
        <v>5</v>
      </c>
      <c r="CY138" s="3" t="str">
        <f>_xlfn.XLOOKUP(B138,'BASE DE EXCEL'!$C:$C,'BASE DE EXCEL'!S:S,"NO HAY REFERENCIA")</f>
        <v>4 a 5 días</v>
      </c>
      <c r="CZ138" s="3" t="str">
        <f>_xlfn.XLOOKUP(B138,'BASE DE EXCEL'!$C:$C,'BASE DE EXCEL'!T:T,"NO HAY REFERENCIA")</f>
        <v>On Time</v>
      </c>
      <c r="DA138" s="3">
        <f>_xlfn.XLOOKUP(B138,'BASE DE EXCEL'!$C:$C,'BASE DE EXCEL'!U:U,"NO HAY REFERENCIA")</f>
        <v>8</v>
      </c>
      <c r="DB138" s="3" t="str">
        <f>_xlfn.XLOOKUP(B138,'BASE DE EXCEL'!$C:$C,'BASE DE EXCEL'!V:V,"NO HAY REFERENCIA")</f>
        <v>6 a 10 días</v>
      </c>
      <c r="DC138" s="3">
        <f>_xlfn.XLOOKUP(B138,'BASE DE EXCEL'!$C:$C,'BASE DE EXCEL'!W:W,"NO HAY REFERENCIA")</f>
        <v>14</v>
      </c>
      <c r="DD138" s="3" t="str">
        <f>_xlfn.XLOOKUP(B138,'BASE DE EXCEL'!$C:$C,'BASE DE EXCEL'!X:X,"NO HAY REFERENCIA")</f>
        <v>11 a 15 días</v>
      </c>
      <c r="DE138" s="3">
        <f>_xlfn.XLOOKUP(B138,'BASE DE EXCEL'!$C:$C,'BASE DE EXCEL'!Y:Y,"NO HAY REFERENCIA")</f>
        <v>0</v>
      </c>
      <c r="DF138" s="3" t="str">
        <f>_xlfn.XLOOKUP(B138,'BASE DE EXCEL'!$C:$C,'BASE DE EXCEL'!Z:Z,"NO HAY REFERENCIA")</f>
        <v>1 día o menos</v>
      </c>
      <c r="DG138" s="3">
        <f>_xlfn.XLOOKUP(B138,'BASE DE EXCEL'!$C:$C,'BASE DE EXCEL'!AA:AA,"NO HAY REFERENCIA")</f>
        <v>7</v>
      </c>
      <c r="DH138" s="3">
        <f>_xlfn.XLOOKUP(B138,'BASE DE EXCEL'!$C:$C,'BASE DE EXCEL'!AB:AB,"NO HAY REFERENCIA")</f>
        <v>1</v>
      </c>
      <c r="DI138" s="3" t="str">
        <f>_xlfn.XLOOKUP(B138,'BASE DE EXCEL'!$C:$C,'BASE DE EXCEL'!AC:AC,"NO HAY REFERENCIA")</f>
        <v>1 día o menos</v>
      </c>
      <c r="DJ138" s="4">
        <f>_xlfn.XLOOKUP(B138,'BASE DE EXCEL'!$C:$C,'BASE DE EXCEL'!AD:AD,"NO HAY REFERENCIA")</f>
        <v>46129</v>
      </c>
      <c r="DK138" s="3">
        <f>_xlfn.XLOOKUP(B138,'BASE DE EXCEL'!$C:$C,'BASE DE EXCEL'!AE:AE,"NO HAY REFERENCIA")</f>
        <v>9</v>
      </c>
      <c r="DL138" s="3">
        <f>_xlfn.XLOOKUP(B138,'BASE DE EXCEL'!$C:$C,'BASE DE EXCEL'!AF:AF,"NO HAY REFERENCIA")</f>
        <v>8</v>
      </c>
      <c r="DM138" s="4">
        <f>_xlfn.XLOOKUP(B138,'BASE DE EXCEL'!$C:$C,'BASE DE EXCEL'!AG:AG,"NO HAY REFERENCIA")</f>
        <v>46128</v>
      </c>
      <c r="DN138" s="4">
        <f>_xlfn.XLOOKUP(B138,'BASE DE EXCEL'!$C:$C,'BASE DE EXCEL'!AH:AH,"NO HAY REFERENCIA")</f>
        <v>46129</v>
      </c>
      <c r="DO138" s="3">
        <f>_xlfn.XLOOKUP(B138,'BASE DE EXCEL'!$C:$C,'BASE DE EXCEL'!AI:AI,"NO HAY REFERENCIA")</f>
        <v>1</v>
      </c>
      <c r="DP138" s="4" t="str">
        <f>_xlfn.XLOOKUP(B138,'BASE DE EXCEL'!$C:$C,'BASE DE EXCEL'!AJ:AJ,"NO HAY REFERENCIA")</f>
        <v>6 a 10 días</v>
      </c>
      <c r="DQ138" s="4">
        <f>_xlfn.XLOOKUP(B138,'BASE DE EXCEL'!$C:$C,'BASE DE EXCEL'!AK:AK,"NO HAY REFERENCIA")</f>
        <v>46129</v>
      </c>
      <c r="DR138" s="3">
        <f>_xlfn.XLOOKUP(B138,'BASE DE EXCEL'!$C:$C,'BASE DE EXCEL'!AL:AL,"NO HAY REFERENCIA")</f>
        <v>9</v>
      </c>
      <c r="DS138" s="3" t="str">
        <f>_xlfn.XLOOKUP(B138,'BASE DE EXCEL'!$C:$C,'BASE DE EXCEL'!AM:AM,"NO HAY REFERENCIA")</f>
        <v>6 a 10 días</v>
      </c>
      <c r="DT138" s="3" t="str">
        <f>_xlfn.XLOOKUP(B138,'BASE DE EXCEL'!$C:$C,'BASE DE EXCEL'!AN:AN,"NO HAY REFERENCIA")</f>
        <v>Delayed</v>
      </c>
      <c r="DU138" s="3">
        <f>_xlfn.XLOOKUP(B138,'BASE DE EXCEL'!$C:$C,'BASE DE EXCEL'!AO:AO,"NO HAY REFERENCIA")</f>
        <v>1</v>
      </c>
      <c r="DV138" s="3" t="str">
        <f>_xlfn.XLOOKUP(B138,'BASE DE EXCEL'!$C:$C,'BASE DE EXCEL'!AP:AP,"NO HAY REFERENCIA")</f>
        <v>Es anterior</v>
      </c>
      <c r="DW138" s="3" t="str">
        <f>_xlfn.XLOOKUP(B138,'BASE DE EXCEL'!$C:$C,'BASE DE EXCEL'!AQ:AQ,"NO HAY REFERENCIA")</f>
        <v>A1</v>
      </c>
      <c r="DX138" s="3" t="str">
        <f>_xlfn.XLOOKUP(B138,'BASE DE EXCEL'!$C:$C,'BASE DE EXCEL'!AR:AR,"NO HAY REFERENCIA")</f>
        <v>ZULEIMA PEREZ RUIZ</v>
      </c>
      <c r="DY138" s="3" t="str">
        <f>_xlfn.XLOOKUP(B138,'BASE DE EXCEL'!$C:$C,'BASE DE EXCEL'!AS:AS,"NO HAY REFERENCIA")</f>
        <v>HLCURTM260288670</v>
      </c>
      <c r="DZ138" s="3" t="str">
        <f>_xlfn.XLOOKUP(B138,'BASE DE EXCEL'!$C:$C,'BASE DE EXCEL'!AT:AT,"NO HAY REFERENCIA")</f>
        <v>NULL</v>
      </c>
      <c r="EA138" s="3">
        <f>_xlfn.XLOOKUP(B138,'BASE DE EXCEL'!$C:$C,'BASE DE EXCEL'!AU:AU,"NO HAY REFERENCIA")</f>
        <v>6000434</v>
      </c>
      <c r="EB138" s="3" t="str">
        <f>_xlfn.XLOOKUP(B138,'BASE DE EXCEL'!$C:$C,'BASE DE EXCEL'!AV:AV,"NO HAY REFERENCIA")</f>
        <v>Importación</v>
      </c>
      <c r="EC138" s="3" t="str">
        <f>_xlfn.XLOOKUP(B138,'BASE DE EXCEL'!$C:$C,'BASE DE EXCEL'!AW:AW,"NO HAY REFERENCIA")</f>
        <v>NOBIVAC DH PARVO C (VACUNA DE USO VETERINARIO)</v>
      </c>
      <c r="ED138" s="3" t="str">
        <f>_xlfn.XLOOKUP(B138,'BASE DE EXCEL'!$C:$C,'BASE DE EXCEL'!AX:AX,"NO HAY REFERENCIA")</f>
        <v>SIN CLASIFICACION</v>
      </c>
      <c r="EE138" s="3">
        <f>_xlfn.XLOOKUP(B138,'BASE DE EXCEL'!$C:$C,'BASE DE EXCEL'!AY:AY,"NO HAY REFERENCIA")</f>
        <v>0</v>
      </c>
      <c r="EF138" s="3" t="str">
        <f>_xlfn.XLOOKUP(B138,'BASE DE EXCEL'!$C:$C,'BASE DE EXCEL'!AZ:AZ,"NO HAY REFERENCIA")</f>
        <v>Cargas de Importación</v>
      </c>
      <c r="EG138" s="3" t="str">
        <f>_xlfn.XLOOKUP(B138,'BASE DE EXCEL'!$C:$C,'BASE DE EXCEL'!BA:BA,"NO HAY REFERENCIA")</f>
        <v>INTERVET MEXICO SA DE CV</v>
      </c>
      <c r="EH138" s="3">
        <f>_xlfn.XLOOKUP(B138,'BASE DE EXCEL'!$C:$C,'BASE DE EXCEL'!BB:BB,"NO HAY REFERENCIA")</f>
        <v>0</v>
      </c>
      <c r="EI138" s="3" t="str">
        <f>_xlfn.XLOOKUP(B138,'BASE DE EXCEL'!$C:$C,'BASE DE EXCEL'!BC:BC,"NO HAY REFERENCIA")</f>
        <v>NINGUNO</v>
      </c>
      <c r="EJ138" s="3">
        <f>_xlfn.XLOOKUP(B138,'BASE DE EXCEL'!$C:$C,'BASE DE EXCEL'!BD:BD,"NO HAY REFERENCIA")</f>
        <v>0</v>
      </c>
      <c r="EK138" s="3" t="str">
        <f>_xlfn.XLOOKUP(B138,'BASE DE EXCEL'!$C:$C,'BASE DE EXCEL'!BE:BE,"NO HAY REFERENCIA")</f>
        <v>NINGUNO</v>
      </c>
      <c r="EL138" s="3" t="str">
        <f>_xlfn.XLOOKUP(B138,'BASE DE EXCEL'!$C:$C,'BASE DE EXCEL'!BF:BF,"NO HAY REFERENCIA")</f>
        <v>PRODUCTO TERMINADO</v>
      </c>
      <c r="EM138" s="3" t="str">
        <f>_xlfn.XLOOKUP(B138,'BASE DE EXCEL'!$C:$C,'BASE DE EXCEL'!BG:BG,"NO HAY REFERENCIA")</f>
        <v>Rojo</v>
      </c>
      <c r="EN138" s="3" t="str">
        <f>_xlfn.XLOOKUP(B138,'BASE DE EXCEL'!$C:$C,'BASE DE EXCEL'!BH:BH,"NO HAY REFERENCIA")</f>
        <v xml:space="preserve"> MLH TRANSPORTE, S.A. DE C.V.</v>
      </c>
      <c r="EO138" s="3" t="str">
        <f>_xlfn.XLOOKUP(B138,'BASE DE EXCEL'!$C:$C,'BASE DE EXCEL'!BI:BI,"NO HAY REFERENCIA")</f>
        <v>TRACTOCAMION ECO 110</v>
      </c>
      <c r="EP138" s="3">
        <f>_xlfn.XLOOKUP(B138,'BASE DE EXCEL'!$C:$C,'BASE DE EXCEL'!BJ:BJ,"NO HAY REFERENCIA")</f>
        <v>0</v>
      </c>
      <c r="EQ138" s="3" t="str">
        <f>_xlfn.XLOOKUP(B138,'BASE DE EXCEL'!$C:$C,'BASE DE EXCEL'!BK:BK,"NO HAY REFERENCIA")</f>
        <v>IME850329RH2</v>
      </c>
      <c r="ER138" s="3">
        <f>_xlfn.XLOOKUP(B138,'BASE DE EXCEL'!$C:$C,'BASE DE EXCEL'!BL:BL,"NO HAY REFERENCIA")</f>
        <v>0</v>
      </c>
      <c r="ES138" s="3">
        <f>_xlfn.XLOOKUP(B138,'BASE DE EXCEL'!$C:$C,'BASE DE EXCEL'!BM:BM,"NO HAY REFERENCIA")</f>
        <v>99</v>
      </c>
      <c r="ET138" s="3" t="str">
        <f>_xlfn.XLOOKUP(B138,'BASE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38" s="3">
        <f>_xlfn.XLOOKUP(B138,'BASE DE EXCEL'!$C:$C,'BASE DE EXCEL'!BO:BO,"NO HAY REFERENCIA")</f>
        <v>90</v>
      </c>
      <c r="EV138" s="3" t="str">
        <f>_xlfn.XLOOKUP(B138,'BASE DE EXCEL'!$C:$C,'BASE DE EXCEL'!BP:BP,"NO HAY REFERENCIA")</f>
        <v xml:space="preserve"> 11626987.90, 30130695.36</v>
      </c>
      <c r="EW138" s="3" t="str">
        <f>_xlfn.XLOOKUP(B138,'BASE DE EXCEL'!$C:$C,'BASE DE EXCEL'!BQ:BQ,"NO HAY REFERENCIA")</f>
        <v>KILO,KILO,KILO,KILO,KILO,KILO,KILO,KILO,KILO,KILO,KILO,KILO,KILO</v>
      </c>
      <c r="EX138" s="3">
        <f>_xlfn.XLOOKUP(B138,'BASE DE EXCEL'!$C:$C,'BASE DE EXCEL'!BR:BR,"NO HAY REFERENCIA")</f>
        <v>0</v>
      </c>
      <c r="EY138" s="3" t="str">
        <f>_xlfn.XLOOKUP(B138,'BASE DE EXCEL'!$C:$C,'BASE DE EXCEL'!BS:BS,"NO HAY REFERENCIA")</f>
        <v>PAISES BAJOS (REINO DE LOS) (HOLANDA)</v>
      </c>
      <c r="EZ138" s="3" t="str">
        <f>_xlfn.XLOOKUP(B138,'BASE DE EXCEL'!$C:$C,'BASE DE EXCEL'!BT:BT,"NO HAY REFERENCIA")</f>
        <v>PAISES BAJOS (REINO DE LOS) (HOLANDA)</v>
      </c>
      <c r="FA138" s="3" t="str">
        <f>_xlfn.XLOOKUP(B138,'BASE DE EXCEL'!$C:$C,'BASE DE EXCEL'!BU:BU,"NO HAY REFERENCIA")</f>
        <v>ZYA</v>
      </c>
      <c r="FB138" s="3" t="str">
        <f>_xlfn.XLOOKUP(B138,'BASE DE EXCEL'!$C:$C,'BASE DE EXCEL'!BV:BV,"NO HAY REFERENCIA")</f>
        <v>ZYA</v>
      </c>
      <c r="FC138" s="3">
        <f>_xlfn.XLOOKUP(B138,QUERY!$C:$C,QUERY!D:D)</f>
        <v>430</v>
      </c>
      <c r="FD138" s="4">
        <f>_xlfn.XLOOKUP(B138,QUERY!$C:$C,QUERY!E:E)</f>
        <v>46118</v>
      </c>
      <c r="FE138" s="3">
        <f>_xlfn.XLOOKUP(B138,QUERY!$C:$C,QUERY!F:F)</f>
        <v>4</v>
      </c>
      <c r="FF138" s="4">
        <f>_xlfn.XLOOKUP(B138,QUERY!$C:$C,QUERY!G:G)</f>
        <v>46111</v>
      </c>
      <c r="FG138" s="4">
        <f>_xlfn.XLOOKUP(B138,QUERY!$C:$C,QUERY!H:H)</f>
        <v>46118</v>
      </c>
      <c r="FH138" s="3">
        <f>_xlfn.XLOOKUP(B138,QUERY!$C:$C,QUERY!I:I)</f>
        <v>5</v>
      </c>
      <c r="FI138" s="3" t="str">
        <f>_xlfn.XLOOKUP(B138,QUERY!$C:$C,QUERY!J:J)</f>
        <v>4 a 5 días</v>
      </c>
      <c r="FJ138" s="4">
        <f>_xlfn.XLOOKUP(B138,QUERY!$C:$C,QUERY!K:K)</f>
        <v>46118</v>
      </c>
      <c r="FK138" s="3">
        <f>_xlfn.XLOOKUP(B138,QUERY!$C:$C,QUERY!L:L)</f>
        <v>5</v>
      </c>
      <c r="FL138" s="3" t="str">
        <f>_xlfn.XLOOKUP(B138,QUERY!$C:$C,QUERY!M:M)</f>
        <v>4 a 5 días</v>
      </c>
      <c r="FM138" s="3">
        <f>_xlfn.XLOOKUP(B138,QUERY!$C:$C,QUERY!N:N)</f>
        <v>0</v>
      </c>
      <c r="FN138" s="3" t="str">
        <f>_xlfn.XLOOKUP(B138,QUERY!$C:$C,QUERY!O:O)</f>
        <v>1 día o menos</v>
      </c>
      <c r="FO138" s="3">
        <f>_xlfn.XLOOKUP(B138,QUERY!$C:$C,QUERY!P:P)</f>
        <v>0</v>
      </c>
      <c r="FP138" s="3">
        <f>_xlfn.XLOOKUP(B138,QUERY!$C:$C,QUERY!Q:Q)</f>
        <v>1</v>
      </c>
      <c r="FQ138" s="3" t="str">
        <f>_xlfn.XLOOKUP(B138,QUERY!$C:$C,QUERY!R:R)</f>
        <v>1 día o menos</v>
      </c>
      <c r="FR138" s="4">
        <f>_xlfn.XLOOKUP(B138,QUERY!$C:$C,QUERY!S:S)</f>
        <v>46119</v>
      </c>
      <c r="FS138" s="3">
        <f>_xlfn.XLOOKUP(B138,QUERY!$C:$C,QUERY!T:T)</f>
        <v>6</v>
      </c>
      <c r="FT138" s="3" t="str">
        <f>_xlfn.XLOOKUP(B138,QUERY!$C:$C,QUERY!U:U)</f>
        <v>6 a 10 días</v>
      </c>
      <c r="FU138" s="3">
        <f>_xlfn.XLOOKUP(B138,QUERY!$C:$C,QUERY!V:V)</f>
        <v>14</v>
      </c>
      <c r="FV138" s="3" t="str">
        <f>_xlfn.XLOOKUP(B138,QUERY!$C:$C,QUERY!W:W)</f>
        <v>11 a 15 días</v>
      </c>
      <c r="FW138" s="4">
        <f>_xlfn.XLOOKUP(B138,QUERY!$C:$C,QUERY!X:X)</f>
        <v>46129</v>
      </c>
      <c r="FX138" s="3">
        <f>_xlfn.XLOOKUP(B138,QUERY!$C:$C,QUERY!Y:Y)</f>
        <v>7</v>
      </c>
      <c r="FY138" s="3">
        <f>_xlfn.XLOOKUP(B138,QUERY!$C:$C,QUERY!Z:Z)</f>
        <v>8</v>
      </c>
      <c r="FZ138" s="4" t="str">
        <f>_xlfn.XLOOKUP(B138,QUERY!$C:$C,QUERY!AA:AA)</f>
        <v>6 a 10 días</v>
      </c>
      <c r="GA138" s="4">
        <f>_xlfn.XLOOKUP(B138,QUERY!$C:$C,QUERY!AB:AB)</f>
        <v>46128</v>
      </c>
      <c r="GB138" s="4">
        <f>_xlfn.XLOOKUP(B138,QUERY!$C:$C,QUERY!AC:AC)</f>
        <v>46129</v>
      </c>
      <c r="GC138" s="3">
        <f>_xlfn.XLOOKUP(B138,QUERY!$C:$C,QUERY!AD:AD)</f>
        <v>1</v>
      </c>
      <c r="GD138" s="4">
        <f>_xlfn.XLOOKUP(B138,QUERY!$C:$C,QUERY!AE:AE)</f>
        <v>46129</v>
      </c>
      <c r="GE138" s="3">
        <f>_xlfn.XLOOKUP(B138,QUERY!$C:$C,QUERY!AF:AF)</f>
        <v>1</v>
      </c>
      <c r="GF138" s="4" t="str">
        <f>_xlfn.XLOOKUP(B138,QUERY!$C:$C,QUERY!AG:AG)</f>
        <v>Es anterior</v>
      </c>
      <c r="GG138" s="3" t="str">
        <f>_xlfn.XLOOKUP(B138,QUERY!$C:$C,QUERY!AH:AH)</f>
        <v>A1</v>
      </c>
      <c r="GH138" s="3" t="str">
        <f>_xlfn.XLOOKUP(B138,QUERY!$C:$C,QUERY!AI:AI)</f>
        <v>ZULEIMA PEREZ RUIZ</v>
      </c>
      <c r="GI138" s="3" t="str">
        <f>_xlfn.XLOOKUP(B138,QUERY!$C:$C,QUERY!AJ:AJ)</f>
        <v>HLCURTM260288670</v>
      </c>
      <c r="GJ138" s="3" t="str">
        <f>_xlfn.XLOOKUP(B138,QUERY!$C:$C,QUERY!AK:AK)</f>
        <v>NULL</v>
      </c>
      <c r="GK138" s="3">
        <f>_xlfn.XLOOKUP(B138,QUERY!$C:$C,QUERY!AL:AL)</f>
        <v>6000434</v>
      </c>
      <c r="GL138" s="3" t="str">
        <f>_xlfn.XLOOKUP(B138,QUERY!$C:$C,QUERY!AM:AM)</f>
        <v>Importación</v>
      </c>
      <c r="GM138" s="3" t="str">
        <f>_xlfn.XLOOKUP(B138,QUERY!$C:$C,QUERY!AN:AN)</f>
        <v>NOBIVAC DH PARVO C (VACUNA DE USO VETERINARIO)</v>
      </c>
      <c r="GN138" s="3" t="str">
        <f>_xlfn.XLOOKUP(B138,QUERY!$C:$C,QUERY!AO:AO)</f>
        <v>SIN CLASIFICACION</v>
      </c>
      <c r="GO138" s="3">
        <f>_xlfn.XLOOKUP(B138,QUERY!$C:$C,QUERY!AP:AP)</f>
        <v>0</v>
      </c>
      <c r="GP138" s="3" t="str">
        <f>_xlfn.XLOOKUP(B138,QUERY!$C:$C,QUERY!AQ:AQ)</f>
        <v>Cargas de Importación</v>
      </c>
      <c r="GQ138" s="3" t="str">
        <f>_xlfn.XLOOKUP(B138,QUERY!$C:$C,QUERY!AR:AR)</f>
        <v>INTERVET MEXICO SA DE CV</v>
      </c>
      <c r="GR138" s="3">
        <f>_xlfn.XLOOKUP(B138,QUERY!$C:$C,QUERY!AS:AS)</f>
        <v>0</v>
      </c>
      <c r="GS138" s="3" t="str">
        <f>_xlfn.XLOOKUP(B138,QUERY!$C:$C,QUERY!AT:AT)</f>
        <v>NINGUNO</v>
      </c>
      <c r="GT138" s="3">
        <f>_xlfn.XLOOKUP(B138,QUERY!$C:$C,QUERY!AU:AU)</f>
        <v>0</v>
      </c>
      <c r="GU138" s="3" t="str">
        <f>_xlfn.XLOOKUP(B138,QUERY!$C:$C,QUERY!AV:AV)</f>
        <v>NINGUNO</v>
      </c>
      <c r="GV138" s="3" t="str">
        <f>_xlfn.XLOOKUP(B138,QUERY!$C:$C,QUERY!AW:AW)</f>
        <v>PRODUCTO TERMINADO</v>
      </c>
      <c r="GW138" s="3" t="str">
        <f>_xlfn.XLOOKUP(B138,QUERY!$C:$C,QUERY!AX:AX)</f>
        <v>Rojo</v>
      </c>
      <c r="GX138" s="3" t="str">
        <f>_xlfn.XLOOKUP(B138,QUERY!$C:$C,QUERY!AY:AY)</f>
        <v xml:space="preserve"> MLH TRANSPORTE, S.A. DE C.V.</v>
      </c>
      <c r="GY138" s="3" t="str">
        <f>_xlfn.XLOOKUP(B138,QUERY!$C:$C,QUERY!AZ:AZ)</f>
        <v>TRACTOCAMION ECO 110</v>
      </c>
      <c r="GZ138" s="3">
        <f>_xlfn.XLOOKUP(B138,QUERY!$C:$C,QUERY!BA:BA)</f>
        <v>0</v>
      </c>
      <c r="HA138" s="3" t="str">
        <f>_xlfn.XLOOKUP(B138,QUERY!$C:$C,QUERY!BB:BB)</f>
        <v>IME850329RH2</v>
      </c>
      <c r="HB138" s="3">
        <f>_xlfn.XLOOKUP(B138,QUERY!$C:$C,QUERY!BC:BC)</f>
        <v>0</v>
      </c>
      <c r="HC138" s="3">
        <f>_xlfn.XLOOKUP(B138,QUERY!$C:$C,QUERY!BD:BD)</f>
        <v>99</v>
      </c>
      <c r="HD138" s="3" t="str">
        <f>_xlfn.XLOOKUP(B138,QUERY!$C:$C,QUERY!BE:BE)</f>
        <v>LOTE: A217C01,LOTE: A849F01,LOTE: A225A01,LOTE: A180E01,LOTE: 1E073A02,LOTE: A145A01,LOTE: A227A01,LOTE: A061A03,LOTE: A061A04,LOTE: 1E073A03,LOTE: A737B01,LOTE: A270A02,LOTE: A032AJ02</v>
      </c>
      <c r="HE138" s="3">
        <f>_xlfn.XLOOKUP(B138,QUERY!$C:$C,QUERY!BF:BF)</f>
        <v>90</v>
      </c>
      <c r="HF138" s="3" t="str">
        <f>_xlfn.XLOOKUP(B138,QUERY!$C:$C,QUERY!BG:BG)</f>
        <v xml:space="preserve"> 11626987.90, 30130695.36</v>
      </c>
      <c r="HG138" s="3" t="str">
        <f>_xlfn.XLOOKUP(B138,QUERY!$C:$C,QUERY!BH:BH)</f>
        <v>KILO,KILO,KILO,KILO,KILO,KILO,KILO,KILO,KILO,KILO,KILO,KILO,KILO</v>
      </c>
      <c r="HH138" s="3">
        <f>_xlfn.XLOOKUP(B138,QUERY!$C:$C,QUERY!BI:BI)</f>
        <v>0</v>
      </c>
      <c r="HI138" s="3" t="str">
        <f>_xlfn.XLOOKUP(B138,QUERY!$C:$C,QUERY!BJ:BJ)</f>
        <v>PAISES BAJOS (REINO DE LOS) (HOLANDA)</v>
      </c>
      <c r="HJ138" s="3" t="str">
        <f>_xlfn.XLOOKUP(B138,QUERY!$C:$C,QUERY!BK:BK)</f>
        <v>PAISES BAJOS (REINO DE LOS) (HOLANDA)</v>
      </c>
      <c r="HK138" s="3" t="str">
        <f>_xlfn.XLOOKUP(B138,QUERY!$C:$C,QUERY!BL:BL)</f>
        <v>ZYA</v>
      </c>
      <c r="HL138" s="3" t="str">
        <f>_xlfn.XLOOKUP(B138,QUERY!$C:$C,QUERY!BM:BM)</f>
        <v>ZYA</v>
      </c>
      <c r="HM138" s="3">
        <f>_xlfn.XLOOKUP(B138,QUERY!$C:$C,QUERY!BN:BN)</f>
        <v>41757683</v>
      </c>
      <c r="HN138" s="3" t="str">
        <f>_xlfn.XLOOKUP(B138,QUERY!$C:$C,QUERY!BO:BO)</f>
        <v>462.00</v>
      </c>
      <c r="HO138" s="3" t="str">
        <f>_xlfn.XLOOKUP(B138,QUERY!$C:$C,QUERY!BP:BP)</f>
        <v>NULL</v>
      </c>
      <c r="HP138" s="3" t="str">
        <f>_xlfn.XLOOKUP(B138,QUERY!$C:$C,QUERY!BQ:BQ)</f>
        <v>NULL</v>
      </c>
      <c r="HQ138" s="3" t="str">
        <f>_xlfn.XLOOKUP(B138,QUERY!$C:$C,QUERY!BR:BR)</f>
        <v>248801.02</v>
      </c>
      <c r="HR138" s="3">
        <f>_xlfn.XLOOKUP(B138,QUERY!$C:$C,QUERY!BS:BS)</f>
        <v>0</v>
      </c>
      <c r="HS138" s="3">
        <f>_xlfn.XLOOKUP(B138,QUERY!$C:$C,QUERY!BT:BT)</f>
        <v>0</v>
      </c>
      <c r="HT138" s="3" t="str">
        <f>_xlfn.XLOOKUP(B138,QUERY!$C:$C,QUERY!A:A)</f>
        <v>VERACRUZ</v>
      </c>
      <c r="HU138" s="3" t="str">
        <f>_xlfn.XLOOKUP(B138,QUERY!$C:$C,QUERY!B:B)</f>
        <v>MARÍTIMO VERACRUZ</v>
      </c>
    </row>
    <row r="139" spans="1:229" x14ac:dyDescent="0.25">
      <c r="A139" s="3" t="s">
        <v>90</v>
      </c>
      <c r="B139" s="3" t="s">
        <v>366</v>
      </c>
      <c r="C139" s="3">
        <v>3942</v>
      </c>
      <c r="D139" s="3">
        <v>6000434</v>
      </c>
      <c r="E139" s="3"/>
      <c r="F139" s="3" t="s">
        <v>92</v>
      </c>
      <c r="G139" s="3" t="s">
        <v>93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430</v>
      </c>
      <c r="S139" s="3" t="s">
        <v>367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 t="s">
        <v>264</v>
      </c>
      <c r="AB139" s="3"/>
      <c r="AC139" s="3">
        <v>1826437</v>
      </c>
      <c r="AD139" s="3">
        <v>356.10001999999997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/>
      <c r="AP139" s="3" t="s">
        <v>98</v>
      </c>
      <c r="AQ139" s="3">
        <v>210368546</v>
      </c>
      <c r="AR139" s="3" t="s">
        <v>99</v>
      </c>
      <c r="AS139" s="3" t="s">
        <v>100</v>
      </c>
      <c r="AT139" s="3">
        <v>0</v>
      </c>
      <c r="AU139" s="3">
        <v>0</v>
      </c>
      <c r="AV139" s="3">
        <v>0</v>
      </c>
      <c r="AW139" s="3">
        <v>30024201</v>
      </c>
      <c r="AX139" s="3">
        <v>99</v>
      </c>
      <c r="AY139" s="3">
        <v>5129</v>
      </c>
      <c r="AZ139" s="3">
        <v>5129</v>
      </c>
      <c r="BA139" s="3" t="s">
        <v>103</v>
      </c>
      <c r="BB139" s="3"/>
      <c r="BC139" s="3" t="s">
        <v>105</v>
      </c>
      <c r="BD139" s="3" t="s">
        <v>105</v>
      </c>
      <c r="BE139" s="3"/>
      <c r="BF139" s="3"/>
      <c r="BG139" s="5"/>
      <c r="BH139" s="3"/>
      <c r="BI139" s="3"/>
      <c r="BJ139" s="3"/>
      <c r="BK139" s="3" t="s">
        <v>370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 t="s">
        <v>192</v>
      </c>
      <c r="CF139" s="3">
        <v>0</v>
      </c>
      <c r="CG139" s="3">
        <v>0</v>
      </c>
      <c r="CH139" s="3">
        <v>0</v>
      </c>
      <c r="CI139" s="3" t="s">
        <v>112</v>
      </c>
      <c r="CJ139" s="3" t="s">
        <v>112</v>
      </c>
      <c r="CK139" s="3">
        <f>_xlfn.XLOOKUP($B$2,'BASE DE EXCEL'!C:C,'BASE DE EXCEL'!D:D,"NO HAY REFERENCIA")</f>
        <v>470</v>
      </c>
      <c r="CL139" s="5">
        <f>_xlfn.XLOOKUP($B$2,'BASE DE EXCEL'!$C:$C,'BASE DE EXCEL'!F:F,"NO HAY REFERENCIA")</f>
        <v>3</v>
      </c>
      <c r="CM139" s="4">
        <f>_xlfn.XLOOKUP($B$2,'BASE DE EXCEL'!$C:$C,'BASE DE EXCEL'!G:G,"NO HAY REFERENCIA")</f>
        <v>46080</v>
      </c>
      <c r="CN139" s="4">
        <f>_xlfn.XLOOKUP($B$2,'BASE DE EXCEL'!$C:$C,'BASE DE EXCEL'!H:H,"NO HAY REFERENCIA")</f>
        <v>46086</v>
      </c>
      <c r="CO139" s="3">
        <f>_xlfn.XLOOKUP($B$2,'BASE DE EXCEL'!$C:$C,'BASE DE EXCEL'!I:I,"NO HAY REFERENCIA")</f>
        <v>4</v>
      </c>
      <c r="CP139" s="3" t="str">
        <f>_xlfn.XLOOKUP($B$2,'BASE DE EXCEL'!$C:$C,'BASE DE EXCEL'!J:J,"NO HAY REFERENCIA")</f>
        <v>4 a 5 días</v>
      </c>
      <c r="CQ139" s="4">
        <f>_xlfn.XLOOKUP($B$2,'BASE DE EXCEL'!$C:$C,'BASE DE EXCEL'!K:K,"NO HAY REFERENCIA")</f>
        <v>46087</v>
      </c>
      <c r="CR139" s="3">
        <f>_xlfn.XLOOKUP($B$2,'BASE DE EXCEL'!$C:$C,'BASE DE EXCEL'!L:L,"NO HAY REFERENCIA")</f>
        <v>5</v>
      </c>
      <c r="CS139" s="3">
        <f>_xlfn.XLOOKUP($B$2,'BASE DE EXCEL'!$C:$C,'BASE DE EXCEL'!M:M,"NO HAY REFERENCIA")</f>
        <v>6</v>
      </c>
      <c r="CT139" s="3" t="str">
        <f>_xlfn.XLOOKUP($B$2,'BASE DE EXCEL'!$C:$C,'BASE DE EXCEL'!N:N,"NO HAY REFERENCIA")</f>
        <v>6 a 10 días</v>
      </c>
      <c r="CU139" s="3" t="str">
        <f>_xlfn.XLOOKUP($B$2,'BASE DE EXCEL'!$C:$C,'BASE DE EXCEL'!O:O,"NO HAY REFERENCIA")</f>
        <v>On Time</v>
      </c>
      <c r="CV139" s="3" t="str">
        <f>_xlfn.XLOOKUP(B139,'BASE DE EXCEL'!$C:$C,'BASE DE EXCEL'!P:P,"NO HAY REFERENCIA")</f>
        <v>6 a 10 días</v>
      </c>
      <c r="CW139" s="4">
        <f>_xlfn.XLOOKUP(B139,'BASE DE EXCEL'!$C:$C,'BASE DE EXCEL'!Q:Q,"NO HAY REFERENCIA")</f>
        <v>46119</v>
      </c>
      <c r="CX139" s="3">
        <f>_xlfn.XLOOKUP(B139,'BASE DE EXCEL'!$C:$C,'BASE DE EXCEL'!R:R,"NO HAY REFERENCIA")</f>
        <v>5</v>
      </c>
      <c r="CY139" s="3" t="str">
        <f>_xlfn.XLOOKUP(B139,'BASE DE EXCEL'!$C:$C,'BASE DE EXCEL'!S:S,"NO HAY REFERENCIA")</f>
        <v>4 a 5 días</v>
      </c>
      <c r="CZ139" s="3" t="str">
        <f>_xlfn.XLOOKUP(B139,'BASE DE EXCEL'!$C:$C,'BASE DE EXCEL'!T:T,"NO HAY REFERENCIA")</f>
        <v>On Time</v>
      </c>
      <c r="DA139" s="3">
        <f>_xlfn.XLOOKUP(B139,'BASE DE EXCEL'!$C:$C,'BASE DE EXCEL'!U:U,"NO HAY REFERENCIA")</f>
        <v>8</v>
      </c>
      <c r="DB139" s="3" t="str">
        <f>_xlfn.XLOOKUP(B139,'BASE DE EXCEL'!$C:$C,'BASE DE EXCEL'!V:V,"NO HAY REFERENCIA")</f>
        <v>6 a 10 días</v>
      </c>
      <c r="DC139" s="3">
        <f>_xlfn.XLOOKUP(B139,'BASE DE EXCEL'!$C:$C,'BASE DE EXCEL'!W:W,"NO HAY REFERENCIA")</f>
        <v>14</v>
      </c>
      <c r="DD139" s="3" t="str">
        <f>_xlfn.XLOOKUP(B139,'BASE DE EXCEL'!$C:$C,'BASE DE EXCEL'!X:X,"NO HAY REFERENCIA")</f>
        <v>11 a 15 días</v>
      </c>
      <c r="DE139" s="3">
        <f>_xlfn.XLOOKUP(B139,'BASE DE EXCEL'!$C:$C,'BASE DE EXCEL'!Y:Y,"NO HAY REFERENCIA")</f>
        <v>0</v>
      </c>
      <c r="DF139" s="3" t="str">
        <f>_xlfn.XLOOKUP(B139,'BASE DE EXCEL'!$C:$C,'BASE DE EXCEL'!Z:Z,"NO HAY REFERENCIA")</f>
        <v>1 día o menos</v>
      </c>
      <c r="DG139" s="3">
        <f>_xlfn.XLOOKUP(B139,'BASE DE EXCEL'!$C:$C,'BASE DE EXCEL'!AA:AA,"NO HAY REFERENCIA")</f>
        <v>7</v>
      </c>
      <c r="DH139" s="3">
        <f>_xlfn.XLOOKUP(B139,'BASE DE EXCEL'!$C:$C,'BASE DE EXCEL'!AB:AB,"NO HAY REFERENCIA")</f>
        <v>1</v>
      </c>
      <c r="DI139" s="3" t="str">
        <f>_xlfn.XLOOKUP(B139,'BASE DE EXCEL'!$C:$C,'BASE DE EXCEL'!AC:AC,"NO HAY REFERENCIA")</f>
        <v>1 día o menos</v>
      </c>
      <c r="DJ139" s="4">
        <f>_xlfn.XLOOKUP(B139,'BASE DE EXCEL'!$C:$C,'BASE DE EXCEL'!AD:AD,"NO HAY REFERENCIA")</f>
        <v>46129</v>
      </c>
      <c r="DK139" s="3">
        <f>_xlfn.XLOOKUP(B139,'BASE DE EXCEL'!$C:$C,'BASE DE EXCEL'!AE:AE,"NO HAY REFERENCIA")</f>
        <v>9</v>
      </c>
      <c r="DL139" s="3">
        <f>_xlfn.XLOOKUP(B139,'BASE DE EXCEL'!$C:$C,'BASE DE EXCEL'!AF:AF,"NO HAY REFERENCIA")</f>
        <v>8</v>
      </c>
      <c r="DM139" s="4">
        <f>_xlfn.XLOOKUP(B139,'BASE DE EXCEL'!$C:$C,'BASE DE EXCEL'!AG:AG,"NO HAY REFERENCIA")</f>
        <v>46128</v>
      </c>
      <c r="DN139" s="4">
        <f>_xlfn.XLOOKUP(B139,'BASE DE EXCEL'!$C:$C,'BASE DE EXCEL'!AH:AH,"NO HAY REFERENCIA")</f>
        <v>46129</v>
      </c>
      <c r="DO139" s="3">
        <f>_xlfn.XLOOKUP(B139,'BASE DE EXCEL'!$C:$C,'BASE DE EXCEL'!AI:AI,"NO HAY REFERENCIA")</f>
        <v>1</v>
      </c>
      <c r="DP139" s="4" t="str">
        <f>_xlfn.XLOOKUP(B139,'BASE DE EXCEL'!$C:$C,'BASE DE EXCEL'!AJ:AJ,"NO HAY REFERENCIA")</f>
        <v>6 a 10 días</v>
      </c>
      <c r="DQ139" s="4">
        <f>_xlfn.XLOOKUP(B139,'BASE DE EXCEL'!$C:$C,'BASE DE EXCEL'!AK:AK,"NO HAY REFERENCIA")</f>
        <v>46129</v>
      </c>
      <c r="DR139" s="3">
        <f>_xlfn.XLOOKUP(B139,'BASE DE EXCEL'!$C:$C,'BASE DE EXCEL'!AL:AL,"NO HAY REFERENCIA")</f>
        <v>9</v>
      </c>
      <c r="DS139" s="3" t="str">
        <f>_xlfn.XLOOKUP(B139,'BASE DE EXCEL'!$C:$C,'BASE DE EXCEL'!AM:AM,"NO HAY REFERENCIA")</f>
        <v>6 a 10 días</v>
      </c>
      <c r="DT139" s="3" t="str">
        <f>_xlfn.XLOOKUP(B139,'BASE DE EXCEL'!$C:$C,'BASE DE EXCEL'!AN:AN,"NO HAY REFERENCIA")</f>
        <v>Delayed</v>
      </c>
      <c r="DU139" s="3">
        <f>_xlfn.XLOOKUP(B139,'BASE DE EXCEL'!$C:$C,'BASE DE EXCEL'!AO:AO,"NO HAY REFERENCIA")</f>
        <v>1</v>
      </c>
      <c r="DV139" s="3" t="str">
        <f>_xlfn.XLOOKUP(B139,'BASE DE EXCEL'!$C:$C,'BASE DE EXCEL'!AP:AP,"NO HAY REFERENCIA")</f>
        <v>Es anterior</v>
      </c>
      <c r="DW139" s="3" t="str">
        <f>_xlfn.XLOOKUP(B139,'BASE DE EXCEL'!$C:$C,'BASE DE EXCEL'!AQ:AQ,"NO HAY REFERENCIA")</f>
        <v>A1</v>
      </c>
      <c r="DX139" s="3" t="str">
        <f>_xlfn.XLOOKUP(B139,'BASE DE EXCEL'!$C:$C,'BASE DE EXCEL'!AR:AR,"NO HAY REFERENCIA")</f>
        <v>ZULEIMA PEREZ RUIZ</v>
      </c>
      <c r="DY139" s="3" t="str">
        <f>_xlfn.XLOOKUP(B139,'BASE DE EXCEL'!$C:$C,'BASE DE EXCEL'!AS:AS,"NO HAY REFERENCIA")</f>
        <v>HLCURTM260288670</v>
      </c>
      <c r="DZ139" s="3" t="str">
        <f>_xlfn.XLOOKUP(B139,'BASE DE EXCEL'!$C:$C,'BASE DE EXCEL'!AT:AT,"NO HAY REFERENCIA")</f>
        <v>NULL</v>
      </c>
      <c r="EA139" s="3">
        <f>_xlfn.XLOOKUP(B139,'BASE DE EXCEL'!$C:$C,'BASE DE EXCEL'!AU:AU,"NO HAY REFERENCIA")</f>
        <v>6000434</v>
      </c>
      <c r="EB139" s="3" t="str">
        <f>_xlfn.XLOOKUP(B139,'BASE DE EXCEL'!$C:$C,'BASE DE EXCEL'!AV:AV,"NO HAY REFERENCIA")</f>
        <v>Importación</v>
      </c>
      <c r="EC139" s="3" t="str">
        <f>_xlfn.XLOOKUP(B139,'BASE DE EXCEL'!$C:$C,'BASE DE EXCEL'!AW:AW,"NO HAY REFERENCIA")</f>
        <v>NOBIVAC DH PARVO C (VACUNA DE USO VETERINARIO)</v>
      </c>
      <c r="ED139" s="3" t="str">
        <f>_xlfn.XLOOKUP(B139,'BASE DE EXCEL'!$C:$C,'BASE DE EXCEL'!AX:AX,"NO HAY REFERENCIA")</f>
        <v>SIN CLASIFICACION</v>
      </c>
      <c r="EE139" s="3">
        <f>_xlfn.XLOOKUP(B139,'BASE DE EXCEL'!$C:$C,'BASE DE EXCEL'!AY:AY,"NO HAY REFERENCIA")</f>
        <v>0</v>
      </c>
      <c r="EF139" s="3" t="str">
        <f>_xlfn.XLOOKUP(B139,'BASE DE EXCEL'!$C:$C,'BASE DE EXCEL'!AZ:AZ,"NO HAY REFERENCIA")</f>
        <v>Cargas de Importación</v>
      </c>
      <c r="EG139" s="3" t="str">
        <f>_xlfn.XLOOKUP(B139,'BASE DE EXCEL'!$C:$C,'BASE DE EXCEL'!BA:BA,"NO HAY REFERENCIA")</f>
        <v>INTERVET MEXICO SA DE CV</v>
      </c>
      <c r="EH139" s="3">
        <f>_xlfn.XLOOKUP(B139,'BASE DE EXCEL'!$C:$C,'BASE DE EXCEL'!BB:BB,"NO HAY REFERENCIA")</f>
        <v>0</v>
      </c>
      <c r="EI139" s="3" t="str">
        <f>_xlfn.XLOOKUP(B139,'BASE DE EXCEL'!$C:$C,'BASE DE EXCEL'!BC:BC,"NO HAY REFERENCIA")</f>
        <v>NINGUNO</v>
      </c>
      <c r="EJ139" s="3">
        <f>_xlfn.XLOOKUP(B139,'BASE DE EXCEL'!$C:$C,'BASE DE EXCEL'!BD:BD,"NO HAY REFERENCIA")</f>
        <v>0</v>
      </c>
      <c r="EK139" s="3" t="str">
        <f>_xlfn.XLOOKUP(B139,'BASE DE EXCEL'!$C:$C,'BASE DE EXCEL'!BE:BE,"NO HAY REFERENCIA")</f>
        <v>NINGUNO</v>
      </c>
      <c r="EL139" s="3" t="str">
        <f>_xlfn.XLOOKUP(B139,'BASE DE EXCEL'!$C:$C,'BASE DE EXCEL'!BF:BF,"NO HAY REFERENCIA")</f>
        <v>PRODUCTO TERMINADO</v>
      </c>
      <c r="EM139" s="3" t="str">
        <f>_xlfn.XLOOKUP(B139,'BASE DE EXCEL'!$C:$C,'BASE DE EXCEL'!BG:BG,"NO HAY REFERENCIA")</f>
        <v>Rojo</v>
      </c>
      <c r="EN139" s="3" t="str">
        <f>_xlfn.XLOOKUP(B139,'BASE DE EXCEL'!$C:$C,'BASE DE EXCEL'!BH:BH,"NO HAY REFERENCIA")</f>
        <v xml:space="preserve"> MLH TRANSPORTE, S.A. DE C.V.</v>
      </c>
      <c r="EO139" s="3" t="str">
        <f>_xlfn.XLOOKUP(B139,'BASE DE EXCEL'!$C:$C,'BASE DE EXCEL'!BI:BI,"NO HAY REFERENCIA")</f>
        <v>TRACTOCAMION ECO 110</v>
      </c>
      <c r="EP139" s="3">
        <f>_xlfn.XLOOKUP(B139,'BASE DE EXCEL'!$C:$C,'BASE DE EXCEL'!BJ:BJ,"NO HAY REFERENCIA")</f>
        <v>0</v>
      </c>
      <c r="EQ139" s="3" t="str">
        <f>_xlfn.XLOOKUP(B139,'BASE DE EXCEL'!$C:$C,'BASE DE EXCEL'!BK:BK,"NO HAY REFERENCIA")</f>
        <v>IME850329RH2</v>
      </c>
      <c r="ER139" s="3">
        <f>_xlfn.XLOOKUP(B139,'BASE DE EXCEL'!$C:$C,'BASE DE EXCEL'!BL:BL,"NO HAY REFERENCIA")</f>
        <v>0</v>
      </c>
      <c r="ES139" s="3">
        <f>_xlfn.XLOOKUP(B139,'BASE DE EXCEL'!$C:$C,'BASE DE EXCEL'!BM:BM,"NO HAY REFERENCIA")</f>
        <v>99</v>
      </c>
      <c r="ET139" s="3" t="str">
        <f>_xlfn.XLOOKUP(B139,'BASE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39" s="3">
        <f>_xlfn.XLOOKUP(B139,'BASE DE EXCEL'!$C:$C,'BASE DE EXCEL'!BO:BO,"NO HAY REFERENCIA")</f>
        <v>90</v>
      </c>
      <c r="EV139" s="3" t="str">
        <f>_xlfn.XLOOKUP(B139,'BASE DE EXCEL'!$C:$C,'BASE DE EXCEL'!BP:BP,"NO HAY REFERENCIA")</f>
        <v xml:space="preserve"> 11626987.90, 30130695.36</v>
      </c>
      <c r="EW139" s="3" t="str">
        <f>_xlfn.XLOOKUP(B139,'BASE DE EXCEL'!$C:$C,'BASE DE EXCEL'!BQ:BQ,"NO HAY REFERENCIA")</f>
        <v>KILO,KILO,KILO,KILO,KILO,KILO,KILO,KILO,KILO,KILO,KILO,KILO,KILO</v>
      </c>
      <c r="EX139" s="3">
        <f>_xlfn.XLOOKUP(B139,'BASE DE EXCEL'!$C:$C,'BASE DE EXCEL'!BR:BR,"NO HAY REFERENCIA")</f>
        <v>0</v>
      </c>
      <c r="EY139" s="3" t="str">
        <f>_xlfn.XLOOKUP(B139,'BASE DE EXCEL'!$C:$C,'BASE DE EXCEL'!BS:BS,"NO HAY REFERENCIA")</f>
        <v>PAISES BAJOS (REINO DE LOS) (HOLANDA)</v>
      </c>
      <c r="EZ139" s="3" t="str">
        <f>_xlfn.XLOOKUP(B139,'BASE DE EXCEL'!$C:$C,'BASE DE EXCEL'!BT:BT,"NO HAY REFERENCIA")</f>
        <v>PAISES BAJOS (REINO DE LOS) (HOLANDA)</v>
      </c>
      <c r="FA139" s="3" t="str">
        <f>_xlfn.XLOOKUP(B139,'BASE DE EXCEL'!$C:$C,'BASE DE EXCEL'!BU:BU,"NO HAY REFERENCIA")</f>
        <v>ZYA</v>
      </c>
      <c r="FB139" s="3" t="str">
        <f>_xlfn.XLOOKUP(B139,'BASE DE EXCEL'!$C:$C,'BASE DE EXCEL'!BV:BV,"NO HAY REFERENCIA")</f>
        <v>ZYA</v>
      </c>
      <c r="FC139" s="3">
        <f>_xlfn.XLOOKUP(B139,QUERY!$C:$C,QUERY!D:D)</f>
        <v>430</v>
      </c>
      <c r="FD139" s="4">
        <f>_xlfn.XLOOKUP(B139,QUERY!$C:$C,QUERY!E:E)</f>
        <v>46118</v>
      </c>
      <c r="FE139" s="3">
        <f>_xlfn.XLOOKUP(B139,QUERY!$C:$C,QUERY!F:F)</f>
        <v>4</v>
      </c>
      <c r="FF139" s="4">
        <f>_xlfn.XLOOKUP(B139,QUERY!$C:$C,QUERY!G:G)</f>
        <v>46111</v>
      </c>
      <c r="FG139" s="4">
        <f>_xlfn.XLOOKUP(B139,QUERY!$C:$C,QUERY!H:H)</f>
        <v>46118</v>
      </c>
      <c r="FH139" s="3">
        <f>_xlfn.XLOOKUP(B139,QUERY!$C:$C,QUERY!I:I)</f>
        <v>5</v>
      </c>
      <c r="FI139" s="3" t="str">
        <f>_xlfn.XLOOKUP(B139,QUERY!$C:$C,QUERY!J:J)</f>
        <v>4 a 5 días</v>
      </c>
      <c r="FJ139" s="4">
        <f>_xlfn.XLOOKUP(B139,QUERY!$C:$C,QUERY!K:K)</f>
        <v>46118</v>
      </c>
      <c r="FK139" s="3">
        <f>_xlfn.XLOOKUP(B139,QUERY!$C:$C,QUERY!L:L)</f>
        <v>5</v>
      </c>
      <c r="FL139" s="3" t="str">
        <f>_xlfn.XLOOKUP(B139,QUERY!$C:$C,QUERY!M:M)</f>
        <v>4 a 5 días</v>
      </c>
      <c r="FM139" s="3">
        <f>_xlfn.XLOOKUP(B139,QUERY!$C:$C,QUERY!N:N)</f>
        <v>0</v>
      </c>
      <c r="FN139" s="3" t="str">
        <f>_xlfn.XLOOKUP(B139,QUERY!$C:$C,QUERY!O:O)</f>
        <v>1 día o menos</v>
      </c>
      <c r="FO139" s="3">
        <f>_xlfn.XLOOKUP(B139,QUERY!$C:$C,QUERY!P:P)</f>
        <v>0</v>
      </c>
      <c r="FP139" s="3">
        <f>_xlfn.XLOOKUP(B139,QUERY!$C:$C,QUERY!Q:Q)</f>
        <v>1</v>
      </c>
      <c r="FQ139" s="3" t="str">
        <f>_xlfn.XLOOKUP(B139,QUERY!$C:$C,QUERY!R:R)</f>
        <v>1 día o menos</v>
      </c>
      <c r="FR139" s="4">
        <f>_xlfn.XLOOKUP(B139,QUERY!$C:$C,QUERY!S:S)</f>
        <v>46119</v>
      </c>
      <c r="FS139" s="3">
        <f>_xlfn.XLOOKUP(B139,QUERY!$C:$C,QUERY!T:T)</f>
        <v>6</v>
      </c>
      <c r="FT139" s="3" t="str">
        <f>_xlfn.XLOOKUP(B139,QUERY!$C:$C,QUERY!U:U)</f>
        <v>6 a 10 días</v>
      </c>
      <c r="FU139" s="3">
        <f>_xlfn.XLOOKUP(B139,QUERY!$C:$C,QUERY!V:V)</f>
        <v>14</v>
      </c>
      <c r="FV139" s="3" t="str">
        <f>_xlfn.XLOOKUP(B139,QUERY!$C:$C,QUERY!W:W)</f>
        <v>11 a 15 días</v>
      </c>
      <c r="FW139" s="4">
        <f>_xlfn.XLOOKUP(B139,QUERY!$C:$C,QUERY!X:X)</f>
        <v>46129</v>
      </c>
      <c r="FX139" s="3">
        <f>_xlfn.XLOOKUP(B139,QUERY!$C:$C,QUERY!Y:Y)</f>
        <v>7</v>
      </c>
      <c r="FY139" s="3">
        <f>_xlfn.XLOOKUP(B139,QUERY!$C:$C,QUERY!Z:Z)</f>
        <v>8</v>
      </c>
      <c r="FZ139" s="4" t="str">
        <f>_xlfn.XLOOKUP(B139,QUERY!$C:$C,QUERY!AA:AA)</f>
        <v>6 a 10 días</v>
      </c>
      <c r="GA139" s="4">
        <f>_xlfn.XLOOKUP(B139,QUERY!$C:$C,QUERY!AB:AB)</f>
        <v>46128</v>
      </c>
      <c r="GB139" s="4">
        <f>_xlfn.XLOOKUP(B139,QUERY!$C:$C,QUERY!AC:AC)</f>
        <v>46129</v>
      </c>
      <c r="GC139" s="3">
        <f>_xlfn.XLOOKUP(B139,QUERY!$C:$C,QUERY!AD:AD)</f>
        <v>1</v>
      </c>
      <c r="GD139" s="4">
        <f>_xlfn.XLOOKUP(B139,QUERY!$C:$C,QUERY!AE:AE)</f>
        <v>46129</v>
      </c>
      <c r="GE139" s="3">
        <f>_xlfn.XLOOKUP(B139,QUERY!$C:$C,QUERY!AF:AF)</f>
        <v>1</v>
      </c>
      <c r="GF139" s="4" t="str">
        <f>_xlfn.XLOOKUP(B139,QUERY!$C:$C,QUERY!AG:AG)</f>
        <v>Es anterior</v>
      </c>
      <c r="GG139" s="3" t="str">
        <f>_xlfn.XLOOKUP(B139,QUERY!$C:$C,QUERY!AH:AH)</f>
        <v>A1</v>
      </c>
      <c r="GH139" s="3" t="str">
        <f>_xlfn.XLOOKUP(B139,QUERY!$C:$C,QUERY!AI:AI)</f>
        <v>ZULEIMA PEREZ RUIZ</v>
      </c>
      <c r="GI139" s="3" t="str">
        <f>_xlfn.XLOOKUP(B139,QUERY!$C:$C,QUERY!AJ:AJ)</f>
        <v>HLCURTM260288670</v>
      </c>
      <c r="GJ139" s="3" t="str">
        <f>_xlfn.XLOOKUP(B139,QUERY!$C:$C,QUERY!AK:AK)</f>
        <v>NULL</v>
      </c>
      <c r="GK139" s="3">
        <f>_xlfn.XLOOKUP(B139,QUERY!$C:$C,QUERY!AL:AL)</f>
        <v>6000434</v>
      </c>
      <c r="GL139" s="3" t="str">
        <f>_xlfn.XLOOKUP(B139,QUERY!$C:$C,QUERY!AM:AM)</f>
        <v>Importación</v>
      </c>
      <c r="GM139" s="3" t="str">
        <f>_xlfn.XLOOKUP(B139,QUERY!$C:$C,QUERY!AN:AN)</f>
        <v>NOBIVAC DH PARVO C (VACUNA DE USO VETERINARIO)</v>
      </c>
      <c r="GN139" s="3" t="str">
        <f>_xlfn.XLOOKUP(B139,QUERY!$C:$C,QUERY!AO:AO)</f>
        <v>SIN CLASIFICACION</v>
      </c>
      <c r="GO139" s="3">
        <f>_xlfn.XLOOKUP(B139,QUERY!$C:$C,QUERY!AP:AP)</f>
        <v>0</v>
      </c>
      <c r="GP139" s="3" t="str">
        <f>_xlfn.XLOOKUP(B139,QUERY!$C:$C,QUERY!AQ:AQ)</f>
        <v>Cargas de Importación</v>
      </c>
      <c r="GQ139" s="3" t="str">
        <f>_xlfn.XLOOKUP(B139,QUERY!$C:$C,QUERY!AR:AR)</f>
        <v>INTERVET MEXICO SA DE CV</v>
      </c>
      <c r="GR139" s="3">
        <f>_xlfn.XLOOKUP(B139,QUERY!$C:$C,QUERY!AS:AS)</f>
        <v>0</v>
      </c>
      <c r="GS139" s="3" t="str">
        <f>_xlfn.XLOOKUP(B139,QUERY!$C:$C,QUERY!AT:AT)</f>
        <v>NINGUNO</v>
      </c>
      <c r="GT139" s="3">
        <f>_xlfn.XLOOKUP(B139,QUERY!$C:$C,QUERY!AU:AU)</f>
        <v>0</v>
      </c>
      <c r="GU139" s="3" t="str">
        <f>_xlfn.XLOOKUP(B139,QUERY!$C:$C,QUERY!AV:AV)</f>
        <v>NINGUNO</v>
      </c>
      <c r="GV139" s="3" t="str">
        <f>_xlfn.XLOOKUP(B139,QUERY!$C:$C,QUERY!AW:AW)</f>
        <v>PRODUCTO TERMINADO</v>
      </c>
      <c r="GW139" s="3" t="str">
        <f>_xlfn.XLOOKUP(B139,QUERY!$C:$C,QUERY!AX:AX)</f>
        <v>Rojo</v>
      </c>
      <c r="GX139" s="3" t="str">
        <f>_xlfn.XLOOKUP(B139,QUERY!$C:$C,QUERY!AY:AY)</f>
        <v xml:space="preserve"> MLH TRANSPORTE, S.A. DE C.V.</v>
      </c>
      <c r="GY139" s="3" t="str">
        <f>_xlfn.XLOOKUP(B139,QUERY!$C:$C,QUERY!AZ:AZ)</f>
        <v>TRACTOCAMION ECO 110</v>
      </c>
      <c r="GZ139" s="3">
        <f>_xlfn.XLOOKUP(B139,QUERY!$C:$C,QUERY!BA:BA)</f>
        <v>0</v>
      </c>
      <c r="HA139" s="3" t="str">
        <f>_xlfn.XLOOKUP(B139,QUERY!$C:$C,QUERY!BB:BB)</f>
        <v>IME850329RH2</v>
      </c>
      <c r="HB139" s="3">
        <f>_xlfn.XLOOKUP(B139,QUERY!$C:$C,QUERY!BC:BC)</f>
        <v>0</v>
      </c>
      <c r="HC139" s="3">
        <f>_xlfn.XLOOKUP(B139,QUERY!$C:$C,QUERY!BD:BD)</f>
        <v>99</v>
      </c>
      <c r="HD139" s="3" t="str">
        <f>_xlfn.XLOOKUP(B139,QUERY!$C:$C,QUERY!BE:BE)</f>
        <v>LOTE: A217C01,LOTE: A849F01,LOTE: A225A01,LOTE: A180E01,LOTE: 1E073A02,LOTE: A145A01,LOTE: A227A01,LOTE: A061A03,LOTE: A061A04,LOTE: 1E073A03,LOTE: A737B01,LOTE: A270A02,LOTE: A032AJ02</v>
      </c>
      <c r="HE139" s="3">
        <f>_xlfn.XLOOKUP(B139,QUERY!$C:$C,QUERY!BF:BF)</f>
        <v>90</v>
      </c>
      <c r="HF139" s="3" t="str">
        <f>_xlfn.XLOOKUP(B139,QUERY!$C:$C,QUERY!BG:BG)</f>
        <v xml:space="preserve"> 11626987.90, 30130695.36</v>
      </c>
      <c r="HG139" s="3" t="str">
        <f>_xlfn.XLOOKUP(B139,QUERY!$C:$C,QUERY!BH:BH)</f>
        <v>KILO,KILO,KILO,KILO,KILO,KILO,KILO,KILO,KILO,KILO,KILO,KILO,KILO</v>
      </c>
      <c r="HH139" s="3">
        <f>_xlfn.XLOOKUP(B139,QUERY!$C:$C,QUERY!BI:BI)</f>
        <v>0</v>
      </c>
      <c r="HI139" s="3" t="str">
        <f>_xlfn.XLOOKUP(B139,QUERY!$C:$C,QUERY!BJ:BJ)</f>
        <v>PAISES BAJOS (REINO DE LOS) (HOLANDA)</v>
      </c>
      <c r="HJ139" s="3" t="str">
        <f>_xlfn.XLOOKUP(B139,QUERY!$C:$C,QUERY!BK:BK)</f>
        <v>PAISES BAJOS (REINO DE LOS) (HOLANDA)</v>
      </c>
      <c r="HK139" s="3" t="str">
        <f>_xlfn.XLOOKUP(B139,QUERY!$C:$C,QUERY!BL:BL)</f>
        <v>ZYA</v>
      </c>
      <c r="HL139" s="3" t="str">
        <f>_xlfn.XLOOKUP(B139,QUERY!$C:$C,QUERY!BM:BM)</f>
        <v>ZYA</v>
      </c>
      <c r="HM139" s="3">
        <f>_xlfn.XLOOKUP(B139,QUERY!$C:$C,QUERY!BN:BN)</f>
        <v>41757683</v>
      </c>
      <c r="HN139" s="3" t="str">
        <f>_xlfn.XLOOKUP(B139,QUERY!$C:$C,QUERY!BO:BO)</f>
        <v>462.00</v>
      </c>
      <c r="HO139" s="3" t="str">
        <f>_xlfn.XLOOKUP(B139,QUERY!$C:$C,QUERY!BP:BP)</f>
        <v>NULL</v>
      </c>
      <c r="HP139" s="3" t="str">
        <f>_xlfn.XLOOKUP(B139,QUERY!$C:$C,QUERY!BQ:BQ)</f>
        <v>NULL</v>
      </c>
      <c r="HQ139" s="3" t="str">
        <f>_xlfn.XLOOKUP(B139,QUERY!$C:$C,QUERY!BR:BR)</f>
        <v>248801.02</v>
      </c>
      <c r="HR139" s="3">
        <f>_xlfn.XLOOKUP(B139,QUERY!$C:$C,QUERY!BS:BS)</f>
        <v>0</v>
      </c>
      <c r="HS139" s="3">
        <f>_xlfn.XLOOKUP(B139,QUERY!$C:$C,QUERY!BT:BT)</f>
        <v>0</v>
      </c>
      <c r="HT139" s="3" t="str">
        <f>_xlfn.XLOOKUP(B139,QUERY!$C:$C,QUERY!A:A)</f>
        <v>VERACRUZ</v>
      </c>
      <c r="HU139" s="3" t="str">
        <f>_xlfn.XLOOKUP(B139,QUERY!$C:$C,QUERY!B:B)</f>
        <v>MARÍTIMO VERACRUZ</v>
      </c>
    </row>
    <row r="140" spans="1:229" x14ac:dyDescent="0.25">
      <c r="A140" s="3" t="s">
        <v>90</v>
      </c>
      <c r="B140" s="3" t="s">
        <v>366</v>
      </c>
      <c r="C140" s="3">
        <v>3942</v>
      </c>
      <c r="D140" s="3">
        <v>6000434</v>
      </c>
      <c r="E140" s="3"/>
      <c r="F140" s="3" t="s">
        <v>92</v>
      </c>
      <c r="G140" s="3" t="s">
        <v>93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430</v>
      </c>
      <c r="S140" s="3" t="s">
        <v>367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 t="s">
        <v>156</v>
      </c>
      <c r="AB140" s="3"/>
      <c r="AC140" s="3">
        <v>956005</v>
      </c>
      <c r="AD140" s="3">
        <v>260.34994999999998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/>
      <c r="AP140" s="3" t="s">
        <v>98</v>
      </c>
      <c r="AQ140" s="3">
        <v>210368546</v>
      </c>
      <c r="AR140" s="3" t="s">
        <v>99</v>
      </c>
      <c r="AS140" s="3" t="s">
        <v>100</v>
      </c>
      <c r="AT140" s="3">
        <v>0</v>
      </c>
      <c r="AU140" s="3">
        <v>0</v>
      </c>
      <c r="AV140" s="3">
        <v>0</v>
      </c>
      <c r="AW140" s="3">
        <v>30024201</v>
      </c>
      <c r="AX140" s="3">
        <v>99</v>
      </c>
      <c r="AY140" s="3">
        <v>3672</v>
      </c>
      <c r="AZ140" s="3">
        <v>3672</v>
      </c>
      <c r="BA140" s="3" t="s">
        <v>103</v>
      </c>
      <c r="BB140" s="3"/>
      <c r="BC140" s="3" t="s">
        <v>105</v>
      </c>
      <c r="BD140" s="3" t="s">
        <v>105</v>
      </c>
      <c r="BE140" s="3"/>
      <c r="BF140" s="3"/>
      <c r="BG140" s="5"/>
      <c r="BH140" s="3"/>
      <c r="BI140" s="3"/>
      <c r="BJ140" s="3"/>
      <c r="BK140" s="3" t="s">
        <v>370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 t="s">
        <v>192</v>
      </c>
      <c r="CF140" s="3">
        <v>0</v>
      </c>
      <c r="CG140" s="3">
        <v>0</v>
      </c>
      <c r="CH140" s="3">
        <v>0</v>
      </c>
      <c r="CI140" s="3" t="s">
        <v>112</v>
      </c>
      <c r="CJ140" s="3" t="s">
        <v>112</v>
      </c>
      <c r="CK140" s="3">
        <f>_xlfn.XLOOKUP($B$2,'BASE DE EXCEL'!C:C,'BASE DE EXCEL'!D:D,"NO HAY REFERENCIA")</f>
        <v>470</v>
      </c>
      <c r="CL140" s="5">
        <f>_xlfn.XLOOKUP($B$2,'BASE DE EXCEL'!$C:$C,'BASE DE EXCEL'!F:F,"NO HAY REFERENCIA")</f>
        <v>3</v>
      </c>
      <c r="CM140" s="4">
        <f>_xlfn.XLOOKUP($B$2,'BASE DE EXCEL'!$C:$C,'BASE DE EXCEL'!G:G,"NO HAY REFERENCIA")</f>
        <v>46080</v>
      </c>
      <c r="CN140" s="4">
        <f>_xlfn.XLOOKUP($B$2,'BASE DE EXCEL'!$C:$C,'BASE DE EXCEL'!H:H,"NO HAY REFERENCIA")</f>
        <v>46086</v>
      </c>
      <c r="CO140" s="3">
        <f>_xlfn.XLOOKUP($B$2,'BASE DE EXCEL'!$C:$C,'BASE DE EXCEL'!I:I,"NO HAY REFERENCIA")</f>
        <v>4</v>
      </c>
      <c r="CP140" s="3" t="str">
        <f>_xlfn.XLOOKUP($B$2,'BASE DE EXCEL'!$C:$C,'BASE DE EXCEL'!J:J,"NO HAY REFERENCIA")</f>
        <v>4 a 5 días</v>
      </c>
      <c r="CQ140" s="4">
        <f>_xlfn.XLOOKUP($B$2,'BASE DE EXCEL'!$C:$C,'BASE DE EXCEL'!K:K,"NO HAY REFERENCIA")</f>
        <v>46087</v>
      </c>
      <c r="CR140" s="3">
        <f>_xlfn.XLOOKUP($B$2,'BASE DE EXCEL'!$C:$C,'BASE DE EXCEL'!L:L,"NO HAY REFERENCIA")</f>
        <v>5</v>
      </c>
      <c r="CS140" s="3">
        <f>_xlfn.XLOOKUP($B$2,'BASE DE EXCEL'!$C:$C,'BASE DE EXCEL'!M:M,"NO HAY REFERENCIA")</f>
        <v>6</v>
      </c>
      <c r="CT140" s="3" t="str">
        <f>_xlfn.XLOOKUP($B$2,'BASE DE EXCEL'!$C:$C,'BASE DE EXCEL'!N:N,"NO HAY REFERENCIA")</f>
        <v>6 a 10 días</v>
      </c>
      <c r="CU140" s="3" t="str">
        <f>_xlfn.XLOOKUP($B$2,'BASE DE EXCEL'!$C:$C,'BASE DE EXCEL'!O:O,"NO HAY REFERENCIA")</f>
        <v>On Time</v>
      </c>
      <c r="CV140" s="3" t="str">
        <f>_xlfn.XLOOKUP(B140,'BASE DE EXCEL'!$C:$C,'BASE DE EXCEL'!P:P,"NO HAY REFERENCIA")</f>
        <v>6 a 10 días</v>
      </c>
      <c r="CW140" s="4">
        <f>_xlfn.XLOOKUP(B140,'BASE DE EXCEL'!$C:$C,'BASE DE EXCEL'!Q:Q,"NO HAY REFERENCIA")</f>
        <v>46119</v>
      </c>
      <c r="CX140" s="3">
        <f>_xlfn.XLOOKUP(B140,'BASE DE EXCEL'!$C:$C,'BASE DE EXCEL'!R:R,"NO HAY REFERENCIA")</f>
        <v>5</v>
      </c>
      <c r="CY140" s="3" t="str">
        <f>_xlfn.XLOOKUP(B140,'BASE DE EXCEL'!$C:$C,'BASE DE EXCEL'!S:S,"NO HAY REFERENCIA")</f>
        <v>4 a 5 días</v>
      </c>
      <c r="CZ140" s="3" t="str">
        <f>_xlfn.XLOOKUP(B140,'BASE DE EXCEL'!$C:$C,'BASE DE EXCEL'!T:T,"NO HAY REFERENCIA")</f>
        <v>On Time</v>
      </c>
      <c r="DA140" s="3">
        <f>_xlfn.XLOOKUP(B140,'BASE DE EXCEL'!$C:$C,'BASE DE EXCEL'!U:U,"NO HAY REFERENCIA")</f>
        <v>8</v>
      </c>
      <c r="DB140" s="3" t="str">
        <f>_xlfn.XLOOKUP(B140,'BASE DE EXCEL'!$C:$C,'BASE DE EXCEL'!V:V,"NO HAY REFERENCIA")</f>
        <v>6 a 10 días</v>
      </c>
      <c r="DC140" s="3">
        <f>_xlfn.XLOOKUP(B140,'BASE DE EXCEL'!$C:$C,'BASE DE EXCEL'!W:W,"NO HAY REFERENCIA")</f>
        <v>14</v>
      </c>
      <c r="DD140" s="3" t="str">
        <f>_xlfn.XLOOKUP(B140,'BASE DE EXCEL'!$C:$C,'BASE DE EXCEL'!X:X,"NO HAY REFERENCIA")</f>
        <v>11 a 15 días</v>
      </c>
      <c r="DE140" s="3">
        <f>_xlfn.XLOOKUP(B140,'BASE DE EXCEL'!$C:$C,'BASE DE EXCEL'!Y:Y,"NO HAY REFERENCIA")</f>
        <v>0</v>
      </c>
      <c r="DF140" s="3" t="str">
        <f>_xlfn.XLOOKUP(B140,'BASE DE EXCEL'!$C:$C,'BASE DE EXCEL'!Z:Z,"NO HAY REFERENCIA")</f>
        <v>1 día o menos</v>
      </c>
      <c r="DG140" s="3">
        <f>_xlfn.XLOOKUP(B140,'BASE DE EXCEL'!$C:$C,'BASE DE EXCEL'!AA:AA,"NO HAY REFERENCIA")</f>
        <v>7</v>
      </c>
      <c r="DH140" s="3">
        <f>_xlfn.XLOOKUP(B140,'BASE DE EXCEL'!$C:$C,'BASE DE EXCEL'!AB:AB,"NO HAY REFERENCIA")</f>
        <v>1</v>
      </c>
      <c r="DI140" s="3" t="str">
        <f>_xlfn.XLOOKUP(B140,'BASE DE EXCEL'!$C:$C,'BASE DE EXCEL'!AC:AC,"NO HAY REFERENCIA")</f>
        <v>1 día o menos</v>
      </c>
      <c r="DJ140" s="4">
        <f>_xlfn.XLOOKUP(B140,'BASE DE EXCEL'!$C:$C,'BASE DE EXCEL'!AD:AD,"NO HAY REFERENCIA")</f>
        <v>46129</v>
      </c>
      <c r="DK140" s="3">
        <f>_xlfn.XLOOKUP(B140,'BASE DE EXCEL'!$C:$C,'BASE DE EXCEL'!AE:AE,"NO HAY REFERENCIA")</f>
        <v>9</v>
      </c>
      <c r="DL140" s="3">
        <f>_xlfn.XLOOKUP(B140,'BASE DE EXCEL'!$C:$C,'BASE DE EXCEL'!AF:AF,"NO HAY REFERENCIA")</f>
        <v>8</v>
      </c>
      <c r="DM140" s="4">
        <f>_xlfn.XLOOKUP(B140,'BASE DE EXCEL'!$C:$C,'BASE DE EXCEL'!AG:AG,"NO HAY REFERENCIA")</f>
        <v>46128</v>
      </c>
      <c r="DN140" s="4">
        <f>_xlfn.XLOOKUP(B140,'BASE DE EXCEL'!$C:$C,'BASE DE EXCEL'!AH:AH,"NO HAY REFERENCIA")</f>
        <v>46129</v>
      </c>
      <c r="DO140" s="3">
        <f>_xlfn.XLOOKUP(B140,'BASE DE EXCEL'!$C:$C,'BASE DE EXCEL'!AI:AI,"NO HAY REFERENCIA")</f>
        <v>1</v>
      </c>
      <c r="DP140" s="4" t="str">
        <f>_xlfn.XLOOKUP(B140,'BASE DE EXCEL'!$C:$C,'BASE DE EXCEL'!AJ:AJ,"NO HAY REFERENCIA")</f>
        <v>6 a 10 días</v>
      </c>
      <c r="DQ140" s="4">
        <f>_xlfn.XLOOKUP(B140,'BASE DE EXCEL'!$C:$C,'BASE DE EXCEL'!AK:AK,"NO HAY REFERENCIA")</f>
        <v>46129</v>
      </c>
      <c r="DR140" s="3">
        <f>_xlfn.XLOOKUP(B140,'BASE DE EXCEL'!$C:$C,'BASE DE EXCEL'!AL:AL,"NO HAY REFERENCIA")</f>
        <v>9</v>
      </c>
      <c r="DS140" s="3" t="str">
        <f>_xlfn.XLOOKUP(B140,'BASE DE EXCEL'!$C:$C,'BASE DE EXCEL'!AM:AM,"NO HAY REFERENCIA")</f>
        <v>6 a 10 días</v>
      </c>
      <c r="DT140" s="3" t="str">
        <f>_xlfn.XLOOKUP(B140,'BASE DE EXCEL'!$C:$C,'BASE DE EXCEL'!AN:AN,"NO HAY REFERENCIA")</f>
        <v>Delayed</v>
      </c>
      <c r="DU140" s="3">
        <f>_xlfn.XLOOKUP(B140,'BASE DE EXCEL'!$C:$C,'BASE DE EXCEL'!AO:AO,"NO HAY REFERENCIA")</f>
        <v>1</v>
      </c>
      <c r="DV140" s="3" t="str">
        <f>_xlfn.XLOOKUP(B140,'BASE DE EXCEL'!$C:$C,'BASE DE EXCEL'!AP:AP,"NO HAY REFERENCIA")</f>
        <v>Es anterior</v>
      </c>
      <c r="DW140" s="3" t="str">
        <f>_xlfn.XLOOKUP(B140,'BASE DE EXCEL'!$C:$C,'BASE DE EXCEL'!AQ:AQ,"NO HAY REFERENCIA")</f>
        <v>A1</v>
      </c>
      <c r="DX140" s="3" t="str">
        <f>_xlfn.XLOOKUP(B140,'BASE DE EXCEL'!$C:$C,'BASE DE EXCEL'!AR:AR,"NO HAY REFERENCIA")</f>
        <v>ZULEIMA PEREZ RUIZ</v>
      </c>
      <c r="DY140" s="3" t="str">
        <f>_xlfn.XLOOKUP(B140,'BASE DE EXCEL'!$C:$C,'BASE DE EXCEL'!AS:AS,"NO HAY REFERENCIA")</f>
        <v>HLCURTM260288670</v>
      </c>
      <c r="DZ140" s="3" t="str">
        <f>_xlfn.XLOOKUP(B140,'BASE DE EXCEL'!$C:$C,'BASE DE EXCEL'!AT:AT,"NO HAY REFERENCIA")</f>
        <v>NULL</v>
      </c>
      <c r="EA140" s="3">
        <f>_xlfn.XLOOKUP(B140,'BASE DE EXCEL'!$C:$C,'BASE DE EXCEL'!AU:AU,"NO HAY REFERENCIA")</f>
        <v>6000434</v>
      </c>
      <c r="EB140" s="3" t="str">
        <f>_xlfn.XLOOKUP(B140,'BASE DE EXCEL'!$C:$C,'BASE DE EXCEL'!AV:AV,"NO HAY REFERENCIA")</f>
        <v>Importación</v>
      </c>
      <c r="EC140" s="3" t="str">
        <f>_xlfn.XLOOKUP(B140,'BASE DE EXCEL'!$C:$C,'BASE DE EXCEL'!AW:AW,"NO HAY REFERENCIA")</f>
        <v>NOBIVAC DH PARVO C (VACUNA DE USO VETERINARIO)</v>
      </c>
      <c r="ED140" s="3" t="str">
        <f>_xlfn.XLOOKUP(B140,'BASE DE EXCEL'!$C:$C,'BASE DE EXCEL'!AX:AX,"NO HAY REFERENCIA")</f>
        <v>SIN CLASIFICACION</v>
      </c>
      <c r="EE140" s="3">
        <f>_xlfn.XLOOKUP(B140,'BASE DE EXCEL'!$C:$C,'BASE DE EXCEL'!AY:AY,"NO HAY REFERENCIA")</f>
        <v>0</v>
      </c>
      <c r="EF140" s="3" t="str">
        <f>_xlfn.XLOOKUP(B140,'BASE DE EXCEL'!$C:$C,'BASE DE EXCEL'!AZ:AZ,"NO HAY REFERENCIA")</f>
        <v>Cargas de Importación</v>
      </c>
      <c r="EG140" s="3" t="str">
        <f>_xlfn.XLOOKUP(B140,'BASE DE EXCEL'!$C:$C,'BASE DE EXCEL'!BA:BA,"NO HAY REFERENCIA")</f>
        <v>INTERVET MEXICO SA DE CV</v>
      </c>
      <c r="EH140" s="3">
        <f>_xlfn.XLOOKUP(B140,'BASE DE EXCEL'!$C:$C,'BASE DE EXCEL'!BB:BB,"NO HAY REFERENCIA")</f>
        <v>0</v>
      </c>
      <c r="EI140" s="3" t="str">
        <f>_xlfn.XLOOKUP(B140,'BASE DE EXCEL'!$C:$C,'BASE DE EXCEL'!BC:BC,"NO HAY REFERENCIA")</f>
        <v>NINGUNO</v>
      </c>
      <c r="EJ140" s="3">
        <f>_xlfn.XLOOKUP(B140,'BASE DE EXCEL'!$C:$C,'BASE DE EXCEL'!BD:BD,"NO HAY REFERENCIA")</f>
        <v>0</v>
      </c>
      <c r="EK140" s="3" t="str">
        <f>_xlfn.XLOOKUP(B140,'BASE DE EXCEL'!$C:$C,'BASE DE EXCEL'!BE:BE,"NO HAY REFERENCIA")</f>
        <v>NINGUNO</v>
      </c>
      <c r="EL140" s="3" t="str">
        <f>_xlfn.XLOOKUP(B140,'BASE DE EXCEL'!$C:$C,'BASE DE EXCEL'!BF:BF,"NO HAY REFERENCIA")</f>
        <v>PRODUCTO TERMINADO</v>
      </c>
      <c r="EM140" s="3" t="str">
        <f>_xlfn.XLOOKUP(B140,'BASE DE EXCEL'!$C:$C,'BASE DE EXCEL'!BG:BG,"NO HAY REFERENCIA")</f>
        <v>Rojo</v>
      </c>
      <c r="EN140" s="3" t="str">
        <f>_xlfn.XLOOKUP(B140,'BASE DE EXCEL'!$C:$C,'BASE DE EXCEL'!BH:BH,"NO HAY REFERENCIA")</f>
        <v xml:space="preserve"> MLH TRANSPORTE, S.A. DE C.V.</v>
      </c>
      <c r="EO140" s="3" t="str">
        <f>_xlfn.XLOOKUP(B140,'BASE DE EXCEL'!$C:$C,'BASE DE EXCEL'!BI:BI,"NO HAY REFERENCIA")</f>
        <v>TRACTOCAMION ECO 110</v>
      </c>
      <c r="EP140" s="3">
        <f>_xlfn.XLOOKUP(B140,'BASE DE EXCEL'!$C:$C,'BASE DE EXCEL'!BJ:BJ,"NO HAY REFERENCIA")</f>
        <v>0</v>
      </c>
      <c r="EQ140" s="3" t="str">
        <f>_xlfn.XLOOKUP(B140,'BASE DE EXCEL'!$C:$C,'BASE DE EXCEL'!BK:BK,"NO HAY REFERENCIA")</f>
        <v>IME850329RH2</v>
      </c>
      <c r="ER140" s="3">
        <f>_xlfn.XLOOKUP(B140,'BASE DE EXCEL'!$C:$C,'BASE DE EXCEL'!BL:BL,"NO HAY REFERENCIA")</f>
        <v>0</v>
      </c>
      <c r="ES140" s="3">
        <f>_xlfn.XLOOKUP(B140,'BASE DE EXCEL'!$C:$C,'BASE DE EXCEL'!BM:BM,"NO HAY REFERENCIA")</f>
        <v>99</v>
      </c>
      <c r="ET140" s="3" t="str">
        <f>_xlfn.XLOOKUP(B140,'BASE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0" s="3">
        <f>_xlfn.XLOOKUP(B140,'BASE DE EXCEL'!$C:$C,'BASE DE EXCEL'!BO:BO,"NO HAY REFERENCIA")</f>
        <v>90</v>
      </c>
      <c r="EV140" s="3" t="str">
        <f>_xlfn.XLOOKUP(B140,'BASE DE EXCEL'!$C:$C,'BASE DE EXCEL'!BP:BP,"NO HAY REFERENCIA")</f>
        <v xml:space="preserve"> 11626987.90, 30130695.36</v>
      </c>
      <c r="EW140" s="3" t="str">
        <f>_xlfn.XLOOKUP(B140,'BASE DE EXCEL'!$C:$C,'BASE DE EXCEL'!BQ:BQ,"NO HAY REFERENCIA")</f>
        <v>KILO,KILO,KILO,KILO,KILO,KILO,KILO,KILO,KILO,KILO,KILO,KILO,KILO</v>
      </c>
      <c r="EX140" s="3">
        <f>_xlfn.XLOOKUP(B140,'BASE DE EXCEL'!$C:$C,'BASE DE EXCEL'!BR:BR,"NO HAY REFERENCIA")</f>
        <v>0</v>
      </c>
      <c r="EY140" s="3" t="str">
        <f>_xlfn.XLOOKUP(B140,'BASE DE EXCEL'!$C:$C,'BASE DE EXCEL'!BS:BS,"NO HAY REFERENCIA")</f>
        <v>PAISES BAJOS (REINO DE LOS) (HOLANDA)</v>
      </c>
      <c r="EZ140" s="3" t="str">
        <f>_xlfn.XLOOKUP(B140,'BASE DE EXCEL'!$C:$C,'BASE DE EXCEL'!BT:BT,"NO HAY REFERENCIA")</f>
        <v>PAISES BAJOS (REINO DE LOS) (HOLANDA)</v>
      </c>
      <c r="FA140" s="3" t="str">
        <f>_xlfn.XLOOKUP(B140,'BASE DE EXCEL'!$C:$C,'BASE DE EXCEL'!BU:BU,"NO HAY REFERENCIA")</f>
        <v>ZYA</v>
      </c>
      <c r="FB140" s="3" t="str">
        <f>_xlfn.XLOOKUP(B140,'BASE DE EXCEL'!$C:$C,'BASE DE EXCEL'!BV:BV,"NO HAY REFERENCIA")</f>
        <v>ZYA</v>
      </c>
      <c r="FC140" s="3">
        <f>_xlfn.XLOOKUP(B140,QUERY!$C:$C,QUERY!D:D)</f>
        <v>430</v>
      </c>
      <c r="FD140" s="4">
        <f>_xlfn.XLOOKUP(B140,QUERY!$C:$C,QUERY!E:E)</f>
        <v>46118</v>
      </c>
      <c r="FE140" s="3">
        <f>_xlfn.XLOOKUP(B140,QUERY!$C:$C,QUERY!F:F)</f>
        <v>4</v>
      </c>
      <c r="FF140" s="4">
        <f>_xlfn.XLOOKUP(B140,QUERY!$C:$C,QUERY!G:G)</f>
        <v>46111</v>
      </c>
      <c r="FG140" s="4">
        <f>_xlfn.XLOOKUP(B140,QUERY!$C:$C,QUERY!H:H)</f>
        <v>46118</v>
      </c>
      <c r="FH140" s="3">
        <f>_xlfn.XLOOKUP(B140,QUERY!$C:$C,QUERY!I:I)</f>
        <v>5</v>
      </c>
      <c r="FI140" s="3" t="str">
        <f>_xlfn.XLOOKUP(B140,QUERY!$C:$C,QUERY!J:J)</f>
        <v>4 a 5 días</v>
      </c>
      <c r="FJ140" s="4">
        <f>_xlfn.XLOOKUP(B140,QUERY!$C:$C,QUERY!K:K)</f>
        <v>46118</v>
      </c>
      <c r="FK140" s="3">
        <f>_xlfn.XLOOKUP(B140,QUERY!$C:$C,QUERY!L:L)</f>
        <v>5</v>
      </c>
      <c r="FL140" s="3" t="str">
        <f>_xlfn.XLOOKUP(B140,QUERY!$C:$C,QUERY!M:M)</f>
        <v>4 a 5 días</v>
      </c>
      <c r="FM140" s="3">
        <f>_xlfn.XLOOKUP(B140,QUERY!$C:$C,QUERY!N:N)</f>
        <v>0</v>
      </c>
      <c r="FN140" s="3" t="str">
        <f>_xlfn.XLOOKUP(B140,QUERY!$C:$C,QUERY!O:O)</f>
        <v>1 día o menos</v>
      </c>
      <c r="FO140" s="3">
        <f>_xlfn.XLOOKUP(B140,QUERY!$C:$C,QUERY!P:P)</f>
        <v>0</v>
      </c>
      <c r="FP140" s="3">
        <f>_xlfn.XLOOKUP(B140,QUERY!$C:$C,QUERY!Q:Q)</f>
        <v>1</v>
      </c>
      <c r="FQ140" s="3" t="str">
        <f>_xlfn.XLOOKUP(B140,QUERY!$C:$C,QUERY!R:R)</f>
        <v>1 día o menos</v>
      </c>
      <c r="FR140" s="4">
        <f>_xlfn.XLOOKUP(B140,QUERY!$C:$C,QUERY!S:S)</f>
        <v>46119</v>
      </c>
      <c r="FS140" s="3">
        <f>_xlfn.XLOOKUP(B140,QUERY!$C:$C,QUERY!T:T)</f>
        <v>6</v>
      </c>
      <c r="FT140" s="3" t="str">
        <f>_xlfn.XLOOKUP(B140,QUERY!$C:$C,QUERY!U:U)</f>
        <v>6 a 10 días</v>
      </c>
      <c r="FU140" s="3">
        <f>_xlfn.XLOOKUP(B140,QUERY!$C:$C,QUERY!V:V)</f>
        <v>14</v>
      </c>
      <c r="FV140" s="3" t="str">
        <f>_xlfn.XLOOKUP(B140,QUERY!$C:$C,QUERY!W:W)</f>
        <v>11 a 15 días</v>
      </c>
      <c r="FW140" s="4">
        <f>_xlfn.XLOOKUP(B140,QUERY!$C:$C,QUERY!X:X)</f>
        <v>46129</v>
      </c>
      <c r="FX140" s="3">
        <f>_xlfn.XLOOKUP(B140,QUERY!$C:$C,QUERY!Y:Y)</f>
        <v>7</v>
      </c>
      <c r="FY140" s="3">
        <f>_xlfn.XLOOKUP(B140,QUERY!$C:$C,QUERY!Z:Z)</f>
        <v>8</v>
      </c>
      <c r="FZ140" s="4" t="str">
        <f>_xlfn.XLOOKUP(B140,QUERY!$C:$C,QUERY!AA:AA)</f>
        <v>6 a 10 días</v>
      </c>
      <c r="GA140" s="4">
        <f>_xlfn.XLOOKUP(B140,QUERY!$C:$C,QUERY!AB:AB)</f>
        <v>46128</v>
      </c>
      <c r="GB140" s="4">
        <f>_xlfn.XLOOKUP(B140,QUERY!$C:$C,QUERY!AC:AC)</f>
        <v>46129</v>
      </c>
      <c r="GC140" s="3">
        <f>_xlfn.XLOOKUP(B140,QUERY!$C:$C,QUERY!AD:AD)</f>
        <v>1</v>
      </c>
      <c r="GD140" s="4">
        <f>_xlfn.XLOOKUP(B140,QUERY!$C:$C,QUERY!AE:AE)</f>
        <v>46129</v>
      </c>
      <c r="GE140" s="3">
        <f>_xlfn.XLOOKUP(B140,QUERY!$C:$C,QUERY!AF:AF)</f>
        <v>1</v>
      </c>
      <c r="GF140" s="4" t="str">
        <f>_xlfn.XLOOKUP(B140,QUERY!$C:$C,QUERY!AG:AG)</f>
        <v>Es anterior</v>
      </c>
      <c r="GG140" s="3" t="str">
        <f>_xlfn.XLOOKUP(B140,QUERY!$C:$C,QUERY!AH:AH)</f>
        <v>A1</v>
      </c>
      <c r="GH140" s="3" t="str">
        <f>_xlfn.XLOOKUP(B140,QUERY!$C:$C,QUERY!AI:AI)</f>
        <v>ZULEIMA PEREZ RUIZ</v>
      </c>
      <c r="GI140" s="3" t="str">
        <f>_xlfn.XLOOKUP(B140,QUERY!$C:$C,QUERY!AJ:AJ)</f>
        <v>HLCURTM260288670</v>
      </c>
      <c r="GJ140" s="3" t="str">
        <f>_xlfn.XLOOKUP(B140,QUERY!$C:$C,QUERY!AK:AK)</f>
        <v>NULL</v>
      </c>
      <c r="GK140" s="3">
        <f>_xlfn.XLOOKUP(B140,QUERY!$C:$C,QUERY!AL:AL)</f>
        <v>6000434</v>
      </c>
      <c r="GL140" s="3" t="str">
        <f>_xlfn.XLOOKUP(B140,QUERY!$C:$C,QUERY!AM:AM)</f>
        <v>Importación</v>
      </c>
      <c r="GM140" s="3" t="str">
        <f>_xlfn.XLOOKUP(B140,QUERY!$C:$C,QUERY!AN:AN)</f>
        <v>NOBIVAC DH PARVO C (VACUNA DE USO VETERINARIO)</v>
      </c>
      <c r="GN140" s="3" t="str">
        <f>_xlfn.XLOOKUP(B140,QUERY!$C:$C,QUERY!AO:AO)</f>
        <v>SIN CLASIFICACION</v>
      </c>
      <c r="GO140" s="3">
        <f>_xlfn.XLOOKUP(B140,QUERY!$C:$C,QUERY!AP:AP)</f>
        <v>0</v>
      </c>
      <c r="GP140" s="3" t="str">
        <f>_xlfn.XLOOKUP(B140,QUERY!$C:$C,QUERY!AQ:AQ)</f>
        <v>Cargas de Importación</v>
      </c>
      <c r="GQ140" s="3" t="str">
        <f>_xlfn.XLOOKUP(B140,QUERY!$C:$C,QUERY!AR:AR)</f>
        <v>INTERVET MEXICO SA DE CV</v>
      </c>
      <c r="GR140" s="3">
        <f>_xlfn.XLOOKUP(B140,QUERY!$C:$C,QUERY!AS:AS)</f>
        <v>0</v>
      </c>
      <c r="GS140" s="3" t="str">
        <f>_xlfn.XLOOKUP(B140,QUERY!$C:$C,QUERY!AT:AT)</f>
        <v>NINGUNO</v>
      </c>
      <c r="GT140" s="3">
        <f>_xlfn.XLOOKUP(B140,QUERY!$C:$C,QUERY!AU:AU)</f>
        <v>0</v>
      </c>
      <c r="GU140" s="3" t="str">
        <f>_xlfn.XLOOKUP(B140,QUERY!$C:$C,QUERY!AV:AV)</f>
        <v>NINGUNO</v>
      </c>
      <c r="GV140" s="3" t="str">
        <f>_xlfn.XLOOKUP(B140,QUERY!$C:$C,QUERY!AW:AW)</f>
        <v>PRODUCTO TERMINADO</v>
      </c>
      <c r="GW140" s="3" t="str">
        <f>_xlfn.XLOOKUP(B140,QUERY!$C:$C,QUERY!AX:AX)</f>
        <v>Rojo</v>
      </c>
      <c r="GX140" s="3" t="str">
        <f>_xlfn.XLOOKUP(B140,QUERY!$C:$C,QUERY!AY:AY)</f>
        <v xml:space="preserve"> MLH TRANSPORTE, S.A. DE C.V.</v>
      </c>
      <c r="GY140" s="3" t="str">
        <f>_xlfn.XLOOKUP(B140,QUERY!$C:$C,QUERY!AZ:AZ)</f>
        <v>TRACTOCAMION ECO 110</v>
      </c>
      <c r="GZ140" s="3">
        <f>_xlfn.XLOOKUP(B140,QUERY!$C:$C,QUERY!BA:BA)</f>
        <v>0</v>
      </c>
      <c r="HA140" s="3" t="str">
        <f>_xlfn.XLOOKUP(B140,QUERY!$C:$C,QUERY!BB:BB)</f>
        <v>IME850329RH2</v>
      </c>
      <c r="HB140" s="3">
        <f>_xlfn.XLOOKUP(B140,QUERY!$C:$C,QUERY!BC:BC)</f>
        <v>0</v>
      </c>
      <c r="HC140" s="3">
        <f>_xlfn.XLOOKUP(B140,QUERY!$C:$C,QUERY!BD:BD)</f>
        <v>99</v>
      </c>
      <c r="HD140" s="3" t="str">
        <f>_xlfn.XLOOKUP(B140,QUERY!$C:$C,QUERY!BE:BE)</f>
        <v>LOTE: A217C01,LOTE: A849F01,LOTE: A225A01,LOTE: A180E01,LOTE: 1E073A02,LOTE: A145A01,LOTE: A227A01,LOTE: A061A03,LOTE: A061A04,LOTE: 1E073A03,LOTE: A737B01,LOTE: A270A02,LOTE: A032AJ02</v>
      </c>
      <c r="HE140" s="3">
        <f>_xlfn.XLOOKUP(B140,QUERY!$C:$C,QUERY!BF:BF)</f>
        <v>90</v>
      </c>
      <c r="HF140" s="3" t="str">
        <f>_xlfn.XLOOKUP(B140,QUERY!$C:$C,QUERY!BG:BG)</f>
        <v xml:space="preserve"> 11626987.90, 30130695.36</v>
      </c>
      <c r="HG140" s="3" t="str">
        <f>_xlfn.XLOOKUP(B140,QUERY!$C:$C,QUERY!BH:BH)</f>
        <v>KILO,KILO,KILO,KILO,KILO,KILO,KILO,KILO,KILO,KILO,KILO,KILO,KILO</v>
      </c>
      <c r="HH140" s="3">
        <f>_xlfn.XLOOKUP(B140,QUERY!$C:$C,QUERY!BI:BI)</f>
        <v>0</v>
      </c>
      <c r="HI140" s="3" t="str">
        <f>_xlfn.XLOOKUP(B140,QUERY!$C:$C,QUERY!BJ:BJ)</f>
        <v>PAISES BAJOS (REINO DE LOS) (HOLANDA)</v>
      </c>
      <c r="HJ140" s="3" t="str">
        <f>_xlfn.XLOOKUP(B140,QUERY!$C:$C,QUERY!BK:BK)</f>
        <v>PAISES BAJOS (REINO DE LOS) (HOLANDA)</v>
      </c>
      <c r="HK140" s="3" t="str">
        <f>_xlfn.XLOOKUP(B140,QUERY!$C:$C,QUERY!BL:BL)</f>
        <v>ZYA</v>
      </c>
      <c r="HL140" s="3" t="str">
        <f>_xlfn.XLOOKUP(B140,QUERY!$C:$C,QUERY!BM:BM)</f>
        <v>ZYA</v>
      </c>
      <c r="HM140" s="3">
        <f>_xlfn.XLOOKUP(B140,QUERY!$C:$C,QUERY!BN:BN)</f>
        <v>41757683</v>
      </c>
      <c r="HN140" s="3" t="str">
        <f>_xlfn.XLOOKUP(B140,QUERY!$C:$C,QUERY!BO:BO)</f>
        <v>462.00</v>
      </c>
      <c r="HO140" s="3" t="str">
        <f>_xlfn.XLOOKUP(B140,QUERY!$C:$C,QUERY!BP:BP)</f>
        <v>NULL</v>
      </c>
      <c r="HP140" s="3" t="str">
        <f>_xlfn.XLOOKUP(B140,QUERY!$C:$C,QUERY!BQ:BQ)</f>
        <v>NULL</v>
      </c>
      <c r="HQ140" s="3" t="str">
        <f>_xlfn.XLOOKUP(B140,QUERY!$C:$C,QUERY!BR:BR)</f>
        <v>248801.02</v>
      </c>
      <c r="HR140" s="3">
        <f>_xlfn.XLOOKUP(B140,QUERY!$C:$C,QUERY!BS:BS)</f>
        <v>0</v>
      </c>
      <c r="HS140" s="3">
        <f>_xlfn.XLOOKUP(B140,QUERY!$C:$C,QUERY!BT:BT)</f>
        <v>0</v>
      </c>
      <c r="HT140" s="3" t="str">
        <f>_xlfn.XLOOKUP(B140,QUERY!$C:$C,QUERY!A:A)</f>
        <v>VERACRUZ</v>
      </c>
      <c r="HU140" s="3" t="str">
        <f>_xlfn.XLOOKUP(B140,QUERY!$C:$C,QUERY!B:B)</f>
        <v>MARÍTIMO VERACRUZ</v>
      </c>
    </row>
    <row r="141" spans="1:229" x14ac:dyDescent="0.25">
      <c r="A141" s="3" t="s">
        <v>90</v>
      </c>
      <c r="B141" s="3" t="s">
        <v>366</v>
      </c>
      <c r="C141" s="3">
        <v>3942</v>
      </c>
      <c r="D141" s="3">
        <v>6000434</v>
      </c>
      <c r="E141" s="3"/>
      <c r="F141" s="3" t="s">
        <v>92</v>
      </c>
      <c r="G141" s="3" t="s">
        <v>93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430</v>
      </c>
      <c r="S141" s="3" t="s">
        <v>367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 t="s">
        <v>217</v>
      </c>
      <c r="AB141" s="3"/>
      <c r="AC141" s="3">
        <v>2375213</v>
      </c>
      <c r="AD141" s="3">
        <v>520.88004000000001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/>
      <c r="AP141" s="3" t="s">
        <v>98</v>
      </c>
      <c r="AQ141" s="3">
        <v>210368546</v>
      </c>
      <c r="AR141" s="3" t="s">
        <v>99</v>
      </c>
      <c r="AS141" s="3" t="s">
        <v>100</v>
      </c>
      <c r="AT141" s="3">
        <v>0</v>
      </c>
      <c r="AU141" s="3">
        <v>0</v>
      </c>
      <c r="AV141" s="3">
        <v>0</v>
      </c>
      <c r="AW141" s="3">
        <v>30024201</v>
      </c>
      <c r="AX141" s="3">
        <v>99</v>
      </c>
      <c r="AY141" s="3">
        <v>4560</v>
      </c>
      <c r="AZ141" s="3">
        <v>4560</v>
      </c>
      <c r="BA141" s="3" t="s">
        <v>103</v>
      </c>
      <c r="BB141" s="3"/>
      <c r="BC141" s="3" t="s">
        <v>105</v>
      </c>
      <c r="BD141" s="3" t="s">
        <v>105</v>
      </c>
      <c r="BE141" s="3"/>
      <c r="BF141" s="3"/>
      <c r="BG141" s="5"/>
      <c r="BH141" s="3"/>
      <c r="BI141" s="3"/>
      <c r="BJ141" s="3"/>
      <c r="BK141" s="3" t="s">
        <v>370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 t="s">
        <v>192</v>
      </c>
      <c r="CF141" s="3">
        <v>0</v>
      </c>
      <c r="CG141" s="3">
        <v>0</v>
      </c>
      <c r="CH141" s="3">
        <v>0</v>
      </c>
      <c r="CI141" s="3" t="s">
        <v>112</v>
      </c>
      <c r="CJ141" s="3" t="s">
        <v>112</v>
      </c>
      <c r="CK141" s="3">
        <f>_xlfn.XLOOKUP($B$2,'BASE DE EXCEL'!C:C,'BASE DE EXCEL'!D:D,"NO HAY REFERENCIA")</f>
        <v>470</v>
      </c>
      <c r="CL141" s="5">
        <f>_xlfn.XLOOKUP($B$2,'BASE DE EXCEL'!$C:$C,'BASE DE EXCEL'!F:F,"NO HAY REFERENCIA")</f>
        <v>3</v>
      </c>
      <c r="CM141" s="4">
        <f>_xlfn.XLOOKUP($B$2,'BASE DE EXCEL'!$C:$C,'BASE DE EXCEL'!G:G,"NO HAY REFERENCIA")</f>
        <v>46080</v>
      </c>
      <c r="CN141" s="4">
        <f>_xlfn.XLOOKUP($B$2,'BASE DE EXCEL'!$C:$C,'BASE DE EXCEL'!H:H,"NO HAY REFERENCIA")</f>
        <v>46086</v>
      </c>
      <c r="CO141" s="3">
        <f>_xlfn.XLOOKUP($B$2,'BASE DE EXCEL'!$C:$C,'BASE DE EXCEL'!I:I,"NO HAY REFERENCIA")</f>
        <v>4</v>
      </c>
      <c r="CP141" s="3" t="str">
        <f>_xlfn.XLOOKUP($B$2,'BASE DE EXCEL'!$C:$C,'BASE DE EXCEL'!J:J,"NO HAY REFERENCIA")</f>
        <v>4 a 5 días</v>
      </c>
      <c r="CQ141" s="4">
        <f>_xlfn.XLOOKUP($B$2,'BASE DE EXCEL'!$C:$C,'BASE DE EXCEL'!K:K,"NO HAY REFERENCIA")</f>
        <v>46087</v>
      </c>
      <c r="CR141" s="3">
        <f>_xlfn.XLOOKUP($B$2,'BASE DE EXCEL'!$C:$C,'BASE DE EXCEL'!L:L,"NO HAY REFERENCIA")</f>
        <v>5</v>
      </c>
      <c r="CS141" s="3">
        <f>_xlfn.XLOOKUP($B$2,'BASE DE EXCEL'!$C:$C,'BASE DE EXCEL'!M:M,"NO HAY REFERENCIA")</f>
        <v>6</v>
      </c>
      <c r="CT141" s="3" t="str">
        <f>_xlfn.XLOOKUP($B$2,'BASE DE EXCEL'!$C:$C,'BASE DE EXCEL'!N:N,"NO HAY REFERENCIA")</f>
        <v>6 a 10 días</v>
      </c>
      <c r="CU141" s="3" t="str">
        <f>_xlfn.XLOOKUP($B$2,'BASE DE EXCEL'!$C:$C,'BASE DE EXCEL'!O:O,"NO HAY REFERENCIA")</f>
        <v>On Time</v>
      </c>
      <c r="CV141" s="3" t="str">
        <f>_xlfn.XLOOKUP(B141,'BASE DE EXCEL'!$C:$C,'BASE DE EXCEL'!P:P,"NO HAY REFERENCIA")</f>
        <v>6 a 10 días</v>
      </c>
      <c r="CW141" s="4">
        <f>_xlfn.XLOOKUP(B141,'BASE DE EXCEL'!$C:$C,'BASE DE EXCEL'!Q:Q,"NO HAY REFERENCIA")</f>
        <v>46119</v>
      </c>
      <c r="CX141" s="3">
        <f>_xlfn.XLOOKUP(B141,'BASE DE EXCEL'!$C:$C,'BASE DE EXCEL'!R:R,"NO HAY REFERENCIA")</f>
        <v>5</v>
      </c>
      <c r="CY141" s="3" t="str">
        <f>_xlfn.XLOOKUP(B141,'BASE DE EXCEL'!$C:$C,'BASE DE EXCEL'!S:S,"NO HAY REFERENCIA")</f>
        <v>4 a 5 días</v>
      </c>
      <c r="CZ141" s="3" t="str">
        <f>_xlfn.XLOOKUP(B141,'BASE DE EXCEL'!$C:$C,'BASE DE EXCEL'!T:T,"NO HAY REFERENCIA")</f>
        <v>On Time</v>
      </c>
      <c r="DA141" s="3">
        <f>_xlfn.XLOOKUP(B141,'BASE DE EXCEL'!$C:$C,'BASE DE EXCEL'!U:U,"NO HAY REFERENCIA")</f>
        <v>8</v>
      </c>
      <c r="DB141" s="3" t="str">
        <f>_xlfn.XLOOKUP(B141,'BASE DE EXCEL'!$C:$C,'BASE DE EXCEL'!V:V,"NO HAY REFERENCIA")</f>
        <v>6 a 10 días</v>
      </c>
      <c r="DC141" s="3">
        <f>_xlfn.XLOOKUP(B141,'BASE DE EXCEL'!$C:$C,'BASE DE EXCEL'!W:W,"NO HAY REFERENCIA")</f>
        <v>14</v>
      </c>
      <c r="DD141" s="3" t="str">
        <f>_xlfn.XLOOKUP(B141,'BASE DE EXCEL'!$C:$C,'BASE DE EXCEL'!X:X,"NO HAY REFERENCIA")</f>
        <v>11 a 15 días</v>
      </c>
      <c r="DE141" s="3">
        <f>_xlfn.XLOOKUP(B141,'BASE DE EXCEL'!$C:$C,'BASE DE EXCEL'!Y:Y,"NO HAY REFERENCIA")</f>
        <v>0</v>
      </c>
      <c r="DF141" s="3" t="str">
        <f>_xlfn.XLOOKUP(B141,'BASE DE EXCEL'!$C:$C,'BASE DE EXCEL'!Z:Z,"NO HAY REFERENCIA")</f>
        <v>1 día o menos</v>
      </c>
      <c r="DG141" s="3">
        <f>_xlfn.XLOOKUP(B141,'BASE DE EXCEL'!$C:$C,'BASE DE EXCEL'!AA:AA,"NO HAY REFERENCIA")</f>
        <v>7</v>
      </c>
      <c r="DH141" s="3">
        <f>_xlfn.XLOOKUP(B141,'BASE DE EXCEL'!$C:$C,'BASE DE EXCEL'!AB:AB,"NO HAY REFERENCIA")</f>
        <v>1</v>
      </c>
      <c r="DI141" s="3" t="str">
        <f>_xlfn.XLOOKUP(B141,'BASE DE EXCEL'!$C:$C,'BASE DE EXCEL'!AC:AC,"NO HAY REFERENCIA")</f>
        <v>1 día o menos</v>
      </c>
      <c r="DJ141" s="4">
        <f>_xlfn.XLOOKUP(B141,'BASE DE EXCEL'!$C:$C,'BASE DE EXCEL'!AD:AD,"NO HAY REFERENCIA")</f>
        <v>46129</v>
      </c>
      <c r="DK141" s="3">
        <f>_xlfn.XLOOKUP(B141,'BASE DE EXCEL'!$C:$C,'BASE DE EXCEL'!AE:AE,"NO HAY REFERENCIA")</f>
        <v>9</v>
      </c>
      <c r="DL141" s="3">
        <f>_xlfn.XLOOKUP(B141,'BASE DE EXCEL'!$C:$C,'BASE DE EXCEL'!AF:AF,"NO HAY REFERENCIA")</f>
        <v>8</v>
      </c>
      <c r="DM141" s="4">
        <f>_xlfn.XLOOKUP(B141,'BASE DE EXCEL'!$C:$C,'BASE DE EXCEL'!AG:AG,"NO HAY REFERENCIA")</f>
        <v>46128</v>
      </c>
      <c r="DN141" s="4">
        <f>_xlfn.XLOOKUP(B141,'BASE DE EXCEL'!$C:$C,'BASE DE EXCEL'!AH:AH,"NO HAY REFERENCIA")</f>
        <v>46129</v>
      </c>
      <c r="DO141" s="3">
        <f>_xlfn.XLOOKUP(B141,'BASE DE EXCEL'!$C:$C,'BASE DE EXCEL'!AI:AI,"NO HAY REFERENCIA")</f>
        <v>1</v>
      </c>
      <c r="DP141" s="4" t="str">
        <f>_xlfn.XLOOKUP(B141,'BASE DE EXCEL'!$C:$C,'BASE DE EXCEL'!AJ:AJ,"NO HAY REFERENCIA")</f>
        <v>6 a 10 días</v>
      </c>
      <c r="DQ141" s="4">
        <f>_xlfn.XLOOKUP(B141,'BASE DE EXCEL'!$C:$C,'BASE DE EXCEL'!AK:AK,"NO HAY REFERENCIA")</f>
        <v>46129</v>
      </c>
      <c r="DR141" s="3">
        <f>_xlfn.XLOOKUP(B141,'BASE DE EXCEL'!$C:$C,'BASE DE EXCEL'!AL:AL,"NO HAY REFERENCIA")</f>
        <v>9</v>
      </c>
      <c r="DS141" s="3" t="str">
        <f>_xlfn.XLOOKUP(B141,'BASE DE EXCEL'!$C:$C,'BASE DE EXCEL'!AM:AM,"NO HAY REFERENCIA")</f>
        <v>6 a 10 días</v>
      </c>
      <c r="DT141" s="3" t="str">
        <f>_xlfn.XLOOKUP(B141,'BASE DE EXCEL'!$C:$C,'BASE DE EXCEL'!AN:AN,"NO HAY REFERENCIA")</f>
        <v>Delayed</v>
      </c>
      <c r="DU141" s="3">
        <f>_xlfn.XLOOKUP(B141,'BASE DE EXCEL'!$C:$C,'BASE DE EXCEL'!AO:AO,"NO HAY REFERENCIA")</f>
        <v>1</v>
      </c>
      <c r="DV141" s="3" t="str">
        <f>_xlfn.XLOOKUP(B141,'BASE DE EXCEL'!$C:$C,'BASE DE EXCEL'!AP:AP,"NO HAY REFERENCIA")</f>
        <v>Es anterior</v>
      </c>
      <c r="DW141" s="3" t="str">
        <f>_xlfn.XLOOKUP(B141,'BASE DE EXCEL'!$C:$C,'BASE DE EXCEL'!AQ:AQ,"NO HAY REFERENCIA")</f>
        <v>A1</v>
      </c>
      <c r="DX141" s="3" t="str">
        <f>_xlfn.XLOOKUP(B141,'BASE DE EXCEL'!$C:$C,'BASE DE EXCEL'!AR:AR,"NO HAY REFERENCIA")</f>
        <v>ZULEIMA PEREZ RUIZ</v>
      </c>
      <c r="DY141" s="3" t="str">
        <f>_xlfn.XLOOKUP(B141,'BASE DE EXCEL'!$C:$C,'BASE DE EXCEL'!AS:AS,"NO HAY REFERENCIA")</f>
        <v>HLCURTM260288670</v>
      </c>
      <c r="DZ141" s="3" t="str">
        <f>_xlfn.XLOOKUP(B141,'BASE DE EXCEL'!$C:$C,'BASE DE EXCEL'!AT:AT,"NO HAY REFERENCIA")</f>
        <v>NULL</v>
      </c>
      <c r="EA141" s="3">
        <f>_xlfn.XLOOKUP(B141,'BASE DE EXCEL'!$C:$C,'BASE DE EXCEL'!AU:AU,"NO HAY REFERENCIA")</f>
        <v>6000434</v>
      </c>
      <c r="EB141" s="3" t="str">
        <f>_xlfn.XLOOKUP(B141,'BASE DE EXCEL'!$C:$C,'BASE DE EXCEL'!AV:AV,"NO HAY REFERENCIA")</f>
        <v>Importación</v>
      </c>
      <c r="EC141" s="3" t="str">
        <f>_xlfn.XLOOKUP(B141,'BASE DE EXCEL'!$C:$C,'BASE DE EXCEL'!AW:AW,"NO HAY REFERENCIA")</f>
        <v>NOBIVAC DH PARVO C (VACUNA DE USO VETERINARIO)</v>
      </c>
      <c r="ED141" s="3" t="str">
        <f>_xlfn.XLOOKUP(B141,'BASE DE EXCEL'!$C:$C,'BASE DE EXCEL'!AX:AX,"NO HAY REFERENCIA")</f>
        <v>SIN CLASIFICACION</v>
      </c>
      <c r="EE141" s="3">
        <f>_xlfn.XLOOKUP(B141,'BASE DE EXCEL'!$C:$C,'BASE DE EXCEL'!AY:AY,"NO HAY REFERENCIA")</f>
        <v>0</v>
      </c>
      <c r="EF141" s="3" t="str">
        <f>_xlfn.XLOOKUP(B141,'BASE DE EXCEL'!$C:$C,'BASE DE EXCEL'!AZ:AZ,"NO HAY REFERENCIA")</f>
        <v>Cargas de Importación</v>
      </c>
      <c r="EG141" s="3" t="str">
        <f>_xlfn.XLOOKUP(B141,'BASE DE EXCEL'!$C:$C,'BASE DE EXCEL'!BA:BA,"NO HAY REFERENCIA")</f>
        <v>INTERVET MEXICO SA DE CV</v>
      </c>
      <c r="EH141" s="3">
        <f>_xlfn.XLOOKUP(B141,'BASE DE EXCEL'!$C:$C,'BASE DE EXCEL'!BB:BB,"NO HAY REFERENCIA")</f>
        <v>0</v>
      </c>
      <c r="EI141" s="3" t="str">
        <f>_xlfn.XLOOKUP(B141,'BASE DE EXCEL'!$C:$C,'BASE DE EXCEL'!BC:BC,"NO HAY REFERENCIA")</f>
        <v>NINGUNO</v>
      </c>
      <c r="EJ141" s="3">
        <f>_xlfn.XLOOKUP(B141,'BASE DE EXCEL'!$C:$C,'BASE DE EXCEL'!BD:BD,"NO HAY REFERENCIA")</f>
        <v>0</v>
      </c>
      <c r="EK141" s="3" t="str">
        <f>_xlfn.XLOOKUP(B141,'BASE DE EXCEL'!$C:$C,'BASE DE EXCEL'!BE:BE,"NO HAY REFERENCIA")</f>
        <v>NINGUNO</v>
      </c>
      <c r="EL141" s="3" t="str">
        <f>_xlfn.XLOOKUP(B141,'BASE DE EXCEL'!$C:$C,'BASE DE EXCEL'!BF:BF,"NO HAY REFERENCIA")</f>
        <v>PRODUCTO TERMINADO</v>
      </c>
      <c r="EM141" s="3" t="str">
        <f>_xlfn.XLOOKUP(B141,'BASE DE EXCEL'!$C:$C,'BASE DE EXCEL'!BG:BG,"NO HAY REFERENCIA")</f>
        <v>Rojo</v>
      </c>
      <c r="EN141" s="3" t="str">
        <f>_xlfn.XLOOKUP(B141,'BASE DE EXCEL'!$C:$C,'BASE DE EXCEL'!BH:BH,"NO HAY REFERENCIA")</f>
        <v xml:space="preserve"> MLH TRANSPORTE, S.A. DE C.V.</v>
      </c>
      <c r="EO141" s="3" t="str">
        <f>_xlfn.XLOOKUP(B141,'BASE DE EXCEL'!$C:$C,'BASE DE EXCEL'!BI:BI,"NO HAY REFERENCIA")</f>
        <v>TRACTOCAMION ECO 110</v>
      </c>
      <c r="EP141" s="3">
        <f>_xlfn.XLOOKUP(B141,'BASE DE EXCEL'!$C:$C,'BASE DE EXCEL'!BJ:BJ,"NO HAY REFERENCIA")</f>
        <v>0</v>
      </c>
      <c r="EQ141" s="3" t="str">
        <f>_xlfn.XLOOKUP(B141,'BASE DE EXCEL'!$C:$C,'BASE DE EXCEL'!BK:BK,"NO HAY REFERENCIA")</f>
        <v>IME850329RH2</v>
      </c>
      <c r="ER141" s="3">
        <f>_xlfn.XLOOKUP(B141,'BASE DE EXCEL'!$C:$C,'BASE DE EXCEL'!BL:BL,"NO HAY REFERENCIA")</f>
        <v>0</v>
      </c>
      <c r="ES141" s="3">
        <f>_xlfn.XLOOKUP(B141,'BASE DE EXCEL'!$C:$C,'BASE DE EXCEL'!BM:BM,"NO HAY REFERENCIA")</f>
        <v>99</v>
      </c>
      <c r="ET141" s="3" t="str">
        <f>_xlfn.XLOOKUP(B141,'BASE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1" s="3">
        <f>_xlfn.XLOOKUP(B141,'BASE DE EXCEL'!$C:$C,'BASE DE EXCEL'!BO:BO,"NO HAY REFERENCIA")</f>
        <v>90</v>
      </c>
      <c r="EV141" s="3" t="str">
        <f>_xlfn.XLOOKUP(B141,'BASE DE EXCEL'!$C:$C,'BASE DE EXCEL'!BP:BP,"NO HAY REFERENCIA")</f>
        <v xml:space="preserve"> 11626987.90, 30130695.36</v>
      </c>
      <c r="EW141" s="3" t="str">
        <f>_xlfn.XLOOKUP(B141,'BASE DE EXCEL'!$C:$C,'BASE DE EXCEL'!BQ:BQ,"NO HAY REFERENCIA")</f>
        <v>KILO,KILO,KILO,KILO,KILO,KILO,KILO,KILO,KILO,KILO,KILO,KILO,KILO</v>
      </c>
      <c r="EX141" s="3">
        <f>_xlfn.XLOOKUP(B141,'BASE DE EXCEL'!$C:$C,'BASE DE EXCEL'!BR:BR,"NO HAY REFERENCIA")</f>
        <v>0</v>
      </c>
      <c r="EY141" s="3" t="str">
        <f>_xlfn.XLOOKUP(B141,'BASE DE EXCEL'!$C:$C,'BASE DE EXCEL'!BS:BS,"NO HAY REFERENCIA")</f>
        <v>PAISES BAJOS (REINO DE LOS) (HOLANDA)</v>
      </c>
      <c r="EZ141" s="3" t="str">
        <f>_xlfn.XLOOKUP(B141,'BASE DE EXCEL'!$C:$C,'BASE DE EXCEL'!BT:BT,"NO HAY REFERENCIA")</f>
        <v>PAISES BAJOS (REINO DE LOS) (HOLANDA)</v>
      </c>
      <c r="FA141" s="3" t="str">
        <f>_xlfn.XLOOKUP(B141,'BASE DE EXCEL'!$C:$C,'BASE DE EXCEL'!BU:BU,"NO HAY REFERENCIA")</f>
        <v>ZYA</v>
      </c>
      <c r="FB141" s="3" t="str">
        <f>_xlfn.XLOOKUP(B141,'BASE DE EXCEL'!$C:$C,'BASE DE EXCEL'!BV:BV,"NO HAY REFERENCIA")</f>
        <v>ZYA</v>
      </c>
      <c r="FC141" s="3">
        <f>_xlfn.XLOOKUP(B141,QUERY!$C:$C,QUERY!D:D)</f>
        <v>430</v>
      </c>
      <c r="FD141" s="4">
        <f>_xlfn.XLOOKUP(B141,QUERY!$C:$C,QUERY!E:E)</f>
        <v>46118</v>
      </c>
      <c r="FE141" s="3">
        <f>_xlfn.XLOOKUP(B141,QUERY!$C:$C,QUERY!F:F)</f>
        <v>4</v>
      </c>
      <c r="FF141" s="4">
        <f>_xlfn.XLOOKUP(B141,QUERY!$C:$C,QUERY!G:G)</f>
        <v>46111</v>
      </c>
      <c r="FG141" s="4">
        <f>_xlfn.XLOOKUP(B141,QUERY!$C:$C,QUERY!H:H)</f>
        <v>46118</v>
      </c>
      <c r="FH141" s="3">
        <f>_xlfn.XLOOKUP(B141,QUERY!$C:$C,QUERY!I:I)</f>
        <v>5</v>
      </c>
      <c r="FI141" s="3" t="str">
        <f>_xlfn.XLOOKUP(B141,QUERY!$C:$C,QUERY!J:J)</f>
        <v>4 a 5 días</v>
      </c>
      <c r="FJ141" s="4">
        <f>_xlfn.XLOOKUP(B141,QUERY!$C:$C,QUERY!K:K)</f>
        <v>46118</v>
      </c>
      <c r="FK141" s="3">
        <f>_xlfn.XLOOKUP(B141,QUERY!$C:$C,QUERY!L:L)</f>
        <v>5</v>
      </c>
      <c r="FL141" s="3" t="str">
        <f>_xlfn.XLOOKUP(B141,QUERY!$C:$C,QUERY!M:M)</f>
        <v>4 a 5 días</v>
      </c>
      <c r="FM141" s="3">
        <f>_xlfn.XLOOKUP(B141,QUERY!$C:$C,QUERY!N:N)</f>
        <v>0</v>
      </c>
      <c r="FN141" s="3" t="str">
        <f>_xlfn.XLOOKUP(B141,QUERY!$C:$C,QUERY!O:O)</f>
        <v>1 día o menos</v>
      </c>
      <c r="FO141" s="3">
        <f>_xlfn.XLOOKUP(B141,QUERY!$C:$C,QUERY!P:P)</f>
        <v>0</v>
      </c>
      <c r="FP141" s="3">
        <f>_xlfn.XLOOKUP(B141,QUERY!$C:$C,QUERY!Q:Q)</f>
        <v>1</v>
      </c>
      <c r="FQ141" s="3" t="str">
        <f>_xlfn.XLOOKUP(B141,QUERY!$C:$C,QUERY!R:R)</f>
        <v>1 día o menos</v>
      </c>
      <c r="FR141" s="4">
        <f>_xlfn.XLOOKUP(B141,QUERY!$C:$C,QUERY!S:S)</f>
        <v>46119</v>
      </c>
      <c r="FS141" s="3">
        <f>_xlfn.XLOOKUP(B141,QUERY!$C:$C,QUERY!T:T)</f>
        <v>6</v>
      </c>
      <c r="FT141" s="3" t="str">
        <f>_xlfn.XLOOKUP(B141,QUERY!$C:$C,QUERY!U:U)</f>
        <v>6 a 10 días</v>
      </c>
      <c r="FU141" s="3">
        <f>_xlfn.XLOOKUP(B141,QUERY!$C:$C,QUERY!V:V)</f>
        <v>14</v>
      </c>
      <c r="FV141" s="3" t="str">
        <f>_xlfn.XLOOKUP(B141,QUERY!$C:$C,QUERY!W:W)</f>
        <v>11 a 15 días</v>
      </c>
      <c r="FW141" s="4">
        <f>_xlfn.XLOOKUP(B141,QUERY!$C:$C,QUERY!X:X)</f>
        <v>46129</v>
      </c>
      <c r="FX141" s="3">
        <f>_xlfn.XLOOKUP(B141,QUERY!$C:$C,QUERY!Y:Y)</f>
        <v>7</v>
      </c>
      <c r="FY141" s="3">
        <f>_xlfn.XLOOKUP(B141,QUERY!$C:$C,QUERY!Z:Z)</f>
        <v>8</v>
      </c>
      <c r="FZ141" s="4" t="str">
        <f>_xlfn.XLOOKUP(B141,QUERY!$C:$C,QUERY!AA:AA)</f>
        <v>6 a 10 días</v>
      </c>
      <c r="GA141" s="4">
        <f>_xlfn.XLOOKUP(B141,QUERY!$C:$C,QUERY!AB:AB)</f>
        <v>46128</v>
      </c>
      <c r="GB141" s="4">
        <f>_xlfn.XLOOKUP(B141,QUERY!$C:$C,QUERY!AC:AC)</f>
        <v>46129</v>
      </c>
      <c r="GC141" s="3">
        <f>_xlfn.XLOOKUP(B141,QUERY!$C:$C,QUERY!AD:AD)</f>
        <v>1</v>
      </c>
      <c r="GD141" s="4">
        <f>_xlfn.XLOOKUP(B141,QUERY!$C:$C,QUERY!AE:AE)</f>
        <v>46129</v>
      </c>
      <c r="GE141" s="3">
        <f>_xlfn.XLOOKUP(B141,QUERY!$C:$C,QUERY!AF:AF)</f>
        <v>1</v>
      </c>
      <c r="GF141" s="4" t="str">
        <f>_xlfn.XLOOKUP(B141,QUERY!$C:$C,QUERY!AG:AG)</f>
        <v>Es anterior</v>
      </c>
      <c r="GG141" s="3" t="str">
        <f>_xlfn.XLOOKUP(B141,QUERY!$C:$C,QUERY!AH:AH)</f>
        <v>A1</v>
      </c>
      <c r="GH141" s="3" t="str">
        <f>_xlfn.XLOOKUP(B141,QUERY!$C:$C,QUERY!AI:AI)</f>
        <v>ZULEIMA PEREZ RUIZ</v>
      </c>
      <c r="GI141" s="3" t="str">
        <f>_xlfn.XLOOKUP(B141,QUERY!$C:$C,QUERY!AJ:AJ)</f>
        <v>HLCURTM260288670</v>
      </c>
      <c r="GJ141" s="3" t="str">
        <f>_xlfn.XLOOKUP(B141,QUERY!$C:$C,QUERY!AK:AK)</f>
        <v>NULL</v>
      </c>
      <c r="GK141" s="3">
        <f>_xlfn.XLOOKUP(B141,QUERY!$C:$C,QUERY!AL:AL)</f>
        <v>6000434</v>
      </c>
      <c r="GL141" s="3" t="str">
        <f>_xlfn.XLOOKUP(B141,QUERY!$C:$C,QUERY!AM:AM)</f>
        <v>Importación</v>
      </c>
      <c r="GM141" s="3" t="str">
        <f>_xlfn.XLOOKUP(B141,QUERY!$C:$C,QUERY!AN:AN)</f>
        <v>NOBIVAC DH PARVO C (VACUNA DE USO VETERINARIO)</v>
      </c>
      <c r="GN141" s="3" t="str">
        <f>_xlfn.XLOOKUP(B141,QUERY!$C:$C,QUERY!AO:AO)</f>
        <v>SIN CLASIFICACION</v>
      </c>
      <c r="GO141" s="3">
        <f>_xlfn.XLOOKUP(B141,QUERY!$C:$C,QUERY!AP:AP)</f>
        <v>0</v>
      </c>
      <c r="GP141" s="3" t="str">
        <f>_xlfn.XLOOKUP(B141,QUERY!$C:$C,QUERY!AQ:AQ)</f>
        <v>Cargas de Importación</v>
      </c>
      <c r="GQ141" s="3" t="str">
        <f>_xlfn.XLOOKUP(B141,QUERY!$C:$C,QUERY!AR:AR)</f>
        <v>INTERVET MEXICO SA DE CV</v>
      </c>
      <c r="GR141" s="3">
        <f>_xlfn.XLOOKUP(B141,QUERY!$C:$C,QUERY!AS:AS)</f>
        <v>0</v>
      </c>
      <c r="GS141" s="3" t="str">
        <f>_xlfn.XLOOKUP(B141,QUERY!$C:$C,QUERY!AT:AT)</f>
        <v>NINGUNO</v>
      </c>
      <c r="GT141" s="3">
        <f>_xlfn.XLOOKUP(B141,QUERY!$C:$C,QUERY!AU:AU)</f>
        <v>0</v>
      </c>
      <c r="GU141" s="3" t="str">
        <f>_xlfn.XLOOKUP(B141,QUERY!$C:$C,QUERY!AV:AV)</f>
        <v>NINGUNO</v>
      </c>
      <c r="GV141" s="3" t="str">
        <f>_xlfn.XLOOKUP(B141,QUERY!$C:$C,QUERY!AW:AW)</f>
        <v>PRODUCTO TERMINADO</v>
      </c>
      <c r="GW141" s="3" t="str">
        <f>_xlfn.XLOOKUP(B141,QUERY!$C:$C,QUERY!AX:AX)</f>
        <v>Rojo</v>
      </c>
      <c r="GX141" s="3" t="str">
        <f>_xlfn.XLOOKUP(B141,QUERY!$C:$C,QUERY!AY:AY)</f>
        <v xml:space="preserve"> MLH TRANSPORTE, S.A. DE C.V.</v>
      </c>
      <c r="GY141" s="3" t="str">
        <f>_xlfn.XLOOKUP(B141,QUERY!$C:$C,QUERY!AZ:AZ)</f>
        <v>TRACTOCAMION ECO 110</v>
      </c>
      <c r="GZ141" s="3">
        <f>_xlfn.XLOOKUP(B141,QUERY!$C:$C,QUERY!BA:BA)</f>
        <v>0</v>
      </c>
      <c r="HA141" s="3" t="str">
        <f>_xlfn.XLOOKUP(B141,QUERY!$C:$C,QUERY!BB:BB)</f>
        <v>IME850329RH2</v>
      </c>
      <c r="HB141" s="3">
        <f>_xlfn.XLOOKUP(B141,QUERY!$C:$C,QUERY!BC:BC)</f>
        <v>0</v>
      </c>
      <c r="HC141" s="3">
        <f>_xlfn.XLOOKUP(B141,QUERY!$C:$C,QUERY!BD:BD)</f>
        <v>99</v>
      </c>
      <c r="HD141" s="3" t="str">
        <f>_xlfn.XLOOKUP(B141,QUERY!$C:$C,QUERY!BE:BE)</f>
        <v>LOTE: A217C01,LOTE: A849F01,LOTE: A225A01,LOTE: A180E01,LOTE: 1E073A02,LOTE: A145A01,LOTE: A227A01,LOTE: A061A03,LOTE: A061A04,LOTE: 1E073A03,LOTE: A737B01,LOTE: A270A02,LOTE: A032AJ02</v>
      </c>
      <c r="HE141" s="3">
        <f>_xlfn.XLOOKUP(B141,QUERY!$C:$C,QUERY!BF:BF)</f>
        <v>90</v>
      </c>
      <c r="HF141" s="3" t="str">
        <f>_xlfn.XLOOKUP(B141,QUERY!$C:$C,QUERY!BG:BG)</f>
        <v xml:space="preserve"> 11626987.90, 30130695.36</v>
      </c>
      <c r="HG141" s="3" t="str">
        <f>_xlfn.XLOOKUP(B141,QUERY!$C:$C,QUERY!BH:BH)</f>
        <v>KILO,KILO,KILO,KILO,KILO,KILO,KILO,KILO,KILO,KILO,KILO,KILO,KILO</v>
      </c>
      <c r="HH141" s="3">
        <f>_xlfn.XLOOKUP(B141,QUERY!$C:$C,QUERY!BI:BI)</f>
        <v>0</v>
      </c>
      <c r="HI141" s="3" t="str">
        <f>_xlfn.XLOOKUP(B141,QUERY!$C:$C,QUERY!BJ:BJ)</f>
        <v>PAISES BAJOS (REINO DE LOS) (HOLANDA)</v>
      </c>
      <c r="HJ141" s="3" t="str">
        <f>_xlfn.XLOOKUP(B141,QUERY!$C:$C,QUERY!BK:BK)</f>
        <v>PAISES BAJOS (REINO DE LOS) (HOLANDA)</v>
      </c>
      <c r="HK141" s="3" t="str">
        <f>_xlfn.XLOOKUP(B141,QUERY!$C:$C,QUERY!BL:BL)</f>
        <v>ZYA</v>
      </c>
      <c r="HL141" s="3" t="str">
        <f>_xlfn.XLOOKUP(B141,QUERY!$C:$C,QUERY!BM:BM)</f>
        <v>ZYA</v>
      </c>
      <c r="HM141" s="3">
        <f>_xlfn.XLOOKUP(B141,QUERY!$C:$C,QUERY!BN:BN)</f>
        <v>41757683</v>
      </c>
      <c r="HN141" s="3" t="str">
        <f>_xlfn.XLOOKUP(B141,QUERY!$C:$C,QUERY!BO:BO)</f>
        <v>462.00</v>
      </c>
      <c r="HO141" s="3" t="str">
        <f>_xlfn.XLOOKUP(B141,QUERY!$C:$C,QUERY!BP:BP)</f>
        <v>NULL</v>
      </c>
      <c r="HP141" s="3" t="str">
        <f>_xlfn.XLOOKUP(B141,QUERY!$C:$C,QUERY!BQ:BQ)</f>
        <v>NULL</v>
      </c>
      <c r="HQ141" s="3" t="str">
        <f>_xlfn.XLOOKUP(B141,QUERY!$C:$C,QUERY!BR:BR)</f>
        <v>248801.02</v>
      </c>
      <c r="HR141" s="3">
        <f>_xlfn.XLOOKUP(B141,QUERY!$C:$C,QUERY!BS:BS)</f>
        <v>0</v>
      </c>
      <c r="HS141" s="3">
        <f>_xlfn.XLOOKUP(B141,QUERY!$C:$C,QUERY!BT:BT)</f>
        <v>0</v>
      </c>
      <c r="HT141" s="3" t="str">
        <f>_xlfn.XLOOKUP(B141,QUERY!$C:$C,QUERY!A:A)</f>
        <v>VERACRUZ</v>
      </c>
      <c r="HU141" s="3" t="str">
        <f>_xlfn.XLOOKUP(B141,QUERY!$C:$C,QUERY!B:B)</f>
        <v>MARÍTIMO VERACRUZ</v>
      </c>
    </row>
    <row r="142" spans="1:229" x14ac:dyDescent="0.25">
      <c r="A142" s="3" t="s">
        <v>90</v>
      </c>
      <c r="B142" s="3" t="s">
        <v>366</v>
      </c>
      <c r="C142" s="3">
        <v>3942</v>
      </c>
      <c r="D142" s="3">
        <v>6000434</v>
      </c>
      <c r="E142" s="3"/>
      <c r="F142" s="3" t="s">
        <v>92</v>
      </c>
      <c r="G142" s="3" t="s">
        <v>93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430</v>
      </c>
      <c r="S142" s="3" t="s">
        <v>367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 t="s">
        <v>265</v>
      </c>
      <c r="AB142" s="3"/>
      <c r="AC142" s="3">
        <v>6407338</v>
      </c>
      <c r="AD142" s="3">
        <v>741.59005000000002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/>
      <c r="AP142" s="3" t="s">
        <v>98</v>
      </c>
      <c r="AQ142" s="3">
        <v>210368547</v>
      </c>
      <c r="AR142" s="3" t="s">
        <v>99</v>
      </c>
      <c r="AS142" s="3" t="s">
        <v>100</v>
      </c>
      <c r="AT142" s="3">
        <v>0</v>
      </c>
      <c r="AU142" s="3">
        <v>0</v>
      </c>
      <c r="AV142" s="3">
        <v>0</v>
      </c>
      <c r="AW142" s="3">
        <v>30024201</v>
      </c>
      <c r="AX142" s="3">
        <v>99</v>
      </c>
      <c r="AY142" s="3">
        <v>8640</v>
      </c>
      <c r="AZ142" s="3">
        <v>8640</v>
      </c>
      <c r="BA142" s="3" t="s">
        <v>103</v>
      </c>
      <c r="BB142" s="3"/>
      <c r="BC142" s="3" t="s">
        <v>105</v>
      </c>
      <c r="BD142" s="3" t="s">
        <v>105</v>
      </c>
      <c r="BE142" s="3"/>
      <c r="BF142" s="3"/>
      <c r="BG142" s="5"/>
      <c r="BH142" s="3"/>
      <c r="BI142" s="3"/>
      <c r="BJ142" s="3"/>
      <c r="BK142" s="3" t="s">
        <v>371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 t="s">
        <v>192</v>
      </c>
      <c r="CF142" s="3">
        <v>0</v>
      </c>
      <c r="CG142" s="3">
        <v>0</v>
      </c>
      <c r="CH142" s="3">
        <v>0</v>
      </c>
      <c r="CI142" s="3" t="s">
        <v>112</v>
      </c>
      <c r="CJ142" s="3" t="s">
        <v>112</v>
      </c>
      <c r="CK142" s="3">
        <f>_xlfn.XLOOKUP($B$2,'BASE DE EXCEL'!C:C,'BASE DE EXCEL'!D:D,"NO HAY REFERENCIA")</f>
        <v>470</v>
      </c>
      <c r="CL142" s="5">
        <f>_xlfn.XLOOKUP($B$2,'BASE DE EXCEL'!$C:$C,'BASE DE EXCEL'!F:F,"NO HAY REFERENCIA")</f>
        <v>3</v>
      </c>
      <c r="CM142" s="4">
        <f>_xlfn.XLOOKUP($B$2,'BASE DE EXCEL'!$C:$C,'BASE DE EXCEL'!G:G,"NO HAY REFERENCIA")</f>
        <v>46080</v>
      </c>
      <c r="CN142" s="4">
        <f>_xlfn.XLOOKUP($B$2,'BASE DE EXCEL'!$C:$C,'BASE DE EXCEL'!H:H,"NO HAY REFERENCIA")</f>
        <v>46086</v>
      </c>
      <c r="CO142" s="3">
        <f>_xlfn.XLOOKUP($B$2,'BASE DE EXCEL'!$C:$C,'BASE DE EXCEL'!I:I,"NO HAY REFERENCIA")</f>
        <v>4</v>
      </c>
      <c r="CP142" s="3" t="str">
        <f>_xlfn.XLOOKUP($B$2,'BASE DE EXCEL'!$C:$C,'BASE DE EXCEL'!J:J,"NO HAY REFERENCIA")</f>
        <v>4 a 5 días</v>
      </c>
      <c r="CQ142" s="4">
        <f>_xlfn.XLOOKUP($B$2,'BASE DE EXCEL'!$C:$C,'BASE DE EXCEL'!K:K,"NO HAY REFERENCIA")</f>
        <v>46087</v>
      </c>
      <c r="CR142" s="3">
        <f>_xlfn.XLOOKUP($B$2,'BASE DE EXCEL'!$C:$C,'BASE DE EXCEL'!L:L,"NO HAY REFERENCIA")</f>
        <v>5</v>
      </c>
      <c r="CS142" s="3">
        <f>_xlfn.XLOOKUP($B$2,'BASE DE EXCEL'!$C:$C,'BASE DE EXCEL'!M:M,"NO HAY REFERENCIA")</f>
        <v>6</v>
      </c>
      <c r="CT142" s="3" t="str">
        <f>_xlfn.XLOOKUP($B$2,'BASE DE EXCEL'!$C:$C,'BASE DE EXCEL'!N:N,"NO HAY REFERENCIA")</f>
        <v>6 a 10 días</v>
      </c>
      <c r="CU142" s="3" t="str">
        <f>_xlfn.XLOOKUP($B$2,'BASE DE EXCEL'!$C:$C,'BASE DE EXCEL'!O:O,"NO HAY REFERENCIA")</f>
        <v>On Time</v>
      </c>
      <c r="CV142" s="3" t="str">
        <f>_xlfn.XLOOKUP(B142,'BASE DE EXCEL'!$C:$C,'BASE DE EXCEL'!P:P,"NO HAY REFERENCIA")</f>
        <v>6 a 10 días</v>
      </c>
      <c r="CW142" s="4">
        <f>_xlfn.XLOOKUP(B142,'BASE DE EXCEL'!$C:$C,'BASE DE EXCEL'!Q:Q,"NO HAY REFERENCIA")</f>
        <v>46119</v>
      </c>
      <c r="CX142" s="3">
        <f>_xlfn.XLOOKUP(B142,'BASE DE EXCEL'!$C:$C,'BASE DE EXCEL'!R:R,"NO HAY REFERENCIA")</f>
        <v>5</v>
      </c>
      <c r="CY142" s="3" t="str">
        <f>_xlfn.XLOOKUP(B142,'BASE DE EXCEL'!$C:$C,'BASE DE EXCEL'!S:S,"NO HAY REFERENCIA")</f>
        <v>4 a 5 días</v>
      </c>
      <c r="CZ142" s="3" t="str">
        <f>_xlfn.XLOOKUP(B142,'BASE DE EXCEL'!$C:$C,'BASE DE EXCEL'!T:T,"NO HAY REFERENCIA")</f>
        <v>On Time</v>
      </c>
      <c r="DA142" s="3">
        <f>_xlfn.XLOOKUP(B142,'BASE DE EXCEL'!$C:$C,'BASE DE EXCEL'!U:U,"NO HAY REFERENCIA")</f>
        <v>8</v>
      </c>
      <c r="DB142" s="3" t="str">
        <f>_xlfn.XLOOKUP(B142,'BASE DE EXCEL'!$C:$C,'BASE DE EXCEL'!V:V,"NO HAY REFERENCIA")</f>
        <v>6 a 10 días</v>
      </c>
      <c r="DC142" s="3">
        <f>_xlfn.XLOOKUP(B142,'BASE DE EXCEL'!$C:$C,'BASE DE EXCEL'!W:W,"NO HAY REFERENCIA")</f>
        <v>14</v>
      </c>
      <c r="DD142" s="3" t="str">
        <f>_xlfn.XLOOKUP(B142,'BASE DE EXCEL'!$C:$C,'BASE DE EXCEL'!X:X,"NO HAY REFERENCIA")</f>
        <v>11 a 15 días</v>
      </c>
      <c r="DE142" s="3">
        <f>_xlfn.XLOOKUP(B142,'BASE DE EXCEL'!$C:$C,'BASE DE EXCEL'!Y:Y,"NO HAY REFERENCIA")</f>
        <v>0</v>
      </c>
      <c r="DF142" s="3" t="str">
        <f>_xlfn.XLOOKUP(B142,'BASE DE EXCEL'!$C:$C,'BASE DE EXCEL'!Z:Z,"NO HAY REFERENCIA")</f>
        <v>1 día o menos</v>
      </c>
      <c r="DG142" s="3">
        <f>_xlfn.XLOOKUP(B142,'BASE DE EXCEL'!$C:$C,'BASE DE EXCEL'!AA:AA,"NO HAY REFERENCIA")</f>
        <v>7</v>
      </c>
      <c r="DH142" s="3">
        <f>_xlfn.XLOOKUP(B142,'BASE DE EXCEL'!$C:$C,'BASE DE EXCEL'!AB:AB,"NO HAY REFERENCIA")</f>
        <v>1</v>
      </c>
      <c r="DI142" s="3" t="str">
        <f>_xlfn.XLOOKUP(B142,'BASE DE EXCEL'!$C:$C,'BASE DE EXCEL'!AC:AC,"NO HAY REFERENCIA")</f>
        <v>1 día o menos</v>
      </c>
      <c r="DJ142" s="4">
        <f>_xlfn.XLOOKUP(B142,'BASE DE EXCEL'!$C:$C,'BASE DE EXCEL'!AD:AD,"NO HAY REFERENCIA")</f>
        <v>46129</v>
      </c>
      <c r="DK142" s="3">
        <f>_xlfn.XLOOKUP(B142,'BASE DE EXCEL'!$C:$C,'BASE DE EXCEL'!AE:AE,"NO HAY REFERENCIA")</f>
        <v>9</v>
      </c>
      <c r="DL142" s="3">
        <f>_xlfn.XLOOKUP(B142,'BASE DE EXCEL'!$C:$C,'BASE DE EXCEL'!AF:AF,"NO HAY REFERENCIA")</f>
        <v>8</v>
      </c>
      <c r="DM142" s="4">
        <f>_xlfn.XLOOKUP(B142,'BASE DE EXCEL'!$C:$C,'BASE DE EXCEL'!AG:AG,"NO HAY REFERENCIA")</f>
        <v>46128</v>
      </c>
      <c r="DN142" s="4">
        <f>_xlfn.XLOOKUP(B142,'BASE DE EXCEL'!$C:$C,'BASE DE EXCEL'!AH:AH,"NO HAY REFERENCIA")</f>
        <v>46129</v>
      </c>
      <c r="DO142" s="3">
        <f>_xlfn.XLOOKUP(B142,'BASE DE EXCEL'!$C:$C,'BASE DE EXCEL'!AI:AI,"NO HAY REFERENCIA")</f>
        <v>1</v>
      </c>
      <c r="DP142" s="4" t="str">
        <f>_xlfn.XLOOKUP(B142,'BASE DE EXCEL'!$C:$C,'BASE DE EXCEL'!AJ:AJ,"NO HAY REFERENCIA")</f>
        <v>6 a 10 días</v>
      </c>
      <c r="DQ142" s="4">
        <f>_xlfn.XLOOKUP(B142,'BASE DE EXCEL'!$C:$C,'BASE DE EXCEL'!AK:AK,"NO HAY REFERENCIA")</f>
        <v>46129</v>
      </c>
      <c r="DR142" s="3">
        <f>_xlfn.XLOOKUP(B142,'BASE DE EXCEL'!$C:$C,'BASE DE EXCEL'!AL:AL,"NO HAY REFERENCIA")</f>
        <v>9</v>
      </c>
      <c r="DS142" s="3" t="str">
        <f>_xlfn.XLOOKUP(B142,'BASE DE EXCEL'!$C:$C,'BASE DE EXCEL'!AM:AM,"NO HAY REFERENCIA")</f>
        <v>6 a 10 días</v>
      </c>
      <c r="DT142" s="3" t="str">
        <f>_xlfn.XLOOKUP(B142,'BASE DE EXCEL'!$C:$C,'BASE DE EXCEL'!AN:AN,"NO HAY REFERENCIA")</f>
        <v>Delayed</v>
      </c>
      <c r="DU142" s="3">
        <f>_xlfn.XLOOKUP(B142,'BASE DE EXCEL'!$C:$C,'BASE DE EXCEL'!AO:AO,"NO HAY REFERENCIA")</f>
        <v>1</v>
      </c>
      <c r="DV142" s="3" t="str">
        <f>_xlfn.XLOOKUP(B142,'BASE DE EXCEL'!$C:$C,'BASE DE EXCEL'!AP:AP,"NO HAY REFERENCIA")</f>
        <v>Es anterior</v>
      </c>
      <c r="DW142" s="3" t="str">
        <f>_xlfn.XLOOKUP(B142,'BASE DE EXCEL'!$C:$C,'BASE DE EXCEL'!AQ:AQ,"NO HAY REFERENCIA")</f>
        <v>A1</v>
      </c>
      <c r="DX142" s="3" t="str">
        <f>_xlfn.XLOOKUP(B142,'BASE DE EXCEL'!$C:$C,'BASE DE EXCEL'!AR:AR,"NO HAY REFERENCIA")</f>
        <v>ZULEIMA PEREZ RUIZ</v>
      </c>
      <c r="DY142" s="3" t="str">
        <f>_xlfn.XLOOKUP(B142,'BASE DE EXCEL'!$C:$C,'BASE DE EXCEL'!AS:AS,"NO HAY REFERENCIA")</f>
        <v>HLCURTM260288670</v>
      </c>
      <c r="DZ142" s="3" t="str">
        <f>_xlfn.XLOOKUP(B142,'BASE DE EXCEL'!$C:$C,'BASE DE EXCEL'!AT:AT,"NO HAY REFERENCIA")</f>
        <v>NULL</v>
      </c>
      <c r="EA142" s="3">
        <f>_xlfn.XLOOKUP(B142,'BASE DE EXCEL'!$C:$C,'BASE DE EXCEL'!AU:AU,"NO HAY REFERENCIA")</f>
        <v>6000434</v>
      </c>
      <c r="EB142" s="3" t="str">
        <f>_xlfn.XLOOKUP(B142,'BASE DE EXCEL'!$C:$C,'BASE DE EXCEL'!AV:AV,"NO HAY REFERENCIA")</f>
        <v>Importación</v>
      </c>
      <c r="EC142" s="3" t="str">
        <f>_xlfn.XLOOKUP(B142,'BASE DE EXCEL'!$C:$C,'BASE DE EXCEL'!AW:AW,"NO HAY REFERENCIA")</f>
        <v>NOBIVAC DH PARVO C (VACUNA DE USO VETERINARIO)</v>
      </c>
      <c r="ED142" s="3" t="str">
        <f>_xlfn.XLOOKUP(B142,'BASE DE EXCEL'!$C:$C,'BASE DE EXCEL'!AX:AX,"NO HAY REFERENCIA")</f>
        <v>SIN CLASIFICACION</v>
      </c>
      <c r="EE142" s="3">
        <f>_xlfn.XLOOKUP(B142,'BASE DE EXCEL'!$C:$C,'BASE DE EXCEL'!AY:AY,"NO HAY REFERENCIA")</f>
        <v>0</v>
      </c>
      <c r="EF142" s="3" t="str">
        <f>_xlfn.XLOOKUP(B142,'BASE DE EXCEL'!$C:$C,'BASE DE EXCEL'!AZ:AZ,"NO HAY REFERENCIA")</f>
        <v>Cargas de Importación</v>
      </c>
      <c r="EG142" s="3" t="str">
        <f>_xlfn.XLOOKUP(B142,'BASE DE EXCEL'!$C:$C,'BASE DE EXCEL'!BA:BA,"NO HAY REFERENCIA")</f>
        <v>INTERVET MEXICO SA DE CV</v>
      </c>
      <c r="EH142" s="3">
        <f>_xlfn.XLOOKUP(B142,'BASE DE EXCEL'!$C:$C,'BASE DE EXCEL'!BB:BB,"NO HAY REFERENCIA")</f>
        <v>0</v>
      </c>
      <c r="EI142" s="3" t="str">
        <f>_xlfn.XLOOKUP(B142,'BASE DE EXCEL'!$C:$C,'BASE DE EXCEL'!BC:BC,"NO HAY REFERENCIA")</f>
        <v>NINGUNO</v>
      </c>
      <c r="EJ142" s="3">
        <f>_xlfn.XLOOKUP(B142,'BASE DE EXCEL'!$C:$C,'BASE DE EXCEL'!BD:BD,"NO HAY REFERENCIA")</f>
        <v>0</v>
      </c>
      <c r="EK142" s="3" t="str">
        <f>_xlfn.XLOOKUP(B142,'BASE DE EXCEL'!$C:$C,'BASE DE EXCEL'!BE:BE,"NO HAY REFERENCIA")</f>
        <v>NINGUNO</v>
      </c>
      <c r="EL142" s="3" t="str">
        <f>_xlfn.XLOOKUP(B142,'BASE DE EXCEL'!$C:$C,'BASE DE EXCEL'!BF:BF,"NO HAY REFERENCIA")</f>
        <v>PRODUCTO TERMINADO</v>
      </c>
      <c r="EM142" s="3" t="str">
        <f>_xlfn.XLOOKUP(B142,'BASE DE EXCEL'!$C:$C,'BASE DE EXCEL'!BG:BG,"NO HAY REFERENCIA")</f>
        <v>Rojo</v>
      </c>
      <c r="EN142" s="3" t="str">
        <f>_xlfn.XLOOKUP(B142,'BASE DE EXCEL'!$C:$C,'BASE DE EXCEL'!BH:BH,"NO HAY REFERENCIA")</f>
        <v xml:space="preserve"> MLH TRANSPORTE, S.A. DE C.V.</v>
      </c>
      <c r="EO142" s="3" t="str">
        <f>_xlfn.XLOOKUP(B142,'BASE DE EXCEL'!$C:$C,'BASE DE EXCEL'!BI:BI,"NO HAY REFERENCIA")</f>
        <v>TRACTOCAMION ECO 110</v>
      </c>
      <c r="EP142" s="3">
        <f>_xlfn.XLOOKUP(B142,'BASE DE EXCEL'!$C:$C,'BASE DE EXCEL'!BJ:BJ,"NO HAY REFERENCIA")</f>
        <v>0</v>
      </c>
      <c r="EQ142" s="3" t="str">
        <f>_xlfn.XLOOKUP(B142,'BASE DE EXCEL'!$C:$C,'BASE DE EXCEL'!BK:BK,"NO HAY REFERENCIA")</f>
        <v>IME850329RH2</v>
      </c>
      <c r="ER142" s="3">
        <f>_xlfn.XLOOKUP(B142,'BASE DE EXCEL'!$C:$C,'BASE DE EXCEL'!BL:BL,"NO HAY REFERENCIA")</f>
        <v>0</v>
      </c>
      <c r="ES142" s="3">
        <f>_xlfn.XLOOKUP(B142,'BASE DE EXCEL'!$C:$C,'BASE DE EXCEL'!BM:BM,"NO HAY REFERENCIA")</f>
        <v>99</v>
      </c>
      <c r="ET142" s="3" t="str">
        <f>_xlfn.XLOOKUP(B142,'BASE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2" s="3">
        <f>_xlfn.XLOOKUP(B142,'BASE DE EXCEL'!$C:$C,'BASE DE EXCEL'!BO:BO,"NO HAY REFERENCIA")</f>
        <v>90</v>
      </c>
      <c r="EV142" s="3" t="str">
        <f>_xlfn.XLOOKUP(B142,'BASE DE EXCEL'!$C:$C,'BASE DE EXCEL'!BP:BP,"NO HAY REFERENCIA")</f>
        <v xml:space="preserve"> 11626987.90, 30130695.36</v>
      </c>
      <c r="EW142" s="3" t="str">
        <f>_xlfn.XLOOKUP(B142,'BASE DE EXCEL'!$C:$C,'BASE DE EXCEL'!BQ:BQ,"NO HAY REFERENCIA")</f>
        <v>KILO,KILO,KILO,KILO,KILO,KILO,KILO,KILO,KILO,KILO,KILO,KILO,KILO</v>
      </c>
      <c r="EX142" s="3">
        <f>_xlfn.XLOOKUP(B142,'BASE DE EXCEL'!$C:$C,'BASE DE EXCEL'!BR:BR,"NO HAY REFERENCIA")</f>
        <v>0</v>
      </c>
      <c r="EY142" s="3" t="str">
        <f>_xlfn.XLOOKUP(B142,'BASE DE EXCEL'!$C:$C,'BASE DE EXCEL'!BS:BS,"NO HAY REFERENCIA")</f>
        <v>PAISES BAJOS (REINO DE LOS) (HOLANDA)</v>
      </c>
      <c r="EZ142" s="3" t="str">
        <f>_xlfn.XLOOKUP(B142,'BASE DE EXCEL'!$C:$C,'BASE DE EXCEL'!BT:BT,"NO HAY REFERENCIA")</f>
        <v>PAISES BAJOS (REINO DE LOS) (HOLANDA)</v>
      </c>
      <c r="FA142" s="3" t="str">
        <f>_xlfn.XLOOKUP(B142,'BASE DE EXCEL'!$C:$C,'BASE DE EXCEL'!BU:BU,"NO HAY REFERENCIA")</f>
        <v>ZYA</v>
      </c>
      <c r="FB142" s="3" t="str">
        <f>_xlfn.XLOOKUP(B142,'BASE DE EXCEL'!$C:$C,'BASE DE EXCEL'!BV:BV,"NO HAY REFERENCIA")</f>
        <v>ZYA</v>
      </c>
      <c r="FC142" s="3">
        <f>_xlfn.XLOOKUP(B142,QUERY!$C:$C,QUERY!D:D)</f>
        <v>430</v>
      </c>
      <c r="FD142" s="4">
        <f>_xlfn.XLOOKUP(B142,QUERY!$C:$C,QUERY!E:E)</f>
        <v>46118</v>
      </c>
      <c r="FE142" s="3">
        <f>_xlfn.XLOOKUP(B142,QUERY!$C:$C,QUERY!F:F)</f>
        <v>4</v>
      </c>
      <c r="FF142" s="4">
        <f>_xlfn.XLOOKUP(B142,QUERY!$C:$C,QUERY!G:G)</f>
        <v>46111</v>
      </c>
      <c r="FG142" s="4">
        <f>_xlfn.XLOOKUP(B142,QUERY!$C:$C,QUERY!H:H)</f>
        <v>46118</v>
      </c>
      <c r="FH142" s="3">
        <f>_xlfn.XLOOKUP(B142,QUERY!$C:$C,QUERY!I:I)</f>
        <v>5</v>
      </c>
      <c r="FI142" s="3" t="str">
        <f>_xlfn.XLOOKUP(B142,QUERY!$C:$C,QUERY!J:J)</f>
        <v>4 a 5 días</v>
      </c>
      <c r="FJ142" s="4">
        <f>_xlfn.XLOOKUP(B142,QUERY!$C:$C,QUERY!K:K)</f>
        <v>46118</v>
      </c>
      <c r="FK142" s="3">
        <f>_xlfn.XLOOKUP(B142,QUERY!$C:$C,QUERY!L:L)</f>
        <v>5</v>
      </c>
      <c r="FL142" s="3" t="str">
        <f>_xlfn.XLOOKUP(B142,QUERY!$C:$C,QUERY!M:M)</f>
        <v>4 a 5 días</v>
      </c>
      <c r="FM142" s="3">
        <f>_xlfn.XLOOKUP(B142,QUERY!$C:$C,QUERY!N:N)</f>
        <v>0</v>
      </c>
      <c r="FN142" s="3" t="str">
        <f>_xlfn.XLOOKUP(B142,QUERY!$C:$C,QUERY!O:O)</f>
        <v>1 día o menos</v>
      </c>
      <c r="FO142" s="3">
        <f>_xlfn.XLOOKUP(B142,QUERY!$C:$C,QUERY!P:P)</f>
        <v>0</v>
      </c>
      <c r="FP142" s="3">
        <f>_xlfn.XLOOKUP(B142,QUERY!$C:$C,QUERY!Q:Q)</f>
        <v>1</v>
      </c>
      <c r="FQ142" s="3" t="str">
        <f>_xlfn.XLOOKUP(B142,QUERY!$C:$C,QUERY!R:R)</f>
        <v>1 día o menos</v>
      </c>
      <c r="FR142" s="4">
        <f>_xlfn.XLOOKUP(B142,QUERY!$C:$C,QUERY!S:S)</f>
        <v>46119</v>
      </c>
      <c r="FS142" s="3">
        <f>_xlfn.XLOOKUP(B142,QUERY!$C:$C,QUERY!T:T)</f>
        <v>6</v>
      </c>
      <c r="FT142" s="3" t="str">
        <f>_xlfn.XLOOKUP(B142,QUERY!$C:$C,QUERY!U:U)</f>
        <v>6 a 10 días</v>
      </c>
      <c r="FU142" s="3">
        <f>_xlfn.XLOOKUP(B142,QUERY!$C:$C,QUERY!V:V)</f>
        <v>14</v>
      </c>
      <c r="FV142" s="3" t="str">
        <f>_xlfn.XLOOKUP(B142,QUERY!$C:$C,QUERY!W:W)</f>
        <v>11 a 15 días</v>
      </c>
      <c r="FW142" s="4">
        <f>_xlfn.XLOOKUP(B142,QUERY!$C:$C,QUERY!X:X)</f>
        <v>46129</v>
      </c>
      <c r="FX142" s="3">
        <f>_xlfn.XLOOKUP(B142,QUERY!$C:$C,QUERY!Y:Y)</f>
        <v>7</v>
      </c>
      <c r="FY142" s="3">
        <f>_xlfn.XLOOKUP(B142,QUERY!$C:$C,QUERY!Z:Z)</f>
        <v>8</v>
      </c>
      <c r="FZ142" s="4" t="str">
        <f>_xlfn.XLOOKUP(B142,QUERY!$C:$C,QUERY!AA:AA)</f>
        <v>6 a 10 días</v>
      </c>
      <c r="GA142" s="4">
        <f>_xlfn.XLOOKUP(B142,QUERY!$C:$C,QUERY!AB:AB)</f>
        <v>46128</v>
      </c>
      <c r="GB142" s="4">
        <f>_xlfn.XLOOKUP(B142,QUERY!$C:$C,QUERY!AC:AC)</f>
        <v>46129</v>
      </c>
      <c r="GC142" s="3">
        <f>_xlfn.XLOOKUP(B142,QUERY!$C:$C,QUERY!AD:AD)</f>
        <v>1</v>
      </c>
      <c r="GD142" s="4">
        <f>_xlfn.XLOOKUP(B142,QUERY!$C:$C,QUERY!AE:AE)</f>
        <v>46129</v>
      </c>
      <c r="GE142" s="3">
        <f>_xlfn.XLOOKUP(B142,QUERY!$C:$C,QUERY!AF:AF)</f>
        <v>1</v>
      </c>
      <c r="GF142" s="4" t="str">
        <f>_xlfn.XLOOKUP(B142,QUERY!$C:$C,QUERY!AG:AG)</f>
        <v>Es anterior</v>
      </c>
      <c r="GG142" s="3" t="str">
        <f>_xlfn.XLOOKUP(B142,QUERY!$C:$C,QUERY!AH:AH)</f>
        <v>A1</v>
      </c>
      <c r="GH142" s="3" t="str">
        <f>_xlfn.XLOOKUP(B142,QUERY!$C:$C,QUERY!AI:AI)</f>
        <v>ZULEIMA PEREZ RUIZ</v>
      </c>
      <c r="GI142" s="3" t="str">
        <f>_xlfn.XLOOKUP(B142,QUERY!$C:$C,QUERY!AJ:AJ)</f>
        <v>HLCURTM260288670</v>
      </c>
      <c r="GJ142" s="3" t="str">
        <f>_xlfn.XLOOKUP(B142,QUERY!$C:$C,QUERY!AK:AK)</f>
        <v>NULL</v>
      </c>
      <c r="GK142" s="3">
        <f>_xlfn.XLOOKUP(B142,QUERY!$C:$C,QUERY!AL:AL)</f>
        <v>6000434</v>
      </c>
      <c r="GL142" s="3" t="str">
        <f>_xlfn.XLOOKUP(B142,QUERY!$C:$C,QUERY!AM:AM)</f>
        <v>Importación</v>
      </c>
      <c r="GM142" s="3" t="str">
        <f>_xlfn.XLOOKUP(B142,QUERY!$C:$C,QUERY!AN:AN)</f>
        <v>NOBIVAC DH PARVO C (VACUNA DE USO VETERINARIO)</v>
      </c>
      <c r="GN142" s="3" t="str">
        <f>_xlfn.XLOOKUP(B142,QUERY!$C:$C,QUERY!AO:AO)</f>
        <v>SIN CLASIFICACION</v>
      </c>
      <c r="GO142" s="3">
        <f>_xlfn.XLOOKUP(B142,QUERY!$C:$C,QUERY!AP:AP)</f>
        <v>0</v>
      </c>
      <c r="GP142" s="3" t="str">
        <f>_xlfn.XLOOKUP(B142,QUERY!$C:$C,QUERY!AQ:AQ)</f>
        <v>Cargas de Importación</v>
      </c>
      <c r="GQ142" s="3" t="str">
        <f>_xlfn.XLOOKUP(B142,QUERY!$C:$C,QUERY!AR:AR)</f>
        <v>INTERVET MEXICO SA DE CV</v>
      </c>
      <c r="GR142" s="3">
        <f>_xlfn.XLOOKUP(B142,QUERY!$C:$C,QUERY!AS:AS)</f>
        <v>0</v>
      </c>
      <c r="GS142" s="3" t="str">
        <f>_xlfn.XLOOKUP(B142,QUERY!$C:$C,QUERY!AT:AT)</f>
        <v>NINGUNO</v>
      </c>
      <c r="GT142" s="3">
        <f>_xlfn.XLOOKUP(B142,QUERY!$C:$C,QUERY!AU:AU)</f>
        <v>0</v>
      </c>
      <c r="GU142" s="3" t="str">
        <f>_xlfn.XLOOKUP(B142,QUERY!$C:$C,QUERY!AV:AV)</f>
        <v>NINGUNO</v>
      </c>
      <c r="GV142" s="3" t="str">
        <f>_xlfn.XLOOKUP(B142,QUERY!$C:$C,QUERY!AW:AW)</f>
        <v>PRODUCTO TERMINADO</v>
      </c>
      <c r="GW142" s="3" t="str">
        <f>_xlfn.XLOOKUP(B142,QUERY!$C:$C,QUERY!AX:AX)</f>
        <v>Rojo</v>
      </c>
      <c r="GX142" s="3" t="str">
        <f>_xlfn.XLOOKUP(B142,QUERY!$C:$C,QUERY!AY:AY)</f>
        <v xml:space="preserve"> MLH TRANSPORTE, S.A. DE C.V.</v>
      </c>
      <c r="GY142" s="3" t="str">
        <f>_xlfn.XLOOKUP(B142,QUERY!$C:$C,QUERY!AZ:AZ)</f>
        <v>TRACTOCAMION ECO 110</v>
      </c>
      <c r="GZ142" s="3">
        <f>_xlfn.XLOOKUP(B142,QUERY!$C:$C,QUERY!BA:BA)</f>
        <v>0</v>
      </c>
      <c r="HA142" s="3" t="str">
        <f>_xlfn.XLOOKUP(B142,QUERY!$C:$C,QUERY!BB:BB)</f>
        <v>IME850329RH2</v>
      </c>
      <c r="HB142" s="3">
        <f>_xlfn.XLOOKUP(B142,QUERY!$C:$C,QUERY!BC:BC)</f>
        <v>0</v>
      </c>
      <c r="HC142" s="3">
        <f>_xlfn.XLOOKUP(B142,QUERY!$C:$C,QUERY!BD:BD)</f>
        <v>99</v>
      </c>
      <c r="HD142" s="3" t="str">
        <f>_xlfn.XLOOKUP(B142,QUERY!$C:$C,QUERY!BE:BE)</f>
        <v>LOTE: A217C01,LOTE: A849F01,LOTE: A225A01,LOTE: A180E01,LOTE: 1E073A02,LOTE: A145A01,LOTE: A227A01,LOTE: A061A03,LOTE: A061A04,LOTE: 1E073A03,LOTE: A737B01,LOTE: A270A02,LOTE: A032AJ02</v>
      </c>
      <c r="HE142" s="3">
        <f>_xlfn.XLOOKUP(B142,QUERY!$C:$C,QUERY!BF:BF)</f>
        <v>90</v>
      </c>
      <c r="HF142" s="3" t="str">
        <f>_xlfn.XLOOKUP(B142,QUERY!$C:$C,QUERY!BG:BG)</f>
        <v xml:space="preserve"> 11626987.90, 30130695.36</v>
      </c>
      <c r="HG142" s="3" t="str">
        <f>_xlfn.XLOOKUP(B142,QUERY!$C:$C,QUERY!BH:BH)</f>
        <v>KILO,KILO,KILO,KILO,KILO,KILO,KILO,KILO,KILO,KILO,KILO,KILO,KILO</v>
      </c>
      <c r="HH142" s="3">
        <f>_xlfn.XLOOKUP(B142,QUERY!$C:$C,QUERY!BI:BI)</f>
        <v>0</v>
      </c>
      <c r="HI142" s="3" t="str">
        <f>_xlfn.XLOOKUP(B142,QUERY!$C:$C,QUERY!BJ:BJ)</f>
        <v>PAISES BAJOS (REINO DE LOS) (HOLANDA)</v>
      </c>
      <c r="HJ142" s="3" t="str">
        <f>_xlfn.XLOOKUP(B142,QUERY!$C:$C,QUERY!BK:BK)</f>
        <v>PAISES BAJOS (REINO DE LOS) (HOLANDA)</v>
      </c>
      <c r="HK142" s="3" t="str">
        <f>_xlfn.XLOOKUP(B142,QUERY!$C:$C,QUERY!BL:BL)</f>
        <v>ZYA</v>
      </c>
      <c r="HL142" s="3" t="str">
        <f>_xlfn.XLOOKUP(B142,QUERY!$C:$C,QUERY!BM:BM)</f>
        <v>ZYA</v>
      </c>
      <c r="HM142" s="3">
        <f>_xlfn.XLOOKUP(B142,QUERY!$C:$C,QUERY!BN:BN)</f>
        <v>41757683</v>
      </c>
      <c r="HN142" s="3" t="str">
        <f>_xlfn.XLOOKUP(B142,QUERY!$C:$C,QUERY!BO:BO)</f>
        <v>462.00</v>
      </c>
      <c r="HO142" s="3" t="str">
        <f>_xlfn.XLOOKUP(B142,QUERY!$C:$C,QUERY!BP:BP)</f>
        <v>NULL</v>
      </c>
      <c r="HP142" s="3" t="str">
        <f>_xlfn.XLOOKUP(B142,QUERY!$C:$C,QUERY!BQ:BQ)</f>
        <v>NULL</v>
      </c>
      <c r="HQ142" s="3" t="str">
        <f>_xlfn.XLOOKUP(B142,QUERY!$C:$C,QUERY!BR:BR)</f>
        <v>248801.02</v>
      </c>
      <c r="HR142" s="3">
        <f>_xlfn.XLOOKUP(B142,QUERY!$C:$C,QUERY!BS:BS)</f>
        <v>0</v>
      </c>
      <c r="HS142" s="3">
        <f>_xlfn.XLOOKUP(B142,QUERY!$C:$C,QUERY!BT:BT)</f>
        <v>0</v>
      </c>
      <c r="HT142" s="3" t="str">
        <f>_xlfn.XLOOKUP(B142,QUERY!$C:$C,QUERY!A:A)</f>
        <v>VERACRUZ</v>
      </c>
      <c r="HU142" s="3" t="str">
        <f>_xlfn.XLOOKUP(B142,QUERY!$C:$C,QUERY!B:B)</f>
        <v>MARÍTIMO VERACRUZ</v>
      </c>
    </row>
    <row r="143" spans="1:229" x14ac:dyDescent="0.25">
      <c r="A143" s="3" t="s">
        <v>90</v>
      </c>
      <c r="B143" s="3" t="s">
        <v>366</v>
      </c>
      <c r="C143" s="3">
        <v>3942</v>
      </c>
      <c r="D143" s="3">
        <v>6000434</v>
      </c>
      <c r="E143" s="3"/>
      <c r="F143" s="3" t="s">
        <v>92</v>
      </c>
      <c r="G143" s="3" t="s">
        <v>93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430</v>
      </c>
      <c r="S143" s="3" t="s">
        <v>367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 t="s">
        <v>264</v>
      </c>
      <c r="AB143" s="3"/>
      <c r="AC143" s="3">
        <v>3266149</v>
      </c>
      <c r="AD143" s="3">
        <v>356.09998000000002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/>
      <c r="AP143" s="3" t="s">
        <v>98</v>
      </c>
      <c r="AQ143" s="3">
        <v>210368547</v>
      </c>
      <c r="AR143" s="3" t="s">
        <v>99</v>
      </c>
      <c r="AS143" s="3" t="s">
        <v>100</v>
      </c>
      <c r="AT143" s="3">
        <v>0</v>
      </c>
      <c r="AU143" s="3">
        <v>0</v>
      </c>
      <c r="AV143" s="3">
        <v>0</v>
      </c>
      <c r="AW143" s="3">
        <v>30024201</v>
      </c>
      <c r="AX143" s="3">
        <v>99</v>
      </c>
      <c r="AY143" s="3">
        <v>9172</v>
      </c>
      <c r="AZ143" s="3">
        <v>9172</v>
      </c>
      <c r="BA143" s="3" t="s">
        <v>103</v>
      </c>
      <c r="BB143" s="3"/>
      <c r="BC143" s="3" t="s">
        <v>105</v>
      </c>
      <c r="BD143" s="3" t="s">
        <v>105</v>
      </c>
      <c r="BE143" s="3"/>
      <c r="BF143" s="3"/>
      <c r="BG143" s="5"/>
      <c r="BH143" s="3"/>
      <c r="BI143" s="3"/>
      <c r="BJ143" s="3"/>
      <c r="BK143" s="3" t="s">
        <v>371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 t="s">
        <v>192</v>
      </c>
      <c r="CF143" s="3">
        <v>0</v>
      </c>
      <c r="CG143" s="3">
        <v>0</v>
      </c>
      <c r="CH143" s="3">
        <v>0</v>
      </c>
      <c r="CI143" s="3" t="s">
        <v>112</v>
      </c>
      <c r="CJ143" s="3" t="s">
        <v>112</v>
      </c>
      <c r="CK143" s="3">
        <f>_xlfn.XLOOKUP($B$2,'BASE DE EXCEL'!C:C,'BASE DE EXCEL'!D:D,"NO HAY REFERENCIA")</f>
        <v>470</v>
      </c>
      <c r="CL143" s="5">
        <f>_xlfn.XLOOKUP($B$2,'BASE DE EXCEL'!$C:$C,'BASE DE EXCEL'!F:F,"NO HAY REFERENCIA")</f>
        <v>3</v>
      </c>
      <c r="CM143" s="4">
        <f>_xlfn.XLOOKUP($B$2,'BASE DE EXCEL'!$C:$C,'BASE DE EXCEL'!G:G,"NO HAY REFERENCIA")</f>
        <v>46080</v>
      </c>
      <c r="CN143" s="4">
        <f>_xlfn.XLOOKUP($B$2,'BASE DE EXCEL'!$C:$C,'BASE DE EXCEL'!H:H,"NO HAY REFERENCIA")</f>
        <v>46086</v>
      </c>
      <c r="CO143" s="3">
        <f>_xlfn.XLOOKUP($B$2,'BASE DE EXCEL'!$C:$C,'BASE DE EXCEL'!I:I,"NO HAY REFERENCIA")</f>
        <v>4</v>
      </c>
      <c r="CP143" s="3" t="str">
        <f>_xlfn.XLOOKUP($B$2,'BASE DE EXCEL'!$C:$C,'BASE DE EXCEL'!J:J,"NO HAY REFERENCIA")</f>
        <v>4 a 5 días</v>
      </c>
      <c r="CQ143" s="4">
        <f>_xlfn.XLOOKUP($B$2,'BASE DE EXCEL'!$C:$C,'BASE DE EXCEL'!K:K,"NO HAY REFERENCIA")</f>
        <v>46087</v>
      </c>
      <c r="CR143" s="3">
        <f>_xlfn.XLOOKUP($B$2,'BASE DE EXCEL'!$C:$C,'BASE DE EXCEL'!L:L,"NO HAY REFERENCIA")</f>
        <v>5</v>
      </c>
      <c r="CS143" s="3">
        <f>_xlfn.XLOOKUP($B$2,'BASE DE EXCEL'!$C:$C,'BASE DE EXCEL'!M:M,"NO HAY REFERENCIA")</f>
        <v>6</v>
      </c>
      <c r="CT143" s="3" t="str">
        <f>_xlfn.XLOOKUP($B$2,'BASE DE EXCEL'!$C:$C,'BASE DE EXCEL'!N:N,"NO HAY REFERENCIA")</f>
        <v>6 a 10 días</v>
      </c>
      <c r="CU143" s="3" t="str">
        <f>_xlfn.XLOOKUP($B$2,'BASE DE EXCEL'!$C:$C,'BASE DE EXCEL'!O:O,"NO HAY REFERENCIA")</f>
        <v>On Time</v>
      </c>
      <c r="CV143" s="3" t="str">
        <f>_xlfn.XLOOKUP(B143,'BASE DE EXCEL'!$C:$C,'BASE DE EXCEL'!P:P,"NO HAY REFERENCIA")</f>
        <v>6 a 10 días</v>
      </c>
      <c r="CW143" s="4">
        <f>_xlfn.XLOOKUP(B143,'BASE DE EXCEL'!$C:$C,'BASE DE EXCEL'!Q:Q,"NO HAY REFERENCIA")</f>
        <v>46119</v>
      </c>
      <c r="CX143" s="3">
        <f>_xlfn.XLOOKUP(B143,'BASE DE EXCEL'!$C:$C,'BASE DE EXCEL'!R:R,"NO HAY REFERENCIA")</f>
        <v>5</v>
      </c>
      <c r="CY143" s="3" t="str">
        <f>_xlfn.XLOOKUP(B143,'BASE DE EXCEL'!$C:$C,'BASE DE EXCEL'!S:S,"NO HAY REFERENCIA")</f>
        <v>4 a 5 días</v>
      </c>
      <c r="CZ143" s="3" t="str">
        <f>_xlfn.XLOOKUP(B143,'BASE DE EXCEL'!$C:$C,'BASE DE EXCEL'!T:T,"NO HAY REFERENCIA")</f>
        <v>On Time</v>
      </c>
      <c r="DA143" s="3">
        <f>_xlfn.XLOOKUP(B143,'BASE DE EXCEL'!$C:$C,'BASE DE EXCEL'!U:U,"NO HAY REFERENCIA")</f>
        <v>8</v>
      </c>
      <c r="DB143" s="3" t="str">
        <f>_xlfn.XLOOKUP(B143,'BASE DE EXCEL'!$C:$C,'BASE DE EXCEL'!V:V,"NO HAY REFERENCIA")</f>
        <v>6 a 10 días</v>
      </c>
      <c r="DC143" s="3">
        <f>_xlfn.XLOOKUP(B143,'BASE DE EXCEL'!$C:$C,'BASE DE EXCEL'!W:W,"NO HAY REFERENCIA")</f>
        <v>14</v>
      </c>
      <c r="DD143" s="3" t="str">
        <f>_xlfn.XLOOKUP(B143,'BASE DE EXCEL'!$C:$C,'BASE DE EXCEL'!X:X,"NO HAY REFERENCIA")</f>
        <v>11 a 15 días</v>
      </c>
      <c r="DE143" s="3">
        <f>_xlfn.XLOOKUP(B143,'BASE DE EXCEL'!$C:$C,'BASE DE EXCEL'!Y:Y,"NO HAY REFERENCIA")</f>
        <v>0</v>
      </c>
      <c r="DF143" s="3" t="str">
        <f>_xlfn.XLOOKUP(B143,'BASE DE EXCEL'!$C:$C,'BASE DE EXCEL'!Z:Z,"NO HAY REFERENCIA")</f>
        <v>1 día o menos</v>
      </c>
      <c r="DG143" s="3">
        <f>_xlfn.XLOOKUP(B143,'BASE DE EXCEL'!$C:$C,'BASE DE EXCEL'!AA:AA,"NO HAY REFERENCIA")</f>
        <v>7</v>
      </c>
      <c r="DH143" s="3">
        <f>_xlfn.XLOOKUP(B143,'BASE DE EXCEL'!$C:$C,'BASE DE EXCEL'!AB:AB,"NO HAY REFERENCIA")</f>
        <v>1</v>
      </c>
      <c r="DI143" s="3" t="str">
        <f>_xlfn.XLOOKUP(B143,'BASE DE EXCEL'!$C:$C,'BASE DE EXCEL'!AC:AC,"NO HAY REFERENCIA")</f>
        <v>1 día o menos</v>
      </c>
      <c r="DJ143" s="4">
        <f>_xlfn.XLOOKUP(B143,'BASE DE EXCEL'!$C:$C,'BASE DE EXCEL'!AD:AD,"NO HAY REFERENCIA")</f>
        <v>46129</v>
      </c>
      <c r="DK143" s="3">
        <f>_xlfn.XLOOKUP(B143,'BASE DE EXCEL'!$C:$C,'BASE DE EXCEL'!AE:AE,"NO HAY REFERENCIA")</f>
        <v>9</v>
      </c>
      <c r="DL143" s="3">
        <f>_xlfn.XLOOKUP(B143,'BASE DE EXCEL'!$C:$C,'BASE DE EXCEL'!AF:AF,"NO HAY REFERENCIA")</f>
        <v>8</v>
      </c>
      <c r="DM143" s="4">
        <f>_xlfn.XLOOKUP(B143,'BASE DE EXCEL'!$C:$C,'BASE DE EXCEL'!AG:AG,"NO HAY REFERENCIA")</f>
        <v>46128</v>
      </c>
      <c r="DN143" s="4">
        <f>_xlfn.XLOOKUP(B143,'BASE DE EXCEL'!$C:$C,'BASE DE EXCEL'!AH:AH,"NO HAY REFERENCIA")</f>
        <v>46129</v>
      </c>
      <c r="DO143" s="3">
        <f>_xlfn.XLOOKUP(B143,'BASE DE EXCEL'!$C:$C,'BASE DE EXCEL'!AI:AI,"NO HAY REFERENCIA")</f>
        <v>1</v>
      </c>
      <c r="DP143" s="4" t="str">
        <f>_xlfn.XLOOKUP(B143,'BASE DE EXCEL'!$C:$C,'BASE DE EXCEL'!AJ:AJ,"NO HAY REFERENCIA")</f>
        <v>6 a 10 días</v>
      </c>
      <c r="DQ143" s="4">
        <f>_xlfn.XLOOKUP(B143,'BASE DE EXCEL'!$C:$C,'BASE DE EXCEL'!AK:AK,"NO HAY REFERENCIA")</f>
        <v>46129</v>
      </c>
      <c r="DR143" s="3">
        <f>_xlfn.XLOOKUP(B143,'BASE DE EXCEL'!$C:$C,'BASE DE EXCEL'!AL:AL,"NO HAY REFERENCIA")</f>
        <v>9</v>
      </c>
      <c r="DS143" s="3" t="str">
        <f>_xlfn.XLOOKUP(B143,'BASE DE EXCEL'!$C:$C,'BASE DE EXCEL'!AM:AM,"NO HAY REFERENCIA")</f>
        <v>6 a 10 días</v>
      </c>
      <c r="DT143" s="3" t="str">
        <f>_xlfn.XLOOKUP(B143,'BASE DE EXCEL'!$C:$C,'BASE DE EXCEL'!AN:AN,"NO HAY REFERENCIA")</f>
        <v>Delayed</v>
      </c>
      <c r="DU143" s="3">
        <f>_xlfn.XLOOKUP(B143,'BASE DE EXCEL'!$C:$C,'BASE DE EXCEL'!AO:AO,"NO HAY REFERENCIA")</f>
        <v>1</v>
      </c>
      <c r="DV143" s="3" t="str">
        <f>_xlfn.XLOOKUP(B143,'BASE DE EXCEL'!$C:$C,'BASE DE EXCEL'!AP:AP,"NO HAY REFERENCIA")</f>
        <v>Es anterior</v>
      </c>
      <c r="DW143" s="3" t="str">
        <f>_xlfn.XLOOKUP(B143,'BASE DE EXCEL'!$C:$C,'BASE DE EXCEL'!AQ:AQ,"NO HAY REFERENCIA")</f>
        <v>A1</v>
      </c>
      <c r="DX143" s="3" t="str">
        <f>_xlfn.XLOOKUP(B143,'BASE DE EXCEL'!$C:$C,'BASE DE EXCEL'!AR:AR,"NO HAY REFERENCIA")</f>
        <v>ZULEIMA PEREZ RUIZ</v>
      </c>
      <c r="DY143" s="3" t="str">
        <f>_xlfn.XLOOKUP(B143,'BASE DE EXCEL'!$C:$C,'BASE DE EXCEL'!AS:AS,"NO HAY REFERENCIA")</f>
        <v>HLCURTM260288670</v>
      </c>
      <c r="DZ143" s="3" t="str">
        <f>_xlfn.XLOOKUP(B143,'BASE DE EXCEL'!$C:$C,'BASE DE EXCEL'!AT:AT,"NO HAY REFERENCIA")</f>
        <v>NULL</v>
      </c>
      <c r="EA143" s="3">
        <f>_xlfn.XLOOKUP(B143,'BASE DE EXCEL'!$C:$C,'BASE DE EXCEL'!AU:AU,"NO HAY REFERENCIA")</f>
        <v>6000434</v>
      </c>
      <c r="EB143" s="3" t="str">
        <f>_xlfn.XLOOKUP(B143,'BASE DE EXCEL'!$C:$C,'BASE DE EXCEL'!AV:AV,"NO HAY REFERENCIA")</f>
        <v>Importación</v>
      </c>
      <c r="EC143" s="3" t="str">
        <f>_xlfn.XLOOKUP(B143,'BASE DE EXCEL'!$C:$C,'BASE DE EXCEL'!AW:AW,"NO HAY REFERENCIA")</f>
        <v>NOBIVAC DH PARVO C (VACUNA DE USO VETERINARIO)</v>
      </c>
      <c r="ED143" s="3" t="str">
        <f>_xlfn.XLOOKUP(B143,'BASE DE EXCEL'!$C:$C,'BASE DE EXCEL'!AX:AX,"NO HAY REFERENCIA")</f>
        <v>SIN CLASIFICACION</v>
      </c>
      <c r="EE143" s="3">
        <f>_xlfn.XLOOKUP(B143,'BASE DE EXCEL'!$C:$C,'BASE DE EXCEL'!AY:AY,"NO HAY REFERENCIA")</f>
        <v>0</v>
      </c>
      <c r="EF143" s="3" t="str">
        <f>_xlfn.XLOOKUP(B143,'BASE DE EXCEL'!$C:$C,'BASE DE EXCEL'!AZ:AZ,"NO HAY REFERENCIA")</f>
        <v>Cargas de Importación</v>
      </c>
      <c r="EG143" s="3" t="str">
        <f>_xlfn.XLOOKUP(B143,'BASE DE EXCEL'!$C:$C,'BASE DE EXCEL'!BA:BA,"NO HAY REFERENCIA")</f>
        <v>INTERVET MEXICO SA DE CV</v>
      </c>
      <c r="EH143" s="3">
        <f>_xlfn.XLOOKUP(B143,'BASE DE EXCEL'!$C:$C,'BASE DE EXCEL'!BB:BB,"NO HAY REFERENCIA")</f>
        <v>0</v>
      </c>
      <c r="EI143" s="3" t="str">
        <f>_xlfn.XLOOKUP(B143,'BASE DE EXCEL'!$C:$C,'BASE DE EXCEL'!BC:BC,"NO HAY REFERENCIA")</f>
        <v>NINGUNO</v>
      </c>
      <c r="EJ143" s="3">
        <f>_xlfn.XLOOKUP(B143,'BASE DE EXCEL'!$C:$C,'BASE DE EXCEL'!BD:BD,"NO HAY REFERENCIA")</f>
        <v>0</v>
      </c>
      <c r="EK143" s="3" t="str">
        <f>_xlfn.XLOOKUP(B143,'BASE DE EXCEL'!$C:$C,'BASE DE EXCEL'!BE:BE,"NO HAY REFERENCIA")</f>
        <v>NINGUNO</v>
      </c>
      <c r="EL143" s="3" t="str">
        <f>_xlfn.XLOOKUP(B143,'BASE DE EXCEL'!$C:$C,'BASE DE EXCEL'!BF:BF,"NO HAY REFERENCIA")</f>
        <v>PRODUCTO TERMINADO</v>
      </c>
      <c r="EM143" s="3" t="str">
        <f>_xlfn.XLOOKUP(B143,'BASE DE EXCEL'!$C:$C,'BASE DE EXCEL'!BG:BG,"NO HAY REFERENCIA")</f>
        <v>Rojo</v>
      </c>
      <c r="EN143" s="3" t="str">
        <f>_xlfn.XLOOKUP(B143,'BASE DE EXCEL'!$C:$C,'BASE DE EXCEL'!BH:BH,"NO HAY REFERENCIA")</f>
        <v xml:space="preserve"> MLH TRANSPORTE, S.A. DE C.V.</v>
      </c>
      <c r="EO143" s="3" t="str">
        <f>_xlfn.XLOOKUP(B143,'BASE DE EXCEL'!$C:$C,'BASE DE EXCEL'!BI:BI,"NO HAY REFERENCIA")</f>
        <v>TRACTOCAMION ECO 110</v>
      </c>
      <c r="EP143" s="3">
        <f>_xlfn.XLOOKUP(B143,'BASE DE EXCEL'!$C:$C,'BASE DE EXCEL'!BJ:BJ,"NO HAY REFERENCIA")</f>
        <v>0</v>
      </c>
      <c r="EQ143" s="3" t="str">
        <f>_xlfn.XLOOKUP(B143,'BASE DE EXCEL'!$C:$C,'BASE DE EXCEL'!BK:BK,"NO HAY REFERENCIA")</f>
        <v>IME850329RH2</v>
      </c>
      <c r="ER143" s="3">
        <f>_xlfn.XLOOKUP(B143,'BASE DE EXCEL'!$C:$C,'BASE DE EXCEL'!BL:BL,"NO HAY REFERENCIA")</f>
        <v>0</v>
      </c>
      <c r="ES143" s="3">
        <f>_xlfn.XLOOKUP(B143,'BASE DE EXCEL'!$C:$C,'BASE DE EXCEL'!BM:BM,"NO HAY REFERENCIA")</f>
        <v>99</v>
      </c>
      <c r="ET143" s="3" t="str">
        <f>_xlfn.XLOOKUP(B143,'BASE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3" s="3">
        <f>_xlfn.XLOOKUP(B143,'BASE DE EXCEL'!$C:$C,'BASE DE EXCEL'!BO:BO,"NO HAY REFERENCIA")</f>
        <v>90</v>
      </c>
      <c r="EV143" s="3" t="str">
        <f>_xlfn.XLOOKUP(B143,'BASE DE EXCEL'!$C:$C,'BASE DE EXCEL'!BP:BP,"NO HAY REFERENCIA")</f>
        <v xml:space="preserve"> 11626987.90, 30130695.36</v>
      </c>
      <c r="EW143" s="3" t="str">
        <f>_xlfn.XLOOKUP(B143,'BASE DE EXCEL'!$C:$C,'BASE DE EXCEL'!BQ:BQ,"NO HAY REFERENCIA")</f>
        <v>KILO,KILO,KILO,KILO,KILO,KILO,KILO,KILO,KILO,KILO,KILO,KILO,KILO</v>
      </c>
      <c r="EX143" s="3">
        <f>_xlfn.XLOOKUP(B143,'BASE DE EXCEL'!$C:$C,'BASE DE EXCEL'!BR:BR,"NO HAY REFERENCIA")</f>
        <v>0</v>
      </c>
      <c r="EY143" s="3" t="str">
        <f>_xlfn.XLOOKUP(B143,'BASE DE EXCEL'!$C:$C,'BASE DE EXCEL'!BS:BS,"NO HAY REFERENCIA")</f>
        <v>PAISES BAJOS (REINO DE LOS) (HOLANDA)</v>
      </c>
      <c r="EZ143" s="3" t="str">
        <f>_xlfn.XLOOKUP(B143,'BASE DE EXCEL'!$C:$C,'BASE DE EXCEL'!BT:BT,"NO HAY REFERENCIA")</f>
        <v>PAISES BAJOS (REINO DE LOS) (HOLANDA)</v>
      </c>
      <c r="FA143" s="3" t="str">
        <f>_xlfn.XLOOKUP(B143,'BASE DE EXCEL'!$C:$C,'BASE DE EXCEL'!BU:BU,"NO HAY REFERENCIA")</f>
        <v>ZYA</v>
      </c>
      <c r="FB143" s="3" t="str">
        <f>_xlfn.XLOOKUP(B143,'BASE DE EXCEL'!$C:$C,'BASE DE EXCEL'!BV:BV,"NO HAY REFERENCIA")</f>
        <v>ZYA</v>
      </c>
      <c r="FC143" s="3">
        <f>_xlfn.XLOOKUP(B143,QUERY!$C:$C,QUERY!D:D)</f>
        <v>430</v>
      </c>
      <c r="FD143" s="4">
        <f>_xlfn.XLOOKUP(B143,QUERY!$C:$C,QUERY!E:E)</f>
        <v>46118</v>
      </c>
      <c r="FE143" s="3">
        <f>_xlfn.XLOOKUP(B143,QUERY!$C:$C,QUERY!F:F)</f>
        <v>4</v>
      </c>
      <c r="FF143" s="4">
        <f>_xlfn.XLOOKUP(B143,QUERY!$C:$C,QUERY!G:G)</f>
        <v>46111</v>
      </c>
      <c r="FG143" s="4">
        <f>_xlfn.XLOOKUP(B143,QUERY!$C:$C,QUERY!H:H)</f>
        <v>46118</v>
      </c>
      <c r="FH143" s="3">
        <f>_xlfn.XLOOKUP(B143,QUERY!$C:$C,QUERY!I:I)</f>
        <v>5</v>
      </c>
      <c r="FI143" s="3" t="str">
        <f>_xlfn.XLOOKUP(B143,QUERY!$C:$C,QUERY!J:J)</f>
        <v>4 a 5 días</v>
      </c>
      <c r="FJ143" s="4">
        <f>_xlfn.XLOOKUP(B143,QUERY!$C:$C,QUERY!K:K)</f>
        <v>46118</v>
      </c>
      <c r="FK143" s="3">
        <f>_xlfn.XLOOKUP(B143,QUERY!$C:$C,QUERY!L:L)</f>
        <v>5</v>
      </c>
      <c r="FL143" s="3" t="str">
        <f>_xlfn.XLOOKUP(B143,QUERY!$C:$C,QUERY!M:M)</f>
        <v>4 a 5 días</v>
      </c>
      <c r="FM143" s="3">
        <f>_xlfn.XLOOKUP(B143,QUERY!$C:$C,QUERY!N:N)</f>
        <v>0</v>
      </c>
      <c r="FN143" s="3" t="str">
        <f>_xlfn.XLOOKUP(B143,QUERY!$C:$C,QUERY!O:O)</f>
        <v>1 día o menos</v>
      </c>
      <c r="FO143" s="3">
        <f>_xlfn.XLOOKUP(B143,QUERY!$C:$C,QUERY!P:P)</f>
        <v>0</v>
      </c>
      <c r="FP143" s="3">
        <f>_xlfn.XLOOKUP(B143,QUERY!$C:$C,QUERY!Q:Q)</f>
        <v>1</v>
      </c>
      <c r="FQ143" s="3" t="str">
        <f>_xlfn.XLOOKUP(B143,QUERY!$C:$C,QUERY!R:R)</f>
        <v>1 día o menos</v>
      </c>
      <c r="FR143" s="4">
        <f>_xlfn.XLOOKUP(B143,QUERY!$C:$C,QUERY!S:S)</f>
        <v>46119</v>
      </c>
      <c r="FS143" s="3">
        <f>_xlfn.XLOOKUP(B143,QUERY!$C:$C,QUERY!T:T)</f>
        <v>6</v>
      </c>
      <c r="FT143" s="3" t="str">
        <f>_xlfn.XLOOKUP(B143,QUERY!$C:$C,QUERY!U:U)</f>
        <v>6 a 10 días</v>
      </c>
      <c r="FU143" s="3">
        <f>_xlfn.XLOOKUP(B143,QUERY!$C:$C,QUERY!V:V)</f>
        <v>14</v>
      </c>
      <c r="FV143" s="3" t="str">
        <f>_xlfn.XLOOKUP(B143,QUERY!$C:$C,QUERY!W:W)</f>
        <v>11 a 15 días</v>
      </c>
      <c r="FW143" s="4">
        <f>_xlfn.XLOOKUP(B143,QUERY!$C:$C,QUERY!X:X)</f>
        <v>46129</v>
      </c>
      <c r="FX143" s="3">
        <f>_xlfn.XLOOKUP(B143,QUERY!$C:$C,QUERY!Y:Y)</f>
        <v>7</v>
      </c>
      <c r="FY143" s="3">
        <f>_xlfn.XLOOKUP(B143,QUERY!$C:$C,QUERY!Z:Z)</f>
        <v>8</v>
      </c>
      <c r="FZ143" s="4" t="str">
        <f>_xlfn.XLOOKUP(B143,QUERY!$C:$C,QUERY!AA:AA)</f>
        <v>6 a 10 días</v>
      </c>
      <c r="GA143" s="4">
        <f>_xlfn.XLOOKUP(B143,QUERY!$C:$C,QUERY!AB:AB)</f>
        <v>46128</v>
      </c>
      <c r="GB143" s="4">
        <f>_xlfn.XLOOKUP(B143,QUERY!$C:$C,QUERY!AC:AC)</f>
        <v>46129</v>
      </c>
      <c r="GC143" s="3">
        <f>_xlfn.XLOOKUP(B143,QUERY!$C:$C,QUERY!AD:AD)</f>
        <v>1</v>
      </c>
      <c r="GD143" s="4">
        <f>_xlfn.XLOOKUP(B143,QUERY!$C:$C,QUERY!AE:AE)</f>
        <v>46129</v>
      </c>
      <c r="GE143" s="3">
        <f>_xlfn.XLOOKUP(B143,QUERY!$C:$C,QUERY!AF:AF)</f>
        <v>1</v>
      </c>
      <c r="GF143" s="4" t="str">
        <f>_xlfn.XLOOKUP(B143,QUERY!$C:$C,QUERY!AG:AG)</f>
        <v>Es anterior</v>
      </c>
      <c r="GG143" s="3" t="str">
        <f>_xlfn.XLOOKUP(B143,QUERY!$C:$C,QUERY!AH:AH)</f>
        <v>A1</v>
      </c>
      <c r="GH143" s="3" t="str">
        <f>_xlfn.XLOOKUP(B143,QUERY!$C:$C,QUERY!AI:AI)</f>
        <v>ZULEIMA PEREZ RUIZ</v>
      </c>
      <c r="GI143" s="3" t="str">
        <f>_xlfn.XLOOKUP(B143,QUERY!$C:$C,QUERY!AJ:AJ)</f>
        <v>HLCURTM260288670</v>
      </c>
      <c r="GJ143" s="3" t="str">
        <f>_xlfn.XLOOKUP(B143,QUERY!$C:$C,QUERY!AK:AK)</f>
        <v>NULL</v>
      </c>
      <c r="GK143" s="3">
        <f>_xlfn.XLOOKUP(B143,QUERY!$C:$C,QUERY!AL:AL)</f>
        <v>6000434</v>
      </c>
      <c r="GL143" s="3" t="str">
        <f>_xlfn.XLOOKUP(B143,QUERY!$C:$C,QUERY!AM:AM)</f>
        <v>Importación</v>
      </c>
      <c r="GM143" s="3" t="str">
        <f>_xlfn.XLOOKUP(B143,QUERY!$C:$C,QUERY!AN:AN)</f>
        <v>NOBIVAC DH PARVO C (VACUNA DE USO VETERINARIO)</v>
      </c>
      <c r="GN143" s="3" t="str">
        <f>_xlfn.XLOOKUP(B143,QUERY!$C:$C,QUERY!AO:AO)</f>
        <v>SIN CLASIFICACION</v>
      </c>
      <c r="GO143" s="3">
        <f>_xlfn.XLOOKUP(B143,QUERY!$C:$C,QUERY!AP:AP)</f>
        <v>0</v>
      </c>
      <c r="GP143" s="3" t="str">
        <f>_xlfn.XLOOKUP(B143,QUERY!$C:$C,QUERY!AQ:AQ)</f>
        <v>Cargas de Importación</v>
      </c>
      <c r="GQ143" s="3" t="str">
        <f>_xlfn.XLOOKUP(B143,QUERY!$C:$C,QUERY!AR:AR)</f>
        <v>INTERVET MEXICO SA DE CV</v>
      </c>
      <c r="GR143" s="3">
        <f>_xlfn.XLOOKUP(B143,QUERY!$C:$C,QUERY!AS:AS)</f>
        <v>0</v>
      </c>
      <c r="GS143" s="3" t="str">
        <f>_xlfn.XLOOKUP(B143,QUERY!$C:$C,QUERY!AT:AT)</f>
        <v>NINGUNO</v>
      </c>
      <c r="GT143" s="3">
        <f>_xlfn.XLOOKUP(B143,QUERY!$C:$C,QUERY!AU:AU)</f>
        <v>0</v>
      </c>
      <c r="GU143" s="3" t="str">
        <f>_xlfn.XLOOKUP(B143,QUERY!$C:$C,QUERY!AV:AV)</f>
        <v>NINGUNO</v>
      </c>
      <c r="GV143" s="3" t="str">
        <f>_xlfn.XLOOKUP(B143,QUERY!$C:$C,QUERY!AW:AW)</f>
        <v>PRODUCTO TERMINADO</v>
      </c>
      <c r="GW143" s="3" t="str">
        <f>_xlfn.XLOOKUP(B143,QUERY!$C:$C,QUERY!AX:AX)</f>
        <v>Rojo</v>
      </c>
      <c r="GX143" s="3" t="str">
        <f>_xlfn.XLOOKUP(B143,QUERY!$C:$C,QUERY!AY:AY)</f>
        <v xml:space="preserve"> MLH TRANSPORTE, S.A. DE C.V.</v>
      </c>
      <c r="GY143" s="3" t="str">
        <f>_xlfn.XLOOKUP(B143,QUERY!$C:$C,QUERY!AZ:AZ)</f>
        <v>TRACTOCAMION ECO 110</v>
      </c>
      <c r="GZ143" s="3">
        <f>_xlfn.XLOOKUP(B143,QUERY!$C:$C,QUERY!BA:BA)</f>
        <v>0</v>
      </c>
      <c r="HA143" s="3" t="str">
        <f>_xlfn.XLOOKUP(B143,QUERY!$C:$C,QUERY!BB:BB)</f>
        <v>IME850329RH2</v>
      </c>
      <c r="HB143" s="3">
        <f>_xlfn.XLOOKUP(B143,QUERY!$C:$C,QUERY!BC:BC)</f>
        <v>0</v>
      </c>
      <c r="HC143" s="3">
        <f>_xlfn.XLOOKUP(B143,QUERY!$C:$C,QUERY!BD:BD)</f>
        <v>99</v>
      </c>
      <c r="HD143" s="3" t="str">
        <f>_xlfn.XLOOKUP(B143,QUERY!$C:$C,QUERY!BE:BE)</f>
        <v>LOTE: A217C01,LOTE: A849F01,LOTE: A225A01,LOTE: A180E01,LOTE: 1E073A02,LOTE: A145A01,LOTE: A227A01,LOTE: A061A03,LOTE: A061A04,LOTE: 1E073A03,LOTE: A737B01,LOTE: A270A02,LOTE: A032AJ02</v>
      </c>
      <c r="HE143" s="3">
        <f>_xlfn.XLOOKUP(B143,QUERY!$C:$C,QUERY!BF:BF)</f>
        <v>90</v>
      </c>
      <c r="HF143" s="3" t="str">
        <f>_xlfn.XLOOKUP(B143,QUERY!$C:$C,QUERY!BG:BG)</f>
        <v xml:space="preserve"> 11626987.90, 30130695.36</v>
      </c>
      <c r="HG143" s="3" t="str">
        <f>_xlfn.XLOOKUP(B143,QUERY!$C:$C,QUERY!BH:BH)</f>
        <v>KILO,KILO,KILO,KILO,KILO,KILO,KILO,KILO,KILO,KILO,KILO,KILO,KILO</v>
      </c>
      <c r="HH143" s="3">
        <f>_xlfn.XLOOKUP(B143,QUERY!$C:$C,QUERY!BI:BI)</f>
        <v>0</v>
      </c>
      <c r="HI143" s="3" t="str">
        <f>_xlfn.XLOOKUP(B143,QUERY!$C:$C,QUERY!BJ:BJ)</f>
        <v>PAISES BAJOS (REINO DE LOS) (HOLANDA)</v>
      </c>
      <c r="HJ143" s="3" t="str">
        <f>_xlfn.XLOOKUP(B143,QUERY!$C:$C,QUERY!BK:BK)</f>
        <v>PAISES BAJOS (REINO DE LOS) (HOLANDA)</v>
      </c>
      <c r="HK143" s="3" t="str">
        <f>_xlfn.XLOOKUP(B143,QUERY!$C:$C,QUERY!BL:BL)</f>
        <v>ZYA</v>
      </c>
      <c r="HL143" s="3" t="str">
        <f>_xlfn.XLOOKUP(B143,QUERY!$C:$C,QUERY!BM:BM)</f>
        <v>ZYA</v>
      </c>
      <c r="HM143" s="3">
        <f>_xlfn.XLOOKUP(B143,QUERY!$C:$C,QUERY!BN:BN)</f>
        <v>41757683</v>
      </c>
      <c r="HN143" s="3" t="str">
        <f>_xlfn.XLOOKUP(B143,QUERY!$C:$C,QUERY!BO:BO)</f>
        <v>462.00</v>
      </c>
      <c r="HO143" s="3" t="str">
        <f>_xlfn.XLOOKUP(B143,QUERY!$C:$C,QUERY!BP:BP)</f>
        <v>NULL</v>
      </c>
      <c r="HP143" s="3" t="str">
        <f>_xlfn.XLOOKUP(B143,QUERY!$C:$C,QUERY!BQ:BQ)</f>
        <v>NULL</v>
      </c>
      <c r="HQ143" s="3" t="str">
        <f>_xlfn.XLOOKUP(B143,QUERY!$C:$C,QUERY!BR:BR)</f>
        <v>248801.02</v>
      </c>
      <c r="HR143" s="3">
        <f>_xlfn.XLOOKUP(B143,QUERY!$C:$C,QUERY!BS:BS)</f>
        <v>0</v>
      </c>
      <c r="HS143" s="3">
        <f>_xlfn.XLOOKUP(B143,QUERY!$C:$C,QUERY!BT:BT)</f>
        <v>0</v>
      </c>
      <c r="HT143" s="3" t="str">
        <f>_xlfn.XLOOKUP(B143,QUERY!$C:$C,QUERY!A:A)</f>
        <v>VERACRUZ</v>
      </c>
      <c r="HU143" s="3" t="str">
        <f>_xlfn.XLOOKUP(B143,QUERY!$C:$C,QUERY!B:B)</f>
        <v>MARÍTIMO VERACRUZ</v>
      </c>
    </row>
    <row r="144" spans="1:229" x14ac:dyDescent="0.25">
      <c r="A144" s="3" t="s">
        <v>90</v>
      </c>
      <c r="B144" s="3" t="s">
        <v>366</v>
      </c>
      <c r="C144" s="3">
        <v>3942</v>
      </c>
      <c r="D144" s="3">
        <v>6000434</v>
      </c>
      <c r="E144" s="3"/>
      <c r="F144" s="3" t="s">
        <v>92</v>
      </c>
      <c r="G144" s="3" t="s">
        <v>93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430</v>
      </c>
      <c r="S144" s="3" t="s">
        <v>367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 t="s">
        <v>270</v>
      </c>
      <c r="AB144" s="3"/>
      <c r="AC144" s="3">
        <v>4011201</v>
      </c>
      <c r="AD144" s="3">
        <v>825.35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/>
      <c r="AP144" s="3" t="s">
        <v>98</v>
      </c>
      <c r="AQ144" s="3">
        <v>210368547</v>
      </c>
      <c r="AR144" s="3" t="s">
        <v>99</v>
      </c>
      <c r="AS144" s="3" t="s">
        <v>100</v>
      </c>
      <c r="AT144" s="3">
        <v>0</v>
      </c>
      <c r="AU144" s="3">
        <v>0</v>
      </c>
      <c r="AV144" s="3">
        <v>0</v>
      </c>
      <c r="AW144" s="3">
        <v>30024201</v>
      </c>
      <c r="AX144" s="3">
        <v>99</v>
      </c>
      <c r="AY144" s="3">
        <v>4860</v>
      </c>
      <c r="AZ144" s="3">
        <v>4860</v>
      </c>
      <c r="BA144" s="3" t="s">
        <v>103</v>
      </c>
      <c r="BB144" s="3"/>
      <c r="BC144" s="3" t="s">
        <v>105</v>
      </c>
      <c r="BD144" s="3" t="s">
        <v>105</v>
      </c>
      <c r="BE144" s="3"/>
      <c r="BF144" s="3"/>
      <c r="BG144" s="5"/>
      <c r="BH144" s="3"/>
      <c r="BI144" s="3"/>
      <c r="BJ144" s="3"/>
      <c r="BK144" s="3" t="s">
        <v>371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 t="s">
        <v>192</v>
      </c>
      <c r="CF144" s="3">
        <v>0</v>
      </c>
      <c r="CG144" s="3">
        <v>0</v>
      </c>
      <c r="CH144" s="3">
        <v>0</v>
      </c>
      <c r="CI144" s="3" t="s">
        <v>112</v>
      </c>
      <c r="CJ144" s="3" t="s">
        <v>112</v>
      </c>
      <c r="CK144" s="3">
        <f>_xlfn.XLOOKUP($B$2,'BASE DE EXCEL'!C:C,'BASE DE EXCEL'!D:D,"NO HAY REFERENCIA")</f>
        <v>470</v>
      </c>
      <c r="CL144" s="5">
        <f>_xlfn.XLOOKUP($B$2,'BASE DE EXCEL'!$C:$C,'BASE DE EXCEL'!F:F,"NO HAY REFERENCIA")</f>
        <v>3</v>
      </c>
      <c r="CM144" s="4">
        <f>_xlfn.XLOOKUP($B$2,'BASE DE EXCEL'!$C:$C,'BASE DE EXCEL'!G:G,"NO HAY REFERENCIA")</f>
        <v>46080</v>
      </c>
      <c r="CN144" s="4">
        <f>_xlfn.XLOOKUP($B$2,'BASE DE EXCEL'!$C:$C,'BASE DE EXCEL'!H:H,"NO HAY REFERENCIA")</f>
        <v>46086</v>
      </c>
      <c r="CO144" s="3">
        <f>_xlfn.XLOOKUP($B$2,'BASE DE EXCEL'!$C:$C,'BASE DE EXCEL'!I:I,"NO HAY REFERENCIA")</f>
        <v>4</v>
      </c>
      <c r="CP144" s="3" t="str">
        <f>_xlfn.XLOOKUP($B$2,'BASE DE EXCEL'!$C:$C,'BASE DE EXCEL'!J:J,"NO HAY REFERENCIA")</f>
        <v>4 a 5 días</v>
      </c>
      <c r="CQ144" s="4">
        <f>_xlfn.XLOOKUP($B$2,'BASE DE EXCEL'!$C:$C,'BASE DE EXCEL'!K:K,"NO HAY REFERENCIA")</f>
        <v>46087</v>
      </c>
      <c r="CR144" s="3">
        <f>_xlfn.XLOOKUP($B$2,'BASE DE EXCEL'!$C:$C,'BASE DE EXCEL'!L:L,"NO HAY REFERENCIA")</f>
        <v>5</v>
      </c>
      <c r="CS144" s="3">
        <f>_xlfn.XLOOKUP($B$2,'BASE DE EXCEL'!$C:$C,'BASE DE EXCEL'!M:M,"NO HAY REFERENCIA")</f>
        <v>6</v>
      </c>
      <c r="CT144" s="3" t="str">
        <f>_xlfn.XLOOKUP($B$2,'BASE DE EXCEL'!$C:$C,'BASE DE EXCEL'!N:N,"NO HAY REFERENCIA")</f>
        <v>6 a 10 días</v>
      </c>
      <c r="CU144" s="3" t="str">
        <f>_xlfn.XLOOKUP($B$2,'BASE DE EXCEL'!$C:$C,'BASE DE EXCEL'!O:O,"NO HAY REFERENCIA")</f>
        <v>On Time</v>
      </c>
      <c r="CV144" s="3" t="str">
        <f>_xlfn.XLOOKUP(B144,'BASE DE EXCEL'!$C:$C,'BASE DE EXCEL'!P:P,"NO HAY REFERENCIA")</f>
        <v>6 a 10 días</v>
      </c>
      <c r="CW144" s="4">
        <f>_xlfn.XLOOKUP(B144,'BASE DE EXCEL'!$C:$C,'BASE DE EXCEL'!Q:Q,"NO HAY REFERENCIA")</f>
        <v>46119</v>
      </c>
      <c r="CX144" s="3">
        <f>_xlfn.XLOOKUP(B144,'BASE DE EXCEL'!$C:$C,'BASE DE EXCEL'!R:R,"NO HAY REFERENCIA")</f>
        <v>5</v>
      </c>
      <c r="CY144" s="3" t="str">
        <f>_xlfn.XLOOKUP(B144,'BASE DE EXCEL'!$C:$C,'BASE DE EXCEL'!S:S,"NO HAY REFERENCIA")</f>
        <v>4 a 5 días</v>
      </c>
      <c r="CZ144" s="3" t="str">
        <f>_xlfn.XLOOKUP(B144,'BASE DE EXCEL'!$C:$C,'BASE DE EXCEL'!T:T,"NO HAY REFERENCIA")</f>
        <v>On Time</v>
      </c>
      <c r="DA144" s="3">
        <f>_xlfn.XLOOKUP(B144,'BASE DE EXCEL'!$C:$C,'BASE DE EXCEL'!U:U,"NO HAY REFERENCIA")</f>
        <v>8</v>
      </c>
      <c r="DB144" s="3" t="str">
        <f>_xlfn.XLOOKUP(B144,'BASE DE EXCEL'!$C:$C,'BASE DE EXCEL'!V:V,"NO HAY REFERENCIA")</f>
        <v>6 a 10 días</v>
      </c>
      <c r="DC144" s="3">
        <f>_xlfn.XLOOKUP(B144,'BASE DE EXCEL'!$C:$C,'BASE DE EXCEL'!W:W,"NO HAY REFERENCIA")</f>
        <v>14</v>
      </c>
      <c r="DD144" s="3" t="str">
        <f>_xlfn.XLOOKUP(B144,'BASE DE EXCEL'!$C:$C,'BASE DE EXCEL'!X:X,"NO HAY REFERENCIA")</f>
        <v>11 a 15 días</v>
      </c>
      <c r="DE144" s="3">
        <f>_xlfn.XLOOKUP(B144,'BASE DE EXCEL'!$C:$C,'BASE DE EXCEL'!Y:Y,"NO HAY REFERENCIA")</f>
        <v>0</v>
      </c>
      <c r="DF144" s="3" t="str">
        <f>_xlfn.XLOOKUP(B144,'BASE DE EXCEL'!$C:$C,'BASE DE EXCEL'!Z:Z,"NO HAY REFERENCIA")</f>
        <v>1 día o menos</v>
      </c>
      <c r="DG144" s="3">
        <f>_xlfn.XLOOKUP(B144,'BASE DE EXCEL'!$C:$C,'BASE DE EXCEL'!AA:AA,"NO HAY REFERENCIA")</f>
        <v>7</v>
      </c>
      <c r="DH144" s="3">
        <f>_xlfn.XLOOKUP(B144,'BASE DE EXCEL'!$C:$C,'BASE DE EXCEL'!AB:AB,"NO HAY REFERENCIA")</f>
        <v>1</v>
      </c>
      <c r="DI144" s="3" t="str">
        <f>_xlfn.XLOOKUP(B144,'BASE DE EXCEL'!$C:$C,'BASE DE EXCEL'!AC:AC,"NO HAY REFERENCIA")</f>
        <v>1 día o menos</v>
      </c>
      <c r="DJ144" s="4">
        <f>_xlfn.XLOOKUP(B144,'BASE DE EXCEL'!$C:$C,'BASE DE EXCEL'!AD:AD,"NO HAY REFERENCIA")</f>
        <v>46129</v>
      </c>
      <c r="DK144" s="3">
        <f>_xlfn.XLOOKUP(B144,'BASE DE EXCEL'!$C:$C,'BASE DE EXCEL'!AE:AE,"NO HAY REFERENCIA")</f>
        <v>9</v>
      </c>
      <c r="DL144" s="3">
        <f>_xlfn.XLOOKUP(B144,'BASE DE EXCEL'!$C:$C,'BASE DE EXCEL'!AF:AF,"NO HAY REFERENCIA")</f>
        <v>8</v>
      </c>
      <c r="DM144" s="4">
        <f>_xlfn.XLOOKUP(B144,'BASE DE EXCEL'!$C:$C,'BASE DE EXCEL'!AG:AG,"NO HAY REFERENCIA")</f>
        <v>46128</v>
      </c>
      <c r="DN144" s="4">
        <f>_xlfn.XLOOKUP(B144,'BASE DE EXCEL'!$C:$C,'BASE DE EXCEL'!AH:AH,"NO HAY REFERENCIA")</f>
        <v>46129</v>
      </c>
      <c r="DO144" s="3">
        <f>_xlfn.XLOOKUP(B144,'BASE DE EXCEL'!$C:$C,'BASE DE EXCEL'!AI:AI,"NO HAY REFERENCIA")</f>
        <v>1</v>
      </c>
      <c r="DP144" s="4" t="str">
        <f>_xlfn.XLOOKUP(B144,'BASE DE EXCEL'!$C:$C,'BASE DE EXCEL'!AJ:AJ,"NO HAY REFERENCIA")</f>
        <v>6 a 10 días</v>
      </c>
      <c r="DQ144" s="4">
        <f>_xlfn.XLOOKUP(B144,'BASE DE EXCEL'!$C:$C,'BASE DE EXCEL'!AK:AK,"NO HAY REFERENCIA")</f>
        <v>46129</v>
      </c>
      <c r="DR144" s="3">
        <f>_xlfn.XLOOKUP(B144,'BASE DE EXCEL'!$C:$C,'BASE DE EXCEL'!AL:AL,"NO HAY REFERENCIA")</f>
        <v>9</v>
      </c>
      <c r="DS144" s="3" t="str">
        <f>_xlfn.XLOOKUP(B144,'BASE DE EXCEL'!$C:$C,'BASE DE EXCEL'!AM:AM,"NO HAY REFERENCIA")</f>
        <v>6 a 10 días</v>
      </c>
      <c r="DT144" s="3" t="str">
        <f>_xlfn.XLOOKUP(B144,'BASE DE EXCEL'!$C:$C,'BASE DE EXCEL'!AN:AN,"NO HAY REFERENCIA")</f>
        <v>Delayed</v>
      </c>
      <c r="DU144" s="3">
        <f>_xlfn.XLOOKUP(B144,'BASE DE EXCEL'!$C:$C,'BASE DE EXCEL'!AO:AO,"NO HAY REFERENCIA")</f>
        <v>1</v>
      </c>
      <c r="DV144" s="3" t="str">
        <f>_xlfn.XLOOKUP(B144,'BASE DE EXCEL'!$C:$C,'BASE DE EXCEL'!AP:AP,"NO HAY REFERENCIA")</f>
        <v>Es anterior</v>
      </c>
      <c r="DW144" s="3" t="str">
        <f>_xlfn.XLOOKUP(B144,'BASE DE EXCEL'!$C:$C,'BASE DE EXCEL'!AQ:AQ,"NO HAY REFERENCIA")</f>
        <v>A1</v>
      </c>
      <c r="DX144" s="3" t="str">
        <f>_xlfn.XLOOKUP(B144,'BASE DE EXCEL'!$C:$C,'BASE DE EXCEL'!AR:AR,"NO HAY REFERENCIA")</f>
        <v>ZULEIMA PEREZ RUIZ</v>
      </c>
      <c r="DY144" s="3" t="str">
        <f>_xlfn.XLOOKUP(B144,'BASE DE EXCEL'!$C:$C,'BASE DE EXCEL'!AS:AS,"NO HAY REFERENCIA")</f>
        <v>HLCURTM260288670</v>
      </c>
      <c r="DZ144" s="3" t="str">
        <f>_xlfn.XLOOKUP(B144,'BASE DE EXCEL'!$C:$C,'BASE DE EXCEL'!AT:AT,"NO HAY REFERENCIA")</f>
        <v>NULL</v>
      </c>
      <c r="EA144" s="3">
        <f>_xlfn.XLOOKUP(B144,'BASE DE EXCEL'!$C:$C,'BASE DE EXCEL'!AU:AU,"NO HAY REFERENCIA")</f>
        <v>6000434</v>
      </c>
      <c r="EB144" s="3" t="str">
        <f>_xlfn.XLOOKUP(B144,'BASE DE EXCEL'!$C:$C,'BASE DE EXCEL'!AV:AV,"NO HAY REFERENCIA")</f>
        <v>Importación</v>
      </c>
      <c r="EC144" s="3" t="str">
        <f>_xlfn.XLOOKUP(B144,'BASE DE EXCEL'!$C:$C,'BASE DE EXCEL'!AW:AW,"NO HAY REFERENCIA")</f>
        <v>NOBIVAC DH PARVO C (VACUNA DE USO VETERINARIO)</v>
      </c>
      <c r="ED144" s="3" t="str">
        <f>_xlfn.XLOOKUP(B144,'BASE DE EXCEL'!$C:$C,'BASE DE EXCEL'!AX:AX,"NO HAY REFERENCIA")</f>
        <v>SIN CLASIFICACION</v>
      </c>
      <c r="EE144" s="3">
        <f>_xlfn.XLOOKUP(B144,'BASE DE EXCEL'!$C:$C,'BASE DE EXCEL'!AY:AY,"NO HAY REFERENCIA")</f>
        <v>0</v>
      </c>
      <c r="EF144" s="3" t="str">
        <f>_xlfn.XLOOKUP(B144,'BASE DE EXCEL'!$C:$C,'BASE DE EXCEL'!AZ:AZ,"NO HAY REFERENCIA")</f>
        <v>Cargas de Importación</v>
      </c>
      <c r="EG144" s="3" t="str">
        <f>_xlfn.XLOOKUP(B144,'BASE DE EXCEL'!$C:$C,'BASE DE EXCEL'!BA:BA,"NO HAY REFERENCIA")</f>
        <v>INTERVET MEXICO SA DE CV</v>
      </c>
      <c r="EH144" s="3">
        <f>_xlfn.XLOOKUP(B144,'BASE DE EXCEL'!$C:$C,'BASE DE EXCEL'!BB:BB,"NO HAY REFERENCIA")</f>
        <v>0</v>
      </c>
      <c r="EI144" s="3" t="str">
        <f>_xlfn.XLOOKUP(B144,'BASE DE EXCEL'!$C:$C,'BASE DE EXCEL'!BC:BC,"NO HAY REFERENCIA")</f>
        <v>NINGUNO</v>
      </c>
      <c r="EJ144" s="3">
        <f>_xlfn.XLOOKUP(B144,'BASE DE EXCEL'!$C:$C,'BASE DE EXCEL'!BD:BD,"NO HAY REFERENCIA")</f>
        <v>0</v>
      </c>
      <c r="EK144" s="3" t="str">
        <f>_xlfn.XLOOKUP(B144,'BASE DE EXCEL'!$C:$C,'BASE DE EXCEL'!BE:BE,"NO HAY REFERENCIA")</f>
        <v>NINGUNO</v>
      </c>
      <c r="EL144" s="3" t="str">
        <f>_xlfn.XLOOKUP(B144,'BASE DE EXCEL'!$C:$C,'BASE DE EXCEL'!BF:BF,"NO HAY REFERENCIA")</f>
        <v>PRODUCTO TERMINADO</v>
      </c>
      <c r="EM144" s="3" t="str">
        <f>_xlfn.XLOOKUP(B144,'BASE DE EXCEL'!$C:$C,'BASE DE EXCEL'!BG:BG,"NO HAY REFERENCIA")</f>
        <v>Rojo</v>
      </c>
      <c r="EN144" s="3" t="str">
        <f>_xlfn.XLOOKUP(B144,'BASE DE EXCEL'!$C:$C,'BASE DE EXCEL'!BH:BH,"NO HAY REFERENCIA")</f>
        <v xml:space="preserve"> MLH TRANSPORTE, S.A. DE C.V.</v>
      </c>
      <c r="EO144" s="3" t="str">
        <f>_xlfn.XLOOKUP(B144,'BASE DE EXCEL'!$C:$C,'BASE DE EXCEL'!BI:BI,"NO HAY REFERENCIA")</f>
        <v>TRACTOCAMION ECO 110</v>
      </c>
      <c r="EP144" s="3">
        <f>_xlfn.XLOOKUP(B144,'BASE DE EXCEL'!$C:$C,'BASE DE EXCEL'!BJ:BJ,"NO HAY REFERENCIA")</f>
        <v>0</v>
      </c>
      <c r="EQ144" s="3" t="str">
        <f>_xlfn.XLOOKUP(B144,'BASE DE EXCEL'!$C:$C,'BASE DE EXCEL'!BK:BK,"NO HAY REFERENCIA")</f>
        <v>IME850329RH2</v>
      </c>
      <c r="ER144" s="3">
        <f>_xlfn.XLOOKUP(B144,'BASE DE EXCEL'!$C:$C,'BASE DE EXCEL'!BL:BL,"NO HAY REFERENCIA")</f>
        <v>0</v>
      </c>
      <c r="ES144" s="3">
        <f>_xlfn.XLOOKUP(B144,'BASE DE EXCEL'!$C:$C,'BASE DE EXCEL'!BM:BM,"NO HAY REFERENCIA")</f>
        <v>99</v>
      </c>
      <c r="ET144" s="3" t="str">
        <f>_xlfn.XLOOKUP(B144,'BASE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4" s="3">
        <f>_xlfn.XLOOKUP(B144,'BASE DE EXCEL'!$C:$C,'BASE DE EXCEL'!BO:BO,"NO HAY REFERENCIA")</f>
        <v>90</v>
      </c>
      <c r="EV144" s="3" t="str">
        <f>_xlfn.XLOOKUP(B144,'BASE DE EXCEL'!$C:$C,'BASE DE EXCEL'!BP:BP,"NO HAY REFERENCIA")</f>
        <v xml:space="preserve"> 11626987.90, 30130695.36</v>
      </c>
      <c r="EW144" s="3" t="str">
        <f>_xlfn.XLOOKUP(B144,'BASE DE EXCEL'!$C:$C,'BASE DE EXCEL'!BQ:BQ,"NO HAY REFERENCIA")</f>
        <v>KILO,KILO,KILO,KILO,KILO,KILO,KILO,KILO,KILO,KILO,KILO,KILO,KILO</v>
      </c>
      <c r="EX144" s="3">
        <f>_xlfn.XLOOKUP(B144,'BASE DE EXCEL'!$C:$C,'BASE DE EXCEL'!BR:BR,"NO HAY REFERENCIA")</f>
        <v>0</v>
      </c>
      <c r="EY144" s="3" t="str">
        <f>_xlfn.XLOOKUP(B144,'BASE DE EXCEL'!$C:$C,'BASE DE EXCEL'!BS:BS,"NO HAY REFERENCIA")</f>
        <v>PAISES BAJOS (REINO DE LOS) (HOLANDA)</v>
      </c>
      <c r="EZ144" s="3" t="str">
        <f>_xlfn.XLOOKUP(B144,'BASE DE EXCEL'!$C:$C,'BASE DE EXCEL'!BT:BT,"NO HAY REFERENCIA")</f>
        <v>PAISES BAJOS (REINO DE LOS) (HOLANDA)</v>
      </c>
      <c r="FA144" s="3" t="str">
        <f>_xlfn.XLOOKUP(B144,'BASE DE EXCEL'!$C:$C,'BASE DE EXCEL'!BU:BU,"NO HAY REFERENCIA")</f>
        <v>ZYA</v>
      </c>
      <c r="FB144" s="3" t="str">
        <f>_xlfn.XLOOKUP(B144,'BASE DE EXCEL'!$C:$C,'BASE DE EXCEL'!BV:BV,"NO HAY REFERENCIA")</f>
        <v>ZYA</v>
      </c>
      <c r="FC144" s="3">
        <f>_xlfn.XLOOKUP(B144,QUERY!$C:$C,QUERY!D:D)</f>
        <v>430</v>
      </c>
      <c r="FD144" s="4">
        <f>_xlfn.XLOOKUP(B144,QUERY!$C:$C,QUERY!E:E)</f>
        <v>46118</v>
      </c>
      <c r="FE144" s="3">
        <f>_xlfn.XLOOKUP(B144,QUERY!$C:$C,QUERY!F:F)</f>
        <v>4</v>
      </c>
      <c r="FF144" s="4">
        <f>_xlfn.XLOOKUP(B144,QUERY!$C:$C,QUERY!G:G)</f>
        <v>46111</v>
      </c>
      <c r="FG144" s="4">
        <f>_xlfn.XLOOKUP(B144,QUERY!$C:$C,QUERY!H:H)</f>
        <v>46118</v>
      </c>
      <c r="FH144" s="3">
        <f>_xlfn.XLOOKUP(B144,QUERY!$C:$C,QUERY!I:I)</f>
        <v>5</v>
      </c>
      <c r="FI144" s="3" t="str">
        <f>_xlfn.XLOOKUP(B144,QUERY!$C:$C,QUERY!J:J)</f>
        <v>4 a 5 días</v>
      </c>
      <c r="FJ144" s="4">
        <f>_xlfn.XLOOKUP(B144,QUERY!$C:$C,QUERY!K:K)</f>
        <v>46118</v>
      </c>
      <c r="FK144" s="3">
        <f>_xlfn.XLOOKUP(B144,QUERY!$C:$C,QUERY!L:L)</f>
        <v>5</v>
      </c>
      <c r="FL144" s="3" t="str">
        <f>_xlfn.XLOOKUP(B144,QUERY!$C:$C,QUERY!M:M)</f>
        <v>4 a 5 días</v>
      </c>
      <c r="FM144" s="3">
        <f>_xlfn.XLOOKUP(B144,QUERY!$C:$C,QUERY!N:N)</f>
        <v>0</v>
      </c>
      <c r="FN144" s="3" t="str">
        <f>_xlfn.XLOOKUP(B144,QUERY!$C:$C,QUERY!O:O)</f>
        <v>1 día o menos</v>
      </c>
      <c r="FO144" s="3">
        <f>_xlfn.XLOOKUP(B144,QUERY!$C:$C,QUERY!P:P)</f>
        <v>0</v>
      </c>
      <c r="FP144" s="3">
        <f>_xlfn.XLOOKUP(B144,QUERY!$C:$C,QUERY!Q:Q)</f>
        <v>1</v>
      </c>
      <c r="FQ144" s="3" t="str">
        <f>_xlfn.XLOOKUP(B144,QUERY!$C:$C,QUERY!R:R)</f>
        <v>1 día o menos</v>
      </c>
      <c r="FR144" s="4">
        <f>_xlfn.XLOOKUP(B144,QUERY!$C:$C,QUERY!S:S)</f>
        <v>46119</v>
      </c>
      <c r="FS144" s="3">
        <f>_xlfn.XLOOKUP(B144,QUERY!$C:$C,QUERY!T:T)</f>
        <v>6</v>
      </c>
      <c r="FT144" s="3" t="str">
        <f>_xlfn.XLOOKUP(B144,QUERY!$C:$C,QUERY!U:U)</f>
        <v>6 a 10 días</v>
      </c>
      <c r="FU144" s="3">
        <f>_xlfn.XLOOKUP(B144,QUERY!$C:$C,QUERY!V:V)</f>
        <v>14</v>
      </c>
      <c r="FV144" s="3" t="str">
        <f>_xlfn.XLOOKUP(B144,QUERY!$C:$C,QUERY!W:W)</f>
        <v>11 a 15 días</v>
      </c>
      <c r="FW144" s="4">
        <f>_xlfn.XLOOKUP(B144,QUERY!$C:$C,QUERY!X:X)</f>
        <v>46129</v>
      </c>
      <c r="FX144" s="3">
        <f>_xlfn.XLOOKUP(B144,QUERY!$C:$C,QUERY!Y:Y)</f>
        <v>7</v>
      </c>
      <c r="FY144" s="3">
        <f>_xlfn.XLOOKUP(B144,QUERY!$C:$C,QUERY!Z:Z)</f>
        <v>8</v>
      </c>
      <c r="FZ144" s="4" t="str">
        <f>_xlfn.XLOOKUP(B144,QUERY!$C:$C,QUERY!AA:AA)</f>
        <v>6 a 10 días</v>
      </c>
      <c r="GA144" s="4">
        <f>_xlfn.XLOOKUP(B144,QUERY!$C:$C,QUERY!AB:AB)</f>
        <v>46128</v>
      </c>
      <c r="GB144" s="4">
        <f>_xlfn.XLOOKUP(B144,QUERY!$C:$C,QUERY!AC:AC)</f>
        <v>46129</v>
      </c>
      <c r="GC144" s="3">
        <f>_xlfn.XLOOKUP(B144,QUERY!$C:$C,QUERY!AD:AD)</f>
        <v>1</v>
      </c>
      <c r="GD144" s="4">
        <f>_xlfn.XLOOKUP(B144,QUERY!$C:$C,QUERY!AE:AE)</f>
        <v>46129</v>
      </c>
      <c r="GE144" s="3">
        <f>_xlfn.XLOOKUP(B144,QUERY!$C:$C,QUERY!AF:AF)</f>
        <v>1</v>
      </c>
      <c r="GF144" s="4" t="str">
        <f>_xlfn.XLOOKUP(B144,QUERY!$C:$C,QUERY!AG:AG)</f>
        <v>Es anterior</v>
      </c>
      <c r="GG144" s="3" t="str">
        <f>_xlfn.XLOOKUP(B144,QUERY!$C:$C,QUERY!AH:AH)</f>
        <v>A1</v>
      </c>
      <c r="GH144" s="3" t="str">
        <f>_xlfn.XLOOKUP(B144,QUERY!$C:$C,QUERY!AI:AI)</f>
        <v>ZULEIMA PEREZ RUIZ</v>
      </c>
      <c r="GI144" s="3" t="str">
        <f>_xlfn.XLOOKUP(B144,QUERY!$C:$C,QUERY!AJ:AJ)</f>
        <v>HLCURTM260288670</v>
      </c>
      <c r="GJ144" s="3" t="str">
        <f>_xlfn.XLOOKUP(B144,QUERY!$C:$C,QUERY!AK:AK)</f>
        <v>NULL</v>
      </c>
      <c r="GK144" s="3">
        <f>_xlfn.XLOOKUP(B144,QUERY!$C:$C,QUERY!AL:AL)</f>
        <v>6000434</v>
      </c>
      <c r="GL144" s="3" t="str">
        <f>_xlfn.XLOOKUP(B144,QUERY!$C:$C,QUERY!AM:AM)</f>
        <v>Importación</v>
      </c>
      <c r="GM144" s="3" t="str">
        <f>_xlfn.XLOOKUP(B144,QUERY!$C:$C,QUERY!AN:AN)</f>
        <v>NOBIVAC DH PARVO C (VACUNA DE USO VETERINARIO)</v>
      </c>
      <c r="GN144" s="3" t="str">
        <f>_xlfn.XLOOKUP(B144,QUERY!$C:$C,QUERY!AO:AO)</f>
        <v>SIN CLASIFICACION</v>
      </c>
      <c r="GO144" s="3">
        <f>_xlfn.XLOOKUP(B144,QUERY!$C:$C,QUERY!AP:AP)</f>
        <v>0</v>
      </c>
      <c r="GP144" s="3" t="str">
        <f>_xlfn.XLOOKUP(B144,QUERY!$C:$C,QUERY!AQ:AQ)</f>
        <v>Cargas de Importación</v>
      </c>
      <c r="GQ144" s="3" t="str">
        <f>_xlfn.XLOOKUP(B144,QUERY!$C:$C,QUERY!AR:AR)</f>
        <v>INTERVET MEXICO SA DE CV</v>
      </c>
      <c r="GR144" s="3">
        <f>_xlfn.XLOOKUP(B144,QUERY!$C:$C,QUERY!AS:AS)</f>
        <v>0</v>
      </c>
      <c r="GS144" s="3" t="str">
        <f>_xlfn.XLOOKUP(B144,QUERY!$C:$C,QUERY!AT:AT)</f>
        <v>NINGUNO</v>
      </c>
      <c r="GT144" s="3">
        <f>_xlfn.XLOOKUP(B144,QUERY!$C:$C,QUERY!AU:AU)</f>
        <v>0</v>
      </c>
      <c r="GU144" s="3" t="str">
        <f>_xlfn.XLOOKUP(B144,QUERY!$C:$C,QUERY!AV:AV)</f>
        <v>NINGUNO</v>
      </c>
      <c r="GV144" s="3" t="str">
        <f>_xlfn.XLOOKUP(B144,QUERY!$C:$C,QUERY!AW:AW)</f>
        <v>PRODUCTO TERMINADO</v>
      </c>
      <c r="GW144" s="3" t="str">
        <f>_xlfn.XLOOKUP(B144,QUERY!$C:$C,QUERY!AX:AX)</f>
        <v>Rojo</v>
      </c>
      <c r="GX144" s="3" t="str">
        <f>_xlfn.XLOOKUP(B144,QUERY!$C:$C,QUERY!AY:AY)</f>
        <v xml:space="preserve"> MLH TRANSPORTE, S.A. DE C.V.</v>
      </c>
      <c r="GY144" s="3" t="str">
        <f>_xlfn.XLOOKUP(B144,QUERY!$C:$C,QUERY!AZ:AZ)</f>
        <v>TRACTOCAMION ECO 110</v>
      </c>
      <c r="GZ144" s="3">
        <f>_xlfn.XLOOKUP(B144,QUERY!$C:$C,QUERY!BA:BA)</f>
        <v>0</v>
      </c>
      <c r="HA144" s="3" t="str">
        <f>_xlfn.XLOOKUP(B144,QUERY!$C:$C,QUERY!BB:BB)</f>
        <v>IME850329RH2</v>
      </c>
      <c r="HB144" s="3">
        <f>_xlfn.XLOOKUP(B144,QUERY!$C:$C,QUERY!BC:BC)</f>
        <v>0</v>
      </c>
      <c r="HC144" s="3">
        <f>_xlfn.XLOOKUP(B144,QUERY!$C:$C,QUERY!BD:BD)</f>
        <v>99</v>
      </c>
      <c r="HD144" s="3" t="str">
        <f>_xlfn.XLOOKUP(B144,QUERY!$C:$C,QUERY!BE:BE)</f>
        <v>LOTE: A217C01,LOTE: A849F01,LOTE: A225A01,LOTE: A180E01,LOTE: 1E073A02,LOTE: A145A01,LOTE: A227A01,LOTE: A061A03,LOTE: A061A04,LOTE: 1E073A03,LOTE: A737B01,LOTE: A270A02,LOTE: A032AJ02</v>
      </c>
      <c r="HE144" s="3">
        <f>_xlfn.XLOOKUP(B144,QUERY!$C:$C,QUERY!BF:BF)</f>
        <v>90</v>
      </c>
      <c r="HF144" s="3" t="str">
        <f>_xlfn.XLOOKUP(B144,QUERY!$C:$C,QUERY!BG:BG)</f>
        <v xml:space="preserve"> 11626987.90, 30130695.36</v>
      </c>
      <c r="HG144" s="3" t="str">
        <f>_xlfn.XLOOKUP(B144,QUERY!$C:$C,QUERY!BH:BH)</f>
        <v>KILO,KILO,KILO,KILO,KILO,KILO,KILO,KILO,KILO,KILO,KILO,KILO,KILO</v>
      </c>
      <c r="HH144" s="3">
        <f>_xlfn.XLOOKUP(B144,QUERY!$C:$C,QUERY!BI:BI)</f>
        <v>0</v>
      </c>
      <c r="HI144" s="3" t="str">
        <f>_xlfn.XLOOKUP(B144,QUERY!$C:$C,QUERY!BJ:BJ)</f>
        <v>PAISES BAJOS (REINO DE LOS) (HOLANDA)</v>
      </c>
      <c r="HJ144" s="3" t="str">
        <f>_xlfn.XLOOKUP(B144,QUERY!$C:$C,QUERY!BK:BK)</f>
        <v>PAISES BAJOS (REINO DE LOS) (HOLANDA)</v>
      </c>
      <c r="HK144" s="3" t="str">
        <f>_xlfn.XLOOKUP(B144,QUERY!$C:$C,QUERY!BL:BL)</f>
        <v>ZYA</v>
      </c>
      <c r="HL144" s="3" t="str">
        <f>_xlfn.XLOOKUP(B144,QUERY!$C:$C,QUERY!BM:BM)</f>
        <v>ZYA</v>
      </c>
      <c r="HM144" s="3">
        <f>_xlfn.XLOOKUP(B144,QUERY!$C:$C,QUERY!BN:BN)</f>
        <v>41757683</v>
      </c>
      <c r="HN144" s="3" t="str">
        <f>_xlfn.XLOOKUP(B144,QUERY!$C:$C,QUERY!BO:BO)</f>
        <v>462.00</v>
      </c>
      <c r="HO144" s="3" t="str">
        <f>_xlfn.XLOOKUP(B144,QUERY!$C:$C,QUERY!BP:BP)</f>
        <v>NULL</v>
      </c>
      <c r="HP144" s="3" t="str">
        <f>_xlfn.XLOOKUP(B144,QUERY!$C:$C,QUERY!BQ:BQ)</f>
        <v>NULL</v>
      </c>
      <c r="HQ144" s="3" t="str">
        <f>_xlfn.XLOOKUP(B144,QUERY!$C:$C,QUERY!BR:BR)</f>
        <v>248801.02</v>
      </c>
      <c r="HR144" s="3">
        <f>_xlfn.XLOOKUP(B144,QUERY!$C:$C,QUERY!BS:BS)</f>
        <v>0</v>
      </c>
      <c r="HS144" s="3">
        <f>_xlfn.XLOOKUP(B144,QUERY!$C:$C,QUERY!BT:BT)</f>
        <v>0</v>
      </c>
      <c r="HT144" s="3" t="str">
        <f>_xlfn.XLOOKUP(B144,QUERY!$C:$C,QUERY!A:A)</f>
        <v>VERACRUZ</v>
      </c>
      <c r="HU144" s="3" t="str">
        <f>_xlfn.XLOOKUP(B144,QUERY!$C:$C,QUERY!B:B)</f>
        <v>MARÍTIMO VERACRUZ</v>
      </c>
    </row>
    <row r="145" spans="1:229" x14ac:dyDescent="0.25">
      <c r="A145" s="3" t="s">
        <v>90</v>
      </c>
      <c r="B145" s="3" t="s">
        <v>366</v>
      </c>
      <c r="C145" s="3">
        <v>3942</v>
      </c>
      <c r="D145" s="3">
        <v>6000434</v>
      </c>
      <c r="E145" s="3"/>
      <c r="F145" s="3" t="s">
        <v>92</v>
      </c>
      <c r="G145" s="3" t="s">
        <v>93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430</v>
      </c>
      <c r="S145" s="3" t="s">
        <v>367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 t="s">
        <v>270</v>
      </c>
      <c r="AB145" s="3"/>
      <c r="AC145" s="3">
        <v>6536772</v>
      </c>
      <c r="AD145" s="3">
        <v>825.35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/>
      <c r="AP145" s="3" t="s">
        <v>98</v>
      </c>
      <c r="AQ145" s="3">
        <v>210368547</v>
      </c>
      <c r="AR145" s="3" t="s">
        <v>99</v>
      </c>
      <c r="AS145" s="3" t="s">
        <v>100</v>
      </c>
      <c r="AT145" s="3">
        <v>0</v>
      </c>
      <c r="AU145" s="3">
        <v>0</v>
      </c>
      <c r="AV145" s="3">
        <v>0</v>
      </c>
      <c r="AW145" s="3">
        <v>30024201</v>
      </c>
      <c r="AX145" s="3">
        <v>99</v>
      </c>
      <c r="AY145" s="3">
        <v>7920</v>
      </c>
      <c r="AZ145" s="3">
        <v>7920</v>
      </c>
      <c r="BA145" s="3" t="s">
        <v>103</v>
      </c>
      <c r="BB145" s="3"/>
      <c r="BC145" s="3" t="s">
        <v>105</v>
      </c>
      <c r="BD145" s="3" t="s">
        <v>105</v>
      </c>
      <c r="BE145" s="3"/>
      <c r="BF145" s="3"/>
      <c r="BG145" s="5"/>
      <c r="BH145" s="3"/>
      <c r="BI145" s="3"/>
      <c r="BJ145" s="3"/>
      <c r="BK145" s="3" t="s">
        <v>371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 t="s">
        <v>192</v>
      </c>
      <c r="CF145" s="3">
        <v>0</v>
      </c>
      <c r="CG145" s="3">
        <v>0</v>
      </c>
      <c r="CH145" s="3">
        <v>0</v>
      </c>
      <c r="CI145" s="3" t="s">
        <v>112</v>
      </c>
      <c r="CJ145" s="3" t="s">
        <v>112</v>
      </c>
      <c r="CK145" s="3">
        <f>_xlfn.XLOOKUP($B$2,'BASE DE EXCEL'!C:C,'BASE DE EXCEL'!D:D,"NO HAY REFERENCIA")</f>
        <v>470</v>
      </c>
      <c r="CL145" s="5">
        <f>_xlfn.XLOOKUP($B$2,'BASE DE EXCEL'!$C:$C,'BASE DE EXCEL'!F:F,"NO HAY REFERENCIA")</f>
        <v>3</v>
      </c>
      <c r="CM145" s="4">
        <f>_xlfn.XLOOKUP($B$2,'BASE DE EXCEL'!$C:$C,'BASE DE EXCEL'!G:G,"NO HAY REFERENCIA")</f>
        <v>46080</v>
      </c>
      <c r="CN145" s="4">
        <f>_xlfn.XLOOKUP($B$2,'BASE DE EXCEL'!$C:$C,'BASE DE EXCEL'!H:H,"NO HAY REFERENCIA")</f>
        <v>46086</v>
      </c>
      <c r="CO145" s="3">
        <f>_xlfn.XLOOKUP($B$2,'BASE DE EXCEL'!$C:$C,'BASE DE EXCEL'!I:I,"NO HAY REFERENCIA")</f>
        <v>4</v>
      </c>
      <c r="CP145" s="3" t="str">
        <f>_xlfn.XLOOKUP($B$2,'BASE DE EXCEL'!$C:$C,'BASE DE EXCEL'!J:J,"NO HAY REFERENCIA")</f>
        <v>4 a 5 días</v>
      </c>
      <c r="CQ145" s="4">
        <f>_xlfn.XLOOKUP($B$2,'BASE DE EXCEL'!$C:$C,'BASE DE EXCEL'!K:K,"NO HAY REFERENCIA")</f>
        <v>46087</v>
      </c>
      <c r="CR145" s="3">
        <f>_xlfn.XLOOKUP($B$2,'BASE DE EXCEL'!$C:$C,'BASE DE EXCEL'!L:L,"NO HAY REFERENCIA")</f>
        <v>5</v>
      </c>
      <c r="CS145" s="3">
        <f>_xlfn.XLOOKUP($B$2,'BASE DE EXCEL'!$C:$C,'BASE DE EXCEL'!M:M,"NO HAY REFERENCIA")</f>
        <v>6</v>
      </c>
      <c r="CT145" s="3" t="str">
        <f>_xlfn.XLOOKUP($B$2,'BASE DE EXCEL'!$C:$C,'BASE DE EXCEL'!N:N,"NO HAY REFERENCIA")</f>
        <v>6 a 10 días</v>
      </c>
      <c r="CU145" s="3" t="str">
        <f>_xlfn.XLOOKUP($B$2,'BASE DE EXCEL'!$C:$C,'BASE DE EXCEL'!O:O,"NO HAY REFERENCIA")</f>
        <v>On Time</v>
      </c>
      <c r="CV145" s="3" t="str">
        <f>_xlfn.XLOOKUP(B145,'BASE DE EXCEL'!$C:$C,'BASE DE EXCEL'!P:P,"NO HAY REFERENCIA")</f>
        <v>6 a 10 días</v>
      </c>
      <c r="CW145" s="4">
        <f>_xlfn.XLOOKUP(B145,'BASE DE EXCEL'!$C:$C,'BASE DE EXCEL'!Q:Q,"NO HAY REFERENCIA")</f>
        <v>46119</v>
      </c>
      <c r="CX145" s="3">
        <f>_xlfn.XLOOKUP(B145,'BASE DE EXCEL'!$C:$C,'BASE DE EXCEL'!R:R,"NO HAY REFERENCIA")</f>
        <v>5</v>
      </c>
      <c r="CY145" s="3" t="str">
        <f>_xlfn.XLOOKUP(B145,'BASE DE EXCEL'!$C:$C,'BASE DE EXCEL'!S:S,"NO HAY REFERENCIA")</f>
        <v>4 a 5 días</v>
      </c>
      <c r="CZ145" s="3" t="str">
        <f>_xlfn.XLOOKUP(B145,'BASE DE EXCEL'!$C:$C,'BASE DE EXCEL'!T:T,"NO HAY REFERENCIA")</f>
        <v>On Time</v>
      </c>
      <c r="DA145" s="3">
        <f>_xlfn.XLOOKUP(B145,'BASE DE EXCEL'!$C:$C,'BASE DE EXCEL'!U:U,"NO HAY REFERENCIA")</f>
        <v>8</v>
      </c>
      <c r="DB145" s="3" t="str">
        <f>_xlfn.XLOOKUP(B145,'BASE DE EXCEL'!$C:$C,'BASE DE EXCEL'!V:V,"NO HAY REFERENCIA")</f>
        <v>6 a 10 días</v>
      </c>
      <c r="DC145" s="3">
        <f>_xlfn.XLOOKUP(B145,'BASE DE EXCEL'!$C:$C,'BASE DE EXCEL'!W:W,"NO HAY REFERENCIA")</f>
        <v>14</v>
      </c>
      <c r="DD145" s="3" t="str">
        <f>_xlfn.XLOOKUP(B145,'BASE DE EXCEL'!$C:$C,'BASE DE EXCEL'!X:X,"NO HAY REFERENCIA")</f>
        <v>11 a 15 días</v>
      </c>
      <c r="DE145" s="3">
        <f>_xlfn.XLOOKUP(B145,'BASE DE EXCEL'!$C:$C,'BASE DE EXCEL'!Y:Y,"NO HAY REFERENCIA")</f>
        <v>0</v>
      </c>
      <c r="DF145" s="3" t="str">
        <f>_xlfn.XLOOKUP(B145,'BASE DE EXCEL'!$C:$C,'BASE DE EXCEL'!Z:Z,"NO HAY REFERENCIA")</f>
        <v>1 día o menos</v>
      </c>
      <c r="DG145" s="3">
        <f>_xlfn.XLOOKUP(B145,'BASE DE EXCEL'!$C:$C,'BASE DE EXCEL'!AA:AA,"NO HAY REFERENCIA")</f>
        <v>7</v>
      </c>
      <c r="DH145" s="3">
        <f>_xlfn.XLOOKUP(B145,'BASE DE EXCEL'!$C:$C,'BASE DE EXCEL'!AB:AB,"NO HAY REFERENCIA")</f>
        <v>1</v>
      </c>
      <c r="DI145" s="3" t="str">
        <f>_xlfn.XLOOKUP(B145,'BASE DE EXCEL'!$C:$C,'BASE DE EXCEL'!AC:AC,"NO HAY REFERENCIA")</f>
        <v>1 día o menos</v>
      </c>
      <c r="DJ145" s="4">
        <f>_xlfn.XLOOKUP(B145,'BASE DE EXCEL'!$C:$C,'BASE DE EXCEL'!AD:AD,"NO HAY REFERENCIA")</f>
        <v>46129</v>
      </c>
      <c r="DK145" s="3">
        <f>_xlfn.XLOOKUP(B145,'BASE DE EXCEL'!$C:$C,'BASE DE EXCEL'!AE:AE,"NO HAY REFERENCIA")</f>
        <v>9</v>
      </c>
      <c r="DL145" s="3">
        <f>_xlfn.XLOOKUP(B145,'BASE DE EXCEL'!$C:$C,'BASE DE EXCEL'!AF:AF,"NO HAY REFERENCIA")</f>
        <v>8</v>
      </c>
      <c r="DM145" s="4">
        <f>_xlfn.XLOOKUP(B145,'BASE DE EXCEL'!$C:$C,'BASE DE EXCEL'!AG:AG,"NO HAY REFERENCIA")</f>
        <v>46128</v>
      </c>
      <c r="DN145" s="4">
        <f>_xlfn.XLOOKUP(B145,'BASE DE EXCEL'!$C:$C,'BASE DE EXCEL'!AH:AH,"NO HAY REFERENCIA")</f>
        <v>46129</v>
      </c>
      <c r="DO145" s="3">
        <f>_xlfn.XLOOKUP(B145,'BASE DE EXCEL'!$C:$C,'BASE DE EXCEL'!AI:AI,"NO HAY REFERENCIA")</f>
        <v>1</v>
      </c>
      <c r="DP145" s="4" t="str">
        <f>_xlfn.XLOOKUP(B145,'BASE DE EXCEL'!$C:$C,'BASE DE EXCEL'!AJ:AJ,"NO HAY REFERENCIA")</f>
        <v>6 a 10 días</v>
      </c>
      <c r="DQ145" s="4">
        <f>_xlfn.XLOOKUP(B145,'BASE DE EXCEL'!$C:$C,'BASE DE EXCEL'!AK:AK,"NO HAY REFERENCIA")</f>
        <v>46129</v>
      </c>
      <c r="DR145" s="3">
        <f>_xlfn.XLOOKUP(B145,'BASE DE EXCEL'!$C:$C,'BASE DE EXCEL'!AL:AL,"NO HAY REFERENCIA")</f>
        <v>9</v>
      </c>
      <c r="DS145" s="3" t="str">
        <f>_xlfn.XLOOKUP(B145,'BASE DE EXCEL'!$C:$C,'BASE DE EXCEL'!AM:AM,"NO HAY REFERENCIA")</f>
        <v>6 a 10 días</v>
      </c>
      <c r="DT145" s="3" t="str">
        <f>_xlfn.XLOOKUP(B145,'BASE DE EXCEL'!$C:$C,'BASE DE EXCEL'!AN:AN,"NO HAY REFERENCIA")</f>
        <v>Delayed</v>
      </c>
      <c r="DU145" s="3">
        <f>_xlfn.XLOOKUP(B145,'BASE DE EXCEL'!$C:$C,'BASE DE EXCEL'!AO:AO,"NO HAY REFERENCIA")</f>
        <v>1</v>
      </c>
      <c r="DV145" s="3" t="str">
        <f>_xlfn.XLOOKUP(B145,'BASE DE EXCEL'!$C:$C,'BASE DE EXCEL'!AP:AP,"NO HAY REFERENCIA")</f>
        <v>Es anterior</v>
      </c>
      <c r="DW145" s="3" t="str">
        <f>_xlfn.XLOOKUP(B145,'BASE DE EXCEL'!$C:$C,'BASE DE EXCEL'!AQ:AQ,"NO HAY REFERENCIA")</f>
        <v>A1</v>
      </c>
      <c r="DX145" s="3" t="str">
        <f>_xlfn.XLOOKUP(B145,'BASE DE EXCEL'!$C:$C,'BASE DE EXCEL'!AR:AR,"NO HAY REFERENCIA")</f>
        <v>ZULEIMA PEREZ RUIZ</v>
      </c>
      <c r="DY145" s="3" t="str">
        <f>_xlfn.XLOOKUP(B145,'BASE DE EXCEL'!$C:$C,'BASE DE EXCEL'!AS:AS,"NO HAY REFERENCIA")</f>
        <v>HLCURTM260288670</v>
      </c>
      <c r="DZ145" s="3" t="str">
        <f>_xlfn.XLOOKUP(B145,'BASE DE EXCEL'!$C:$C,'BASE DE EXCEL'!AT:AT,"NO HAY REFERENCIA")</f>
        <v>NULL</v>
      </c>
      <c r="EA145" s="3">
        <f>_xlfn.XLOOKUP(B145,'BASE DE EXCEL'!$C:$C,'BASE DE EXCEL'!AU:AU,"NO HAY REFERENCIA")</f>
        <v>6000434</v>
      </c>
      <c r="EB145" s="3" t="str">
        <f>_xlfn.XLOOKUP(B145,'BASE DE EXCEL'!$C:$C,'BASE DE EXCEL'!AV:AV,"NO HAY REFERENCIA")</f>
        <v>Importación</v>
      </c>
      <c r="EC145" s="3" t="str">
        <f>_xlfn.XLOOKUP(B145,'BASE DE EXCEL'!$C:$C,'BASE DE EXCEL'!AW:AW,"NO HAY REFERENCIA")</f>
        <v>NOBIVAC DH PARVO C (VACUNA DE USO VETERINARIO)</v>
      </c>
      <c r="ED145" s="3" t="str">
        <f>_xlfn.XLOOKUP(B145,'BASE DE EXCEL'!$C:$C,'BASE DE EXCEL'!AX:AX,"NO HAY REFERENCIA")</f>
        <v>SIN CLASIFICACION</v>
      </c>
      <c r="EE145" s="3">
        <f>_xlfn.XLOOKUP(B145,'BASE DE EXCEL'!$C:$C,'BASE DE EXCEL'!AY:AY,"NO HAY REFERENCIA")</f>
        <v>0</v>
      </c>
      <c r="EF145" s="3" t="str">
        <f>_xlfn.XLOOKUP(B145,'BASE DE EXCEL'!$C:$C,'BASE DE EXCEL'!AZ:AZ,"NO HAY REFERENCIA")</f>
        <v>Cargas de Importación</v>
      </c>
      <c r="EG145" s="3" t="str">
        <f>_xlfn.XLOOKUP(B145,'BASE DE EXCEL'!$C:$C,'BASE DE EXCEL'!BA:BA,"NO HAY REFERENCIA")</f>
        <v>INTERVET MEXICO SA DE CV</v>
      </c>
      <c r="EH145" s="3">
        <f>_xlfn.XLOOKUP(B145,'BASE DE EXCEL'!$C:$C,'BASE DE EXCEL'!BB:BB,"NO HAY REFERENCIA")</f>
        <v>0</v>
      </c>
      <c r="EI145" s="3" t="str">
        <f>_xlfn.XLOOKUP(B145,'BASE DE EXCEL'!$C:$C,'BASE DE EXCEL'!BC:BC,"NO HAY REFERENCIA")</f>
        <v>NINGUNO</v>
      </c>
      <c r="EJ145" s="3">
        <f>_xlfn.XLOOKUP(B145,'BASE DE EXCEL'!$C:$C,'BASE DE EXCEL'!BD:BD,"NO HAY REFERENCIA")</f>
        <v>0</v>
      </c>
      <c r="EK145" s="3" t="str">
        <f>_xlfn.XLOOKUP(B145,'BASE DE EXCEL'!$C:$C,'BASE DE EXCEL'!BE:BE,"NO HAY REFERENCIA")</f>
        <v>NINGUNO</v>
      </c>
      <c r="EL145" s="3" t="str">
        <f>_xlfn.XLOOKUP(B145,'BASE DE EXCEL'!$C:$C,'BASE DE EXCEL'!BF:BF,"NO HAY REFERENCIA")</f>
        <v>PRODUCTO TERMINADO</v>
      </c>
      <c r="EM145" s="3" t="str">
        <f>_xlfn.XLOOKUP(B145,'BASE DE EXCEL'!$C:$C,'BASE DE EXCEL'!BG:BG,"NO HAY REFERENCIA")</f>
        <v>Rojo</v>
      </c>
      <c r="EN145" s="3" t="str">
        <f>_xlfn.XLOOKUP(B145,'BASE DE EXCEL'!$C:$C,'BASE DE EXCEL'!BH:BH,"NO HAY REFERENCIA")</f>
        <v xml:space="preserve"> MLH TRANSPORTE, S.A. DE C.V.</v>
      </c>
      <c r="EO145" s="3" t="str">
        <f>_xlfn.XLOOKUP(B145,'BASE DE EXCEL'!$C:$C,'BASE DE EXCEL'!BI:BI,"NO HAY REFERENCIA")</f>
        <v>TRACTOCAMION ECO 110</v>
      </c>
      <c r="EP145" s="3">
        <f>_xlfn.XLOOKUP(B145,'BASE DE EXCEL'!$C:$C,'BASE DE EXCEL'!BJ:BJ,"NO HAY REFERENCIA")</f>
        <v>0</v>
      </c>
      <c r="EQ145" s="3" t="str">
        <f>_xlfn.XLOOKUP(B145,'BASE DE EXCEL'!$C:$C,'BASE DE EXCEL'!BK:BK,"NO HAY REFERENCIA")</f>
        <v>IME850329RH2</v>
      </c>
      <c r="ER145" s="3">
        <f>_xlfn.XLOOKUP(B145,'BASE DE EXCEL'!$C:$C,'BASE DE EXCEL'!BL:BL,"NO HAY REFERENCIA")</f>
        <v>0</v>
      </c>
      <c r="ES145" s="3">
        <f>_xlfn.XLOOKUP(B145,'BASE DE EXCEL'!$C:$C,'BASE DE EXCEL'!BM:BM,"NO HAY REFERENCIA")</f>
        <v>99</v>
      </c>
      <c r="ET145" s="3" t="str">
        <f>_xlfn.XLOOKUP(B145,'BASE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5" s="3">
        <f>_xlfn.XLOOKUP(B145,'BASE DE EXCEL'!$C:$C,'BASE DE EXCEL'!BO:BO,"NO HAY REFERENCIA")</f>
        <v>90</v>
      </c>
      <c r="EV145" s="3" t="str">
        <f>_xlfn.XLOOKUP(B145,'BASE DE EXCEL'!$C:$C,'BASE DE EXCEL'!BP:BP,"NO HAY REFERENCIA")</f>
        <v xml:space="preserve"> 11626987.90, 30130695.36</v>
      </c>
      <c r="EW145" s="3" t="str">
        <f>_xlfn.XLOOKUP(B145,'BASE DE EXCEL'!$C:$C,'BASE DE EXCEL'!BQ:BQ,"NO HAY REFERENCIA")</f>
        <v>KILO,KILO,KILO,KILO,KILO,KILO,KILO,KILO,KILO,KILO,KILO,KILO,KILO</v>
      </c>
      <c r="EX145" s="3">
        <f>_xlfn.XLOOKUP(B145,'BASE DE EXCEL'!$C:$C,'BASE DE EXCEL'!BR:BR,"NO HAY REFERENCIA")</f>
        <v>0</v>
      </c>
      <c r="EY145" s="3" t="str">
        <f>_xlfn.XLOOKUP(B145,'BASE DE EXCEL'!$C:$C,'BASE DE EXCEL'!BS:BS,"NO HAY REFERENCIA")</f>
        <v>PAISES BAJOS (REINO DE LOS) (HOLANDA)</v>
      </c>
      <c r="EZ145" s="3" t="str">
        <f>_xlfn.XLOOKUP(B145,'BASE DE EXCEL'!$C:$C,'BASE DE EXCEL'!BT:BT,"NO HAY REFERENCIA")</f>
        <v>PAISES BAJOS (REINO DE LOS) (HOLANDA)</v>
      </c>
      <c r="FA145" s="3" t="str">
        <f>_xlfn.XLOOKUP(B145,'BASE DE EXCEL'!$C:$C,'BASE DE EXCEL'!BU:BU,"NO HAY REFERENCIA")</f>
        <v>ZYA</v>
      </c>
      <c r="FB145" s="3" t="str">
        <f>_xlfn.XLOOKUP(B145,'BASE DE EXCEL'!$C:$C,'BASE DE EXCEL'!BV:BV,"NO HAY REFERENCIA")</f>
        <v>ZYA</v>
      </c>
      <c r="FC145" s="3">
        <f>_xlfn.XLOOKUP(B145,QUERY!$C:$C,QUERY!D:D)</f>
        <v>430</v>
      </c>
      <c r="FD145" s="4">
        <f>_xlfn.XLOOKUP(B145,QUERY!$C:$C,QUERY!E:E)</f>
        <v>46118</v>
      </c>
      <c r="FE145" s="3">
        <f>_xlfn.XLOOKUP(B145,QUERY!$C:$C,QUERY!F:F)</f>
        <v>4</v>
      </c>
      <c r="FF145" s="4">
        <f>_xlfn.XLOOKUP(B145,QUERY!$C:$C,QUERY!G:G)</f>
        <v>46111</v>
      </c>
      <c r="FG145" s="4">
        <f>_xlfn.XLOOKUP(B145,QUERY!$C:$C,QUERY!H:H)</f>
        <v>46118</v>
      </c>
      <c r="FH145" s="3">
        <f>_xlfn.XLOOKUP(B145,QUERY!$C:$C,QUERY!I:I)</f>
        <v>5</v>
      </c>
      <c r="FI145" s="3" t="str">
        <f>_xlfn.XLOOKUP(B145,QUERY!$C:$C,QUERY!J:J)</f>
        <v>4 a 5 días</v>
      </c>
      <c r="FJ145" s="4">
        <f>_xlfn.XLOOKUP(B145,QUERY!$C:$C,QUERY!K:K)</f>
        <v>46118</v>
      </c>
      <c r="FK145" s="3">
        <f>_xlfn.XLOOKUP(B145,QUERY!$C:$C,QUERY!L:L)</f>
        <v>5</v>
      </c>
      <c r="FL145" s="3" t="str">
        <f>_xlfn.XLOOKUP(B145,QUERY!$C:$C,QUERY!M:M)</f>
        <v>4 a 5 días</v>
      </c>
      <c r="FM145" s="3">
        <f>_xlfn.XLOOKUP(B145,QUERY!$C:$C,QUERY!N:N)</f>
        <v>0</v>
      </c>
      <c r="FN145" s="3" t="str">
        <f>_xlfn.XLOOKUP(B145,QUERY!$C:$C,QUERY!O:O)</f>
        <v>1 día o menos</v>
      </c>
      <c r="FO145" s="3">
        <f>_xlfn.XLOOKUP(B145,QUERY!$C:$C,QUERY!P:P)</f>
        <v>0</v>
      </c>
      <c r="FP145" s="3">
        <f>_xlfn.XLOOKUP(B145,QUERY!$C:$C,QUERY!Q:Q)</f>
        <v>1</v>
      </c>
      <c r="FQ145" s="3" t="str">
        <f>_xlfn.XLOOKUP(B145,QUERY!$C:$C,QUERY!R:R)</f>
        <v>1 día o menos</v>
      </c>
      <c r="FR145" s="4">
        <f>_xlfn.XLOOKUP(B145,QUERY!$C:$C,QUERY!S:S)</f>
        <v>46119</v>
      </c>
      <c r="FS145" s="3">
        <f>_xlfn.XLOOKUP(B145,QUERY!$C:$C,QUERY!T:T)</f>
        <v>6</v>
      </c>
      <c r="FT145" s="3" t="str">
        <f>_xlfn.XLOOKUP(B145,QUERY!$C:$C,QUERY!U:U)</f>
        <v>6 a 10 días</v>
      </c>
      <c r="FU145" s="3">
        <f>_xlfn.XLOOKUP(B145,QUERY!$C:$C,QUERY!V:V)</f>
        <v>14</v>
      </c>
      <c r="FV145" s="3" t="str">
        <f>_xlfn.XLOOKUP(B145,QUERY!$C:$C,QUERY!W:W)</f>
        <v>11 a 15 días</v>
      </c>
      <c r="FW145" s="4">
        <f>_xlfn.XLOOKUP(B145,QUERY!$C:$C,QUERY!X:X)</f>
        <v>46129</v>
      </c>
      <c r="FX145" s="3">
        <f>_xlfn.XLOOKUP(B145,QUERY!$C:$C,QUERY!Y:Y)</f>
        <v>7</v>
      </c>
      <c r="FY145" s="3">
        <f>_xlfn.XLOOKUP(B145,QUERY!$C:$C,QUERY!Z:Z)</f>
        <v>8</v>
      </c>
      <c r="FZ145" s="4" t="str">
        <f>_xlfn.XLOOKUP(B145,QUERY!$C:$C,QUERY!AA:AA)</f>
        <v>6 a 10 días</v>
      </c>
      <c r="GA145" s="4">
        <f>_xlfn.XLOOKUP(B145,QUERY!$C:$C,QUERY!AB:AB)</f>
        <v>46128</v>
      </c>
      <c r="GB145" s="4">
        <f>_xlfn.XLOOKUP(B145,QUERY!$C:$C,QUERY!AC:AC)</f>
        <v>46129</v>
      </c>
      <c r="GC145" s="3">
        <f>_xlfn.XLOOKUP(B145,QUERY!$C:$C,QUERY!AD:AD)</f>
        <v>1</v>
      </c>
      <c r="GD145" s="4">
        <f>_xlfn.XLOOKUP(B145,QUERY!$C:$C,QUERY!AE:AE)</f>
        <v>46129</v>
      </c>
      <c r="GE145" s="3">
        <f>_xlfn.XLOOKUP(B145,QUERY!$C:$C,QUERY!AF:AF)</f>
        <v>1</v>
      </c>
      <c r="GF145" s="4" t="str">
        <f>_xlfn.XLOOKUP(B145,QUERY!$C:$C,QUERY!AG:AG)</f>
        <v>Es anterior</v>
      </c>
      <c r="GG145" s="3" t="str">
        <f>_xlfn.XLOOKUP(B145,QUERY!$C:$C,QUERY!AH:AH)</f>
        <v>A1</v>
      </c>
      <c r="GH145" s="3" t="str">
        <f>_xlfn.XLOOKUP(B145,QUERY!$C:$C,QUERY!AI:AI)</f>
        <v>ZULEIMA PEREZ RUIZ</v>
      </c>
      <c r="GI145" s="3" t="str">
        <f>_xlfn.XLOOKUP(B145,QUERY!$C:$C,QUERY!AJ:AJ)</f>
        <v>HLCURTM260288670</v>
      </c>
      <c r="GJ145" s="3" t="str">
        <f>_xlfn.XLOOKUP(B145,QUERY!$C:$C,QUERY!AK:AK)</f>
        <v>NULL</v>
      </c>
      <c r="GK145" s="3">
        <f>_xlfn.XLOOKUP(B145,QUERY!$C:$C,QUERY!AL:AL)</f>
        <v>6000434</v>
      </c>
      <c r="GL145" s="3" t="str">
        <f>_xlfn.XLOOKUP(B145,QUERY!$C:$C,QUERY!AM:AM)</f>
        <v>Importación</v>
      </c>
      <c r="GM145" s="3" t="str">
        <f>_xlfn.XLOOKUP(B145,QUERY!$C:$C,QUERY!AN:AN)</f>
        <v>NOBIVAC DH PARVO C (VACUNA DE USO VETERINARIO)</v>
      </c>
      <c r="GN145" s="3" t="str">
        <f>_xlfn.XLOOKUP(B145,QUERY!$C:$C,QUERY!AO:AO)</f>
        <v>SIN CLASIFICACION</v>
      </c>
      <c r="GO145" s="3">
        <f>_xlfn.XLOOKUP(B145,QUERY!$C:$C,QUERY!AP:AP)</f>
        <v>0</v>
      </c>
      <c r="GP145" s="3" t="str">
        <f>_xlfn.XLOOKUP(B145,QUERY!$C:$C,QUERY!AQ:AQ)</f>
        <v>Cargas de Importación</v>
      </c>
      <c r="GQ145" s="3" t="str">
        <f>_xlfn.XLOOKUP(B145,QUERY!$C:$C,QUERY!AR:AR)</f>
        <v>INTERVET MEXICO SA DE CV</v>
      </c>
      <c r="GR145" s="3">
        <f>_xlfn.XLOOKUP(B145,QUERY!$C:$C,QUERY!AS:AS)</f>
        <v>0</v>
      </c>
      <c r="GS145" s="3" t="str">
        <f>_xlfn.XLOOKUP(B145,QUERY!$C:$C,QUERY!AT:AT)</f>
        <v>NINGUNO</v>
      </c>
      <c r="GT145" s="3">
        <f>_xlfn.XLOOKUP(B145,QUERY!$C:$C,QUERY!AU:AU)</f>
        <v>0</v>
      </c>
      <c r="GU145" s="3" t="str">
        <f>_xlfn.XLOOKUP(B145,QUERY!$C:$C,QUERY!AV:AV)</f>
        <v>NINGUNO</v>
      </c>
      <c r="GV145" s="3" t="str">
        <f>_xlfn.XLOOKUP(B145,QUERY!$C:$C,QUERY!AW:AW)</f>
        <v>PRODUCTO TERMINADO</v>
      </c>
      <c r="GW145" s="3" t="str">
        <f>_xlfn.XLOOKUP(B145,QUERY!$C:$C,QUERY!AX:AX)</f>
        <v>Rojo</v>
      </c>
      <c r="GX145" s="3" t="str">
        <f>_xlfn.XLOOKUP(B145,QUERY!$C:$C,QUERY!AY:AY)</f>
        <v xml:space="preserve"> MLH TRANSPORTE, S.A. DE C.V.</v>
      </c>
      <c r="GY145" s="3" t="str">
        <f>_xlfn.XLOOKUP(B145,QUERY!$C:$C,QUERY!AZ:AZ)</f>
        <v>TRACTOCAMION ECO 110</v>
      </c>
      <c r="GZ145" s="3">
        <f>_xlfn.XLOOKUP(B145,QUERY!$C:$C,QUERY!BA:BA)</f>
        <v>0</v>
      </c>
      <c r="HA145" s="3" t="str">
        <f>_xlfn.XLOOKUP(B145,QUERY!$C:$C,QUERY!BB:BB)</f>
        <v>IME850329RH2</v>
      </c>
      <c r="HB145" s="3">
        <f>_xlfn.XLOOKUP(B145,QUERY!$C:$C,QUERY!BC:BC)</f>
        <v>0</v>
      </c>
      <c r="HC145" s="3">
        <f>_xlfn.XLOOKUP(B145,QUERY!$C:$C,QUERY!BD:BD)</f>
        <v>99</v>
      </c>
      <c r="HD145" s="3" t="str">
        <f>_xlfn.XLOOKUP(B145,QUERY!$C:$C,QUERY!BE:BE)</f>
        <v>LOTE: A217C01,LOTE: A849F01,LOTE: A225A01,LOTE: A180E01,LOTE: 1E073A02,LOTE: A145A01,LOTE: A227A01,LOTE: A061A03,LOTE: A061A04,LOTE: 1E073A03,LOTE: A737B01,LOTE: A270A02,LOTE: A032AJ02</v>
      </c>
      <c r="HE145" s="3">
        <f>_xlfn.XLOOKUP(B145,QUERY!$C:$C,QUERY!BF:BF)</f>
        <v>90</v>
      </c>
      <c r="HF145" s="3" t="str">
        <f>_xlfn.XLOOKUP(B145,QUERY!$C:$C,QUERY!BG:BG)</f>
        <v xml:space="preserve"> 11626987.90, 30130695.36</v>
      </c>
      <c r="HG145" s="3" t="str">
        <f>_xlfn.XLOOKUP(B145,QUERY!$C:$C,QUERY!BH:BH)</f>
        <v>KILO,KILO,KILO,KILO,KILO,KILO,KILO,KILO,KILO,KILO,KILO,KILO,KILO</v>
      </c>
      <c r="HH145" s="3">
        <f>_xlfn.XLOOKUP(B145,QUERY!$C:$C,QUERY!BI:BI)</f>
        <v>0</v>
      </c>
      <c r="HI145" s="3" t="str">
        <f>_xlfn.XLOOKUP(B145,QUERY!$C:$C,QUERY!BJ:BJ)</f>
        <v>PAISES BAJOS (REINO DE LOS) (HOLANDA)</v>
      </c>
      <c r="HJ145" s="3" t="str">
        <f>_xlfn.XLOOKUP(B145,QUERY!$C:$C,QUERY!BK:BK)</f>
        <v>PAISES BAJOS (REINO DE LOS) (HOLANDA)</v>
      </c>
      <c r="HK145" s="3" t="str">
        <f>_xlfn.XLOOKUP(B145,QUERY!$C:$C,QUERY!BL:BL)</f>
        <v>ZYA</v>
      </c>
      <c r="HL145" s="3" t="str">
        <f>_xlfn.XLOOKUP(B145,QUERY!$C:$C,QUERY!BM:BM)</f>
        <v>ZYA</v>
      </c>
      <c r="HM145" s="3">
        <f>_xlfn.XLOOKUP(B145,QUERY!$C:$C,QUERY!BN:BN)</f>
        <v>41757683</v>
      </c>
      <c r="HN145" s="3" t="str">
        <f>_xlfn.XLOOKUP(B145,QUERY!$C:$C,QUERY!BO:BO)</f>
        <v>462.00</v>
      </c>
      <c r="HO145" s="3" t="str">
        <f>_xlfn.XLOOKUP(B145,QUERY!$C:$C,QUERY!BP:BP)</f>
        <v>NULL</v>
      </c>
      <c r="HP145" s="3" t="str">
        <f>_xlfn.XLOOKUP(B145,QUERY!$C:$C,QUERY!BQ:BQ)</f>
        <v>NULL</v>
      </c>
      <c r="HQ145" s="3" t="str">
        <f>_xlfn.XLOOKUP(B145,QUERY!$C:$C,QUERY!BR:BR)</f>
        <v>248801.02</v>
      </c>
      <c r="HR145" s="3">
        <f>_xlfn.XLOOKUP(B145,QUERY!$C:$C,QUERY!BS:BS)</f>
        <v>0</v>
      </c>
      <c r="HS145" s="3">
        <f>_xlfn.XLOOKUP(B145,QUERY!$C:$C,QUERY!BT:BT)</f>
        <v>0</v>
      </c>
      <c r="HT145" s="3" t="str">
        <f>_xlfn.XLOOKUP(B145,QUERY!$C:$C,QUERY!A:A)</f>
        <v>VERACRUZ</v>
      </c>
      <c r="HU145" s="3" t="str">
        <f>_xlfn.XLOOKUP(B145,QUERY!$C:$C,QUERY!B:B)</f>
        <v>MARÍTIMO VERACRUZ</v>
      </c>
    </row>
    <row r="146" spans="1:229" x14ac:dyDescent="0.25">
      <c r="A146" s="3" t="s">
        <v>90</v>
      </c>
      <c r="B146" s="3" t="s">
        <v>366</v>
      </c>
      <c r="C146" s="3">
        <v>3942</v>
      </c>
      <c r="D146" s="3">
        <v>6000434</v>
      </c>
      <c r="E146" s="3"/>
      <c r="F146" s="3" t="s">
        <v>92</v>
      </c>
      <c r="G146" s="3" t="s">
        <v>93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430</v>
      </c>
      <c r="S146" s="3" t="s">
        <v>367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 t="s">
        <v>217</v>
      </c>
      <c r="AB146" s="3"/>
      <c r="AC146" s="3">
        <v>3750336</v>
      </c>
      <c r="AD146" s="3">
        <v>520.88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/>
      <c r="AP146" s="3" t="s">
        <v>98</v>
      </c>
      <c r="AQ146" s="3">
        <v>210368547</v>
      </c>
      <c r="AR146" s="3" t="s">
        <v>99</v>
      </c>
      <c r="AS146" s="3" t="s">
        <v>100</v>
      </c>
      <c r="AT146" s="3">
        <v>0</v>
      </c>
      <c r="AU146" s="3">
        <v>0</v>
      </c>
      <c r="AV146" s="3">
        <v>0</v>
      </c>
      <c r="AW146" s="3">
        <v>30024201</v>
      </c>
      <c r="AX146" s="3">
        <v>99</v>
      </c>
      <c r="AY146" s="3">
        <v>7200</v>
      </c>
      <c r="AZ146" s="3">
        <v>7200</v>
      </c>
      <c r="BA146" s="3" t="s">
        <v>103</v>
      </c>
      <c r="BB146" s="3"/>
      <c r="BC146" s="3" t="s">
        <v>105</v>
      </c>
      <c r="BD146" s="3" t="s">
        <v>105</v>
      </c>
      <c r="BE146" s="3"/>
      <c r="BF146" s="3"/>
      <c r="BG146" s="5"/>
      <c r="BH146" s="3"/>
      <c r="BI146" s="3"/>
      <c r="BJ146" s="3"/>
      <c r="BK146" s="3" t="s">
        <v>371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 t="s">
        <v>192</v>
      </c>
      <c r="CF146" s="3">
        <v>0</v>
      </c>
      <c r="CG146" s="3">
        <v>0</v>
      </c>
      <c r="CH146" s="3">
        <v>0</v>
      </c>
      <c r="CI146" s="3" t="s">
        <v>112</v>
      </c>
      <c r="CJ146" s="3" t="s">
        <v>112</v>
      </c>
      <c r="CK146" s="3">
        <f>_xlfn.XLOOKUP($B$2,'BASE DE EXCEL'!C:C,'BASE DE EXCEL'!D:D,"NO HAY REFERENCIA")</f>
        <v>470</v>
      </c>
      <c r="CL146" s="5">
        <f>_xlfn.XLOOKUP($B$2,'BASE DE EXCEL'!$C:$C,'BASE DE EXCEL'!F:F,"NO HAY REFERENCIA")</f>
        <v>3</v>
      </c>
      <c r="CM146" s="4">
        <f>_xlfn.XLOOKUP($B$2,'BASE DE EXCEL'!$C:$C,'BASE DE EXCEL'!G:G,"NO HAY REFERENCIA")</f>
        <v>46080</v>
      </c>
      <c r="CN146" s="4">
        <f>_xlfn.XLOOKUP($B$2,'BASE DE EXCEL'!$C:$C,'BASE DE EXCEL'!H:H,"NO HAY REFERENCIA")</f>
        <v>46086</v>
      </c>
      <c r="CO146" s="3">
        <f>_xlfn.XLOOKUP($B$2,'BASE DE EXCEL'!$C:$C,'BASE DE EXCEL'!I:I,"NO HAY REFERENCIA")</f>
        <v>4</v>
      </c>
      <c r="CP146" s="3" t="str">
        <f>_xlfn.XLOOKUP($B$2,'BASE DE EXCEL'!$C:$C,'BASE DE EXCEL'!J:J,"NO HAY REFERENCIA")</f>
        <v>4 a 5 días</v>
      </c>
      <c r="CQ146" s="4">
        <f>_xlfn.XLOOKUP($B$2,'BASE DE EXCEL'!$C:$C,'BASE DE EXCEL'!K:K,"NO HAY REFERENCIA")</f>
        <v>46087</v>
      </c>
      <c r="CR146" s="3">
        <f>_xlfn.XLOOKUP($B$2,'BASE DE EXCEL'!$C:$C,'BASE DE EXCEL'!L:L,"NO HAY REFERENCIA")</f>
        <v>5</v>
      </c>
      <c r="CS146" s="3">
        <f>_xlfn.XLOOKUP($B$2,'BASE DE EXCEL'!$C:$C,'BASE DE EXCEL'!M:M,"NO HAY REFERENCIA")</f>
        <v>6</v>
      </c>
      <c r="CT146" s="3" t="str">
        <f>_xlfn.XLOOKUP($B$2,'BASE DE EXCEL'!$C:$C,'BASE DE EXCEL'!N:N,"NO HAY REFERENCIA")</f>
        <v>6 a 10 días</v>
      </c>
      <c r="CU146" s="3" t="str">
        <f>_xlfn.XLOOKUP($B$2,'BASE DE EXCEL'!$C:$C,'BASE DE EXCEL'!O:O,"NO HAY REFERENCIA")</f>
        <v>On Time</v>
      </c>
      <c r="CV146" s="3" t="str">
        <f>_xlfn.XLOOKUP(B146,'BASE DE EXCEL'!$C:$C,'BASE DE EXCEL'!P:P,"NO HAY REFERENCIA")</f>
        <v>6 a 10 días</v>
      </c>
      <c r="CW146" s="4">
        <f>_xlfn.XLOOKUP(B146,'BASE DE EXCEL'!$C:$C,'BASE DE EXCEL'!Q:Q,"NO HAY REFERENCIA")</f>
        <v>46119</v>
      </c>
      <c r="CX146" s="3">
        <f>_xlfn.XLOOKUP(B146,'BASE DE EXCEL'!$C:$C,'BASE DE EXCEL'!R:R,"NO HAY REFERENCIA")</f>
        <v>5</v>
      </c>
      <c r="CY146" s="3" t="str">
        <f>_xlfn.XLOOKUP(B146,'BASE DE EXCEL'!$C:$C,'BASE DE EXCEL'!S:S,"NO HAY REFERENCIA")</f>
        <v>4 a 5 días</v>
      </c>
      <c r="CZ146" s="3" t="str">
        <f>_xlfn.XLOOKUP(B146,'BASE DE EXCEL'!$C:$C,'BASE DE EXCEL'!T:T,"NO HAY REFERENCIA")</f>
        <v>On Time</v>
      </c>
      <c r="DA146" s="3">
        <f>_xlfn.XLOOKUP(B146,'BASE DE EXCEL'!$C:$C,'BASE DE EXCEL'!U:U,"NO HAY REFERENCIA")</f>
        <v>8</v>
      </c>
      <c r="DB146" s="3" t="str">
        <f>_xlfn.XLOOKUP(B146,'BASE DE EXCEL'!$C:$C,'BASE DE EXCEL'!V:V,"NO HAY REFERENCIA")</f>
        <v>6 a 10 días</v>
      </c>
      <c r="DC146" s="3">
        <f>_xlfn.XLOOKUP(B146,'BASE DE EXCEL'!$C:$C,'BASE DE EXCEL'!W:W,"NO HAY REFERENCIA")</f>
        <v>14</v>
      </c>
      <c r="DD146" s="3" t="str">
        <f>_xlfn.XLOOKUP(B146,'BASE DE EXCEL'!$C:$C,'BASE DE EXCEL'!X:X,"NO HAY REFERENCIA")</f>
        <v>11 a 15 días</v>
      </c>
      <c r="DE146" s="3">
        <f>_xlfn.XLOOKUP(B146,'BASE DE EXCEL'!$C:$C,'BASE DE EXCEL'!Y:Y,"NO HAY REFERENCIA")</f>
        <v>0</v>
      </c>
      <c r="DF146" s="3" t="str">
        <f>_xlfn.XLOOKUP(B146,'BASE DE EXCEL'!$C:$C,'BASE DE EXCEL'!Z:Z,"NO HAY REFERENCIA")</f>
        <v>1 día o menos</v>
      </c>
      <c r="DG146" s="3">
        <f>_xlfn.XLOOKUP(B146,'BASE DE EXCEL'!$C:$C,'BASE DE EXCEL'!AA:AA,"NO HAY REFERENCIA")</f>
        <v>7</v>
      </c>
      <c r="DH146" s="3">
        <f>_xlfn.XLOOKUP(B146,'BASE DE EXCEL'!$C:$C,'BASE DE EXCEL'!AB:AB,"NO HAY REFERENCIA")</f>
        <v>1</v>
      </c>
      <c r="DI146" s="3" t="str">
        <f>_xlfn.XLOOKUP(B146,'BASE DE EXCEL'!$C:$C,'BASE DE EXCEL'!AC:AC,"NO HAY REFERENCIA")</f>
        <v>1 día o menos</v>
      </c>
      <c r="DJ146" s="4">
        <f>_xlfn.XLOOKUP(B146,'BASE DE EXCEL'!$C:$C,'BASE DE EXCEL'!AD:AD,"NO HAY REFERENCIA")</f>
        <v>46129</v>
      </c>
      <c r="DK146" s="3">
        <f>_xlfn.XLOOKUP(B146,'BASE DE EXCEL'!$C:$C,'BASE DE EXCEL'!AE:AE,"NO HAY REFERENCIA")</f>
        <v>9</v>
      </c>
      <c r="DL146" s="3">
        <f>_xlfn.XLOOKUP(B146,'BASE DE EXCEL'!$C:$C,'BASE DE EXCEL'!AF:AF,"NO HAY REFERENCIA")</f>
        <v>8</v>
      </c>
      <c r="DM146" s="4">
        <f>_xlfn.XLOOKUP(B146,'BASE DE EXCEL'!$C:$C,'BASE DE EXCEL'!AG:AG,"NO HAY REFERENCIA")</f>
        <v>46128</v>
      </c>
      <c r="DN146" s="4">
        <f>_xlfn.XLOOKUP(B146,'BASE DE EXCEL'!$C:$C,'BASE DE EXCEL'!AH:AH,"NO HAY REFERENCIA")</f>
        <v>46129</v>
      </c>
      <c r="DO146" s="3">
        <f>_xlfn.XLOOKUP(B146,'BASE DE EXCEL'!$C:$C,'BASE DE EXCEL'!AI:AI,"NO HAY REFERENCIA")</f>
        <v>1</v>
      </c>
      <c r="DP146" s="4" t="str">
        <f>_xlfn.XLOOKUP(B146,'BASE DE EXCEL'!$C:$C,'BASE DE EXCEL'!AJ:AJ,"NO HAY REFERENCIA")</f>
        <v>6 a 10 días</v>
      </c>
      <c r="DQ146" s="4">
        <f>_xlfn.XLOOKUP(B146,'BASE DE EXCEL'!$C:$C,'BASE DE EXCEL'!AK:AK,"NO HAY REFERENCIA")</f>
        <v>46129</v>
      </c>
      <c r="DR146" s="3">
        <f>_xlfn.XLOOKUP(B146,'BASE DE EXCEL'!$C:$C,'BASE DE EXCEL'!AL:AL,"NO HAY REFERENCIA")</f>
        <v>9</v>
      </c>
      <c r="DS146" s="3" t="str">
        <f>_xlfn.XLOOKUP(B146,'BASE DE EXCEL'!$C:$C,'BASE DE EXCEL'!AM:AM,"NO HAY REFERENCIA")</f>
        <v>6 a 10 días</v>
      </c>
      <c r="DT146" s="3" t="str">
        <f>_xlfn.XLOOKUP(B146,'BASE DE EXCEL'!$C:$C,'BASE DE EXCEL'!AN:AN,"NO HAY REFERENCIA")</f>
        <v>Delayed</v>
      </c>
      <c r="DU146" s="3">
        <f>_xlfn.XLOOKUP(B146,'BASE DE EXCEL'!$C:$C,'BASE DE EXCEL'!AO:AO,"NO HAY REFERENCIA")</f>
        <v>1</v>
      </c>
      <c r="DV146" s="3" t="str">
        <f>_xlfn.XLOOKUP(B146,'BASE DE EXCEL'!$C:$C,'BASE DE EXCEL'!AP:AP,"NO HAY REFERENCIA")</f>
        <v>Es anterior</v>
      </c>
      <c r="DW146" s="3" t="str">
        <f>_xlfn.XLOOKUP(B146,'BASE DE EXCEL'!$C:$C,'BASE DE EXCEL'!AQ:AQ,"NO HAY REFERENCIA")</f>
        <v>A1</v>
      </c>
      <c r="DX146" s="3" t="str">
        <f>_xlfn.XLOOKUP(B146,'BASE DE EXCEL'!$C:$C,'BASE DE EXCEL'!AR:AR,"NO HAY REFERENCIA")</f>
        <v>ZULEIMA PEREZ RUIZ</v>
      </c>
      <c r="DY146" s="3" t="str">
        <f>_xlfn.XLOOKUP(B146,'BASE DE EXCEL'!$C:$C,'BASE DE EXCEL'!AS:AS,"NO HAY REFERENCIA")</f>
        <v>HLCURTM260288670</v>
      </c>
      <c r="DZ146" s="3" t="str">
        <f>_xlfn.XLOOKUP(B146,'BASE DE EXCEL'!$C:$C,'BASE DE EXCEL'!AT:AT,"NO HAY REFERENCIA")</f>
        <v>NULL</v>
      </c>
      <c r="EA146" s="3">
        <f>_xlfn.XLOOKUP(B146,'BASE DE EXCEL'!$C:$C,'BASE DE EXCEL'!AU:AU,"NO HAY REFERENCIA")</f>
        <v>6000434</v>
      </c>
      <c r="EB146" s="3" t="str">
        <f>_xlfn.XLOOKUP(B146,'BASE DE EXCEL'!$C:$C,'BASE DE EXCEL'!AV:AV,"NO HAY REFERENCIA")</f>
        <v>Importación</v>
      </c>
      <c r="EC146" s="3" t="str">
        <f>_xlfn.XLOOKUP(B146,'BASE DE EXCEL'!$C:$C,'BASE DE EXCEL'!AW:AW,"NO HAY REFERENCIA")</f>
        <v>NOBIVAC DH PARVO C (VACUNA DE USO VETERINARIO)</v>
      </c>
      <c r="ED146" s="3" t="str">
        <f>_xlfn.XLOOKUP(B146,'BASE DE EXCEL'!$C:$C,'BASE DE EXCEL'!AX:AX,"NO HAY REFERENCIA")</f>
        <v>SIN CLASIFICACION</v>
      </c>
      <c r="EE146" s="3">
        <f>_xlfn.XLOOKUP(B146,'BASE DE EXCEL'!$C:$C,'BASE DE EXCEL'!AY:AY,"NO HAY REFERENCIA")</f>
        <v>0</v>
      </c>
      <c r="EF146" s="3" t="str">
        <f>_xlfn.XLOOKUP(B146,'BASE DE EXCEL'!$C:$C,'BASE DE EXCEL'!AZ:AZ,"NO HAY REFERENCIA")</f>
        <v>Cargas de Importación</v>
      </c>
      <c r="EG146" s="3" t="str">
        <f>_xlfn.XLOOKUP(B146,'BASE DE EXCEL'!$C:$C,'BASE DE EXCEL'!BA:BA,"NO HAY REFERENCIA")</f>
        <v>INTERVET MEXICO SA DE CV</v>
      </c>
      <c r="EH146" s="3">
        <f>_xlfn.XLOOKUP(B146,'BASE DE EXCEL'!$C:$C,'BASE DE EXCEL'!BB:BB,"NO HAY REFERENCIA")</f>
        <v>0</v>
      </c>
      <c r="EI146" s="3" t="str">
        <f>_xlfn.XLOOKUP(B146,'BASE DE EXCEL'!$C:$C,'BASE DE EXCEL'!BC:BC,"NO HAY REFERENCIA")</f>
        <v>NINGUNO</v>
      </c>
      <c r="EJ146" s="3">
        <f>_xlfn.XLOOKUP(B146,'BASE DE EXCEL'!$C:$C,'BASE DE EXCEL'!BD:BD,"NO HAY REFERENCIA")</f>
        <v>0</v>
      </c>
      <c r="EK146" s="3" t="str">
        <f>_xlfn.XLOOKUP(B146,'BASE DE EXCEL'!$C:$C,'BASE DE EXCEL'!BE:BE,"NO HAY REFERENCIA")</f>
        <v>NINGUNO</v>
      </c>
      <c r="EL146" s="3" t="str">
        <f>_xlfn.XLOOKUP(B146,'BASE DE EXCEL'!$C:$C,'BASE DE EXCEL'!BF:BF,"NO HAY REFERENCIA")</f>
        <v>PRODUCTO TERMINADO</v>
      </c>
      <c r="EM146" s="3" t="str">
        <f>_xlfn.XLOOKUP(B146,'BASE DE EXCEL'!$C:$C,'BASE DE EXCEL'!BG:BG,"NO HAY REFERENCIA")</f>
        <v>Rojo</v>
      </c>
      <c r="EN146" s="3" t="str">
        <f>_xlfn.XLOOKUP(B146,'BASE DE EXCEL'!$C:$C,'BASE DE EXCEL'!BH:BH,"NO HAY REFERENCIA")</f>
        <v xml:space="preserve"> MLH TRANSPORTE, S.A. DE C.V.</v>
      </c>
      <c r="EO146" s="3" t="str">
        <f>_xlfn.XLOOKUP(B146,'BASE DE EXCEL'!$C:$C,'BASE DE EXCEL'!BI:BI,"NO HAY REFERENCIA")</f>
        <v>TRACTOCAMION ECO 110</v>
      </c>
      <c r="EP146" s="3">
        <f>_xlfn.XLOOKUP(B146,'BASE DE EXCEL'!$C:$C,'BASE DE EXCEL'!BJ:BJ,"NO HAY REFERENCIA")</f>
        <v>0</v>
      </c>
      <c r="EQ146" s="3" t="str">
        <f>_xlfn.XLOOKUP(B146,'BASE DE EXCEL'!$C:$C,'BASE DE EXCEL'!BK:BK,"NO HAY REFERENCIA")</f>
        <v>IME850329RH2</v>
      </c>
      <c r="ER146" s="3">
        <f>_xlfn.XLOOKUP(B146,'BASE DE EXCEL'!$C:$C,'BASE DE EXCEL'!BL:BL,"NO HAY REFERENCIA")</f>
        <v>0</v>
      </c>
      <c r="ES146" s="3">
        <f>_xlfn.XLOOKUP(B146,'BASE DE EXCEL'!$C:$C,'BASE DE EXCEL'!BM:BM,"NO HAY REFERENCIA")</f>
        <v>99</v>
      </c>
      <c r="ET146" s="3" t="str">
        <f>_xlfn.XLOOKUP(B146,'BASE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6" s="3">
        <f>_xlfn.XLOOKUP(B146,'BASE DE EXCEL'!$C:$C,'BASE DE EXCEL'!BO:BO,"NO HAY REFERENCIA")</f>
        <v>90</v>
      </c>
      <c r="EV146" s="3" t="str">
        <f>_xlfn.XLOOKUP(B146,'BASE DE EXCEL'!$C:$C,'BASE DE EXCEL'!BP:BP,"NO HAY REFERENCIA")</f>
        <v xml:space="preserve"> 11626987.90, 30130695.36</v>
      </c>
      <c r="EW146" s="3" t="str">
        <f>_xlfn.XLOOKUP(B146,'BASE DE EXCEL'!$C:$C,'BASE DE EXCEL'!BQ:BQ,"NO HAY REFERENCIA")</f>
        <v>KILO,KILO,KILO,KILO,KILO,KILO,KILO,KILO,KILO,KILO,KILO,KILO,KILO</v>
      </c>
      <c r="EX146" s="3">
        <f>_xlfn.XLOOKUP(B146,'BASE DE EXCEL'!$C:$C,'BASE DE EXCEL'!BR:BR,"NO HAY REFERENCIA")</f>
        <v>0</v>
      </c>
      <c r="EY146" s="3" t="str">
        <f>_xlfn.XLOOKUP(B146,'BASE DE EXCEL'!$C:$C,'BASE DE EXCEL'!BS:BS,"NO HAY REFERENCIA")</f>
        <v>PAISES BAJOS (REINO DE LOS) (HOLANDA)</v>
      </c>
      <c r="EZ146" s="3" t="str">
        <f>_xlfn.XLOOKUP(B146,'BASE DE EXCEL'!$C:$C,'BASE DE EXCEL'!BT:BT,"NO HAY REFERENCIA")</f>
        <v>PAISES BAJOS (REINO DE LOS) (HOLANDA)</v>
      </c>
      <c r="FA146" s="3" t="str">
        <f>_xlfn.XLOOKUP(B146,'BASE DE EXCEL'!$C:$C,'BASE DE EXCEL'!BU:BU,"NO HAY REFERENCIA")</f>
        <v>ZYA</v>
      </c>
      <c r="FB146" s="3" t="str">
        <f>_xlfn.XLOOKUP(B146,'BASE DE EXCEL'!$C:$C,'BASE DE EXCEL'!BV:BV,"NO HAY REFERENCIA")</f>
        <v>ZYA</v>
      </c>
      <c r="FC146" s="3">
        <f>_xlfn.XLOOKUP(B146,QUERY!$C:$C,QUERY!D:D)</f>
        <v>430</v>
      </c>
      <c r="FD146" s="4">
        <f>_xlfn.XLOOKUP(B146,QUERY!$C:$C,QUERY!E:E)</f>
        <v>46118</v>
      </c>
      <c r="FE146" s="3">
        <f>_xlfn.XLOOKUP(B146,QUERY!$C:$C,QUERY!F:F)</f>
        <v>4</v>
      </c>
      <c r="FF146" s="4">
        <f>_xlfn.XLOOKUP(B146,QUERY!$C:$C,QUERY!G:G)</f>
        <v>46111</v>
      </c>
      <c r="FG146" s="4">
        <f>_xlfn.XLOOKUP(B146,QUERY!$C:$C,QUERY!H:H)</f>
        <v>46118</v>
      </c>
      <c r="FH146" s="3">
        <f>_xlfn.XLOOKUP(B146,QUERY!$C:$C,QUERY!I:I)</f>
        <v>5</v>
      </c>
      <c r="FI146" s="3" t="str">
        <f>_xlfn.XLOOKUP(B146,QUERY!$C:$C,QUERY!J:J)</f>
        <v>4 a 5 días</v>
      </c>
      <c r="FJ146" s="4">
        <f>_xlfn.XLOOKUP(B146,QUERY!$C:$C,QUERY!K:K)</f>
        <v>46118</v>
      </c>
      <c r="FK146" s="3">
        <f>_xlfn.XLOOKUP(B146,QUERY!$C:$C,QUERY!L:L)</f>
        <v>5</v>
      </c>
      <c r="FL146" s="3" t="str">
        <f>_xlfn.XLOOKUP(B146,QUERY!$C:$C,QUERY!M:M)</f>
        <v>4 a 5 días</v>
      </c>
      <c r="FM146" s="3">
        <f>_xlfn.XLOOKUP(B146,QUERY!$C:$C,QUERY!N:N)</f>
        <v>0</v>
      </c>
      <c r="FN146" s="3" t="str">
        <f>_xlfn.XLOOKUP(B146,QUERY!$C:$C,QUERY!O:O)</f>
        <v>1 día o menos</v>
      </c>
      <c r="FO146" s="3">
        <f>_xlfn.XLOOKUP(B146,QUERY!$C:$C,QUERY!P:P)</f>
        <v>0</v>
      </c>
      <c r="FP146" s="3">
        <f>_xlfn.XLOOKUP(B146,QUERY!$C:$C,QUERY!Q:Q)</f>
        <v>1</v>
      </c>
      <c r="FQ146" s="3" t="str">
        <f>_xlfn.XLOOKUP(B146,QUERY!$C:$C,QUERY!R:R)</f>
        <v>1 día o menos</v>
      </c>
      <c r="FR146" s="4">
        <f>_xlfn.XLOOKUP(B146,QUERY!$C:$C,QUERY!S:S)</f>
        <v>46119</v>
      </c>
      <c r="FS146" s="3">
        <f>_xlfn.XLOOKUP(B146,QUERY!$C:$C,QUERY!T:T)</f>
        <v>6</v>
      </c>
      <c r="FT146" s="3" t="str">
        <f>_xlfn.XLOOKUP(B146,QUERY!$C:$C,QUERY!U:U)</f>
        <v>6 a 10 días</v>
      </c>
      <c r="FU146" s="3">
        <f>_xlfn.XLOOKUP(B146,QUERY!$C:$C,QUERY!V:V)</f>
        <v>14</v>
      </c>
      <c r="FV146" s="3" t="str">
        <f>_xlfn.XLOOKUP(B146,QUERY!$C:$C,QUERY!W:W)</f>
        <v>11 a 15 días</v>
      </c>
      <c r="FW146" s="4">
        <f>_xlfn.XLOOKUP(B146,QUERY!$C:$C,QUERY!X:X)</f>
        <v>46129</v>
      </c>
      <c r="FX146" s="3">
        <f>_xlfn.XLOOKUP(B146,QUERY!$C:$C,QUERY!Y:Y)</f>
        <v>7</v>
      </c>
      <c r="FY146" s="3">
        <f>_xlfn.XLOOKUP(B146,QUERY!$C:$C,QUERY!Z:Z)</f>
        <v>8</v>
      </c>
      <c r="FZ146" s="4" t="str">
        <f>_xlfn.XLOOKUP(B146,QUERY!$C:$C,QUERY!AA:AA)</f>
        <v>6 a 10 días</v>
      </c>
      <c r="GA146" s="4">
        <f>_xlfn.XLOOKUP(B146,QUERY!$C:$C,QUERY!AB:AB)</f>
        <v>46128</v>
      </c>
      <c r="GB146" s="4">
        <f>_xlfn.XLOOKUP(B146,QUERY!$C:$C,QUERY!AC:AC)</f>
        <v>46129</v>
      </c>
      <c r="GC146" s="3">
        <f>_xlfn.XLOOKUP(B146,QUERY!$C:$C,QUERY!AD:AD)</f>
        <v>1</v>
      </c>
      <c r="GD146" s="4">
        <f>_xlfn.XLOOKUP(B146,QUERY!$C:$C,QUERY!AE:AE)</f>
        <v>46129</v>
      </c>
      <c r="GE146" s="3">
        <f>_xlfn.XLOOKUP(B146,QUERY!$C:$C,QUERY!AF:AF)</f>
        <v>1</v>
      </c>
      <c r="GF146" s="4" t="str">
        <f>_xlfn.XLOOKUP(B146,QUERY!$C:$C,QUERY!AG:AG)</f>
        <v>Es anterior</v>
      </c>
      <c r="GG146" s="3" t="str">
        <f>_xlfn.XLOOKUP(B146,QUERY!$C:$C,QUERY!AH:AH)</f>
        <v>A1</v>
      </c>
      <c r="GH146" s="3" t="str">
        <f>_xlfn.XLOOKUP(B146,QUERY!$C:$C,QUERY!AI:AI)</f>
        <v>ZULEIMA PEREZ RUIZ</v>
      </c>
      <c r="GI146" s="3" t="str">
        <f>_xlfn.XLOOKUP(B146,QUERY!$C:$C,QUERY!AJ:AJ)</f>
        <v>HLCURTM260288670</v>
      </c>
      <c r="GJ146" s="3" t="str">
        <f>_xlfn.XLOOKUP(B146,QUERY!$C:$C,QUERY!AK:AK)</f>
        <v>NULL</v>
      </c>
      <c r="GK146" s="3">
        <f>_xlfn.XLOOKUP(B146,QUERY!$C:$C,QUERY!AL:AL)</f>
        <v>6000434</v>
      </c>
      <c r="GL146" s="3" t="str">
        <f>_xlfn.XLOOKUP(B146,QUERY!$C:$C,QUERY!AM:AM)</f>
        <v>Importación</v>
      </c>
      <c r="GM146" s="3" t="str">
        <f>_xlfn.XLOOKUP(B146,QUERY!$C:$C,QUERY!AN:AN)</f>
        <v>NOBIVAC DH PARVO C (VACUNA DE USO VETERINARIO)</v>
      </c>
      <c r="GN146" s="3" t="str">
        <f>_xlfn.XLOOKUP(B146,QUERY!$C:$C,QUERY!AO:AO)</f>
        <v>SIN CLASIFICACION</v>
      </c>
      <c r="GO146" s="3">
        <f>_xlfn.XLOOKUP(B146,QUERY!$C:$C,QUERY!AP:AP)</f>
        <v>0</v>
      </c>
      <c r="GP146" s="3" t="str">
        <f>_xlfn.XLOOKUP(B146,QUERY!$C:$C,QUERY!AQ:AQ)</f>
        <v>Cargas de Importación</v>
      </c>
      <c r="GQ146" s="3" t="str">
        <f>_xlfn.XLOOKUP(B146,QUERY!$C:$C,QUERY!AR:AR)</f>
        <v>INTERVET MEXICO SA DE CV</v>
      </c>
      <c r="GR146" s="3">
        <f>_xlfn.XLOOKUP(B146,QUERY!$C:$C,QUERY!AS:AS)</f>
        <v>0</v>
      </c>
      <c r="GS146" s="3" t="str">
        <f>_xlfn.XLOOKUP(B146,QUERY!$C:$C,QUERY!AT:AT)</f>
        <v>NINGUNO</v>
      </c>
      <c r="GT146" s="3">
        <f>_xlfn.XLOOKUP(B146,QUERY!$C:$C,QUERY!AU:AU)</f>
        <v>0</v>
      </c>
      <c r="GU146" s="3" t="str">
        <f>_xlfn.XLOOKUP(B146,QUERY!$C:$C,QUERY!AV:AV)</f>
        <v>NINGUNO</v>
      </c>
      <c r="GV146" s="3" t="str">
        <f>_xlfn.XLOOKUP(B146,QUERY!$C:$C,QUERY!AW:AW)</f>
        <v>PRODUCTO TERMINADO</v>
      </c>
      <c r="GW146" s="3" t="str">
        <f>_xlfn.XLOOKUP(B146,QUERY!$C:$C,QUERY!AX:AX)</f>
        <v>Rojo</v>
      </c>
      <c r="GX146" s="3" t="str">
        <f>_xlfn.XLOOKUP(B146,QUERY!$C:$C,QUERY!AY:AY)</f>
        <v xml:space="preserve"> MLH TRANSPORTE, S.A. DE C.V.</v>
      </c>
      <c r="GY146" s="3" t="str">
        <f>_xlfn.XLOOKUP(B146,QUERY!$C:$C,QUERY!AZ:AZ)</f>
        <v>TRACTOCAMION ECO 110</v>
      </c>
      <c r="GZ146" s="3">
        <f>_xlfn.XLOOKUP(B146,QUERY!$C:$C,QUERY!BA:BA)</f>
        <v>0</v>
      </c>
      <c r="HA146" s="3" t="str">
        <f>_xlfn.XLOOKUP(B146,QUERY!$C:$C,QUERY!BB:BB)</f>
        <v>IME850329RH2</v>
      </c>
      <c r="HB146" s="3">
        <f>_xlfn.XLOOKUP(B146,QUERY!$C:$C,QUERY!BC:BC)</f>
        <v>0</v>
      </c>
      <c r="HC146" s="3">
        <f>_xlfn.XLOOKUP(B146,QUERY!$C:$C,QUERY!BD:BD)</f>
        <v>99</v>
      </c>
      <c r="HD146" s="3" t="str">
        <f>_xlfn.XLOOKUP(B146,QUERY!$C:$C,QUERY!BE:BE)</f>
        <v>LOTE: A217C01,LOTE: A849F01,LOTE: A225A01,LOTE: A180E01,LOTE: 1E073A02,LOTE: A145A01,LOTE: A227A01,LOTE: A061A03,LOTE: A061A04,LOTE: 1E073A03,LOTE: A737B01,LOTE: A270A02,LOTE: A032AJ02</v>
      </c>
      <c r="HE146" s="3">
        <f>_xlfn.XLOOKUP(B146,QUERY!$C:$C,QUERY!BF:BF)</f>
        <v>90</v>
      </c>
      <c r="HF146" s="3" t="str">
        <f>_xlfn.XLOOKUP(B146,QUERY!$C:$C,QUERY!BG:BG)</f>
        <v xml:space="preserve"> 11626987.90, 30130695.36</v>
      </c>
      <c r="HG146" s="3" t="str">
        <f>_xlfn.XLOOKUP(B146,QUERY!$C:$C,QUERY!BH:BH)</f>
        <v>KILO,KILO,KILO,KILO,KILO,KILO,KILO,KILO,KILO,KILO,KILO,KILO,KILO</v>
      </c>
      <c r="HH146" s="3">
        <f>_xlfn.XLOOKUP(B146,QUERY!$C:$C,QUERY!BI:BI)</f>
        <v>0</v>
      </c>
      <c r="HI146" s="3" t="str">
        <f>_xlfn.XLOOKUP(B146,QUERY!$C:$C,QUERY!BJ:BJ)</f>
        <v>PAISES BAJOS (REINO DE LOS) (HOLANDA)</v>
      </c>
      <c r="HJ146" s="3" t="str">
        <f>_xlfn.XLOOKUP(B146,QUERY!$C:$C,QUERY!BK:BK)</f>
        <v>PAISES BAJOS (REINO DE LOS) (HOLANDA)</v>
      </c>
      <c r="HK146" s="3" t="str">
        <f>_xlfn.XLOOKUP(B146,QUERY!$C:$C,QUERY!BL:BL)</f>
        <v>ZYA</v>
      </c>
      <c r="HL146" s="3" t="str">
        <f>_xlfn.XLOOKUP(B146,QUERY!$C:$C,QUERY!BM:BM)</f>
        <v>ZYA</v>
      </c>
      <c r="HM146" s="3">
        <f>_xlfn.XLOOKUP(B146,QUERY!$C:$C,QUERY!BN:BN)</f>
        <v>41757683</v>
      </c>
      <c r="HN146" s="3" t="str">
        <f>_xlfn.XLOOKUP(B146,QUERY!$C:$C,QUERY!BO:BO)</f>
        <v>462.00</v>
      </c>
      <c r="HO146" s="3" t="str">
        <f>_xlfn.XLOOKUP(B146,QUERY!$C:$C,QUERY!BP:BP)</f>
        <v>NULL</v>
      </c>
      <c r="HP146" s="3" t="str">
        <f>_xlfn.XLOOKUP(B146,QUERY!$C:$C,QUERY!BQ:BQ)</f>
        <v>NULL</v>
      </c>
      <c r="HQ146" s="3" t="str">
        <f>_xlfn.XLOOKUP(B146,QUERY!$C:$C,QUERY!BR:BR)</f>
        <v>248801.02</v>
      </c>
      <c r="HR146" s="3">
        <f>_xlfn.XLOOKUP(B146,QUERY!$C:$C,QUERY!BS:BS)</f>
        <v>0</v>
      </c>
      <c r="HS146" s="3">
        <f>_xlfn.XLOOKUP(B146,QUERY!$C:$C,QUERY!BT:BT)</f>
        <v>0</v>
      </c>
      <c r="HT146" s="3" t="str">
        <f>_xlfn.XLOOKUP(B146,QUERY!$C:$C,QUERY!A:A)</f>
        <v>VERACRUZ</v>
      </c>
      <c r="HU146" s="3" t="str">
        <f>_xlfn.XLOOKUP(B146,QUERY!$C:$C,QUERY!B:B)</f>
        <v>MARÍTIMO VERACRUZ</v>
      </c>
    </row>
    <row r="147" spans="1:229" x14ac:dyDescent="0.25">
      <c r="A147" s="3" t="s">
        <v>90</v>
      </c>
      <c r="B147" s="3" t="s">
        <v>366</v>
      </c>
      <c r="C147" s="3">
        <v>3942</v>
      </c>
      <c r="D147" s="3">
        <v>6000434</v>
      </c>
      <c r="E147" s="3"/>
      <c r="F147" s="3" t="s">
        <v>92</v>
      </c>
      <c r="G147" s="3" t="s">
        <v>93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430</v>
      </c>
      <c r="S147" s="3" t="s">
        <v>367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 t="s">
        <v>372</v>
      </c>
      <c r="AB147" s="3"/>
      <c r="AC147" s="3">
        <v>796527</v>
      </c>
      <c r="AD147" s="3">
        <v>181.07002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/>
      <c r="AP147" s="3" t="s">
        <v>98</v>
      </c>
      <c r="AQ147" s="3">
        <v>210368547</v>
      </c>
      <c r="AR147" s="3" t="s">
        <v>99</v>
      </c>
      <c r="AS147" s="3" t="s">
        <v>100</v>
      </c>
      <c r="AT147" s="3">
        <v>0</v>
      </c>
      <c r="AU147" s="3">
        <v>0</v>
      </c>
      <c r="AV147" s="3">
        <v>0</v>
      </c>
      <c r="AW147" s="3">
        <v>30024201</v>
      </c>
      <c r="AX147" s="3">
        <v>99</v>
      </c>
      <c r="AY147" s="3">
        <v>4399</v>
      </c>
      <c r="AZ147" s="3">
        <v>4399</v>
      </c>
      <c r="BA147" s="3" t="s">
        <v>103</v>
      </c>
      <c r="BB147" s="3"/>
      <c r="BC147" s="3" t="s">
        <v>105</v>
      </c>
      <c r="BD147" s="3" t="s">
        <v>105</v>
      </c>
      <c r="BE147" s="3"/>
      <c r="BF147" s="3"/>
      <c r="BG147" s="5"/>
      <c r="BH147" s="3"/>
      <c r="BI147" s="3"/>
      <c r="BJ147" s="3"/>
      <c r="BK147" s="3" t="s">
        <v>371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 t="s">
        <v>192</v>
      </c>
      <c r="CF147" s="3">
        <v>0</v>
      </c>
      <c r="CG147" s="3">
        <v>0</v>
      </c>
      <c r="CH147" s="3">
        <v>0</v>
      </c>
      <c r="CI147" s="3" t="s">
        <v>112</v>
      </c>
      <c r="CJ147" s="3" t="s">
        <v>112</v>
      </c>
      <c r="CK147" s="3">
        <f>_xlfn.XLOOKUP($B$2,'BASE DE EXCEL'!C:C,'BASE DE EXCEL'!D:D,"NO HAY REFERENCIA")</f>
        <v>470</v>
      </c>
      <c r="CL147" s="5">
        <f>_xlfn.XLOOKUP($B$2,'BASE DE EXCEL'!$C:$C,'BASE DE EXCEL'!F:F,"NO HAY REFERENCIA")</f>
        <v>3</v>
      </c>
      <c r="CM147" s="4">
        <f>_xlfn.XLOOKUP($B$2,'BASE DE EXCEL'!$C:$C,'BASE DE EXCEL'!G:G,"NO HAY REFERENCIA")</f>
        <v>46080</v>
      </c>
      <c r="CN147" s="4">
        <f>_xlfn.XLOOKUP($B$2,'BASE DE EXCEL'!$C:$C,'BASE DE EXCEL'!H:H,"NO HAY REFERENCIA")</f>
        <v>46086</v>
      </c>
      <c r="CO147" s="3">
        <f>_xlfn.XLOOKUP($B$2,'BASE DE EXCEL'!$C:$C,'BASE DE EXCEL'!I:I,"NO HAY REFERENCIA")</f>
        <v>4</v>
      </c>
      <c r="CP147" s="3" t="str">
        <f>_xlfn.XLOOKUP($B$2,'BASE DE EXCEL'!$C:$C,'BASE DE EXCEL'!J:J,"NO HAY REFERENCIA")</f>
        <v>4 a 5 días</v>
      </c>
      <c r="CQ147" s="4">
        <f>_xlfn.XLOOKUP($B$2,'BASE DE EXCEL'!$C:$C,'BASE DE EXCEL'!K:K,"NO HAY REFERENCIA")</f>
        <v>46087</v>
      </c>
      <c r="CR147" s="3">
        <f>_xlfn.XLOOKUP($B$2,'BASE DE EXCEL'!$C:$C,'BASE DE EXCEL'!L:L,"NO HAY REFERENCIA")</f>
        <v>5</v>
      </c>
      <c r="CS147" s="3">
        <f>_xlfn.XLOOKUP($B$2,'BASE DE EXCEL'!$C:$C,'BASE DE EXCEL'!M:M,"NO HAY REFERENCIA")</f>
        <v>6</v>
      </c>
      <c r="CT147" s="3" t="str">
        <f>_xlfn.XLOOKUP($B$2,'BASE DE EXCEL'!$C:$C,'BASE DE EXCEL'!N:N,"NO HAY REFERENCIA")</f>
        <v>6 a 10 días</v>
      </c>
      <c r="CU147" s="3" t="str">
        <f>_xlfn.XLOOKUP($B$2,'BASE DE EXCEL'!$C:$C,'BASE DE EXCEL'!O:O,"NO HAY REFERENCIA")</f>
        <v>On Time</v>
      </c>
      <c r="CV147" s="3" t="str">
        <f>_xlfn.XLOOKUP(B147,'BASE DE EXCEL'!$C:$C,'BASE DE EXCEL'!P:P,"NO HAY REFERENCIA")</f>
        <v>6 a 10 días</v>
      </c>
      <c r="CW147" s="4">
        <f>_xlfn.XLOOKUP(B147,'BASE DE EXCEL'!$C:$C,'BASE DE EXCEL'!Q:Q,"NO HAY REFERENCIA")</f>
        <v>46119</v>
      </c>
      <c r="CX147" s="3">
        <f>_xlfn.XLOOKUP(B147,'BASE DE EXCEL'!$C:$C,'BASE DE EXCEL'!R:R,"NO HAY REFERENCIA")</f>
        <v>5</v>
      </c>
      <c r="CY147" s="3" t="str">
        <f>_xlfn.XLOOKUP(B147,'BASE DE EXCEL'!$C:$C,'BASE DE EXCEL'!S:S,"NO HAY REFERENCIA")</f>
        <v>4 a 5 días</v>
      </c>
      <c r="CZ147" s="3" t="str">
        <f>_xlfn.XLOOKUP(B147,'BASE DE EXCEL'!$C:$C,'BASE DE EXCEL'!T:T,"NO HAY REFERENCIA")</f>
        <v>On Time</v>
      </c>
      <c r="DA147" s="3">
        <f>_xlfn.XLOOKUP(B147,'BASE DE EXCEL'!$C:$C,'BASE DE EXCEL'!U:U,"NO HAY REFERENCIA")</f>
        <v>8</v>
      </c>
      <c r="DB147" s="3" t="str">
        <f>_xlfn.XLOOKUP(B147,'BASE DE EXCEL'!$C:$C,'BASE DE EXCEL'!V:V,"NO HAY REFERENCIA")</f>
        <v>6 a 10 días</v>
      </c>
      <c r="DC147" s="3">
        <f>_xlfn.XLOOKUP(B147,'BASE DE EXCEL'!$C:$C,'BASE DE EXCEL'!W:W,"NO HAY REFERENCIA")</f>
        <v>14</v>
      </c>
      <c r="DD147" s="3" t="str">
        <f>_xlfn.XLOOKUP(B147,'BASE DE EXCEL'!$C:$C,'BASE DE EXCEL'!X:X,"NO HAY REFERENCIA")</f>
        <v>11 a 15 días</v>
      </c>
      <c r="DE147" s="3">
        <f>_xlfn.XLOOKUP(B147,'BASE DE EXCEL'!$C:$C,'BASE DE EXCEL'!Y:Y,"NO HAY REFERENCIA")</f>
        <v>0</v>
      </c>
      <c r="DF147" s="3" t="str">
        <f>_xlfn.XLOOKUP(B147,'BASE DE EXCEL'!$C:$C,'BASE DE EXCEL'!Z:Z,"NO HAY REFERENCIA")</f>
        <v>1 día o menos</v>
      </c>
      <c r="DG147" s="3">
        <f>_xlfn.XLOOKUP(B147,'BASE DE EXCEL'!$C:$C,'BASE DE EXCEL'!AA:AA,"NO HAY REFERENCIA")</f>
        <v>7</v>
      </c>
      <c r="DH147" s="3">
        <f>_xlfn.XLOOKUP(B147,'BASE DE EXCEL'!$C:$C,'BASE DE EXCEL'!AB:AB,"NO HAY REFERENCIA")</f>
        <v>1</v>
      </c>
      <c r="DI147" s="3" t="str">
        <f>_xlfn.XLOOKUP(B147,'BASE DE EXCEL'!$C:$C,'BASE DE EXCEL'!AC:AC,"NO HAY REFERENCIA")</f>
        <v>1 día o menos</v>
      </c>
      <c r="DJ147" s="4">
        <f>_xlfn.XLOOKUP(B147,'BASE DE EXCEL'!$C:$C,'BASE DE EXCEL'!AD:AD,"NO HAY REFERENCIA")</f>
        <v>46129</v>
      </c>
      <c r="DK147" s="3">
        <f>_xlfn.XLOOKUP(B147,'BASE DE EXCEL'!$C:$C,'BASE DE EXCEL'!AE:AE,"NO HAY REFERENCIA")</f>
        <v>9</v>
      </c>
      <c r="DL147" s="3">
        <f>_xlfn.XLOOKUP(B147,'BASE DE EXCEL'!$C:$C,'BASE DE EXCEL'!AF:AF,"NO HAY REFERENCIA")</f>
        <v>8</v>
      </c>
      <c r="DM147" s="4">
        <f>_xlfn.XLOOKUP(B147,'BASE DE EXCEL'!$C:$C,'BASE DE EXCEL'!AG:AG,"NO HAY REFERENCIA")</f>
        <v>46128</v>
      </c>
      <c r="DN147" s="4">
        <f>_xlfn.XLOOKUP(B147,'BASE DE EXCEL'!$C:$C,'BASE DE EXCEL'!AH:AH,"NO HAY REFERENCIA")</f>
        <v>46129</v>
      </c>
      <c r="DO147" s="3">
        <f>_xlfn.XLOOKUP(B147,'BASE DE EXCEL'!$C:$C,'BASE DE EXCEL'!AI:AI,"NO HAY REFERENCIA")</f>
        <v>1</v>
      </c>
      <c r="DP147" s="4" t="str">
        <f>_xlfn.XLOOKUP(B147,'BASE DE EXCEL'!$C:$C,'BASE DE EXCEL'!AJ:AJ,"NO HAY REFERENCIA")</f>
        <v>6 a 10 días</v>
      </c>
      <c r="DQ147" s="4">
        <f>_xlfn.XLOOKUP(B147,'BASE DE EXCEL'!$C:$C,'BASE DE EXCEL'!AK:AK,"NO HAY REFERENCIA")</f>
        <v>46129</v>
      </c>
      <c r="DR147" s="3">
        <f>_xlfn.XLOOKUP(B147,'BASE DE EXCEL'!$C:$C,'BASE DE EXCEL'!AL:AL,"NO HAY REFERENCIA")</f>
        <v>9</v>
      </c>
      <c r="DS147" s="3" t="str">
        <f>_xlfn.XLOOKUP(B147,'BASE DE EXCEL'!$C:$C,'BASE DE EXCEL'!AM:AM,"NO HAY REFERENCIA")</f>
        <v>6 a 10 días</v>
      </c>
      <c r="DT147" s="3" t="str">
        <f>_xlfn.XLOOKUP(B147,'BASE DE EXCEL'!$C:$C,'BASE DE EXCEL'!AN:AN,"NO HAY REFERENCIA")</f>
        <v>Delayed</v>
      </c>
      <c r="DU147" s="3">
        <f>_xlfn.XLOOKUP(B147,'BASE DE EXCEL'!$C:$C,'BASE DE EXCEL'!AO:AO,"NO HAY REFERENCIA")</f>
        <v>1</v>
      </c>
      <c r="DV147" s="3" t="str">
        <f>_xlfn.XLOOKUP(B147,'BASE DE EXCEL'!$C:$C,'BASE DE EXCEL'!AP:AP,"NO HAY REFERENCIA")</f>
        <v>Es anterior</v>
      </c>
      <c r="DW147" s="3" t="str">
        <f>_xlfn.XLOOKUP(B147,'BASE DE EXCEL'!$C:$C,'BASE DE EXCEL'!AQ:AQ,"NO HAY REFERENCIA")</f>
        <v>A1</v>
      </c>
      <c r="DX147" s="3" t="str">
        <f>_xlfn.XLOOKUP(B147,'BASE DE EXCEL'!$C:$C,'BASE DE EXCEL'!AR:AR,"NO HAY REFERENCIA")</f>
        <v>ZULEIMA PEREZ RUIZ</v>
      </c>
      <c r="DY147" s="3" t="str">
        <f>_xlfn.XLOOKUP(B147,'BASE DE EXCEL'!$C:$C,'BASE DE EXCEL'!AS:AS,"NO HAY REFERENCIA")</f>
        <v>HLCURTM260288670</v>
      </c>
      <c r="DZ147" s="3" t="str">
        <f>_xlfn.XLOOKUP(B147,'BASE DE EXCEL'!$C:$C,'BASE DE EXCEL'!AT:AT,"NO HAY REFERENCIA")</f>
        <v>NULL</v>
      </c>
      <c r="EA147" s="3">
        <f>_xlfn.XLOOKUP(B147,'BASE DE EXCEL'!$C:$C,'BASE DE EXCEL'!AU:AU,"NO HAY REFERENCIA")</f>
        <v>6000434</v>
      </c>
      <c r="EB147" s="3" t="str">
        <f>_xlfn.XLOOKUP(B147,'BASE DE EXCEL'!$C:$C,'BASE DE EXCEL'!AV:AV,"NO HAY REFERENCIA")</f>
        <v>Importación</v>
      </c>
      <c r="EC147" s="3" t="str">
        <f>_xlfn.XLOOKUP(B147,'BASE DE EXCEL'!$C:$C,'BASE DE EXCEL'!AW:AW,"NO HAY REFERENCIA")</f>
        <v>NOBIVAC DH PARVO C (VACUNA DE USO VETERINARIO)</v>
      </c>
      <c r="ED147" s="3" t="str">
        <f>_xlfn.XLOOKUP(B147,'BASE DE EXCEL'!$C:$C,'BASE DE EXCEL'!AX:AX,"NO HAY REFERENCIA")</f>
        <v>SIN CLASIFICACION</v>
      </c>
      <c r="EE147" s="3">
        <f>_xlfn.XLOOKUP(B147,'BASE DE EXCEL'!$C:$C,'BASE DE EXCEL'!AY:AY,"NO HAY REFERENCIA")</f>
        <v>0</v>
      </c>
      <c r="EF147" s="3" t="str">
        <f>_xlfn.XLOOKUP(B147,'BASE DE EXCEL'!$C:$C,'BASE DE EXCEL'!AZ:AZ,"NO HAY REFERENCIA")</f>
        <v>Cargas de Importación</v>
      </c>
      <c r="EG147" s="3" t="str">
        <f>_xlfn.XLOOKUP(B147,'BASE DE EXCEL'!$C:$C,'BASE DE EXCEL'!BA:BA,"NO HAY REFERENCIA")</f>
        <v>INTERVET MEXICO SA DE CV</v>
      </c>
      <c r="EH147" s="3">
        <f>_xlfn.XLOOKUP(B147,'BASE DE EXCEL'!$C:$C,'BASE DE EXCEL'!BB:BB,"NO HAY REFERENCIA")</f>
        <v>0</v>
      </c>
      <c r="EI147" s="3" t="str">
        <f>_xlfn.XLOOKUP(B147,'BASE DE EXCEL'!$C:$C,'BASE DE EXCEL'!BC:BC,"NO HAY REFERENCIA")</f>
        <v>NINGUNO</v>
      </c>
      <c r="EJ147" s="3">
        <f>_xlfn.XLOOKUP(B147,'BASE DE EXCEL'!$C:$C,'BASE DE EXCEL'!BD:BD,"NO HAY REFERENCIA")</f>
        <v>0</v>
      </c>
      <c r="EK147" s="3" t="str">
        <f>_xlfn.XLOOKUP(B147,'BASE DE EXCEL'!$C:$C,'BASE DE EXCEL'!BE:BE,"NO HAY REFERENCIA")</f>
        <v>NINGUNO</v>
      </c>
      <c r="EL147" s="3" t="str">
        <f>_xlfn.XLOOKUP(B147,'BASE DE EXCEL'!$C:$C,'BASE DE EXCEL'!BF:BF,"NO HAY REFERENCIA")</f>
        <v>PRODUCTO TERMINADO</v>
      </c>
      <c r="EM147" s="3" t="str">
        <f>_xlfn.XLOOKUP(B147,'BASE DE EXCEL'!$C:$C,'BASE DE EXCEL'!BG:BG,"NO HAY REFERENCIA")</f>
        <v>Rojo</v>
      </c>
      <c r="EN147" s="3" t="str">
        <f>_xlfn.XLOOKUP(B147,'BASE DE EXCEL'!$C:$C,'BASE DE EXCEL'!BH:BH,"NO HAY REFERENCIA")</f>
        <v xml:space="preserve"> MLH TRANSPORTE, S.A. DE C.V.</v>
      </c>
      <c r="EO147" s="3" t="str">
        <f>_xlfn.XLOOKUP(B147,'BASE DE EXCEL'!$C:$C,'BASE DE EXCEL'!BI:BI,"NO HAY REFERENCIA")</f>
        <v>TRACTOCAMION ECO 110</v>
      </c>
      <c r="EP147" s="3">
        <f>_xlfn.XLOOKUP(B147,'BASE DE EXCEL'!$C:$C,'BASE DE EXCEL'!BJ:BJ,"NO HAY REFERENCIA")</f>
        <v>0</v>
      </c>
      <c r="EQ147" s="3" t="str">
        <f>_xlfn.XLOOKUP(B147,'BASE DE EXCEL'!$C:$C,'BASE DE EXCEL'!BK:BK,"NO HAY REFERENCIA")</f>
        <v>IME850329RH2</v>
      </c>
      <c r="ER147" s="3">
        <f>_xlfn.XLOOKUP(B147,'BASE DE EXCEL'!$C:$C,'BASE DE EXCEL'!BL:BL,"NO HAY REFERENCIA")</f>
        <v>0</v>
      </c>
      <c r="ES147" s="3">
        <f>_xlfn.XLOOKUP(B147,'BASE DE EXCEL'!$C:$C,'BASE DE EXCEL'!BM:BM,"NO HAY REFERENCIA")</f>
        <v>99</v>
      </c>
      <c r="ET147" s="3" t="str">
        <f>_xlfn.XLOOKUP(B147,'BASE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7" s="3">
        <f>_xlfn.XLOOKUP(B147,'BASE DE EXCEL'!$C:$C,'BASE DE EXCEL'!BO:BO,"NO HAY REFERENCIA")</f>
        <v>90</v>
      </c>
      <c r="EV147" s="3" t="str">
        <f>_xlfn.XLOOKUP(B147,'BASE DE EXCEL'!$C:$C,'BASE DE EXCEL'!BP:BP,"NO HAY REFERENCIA")</f>
        <v xml:space="preserve"> 11626987.90, 30130695.36</v>
      </c>
      <c r="EW147" s="3" t="str">
        <f>_xlfn.XLOOKUP(B147,'BASE DE EXCEL'!$C:$C,'BASE DE EXCEL'!BQ:BQ,"NO HAY REFERENCIA")</f>
        <v>KILO,KILO,KILO,KILO,KILO,KILO,KILO,KILO,KILO,KILO,KILO,KILO,KILO</v>
      </c>
      <c r="EX147" s="3">
        <f>_xlfn.XLOOKUP(B147,'BASE DE EXCEL'!$C:$C,'BASE DE EXCEL'!BR:BR,"NO HAY REFERENCIA")</f>
        <v>0</v>
      </c>
      <c r="EY147" s="3" t="str">
        <f>_xlfn.XLOOKUP(B147,'BASE DE EXCEL'!$C:$C,'BASE DE EXCEL'!BS:BS,"NO HAY REFERENCIA")</f>
        <v>PAISES BAJOS (REINO DE LOS) (HOLANDA)</v>
      </c>
      <c r="EZ147" s="3" t="str">
        <f>_xlfn.XLOOKUP(B147,'BASE DE EXCEL'!$C:$C,'BASE DE EXCEL'!BT:BT,"NO HAY REFERENCIA")</f>
        <v>PAISES BAJOS (REINO DE LOS) (HOLANDA)</v>
      </c>
      <c r="FA147" s="3" t="str">
        <f>_xlfn.XLOOKUP(B147,'BASE DE EXCEL'!$C:$C,'BASE DE EXCEL'!BU:BU,"NO HAY REFERENCIA")</f>
        <v>ZYA</v>
      </c>
      <c r="FB147" s="3" t="str">
        <f>_xlfn.XLOOKUP(B147,'BASE DE EXCEL'!$C:$C,'BASE DE EXCEL'!BV:BV,"NO HAY REFERENCIA")</f>
        <v>ZYA</v>
      </c>
      <c r="FC147" s="3">
        <f>_xlfn.XLOOKUP(B147,QUERY!$C:$C,QUERY!D:D)</f>
        <v>430</v>
      </c>
      <c r="FD147" s="4">
        <f>_xlfn.XLOOKUP(B147,QUERY!$C:$C,QUERY!E:E)</f>
        <v>46118</v>
      </c>
      <c r="FE147" s="3">
        <f>_xlfn.XLOOKUP(B147,QUERY!$C:$C,QUERY!F:F)</f>
        <v>4</v>
      </c>
      <c r="FF147" s="4">
        <f>_xlfn.XLOOKUP(B147,QUERY!$C:$C,QUERY!G:G)</f>
        <v>46111</v>
      </c>
      <c r="FG147" s="4">
        <f>_xlfn.XLOOKUP(B147,QUERY!$C:$C,QUERY!H:H)</f>
        <v>46118</v>
      </c>
      <c r="FH147" s="3">
        <f>_xlfn.XLOOKUP(B147,QUERY!$C:$C,QUERY!I:I)</f>
        <v>5</v>
      </c>
      <c r="FI147" s="3" t="str">
        <f>_xlfn.XLOOKUP(B147,QUERY!$C:$C,QUERY!J:J)</f>
        <v>4 a 5 días</v>
      </c>
      <c r="FJ147" s="4">
        <f>_xlfn.XLOOKUP(B147,QUERY!$C:$C,QUERY!K:K)</f>
        <v>46118</v>
      </c>
      <c r="FK147" s="3">
        <f>_xlfn.XLOOKUP(B147,QUERY!$C:$C,QUERY!L:L)</f>
        <v>5</v>
      </c>
      <c r="FL147" s="3" t="str">
        <f>_xlfn.XLOOKUP(B147,QUERY!$C:$C,QUERY!M:M)</f>
        <v>4 a 5 días</v>
      </c>
      <c r="FM147" s="3">
        <f>_xlfn.XLOOKUP(B147,QUERY!$C:$C,QUERY!N:N)</f>
        <v>0</v>
      </c>
      <c r="FN147" s="3" t="str">
        <f>_xlfn.XLOOKUP(B147,QUERY!$C:$C,QUERY!O:O)</f>
        <v>1 día o menos</v>
      </c>
      <c r="FO147" s="3">
        <f>_xlfn.XLOOKUP(B147,QUERY!$C:$C,QUERY!P:P)</f>
        <v>0</v>
      </c>
      <c r="FP147" s="3">
        <f>_xlfn.XLOOKUP(B147,QUERY!$C:$C,QUERY!Q:Q)</f>
        <v>1</v>
      </c>
      <c r="FQ147" s="3" t="str">
        <f>_xlfn.XLOOKUP(B147,QUERY!$C:$C,QUERY!R:R)</f>
        <v>1 día o menos</v>
      </c>
      <c r="FR147" s="4">
        <f>_xlfn.XLOOKUP(B147,QUERY!$C:$C,QUERY!S:S)</f>
        <v>46119</v>
      </c>
      <c r="FS147" s="3">
        <f>_xlfn.XLOOKUP(B147,QUERY!$C:$C,QUERY!T:T)</f>
        <v>6</v>
      </c>
      <c r="FT147" s="3" t="str">
        <f>_xlfn.XLOOKUP(B147,QUERY!$C:$C,QUERY!U:U)</f>
        <v>6 a 10 días</v>
      </c>
      <c r="FU147" s="3">
        <f>_xlfn.XLOOKUP(B147,QUERY!$C:$C,QUERY!V:V)</f>
        <v>14</v>
      </c>
      <c r="FV147" s="3" t="str">
        <f>_xlfn.XLOOKUP(B147,QUERY!$C:$C,QUERY!W:W)</f>
        <v>11 a 15 días</v>
      </c>
      <c r="FW147" s="4">
        <f>_xlfn.XLOOKUP(B147,QUERY!$C:$C,QUERY!X:X)</f>
        <v>46129</v>
      </c>
      <c r="FX147" s="3">
        <f>_xlfn.XLOOKUP(B147,QUERY!$C:$C,QUERY!Y:Y)</f>
        <v>7</v>
      </c>
      <c r="FY147" s="3">
        <f>_xlfn.XLOOKUP(B147,QUERY!$C:$C,QUERY!Z:Z)</f>
        <v>8</v>
      </c>
      <c r="FZ147" s="4" t="str">
        <f>_xlfn.XLOOKUP(B147,QUERY!$C:$C,QUERY!AA:AA)</f>
        <v>6 a 10 días</v>
      </c>
      <c r="GA147" s="4">
        <f>_xlfn.XLOOKUP(B147,QUERY!$C:$C,QUERY!AB:AB)</f>
        <v>46128</v>
      </c>
      <c r="GB147" s="4">
        <f>_xlfn.XLOOKUP(B147,QUERY!$C:$C,QUERY!AC:AC)</f>
        <v>46129</v>
      </c>
      <c r="GC147" s="3">
        <f>_xlfn.XLOOKUP(B147,QUERY!$C:$C,QUERY!AD:AD)</f>
        <v>1</v>
      </c>
      <c r="GD147" s="4">
        <f>_xlfn.XLOOKUP(B147,QUERY!$C:$C,QUERY!AE:AE)</f>
        <v>46129</v>
      </c>
      <c r="GE147" s="3">
        <f>_xlfn.XLOOKUP(B147,QUERY!$C:$C,QUERY!AF:AF)</f>
        <v>1</v>
      </c>
      <c r="GF147" s="4" t="str">
        <f>_xlfn.XLOOKUP(B147,QUERY!$C:$C,QUERY!AG:AG)</f>
        <v>Es anterior</v>
      </c>
      <c r="GG147" s="3" t="str">
        <f>_xlfn.XLOOKUP(B147,QUERY!$C:$C,QUERY!AH:AH)</f>
        <v>A1</v>
      </c>
      <c r="GH147" s="3" t="str">
        <f>_xlfn.XLOOKUP(B147,QUERY!$C:$C,QUERY!AI:AI)</f>
        <v>ZULEIMA PEREZ RUIZ</v>
      </c>
      <c r="GI147" s="3" t="str">
        <f>_xlfn.XLOOKUP(B147,QUERY!$C:$C,QUERY!AJ:AJ)</f>
        <v>HLCURTM260288670</v>
      </c>
      <c r="GJ147" s="3" t="str">
        <f>_xlfn.XLOOKUP(B147,QUERY!$C:$C,QUERY!AK:AK)</f>
        <v>NULL</v>
      </c>
      <c r="GK147" s="3">
        <f>_xlfn.XLOOKUP(B147,QUERY!$C:$C,QUERY!AL:AL)</f>
        <v>6000434</v>
      </c>
      <c r="GL147" s="3" t="str">
        <f>_xlfn.XLOOKUP(B147,QUERY!$C:$C,QUERY!AM:AM)</f>
        <v>Importación</v>
      </c>
      <c r="GM147" s="3" t="str">
        <f>_xlfn.XLOOKUP(B147,QUERY!$C:$C,QUERY!AN:AN)</f>
        <v>NOBIVAC DH PARVO C (VACUNA DE USO VETERINARIO)</v>
      </c>
      <c r="GN147" s="3" t="str">
        <f>_xlfn.XLOOKUP(B147,QUERY!$C:$C,QUERY!AO:AO)</f>
        <v>SIN CLASIFICACION</v>
      </c>
      <c r="GO147" s="3">
        <f>_xlfn.XLOOKUP(B147,QUERY!$C:$C,QUERY!AP:AP)</f>
        <v>0</v>
      </c>
      <c r="GP147" s="3" t="str">
        <f>_xlfn.XLOOKUP(B147,QUERY!$C:$C,QUERY!AQ:AQ)</f>
        <v>Cargas de Importación</v>
      </c>
      <c r="GQ147" s="3" t="str">
        <f>_xlfn.XLOOKUP(B147,QUERY!$C:$C,QUERY!AR:AR)</f>
        <v>INTERVET MEXICO SA DE CV</v>
      </c>
      <c r="GR147" s="3">
        <f>_xlfn.XLOOKUP(B147,QUERY!$C:$C,QUERY!AS:AS)</f>
        <v>0</v>
      </c>
      <c r="GS147" s="3" t="str">
        <f>_xlfn.XLOOKUP(B147,QUERY!$C:$C,QUERY!AT:AT)</f>
        <v>NINGUNO</v>
      </c>
      <c r="GT147" s="3">
        <f>_xlfn.XLOOKUP(B147,QUERY!$C:$C,QUERY!AU:AU)</f>
        <v>0</v>
      </c>
      <c r="GU147" s="3" t="str">
        <f>_xlfn.XLOOKUP(B147,QUERY!$C:$C,QUERY!AV:AV)</f>
        <v>NINGUNO</v>
      </c>
      <c r="GV147" s="3" t="str">
        <f>_xlfn.XLOOKUP(B147,QUERY!$C:$C,QUERY!AW:AW)</f>
        <v>PRODUCTO TERMINADO</v>
      </c>
      <c r="GW147" s="3" t="str">
        <f>_xlfn.XLOOKUP(B147,QUERY!$C:$C,QUERY!AX:AX)</f>
        <v>Rojo</v>
      </c>
      <c r="GX147" s="3" t="str">
        <f>_xlfn.XLOOKUP(B147,QUERY!$C:$C,QUERY!AY:AY)</f>
        <v xml:space="preserve"> MLH TRANSPORTE, S.A. DE C.V.</v>
      </c>
      <c r="GY147" s="3" t="str">
        <f>_xlfn.XLOOKUP(B147,QUERY!$C:$C,QUERY!AZ:AZ)</f>
        <v>TRACTOCAMION ECO 110</v>
      </c>
      <c r="GZ147" s="3">
        <f>_xlfn.XLOOKUP(B147,QUERY!$C:$C,QUERY!BA:BA)</f>
        <v>0</v>
      </c>
      <c r="HA147" s="3" t="str">
        <f>_xlfn.XLOOKUP(B147,QUERY!$C:$C,QUERY!BB:BB)</f>
        <v>IME850329RH2</v>
      </c>
      <c r="HB147" s="3">
        <f>_xlfn.XLOOKUP(B147,QUERY!$C:$C,QUERY!BC:BC)</f>
        <v>0</v>
      </c>
      <c r="HC147" s="3">
        <f>_xlfn.XLOOKUP(B147,QUERY!$C:$C,QUERY!BD:BD)</f>
        <v>99</v>
      </c>
      <c r="HD147" s="3" t="str">
        <f>_xlfn.XLOOKUP(B147,QUERY!$C:$C,QUERY!BE:BE)</f>
        <v>LOTE: A217C01,LOTE: A849F01,LOTE: A225A01,LOTE: A180E01,LOTE: 1E073A02,LOTE: A145A01,LOTE: A227A01,LOTE: A061A03,LOTE: A061A04,LOTE: 1E073A03,LOTE: A737B01,LOTE: A270A02,LOTE: A032AJ02</v>
      </c>
      <c r="HE147" s="3">
        <f>_xlfn.XLOOKUP(B147,QUERY!$C:$C,QUERY!BF:BF)</f>
        <v>90</v>
      </c>
      <c r="HF147" s="3" t="str">
        <f>_xlfn.XLOOKUP(B147,QUERY!$C:$C,QUERY!BG:BG)</f>
        <v xml:space="preserve"> 11626987.90, 30130695.36</v>
      </c>
      <c r="HG147" s="3" t="str">
        <f>_xlfn.XLOOKUP(B147,QUERY!$C:$C,QUERY!BH:BH)</f>
        <v>KILO,KILO,KILO,KILO,KILO,KILO,KILO,KILO,KILO,KILO,KILO,KILO,KILO</v>
      </c>
      <c r="HH147" s="3">
        <f>_xlfn.XLOOKUP(B147,QUERY!$C:$C,QUERY!BI:BI)</f>
        <v>0</v>
      </c>
      <c r="HI147" s="3" t="str">
        <f>_xlfn.XLOOKUP(B147,QUERY!$C:$C,QUERY!BJ:BJ)</f>
        <v>PAISES BAJOS (REINO DE LOS) (HOLANDA)</v>
      </c>
      <c r="HJ147" s="3" t="str">
        <f>_xlfn.XLOOKUP(B147,QUERY!$C:$C,QUERY!BK:BK)</f>
        <v>PAISES BAJOS (REINO DE LOS) (HOLANDA)</v>
      </c>
      <c r="HK147" s="3" t="str">
        <f>_xlfn.XLOOKUP(B147,QUERY!$C:$C,QUERY!BL:BL)</f>
        <v>ZYA</v>
      </c>
      <c r="HL147" s="3" t="str">
        <f>_xlfn.XLOOKUP(B147,QUERY!$C:$C,QUERY!BM:BM)</f>
        <v>ZYA</v>
      </c>
      <c r="HM147" s="3">
        <f>_xlfn.XLOOKUP(B147,QUERY!$C:$C,QUERY!BN:BN)</f>
        <v>41757683</v>
      </c>
      <c r="HN147" s="3" t="str">
        <f>_xlfn.XLOOKUP(B147,QUERY!$C:$C,QUERY!BO:BO)</f>
        <v>462.00</v>
      </c>
      <c r="HO147" s="3" t="str">
        <f>_xlfn.XLOOKUP(B147,QUERY!$C:$C,QUERY!BP:BP)</f>
        <v>NULL</v>
      </c>
      <c r="HP147" s="3" t="str">
        <f>_xlfn.XLOOKUP(B147,QUERY!$C:$C,QUERY!BQ:BQ)</f>
        <v>NULL</v>
      </c>
      <c r="HQ147" s="3" t="str">
        <f>_xlfn.XLOOKUP(B147,QUERY!$C:$C,QUERY!BR:BR)</f>
        <v>248801.02</v>
      </c>
      <c r="HR147" s="3">
        <f>_xlfn.XLOOKUP(B147,QUERY!$C:$C,QUERY!BS:BS)</f>
        <v>0</v>
      </c>
      <c r="HS147" s="3">
        <f>_xlfn.XLOOKUP(B147,QUERY!$C:$C,QUERY!BT:BT)</f>
        <v>0</v>
      </c>
      <c r="HT147" s="3" t="str">
        <f>_xlfn.XLOOKUP(B147,QUERY!$C:$C,QUERY!A:A)</f>
        <v>VERACRUZ</v>
      </c>
      <c r="HU147" s="3" t="str">
        <f>_xlfn.XLOOKUP(B147,QUERY!$C:$C,QUERY!B:B)</f>
        <v>MARÍTIMO VERACRUZ</v>
      </c>
    </row>
    <row r="148" spans="1:229" x14ac:dyDescent="0.25">
      <c r="A148" s="3" t="s">
        <v>90</v>
      </c>
      <c r="B148" s="3" t="s">
        <v>366</v>
      </c>
      <c r="C148" s="3">
        <v>3942</v>
      </c>
      <c r="D148" s="3">
        <v>6000434</v>
      </c>
      <c r="E148" s="3"/>
      <c r="F148" s="3" t="s">
        <v>92</v>
      </c>
      <c r="G148" s="3" t="s">
        <v>93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430</v>
      </c>
      <c r="S148" s="3" t="s">
        <v>367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 t="s">
        <v>158</v>
      </c>
      <c r="AB148" s="3"/>
      <c r="AC148" s="3">
        <v>2960880</v>
      </c>
      <c r="AD148" s="3">
        <v>333.46999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/>
      <c r="AP148" s="3" t="s">
        <v>98</v>
      </c>
      <c r="AQ148" s="3">
        <v>210368547</v>
      </c>
      <c r="AR148" s="3" t="s">
        <v>99</v>
      </c>
      <c r="AS148" s="3" t="s">
        <v>100</v>
      </c>
      <c r="AT148" s="3">
        <v>0</v>
      </c>
      <c r="AU148" s="3">
        <v>0</v>
      </c>
      <c r="AV148" s="3">
        <v>0</v>
      </c>
      <c r="AW148" s="3">
        <v>30024201</v>
      </c>
      <c r="AX148" s="3">
        <v>99</v>
      </c>
      <c r="AY148" s="3">
        <v>8879</v>
      </c>
      <c r="AZ148" s="3">
        <v>8879</v>
      </c>
      <c r="BA148" s="3" t="s">
        <v>103</v>
      </c>
      <c r="BB148" s="3"/>
      <c r="BC148" s="3" t="s">
        <v>105</v>
      </c>
      <c r="BD148" s="3" t="s">
        <v>105</v>
      </c>
      <c r="BE148" s="3"/>
      <c r="BF148" s="3"/>
      <c r="BG148" s="5"/>
      <c r="BH148" s="3"/>
      <c r="BI148" s="3"/>
      <c r="BJ148" s="3"/>
      <c r="BK148" s="3" t="s">
        <v>371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 t="s">
        <v>192</v>
      </c>
      <c r="CF148" s="3">
        <v>0</v>
      </c>
      <c r="CG148" s="3">
        <v>0</v>
      </c>
      <c r="CH148" s="3">
        <v>0</v>
      </c>
      <c r="CI148" s="3" t="s">
        <v>112</v>
      </c>
      <c r="CJ148" s="3" t="s">
        <v>112</v>
      </c>
      <c r="CK148" s="3">
        <f>_xlfn.XLOOKUP($B$2,'BASE DE EXCEL'!C:C,'BASE DE EXCEL'!D:D,"NO HAY REFERENCIA")</f>
        <v>470</v>
      </c>
      <c r="CL148" s="5">
        <f>_xlfn.XLOOKUP($B$2,'BASE DE EXCEL'!$C:$C,'BASE DE EXCEL'!F:F,"NO HAY REFERENCIA")</f>
        <v>3</v>
      </c>
      <c r="CM148" s="4">
        <f>_xlfn.XLOOKUP($B$2,'BASE DE EXCEL'!$C:$C,'BASE DE EXCEL'!G:G,"NO HAY REFERENCIA")</f>
        <v>46080</v>
      </c>
      <c r="CN148" s="4">
        <f>_xlfn.XLOOKUP($B$2,'BASE DE EXCEL'!$C:$C,'BASE DE EXCEL'!H:H,"NO HAY REFERENCIA")</f>
        <v>46086</v>
      </c>
      <c r="CO148" s="3">
        <f>_xlfn.XLOOKUP($B$2,'BASE DE EXCEL'!$C:$C,'BASE DE EXCEL'!I:I,"NO HAY REFERENCIA")</f>
        <v>4</v>
      </c>
      <c r="CP148" s="3" t="str">
        <f>_xlfn.XLOOKUP($B$2,'BASE DE EXCEL'!$C:$C,'BASE DE EXCEL'!J:J,"NO HAY REFERENCIA")</f>
        <v>4 a 5 días</v>
      </c>
      <c r="CQ148" s="4">
        <f>_xlfn.XLOOKUP($B$2,'BASE DE EXCEL'!$C:$C,'BASE DE EXCEL'!K:K,"NO HAY REFERENCIA")</f>
        <v>46087</v>
      </c>
      <c r="CR148" s="3">
        <f>_xlfn.XLOOKUP($B$2,'BASE DE EXCEL'!$C:$C,'BASE DE EXCEL'!L:L,"NO HAY REFERENCIA")</f>
        <v>5</v>
      </c>
      <c r="CS148" s="3">
        <f>_xlfn.XLOOKUP($B$2,'BASE DE EXCEL'!$C:$C,'BASE DE EXCEL'!M:M,"NO HAY REFERENCIA")</f>
        <v>6</v>
      </c>
      <c r="CT148" s="3" t="str">
        <f>_xlfn.XLOOKUP($B$2,'BASE DE EXCEL'!$C:$C,'BASE DE EXCEL'!N:N,"NO HAY REFERENCIA")</f>
        <v>6 a 10 días</v>
      </c>
      <c r="CU148" s="3" t="str">
        <f>_xlfn.XLOOKUP($B$2,'BASE DE EXCEL'!$C:$C,'BASE DE EXCEL'!O:O,"NO HAY REFERENCIA")</f>
        <v>On Time</v>
      </c>
      <c r="CV148" s="3" t="str">
        <f>_xlfn.XLOOKUP(B148,'BASE DE EXCEL'!$C:$C,'BASE DE EXCEL'!P:P,"NO HAY REFERENCIA")</f>
        <v>6 a 10 días</v>
      </c>
      <c r="CW148" s="4">
        <f>_xlfn.XLOOKUP(B148,'BASE DE EXCEL'!$C:$C,'BASE DE EXCEL'!Q:Q,"NO HAY REFERENCIA")</f>
        <v>46119</v>
      </c>
      <c r="CX148" s="3">
        <f>_xlfn.XLOOKUP(B148,'BASE DE EXCEL'!$C:$C,'BASE DE EXCEL'!R:R,"NO HAY REFERENCIA")</f>
        <v>5</v>
      </c>
      <c r="CY148" s="3" t="str">
        <f>_xlfn.XLOOKUP(B148,'BASE DE EXCEL'!$C:$C,'BASE DE EXCEL'!S:S,"NO HAY REFERENCIA")</f>
        <v>4 a 5 días</v>
      </c>
      <c r="CZ148" s="3" t="str">
        <f>_xlfn.XLOOKUP(B148,'BASE DE EXCEL'!$C:$C,'BASE DE EXCEL'!T:T,"NO HAY REFERENCIA")</f>
        <v>On Time</v>
      </c>
      <c r="DA148" s="3">
        <f>_xlfn.XLOOKUP(B148,'BASE DE EXCEL'!$C:$C,'BASE DE EXCEL'!U:U,"NO HAY REFERENCIA")</f>
        <v>8</v>
      </c>
      <c r="DB148" s="3" t="str">
        <f>_xlfn.XLOOKUP(B148,'BASE DE EXCEL'!$C:$C,'BASE DE EXCEL'!V:V,"NO HAY REFERENCIA")</f>
        <v>6 a 10 días</v>
      </c>
      <c r="DC148" s="3">
        <f>_xlfn.XLOOKUP(B148,'BASE DE EXCEL'!$C:$C,'BASE DE EXCEL'!W:W,"NO HAY REFERENCIA")</f>
        <v>14</v>
      </c>
      <c r="DD148" s="3" t="str">
        <f>_xlfn.XLOOKUP(B148,'BASE DE EXCEL'!$C:$C,'BASE DE EXCEL'!X:X,"NO HAY REFERENCIA")</f>
        <v>11 a 15 días</v>
      </c>
      <c r="DE148" s="3">
        <f>_xlfn.XLOOKUP(B148,'BASE DE EXCEL'!$C:$C,'BASE DE EXCEL'!Y:Y,"NO HAY REFERENCIA")</f>
        <v>0</v>
      </c>
      <c r="DF148" s="3" t="str">
        <f>_xlfn.XLOOKUP(B148,'BASE DE EXCEL'!$C:$C,'BASE DE EXCEL'!Z:Z,"NO HAY REFERENCIA")</f>
        <v>1 día o menos</v>
      </c>
      <c r="DG148" s="3">
        <f>_xlfn.XLOOKUP(B148,'BASE DE EXCEL'!$C:$C,'BASE DE EXCEL'!AA:AA,"NO HAY REFERENCIA")</f>
        <v>7</v>
      </c>
      <c r="DH148" s="3">
        <f>_xlfn.XLOOKUP(B148,'BASE DE EXCEL'!$C:$C,'BASE DE EXCEL'!AB:AB,"NO HAY REFERENCIA")</f>
        <v>1</v>
      </c>
      <c r="DI148" s="3" t="str">
        <f>_xlfn.XLOOKUP(B148,'BASE DE EXCEL'!$C:$C,'BASE DE EXCEL'!AC:AC,"NO HAY REFERENCIA")</f>
        <v>1 día o menos</v>
      </c>
      <c r="DJ148" s="4">
        <f>_xlfn.XLOOKUP(B148,'BASE DE EXCEL'!$C:$C,'BASE DE EXCEL'!AD:AD,"NO HAY REFERENCIA")</f>
        <v>46129</v>
      </c>
      <c r="DK148" s="3">
        <f>_xlfn.XLOOKUP(B148,'BASE DE EXCEL'!$C:$C,'BASE DE EXCEL'!AE:AE,"NO HAY REFERENCIA")</f>
        <v>9</v>
      </c>
      <c r="DL148" s="3">
        <f>_xlfn.XLOOKUP(B148,'BASE DE EXCEL'!$C:$C,'BASE DE EXCEL'!AF:AF,"NO HAY REFERENCIA")</f>
        <v>8</v>
      </c>
      <c r="DM148" s="4">
        <f>_xlfn.XLOOKUP(B148,'BASE DE EXCEL'!$C:$C,'BASE DE EXCEL'!AG:AG,"NO HAY REFERENCIA")</f>
        <v>46128</v>
      </c>
      <c r="DN148" s="4">
        <f>_xlfn.XLOOKUP(B148,'BASE DE EXCEL'!$C:$C,'BASE DE EXCEL'!AH:AH,"NO HAY REFERENCIA")</f>
        <v>46129</v>
      </c>
      <c r="DO148" s="3">
        <f>_xlfn.XLOOKUP(B148,'BASE DE EXCEL'!$C:$C,'BASE DE EXCEL'!AI:AI,"NO HAY REFERENCIA")</f>
        <v>1</v>
      </c>
      <c r="DP148" s="4" t="str">
        <f>_xlfn.XLOOKUP(B148,'BASE DE EXCEL'!$C:$C,'BASE DE EXCEL'!AJ:AJ,"NO HAY REFERENCIA")</f>
        <v>6 a 10 días</v>
      </c>
      <c r="DQ148" s="4">
        <f>_xlfn.XLOOKUP(B148,'BASE DE EXCEL'!$C:$C,'BASE DE EXCEL'!AK:AK,"NO HAY REFERENCIA")</f>
        <v>46129</v>
      </c>
      <c r="DR148" s="3">
        <f>_xlfn.XLOOKUP(B148,'BASE DE EXCEL'!$C:$C,'BASE DE EXCEL'!AL:AL,"NO HAY REFERENCIA")</f>
        <v>9</v>
      </c>
      <c r="DS148" s="3" t="str">
        <f>_xlfn.XLOOKUP(B148,'BASE DE EXCEL'!$C:$C,'BASE DE EXCEL'!AM:AM,"NO HAY REFERENCIA")</f>
        <v>6 a 10 días</v>
      </c>
      <c r="DT148" s="3" t="str">
        <f>_xlfn.XLOOKUP(B148,'BASE DE EXCEL'!$C:$C,'BASE DE EXCEL'!AN:AN,"NO HAY REFERENCIA")</f>
        <v>Delayed</v>
      </c>
      <c r="DU148" s="3">
        <f>_xlfn.XLOOKUP(B148,'BASE DE EXCEL'!$C:$C,'BASE DE EXCEL'!AO:AO,"NO HAY REFERENCIA")</f>
        <v>1</v>
      </c>
      <c r="DV148" s="3" t="str">
        <f>_xlfn.XLOOKUP(B148,'BASE DE EXCEL'!$C:$C,'BASE DE EXCEL'!AP:AP,"NO HAY REFERENCIA")</f>
        <v>Es anterior</v>
      </c>
      <c r="DW148" s="3" t="str">
        <f>_xlfn.XLOOKUP(B148,'BASE DE EXCEL'!$C:$C,'BASE DE EXCEL'!AQ:AQ,"NO HAY REFERENCIA")</f>
        <v>A1</v>
      </c>
      <c r="DX148" s="3" t="str">
        <f>_xlfn.XLOOKUP(B148,'BASE DE EXCEL'!$C:$C,'BASE DE EXCEL'!AR:AR,"NO HAY REFERENCIA")</f>
        <v>ZULEIMA PEREZ RUIZ</v>
      </c>
      <c r="DY148" s="3" t="str">
        <f>_xlfn.XLOOKUP(B148,'BASE DE EXCEL'!$C:$C,'BASE DE EXCEL'!AS:AS,"NO HAY REFERENCIA")</f>
        <v>HLCURTM260288670</v>
      </c>
      <c r="DZ148" s="3" t="str">
        <f>_xlfn.XLOOKUP(B148,'BASE DE EXCEL'!$C:$C,'BASE DE EXCEL'!AT:AT,"NO HAY REFERENCIA")</f>
        <v>NULL</v>
      </c>
      <c r="EA148" s="3">
        <f>_xlfn.XLOOKUP(B148,'BASE DE EXCEL'!$C:$C,'BASE DE EXCEL'!AU:AU,"NO HAY REFERENCIA")</f>
        <v>6000434</v>
      </c>
      <c r="EB148" s="3" t="str">
        <f>_xlfn.XLOOKUP(B148,'BASE DE EXCEL'!$C:$C,'BASE DE EXCEL'!AV:AV,"NO HAY REFERENCIA")</f>
        <v>Importación</v>
      </c>
      <c r="EC148" s="3" t="str">
        <f>_xlfn.XLOOKUP(B148,'BASE DE EXCEL'!$C:$C,'BASE DE EXCEL'!AW:AW,"NO HAY REFERENCIA")</f>
        <v>NOBIVAC DH PARVO C (VACUNA DE USO VETERINARIO)</v>
      </c>
      <c r="ED148" s="3" t="str">
        <f>_xlfn.XLOOKUP(B148,'BASE DE EXCEL'!$C:$C,'BASE DE EXCEL'!AX:AX,"NO HAY REFERENCIA")</f>
        <v>SIN CLASIFICACION</v>
      </c>
      <c r="EE148" s="3">
        <f>_xlfn.XLOOKUP(B148,'BASE DE EXCEL'!$C:$C,'BASE DE EXCEL'!AY:AY,"NO HAY REFERENCIA")</f>
        <v>0</v>
      </c>
      <c r="EF148" s="3" t="str">
        <f>_xlfn.XLOOKUP(B148,'BASE DE EXCEL'!$C:$C,'BASE DE EXCEL'!AZ:AZ,"NO HAY REFERENCIA")</f>
        <v>Cargas de Importación</v>
      </c>
      <c r="EG148" s="3" t="str">
        <f>_xlfn.XLOOKUP(B148,'BASE DE EXCEL'!$C:$C,'BASE DE EXCEL'!BA:BA,"NO HAY REFERENCIA")</f>
        <v>INTERVET MEXICO SA DE CV</v>
      </c>
      <c r="EH148" s="3">
        <f>_xlfn.XLOOKUP(B148,'BASE DE EXCEL'!$C:$C,'BASE DE EXCEL'!BB:BB,"NO HAY REFERENCIA")</f>
        <v>0</v>
      </c>
      <c r="EI148" s="3" t="str">
        <f>_xlfn.XLOOKUP(B148,'BASE DE EXCEL'!$C:$C,'BASE DE EXCEL'!BC:BC,"NO HAY REFERENCIA")</f>
        <v>NINGUNO</v>
      </c>
      <c r="EJ148" s="3">
        <f>_xlfn.XLOOKUP(B148,'BASE DE EXCEL'!$C:$C,'BASE DE EXCEL'!BD:BD,"NO HAY REFERENCIA")</f>
        <v>0</v>
      </c>
      <c r="EK148" s="3" t="str">
        <f>_xlfn.XLOOKUP(B148,'BASE DE EXCEL'!$C:$C,'BASE DE EXCEL'!BE:BE,"NO HAY REFERENCIA")</f>
        <v>NINGUNO</v>
      </c>
      <c r="EL148" s="3" t="str">
        <f>_xlfn.XLOOKUP(B148,'BASE DE EXCEL'!$C:$C,'BASE DE EXCEL'!BF:BF,"NO HAY REFERENCIA")</f>
        <v>PRODUCTO TERMINADO</v>
      </c>
      <c r="EM148" s="3" t="str">
        <f>_xlfn.XLOOKUP(B148,'BASE DE EXCEL'!$C:$C,'BASE DE EXCEL'!BG:BG,"NO HAY REFERENCIA")</f>
        <v>Rojo</v>
      </c>
      <c r="EN148" s="3" t="str">
        <f>_xlfn.XLOOKUP(B148,'BASE DE EXCEL'!$C:$C,'BASE DE EXCEL'!BH:BH,"NO HAY REFERENCIA")</f>
        <v xml:space="preserve"> MLH TRANSPORTE, S.A. DE C.V.</v>
      </c>
      <c r="EO148" s="3" t="str">
        <f>_xlfn.XLOOKUP(B148,'BASE DE EXCEL'!$C:$C,'BASE DE EXCEL'!BI:BI,"NO HAY REFERENCIA")</f>
        <v>TRACTOCAMION ECO 110</v>
      </c>
      <c r="EP148" s="3">
        <f>_xlfn.XLOOKUP(B148,'BASE DE EXCEL'!$C:$C,'BASE DE EXCEL'!BJ:BJ,"NO HAY REFERENCIA")</f>
        <v>0</v>
      </c>
      <c r="EQ148" s="3" t="str">
        <f>_xlfn.XLOOKUP(B148,'BASE DE EXCEL'!$C:$C,'BASE DE EXCEL'!BK:BK,"NO HAY REFERENCIA")</f>
        <v>IME850329RH2</v>
      </c>
      <c r="ER148" s="3">
        <f>_xlfn.XLOOKUP(B148,'BASE DE EXCEL'!$C:$C,'BASE DE EXCEL'!BL:BL,"NO HAY REFERENCIA")</f>
        <v>0</v>
      </c>
      <c r="ES148" s="3">
        <f>_xlfn.XLOOKUP(B148,'BASE DE EXCEL'!$C:$C,'BASE DE EXCEL'!BM:BM,"NO HAY REFERENCIA")</f>
        <v>99</v>
      </c>
      <c r="ET148" s="3" t="str">
        <f>_xlfn.XLOOKUP(B148,'BASE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8" s="3">
        <f>_xlfn.XLOOKUP(B148,'BASE DE EXCEL'!$C:$C,'BASE DE EXCEL'!BO:BO,"NO HAY REFERENCIA")</f>
        <v>90</v>
      </c>
      <c r="EV148" s="3" t="str">
        <f>_xlfn.XLOOKUP(B148,'BASE DE EXCEL'!$C:$C,'BASE DE EXCEL'!BP:BP,"NO HAY REFERENCIA")</f>
        <v xml:space="preserve"> 11626987.90, 30130695.36</v>
      </c>
      <c r="EW148" s="3" t="str">
        <f>_xlfn.XLOOKUP(B148,'BASE DE EXCEL'!$C:$C,'BASE DE EXCEL'!BQ:BQ,"NO HAY REFERENCIA")</f>
        <v>KILO,KILO,KILO,KILO,KILO,KILO,KILO,KILO,KILO,KILO,KILO,KILO,KILO</v>
      </c>
      <c r="EX148" s="3">
        <f>_xlfn.XLOOKUP(B148,'BASE DE EXCEL'!$C:$C,'BASE DE EXCEL'!BR:BR,"NO HAY REFERENCIA")</f>
        <v>0</v>
      </c>
      <c r="EY148" s="3" t="str">
        <f>_xlfn.XLOOKUP(B148,'BASE DE EXCEL'!$C:$C,'BASE DE EXCEL'!BS:BS,"NO HAY REFERENCIA")</f>
        <v>PAISES BAJOS (REINO DE LOS) (HOLANDA)</v>
      </c>
      <c r="EZ148" s="3" t="str">
        <f>_xlfn.XLOOKUP(B148,'BASE DE EXCEL'!$C:$C,'BASE DE EXCEL'!BT:BT,"NO HAY REFERENCIA")</f>
        <v>PAISES BAJOS (REINO DE LOS) (HOLANDA)</v>
      </c>
      <c r="FA148" s="3" t="str">
        <f>_xlfn.XLOOKUP(B148,'BASE DE EXCEL'!$C:$C,'BASE DE EXCEL'!BU:BU,"NO HAY REFERENCIA")</f>
        <v>ZYA</v>
      </c>
      <c r="FB148" s="3" t="str">
        <f>_xlfn.XLOOKUP(B148,'BASE DE EXCEL'!$C:$C,'BASE DE EXCEL'!BV:BV,"NO HAY REFERENCIA")</f>
        <v>ZYA</v>
      </c>
      <c r="FC148" s="3">
        <f>_xlfn.XLOOKUP(B148,QUERY!$C:$C,QUERY!D:D)</f>
        <v>430</v>
      </c>
      <c r="FD148" s="4">
        <f>_xlfn.XLOOKUP(B148,QUERY!$C:$C,QUERY!E:E)</f>
        <v>46118</v>
      </c>
      <c r="FE148" s="3">
        <f>_xlfn.XLOOKUP(B148,QUERY!$C:$C,QUERY!F:F)</f>
        <v>4</v>
      </c>
      <c r="FF148" s="4">
        <f>_xlfn.XLOOKUP(B148,QUERY!$C:$C,QUERY!G:G)</f>
        <v>46111</v>
      </c>
      <c r="FG148" s="4">
        <f>_xlfn.XLOOKUP(B148,QUERY!$C:$C,QUERY!H:H)</f>
        <v>46118</v>
      </c>
      <c r="FH148" s="3">
        <f>_xlfn.XLOOKUP(B148,QUERY!$C:$C,QUERY!I:I)</f>
        <v>5</v>
      </c>
      <c r="FI148" s="3" t="str">
        <f>_xlfn.XLOOKUP(B148,QUERY!$C:$C,QUERY!J:J)</f>
        <v>4 a 5 días</v>
      </c>
      <c r="FJ148" s="4">
        <f>_xlfn.XLOOKUP(B148,QUERY!$C:$C,QUERY!K:K)</f>
        <v>46118</v>
      </c>
      <c r="FK148" s="3">
        <f>_xlfn.XLOOKUP(B148,QUERY!$C:$C,QUERY!L:L)</f>
        <v>5</v>
      </c>
      <c r="FL148" s="3" t="str">
        <f>_xlfn.XLOOKUP(B148,QUERY!$C:$C,QUERY!M:M)</f>
        <v>4 a 5 días</v>
      </c>
      <c r="FM148" s="3">
        <f>_xlfn.XLOOKUP(B148,QUERY!$C:$C,QUERY!N:N)</f>
        <v>0</v>
      </c>
      <c r="FN148" s="3" t="str">
        <f>_xlfn.XLOOKUP(B148,QUERY!$C:$C,QUERY!O:O)</f>
        <v>1 día o menos</v>
      </c>
      <c r="FO148" s="3">
        <f>_xlfn.XLOOKUP(B148,QUERY!$C:$C,QUERY!P:P)</f>
        <v>0</v>
      </c>
      <c r="FP148" s="3">
        <f>_xlfn.XLOOKUP(B148,QUERY!$C:$C,QUERY!Q:Q)</f>
        <v>1</v>
      </c>
      <c r="FQ148" s="3" t="str">
        <f>_xlfn.XLOOKUP(B148,QUERY!$C:$C,QUERY!R:R)</f>
        <v>1 día o menos</v>
      </c>
      <c r="FR148" s="4">
        <f>_xlfn.XLOOKUP(B148,QUERY!$C:$C,QUERY!S:S)</f>
        <v>46119</v>
      </c>
      <c r="FS148" s="3">
        <f>_xlfn.XLOOKUP(B148,QUERY!$C:$C,QUERY!T:T)</f>
        <v>6</v>
      </c>
      <c r="FT148" s="3" t="str">
        <f>_xlfn.XLOOKUP(B148,QUERY!$C:$C,QUERY!U:U)</f>
        <v>6 a 10 días</v>
      </c>
      <c r="FU148" s="3">
        <f>_xlfn.XLOOKUP(B148,QUERY!$C:$C,QUERY!V:V)</f>
        <v>14</v>
      </c>
      <c r="FV148" s="3" t="str">
        <f>_xlfn.XLOOKUP(B148,QUERY!$C:$C,QUERY!W:W)</f>
        <v>11 a 15 días</v>
      </c>
      <c r="FW148" s="4">
        <f>_xlfn.XLOOKUP(B148,QUERY!$C:$C,QUERY!X:X)</f>
        <v>46129</v>
      </c>
      <c r="FX148" s="3">
        <f>_xlfn.XLOOKUP(B148,QUERY!$C:$C,QUERY!Y:Y)</f>
        <v>7</v>
      </c>
      <c r="FY148" s="3">
        <f>_xlfn.XLOOKUP(B148,QUERY!$C:$C,QUERY!Z:Z)</f>
        <v>8</v>
      </c>
      <c r="FZ148" s="4" t="str">
        <f>_xlfn.XLOOKUP(B148,QUERY!$C:$C,QUERY!AA:AA)</f>
        <v>6 a 10 días</v>
      </c>
      <c r="GA148" s="4">
        <f>_xlfn.XLOOKUP(B148,QUERY!$C:$C,QUERY!AB:AB)</f>
        <v>46128</v>
      </c>
      <c r="GB148" s="4">
        <f>_xlfn.XLOOKUP(B148,QUERY!$C:$C,QUERY!AC:AC)</f>
        <v>46129</v>
      </c>
      <c r="GC148" s="3">
        <f>_xlfn.XLOOKUP(B148,QUERY!$C:$C,QUERY!AD:AD)</f>
        <v>1</v>
      </c>
      <c r="GD148" s="4">
        <f>_xlfn.XLOOKUP(B148,QUERY!$C:$C,QUERY!AE:AE)</f>
        <v>46129</v>
      </c>
      <c r="GE148" s="3">
        <f>_xlfn.XLOOKUP(B148,QUERY!$C:$C,QUERY!AF:AF)</f>
        <v>1</v>
      </c>
      <c r="GF148" s="4" t="str">
        <f>_xlfn.XLOOKUP(B148,QUERY!$C:$C,QUERY!AG:AG)</f>
        <v>Es anterior</v>
      </c>
      <c r="GG148" s="3" t="str">
        <f>_xlfn.XLOOKUP(B148,QUERY!$C:$C,QUERY!AH:AH)</f>
        <v>A1</v>
      </c>
      <c r="GH148" s="3" t="str">
        <f>_xlfn.XLOOKUP(B148,QUERY!$C:$C,QUERY!AI:AI)</f>
        <v>ZULEIMA PEREZ RUIZ</v>
      </c>
      <c r="GI148" s="3" t="str">
        <f>_xlfn.XLOOKUP(B148,QUERY!$C:$C,QUERY!AJ:AJ)</f>
        <v>HLCURTM260288670</v>
      </c>
      <c r="GJ148" s="3" t="str">
        <f>_xlfn.XLOOKUP(B148,QUERY!$C:$C,QUERY!AK:AK)</f>
        <v>NULL</v>
      </c>
      <c r="GK148" s="3">
        <f>_xlfn.XLOOKUP(B148,QUERY!$C:$C,QUERY!AL:AL)</f>
        <v>6000434</v>
      </c>
      <c r="GL148" s="3" t="str">
        <f>_xlfn.XLOOKUP(B148,QUERY!$C:$C,QUERY!AM:AM)</f>
        <v>Importación</v>
      </c>
      <c r="GM148" s="3" t="str">
        <f>_xlfn.XLOOKUP(B148,QUERY!$C:$C,QUERY!AN:AN)</f>
        <v>NOBIVAC DH PARVO C (VACUNA DE USO VETERINARIO)</v>
      </c>
      <c r="GN148" s="3" t="str">
        <f>_xlfn.XLOOKUP(B148,QUERY!$C:$C,QUERY!AO:AO)</f>
        <v>SIN CLASIFICACION</v>
      </c>
      <c r="GO148" s="3">
        <f>_xlfn.XLOOKUP(B148,QUERY!$C:$C,QUERY!AP:AP)</f>
        <v>0</v>
      </c>
      <c r="GP148" s="3" t="str">
        <f>_xlfn.XLOOKUP(B148,QUERY!$C:$C,QUERY!AQ:AQ)</f>
        <v>Cargas de Importación</v>
      </c>
      <c r="GQ148" s="3" t="str">
        <f>_xlfn.XLOOKUP(B148,QUERY!$C:$C,QUERY!AR:AR)</f>
        <v>INTERVET MEXICO SA DE CV</v>
      </c>
      <c r="GR148" s="3">
        <f>_xlfn.XLOOKUP(B148,QUERY!$C:$C,QUERY!AS:AS)</f>
        <v>0</v>
      </c>
      <c r="GS148" s="3" t="str">
        <f>_xlfn.XLOOKUP(B148,QUERY!$C:$C,QUERY!AT:AT)</f>
        <v>NINGUNO</v>
      </c>
      <c r="GT148" s="3">
        <f>_xlfn.XLOOKUP(B148,QUERY!$C:$C,QUERY!AU:AU)</f>
        <v>0</v>
      </c>
      <c r="GU148" s="3" t="str">
        <f>_xlfn.XLOOKUP(B148,QUERY!$C:$C,QUERY!AV:AV)</f>
        <v>NINGUNO</v>
      </c>
      <c r="GV148" s="3" t="str">
        <f>_xlfn.XLOOKUP(B148,QUERY!$C:$C,QUERY!AW:AW)</f>
        <v>PRODUCTO TERMINADO</v>
      </c>
      <c r="GW148" s="3" t="str">
        <f>_xlfn.XLOOKUP(B148,QUERY!$C:$C,QUERY!AX:AX)</f>
        <v>Rojo</v>
      </c>
      <c r="GX148" s="3" t="str">
        <f>_xlfn.XLOOKUP(B148,QUERY!$C:$C,QUERY!AY:AY)</f>
        <v xml:space="preserve"> MLH TRANSPORTE, S.A. DE C.V.</v>
      </c>
      <c r="GY148" s="3" t="str">
        <f>_xlfn.XLOOKUP(B148,QUERY!$C:$C,QUERY!AZ:AZ)</f>
        <v>TRACTOCAMION ECO 110</v>
      </c>
      <c r="GZ148" s="3">
        <f>_xlfn.XLOOKUP(B148,QUERY!$C:$C,QUERY!BA:BA)</f>
        <v>0</v>
      </c>
      <c r="HA148" s="3" t="str">
        <f>_xlfn.XLOOKUP(B148,QUERY!$C:$C,QUERY!BB:BB)</f>
        <v>IME850329RH2</v>
      </c>
      <c r="HB148" s="3">
        <f>_xlfn.XLOOKUP(B148,QUERY!$C:$C,QUERY!BC:BC)</f>
        <v>0</v>
      </c>
      <c r="HC148" s="3">
        <f>_xlfn.XLOOKUP(B148,QUERY!$C:$C,QUERY!BD:BD)</f>
        <v>99</v>
      </c>
      <c r="HD148" s="3" t="str">
        <f>_xlfn.XLOOKUP(B148,QUERY!$C:$C,QUERY!BE:BE)</f>
        <v>LOTE: A217C01,LOTE: A849F01,LOTE: A225A01,LOTE: A180E01,LOTE: 1E073A02,LOTE: A145A01,LOTE: A227A01,LOTE: A061A03,LOTE: A061A04,LOTE: 1E073A03,LOTE: A737B01,LOTE: A270A02,LOTE: A032AJ02</v>
      </c>
      <c r="HE148" s="3">
        <f>_xlfn.XLOOKUP(B148,QUERY!$C:$C,QUERY!BF:BF)</f>
        <v>90</v>
      </c>
      <c r="HF148" s="3" t="str">
        <f>_xlfn.XLOOKUP(B148,QUERY!$C:$C,QUERY!BG:BG)</f>
        <v xml:space="preserve"> 11626987.90, 30130695.36</v>
      </c>
      <c r="HG148" s="3" t="str">
        <f>_xlfn.XLOOKUP(B148,QUERY!$C:$C,QUERY!BH:BH)</f>
        <v>KILO,KILO,KILO,KILO,KILO,KILO,KILO,KILO,KILO,KILO,KILO,KILO,KILO</v>
      </c>
      <c r="HH148" s="3">
        <f>_xlfn.XLOOKUP(B148,QUERY!$C:$C,QUERY!BI:BI)</f>
        <v>0</v>
      </c>
      <c r="HI148" s="3" t="str">
        <f>_xlfn.XLOOKUP(B148,QUERY!$C:$C,QUERY!BJ:BJ)</f>
        <v>PAISES BAJOS (REINO DE LOS) (HOLANDA)</v>
      </c>
      <c r="HJ148" s="3" t="str">
        <f>_xlfn.XLOOKUP(B148,QUERY!$C:$C,QUERY!BK:BK)</f>
        <v>PAISES BAJOS (REINO DE LOS) (HOLANDA)</v>
      </c>
      <c r="HK148" s="3" t="str">
        <f>_xlfn.XLOOKUP(B148,QUERY!$C:$C,QUERY!BL:BL)</f>
        <v>ZYA</v>
      </c>
      <c r="HL148" s="3" t="str">
        <f>_xlfn.XLOOKUP(B148,QUERY!$C:$C,QUERY!BM:BM)</f>
        <v>ZYA</v>
      </c>
      <c r="HM148" s="3">
        <f>_xlfn.XLOOKUP(B148,QUERY!$C:$C,QUERY!BN:BN)</f>
        <v>41757683</v>
      </c>
      <c r="HN148" s="3" t="str">
        <f>_xlfn.XLOOKUP(B148,QUERY!$C:$C,QUERY!BO:BO)</f>
        <v>462.00</v>
      </c>
      <c r="HO148" s="3" t="str">
        <f>_xlfn.XLOOKUP(B148,QUERY!$C:$C,QUERY!BP:BP)</f>
        <v>NULL</v>
      </c>
      <c r="HP148" s="3" t="str">
        <f>_xlfn.XLOOKUP(B148,QUERY!$C:$C,QUERY!BQ:BQ)</f>
        <v>NULL</v>
      </c>
      <c r="HQ148" s="3" t="str">
        <f>_xlfn.XLOOKUP(B148,QUERY!$C:$C,QUERY!BR:BR)</f>
        <v>248801.02</v>
      </c>
      <c r="HR148" s="3">
        <f>_xlfn.XLOOKUP(B148,QUERY!$C:$C,QUERY!BS:BS)</f>
        <v>0</v>
      </c>
      <c r="HS148" s="3">
        <f>_xlfn.XLOOKUP(B148,QUERY!$C:$C,QUERY!BT:BT)</f>
        <v>0</v>
      </c>
      <c r="HT148" s="3" t="str">
        <f>_xlfn.XLOOKUP(B148,QUERY!$C:$C,QUERY!A:A)</f>
        <v>VERACRUZ</v>
      </c>
      <c r="HU148" s="3" t="str">
        <f>_xlfn.XLOOKUP(B148,QUERY!$C:$C,QUERY!B:B)</f>
        <v>MARÍTIMO VERACRUZ</v>
      </c>
    </row>
    <row r="149" spans="1:229" x14ac:dyDescent="0.25">
      <c r="A149" s="3" t="s">
        <v>90</v>
      </c>
      <c r="B149" s="3" t="s">
        <v>366</v>
      </c>
      <c r="C149" s="3">
        <v>3942</v>
      </c>
      <c r="D149" s="3">
        <v>6000434</v>
      </c>
      <c r="E149" s="3"/>
      <c r="F149" s="3" t="s">
        <v>92</v>
      </c>
      <c r="G149" s="3" t="s">
        <v>93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430</v>
      </c>
      <c r="S149" s="3" t="s">
        <v>367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 t="s">
        <v>373</v>
      </c>
      <c r="AB149" s="3"/>
      <c r="AC149" s="3">
        <v>2401492</v>
      </c>
      <c r="AD149" s="3">
        <v>2425.7494900000002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/>
      <c r="AP149" s="3" t="s">
        <v>98</v>
      </c>
      <c r="AQ149" s="3">
        <v>210368547</v>
      </c>
      <c r="AR149" s="3" t="s">
        <v>99</v>
      </c>
      <c r="AS149" s="3" t="s">
        <v>100</v>
      </c>
      <c r="AT149" s="3">
        <v>0</v>
      </c>
      <c r="AU149" s="3">
        <v>0</v>
      </c>
      <c r="AV149" s="3">
        <v>0</v>
      </c>
      <c r="AW149" s="3">
        <v>30024201</v>
      </c>
      <c r="AX149" s="3">
        <v>99</v>
      </c>
      <c r="AY149" s="3">
        <v>990</v>
      </c>
      <c r="AZ149" s="3">
        <v>990</v>
      </c>
      <c r="BA149" s="3" t="s">
        <v>121</v>
      </c>
      <c r="BB149" s="3"/>
      <c r="BC149" s="3" t="s">
        <v>105</v>
      </c>
      <c r="BD149" s="3" t="s">
        <v>105</v>
      </c>
      <c r="BE149" s="3"/>
      <c r="BF149" s="3"/>
      <c r="BG149" s="5"/>
      <c r="BH149" s="3"/>
      <c r="BI149" s="3"/>
      <c r="BJ149" s="3"/>
      <c r="BK149" s="3" t="s">
        <v>371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 t="s">
        <v>192</v>
      </c>
      <c r="CF149" s="3">
        <v>0</v>
      </c>
      <c r="CG149" s="3">
        <v>0</v>
      </c>
      <c r="CH149" s="3">
        <v>0</v>
      </c>
      <c r="CI149" s="3" t="s">
        <v>112</v>
      </c>
      <c r="CJ149" s="3" t="s">
        <v>112</v>
      </c>
      <c r="CK149" s="3">
        <f>_xlfn.XLOOKUP($B$2,'BASE DE EXCEL'!C:C,'BASE DE EXCEL'!D:D,"NO HAY REFERENCIA")</f>
        <v>470</v>
      </c>
      <c r="CL149" s="5">
        <f>_xlfn.XLOOKUP($B$2,'BASE DE EXCEL'!$C:$C,'BASE DE EXCEL'!F:F,"NO HAY REFERENCIA")</f>
        <v>3</v>
      </c>
      <c r="CM149" s="4">
        <f>_xlfn.XLOOKUP($B$2,'BASE DE EXCEL'!$C:$C,'BASE DE EXCEL'!G:G,"NO HAY REFERENCIA")</f>
        <v>46080</v>
      </c>
      <c r="CN149" s="4">
        <f>_xlfn.XLOOKUP($B$2,'BASE DE EXCEL'!$C:$C,'BASE DE EXCEL'!H:H,"NO HAY REFERENCIA")</f>
        <v>46086</v>
      </c>
      <c r="CO149" s="3">
        <f>_xlfn.XLOOKUP($B$2,'BASE DE EXCEL'!$C:$C,'BASE DE EXCEL'!I:I,"NO HAY REFERENCIA")</f>
        <v>4</v>
      </c>
      <c r="CP149" s="3" t="str">
        <f>_xlfn.XLOOKUP($B$2,'BASE DE EXCEL'!$C:$C,'BASE DE EXCEL'!J:J,"NO HAY REFERENCIA")</f>
        <v>4 a 5 días</v>
      </c>
      <c r="CQ149" s="4">
        <f>_xlfn.XLOOKUP($B$2,'BASE DE EXCEL'!$C:$C,'BASE DE EXCEL'!K:K,"NO HAY REFERENCIA")</f>
        <v>46087</v>
      </c>
      <c r="CR149" s="3">
        <f>_xlfn.XLOOKUP($B$2,'BASE DE EXCEL'!$C:$C,'BASE DE EXCEL'!L:L,"NO HAY REFERENCIA")</f>
        <v>5</v>
      </c>
      <c r="CS149" s="3">
        <f>_xlfn.XLOOKUP($B$2,'BASE DE EXCEL'!$C:$C,'BASE DE EXCEL'!M:M,"NO HAY REFERENCIA")</f>
        <v>6</v>
      </c>
      <c r="CT149" s="3" t="str">
        <f>_xlfn.XLOOKUP($B$2,'BASE DE EXCEL'!$C:$C,'BASE DE EXCEL'!N:N,"NO HAY REFERENCIA")</f>
        <v>6 a 10 días</v>
      </c>
      <c r="CU149" s="3" t="str">
        <f>_xlfn.XLOOKUP($B$2,'BASE DE EXCEL'!$C:$C,'BASE DE EXCEL'!O:O,"NO HAY REFERENCIA")</f>
        <v>On Time</v>
      </c>
      <c r="CV149" s="3" t="str">
        <f>_xlfn.XLOOKUP(B149,'BASE DE EXCEL'!$C:$C,'BASE DE EXCEL'!P:P,"NO HAY REFERENCIA")</f>
        <v>6 a 10 días</v>
      </c>
      <c r="CW149" s="4">
        <f>_xlfn.XLOOKUP(B149,'BASE DE EXCEL'!$C:$C,'BASE DE EXCEL'!Q:Q,"NO HAY REFERENCIA")</f>
        <v>46119</v>
      </c>
      <c r="CX149" s="3">
        <f>_xlfn.XLOOKUP(B149,'BASE DE EXCEL'!$C:$C,'BASE DE EXCEL'!R:R,"NO HAY REFERENCIA")</f>
        <v>5</v>
      </c>
      <c r="CY149" s="3" t="str">
        <f>_xlfn.XLOOKUP(B149,'BASE DE EXCEL'!$C:$C,'BASE DE EXCEL'!S:S,"NO HAY REFERENCIA")</f>
        <v>4 a 5 días</v>
      </c>
      <c r="CZ149" s="3" t="str">
        <f>_xlfn.XLOOKUP(B149,'BASE DE EXCEL'!$C:$C,'BASE DE EXCEL'!T:T,"NO HAY REFERENCIA")</f>
        <v>On Time</v>
      </c>
      <c r="DA149" s="3">
        <f>_xlfn.XLOOKUP(B149,'BASE DE EXCEL'!$C:$C,'BASE DE EXCEL'!U:U,"NO HAY REFERENCIA")</f>
        <v>8</v>
      </c>
      <c r="DB149" s="3" t="str">
        <f>_xlfn.XLOOKUP(B149,'BASE DE EXCEL'!$C:$C,'BASE DE EXCEL'!V:V,"NO HAY REFERENCIA")</f>
        <v>6 a 10 días</v>
      </c>
      <c r="DC149" s="3">
        <f>_xlfn.XLOOKUP(B149,'BASE DE EXCEL'!$C:$C,'BASE DE EXCEL'!W:W,"NO HAY REFERENCIA")</f>
        <v>14</v>
      </c>
      <c r="DD149" s="3" t="str">
        <f>_xlfn.XLOOKUP(B149,'BASE DE EXCEL'!$C:$C,'BASE DE EXCEL'!X:X,"NO HAY REFERENCIA")</f>
        <v>11 a 15 días</v>
      </c>
      <c r="DE149" s="3">
        <f>_xlfn.XLOOKUP(B149,'BASE DE EXCEL'!$C:$C,'BASE DE EXCEL'!Y:Y,"NO HAY REFERENCIA")</f>
        <v>0</v>
      </c>
      <c r="DF149" s="3" t="str">
        <f>_xlfn.XLOOKUP(B149,'BASE DE EXCEL'!$C:$C,'BASE DE EXCEL'!Z:Z,"NO HAY REFERENCIA")</f>
        <v>1 día o menos</v>
      </c>
      <c r="DG149" s="3">
        <f>_xlfn.XLOOKUP(B149,'BASE DE EXCEL'!$C:$C,'BASE DE EXCEL'!AA:AA,"NO HAY REFERENCIA")</f>
        <v>7</v>
      </c>
      <c r="DH149" s="3">
        <f>_xlfn.XLOOKUP(B149,'BASE DE EXCEL'!$C:$C,'BASE DE EXCEL'!AB:AB,"NO HAY REFERENCIA")</f>
        <v>1</v>
      </c>
      <c r="DI149" s="3" t="str">
        <f>_xlfn.XLOOKUP(B149,'BASE DE EXCEL'!$C:$C,'BASE DE EXCEL'!AC:AC,"NO HAY REFERENCIA")</f>
        <v>1 día o menos</v>
      </c>
      <c r="DJ149" s="4">
        <f>_xlfn.XLOOKUP(B149,'BASE DE EXCEL'!$C:$C,'BASE DE EXCEL'!AD:AD,"NO HAY REFERENCIA")</f>
        <v>46129</v>
      </c>
      <c r="DK149" s="3">
        <f>_xlfn.XLOOKUP(B149,'BASE DE EXCEL'!$C:$C,'BASE DE EXCEL'!AE:AE,"NO HAY REFERENCIA")</f>
        <v>9</v>
      </c>
      <c r="DL149" s="3">
        <f>_xlfn.XLOOKUP(B149,'BASE DE EXCEL'!$C:$C,'BASE DE EXCEL'!AF:AF,"NO HAY REFERENCIA")</f>
        <v>8</v>
      </c>
      <c r="DM149" s="4">
        <f>_xlfn.XLOOKUP(B149,'BASE DE EXCEL'!$C:$C,'BASE DE EXCEL'!AG:AG,"NO HAY REFERENCIA")</f>
        <v>46128</v>
      </c>
      <c r="DN149" s="4">
        <f>_xlfn.XLOOKUP(B149,'BASE DE EXCEL'!$C:$C,'BASE DE EXCEL'!AH:AH,"NO HAY REFERENCIA")</f>
        <v>46129</v>
      </c>
      <c r="DO149" s="3">
        <f>_xlfn.XLOOKUP(B149,'BASE DE EXCEL'!$C:$C,'BASE DE EXCEL'!AI:AI,"NO HAY REFERENCIA")</f>
        <v>1</v>
      </c>
      <c r="DP149" s="4" t="str">
        <f>_xlfn.XLOOKUP(B149,'BASE DE EXCEL'!$C:$C,'BASE DE EXCEL'!AJ:AJ,"NO HAY REFERENCIA")</f>
        <v>6 a 10 días</v>
      </c>
      <c r="DQ149" s="4">
        <f>_xlfn.XLOOKUP(B149,'BASE DE EXCEL'!$C:$C,'BASE DE EXCEL'!AK:AK,"NO HAY REFERENCIA")</f>
        <v>46129</v>
      </c>
      <c r="DR149" s="3">
        <f>_xlfn.XLOOKUP(B149,'BASE DE EXCEL'!$C:$C,'BASE DE EXCEL'!AL:AL,"NO HAY REFERENCIA")</f>
        <v>9</v>
      </c>
      <c r="DS149" s="3" t="str">
        <f>_xlfn.XLOOKUP(B149,'BASE DE EXCEL'!$C:$C,'BASE DE EXCEL'!AM:AM,"NO HAY REFERENCIA")</f>
        <v>6 a 10 días</v>
      </c>
      <c r="DT149" s="3" t="str">
        <f>_xlfn.XLOOKUP(B149,'BASE DE EXCEL'!$C:$C,'BASE DE EXCEL'!AN:AN,"NO HAY REFERENCIA")</f>
        <v>Delayed</v>
      </c>
      <c r="DU149" s="3">
        <f>_xlfn.XLOOKUP(B149,'BASE DE EXCEL'!$C:$C,'BASE DE EXCEL'!AO:AO,"NO HAY REFERENCIA")</f>
        <v>1</v>
      </c>
      <c r="DV149" s="3" t="str">
        <f>_xlfn.XLOOKUP(B149,'BASE DE EXCEL'!$C:$C,'BASE DE EXCEL'!AP:AP,"NO HAY REFERENCIA")</f>
        <v>Es anterior</v>
      </c>
      <c r="DW149" s="3" t="str">
        <f>_xlfn.XLOOKUP(B149,'BASE DE EXCEL'!$C:$C,'BASE DE EXCEL'!AQ:AQ,"NO HAY REFERENCIA")</f>
        <v>A1</v>
      </c>
      <c r="DX149" s="3" t="str">
        <f>_xlfn.XLOOKUP(B149,'BASE DE EXCEL'!$C:$C,'BASE DE EXCEL'!AR:AR,"NO HAY REFERENCIA")</f>
        <v>ZULEIMA PEREZ RUIZ</v>
      </c>
      <c r="DY149" s="3" t="str">
        <f>_xlfn.XLOOKUP(B149,'BASE DE EXCEL'!$C:$C,'BASE DE EXCEL'!AS:AS,"NO HAY REFERENCIA")</f>
        <v>HLCURTM260288670</v>
      </c>
      <c r="DZ149" s="3" t="str">
        <f>_xlfn.XLOOKUP(B149,'BASE DE EXCEL'!$C:$C,'BASE DE EXCEL'!AT:AT,"NO HAY REFERENCIA")</f>
        <v>NULL</v>
      </c>
      <c r="EA149" s="3">
        <f>_xlfn.XLOOKUP(B149,'BASE DE EXCEL'!$C:$C,'BASE DE EXCEL'!AU:AU,"NO HAY REFERENCIA")</f>
        <v>6000434</v>
      </c>
      <c r="EB149" s="3" t="str">
        <f>_xlfn.XLOOKUP(B149,'BASE DE EXCEL'!$C:$C,'BASE DE EXCEL'!AV:AV,"NO HAY REFERENCIA")</f>
        <v>Importación</v>
      </c>
      <c r="EC149" s="3" t="str">
        <f>_xlfn.XLOOKUP(B149,'BASE DE EXCEL'!$C:$C,'BASE DE EXCEL'!AW:AW,"NO HAY REFERENCIA")</f>
        <v>NOBIVAC DH PARVO C (VACUNA DE USO VETERINARIO)</v>
      </c>
      <c r="ED149" s="3" t="str">
        <f>_xlfn.XLOOKUP(B149,'BASE DE EXCEL'!$C:$C,'BASE DE EXCEL'!AX:AX,"NO HAY REFERENCIA")</f>
        <v>SIN CLASIFICACION</v>
      </c>
      <c r="EE149" s="3">
        <f>_xlfn.XLOOKUP(B149,'BASE DE EXCEL'!$C:$C,'BASE DE EXCEL'!AY:AY,"NO HAY REFERENCIA")</f>
        <v>0</v>
      </c>
      <c r="EF149" s="3" t="str">
        <f>_xlfn.XLOOKUP(B149,'BASE DE EXCEL'!$C:$C,'BASE DE EXCEL'!AZ:AZ,"NO HAY REFERENCIA")</f>
        <v>Cargas de Importación</v>
      </c>
      <c r="EG149" s="3" t="str">
        <f>_xlfn.XLOOKUP(B149,'BASE DE EXCEL'!$C:$C,'BASE DE EXCEL'!BA:BA,"NO HAY REFERENCIA")</f>
        <v>INTERVET MEXICO SA DE CV</v>
      </c>
      <c r="EH149" s="3">
        <f>_xlfn.XLOOKUP(B149,'BASE DE EXCEL'!$C:$C,'BASE DE EXCEL'!BB:BB,"NO HAY REFERENCIA")</f>
        <v>0</v>
      </c>
      <c r="EI149" s="3" t="str">
        <f>_xlfn.XLOOKUP(B149,'BASE DE EXCEL'!$C:$C,'BASE DE EXCEL'!BC:BC,"NO HAY REFERENCIA")</f>
        <v>NINGUNO</v>
      </c>
      <c r="EJ149" s="3">
        <f>_xlfn.XLOOKUP(B149,'BASE DE EXCEL'!$C:$C,'BASE DE EXCEL'!BD:BD,"NO HAY REFERENCIA")</f>
        <v>0</v>
      </c>
      <c r="EK149" s="3" t="str">
        <f>_xlfn.XLOOKUP(B149,'BASE DE EXCEL'!$C:$C,'BASE DE EXCEL'!BE:BE,"NO HAY REFERENCIA")</f>
        <v>NINGUNO</v>
      </c>
      <c r="EL149" s="3" t="str">
        <f>_xlfn.XLOOKUP(B149,'BASE DE EXCEL'!$C:$C,'BASE DE EXCEL'!BF:BF,"NO HAY REFERENCIA")</f>
        <v>PRODUCTO TERMINADO</v>
      </c>
      <c r="EM149" s="3" t="str">
        <f>_xlfn.XLOOKUP(B149,'BASE DE EXCEL'!$C:$C,'BASE DE EXCEL'!BG:BG,"NO HAY REFERENCIA")</f>
        <v>Rojo</v>
      </c>
      <c r="EN149" s="3" t="str">
        <f>_xlfn.XLOOKUP(B149,'BASE DE EXCEL'!$C:$C,'BASE DE EXCEL'!BH:BH,"NO HAY REFERENCIA")</f>
        <v xml:space="preserve"> MLH TRANSPORTE, S.A. DE C.V.</v>
      </c>
      <c r="EO149" s="3" t="str">
        <f>_xlfn.XLOOKUP(B149,'BASE DE EXCEL'!$C:$C,'BASE DE EXCEL'!BI:BI,"NO HAY REFERENCIA")</f>
        <v>TRACTOCAMION ECO 110</v>
      </c>
      <c r="EP149" s="3">
        <f>_xlfn.XLOOKUP(B149,'BASE DE EXCEL'!$C:$C,'BASE DE EXCEL'!BJ:BJ,"NO HAY REFERENCIA")</f>
        <v>0</v>
      </c>
      <c r="EQ149" s="3" t="str">
        <f>_xlfn.XLOOKUP(B149,'BASE DE EXCEL'!$C:$C,'BASE DE EXCEL'!BK:BK,"NO HAY REFERENCIA")</f>
        <v>IME850329RH2</v>
      </c>
      <c r="ER149" s="3">
        <f>_xlfn.XLOOKUP(B149,'BASE DE EXCEL'!$C:$C,'BASE DE EXCEL'!BL:BL,"NO HAY REFERENCIA")</f>
        <v>0</v>
      </c>
      <c r="ES149" s="3">
        <f>_xlfn.XLOOKUP(B149,'BASE DE EXCEL'!$C:$C,'BASE DE EXCEL'!BM:BM,"NO HAY REFERENCIA")</f>
        <v>99</v>
      </c>
      <c r="ET149" s="3" t="str">
        <f>_xlfn.XLOOKUP(B149,'BASE DE EXCEL'!$C:$C,'BASE DE EXCEL'!BN:BN,"NO HAY REFERENCIA")</f>
        <v>LOTE: A217C01,LOTE: A849F01,LOTE: A225A01,LOTE: A180E01,LOTE: A145A01,LOTE: A227A01,LOTE: A061A03,LOTE: A061A04,LOTE: 1E073A03,LOTE: A737B01,LOTE: A270A02,LOTE: A032AJ02,LOTE: 1E073A02</v>
      </c>
      <c r="EU149" s="3">
        <f>_xlfn.XLOOKUP(B149,'BASE DE EXCEL'!$C:$C,'BASE DE EXCEL'!BO:BO,"NO HAY REFERENCIA")</f>
        <v>90</v>
      </c>
      <c r="EV149" s="3" t="str">
        <f>_xlfn.XLOOKUP(B149,'BASE DE EXCEL'!$C:$C,'BASE DE EXCEL'!BP:BP,"NO HAY REFERENCIA")</f>
        <v xml:space="preserve"> 11626987.90, 30130695.36</v>
      </c>
      <c r="EW149" s="3" t="str">
        <f>_xlfn.XLOOKUP(B149,'BASE DE EXCEL'!$C:$C,'BASE DE EXCEL'!BQ:BQ,"NO HAY REFERENCIA")</f>
        <v>KILO,KILO,KILO,KILO,KILO,KILO,KILO,KILO,KILO,KILO,KILO,KILO,KILO</v>
      </c>
      <c r="EX149" s="3">
        <f>_xlfn.XLOOKUP(B149,'BASE DE EXCEL'!$C:$C,'BASE DE EXCEL'!BR:BR,"NO HAY REFERENCIA")</f>
        <v>0</v>
      </c>
      <c r="EY149" s="3" t="str">
        <f>_xlfn.XLOOKUP(B149,'BASE DE EXCEL'!$C:$C,'BASE DE EXCEL'!BS:BS,"NO HAY REFERENCIA")</f>
        <v>PAISES BAJOS (REINO DE LOS) (HOLANDA)</v>
      </c>
      <c r="EZ149" s="3" t="str">
        <f>_xlfn.XLOOKUP(B149,'BASE DE EXCEL'!$C:$C,'BASE DE EXCEL'!BT:BT,"NO HAY REFERENCIA")</f>
        <v>PAISES BAJOS (REINO DE LOS) (HOLANDA)</v>
      </c>
      <c r="FA149" s="3" t="str">
        <f>_xlfn.XLOOKUP(B149,'BASE DE EXCEL'!$C:$C,'BASE DE EXCEL'!BU:BU,"NO HAY REFERENCIA")</f>
        <v>ZYA</v>
      </c>
      <c r="FB149" s="3" t="str">
        <f>_xlfn.XLOOKUP(B149,'BASE DE EXCEL'!$C:$C,'BASE DE EXCEL'!BV:BV,"NO HAY REFERENCIA")</f>
        <v>ZYA</v>
      </c>
      <c r="FC149" s="3">
        <f>_xlfn.XLOOKUP(B149,QUERY!$C:$C,QUERY!D:D)</f>
        <v>430</v>
      </c>
      <c r="FD149" s="4">
        <f>_xlfn.XLOOKUP(B149,QUERY!$C:$C,QUERY!E:E)</f>
        <v>46118</v>
      </c>
      <c r="FE149" s="3">
        <f>_xlfn.XLOOKUP(B149,QUERY!$C:$C,QUERY!F:F)</f>
        <v>4</v>
      </c>
      <c r="FF149" s="4">
        <f>_xlfn.XLOOKUP(B149,QUERY!$C:$C,QUERY!G:G)</f>
        <v>46111</v>
      </c>
      <c r="FG149" s="4">
        <f>_xlfn.XLOOKUP(B149,QUERY!$C:$C,QUERY!H:H)</f>
        <v>46118</v>
      </c>
      <c r="FH149" s="3">
        <f>_xlfn.XLOOKUP(B149,QUERY!$C:$C,QUERY!I:I)</f>
        <v>5</v>
      </c>
      <c r="FI149" s="3" t="str">
        <f>_xlfn.XLOOKUP(B149,QUERY!$C:$C,QUERY!J:J)</f>
        <v>4 a 5 días</v>
      </c>
      <c r="FJ149" s="4">
        <f>_xlfn.XLOOKUP(B149,QUERY!$C:$C,QUERY!K:K)</f>
        <v>46118</v>
      </c>
      <c r="FK149" s="3">
        <f>_xlfn.XLOOKUP(B149,QUERY!$C:$C,QUERY!L:L)</f>
        <v>5</v>
      </c>
      <c r="FL149" s="3" t="str">
        <f>_xlfn.XLOOKUP(B149,QUERY!$C:$C,QUERY!M:M)</f>
        <v>4 a 5 días</v>
      </c>
      <c r="FM149" s="3">
        <f>_xlfn.XLOOKUP(B149,QUERY!$C:$C,QUERY!N:N)</f>
        <v>0</v>
      </c>
      <c r="FN149" s="3" t="str">
        <f>_xlfn.XLOOKUP(B149,QUERY!$C:$C,QUERY!O:O)</f>
        <v>1 día o menos</v>
      </c>
      <c r="FO149" s="3">
        <f>_xlfn.XLOOKUP(B149,QUERY!$C:$C,QUERY!P:P)</f>
        <v>0</v>
      </c>
      <c r="FP149" s="3">
        <f>_xlfn.XLOOKUP(B149,QUERY!$C:$C,QUERY!Q:Q)</f>
        <v>1</v>
      </c>
      <c r="FQ149" s="3" t="str">
        <f>_xlfn.XLOOKUP(B149,QUERY!$C:$C,QUERY!R:R)</f>
        <v>1 día o menos</v>
      </c>
      <c r="FR149" s="4">
        <f>_xlfn.XLOOKUP(B149,QUERY!$C:$C,QUERY!S:S)</f>
        <v>46119</v>
      </c>
      <c r="FS149" s="3">
        <f>_xlfn.XLOOKUP(B149,QUERY!$C:$C,QUERY!T:T)</f>
        <v>6</v>
      </c>
      <c r="FT149" s="3" t="str">
        <f>_xlfn.XLOOKUP(B149,QUERY!$C:$C,QUERY!U:U)</f>
        <v>6 a 10 días</v>
      </c>
      <c r="FU149" s="3">
        <f>_xlfn.XLOOKUP(B149,QUERY!$C:$C,QUERY!V:V)</f>
        <v>14</v>
      </c>
      <c r="FV149" s="3" t="str">
        <f>_xlfn.XLOOKUP(B149,QUERY!$C:$C,QUERY!W:W)</f>
        <v>11 a 15 días</v>
      </c>
      <c r="FW149" s="4">
        <f>_xlfn.XLOOKUP(B149,QUERY!$C:$C,QUERY!X:X)</f>
        <v>46129</v>
      </c>
      <c r="FX149" s="3">
        <f>_xlfn.XLOOKUP(B149,QUERY!$C:$C,QUERY!Y:Y)</f>
        <v>7</v>
      </c>
      <c r="FY149" s="3">
        <f>_xlfn.XLOOKUP(B149,QUERY!$C:$C,QUERY!Z:Z)</f>
        <v>8</v>
      </c>
      <c r="FZ149" s="4" t="str">
        <f>_xlfn.XLOOKUP(B149,QUERY!$C:$C,QUERY!AA:AA)</f>
        <v>6 a 10 días</v>
      </c>
      <c r="GA149" s="4">
        <f>_xlfn.XLOOKUP(B149,QUERY!$C:$C,QUERY!AB:AB)</f>
        <v>46128</v>
      </c>
      <c r="GB149" s="4">
        <f>_xlfn.XLOOKUP(B149,QUERY!$C:$C,QUERY!AC:AC)</f>
        <v>46129</v>
      </c>
      <c r="GC149" s="3">
        <f>_xlfn.XLOOKUP(B149,QUERY!$C:$C,QUERY!AD:AD)</f>
        <v>1</v>
      </c>
      <c r="GD149" s="4">
        <f>_xlfn.XLOOKUP(B149,QUERY!$C:$C,QUERY!AE:AE)</f>
        <v>46129</v>
      </c>
      <c r="GE149" s="3">
        <f>_xlfn.XLOOKUP(B149,QUERY!$C:$C,QUERY!AF:AF)</f>
        <v>1</v>
      </c>
      <c r="GF149" s="4" t="str">
        <f>_xlfn.XLOOKUP(B149,QUERY!$C:$C,QUERY!AG:AG)</f>
        <v>Es anterior</v>
      </c>
      <c r="GG149" s="3" t="str">
        <f>_xlfn.XLOOKUP(B149,QUERY!$C:$C,QUERY!AH:AH)</f>
        <v>A1</v>
      </c>
      <c r="GH149" s="3" t="str">
        <f>_xlfn.XLOOKUP(B149,QUERY!$C:$C,QUERY!AI:AI)</f>
        <v>ZULEIMA PEREZ RUIZ</v>
      </c>
      <c r="GI149" s="3" t="str">
        <f>_xlfn.XLOOKUP(B149,QUERY!$C:$C,QUERY!AJ:AJ)</f>
        <v>HLCURTM260288670</v>
      </c>
      <c r="GJ149" s="3" t="str">
        <f>_xlfn.XLOOKUP(B149,QUERY!$C:$C,QUERY!AK:AK)</f>
        <v>NULL</v>
      </c>
      <c r="GK149" s="3">
        <f>_xlfn.XLOOKUP(B149,QUERY!$C:$C,QUERY!AL:AL)</f>
        <v>6000434</v>
      </c>
      <c r="GL149" s="3" t="str">
        <f>_xlfn.XLOOKUP(B149,QUERY!$C:$C,QUERY!AM:AM)</f>
        <v>Importación</v>
      </c>
      <c r="GM149" s="3" t="str">
        <f>_xlfn.XLOOKUP(B149,QUERY!$C:$C,QUERY!AN:AN)</f>
        <v>NOBIVAC DH PARVO C (VACUNA DE USO VETERINARIO)</v>
      </c>
      <c r="GN149" s="3" t="str">
        <f>_xlfn.XLOOKUP(B149,QUERY!$C:$C,QUERY!AO:AO)</f>
        <v>SIN CLASIFICACION</v>
      </c>
      <c r="GO149" s="3">
        <f>_xlfn.XLOOKUP(B149,QUERY!$C:$C,QUERY!AP:AP)</f>
        <v>0</v>
      </c>
      <c r="GP149" s="3" t="str">
        <f>_xlfn.XLOOKUP(B149,QUERY!$C:$C,QUERY!AQ:AQ)</f>
        <v>Cargas de Importación</v>
      </c>
      <c r="GQ149" s="3" t="str">
        <f>_xlfn.XLOOKUP(B149,QUERY!$C:$C,QUERY!AR:AR)</f>
        <v>INTERVET MEXICO SA DE CV</v>
      </c>
      <c r="GR149" s="3">
        <f>_xlfn.XLOOKUP(B149,QUERY!$C:$C,QUERY!AS:AS)</f>
        <v>0</v>
      </c>
      <c r="GS149" s="3" t="str">
        <f>_xlfn.XLOOKUP(B149,QUERY!$C:$C,QUERY!AT:AT)</f>
        <v>NINGUNO</v>
      </c>
      <c r="GT149" s="3">
        <f>_xlfn.XLOOKUP(B149,QUERY!$C:$C,QUERY!AU:AU)</f>
        <v>0</v>
      </c>
      <c r="GU149" s="3" t="str">
        <f>_xlfn.XLOOKUP(B149,QUERY!$C:$C,QUERY!AV:AV)</f>
        <v>NINGUNO</v>
      </c>
      <c r="GV149" s="3" t="str">
        <f>_xlfn.XLOOKUP(B149,QUERY!$C:$C,QUERY!AW:AW)</f>
        <v>PRODUCTO TERMINADO</v>
      </c>
      <c r="GW149" s="3" t="str">
        <f>_xlfn.XLOOKUP(B149,QUERY!$C:$C,QUERY!AX:AX)</f>
        <v>Rojo</v>
      </c>
      <c r="GX149" s="3" t="str">
        <f>_xlfn.XLOOKUP(B149,QUERY!$C:$C,QUERY!AY:AY)</f>
        <v xml:space="preserve"> MLH TRANSPORTE, S.A. DE C.V.</v>
      </c>
      <c r="GY149" s="3" t="str">
        <f>_xlfn.XLOOKUP(B149,QUERY!$C:$C,QUERY!AZ:AZ)</f>
        <v>TRACTOCAMION ECO 110</v>
      </c>
      <c r="GZ149" s="3">
        <f>_xlfn.XLOOKUP(B149,QUERY!$C:$C,QUERY!BA:BA)</f>
        <v>0</v>
      </c>
      <c r="HA149" s="3" t="str">
        <f>_xlfn.XLOOKUP(B149,QUERY!$C:$C,QUERY!BB:BB)</f>
        <v>IME850329RH2</v>
      </c>
      <c r="HB149" s="3">
        <f>_xlfn.XLOOKUP(B149,QUERY!$C:$C,QUERY!BC:BC)</f>
        <v>0</v>
      </c>
      <c r="HC149" s="3">
        <f>_xlfn.XLOOKUP(B149,QUERY!$C:$C,QUERY!BD:BD)</f>
        <v>99</v>
      </c>
      <c r="HD149" s="3" t="str">
        <f>_xlfn.XLOOKUP(B149,QUERY!$C:$C,QUERY!BE:BE)</f>
        <v>LOTE: A217C01,LOTE: A849F01,LOTE: A225A01,LOTE: A180E01,LOTE: 1E073A02,LOTE: A145A01,LOTE: A227A01,LOTE: A061A03,LOTE: A061A04,LOTE: 1E073A03,LOTE: A737B01,LOTE: A270A02,LOTE: A032AJ02</v>
      </c>
      <c r="HE149" s="3">
        <f>_xlfn.XLOOKUP(B149,QUERY!$C:$C,QUERY!BF:BF)</f>
        <v>90</v>
      </c>
      <c r="HF149" s="3" t="str">
        <f>_xlfn.XLOOKUP(B149,QUERY!$C:$C,QUERY!BG:BG)</f>
        <v xml:space="preserve"> 11626987.90, 30130695.36</v>
      </c>
      <c r="HG149" s="3" t="str">
        <f>_xlfn.XLOOKUP(B149,QUERY!$C:$C,QUERY!BH:BH)</f>
        <v>KILO,KILO,KILO,KILO,KILO,KILO,KILO,KILO,KILO,KILO,KILO,KILO,KILO</v>
      </c>
      <c r="HH149" s="3">
        <f>_xlfn.XLOOKUP(B149,QUERY!$C:$C,QUERY!BI:BI)</f>
        <v>0</v>
      </c>
      <c r="HI149" s="3" t="str">
        <f>_xlfn.XLOOKUP(B149,QUERY!$C:$C,QUERY!BJ:BJ)</f>
        <v>PAISES BAJOS (REINO DE LOS) (HOLANDA)</v>
      </c>
      <c r="HJ149" s="3" t="str">
        <f>_xlfn.XLOOKUP(B149,QUERY!$C:$C,QUERY!BK:BK)</f>
        <v>PAISES BAJOS (REINO DE LOS) (HOLANDA)</v>
      </c>
      <c r="HK149" s="3" t="str">
        <f>_xlfn.XLOOKUP(B149,QUERY!$C:$C,QUERY!BL:BL)</f>
        <v>ZYA</v>
      </c>
      <c r="HL149" s="3" t="str">
        <f>_xlfn.XLOOKUP(B149,QUERY!$C:$C,QUERY!BM:BM)</f>
        <v>ZYA</v>
      </c>
      <c r="HM149" s="3">
        <f>_xlfn.XLOOKUP(B149,QUERY!$C:$C,QUERY!BN:BN)</f>
        <v>41757683</v>
      </c>
      <c r="HN149" s="3" t="str">
        <f>_xlfn.XLOOKUP(B149,QUERY!$C:$C,QUERY!BO:BO)</f>
        <v>462.00</v>
      </c>
      <c r="HO149" s="3" t="str">
        <f>_xlfn.XLOOKUP(B149,QUERY!$C:$C,QUERY!BP:BP)</f>
        <v>NULL</v>
      </c>
      <c r="HP149" s="3" t="str">
        <f>_xlfn.XLOOKUP(B149,QUERY!$C:$C,QUERY!BQ:BQ)</f>
        <v>NULL</v>
      </c>
      <c r="HQ149" s="3" t="str">
        <f>_xlfn.XLOOKUP(B149,QUERY!$C:$C,QUERY!BR:BR)</f>
        <v>248801.02</v>
      </c>
      <c r="HR149" s="3">
        <f>_xlfn.XLOOKUP(B149,QUERY!$C:$C,QUERY!BS:BS)</f>
        <v>0</v>
      </c>
      <c r="HS149" s="3">
        <f>_xlfn.XLOOKUP(B149,QUERY!$C:$C,QUERY!BT:BT)</f>
        <v>0</v>
      </c>
      <c r="HT149" s="3" t="str">
        <f>_xlfn.XLOOKUP(B149,QUERY!$C:$C,QUERY!A:A)</f>
        <v>VERACRUZ</v>
      </c>
      <c r="HU149" s="3" t="str">
        <f>_xlfn.XLOOKUP(B149,QUERY!$C:$C,QUERY!B:B)</f>
        <v>MARÍTIMO VERACRUZ</v>
      </c>
    </row>
    <row r="150" spans="1:229" x14ac:dyDescent="0.25">
      <c r="A150" s="3" t="s">
        <v>90</v>
      </c>
      <c r="B150" s="3" t="s">
        <v>383</v>
      </c>
      <c r="C150" s="3">
        <v>3942</v>
      </c>
      <c r="D150" s="3">
        <v>6000516</v>
      </c>
      <c r="E150" s="3"/>
      <c r="F150" s="3" t="s">
        <v>92</v>
      </c>
      <c r="G150" s="3" t="s">
        <v>93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10</v>
      </c>
      <c r="O150" s="3">
        <v>1005242</v>
      </c>
      <c r="P150" s="3">
        <v>17.7957</v>
      </c>
      <c r="Q150" s="3">
        <v>2034</v>
      </c>
      <c r="R150" s="3">
        <v>430</v>
      </c>
      <c r="S150" s="3" t="s">
        <v>384</v>
      </c>
      <c r="T150" s="3" t="s">
        <v>385</v>
      </c>
      <c r="U150" s="3">
        <v>10052424</v>
      </c>
      <c r="V150" s="3">
        <v>10052424</v>
      </c>
      <c r="W150" s="3">
        <v>0</v>
      </c>
      <c r="X150" s="3">
        <v>0</v>
      </c>
      <c r="Y150" s="3">
        <v>0</v>
      </c>
      <c r="Z150" s="3">
        <v>0</v>
      </c>
      <c r="AA150" s="3" t="s">
        <v>386</v>
      </c>
      <c r="AB150" s="3"/>
      <c r="AC150" s="3">
        <v>10052424</v>
      </c>
      <c r="AD150" s="3">
        <v>155.13</v>
      </c>
      <c r="AE150" s="3">
        <v>354</v>
      </c>
      <c r="AF150" s="3">
        <v>10</v>
      </c>
      <c r="AG150" s="3">
        <v>1005242</v>
      </c>
      <c r="AH150" s="3">
        <v>0</v>
      </c>
      <c r="AI150" s="3">
        <v>53</v>
      </c>
      <c r="AJ150" s="3">
        <v>80419</v>
      </c>
      <c r="AK150" s="3">
        <v>0</v>
      </c>
      <c r="AL150" s="3">
        <v>0</v>
      </c>
      <c r="AM150" s="3">
        <v>330</v>
      </c>
      <c r="AN150" s="3">
        <v>1086044</v>
      </c>
      <c r="AO150" s="3" t="s">
        <v>97</v>
      </c>
      <c r="AP150" s="3" t="s">
        <v>98</v>
      </c>
      <c r="AQ150" s="3">
        <v>210369005</v>
      </c>
      <c r="AR150" s="3" t="s">
        <v>99</v>
      </c>
      <c r="AS150" s="3" t="s">
        <v>100</v>
      </c>
      <c r="AT150" s="3" t="s">
        <v>387</v>
      </c>
      <c r="AU150" s="3"/>
      <c r="AV150" s="3" t="s">
        <v>102</v>
      </c>
      <c r="AW150" s="3">
        <v>30049099</v>
      </c>
      <c r="AX150" s="3">
        <v>99</v>
      </c>
      <c r="AY150" s="3">
        <v>64800</v>
      </c>
      <c r="AZ150" s="3">
        <v>64800</v>
      </c>
      <c r="BA150" s="3" t="s">
        <v>103</v>
      </c>
      <c r="BB150" s="3"/>
      <c r="BC150" s="3" t="s">
        <v>133</v>
      </c>
      <c r="BD150" s="3" t="s">
        <v>105</v>
      </c>
      <c r="BE150" s="3" t="s">
        <v>106</v>
      </c>
      <c r="BF150" s="3" t="s">
        <v>117</v>
      </c>
      <c r="BG150" s="5"/>
      <c r="BH150" s="3"/>
      <c r="BI150" s="3"/>
      <c r="BJ150" s="3" t="s">
        <v>388</v>
      </c>
      <c r="BK150" s="3" t="s">
        <v>389</v>
      </c>
      <c r="BL150" s="3">
        <v>45349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22189.59</v>
      </c>
      <c r="BY150" s="3">
        <v>0</v>
      </c>
      <c r="BZ150" s="3">
        <v>0</v>
      </c>
      <c r="CA150" s="3">
        <v>15002.89</v>
      </c>
      <c r="CB150" s="3">
        <v>15812.5</v>
      </c>
      <c r="CC150" s="3">
        <v>2653.2</v>
      </c>
      <c r="CD150" s="3">
        <v>175411.1</v>
      </c>
      <c r="CE150" s="3" t="s">
        <v>192</v>
      </c>
      <c r="CF150" s="3">
        <v>175411.1</v>
      </c>
      <c r="CG150" s="3">
        <v>0</v>
      </c>
      <c r="CH150" s="3">
        <v>0</v>
      </c>
      <c r="CI150" s="3" t="s">
        <v>112</v>
      </c>
      <c r="CJ150" s="3" t="s">
        <v>112</v>
      </c>
      <c r="CK150" s="3">
        <f>_xlfn.XLOOKUP($B$2,'BASE DE EXCEL'!C:C,'BASE DE EXCEL'!D:D,"NO HAY REFERENCIA")</f>
        <v>470</v>
      </c>
      <c r="CL150" s="5">
        <f>_xlfn.XLOOKUP($B$2,'BASE DE EXCEL'!$C:$C,'BASE DE EXCEL'!F:F,"NO HAY REFERENCIA")</f>
        <v>3</v>
      </c>
      <c r="CM150" s="4">
        <f>_xlfn.XLOOKUP($B$2,'BASE DE EXCEL'!$C:$C,'BASE DE EXCEL'!G:G,"NO HAY REFERENCIA")</f>
        <v>46080</v>
      </c>
      <c r="CN150" s="4">
        <f>_xlfn.XLOOKUP($B$2,'BASE DE EXCEL'!$C:$C,'BASE DE EXCEL'!H:H,"NO HAY REFERENCIA")</f>
        <v>46086</v>
      </c>
      <c r="CO150" s="3">
        <f>_xlfn.XLOOKUP($B$2,'BASE DE EXCEL'!$C:$C,'BASE DE EXCEL'!I:I,"NO HAY REFERENCIA")</f>
        <v>4</v>
      </c>
      <c r="CP150" s="3" t="str">
        <f>_xlfn.XLOOKUP($B$2,'BASE DE EXCEL'!$C:$C,'BASE DE EXCEL'!J:J,"NO HAY REFERENCIA")</f>
        <v>4 a 5 días</v>
      </c>
      <c r="CQ150" s="4">
        <f>_xlfn.XLOOKUP($B$2,'BASE DE EXCEL'!$C:$C,'BASE DE EXCEL'!K:K,"NO HAY REFERENCIA")</f>
        <v>46087</v>
      </c>
      <c r="CR150" s="3">
        <f>_xlfn.XLOOKUP($B$2,'BASE DE EXCEL'!$C:$C,'BASE DE EXCEL'!L:L,"NO HAY REFERENCIA")</f>
        <v>5</v>
      </c>
      <c r="CS150" s="3">
        <f>_xlfn.XLOOKUP($B$2,'BASE DE EXCEL'!$C:$C,'BASE DE EXCEL'!M:M,"NO HAY REFERENCIA")</f>
        <v>6</v>
      </c>
      <c r="CT150" s="3" t="str">
        <f>_xlfn.XLOOKUP($B$2,'BASE DE EXCEL'!$C:$C,'BASE DE EXCEL'!N:N,"NO HAY REFERENCIA")</f>
        <v>6 a 10 días</v>
      </c>
      <c r="CU150" s="3" t="str">
        <f>_xlfn.XLOOKUP($B$2,'BASE DE EXCEL'!$C:$C,'BASE DE EXCEL'!O:O,"NO HAY REFERENCIA")</f>
        <v>On Time</v>
      </c>
      <c r="CV150" s="3" t="str">
        <f>_xlfn.XLOOKUP(B150,'BASE DE EXCEL'!$C:$C,'BASE DE EXCEL'!P:P,"NO HAY REFERENCIA")</f>
        <v>6 a 10 días</v>
      </c>
      <c r="CW150" s="4">
        <f>_xlfn.XLOOKUP(B150,'BASE DE EXCEL'!$C:$C,'BASE DE EXCEL'!Q:Q,"NO HAY REFERENCIA")</f>
        <v>46119</v>
      </c>
      <c r="CX150" s="3">
        <f>_xlfn.XLOOKUP(B150,'BASE DE EXCEL'!$C:$C,'BASE DE EXCEL'!R:R,"NO HAY REFERENCIA")</f>
        <v>5</v>
      </c>
      <c r="CY150" s="3" t="str">
        <f>_xlfn.XLOOKUP(B150,'BASE DE EXCEL'!$C:$C,'BASE DE EXCEL'!S:S,"NO HAY REFERENCIA")</f>
        <v>4 a 5 días</v>
      </c>
      <c r="CZ150" s="3" t="str">
        <f>_xlfn.XLOOKUP(B150,'BASE DE EXCEL'!$C:$C,'BASE DE EXCEL'!T:T,"NO HAY REFERENCIA")</f>
        <v>On Time</v>
      </c>
      <c r="DA150" s="3">
        <f>_xlfn.XLOOKUP(B150,'BASE DE EXCEL'!$C:$C,'BASE DE EXCEL'!U:U,"NO HAY REFERENCIA")</f>
        <v>8</v>
      </c>
      <c r="DB150" s="3" t="str">
        <f>_xlfn.XLOOKUP(B150,'BASE DE EXCEL'!$C:$C,'BASE DE EXCEL'!V:V,"NO HAY REFERENCIA")</f>
        <v>6 a 10 días</v>
      </c>
      <c r="DC150" s="3">
        <f>_xlfn.XLOOKUP(B150,'BASE DE EXCEL'!$C:$C,'BASE DE EXCEL'!W:W,"NO HAY REFERENCIA")</f>
        <v>18</v>
      </c>
      <c r="DD150" s="3" t="str">
        <f>_xlfn.XLOOKUP(B150,'BASE DE EXCEL'!$C:$C,'BASE DE EXCEL'!X:X,"NO HAY REFERENCIA")</f>
        <v>más de 16 días</v>
      </c>
      <c r="DE150" s="3">
        <f>_xlfn.XLOOKUP(B150,'BASE DE EXCEL'!$C:$C,'BASE DE EXCEL'!Y:Y,"NO HAY REFERENCIA")</f>
        <v>0</v>
      </c>
      <c r="DF150" s="3" t="str">
        <f>_xlfn.XLOOKUP(B150,'BASE DE EXCEL'!$C:$C,'BASE DE EXCEL'!Z:Z,"NO HAY REFERENCIA")</f>
        <v>1 día o menos</v>
      </c>
      <c r="DG150" s="3">
        <f>_xlfn.XLOOKUP(B150,'BASE DE EXCEL'!$C:$C,'BASE DE EXCEL'!AA:AA,"NO HAY REFERENCIA")</f>
        <v>7</v>
      </c>
      <c r="DH150" s="3">
        <f>_xlfn.XLOOKUP(B150,'BASE DE EXCEL'!$C:$C,'BASE DE EXCEL'!AB:AB,"NO HAY REFERENCIA")</f>
        <v>1</v>
      </c>
      <c r="DI150" s="3" t="str">
        <f>_xlfn.XLOOKUP(B150,'BASE DE EXCEL'!$C:$C,'BASE DE EXCEL'!AC:AC,"NO HAY REFERENCIA")</f>
        <v>1 día o menos</v>
      </c>
      <c r="DJ150" s="4">
        <f>_xlfn.XLOOKUP(B150,'BASE DE EXCEL'!$C:$C,'BASE DE EXCEL'!AD:AD,"NO HAY REFERENCIA")</f>
        <v>46135</v>
      </c>
      <c r="DK150" s="3">
        <f>_xlfn.XLOOKUP(B150,'BASE DE EXCEL'!$C:$C,'BASE DE EXCEL'!AE:AE,"NO HAY REFERENCIA")</f>
        <v>16</v>
      </c>
      <c r="DL150" s="3">
        <f>_xlfn.XLOOKUP(B150,'BASE DE EXCEL'!$C:$C,'BASE DE EXCEL'!AF:AF,"NO HAY REFERENCIA")</f>
        <v>12</v>
      </c>
      <c r="DM150" s="4">
        <f>_xlfn.XLOOKUP(B150,'BASE DE EXCEL'!$C:$C,'BASE DE EXCEL'!AG:AG,"NO HAY REFERENCIA")</f>
        <v>46135</v>
      </c>
      <c r="DN150" s="4">
        <f>_xlfn.XLOOKUP(B150,'BASE DE EXCEL'!$C:$C,'BASE DE EXCEL'!AH:AH,"NO HAY REFERENCIA")</f>
        <v>46135</v>
      </c>
      <c r="DO150" s="3">
        <f>_xlfn.XLOOKUP(B150,'BASE DE EXCEL'!$C:$C,'BASE DE EXCEL'!AI:AI,"NO HAY REFERENCIA")</f>
        <v>0</v>
      </c>
      <c r="DP150" s="4" t="str">
        <f>_xlfn.XLOOKUP(B150,'BASE DE EXCEL'!$C:$C,'BASE DE EXCEL'!AJ:AJ,"NO HAY REFERENCIA")</f>
        <v>más de 16 días</v>
      </c>
      <c r="DQ150" s="4">
        <f>_xlfn.XLOOKUP(B150,'BASE DE EXCEL'!$C:$C,'BASE DE EXCEL'!AK:AK,"NO HAY REFERENCIA")</f>
        <v>46135</v>
      </c>
      <c r="DR150" s="3">
        <f>_xlfn.XLOOKUP(B150,'BASE DE EXCEL'!$C:$C,'BASE DE EXCEL'!AL:AL,"NO HAY REFERENCIA")</f>
        <v>13</v>
      </c>
      <c r="DS150" s="3" t="str">
        <f>_xlfn.XLOOKUP(B150,'BASE DE EXCEL'!$C:$C,'BASE DE EXCEL'!AM:AM,"NO HAY REFERENCIA")</f>
        <v>11 a 15 días</v>
      </c>
      <c r="DT150" s="3" t="str">
        <f>_xlfn.XLOOKUP(B150,'BASE DE EXCEL'!$C:$C,'BASE DE EXCEL'!AN:AN,"NO HAY REFERENCIA")</f>
        <v>Delayed</v>
      </c>
      <c r="DU150" s="3">
        <f>_xlfn.XLOOKUP(B150,'BASE DE EXCEL'!$C:$C,'BASE DE EXCEL'!AO:AO,"NO HAY REFERENCIA")</f>
        <v>1</v>
      </c>
      <c r="DV150" s="3" t="str">
        <f>_xlfn.XLOOKUP(B150,'BASE DE EXCEL'!$C:$C,'BASE DE EXCEL'!AP:AP,"NO HAY REFERENCIA")</f>
        <v>Es anterior</v>
      </c>
      <c r="DW150" s="3" t="str">
        <f>_xlfn.XLOOKUP(B150,'BASE DE EXCEL'!$C:$C,'BASE DE EXCEL'!AQ:AQ,"NO HAY REFERENCIA")</f>
        <v>A1</v>
      </c>
      <c r="DX150" s="3" t="str">
        <f>_xlfn.XLOOKUP(B150,'BASE DE EXCEL'!$C:$C,'BASE DE EXCEL'!AR:AR,"NO HAY REFERENCIA")</f>
        <v>ZULEIMA PEREZ RUIZ</v>
      </c>
      <c r="DY150" s="3" t="str">
        <f>_xlfn.XLOOKUP(B150,'BASE DE EXCEL'!$C:$C,'BASE DE EXCEL'!AS:AS,"NO HAY REFERENCIA")</f>
        <v>HLCUHAM2602BKQA6</v>
      </c>
      <c r="DZ150" s="3" t="str">
        <f>_xlfn.XLOOKUP(B150,'BASE DE EXCEL'!$C:$C,'BASE DE EXCEL'!AT:AT,"NO HAY REFERENCIA")</f>
        <v>NULL</v>
      </c>
      <c r="EA150" s="3">
        <f>_xlfn.XLOOKUP(B150,'BASE DE EXCEL'!$C:$C,'BASE DE EXCEL'!AU:AU,"NO HAY REFERENCIA")</f>
        <v>6000516</v>
      </c>
      <c r="EB150" s="3" t="str">
        <f>_xlfn.XLOOKUP(B150,'BASE DE EXCEL'!$C:$C,'BASE DE EXCEL'!AV:AV,"NO HAY REFERENCIA")</f>
        <v>Importación</v>
      </c>
      <c r="EC150" s="3" t="str">
        <f>_xlfn.XLOOKUP(B150,'BASE DE EXCEL'!$C:$C,'BASE DE EXCEL'!AW:AW,"NO HAY REFERENCIA")</f>
        <v>BRAVECTO 250 MG (MEDICAMENTO DOSIFICADO DE USO VETERINARIO)</v>
      </c>
      <c r="ED150" s="3" t="str">
        <f>_xlfn.XLOOKUP(B150,'BASE DE EXCEL'!$C:$C,'BASE DE EXCEL'!AX:AX,"NO HAY REFERENCIA")</f>
        <v>SIN CLASIFICACION</v>
      </c>
      <c r="EE150" s="3">
        <f>_xlfn.XLOOKUP(B150,'BASE DE EXCEL'!$C:$C,'BASE DE EXCEL'!AY:AY,"NO HAY REFERENCIA")</f>
        <v>0</v>
      </c>
      <c r="EF150" s="3" t="str">
        <f>_xlfn.XLOOKUP(B150,'BASE DE EXCEL'!$C:$C,'BASE DE EXCEL'!AZ:AZ,"NO HAY REFERENCIA")</f>
        <v>Cargas de Importación</v>
      </c>
      <c r="EG150" s="3" t="str">
        <f>_xlfn.XLOOKUP(B150,'BASE DE EXCEL'!$C:$C,'BASE DE EXCEL'!BA:BA,"NO HAY REFERENCIA")</f>
        <v>INTERVET MEXICO SA DE CV</v>
      </c>
      <c r="EH150" s="3">
        <f>_xlfn.XLOOKUP(B150,'BASE DE EXCEL'!$C:$C,'BASE DE EXCEL'!BB:BB,"NO HAY REFERENCIA")</f>
        <v>0</v>
      </c>
      <c r="EI150" s="3" t="str">
        <f>_xlfn.XLOOKUP(B150,'BASE DE EXCEL'!$C:$C,'BASE DE EXCEL'!BC:BC,"NO HAY REFERENCIA")</f>
        <v>NINGUNO</v>
      </c>
      <c r="EJ150" s="3">
        <f>_xlfn.XLOOKUP(B150,'BASE DE EXCEL'!$C:$C,'BASE DE EXCEL'!BD:BD,"NO HAY REFERENCIA")</f>
        <v>0</v>
      </c>
      <c r="EK150" s="3" t="str">
        <f>_xlfn.XLOOKUP(B150,'BASE DE EXCEL'!$C:$C,'BASE DE EXCEL'!BE:BE,"NO HAY REFERENCIA")</f>
        <v>NINGUNO</v>
      </c>
      <c r="EL150" s="3" t="str">
        <f>_xlfn.XLOOKUP(B150,'BASE DE EXCEL'!$C:$C,'BASE DE EXCEL'!BF:BF,"NO HAY REFERENCIA")</f>
        <v>PRODUCTO TERMINADO</v>
      </c>
      <c r="EM150" s="3" t="str">
        <f>_xlfn.XLOOKUP(B150,'BASE DE EXCEL'!$C:$C,'BASE DE EXCEL'!BG:BG,"NO HAY REFERENCIA")</f>
        <v>Verde</v>
      </c>
      <c r="EN150" s="3" t="str">
        <f>_xlfn.XLOOKUP(B150,'BASE DE EXCEL'!$C:$C,'BASE DE EXCEL'!BH:BH,"NO HAY REFERENCIA")</f>
        <v xml:space="preserve"> SUPER EXPRESS DE CARGA FEDERAL S.A. DE C.V.</v>
      </c>
      <c r="EO150" s="3">
        <f>_xlfn.XLOOKUP(B150,'BASE DE EXCEL'!$C:$C,'BASE DE EXCEL'!BI:BI,"NO HAY REFERENCIA")</f>
        <v>0</v>
      </c>
      <c r="EP150" s="3" t="str">
        <f>_xlfn.XLOOKUP(B150,'BASE DE EXCEL'!$C:$C,'BASE DE EXCEL'!BJ:BJ,"NO HAY REFERENCIA")</f>
        <v>IME-T004</v>
      </c>
      <c r="EQ150" s="3" t="str">
        <f>_xlfn.XLOOKUP(B150,'BASE DE EXCEL'!$C:$C,'BASE DE EXCEL'!BK:BK,"NO HAY REFERENCIA")</f>
        <v>IME850329RH2</v>
      </c>
      <c r="ER150" s="3">
        <f>_xlfn.XLOOKUP(B150,'BASE DE EXCEL'!$C:$C,'BASE DE EXCEL'!BL:BL,"NO HAY REFERENCIA")</f>
        <v>0</v>
      </c>
      <c r="ES150" s="3">
        <f>_xlfn.XLOOKUP(B150,'BASE DE EXCEL'!$C:$C,'BASE DE EXCEL'!BM:BM,"NO HAY REFERENCIA")</f>
        <v>99</v>
      </c>
      <c r="ET150" s="3" t="str">
        <f>_xlfn.XLOOKUP(B150,'BASE DE EXCEL'!$C:$C,'BASE DE EXCEL'!BN:BN,"NO HAY REFERENCIA")</f>
        <v>LOTE: 25M2046V02</v>
      </c>
      <c r="EU150" s="3">
        <f>_xlfn.XLOOKUP(B150,'BASE DE EXCEL'!$C:$C,'BASE DE EXCEL'!BO:BO,"NO HAY REFERENCIA")</f>
        <v>90</v>
      </c>
      <c r="EV150" s="3">
        <f>_xlfn.XLOOKUP(B150,'BASE DE EXCEL'!$C:$C,'BASE DE EXCEL'!BP:BP,"NO HAY REFERENCIA")</f>
        <v>10052424</v>
      </c>
      <c r="EW150" s="3" t="str">
        <f>_xlfn.XLOOKUP(B150,'BASE DE EXCEL'!$C:$C,'BASE DE EXCEL'!BQ:BQ,"NO HAY REFERENCIA")</f>
        <v>KILO</v>
      </c>
      <c r="EX150" s="3">
        <f>_xlfn.XLOOKUP(B150,'BASE DE EXCEL'!$C:$C,'BASE DE EXCEL'!BR:BR,"NO HAY REFERENCIA")</f>
        <v>0</v>
      </c>
      <c r="EY150" s="3" t="str">
        <f>_xlfn.XLOOKUP(B150,'BASE DE EXCEL'!$C:$C,'BASE DE EXCEL'!BS:BS,"NO HAY REFERENCIA")</f>
        <v>AUSTRIA (REPUBLICA DE)</v>
      </c>
      <c r="EZ150" s="3" t="str">
        <f>_xlfn.XLOOKUP(B150,'BASE DE EXCEL'!$C:$C,'BASE DE EXCEL'!BT:BT,"NO HAY REFERENCIA")</f>
        <v>PAISES BAJOS (REINO DE LOS) (HOLANDA)</v>
      </c>
      <c r="FA150" s="3" t="str">
        <f>_xlfn.XLOOKUP(B150,'BASE DE EXCEL'!$C:$C,'BASE DE EXCEL'!BU:BU,"NO HAY REFERENCIA")</f>
        <v>AUT</v>
      </c>
      <c r="FB150" s="3" t="str">
        <f>_xlfn.XLOOKUP(B150,'BASE DE EXCEL'!$C:$C,'BASE DE EXCEL'!BV:BV,"NO HAY REFERENCIA")</f>
        <v>ZYA</v>
      </c>
      <c r="FC150" s="3">
        <f>_xlfn.XLOOKUP(B150,QUERY!$C:$C,QUERY!D:D)</f>
        <v>430</v>
      </c>
      <c r="FD150" s="4">
        <f>_xlfn.XLOOKUP(B150,QUERY!$C:$C,QUERY!E:E)</f>
        <v>46118</v>
      </c>
      <c r="FE150" s="3">
        <f>_xlfn.XLOOKUP(B150,QUERY!$C:$C,QUERY!F:F)</f>
        <v>4</v>
      </c>
      <c r="FF150" s="4">
        <f>_xlfn.XLOOKUP(B150,QUERY!$C:$C,QUERY!G:G)</f>
        <v>46111</v>
      </c>
      <c r="FG150" s="4">
        <f>_xlfn.XLOOKUP(B150,QUERY!$C:$C,QUERY!H:H)</f>
        <v>46118</v>
      </c>
      <c r="FH150" s="3">
        <f>_xlfn.XLOOKUP(B150,QUERY!$C:$C,QUERY!I:I)</f>
        <v>5</v>
      </c>
      <c r="FI150" s="3" t="str">
        <f>_xlfn.XLOOKUP(B150,QUERY!$C:$C,QUERY!J:J)</f>
        <v>4 a 5 días</v>
      </c>
      <c r="FJ150" s="4">
        <f>_xlfn.XLOOKUP(B150,QUERY!$C:$C,QUERY!K:K)</f>
        <v>46118</v>
      </c>
      <c r="FK150" s="3">
        <f>_xlfn.XLOOKUP(B150,QUERY!$C:$C,QUERY!L:L)</f>
        <v>5</v>
      </c>
      <c r="FL150" s="3" t="str">
        <f>_xlfn.XLOOKUP(B150,QUERY!$C:$C,QUERY!M:M)</f>
        <v>4 a 5 días</v>
      </c>
      <c r="FM150" s="3">
        <f>_xlfn.XLOOKUP(B150,QUERY!$C:$C,QUERY!N:N)</f>
        <v>0</v>
      </c>
      <c r="FN150" s="3" t="str">
        <f>_xlfn.XLOOKUP(B150,QUERY!$C:$C,QUERY!O:O)</f>
        <v>1 día o menos</v>
      </c>
      <c r="FO150" s="3">
        <f>_xlfn.XLOOKUP(B150,QUERY!$C:$C,QUERY!P:P)</f>
        <v>0</v>
      </c>
      <c r="FP150" s="3">
        <f>_xlfn.XLOOKUP(B150,QUERY!$C:$C,QUERY!Q:Q)</f>
        <v>1</v>
      </c>
      <c r="FQ150" s="3" t="str">
        <f>_xlfn.XLOOKUP(B150,QUERY!$C:$C,QUERY!R:R)</f>
        <v>1 día o menos</v>
      </c>
      <c r="FR150" s="4">
        <f>_xlfn.XLOOKUP(B150,QUERY!$C:$C,QUERY!S:S)</f>
        <v>46119</v>
      </c>
      <c r="FS150" s="3">
        <f>_xlfn.XLOOKUP(B150,QUERY!$C:$C,QUERY!T:T)</f>
        <v>6</v>
      </c>
      <c r="FT150" s="3" t="str">
        <f>_xlfn.XLOOKUP(B150,QUERY!$C:$C,QUERY!U:U)</f>
        <v>6 a 10 días</v>
      </c>
      <c r="FU150" s="3">
        <f>_xlfn.XLOOKUP(B150,QUERY!$C:$C,QUERY!V:V)</f>
        <v>18</v>
      </c>
      <c r="FV150" s="3" t="str">
        <f>_xlfn.XLOOKUP(B150,QUERY!$C:$C,QUERY!W:W)</f>
        <v>más de 16 días</v>
      </c>
      <c r="FW150" s="4">
        <f>_xlfn.XLOOKUP(B150,QUERY!$C:$C,QUERY!X:X)</f>
        <v>46135</v>
      </c>
      <c r="FX150" s="3">
        <f>_xlfn.XLOOKUP(B150,QUERY!$C:$C,QUERY!Y:Y)</f>
        <v>12</v>
      </c>
      <c r="FY150" s="3">
        <f>_xlfn.XLOOKUP(B150,QUERY!$C:$C,QUERY!Z:Z)</f>
        <v>12</v>
      </c>
      <c r="FZ150" s="4" t="str">
        <f>_xlfn.XLOOKUP(B150,QUERY!$C:$C,QUERY!AA:AA)</f>
        <v>más de 16 días</v>
      </c>
      <c r="GA150" s="4">
        <f>_xlfn.XLOOKUP(B150,QUERY!$C:$C,QUERY!AB:AB)</f>
        <v>46135</v>
      </c>
      <c r="GB150" s="4">
        <f>_xlfn.XLOOKUP(B150,QUERY!$C:$C,QUERY!AC:AC)</f>
        <v>46135</v>
      </c>
      <c r="GC150" s="3">
        <f>_xlfn.XLOOKUP(B150,QUERY!$C:$C,QUERY!AD:AD)</f>
        <v>0</v>
      </c>
      <c r="GD150" s="4">
        <f>_xlfn.XLOOKUP(B150,QUERY!$C:$C,QUERY!AE:AE)</f>
        <v>46135</v>
      </c>
      <c r="GE150" s="3">
        <f>_xlfn.XLOOKUP(B150,QUERY!$C:$C,QUERY!AF:AF)</f>
        <v>1</v>
      </c>
      <c r="GF150" s="4" t="str">
        <f>_xlfn.XLOOKUP(B150,QUERY!$C:$C,QUERY!AG:AG)</f>
        <v>Es anterior</v>
      </c>
      <c r="GG150" s="3" t="str">
        <f>_xlfn.XLOOKUP(B150,QUERY!$C:$C,QUERY!AH:AH)</f>
        <v>A1</v>
      </c>
      <c r="GH150" s="3" t="str">
        <f>_xlfn.XLOOKUP(B150,QUERY!$C:$C,QUERY!AI:AI)</f>
        <v>ZULEIMA PEREZ RUIZ</v>
      </c>
      <c r="GI150" s="3" t="str">
        <f>_xlfn.XLOOKUP(B150,QUERY!$C:$C,QUERY!AJ:AJ)</f>
        <v>HLCUHAM2602BKQA6</v>
      </c>
      <c r="GJ150" s="3" t="str">
        <f>_xlfn.XLOOKUP(B150,QUERY!$C:$C,QUERY!AK:AK)</f>
        <v>NULL</v>
      </c>
      <c r="GK150" s="3">
        <f>_xlfn.XLOOKUP(B150,QUERY!$C:$C,QUERY!AL:AL)</f>
        <v>6000516</v>
      </c>
      <c r="GL150" s="3" t="str">
        <f>_xlfn.XLOOKUP(B150,QUERY!$C:$C,QUERY!AM:AM)</f>
        <v>Importación</v>
      </c>
      <c r="GM150" s="3" t="str">
        <f>_xlfn.XLOOKUP(B150,QUERY!$C:$C,QUERY!AN:AN)</f>
        <v>BRAVECTO 250 MG (MEDICAMENTO DOSIFICADO DE USO VETERINARIO)</v>
      </c>
      <c r="GN150" s="3" t="str">
        <f>_xlfn.XLOOKUP(B150,QUERY!$C:$C,QUERY!AO:AO)</f>
        <v>SIN CLASIFICACION</v>
      </c>
      <c r="GO150" s="3">
        <f>_xlfn.XLOOKUP(B150,QUERY!$C:$C,QUERY!AP:AP)</f>
        <v>0</v>
      </c>
      <c r="GP150" s="3" t="str">
        <f>_xlfn.XLOOKUP(B150,QUERY!$C:$C,QUERY!AQ:AQ)</f>
        <v>Cargas de Importación</v>
      </c>
      <c r="GQ150" s="3" t="str">
        <f>_xlfn.XLOOKUP(B150,QUERY!$C:$C,QUERY!AR:AR)</f>
        <v>INTERVET MEXICO SA DE CV</v>
      </c>
      <c r="GR150" s="3">
        <f>_xlfn.XLOOKUP(B150,QUERY!$C:$C,QUERY!AS:AS)</f>
        <v>0</v>
      </c>
      <c r="GS150" s="3" t="str">
        <f>_xlfn.XLOOKUP(B150,QUERY!$C:$C,QUERY!AT:AT)</f>
        <v>NINGUNO</v>
      </c>
      <c r="GT150" s="3">
        <f>_xlfn.XLOOKUP(B150,QUERY!$C:$C,QUERY!AU:AU)</f>
        <v>0</v>
      </c>
      <c r="GU150" s="3" t="str">
        <f>_xlfn.XLOOKUP(B150,QUERY!$C:$C,QUERY!AV:AV)</f>
        <v>NINGUNO</v>
      </c>
      <c r="GV150" s="3" t="str">
        <f>_xlfn.XLOOKUP(B150,QUERY!$C:$C,QUERY!AW:AW)</f>
        <v>PRODUCTO TERMINADO</v>
      </c>
      <c r="GW150" s="3" t="str">
        <f>_xlfn.XLOOKUP(B150,QUERY!$C:$C,QUERY!AX:AX)</f>
        <v>Verde</v>
      </c>
      <c r="GX150" s="3" t="str">
        <f>_xlfn.XLOOKUP(B150,QUERY!$C:$C,QUERY!AY:AY)</f>
        <v xml:space="preserve"> SUPER EXPRESS DE CARGA FEDERAL S.A. DE C.V.</v>
      </c>
      <c r="GY150" s="3">
        <f>_xlfn.XLOOKUP(B150,QUERY!$C:$C,QUERY!AZ:AZ)</f>
        <v>0</v>
      </c>
      <c r="GZ150" s="3" t="str">
        <f>_xlfn.XLOOKUP(B150,QUERY!$C:$C,QUERY!BA:BA)</f>
        <v>IME-T004</v>
      </c>
      <c r="HA150" s="3" t="str">
        <f>_xlfn.XLOOKUP(B150,QUERY!$C:$C,QUERY!BB:BB)</f>
        <v>IME850329RH2</v>
      </c>
      <c r="HB150" s="3">
        <f>_xlfn.XLOOKUP(B150,QUERY!$C:$C,QUERY!BC:BC)</f>
        <v>0</v>
      </c>
      <c r="HC150" s="3">
        <f>_xlfn.XLOOKUP(B150,QUERY!$C:$C,QUERY!BD:BD)</f>
        <v>99</v>
      </c>
      <c r="HD150" s="3" t="str">
        <f>_xlfn.XLOOKUP(B150,QUERY!$C:$C,QUERY!BE:BE)</f>
        <v>LOTE: 25M2046V02</v>
      </c>
      <c r="HE150" s="3">
        <f>_xlfn.XLOOKUP(B150,QUERY!$C:$C,QUERY!BF:BF)</f>
        <v>90</v>
      </c>
      <c r="HF150" s="3" t="str">
        <f>_xlfn.XLOOKUP(B150,QUERY!$C:$C,QUERY!BG:BG)</f>
        <v xml:space="preserve"> 10052424.00</v>
      </c>
      <c r="HG150" s="3" t="str">
        <f>_xlfn.XLOOKUP(B150,QUERY!$C:$C,QUERY!BH:BH)</f>
        <v>KILO</v>
      </c>
      <c r="HH150" s="3">
        <f>_xlfn.XLOOKUP(B150,QUERY!$C:$C,QUERY!BI:BI)</f>
        <v>0</v>
      </c>
      <c r="HI150" s="3" t="str">
        <f>_xlfn.XLOOKUP(B150,QUERY!$C:$C,QUERY!BJ:BJ)</f>
        <v>AUSTRIA (REPUBLICA DE)</v>
      </c>
      <c r="HJ150" s="3" t="str">
        <f>_xlfn.XLOOKUP(B150,QUERY!$C:$C,QUERY!BK:BK)</f>
        <v>PAISES BAJOS (REINO DE LOS) (HOLANDA)</v>
      </c>
      <c r="HK150" s="3" t="str">
        <f>_xlfn.XLOOKUP(B150,QUERY!$C:$C,QUERY!BL:BL)</f>
        <v>AUT</v>
      </c>
      <c r="HL150" s="3" t="str">
        <f>_xlfn.XLOOKUP(B150,QUERY!$C:$C,QUERY!BM:BM)</f>
        <v>ZYA</v>
      </c>
      <c r="HM150" s="3">
        <f>_xlfn.XLOOKUP(B150,QUERY!$C:$C,QUERY!BN:BN)</f>
        <v>10052424</v>
      </c>
      <c r="HN150" s="3" t="str">
        <f>_xlfn.XLOOKUP(B150,QUERY!$C:$C,QUERY!BO:BO)</f>
        <v>80419.00</v>
      </c>
      <c r="HO150" s="3" t="str">
        <f>_xlfn.XLOOKUP(B150,QUERY!$C:$C,QUERY!BP:BP)</f>
        <v>NULL</v>
      </c>
      <c r="HP150" s="3" t="str">
        <f>_xlfn.XLOOKUP(B150,QUERY!$C:$C,QUERY!BQ:BQ)</f>
        <v>1005242.00</v>
      </c>
      <c r="HQ150" s="3" t="str">
        <f>_xlfn.XLOOKUP(B150,QUERY!$C:$C,QUERY!BR:BR)</f>
        <v>175411.10</v>
      </c>
      <c r="HR150" s="3">
        <f>_xlfn.XLOOKUP(B150,QUERY!$C:$C,QUERY!BS:BS)</f>
        <v>0</v>
      </c>
      <c r="HS150" s="3">
        <f>_xlfn.XLOOKUP(B150,QUERY!$C:$C,QUERY!BT:BT)</f>
        <v>0</v>
      </c>
      <c r="HT150" s="3" t="str">
        <f>_xlfn.XLOOKUP(B150,QUERY!$C:$C,QUERY!A:A)</f>
        <v>VERACRUZ</v>
      </c>
      <c r="HU150" s="3" t="str">
        <f>_xlfn.XLOOKUP(B150,QUERY!$C:$C,QUERY!B:B)</f>
        <v>MARÍTIMO VERACRUZ</v>
      </c>
    </row>
    <row r="151" spans="1:229" x14ac:dyDescent="0.25">
      <c r="A151" s="3" t="s">
        <v>90</v>
      </c>
      <c r="B151" s="3" t="s">
        <v>390</v>
      </c>
      <c r="C151" s="3">
        <v>3942</v>
      </c>
      <c r="D151" s="3">
        <v>6000517</v>
      </c>
      <c r="E151" s="3"/>
      <c r="F151" s="3" t="s">
        <v>92</v>
      </c>
      <c r="G151" s="3" t="s">
        <v>93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18.003299999999999</v>
      </c>
      <c r="Q151" s="3">
        <v>2941</v>
      </c>
      <c r="R151" s="3">
        <v>430</v>
      </c>
      <c r="S151" s="3" t="s">
        <v>391</v>
      </c>
      <c r="T151" s="3" t="s">
        <v>95</v>
      </c>
      <c r="U151" s="3">
        <v>24498891</v>
      </c>
      <c r="V151" s="3">
        <v>24498891</v>
      </c>
      <c r="W151" s="3">
        <v>0</v>
      </c>
      <c r="X151" s="3">
        <v>0</v>
      </c>
      <c r="Y151" s="3">
        <v>0</v>
      </c>
      <c r="Z151" s="3">
        <v>0</v>
      </c>
      <c r="AA151" s="3" t="s">
        <v>392</v>
      </c>
      <c r="AB151" s="3"/>
      <c r="AC151" s="3">
        <v>24498891</v>
      </c>
      <c r="AD151" s="3">
        <v>1620.29702</v>
      </c>
      <c r="AE151" s="3">
        <v>346</v>
      </c>
      <c r="AF151" s="3">
        <v>0</v>
      </c>
      <c r="AG151" s="3">
        <v>0</v>
      </c>
      <c r="AH151" s="3">
        <v>0</v>
      </c>
      <c r="AI151" s="3">
        <v>53</v>
      </c>
      <c r="AJ151" s="3">
        <v>0</v>
      </c>
      <c r="AK151" s="3">
        <v>0</v>
      </c>
      <c r="AL151" s="3">
        <v>0</v>
      </c>
      <c r="AM151" s="3">
        <v>330</v>
      </c>
      <c r="AN151" s="3">
        <v>383</v>
      </c>
      <c r="AO151" s="3" t="s">
        <v>97</v>
      </c>
      <c r="AP151" s="3" t="s">
        <v>393</v>
      </c>
      <c r="AQ151" s="3">
        <v>97991087</v>
      </c>
      <c r="AR151" s="3" t="s">
        <v>99</v>
      </c>
      <c r="AS151" s="3" t="s">
        <v>394</v>
      </c>
      <c r="AT151" s="3" t="s">
        <v>395</v>
      </c>
      <c r="AU151" s="3"/>
      <c r="AV151" s="3" t="s">
        <v>146</v>
      </c>
      <c r="AW151" s="3">
        <v>30043902</v>
      </c>
      <c r="AX151" s="3">
        <v>0</v>
      </c>
      <c r="AY151" s="3">
        <v>15120</v>
      </c>
      <c r="AZ151" s="3">
        <v>15120</v>
      </c>
      <c r="BA151" s="3" t="s">
        <v>121</v>
      </c>
      <c r="BB151" s="3"/>
      <c r="BC151" s="3" t="s">
        <v>396</v>
      </c>
      <c r="BD151" s="3" t="s">
        <v>396</v>
      </c>
      <c r="BE151" s="3" t="s">
        <v>228</v>
      </c>
      <c r="BF151" s="3" t="s">
        <v>397</v>
      </c>
      <c r="BG151" s="5"/>
      <c r="BH151" s="3"/>
      <c r="BI151" s="3"/>
      <c r="BJ151" s="3" t="s">
        <v>109</v>
      </c>
      <c r="BK151" s="3" t="s">
        <v>398</v>
      </c>
      <c r="BL151" s="3">
        <v>45428</v>
      </c>
      <c r="BM151" s="3">
        <v>0</v>
      </c>
      <c r="BN151" s="3">
        <v>0</v>
      </c>
      <c r="BO151" s="3">
        <v>0</v>
      </c>
      <c r="BP151" s="3">
        <v>1800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22189.59</v>
      </c>
      <c r="BY151" s="3">
        <v>0</v>
      </c>
      <c r="BZ151" s="3">
        <v>0</v>
      </c>
      <c r="CA151" s="3">
        <v>45349.27</v>
      </c>
      <c r="CB151" s="3">
        <v>18000</v>
      </c>
      <c r="CC151" s="3">
        <v>3310.4</v>
      </c>
      <c r="CD151" s="3">
        <v>246933.17</v>
      </c>
      <c r="CE151" s="3" t="s">
        <v>192</v>
      </c>
      <c r="CF151" s="3">
        <v>246933.17</v>
      </c>
      <c r="CG151" s="3">
        <v>0</v>
      </c>
      <c r="CH151" s="3">
        <v>0</v>
      </c>
      <c r="CI151" s="3" t="s">
        <v>112</v>
      </c>
      <c r="CJ151" s="3" t="s">
        <v>112</v>
      </c>
      <c r="CK151" s="3">
        <f>_xlfn.XLOOKUP($B$2,'BASE DE EXCEL'!C:C,'BASE DE EXCEL'!D:D,"NO HAY REFERENCIA")</f>
        <v>470</v>
      </c>
      <c r="CL151" s="5">
        <f>_xlfn.XLOOKUP($B$2,'BASE DE EXCEL'!$C:$C,'BASE DE EXCEL'!F:F,"NO HAY REFERENCIA")</f>
        <v>3</v>
      </c>
      <c r="CM151" s="4">
        <f>_xlfn.XLOOKUP($B$2,'BASE DE EXCEL'!$C:$C,'BASE DE EXCEL'!G:G,"NO HAY REFERENCIA")</f>
        <v>46080</v>
      </c>
      <c r="CN151" s="4">
        <f>_xlfn.XLOOKUP($B$2,'BASE DE EXCEL'!$C:$C,'BASE DE EXCEL'!H:H,"NO HAY REFERENCIA")</f>
        <v>46086</v>
      </c>
      <c r="CO151" s="3">
        <f>_xlfn.XLOOKUP($B$2,'BASE DE EXCEL'!$C:$C,'BASE DE EXCEL'!I:I,"NO HAY REFERENCIA")</f>
        <v>4</v>
      </c>
      <c r="CP151" s="3" t="str">
        <f>_xlfn.XLOOKUP($B$2,'BASE DE EXCEL'!$C:$C,'BASE DE EXCEL'!J:J,"NO HAY REFERENCIA")</f>
        <v>4 a 5 días</v>
      </c>
      <c r="CQ151" s="4">
        <f>_xlfn.XLOOKUP($B$2,'BASE DE EXCEL'!$C:$C,'BASE DE EXCEL'!K:K,"NO HAY REFERENCIA")</f>
        <v>46087</v>
      </c>
      <c r="CR151" s="3">
        <f>_xlfn.XLOOKUP($B$2,'BASE DE EXCEL'!$C:$C,'BASE DE EXCEL'!L:L,"NO HAY REFERENCIA")</f>
        <v>5</v>
      </c>
      <c r="CS151" s="3">
        <f>_xlfn.XLOOKUP($B$2,'BASE DE EXCEL'!$C:$C,'BASE DE EXCEL'!M:M,"NO HAY REFERENCIA")</f>
        <v>6</v>
      </c>
      <c r="CT151" s="3" t="str">
        <f>_xlfn.XLOOKUP($B$2,'BASE DE EXCEL'!$C:$C,'BASE DE EXCEL'!N:N,"NO HAY REFERENCIA")</f>
        <v>6 a 10 días</v>
      </c>
      <c r="CU151" s="3" t="str">
        <f>_xlfn.XLOOKUP($B$2,'BASE DE EXCEL'!$C:$C,'BASE DE EXCEL'!O:O,"NO HAY REFERENCIA")</f>
        <v>On Time</v>
      </c>
      <c r="CV151" s="3" t="str">
        <f>_xlfn.XLOOKUP(B151,'BASE DE EXCEL'!$C:$C,'BASE DE EXCEL'!P:P,"NO HAY REFERENCIA")</f>
        <v>11 a 15 días</v>
      </c>
      <c r="CW151" s="4">
        <f>_xlfn.XLOOKUP(B151,'BASE DE EXCEL'!$C:$C,'BASE DE EXCEL'!Q:Q,"NO HAY REFERENCIA")</f>
        <v>46128</v>
      </c>
      <c r="CX151" s="3">
        <f>_xlfn.XLOOKUP(B151,'BASE DE EXCEL'!$C:$C,'BASE DE EXCEL'!R:R,"NO HAY REFERENCIA")</f>
        <v>9</v>
      </c>
      <c r="CY151" s="3" t="str">
        <f>_xlfn.XLOOKUP(B151,'BASE DE EXCEL'!$C:$C,'BASE DE EXCEL'!S:S,"NO HAY REFERENCIA")</f>
        <v>6 a 10 días</v>
      </c>
      <c r="CZ151" s="3" t="str">
        <f>_xlfn.XLOOKUP(B151,'BASE DE EXCEL'!$C:$C,'BASE DE EXCEL'!T:T,"NO HAY REFERENCIA")</f>
        <v>Delayed</v>
      </c>
      <c r="DA151" s="3">
        <f>_xlfn.XLOOKUP(B151,'BASE DE EXCEL'!$C:$C,'BASE DE EXCEL'!U:U,"NO HAY REFERENCIA")</f>
        <v>13</v>
      </c>
      <c r="DB151" s="3" t="str">
        <f>_xlfn.XLOOKUP(B151,'BASE DE EXCEL'!$C:$C,'BASE DE EXCEL'!V:V,"NO HAY REFERENCIA")</f>
        <v>6 a 10 días</v>
      </c>
      <c r="DC151" s="3">
        <f>_xlfn.XLOOKUP(B151,'BASE DE EXCEL'!$C:$C,'BASE DE EXCEL'!W:W,"NO HAY REFERENCIA")</f>
        <v>15</v>
      </c>
      <c r="DD151" s="3" t="str">
        <f>_xlfn.XLOOKUP(B151,'BASE DE EXCEL'!$C:$C,'BASE DE EXCEL'!X:X,"NO HAY REFERENCIA")</f>
        <v>11 a 15 días</v>
      </c>
      <c r="DE151" s="3">
        <f>_xlfn.XLOOKUP(B151,'BASE DE EXCEL'!$C:$C,'BASE DE EXCEL'!Y:Y,"NO HAY REFERENCIA")</f>
        <v>1</v>
      </c>
      <c r="DF151" s="3" t="str">
        <f>_xlfn.XLOOKUP(B151,'BASE DE EXCEL'!$C:$C,'BASE DE EXCEL'!Z:Z,"NO HAY REFERENCIA")</f>
        <v>1 día o menos</v>
      </c>
      <c r="DG151" s="3">
        <f>_xlfn.XLOOKUP(B151,'BASE DE EXCEL'!$C:$C,'BASE DE EXCEL'!AA:AA,"NO HAY REFERENCIA")</f>
        <v>11</v>
      </c>
      <c r="DH151" s="3">
        <f>_xlfn.XLOOKUP(B151,'BASE DE EXCEL'!$C:$C,'BASE DE EXCEL'!AB:AB,"NO HAY REFERENCIA")</f>
        <v>1</v>
      </c>
      <c r="DI151" s="3" t="str">
        <f>_xlfn.XLOOKUP(B151,'BASE DE EXCEL'!$C:$C,'BASE DE EXCEL'!AC:AC,"NO HAY REFERENCIA")</f>
        <v>1 día o menos</v>
      </c>
      <c r="DJ151" s="4">
        <f>_xlfn.XLOOKUP(B151,'BASE DE EXCEL'!$C:$C,'BASE DE EXCEL'!AD:AD,"NO HAY REFERENCIA")</f>
        <v>46136</v>
      </c>
      <c r="DK151" s="3">
        <f>_xlfn.XLOOKUP(B151,'BASE DE EXCEL'!$C:$C,'BASE DE EXCEL'!AE:AE,"NO HAY REFERENCIA")</f>
        <v>8</v>
      </c>
      <c r="DL151" s="3">
        <f>_xlfn.XLOOKUP(B151,'BASE DE EXCEL'!$C:$C,'BASE DE EXCEL'!AF:AF,"NO HAY REFERENCIA")</f>
        <v>6</v>
      </c>
      <c r="DM151" s="4">
        <f>_xlfn.XLOOKUP(B151,'BASE DE EXCEL'!$C:$C,'BASE DE EXCEL'!AG:AG,"NO HAY REFERENCIA")</f>
        <v>46136</v>
      </c>
      <c r="DN151" s="4">
        <f>_xlfn.XLOOKUP(B151,'BASE DE EXCEL'!$C:$C,'BASE DE EXCEL'!AH:AH,"NO HAY REFERENCIA")</f>
        <v>46136</v>
      </c>
      <c r="DO151" s="3">
        <f>_xlfn.XLOOKUP(B151,'BASE DE EXCEL'!$C:$C,'BASE DE EXCEL'!AI:AI,"NO HAY REFERENCIA")</f>
        <v>0</v>
      </c>
      <c r="DP151" s="4" t="str">
        <f>_xlfn.XLOOKUP(B151,'BASE DE EXCEL'!$C:$C,'BASE DE EXCEL'!AJ:AJ,"NO HAY REFERENCIA")</f>
        <v>6 a 10 días</v>
      </c>
      <c r="DQ151" s="4">
        <f>_xlfn.XLOOKUP(B151,'BASE DE EXCEL'!$C:$C,'BASE DE EXCEL'!AK:AK,"NO HAY REFERENCIA")</f>
        <v>46136</v>
      </c>
      <c r="DR151" s="3">
        <f>_xlfn.XLOOKUP(B151,'BASE DE EXCEL'!$C:$C,'BASE DE EXCEL'!AL:AL,"NO HAY REFERENCIA")</f>
        <v>7</v>
      </c>
      <c r="DS151" s="3" t="str">
        <f>_xlfn.XLOOKUP(B151,'BASE DE EXCEL'!$C:$C,'BASE DE EXCEL'!AM:AM,"NO HAY REFERENCIA")</f>
        <v>6 a 10 días</v>
      </c>
      <c r="DT151" s="3" t="str">
        <f>_xlfn.XLOOKUP(B151,'BASE DE EXCEL'!$C:$C,'BASE DE EXCEL'!AN:AN,"NO HAY REFERENCIA")</f>
        <v>Delayed</v>
      </c>
      <c r="DU151" s="3">
        <f>_xlfn.XLOOKUP(B151,'BASE DE EXCEL'!$C:$C,'BASE DE EXCEL'!AO:AO,"NO HAY REFERENCIA")</f>
        <v>1</v>
      </c>
      <c r="DV151" s="3" t="str">
        <f>_xlfn.XLOOKUP(B151,'BASE DE EXCEL'!$C:$C,'BASE DE EXCEL'!AP:AP,"NO HAY REFERENCIA")</f>
        <v>Es anterior</v>
      </c>
      <c r="DW151" s="3" t="str">
        <f>_xlfn.XLOOKUP(B151,'BASE DE EXCEL'!$C:$C,'BASE DE EXCEL'!AQ:AQ,"NO HAY REFERENCIA")</f>
        <v>A1</v>
      </c>
      <c r="DX151" s="3" t="str">
        <f>_xlfn.XLOOKUP(B151,'BASE DE EXCEL'!$C:$C,'BASE DE EXCEL'!AR:AR,"NO HAY REFERENCIA")</f>
        <v>ZULEIMA PEREZ RUIZ</v>
      </c>
      <c r="DY151" s="3" t="str">
        <f>_xlfn.XLOOKUP(B151,'BASE DE EXCEL'!$C:$C,'BASE DE EXCEL'!AS:AS,"NO HAY REFERENCIA")</f>
        <v>HLCUBSC2602CQZI5</v>
      </c>
      <c r="DZ151" s="3" t="str">
        <f>_xlfn.XLOOKUP(B151,'BASE DE EXCEL'!$C:$C,'BASE DE EXCEL'!AT:AT,"NO HAY REFERENCIA")</f>
        <v>NULL</v>
      </c>
      <c r="EA151" s="3">
        <f>_xlfn.XLOOKUP(B151,'BASE DE EXCEL'!$C:$C,'BASE DE EXCEL'!AU:AU,"NO HAY REFERENCIA")</f>
        <v>6000517</v>
      </c>
      <c r="EB151" s="3" t="str">
        <f>_xlfn.XLOOKUP(B151,'BASE DE EXCEL'!$C:$C,'BASE DE EXCEL'!AV:AV,"NO HAY REFERENCIA")</f>
        <v>Importación</v>
      </c>
      <c r="EC151" s="3" t="str">
        <f>_xlfn.XLOOKUP(B151,'BASE DE EXCEL'!$C:$C,'BASE DE EXCEL'!AW:AW,"NO HAY REFERENCIA")</f>
        <v>LACTOTROPINA INJ 500MG (MEDICAMENTO DOSIFICADO DE USO VETERINARIO)</v>
      </c>
      <c r="ED151" s="3" t="str">
        <f>_xlfn.XLOOKUP(B151,'BASE DE EXCEL'!$C:$C,'BASE DE EXCEL'!AX:AX,"NO HAY REFERENCIA")</f>
        <v>SIN CLASIFICACION</v>
      </c>
      <c r="EE151" s="3">
        <f>_xlfn.XLOOKUP(B151,'BASE DE EXCEL'!$C:$C,'BASE DE EXCEL'!AY:AY,"NO HAY REFERENCIA")</f>
        <v>0</v>
      </c>
      <c r="EF151" s="3" t="str">
        <f>_xlfn.XLOOKUP(B151,'BASE DE EXCEL'!$C:$C,'BASE DE EXCEL'!AZ:AZ,"NO HAY REFERENCIA")</f>
        <v>Cargas de Importación</v>
      </c>
      <c r="EG151" s="3" t="str">
        <f>_xlfn.XLOOKUP(B151,'BASE DE EXCEL'!$C:$C,'BASE DE EXCEL'!BA:BA,"NO HAY REFERENCIA")</f>
        <v>INTERVET MEXICO SA DE CV</v>
      </c>
      <c r="EH151" s="3">
        <f>_xlfn.XLOOKUP(B151,'BASE DE EXCEL'!$C:$C,'BASE DE EXCEL'!BB:BB,"NO HAY REFERENCIA")</f>
        <v>0</v>
      </c>
      <c r="EI151" s="3" t="str">
        <f>_xlfn.XLOOKUP(B151,'BASE DE EXCEL'!$C:$C,'BASE DE EXCEL'!BC:BC,"NO HAY REFERENCIA")</f>
        <v>OTRO</v>
      </c>
      <c r="EJ151" s="3" t="str">
        <f>_xlfn.XLOOKUP(B151,'BASE DE EXCEL'!$C:$C,'BASE DE EXCEL'!BD:BD,"NO HAY REFERENCIA")</f>
        <v>CONFIRMACION DE FACTURA Y APLICACION DE CERTIFICADO DE ORIGEN</v>
      </c>
      <c r="EK151" s="3" t="str">
        <f>_xlfn.XLOOKUP(B151,'BASE DE EXCEL'!$C:$C,'BASE DE EXCEL'!BE:BE,"NO HAY REFERENCIA")</f>
        <v>CONFIRMACION DE FACTURA Y APLICACION DE CERTIFICADO DE ORIGEN</v>
      </c>
      <c r="EL151" s="3" t="str">
        <f>_xlfn.XLOOKUP(B151,'BASE DE EXCEL'!$C:$C,'BASE DE EXCEL'!BF:BF,"NO HAY REFERENCIA")</f>
        <v>PRODUCTO TERMINADO</v>
      </c>
      <c r="EM151" s="3" t="str">
        <f>_xlfn.XLOOKUP(B151,'BASE DE EXCEL'!$C:$C,'BASE DE EXCEL'!BG:BG,"NO HAY REFERENCIA")</f>
        <v>Rojo</v>
      </c>
      <c r="EN151" s="3" t="str">
        <f>_xlfn.XLOOKUP(B151,'BASE DE EXCEL'!$C:$C,'BASE DE EXCEL'!BH:BH,"NO HAY REFERENCIA")</f>
        <v xml:space="preserve"> MLH TRANSPORTE, S.A. DE C.V.</v>
      </c>
      <c r="EO151" s="3" t="str">
        <f>_xlfn.XLOOKUP(B151,'BASE DE EXCEL'!$C:$C,'BASE DE EXCEL'!BI:BI,"NO HAY REFERENCIA")</f>
        <v>TRACTOCAMION ECO 04RED</v>
      </c>
      <c r="EP151" s="3">
        <f>_xlfn.XLOOKUP(B151,'BASE DE EXCEL'!$C:$C,'BASE DE EXCEL'!BJ:BJ,"NO HAY REFERENCIA")</f>
        <v>0</v>
      </c>
      <c r="EQ151" s="3" t="str">
        <f>_xlfn.XLOOKUP(B151,'BASE DE EXCEL'!$C:$C,'BASE DE EXCEL'!BK:BK,"NO HAY REFERENCIA")</f>
        <v>IME850329RH2</v>
      </c>
      <c r="ER151" s="3">
        <f>_xlfn.XLOOKUP(B151,'BASE DE EXCEL'!$C:$C,'BASE DE EXCEL'!BL:BL,"NO HAY REFERENCIA")</f>
        <v>0</v>
      </c>
      <c r="ES151" s="3">
        <f>_xlfn.XLOOKUP(B151,'BASE DE EXCEL'!$C:$C,'BASE DE EXCEL'!BM:BM,"NO HAY REFERENCIA")</f>
        <v>0</v>
      </c>
      <c r="ET151" s="3" t="str">
        <f>_xlfn.XLOOKUP(B151,'BASE DE EXCEL'!$C:$C,'BASE DE EXCEL'!BN:BN,"NO HAY REFERENCIA")</f>
        <v>LOTE: F251242</v>
      </c>
      <c r="EU151" s="3">
        <f>_xlfn.XLOOKUP(B151,'BASE DE EXCEL'!$C:$C,'BASE DE EXCEL'!BO:BO,"NO HAY REFERENCIA")</f>
        <v>90</v>
      </c>
      <c r="EV151" s="3">
        <f>_xlfn.XLOOKUP(B151,'BASE DE EXCEL'!$C:$C,'BASE DE EXCEL'!BP:BP,"NO HAY REFERENCIA")</f>
        <v>1360800</v>
      </c>
      <c r="EW151" s="3" t="str">
        <f>_xlfn.XLOOKUP(B151,'BASE DE EXCEL'!$C:$C,'BASE DE EXCEL'!BQ:BQ,"NO HAY REFERENCIA")</f>
        <v>KILO</v>
      </c>
      <c r="EX151" s="3">
        <f>_xlfn.XLOOKUP(B151,'BASE DE EXCEL'!$C:$C,'BASE DE EXCEL'!BR:BR,"NO HAY REFERENCIA")</f>
        <v>0</v>
      </c>
      <c r="EY151" s="3" t="str">
        <f>_xlfn.XLOOKUP(B151,'BASE DE EXCEL'!$C:$C,'BASE DE EXCEL'!BS:BS,"NO HAY REFERENCIA")</f>
        <v>ESTADOS UNIDOS DE AMERICA</v>
      </c>
      <c r="EZ151" s="3" t="str">
        <f>_xlfn.XLOOKUP(B151,'BASE DE EXCEL'!$C:$C,'BASE DE EXCEL'!BT:BT,"NO HAY REFERENCIA")</f>
        <v>ESTADOS UNIDOS DE AMERICA</v>
      </c>
      <c r="FA151" s="3" t="str">
        <f>_xlfn.XLOOKUP(B151,'BASE DE EXCEL'!$C:$C,'BASE DE EXCEL'!BU:BU,"NO HAY REFERENCIA")</f>
        <v>USA</v>
      </c>
      <c r="FB151" s="3" t="str">
        <f>_xlfn.XLOOKUP(B151,'BASE DE EXCEL'!$C:$C,'BASE DE EXCEL'!BV:BV,"NO HAY REFERENCIA")</f>
        <v>USA</v>
      </c>
      <c r="FC151" s="3">
        <f>_xlfn.XLOOKUP(B151,QUERY!$C:$C,QUERY!D:D)</f>
        <v>430</v>
      </c>
      <c r="FD151" s="4">
        <f>_xlfn.XLOOKUP(B151,QUERY!$C:$C,QUERY!E:E)</f>
        <v>46126</v>
      </c>
      <c r="FE151" s="3">
        <f>_xlfn.XLOOKUP(B151,QUERY!$C:$C,QUERY!F:F)</f>
        <v>4</v>
      </c>
      <c r="FF151" s="4">
        <f>_xlfn.XLOOKUP(B151,QUERY!$C:$C,QUERY!G:G)</f>
        <v>46115</v>
      </c>
      <c r="FG151" s="4">
        <f>_xlfn.XLOOKUP(B151,QUERY!$C:$C,QUERY!H:H)</f>
        <v>46126</v>
      </c>
      <c r="FH151" s="3">
        <f>_xlfn.XLOOKUP(B151,QUERY!$C:$C,QUERY!I:I)</f>
        <v>7</v>
      </c>
      <c r="FI151" s="3" t="str">
        <f>_xlfn.XLOOKUP(B151,QUERY!$C:$C,QUERY!J:J)</f>
        <v>6 a 10 días</v>
      </c>
      <c r="FJ151" s="4">
        <f>_xlfn.XLOOKUP(B151,QUERY!$C:$C,QUERY!K:K)</f>
        <v>46127</v>
      </c>
      <c r="FK151" s="3">
        <f>_xlfn.XLOOKUP(B151,QUERY!$C:$C,QUERY!L:L)</f>
        <v>8</v>
      </c>
      <c r="FL151" s="3" t="str">
        <f>_xlfn.XLOOKUP(B151,QUERY!$C:$C,QUERY!M:M)</f>
        <v>6 a 10 días</v>
      </c>
      <c r="FM151" s="3">
        <f>_xlfn.XLOOKUP(B151,QUERY!$C:$C,QUERY!N:N)</f>
        <v>1</v>
      </c>
      <c r="FN151" s="3" t="str">
        <f>_xlfn.XLOOKUP(B151,QUERY!$C:$C,QUERY!O:O)</f>
        <v>1 día o menos</v>
      </c>
      <c r="FO151" s="3">
        <f>_xlfn.XLOOKUP(B151,QUERY!$C:$C,QUERY!P:P)</f>
        <v>1</v>
      </c>
      <c r="FP151" s="3">
        <f>_xlfn.XLOOKUP(B151,QUERY!$C:$C,QUERY!Q:Q)</f>
        <v>1</v>
      </c>
      <c r="FQ151" s="3" t="str">
        <f>_xlfn.XLOOKUP(B151,QUERY!$C:$C,QUERY!R:R)</f>
        <v>1 día o menos</v>
      </c>
      <c r="FR151" s="4">
        <f>_xlfn.XLOOKUP(B151,QUERY!$C:$C,QUERY!S:S)</f>
        <v>46128</v>
      </c>
      <c r="FS151" s="3">
        <f>_xlfn.XLOOKUP(B151,QUERY!$C:$C,QUERY!T:T)</f>
        <v>9</v>
      </c>
      <c r="FT151" s="3" t="str">
        <f>_xlfn.XLOOKUP(B151,QUERY!$C:$C,QUERY!U:U)</f>
        <v>6 a 10 días</v>
      </c>
      <c r="FU151" s="3">
        <f>_xlfn.XLOOKUP(B151,QUERY!$C:$C,QUERY!V:V)</f>
        <v>15</v>
      </c>
      <c r="FV151" s="3" t="str">
        <f>_xlfn.XLOOKUP(B151,QUERY!$C:$C,QUERY!W:W)</f>
        <v>11 a 15 días</v>
      </c>
      <c r="FW151" s="4">
        <f>_xlfn.XLOOKUP(B151,QUERY!$C:$C,QUERY!X:X)</f>
        <v>46136</v>
      </c>
      <c r="FX151" s="3">
        <f>_xlfn.XLOOKUP(B151,QUERY!$C:$C,QUERY!Y:Y)</f>
        <v>6</v>
      </c>
      <c r="FY151" s="3">
        <f>_xlfn.XLOOKUP(B151,QUERY!$C:$C,QUERY!Z:Z)</f>
        <v>6</v>
      </c>
      <c r="FZ151" s="4" t="str">
        <f>_xlfn.XLOOKUP(B151,QUERY!$C:$C,QUERY!AA:AA)</f>
        <v>6 a 10 días</v>
      </c>
      <c r="GA151" s="4">
        <f>_xlfn.XLOOKUP(B151,QUERY!$C:$C,QUERY!AB:AB)</f>
        <v>46136</v>
      </c>
      <c r="GB151" s="4">
        <f>_xlfn.XLOOKUP(B151,QUERY!$C:$C,QUERY!AC:AC)</f>
        <v>46136</v>
      </c>
      <c r="GC151" s="3">
        <f>_xlfn.XLOOKUP(B151,QUERY!$C:$C,QUERY!AD:AD)</f>
        <v>0</v>
      </c>
      <c r="GD151" s="4">
        <f>_xlfn.XLOOKUP(B151,QUERY!$C:$C,QUERY!AE:AE)</f>
        <v>46136</v>
      </c>
      <c r="GE151" s="3">
        <f>_xlfn.XLOOKUP(B151,QUERY!$C:$C,QUERY!AF:AF)</f>
        <v>1</v>
      </c>
      <c r="GF151" s="4" t="str">
        <f>_xlfn.XLOOKUP(B151,QUERY!$C:$C,QUERY!AG:AG)</f>
        <v>Es anterior</v>
      </c>
      <c r="GG151" s="3" t="str">
        <f>_xlfn.XLOOKUP(B151,QUERY!$C:$C,QUERY!AH:AH)</f>
        <v>A1</v>
      </c>
      <c r="GH151" s="3" t="str">
        <f>_xlfn.XLOOKUP(B151,QUERY!$C:$C,QUERY!AI:AI)</f>
        <v>ZULEIMA PEREZ RUIZ</v>
      </c>
      <c r="GI151" s="3" t="str">
        <f>_xlfn.XLOOKUP(B151,QUERY!$C:$C,QUERY!AJ:AJ)</f>
        <v>HLCUBSC2602CQZI5</v>
      </c>
      <c r="GJ151" s="3" t="str">
        <f>_xlfn.XLOOKUP(B151,QUERY!$C:$C,QUERY!AK:AK)</f>
        <v>NULL</v>
      </c>
      <c r="GK151" s="3">
        <f>_xlfn.XLOOKUP(B151,QUERY!$C:$C,QUERY!AL:AL)</f>
        <v>6000517</v>
      </c>
      <c r="GL151" s="3" t="str">
        <f>_xlfn.XLOOKUP(B151,QUERY!$C:$C,QUERY!AM:AM)</f>
        <v>Importación</v>
      </c>
      <c r="GM151" s="3" t="str">
        <f>_xlfn.XLOOKUP(B151,QUERY!$C:$C,QUERY!AN:AN)</f>
        <v>LACTOTROPINA INJ 500MG (MEDICAMENTO DOSIFICADO DE USO VETERINARIO)</v>
      </c>
      <c r="GN151" s="3" t="str">
        <f>_xlfn.XLOOKUP(B151,QUERY!$C:$C,QUERY!AO:AO)</f>
        <v>SIN CLASIFICACION</v>
      </c>
      <c r="GO151" s="3">
        <f>_xlfn.XLOOKUP(B151,QUERY!$C:$C,QUERY!AP:AP)</f>
        <v>0</v>
      </c>
      <c r="GP151" s="3" t="str">
        <f>_xlfn.XLOOKUP(B151,QUERY!$C:$C,QUERY!AQ:AQ)</f>
        <v>Cargas de Importación</v>
      </c>
      <c r="GQ151" s="3" t="str">
        <f>_xlfn.XLOOKUP(B151,QUERY!$C:$C,QUERY!AR:AR)</f>
        <v>INTERVET MEXICO SA DE CV</v>
      </c>
      <c r="GR151" s="3">
        <f>_xlfn.XLOOKUP(B151,QUERY!$C:$C,QUERY!AS:AS)</f>
        <v>0</v>
      </c>
      <c r="GS151" s="3" t="str">
        <f>_xlfn.XLOOKUP(B151,QUERY!$C:$C,QUERY!AT:AT)</f>
        <v>OTRO</v>
      </c>
      <c r="GT151" s="3" t="str">
        <f>_xlfn.XLOOKUP(B151,QUERY!$C:$C,QUERY!AU:AU)</f>
        <v>CONFIRMACION DE FACTURA Y APLICACION DE CERTIFICADO DE ORIGEN</v>
      </c>
      <c r="GU151" s="3" t="str">
        <f>_xlfn.XLOOKUP(B151,QUERY!$C:$C,QUERY!AV:AV)</f>
        <v>CONFIRMACION DE FACTURA Y APLICACION DE CERTIFICADO DE ORIGEN</v>
      </c>
      <c r="GV151" s="3" t="str">
        <f>_xlfn.XLOOKUP(B151,QUERY!$C:$C,QUERY!AW:AW)</f>
        <v>PRODUCTO TERMINADO</v>
      </c>
      <c r="GW151" s="3" t="str">
        <f>_xlfn.XLOOKUP(B151,QUERY!$C:$C,QUERY!AX:AX)</f>
        <v>Rojo</v>
      </c>
      <c r="GX151" s="3" t="str">
        <f>_xlfn.XLOOKUP(B151,QUERY!$C:$C,QUERY!AY:AY)</f>
        <v xml:space="preserve"> MLH TRANSPORTE, S.A. DE C.V.</v>
      </c>
      <c r="GY151" s="3" t="str">
        <f>_xlfn.XLOOKUP(B151,QUERY!$C:$C,QUERY!AZ:AZ)</f>
        <v>TRACTOCAMION ECO 04RED</v>
      </c>
      <c r="GZ151" s="3">
        <f>_xlfn.XLOOKUP(B151,QUERY!$C:$C,QUERY!BA:BA)</f>
        <v>0</v>
      </c>
      <c r="HA151" s="3" t="str">
        <f>_xlfn.XLOOKUP(B151,QUERY!$C:$C,QUERY!BB:BB)</f>
        <v>IME850329RH2</v>
      </c>
      <c r="HB151" s="3">
        <f>_xlfn.XLOOKUP(B151,QUERY!$C:$C,QUERY!BC:BC)</f>
        <v>0</v>
      </c>
      <c r="HC151" s="3">
        <f>_xlfn.XLOOKUP(B151,QUERY!$C:$C,QUERY!BD:BD)</f>
        <v>0</v>
      </c>
      <c r="HD151" s="3" t="str">
        <f>_xlfn.XLOOKUP(B151,QUERY!$C:$C,QUERY!BE:BE)</f>
        <v>LOTE: F251242</v>
      </c>
      <c r="HE151" s="3">
        <f>_xlfn.XLOOKUP(B151,QUERY!$C:$C,QUERY!BF:BF)</f>
        <v>90</v>
      </c>
      <c r="HF151" s="3" t="str">
        <f>_xlfn.XLOOKUP(B151,QUERY!$C:$C,QUERY!BG:BG)</f>
        <v xml:space="preserve"> 1360800.00</v>
      </c>
      <c r="HG151" s="3" t="str">
        <f>_xlfn.XLOOKUP(B151,QUERY!$C:$C,QUERY!BH:BH)</f>
        <v>KILO</v>
      </c>
      <c r="HH151" s="3">
        <f>_xlfn.XLOOKUP(B151,QUERY!$C:$C,QUERY!BI:BI)</f>
        <v>0</v>
      </c>
      <c r="HI151" s="3" t="str">
        <f>_xlfn.XLOOKUP(B151,QUERY!$C:$C,QUERY!BJ:BJ)</f>
        <v>ESTADOS UNIDOS DE AMERICA</v>
      </c>
      <c r="HJ151" s="3" t="str">
        <f>_xlfn.XLOOKUP(B151,QUERY!$C:$C,QUERY!BK:BK)</f>
        <v>ESTADOS UNIDOS DE AMERICA</v>
      </c>
      <c r="HK151" s="3" t="str">
        <f>_xlfn.XLOOKUP(B151,QUERY!$C:$C,QUERY!BL:BL)</f>
        <v>USA</v>
      </c>
      <c r="HL151" s="3" t="str">
        <f>_xlfn.XLOOKUP(B151,QUERY!$C:$C,QUERY!BM:BM)</f>
        <v>USA</v>
      </c>
      <c r="HM151" s="3">
        <f>_xlfn.XLOOKUP(B151,QUERY!$C:$C,QUERY!BN:BN)</f>
        <v>24498891</v>
      </c>
      <c r="HN151" s="3" t="str">
        <f>_xlfn.XLOOKUP(B151,QUERY!$C:$C,QUERY!BO:BO)</f>
        <v>NULL</v>
      </c>
      <c r="HO151" s="3" t="str">
        <f>_xlfn.XLOOKUP(B151,QUERY!$C:$C,QUERY!BP:BP)</f>
        <v>NULL</v>
      </c>
      <c r="HP151" s="3" t="str">
        <f>_xlfn.XLOOKUP(B151,QUERY!$C:$C,QUERY!BQ:BQ)</f>
        <v>NULL</v>
      </c>
      <c r="HQ151" s="3" t="str">
        <f>_xlfn.XLOOKUP(B151,QUERY!$C:$C,QUERY!BR:BR)</f>
        <v>246933.17</v>
      </c>
      <c r="HR151" s="3">
        <f>_xlfn.XLOOKUP(B151,QUERY!$C:$C,QUERY!BS:BS)</f>
        <v>0</v>
      </c>
      <c r="HS151" s="3">
        <f>_xlfn.XLOOKUP(B151,QUERY!$C:$C,QUERY!BT:BT)</f>
        <v>0</v>
      </c>
      <c r="HT151" s="3" t="str">
        <f>_xlfn.XLOOKUP(B151,QUERY!$C:$C,QUERY!A:A)</f>
        <v>VERACRUZ</v>
      </c>
      <c r="HU151" s="3" t="str">
        <f>_xlfn.XLOOKUP(B151,QUERY!$C:$C,QUERY!B:B)</f>
        <v>MARÍTIMO VERACRUZ</v>
      </c>
    </row>
    <row r="152" spans="1:229" x14ac:dyDescent="0.25">
      <c r="A152" s="3" t="s">
        <v>90</v>
      </c>
      <c r="B152" s="3" t="s">
        <v>408</v>
      </c>
      <c r="C152" s="3">
        <v>3942</v>
      </c>
      <c r="D152" s="3">
        <v>6000577</v>
      </c>
      <c r="E152" s="3"/>
      <c r="F152" s="3" t="s">
        <v>92</v>
      </c>
      <c r="G152" s="3" t="s">
        <v>93</v>
      </c>
      <c r="H152" s="3">
        <v>16</v>
      </c>
      <c r="I152" s="3">
        <v>85553</v>
      </c>
      <c r="J152" s="3">
        <v>0</v>
      </c>
      <c r="K152" s="3">
        <v>0</v>
      </c>
      <c r="L152" s="3">
        <v>0</v>
      </c>
      <c r="M152" s="3">
        <v>0</v>
      </c>
      <c r="N152" s="3">
        <v>10</v>
      </c>
      <c r="O152" s="3">
        <v>48259</v>
      </c>
      <c r="P152" s="3">
        <v>17.359300000000001</v>
      </c>
      <c r="Q152" s="3">
        <v>1315</v>
      </c>
      <c r="R152" s="3">
        <v>430</v>
      </c>
      <c r="S152" s="3"/>
      <c r="T152" s="3" t="s">
        <v>409</v>
      </c>
      <c r="U152" s="3">
        <v>482589</v>
      </c>
      <c r="V152" s="3">
        <v>482589</v>
      </c>
      <c r="W152" s="3">
        <v>0</v>
      </c>
      <c r="X152" s="3">
        <v>0</v>
      </c>
      <c r="Y152" s="3">
        <v>0</v>
      </c>
      <c r="Z152" s="3">
        <v>0</v>
      </c>
      <c r="AA152" s="3" t="s">
        <v>410</v>
      </c>
      <c r="AB152" s="3"/>
      <c r="AC152" s="3">
        <v>482589</v>
      </c>
      <c r="AD152" s="3">
        <v>4825.8900000000003</v>
      </c>
      <c r="AE152" s="3">
        <v>354</v>
      </c>
      <c r="AF152" s="3" t="s">
        <v>411</v>
      </c>
      <c r="AG152" s="3">
        <v>48259</v>
      </c>
      <c r="AH152" s="3">
        <v>0</v>
      </c>
      <c r="AI152" s="3">
        <v>53</v>
      </c>
      <c r="AJ152" s="3">
        <v>3861</v>
      </c>
      <c r="AK152" s="3">
        <v>0</v>
      </c>
      <c r="AL152" s="3">
        <v>85553</v>
      </c>
      <c r="AM152" s="3">
        <v>330</v>
      </c>
      <c r="AN152" s="3">
        <v>138056</v>
      </c>
      <c r="AO152" s="3" t="s">
        <v>97</v>
      </c>
      <c r="AP152" s="3" t="s">
        <v>412</v>
      </c>
      <c r="AQ152" s="3" t="s">
        <v>413</v>
      </c>
      <c r="AR152" s="3" t="s">
        <v>99</v>
      </c>
      <c r="AS152" s="3" t="s">
        <v>394</v>
      </c>
      <c r="AT152" s="3" t="s">
        <v>414</v>
      </c>
      <c r="AU152" s="3"/>
      <c r="AV152" s="3" t="s">
        <v>188</v>
      </c>
      <c r="AW152" s="3">
        <v>84186999</v>
      </c>
      <c r="AX152" s="3">
        <v>99</v>
      </c>
      <c r="AY152" s="3">
        <v>100</v>
      </c>
      <c r="AZ152" s="3">
        <v>100</v>
      </c>
      <c r="BA152" s="3" t="s">
        <v>103</v>
      </c>
      <c r="BB152" s="3"/>
      <c r="BC152" s="3" t="s">
        <v>415</v>
      </c>
      <c r="BD152" s="3" t="s">
        <v>416</v>
      </c>
      <c r="BE152" s="3" t="s">
        <v>228</v>
      </c>
      <c r="BF152" s="3" t="s">
        <v>397</v>
      </c>
      <c r="BG152" s="5"/>
      <c r="BH152" s="3"/>
      <c r="BI152" s="3"/>
      <c r="BJ152" s="3" t="s">
        <v>190</v>
      </c>
      <c r="BK152" s="3" t="s">
        <v>417</v>
      </c>
      <c r="BL152" s="3">
        <v>46000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5600</v>
      </c>
      <c r="CC152" s="3">
        <v>1000</v>
      </c>
      <c r="CD152" s="3">
        <v>82025.960000000006</v>
      </c>
      <c r="CE152" s="3" t="s">
        <v>192</v>
      </c>
      <c r="CF152" s="3">
        <v>82025.960000000006</v>
      </c>
      <c r="CG152" s="3">
        <v>0</v>
      </c>
      <c r="CH152" s="3">
        <v>0</v>
      </c>
      <c r="CI152" s="3" t="s">
        <v>112</v>
      </c>
      <c r="CJ152" s="3" t="s">
        <v>112</v>
      </c>
      <c r="CK152" s="3">
        <f>_xlfn.XLOOKUP($B$2,'BASE DE EXCEL'!C:C,'BASE DE EXCEL'!D:D,"NO HAY REFERENCIA")</f>
        <v>470</v>
      </c>
      <c r="CL152" s="5">
        <f>_xlfn.XLOOKUP($B$2,'BASE DE EXCEL'!$C:$C,'BASE DE EXCEL'!F:F,"NO HAY REFERENCIA")</f>
        <v>3</v>
      </c>
      <c r="CM152" s="4">
        <f>_xlfn.XLOOKUP($B$2,'BASE DE EXCEL'!$C:$C,'BASE DE EXCEL'!G:G,"NO HAY REFERENCIA")</f>
        <v>46080</v>
      </c>
      <c r="CN152" s="4">
        <f>_xlfn.XLOOKUP($B$2,'BASE DE EXCEL'!$C:$C,'BASE DE EXCEL'!H:H,"NO HAY REFERENCIA")</f>
        <v>46086</v>
      </c>
      <c r="CO152" s="3">
        <f>_xlfn.XLOOKUP($B$2,'BASE DE EXCEL'!$C:$C,'BASE DE EXCEL'!I:I,"NO HAY REFERENCIA")</f>
        <v>4</v>
      </c>
      <c r="CP152" s="3" t="str">
        <f>_xlfn.XLOOKUP($B$2,'BASE DE EXCEL'!$C:$C,'BASE DE EXCEL'!J:J,"NO HAY REFERENCIA")</f>
        <v>4 a 5 días</v>
      </c>
      <c r="CQ152" s="4">
        <f>_xlfn.XLOOKUP($B$2,'BASE DE EXCEL'!$C:$C,'BASE DE EXCEL'!K:K,"NO HAY REFERENCIA")</f>
        <v>46087</v>
      </c>
      <c r="CR152" s="3">
        <f>_xlfn.XLOOKUP($B$2,'BASE DE EXCEL'!$C:$C,'BASE DE EXCEL'!L:L,"NO HAY REFERENCIA")</f>
        <v>5</v>
      </c>
      <c r="CS152" s="3">
        <f>_xlfn.XLOOKUP($B$2,'BASE DE EXCEL'!$C:$C,'BASE DE EXCEL'!M:M,"NO HAY REFERENCIA")</f>
        <v>6</v>
      </c>
      <c r="CT152" s="3" t="str">
        <f>_xlfn.XLOOKUP($B$2,'BASE DE EXCEL'!$C:$C,'BASE DE EXCEL'!N:N,"NO HAY REFERENCIA")</f>
        <v>6 a 10 días</v>
      </c>
      <c r="CU152" s="3" t="str">
        <f>_xlfn.XLOOKUP($B$2,'BASE DE EXCEL'!$C:$C,'BASE DE EXCEL'!O:O,"NO HAY REFERENCIA")</f>
        <v>On Time</v>
      </c>
      <c r="CV152" s="3" t="str">
        <f>_xlfn.XLOOKUP(B152,'BASE DE EXCEL'!$C:$C,'BASE DE EXCEL'!P:P,"NO HAY REFERENCIA")</f>
        <v>11 a 15 días</v>
      </c>
      <c r="CW152" s="4">
        <f>_xlfn.XLOOKUP(B152,'BASE DE EXCEL'!$C:$C,'BASE DE EXCEL'!Q:Q,"NO HAY REFERENCIA")</f>
        <v>46139</v>
      </c>
      <c r="CX152" s="3">
        <f>_xlfn.XLOOKUP(B152,'BASE DE EXCEL'!$C:$C,'BASE DE EXCEL'!R:R,"NO HAY REFERENCIA")</f>
        <v>11</v>
      </c>
      <c r="CY152" s="3" t="str">
        <f>_xlfn.XLOOKUP(B152,'BASE DE EXCEL'!$C:$C,'BASE DE EXCEL'!S:S,"NO HAY REFERENCIA")</f>
        <v>11 a 15 días</v>
      </c>
      <c r="CZ152" s="3" t="str">
        <f>_xlfn.XLOOKUP(B152,'BASE DE EXCEL'!$C:$C,'BASE DE EXCEL'!T:T,"NO HAY REFERENCIA")</f>
        <v>Delayed</v>
      </c>
      <c r="DA152" s="3">
        <f>_xlfn.XLOOKUP(B152,'BASE DE EXCEL'!$C:$C,'BASE DE EXCEL'!U:U,"NO HAY REFERENCIA")</f>
        <v>14</v>
      </c>
      <c r="DB152" s="3" t="str">
        <f>_xlfn.XLOOKUP(B152,'BASE DE EXCEL'!$C:$C,'BASE DE EXCEL'!V:V,"NO HAY REFERENCIA")</f>
        <v>6 a 10 días</v>
      </c>
      <c r="DC152" s="3">
        <f>_xlfn.XLOOKUP(B152,'BASE DE EXCEL'!$C:$C,'BASE DE EXCEL'!W:W,"NO HAY REFERENCIA")</f>
        <v>21</v>
      </c>
      <c r="DD152" s="3" t="str">
        <f>_xlfn.XLOOKUP(B152,'BASE DE EXCEL'!$C:$C,'BASE DE EXCEL'!X:X,"NO HAY REFERENCIA")</f>
        <v>más de 16 días</v>
      </c>
      <c r="DE152" s="3">
        <f>_xlfn.XLOOKUP(B152,'BASE DE EXCEL'!$C:$C,'BASE DE EXCEL'!Y:Y,"NO HAY REFERENCIA")</f>
        <v>1</v>
      </c>
      <c r="DF152" s="3" t="str">
        <f>_xlfn.XLOOKUP(B152,'BASE DE EXCEL'!$C:$C,'BASE DE EXCEL'!Z:Z,"NO HAY REFERENCIA")</f>
        <v>1 día o menos</v>
      </c>
      <c r="DG152" s="3">
        <f>_xlfn.XLOOKUP(B152,'BASE DE EXCEL'!$C:$C,'BASE DE EXCEL'!AA:AA,"NO HAY REFERENCIA")</f>
        <v>11</v>
      </c>
      <c r="DH152" s="3">
        <f>_xlfn.XLOOKUP(B152,'BASE DE EXCEL'!$C:$C,'BASE DE EXCEL'!AB:AB,"NO HAY REFERENCIA")</f>
        <v>2</v>
      </c>
      <c r="DI152" s="3" t="str">
        <f>_xlfn.XLOOKUP(B152,'BASE DE EXCEL'!$C:$C,'BASE DE EXCEL'!AC:AC,"NO HAY REFERENCIA")</f>
        <v>2 a 3 días</v>
      </c>
      <c r="DJ152" s="4">
        <f>_xlfn.XLOOKUP(B152,'BASE DE EXCEL'!$C:$C,'BASE DE EXCEL'!AD:AD,"NO HAY REFERENCIA")</f>
        <v>46154</v>
      </c>
      <c r="DK152" s="3">
        <f>_xlfn.XLOOKUP(B152,'BASE DE EXCEL'!$C:$C,'BASE DE EXCEL'!AE:AE,"NO HAY REFERENCIA")</f>
        <v>14</v>
      </c>
      <c r="DL152" s="3">
        <f>_xlfn.XLOOKUP(B152,'BASE DE EXCEL'!$C:$C,'BASE DE EXCEL'!AF:AF,"NO HAY REFERENCIA")</f>
        <v>11</v>
      </c>
      <c r="DM152" s="4">
        <f>_xlfn.XLOOKUP(B152,'BASE DE EXCEL'!$C:$C,'BASE DE EXCEL'!AG:AG,"NO HAY REFERENCIA")</f>
        <v>46153</v>
      </c>
      <c r="DN152" s="4">
        <f>_xlfn.XLOOKUP(B152,'BASE DE EXCEL'!$C:$C,'BASE DE EXCEL'!AH:AH,"NO HAY REFERENCIA")</f>
        <v>46154</v>
      </c>
      <c r="DO152" s="3">
        <f>_xlfn.XLOOKUP(B152,'BASE DE EXCEL'!$C:$C,'BASE DE EXCEL'!AI:AI,"NO HAY REFERENCIA")</f>
        <v>1</v>
      </c>
      <c r="DP152" s="4" t="str">
        <f>_xlfn.XLOOKUP(B152,'BASE DE EXCEL'!$C:$C,'BASE DE EXCEL'!AJ:AJ,"NO HAY REFERENCIA")</f>
        <v>11 a 15 días</v>
      </c>
      <c r="DQ152" s="4">
        <f>_xlfn.XLOOKUP(B152,'BASE DE EXCEL'!$C:$C,'BASE DE EXCEL'!AK:AK,"NO HAY REFERENCIA")</f>
        <v>46154</v>
      </c>
      <c r="DR152" s="3">
        <f>_xlfn.XLOOKUP(B152,'BASE DE EXCEL'!$C:$C,'BASE DE EXCEL'!AL:AL,"NO HAY REFERENCIA")</f>
        <v>11</v>
      </c>
      <c r="DS152" s="3" t="str">
        <f>_xlfn.XLOOKUP(B152,'BASE DE EXCEL'!$C:$C,'BASE DE EXCEL'!AM:AM,"NO HAY REFERENCIA")</f>
        <v>11 a 15 días</v>
      </c>
      <c r="DT152" s="3" t="str">
        <f>_xlfn.XLOOKUP(B152,'BASE DE EXCEL'!$C:$C,'BASE DE EXCEL'!AN:AN,"NO HAY REFERENCIA")</f>
        <v>Delayed</v>
      </c>
      <c r="DU152" s="3">
        <f>_xlfn.XLOOKUP(B152,'BASE DE EXCEL'!$C:$C,'BASE DE EXCEL'!AO:AO,"NO HAY REFERENCIA")</f>
        <v>1</v>
      </c>
      <c r="DV152" s="3" t="str">
        <f>_xlfn.XLOOKUP(B152,'BASE DE EXCEL'!$C:$C,'BASE DE EXCEL'!AP:AP,"NO HAY REFERENCIA")</f>
        <v>Es anterior</v>
      </c>
      <c r="DW152" s="3" t="str">
        <f>_xlfn.XLOOKUP(B152,'BASE DE EXCEL'!$C:$C,'BASE DE EXCEL'!AQ:AQ,"NO HAY REFERENCIA")</f>
        <v>A1</v>
      </c>
      <c r="DX152" s="3" t="str">
        <f>_xlfn.XLOOKUP(B152,'BASE DE EXCEL'!$C:$C,'BASE DE EXCEL'!AR:AR,"NO HAY REFERENCIA")</f>
        <v>ZULEIMA PEREZ RUIZ</v>
      </c>
      <c r="DY152" s="3" t="str">
        <f>_xlfn.XLOOKUP(B152,'BASE DE EXCEL'!$C:$C,'BASE DE EXCEL'!AS:AS,"NO HAY REFERENCIA")</f>
        <v>ONEYLIVG04445400</v>
      </c>
      <c r="DZ152" s="3" t="str">
        <f>_xlfn.XLOOKUP(B152,'BASE DE EXCEL'!$C:$C,'BASE DE EXCEL'!AT:AT,"NO HAY REFERENCIA")</f>
        <v>NULL</v>
      </c>
      <c r="EA152" s="3">
        <f>_xlfn.XLOOKUP(B152,'BASE DE EXCEL'!$C:$C,'BASE DE EXCEL'!AU:AU,"NO HAY REFERENCIA")</f>
        <v>6000577</v>
      </c>
      <c r="EB152" s="3" t="str">
        <f>_xlfn.XLOOKUP(B152,'BASE DE EXCEL'!$C:$C,'BASE DE EXCEL'!AV:AV,"NO HAY REFERENCIA")</f>
        <v>Importación</v>
      </c>
      <c r="EC152" s="3" t="str">
        <f>_xlfn.XLOOKUP(B152,'BASE DE EXCEL'!$C:$C,'BASE DE EXCEL'!AW:AW,"NO HAY REFERENCIA")</f>
        <v>UNIDAD DE REFRIGERACION (VETERINARY CHILLER UNIT)</v>
      </c>
      <c r="ED152" s="3" t="str">
        <f>_xlfn.XLOOKUP(B152,'BASE DE EXCEL'!$C:$C,'BASE DE EXCEL'!AX:AX,"NO HAY REFERENCIA")</f>
        <v>SIN CLASIFICACION</v>
      </c>
      <c r="EE152" s="3">
        <f>_xlfn.XLOOKUP(B152,'BASE DE EXCEL'!$C:$C,'BASE DE EXCEL'!AY:AY,"NO HAY REFERENCIA")</f>
        <v>0</v>
      </c>
      <c r="EF152" s="3" t="str">
        <f>_xlfn.XLOOKUP(B152,'BASE DE EXCEL'!$C:$C,'BASE DE EXCEL'!AZ:AZ,"NO HAY REFERENCIA")</f>
        <v>Cargas de Importación</v>
      </c>
      <c r="EG152" s="3" t="str">
        <f>_xlfn.XLOOKUP(B152,'BASE DE EXCEL'!$C:$C,'BASE DE EXCEL'!BA:BA,"NO HAY REFERENCIA")</f>
        <v>INTERVET MEXICO SA DE CV</v>
      </c>
      <c r="EH152" s="3">
        <f>_xlfn.XLOOKUP(B152,'BASE DE EXCEL'!$C:$C,'BASE DE EXCEL'!BB:BB,"NO HAY REFERENCIA")</f>
        <v>0</v>
      </c>
      <c r="EI152" s="3" t="str">
        <f>_xlfn.XLOOKUP(B152,'BASE DE EXCEL'!$C:$C,'BASE DE EXCEL'!BC:BC,"NO HAY REFERENCIA")</f>
        <v>OTRO</v>
      </c>
      <c r="EJ152" s="3" t="str">
        <f>_xlfn.XLOOKUP(B152,'BASE DE EXCEL'!$C:$C,'BASE DE EXCEL'!BD:BD,"NO HAY REFERENCIA")</f>
        <v>REVALIDACION</v>
      </c>
      <c r="EK152" s="3" t="str">
        <f>_xlfn.XLOOKUP(B152,'BASE DE EXCEL'!$C:$C,'BASE DE EXCEL'!BE:BE,"NO HAY REFERENCIA")</f>
        <v>REVALIDACION</v>
      </c>
      <c r="EL152" s="3" t="str">
        <f>_xlfn.XLOOKUP(B152,'BASE DE EXCEL'!$C:$C,'BASE DE EXCEL'!BF:BF,"NO HAY REFERENCIA")</f>
        <v>PRODUCTO TERMINADO</v>
      </c>
      <c r="EM152" s="3" t="str">
        <f>_xlfn.XLOOKUP(B152,'BASE DE EXCEL'!$C:$C,'BASE DE EXCEL'!BG:BG,"NO HAY REFERENCIA")</f>
        <v>Rojo</v>
      </c>
      <c r="EN152" s="3" t="str">
        <f>_xlfn.XLOOKUP(B152,'BASE DE EXCEL'!$C:$C,'BASE DE EXCEL'!BH:BH,"NO HAY REFERENCIA")</f>
        <v xml:space="preserve"> MLH TRANSPORTE, S.A. DE C.V.</v>
      </c>
      <c r="EO152" s="3" t="str">
        <f>_xlfn.XLOOKUP(B152,'BASE DE EXCEL'!$C:$C,'BASE DE EXCEL'!BI:BI,"NO HAY REFERENCIA")</f>
        <v>ECONOMICO 153</v>
      </c>
      <c r="EP152" s="3">
        <f>_xlfn.XLOOKUP(B152,'BASE DE EXCEL'!$C:$C,'BASE DE EXCEL'!BJ:BJ,"NO HAY REFERENCIA")</f>
        <v>0</v>
      </c>
      <c r="EQ152" s="3" t="str">
        <f>_xlfn.XLOOKUP(B152,'BASE DE EXCEL'!$C:$C,'BASE DE EXCEL'!BK:BK,"NO HAY REFERENCIA")</f>
        <v>IME850329RH2</v>
      </c>
      <c r="ER152" s="3">
        <f>_xlfn.XLOOKUP(B152,'BASE DE EXCEL'!$C:$C,'BASE DE EXCEL'!BL:BL,"NO HAY REFERENCIA")</f>
        <v>0</v>
      </c>
      <c r="ES152" s="3">
        <f>_xlfn.XLOOKUP(B152,'BASE DE EXCEL'!$C:$C,'BASE DE EXCEL'!BM:BM,"NO HAY REFERENCIA")</f>
        <v>99</v>
      </c>
      <c r="ET152" s="3" t="str">
        <f>_xlfn.XLOOKUP(B152,'BASE DE EXCEL'!$C:$C,'BASE DE EXCEL'!BN:BN,"NO HAY REFERENCIA")</f>
        <v>NULL</v>
      </c>
      <c r="EU152" s="3">
        <f>_xlfn.XLOOKUP(B152,'BASE DE EXCEL'!$C:$C,'BASE DE EXCEL'!BO:BO,"NO HAY REFERENCIA")</f>
        <v>90</v>
      </c>
      <c r="EV152" s="3">
        <f>_xlfn.XLOOKUP(B152,'BASE DE EXCEL'!$C:$C,'BASE DE EXCEL'!BP:BP,"NO HAY REFERENCIA")</f>
        <v>27800</v>
      </c>
      <c r="EW152" s="3" t="str">
        <f>_xlfn.XLOOKUP(B152,'BASE DE EXCEL'!$C:$C,'BASE DE EXCEL'!BQ:BQ,"NO HAY REFERENCIA")</f>
        <v>PIEZA</v>
      </c>
      <c r="EX152" s="3">
        <f>_xlfn.XLOOKUP(B152,'BASE DE EXCEL'!$C:$C,'BASE DE EXCEL'!BR:BR,"NO HAY REFERENCIA")</f>
        <v>0</v>
      </c>
      <c r="EY152" s="3" t="str">
        <f>_xlfn.XLOOKUP(B152,'BASE DE EXCEL'!$C:$C,'BASE DE EXCEL'!BS:BS,"NO HAY REFERENCIA")</f>
        <v>CHINA (REPUBLICA POPULAR)</v>
      </c>
      <c r="EZ152" s="3" t="str">
        <f>_xlfn.XLOOKUP(B152,'BASE DE EXCEL'!$C:$C,'BASE DE EXCEL'!BT:BT,"NO HAY REFERENCIA")</f>
        <v>REINO UNIDO DE LA GRAN BRETAÑA E IRLANDA DEL NORTE</v>
      </c>
      <c r="FA152" s="3" t="str">
        <f>_xlfn.XLOOKUP(B152,'BASE DE EXCEL'!$C:$C,'BASE DE EXCEL'!BU:BU,"NO HAY REFERENCIA")</f>
        <v>CHN</v>
      </c>
      <c r="FB152" s="3" t="str">
        <f>_xlfn.XLOOKUP(B152,'BASE DE EXCEL'!$C:$C,'BASE DE EXCEL'!BV:BV,"NO HAY REFERENCIA")</f>
        <v>GBR</v>
      </c>
      <c r="FC152" s="3">
        <f>_xlfn.XLOOKUP(B152,QUERY!$C:$C,QUERY!D:D)</f>
        <v>430</v>
      </c>
      <c r="FD152" s="4">
        <f>_xlfn.XLOOKUP(B152,QUERY!$C:$C,QUERY!E:E)</f>
        <v>46136</v>
      </c>
      <c r="FE152" s="3">
        <f>_xlfn.XLOOKUP(B152,QUERY!$C:$C,QUERY!F:F)</f>
        <v>4</v>
      </c>
      <c r="FF152" s="4">
        <f>_xlfn.XLOOKUP(B152,QUERY!$C:$C,QUERY!G:G)</f>
        <v>46125</v>
      </c>
      <c r="FG152" s="4">
        <f>_xlfn.XLOOKUP(B152,QUERY!$C:$C,QUERY!H:H)</f>
        <v>46136</v>
      </c>
      <c r="FH152" s="3">
        <f>_xlfn.XLOOKUP(B152,QUERY!$C:$C,QUERY!I:I)</f>
        <v>9</v>
      </c>
      <c r="FI152" s="3" t="str">
        <f>_xlfn.XLOOKUP(B152,QUERY!$C:$C,QUERY!J:J)</f>
        <v>6 a 10 días</v>
      </c>
      <c r="FJ152" s="4">
        <f>_xlfn.XLOOKUP(B152,QUERY!$C:$C,QUERY!K:K)</f>
        <v>46137</v>
      </c>
      <c r="FK152" s="3">
        <f>_xlfn.XLOOKUP(B152,QUERY!$C:$C,QUERY!L:L)</f>
        <v>9</v>
      </c>
      <c r="FL152" s="3" t="str">
        <f>_xlfn.XLOOKUP(B152,QUERY!$C:$C,QUERY!M:M)</f>
        <v>6 a 10 días</v>
      </c>
      <c r="FM152" s="3">
        <f>_xlfn.XLOOKUP(B152,QUERY!$C:$C,QUERY!N:N)</f>
        <v>1</v>
      </c>
      <c r="FN152" s="3" t="str">
        <f>_xlfn.XLOOKUP(B152,QUERY!$C:$C,QUERY!O:O)</f>
        <v>1 día o menos</v>
      </c>
      <c r="FO152" s="3">
        <f>_xlfn.XLOOKUP(B152,QUERY!$C:$C,QUERY!P:P)</f>
        <v>1</v>
      </c>
      <c r="FP152" s="3">
        <f>_xlfn.XLOOKUP(B152,QUERY!$C:$C,QUERY!Q:Q)</f>
        <v>2</v>
      </c>
      <c r="FQ152" s="3" t="str">
        <f>_xlfn.XLOOKUP(B152,QUERY!$C:$C,QUERY!R:R)</f>
        <v>2 a 3 días</v>
      </c>
      <c r="FR152" s="4">
        <f>_xlfn.XLOOKUP(B152,QUERY!$C:$C,QUERY!S:S)</f>
        <v>46139</v>
      </c>
      <c r="FS152" s="3">
        <f>_xlfn.XLOOKUP(B152,QUERY!$C:$C,QUERY!T:T)</f>
        <v>10</v>
      </c>
      <c r="FT152" s="3" t="str">
        <f>_xlfn.XLOOKUP(B152,QUERY!$C:$C,QUERY!U:U)</f>
        <v>6 a 10 días</v>
      </c>
      <c r="FU152" s="3">
        <f>_xlfn.XLOOKUP(B152,QUERY!$C:$C,QUERY!V:V)</f>
        <v>21</v>
      </c>
      <c r="FV152" s="3" t="str">
        <f>_xlfn.XLOOKUP(B152,QUERY!$C:$C,QUERY!W:W)</f>
        <v>más de 16 días</v>
      </c>
      <c r="FW152" s="4">
        <f>_xlfn.XLOOKUP(B152,QUERY!$C:$C,QUERY!X:X)</f>
        <v>46154</v>
      </c>
      <c r="FX152" s="3">
        <f>_xlfn.XLOOKUP(B152,QUERY!$C:$C,QUERY!Y:Y)</f>
        <v>10</v>
      </c>
      <c r="FY152" s="3">
        <f>_xlfn.XLOOKUP(B152,QUERY!$C:$C,QUERY!Z:Z)</f>
        <v>11</v>
      </c>
      <c r="FZ152" s="4" t="str">
        <f>_xlfn.XLOOKUP(B152,QUERY!$C:$C,QUERY!AA:AA)</f>
        <v>11 a 15 días</v>
      </c>
      <c r="GA152" s="4">
        <f>_xlfn.XLOOKUP(B152,QUERY!$C:$C,QUERY!AB:AB)</f>
        <v>46153</v>
      </c>
      <c r="GB152" s="4">
        <f>_xlfn.XLOOKUP(B152,QUERY!$C:$C,QUERY!AC:AC)</f>
        <v>46154</v>
      </c>
      <c r="GC152" s="3">
        <f>_xlfn.XLOOKUP(B152,QUERY!$C:$C,QUERY!AD:AD)</f>
        <v>1</v>
      </c>
      <c r="GD152" s="4">
        <f>_xlfn.XLOOKUP(B152,QUERY!$C:$C,QUERY!AE:AE)</f>
        <v>46154</v>
      </c>
      <c r="GE152" s="3">
        <f>_xlfn.XLOOKUP(B152,QUERY!$C:$C,QUERY!AF:AF)</f>
        <v>1</v>
      </c>
      <c r="GF152" s="4" t="str">
        <f>_xlfn.XLOOKUP(B152,QUERY!$C:$C,QUERY!AG:AG)</f>
        <v>Es anterior</v>
      </c>
      <c r="GG152" s="3" t="str">
        <f>_xlfn.XLOOKUP(B152,QUERY!$C:$C,QUERY!AH:AH)</f>
        <v>A1</v>
      </c>
      <c r="GH152" s="3" t="str">
        <f>_xlfn.XLOOKUP(B152,QUERY!$C:$C,QUERY!AI:AI)</f>
        <v>ZULEIMA PEREZ RUIZ</v>
      </c>
      <c r="GI152" s="3" t="str">
        <f>_xlfn.XLOOKUP(B152,QUERY!$C:$C,QUERY!AJ:AJ)</f>
        <v>ONEYLIVG04445400</v>
      </c>
      <c r="GJ152" s="3" t="str">
        <f>_xlfn.XLOOKUP(B152,QUERY!$C:$C,QUERY!AK:AK)</f>
        <v>NULL</v>
      </c>
      <c r="GK152" s="3">
        <f>_xlfn.XLOOKUP(B152,QUERY!$C:$C,QUERY!AL:AL)</f>
        <v>6000577</v>
      </c>
      <c r="GL152" s="3" t="str">
        <f>_xlfn.XLOOKUP(B152,QUERY!$C:$C,QUERY!AM:AM)</f>
        <v>Importación</v>
      </c>
      <c r="GM152" s="3" t="str">
        <f>_xlfn.XLOOKUP(B152,QUERY!$C:$C,QUERY!AN:AN)</f>
        <v>UNIDAD DE REFRIGERACION (VETERINARY CHILLER UNIT)</v>
      </c>
      <c r="GN152" s="3" t="str">
        <f>_xlfn.XLOOKUP(B152,QUERY!$C:$C,QUERY!AO:AO)</f>
        <v>SIN CLASIFICACION</v>
      </c>
      <c r="GO152" s="3">
        <f>_xlfn.XLOOKUP(B152,QUERY!$C:$C,QUERY!AP:AP)</f>
        <v>0</v>
      </c>
      <c r="GP152" s="3" t="str">
        <f>_xlfn.XLOOKUP(B152,QUERY!$C:$C,QUERY!AQ:AQ)</f>
        <v>Cargas de Importación</v>
      </c>
      <c r="GQ152" s="3" t="str">
        <f>_xlfn.XLOOKUP(B152,QUERY!$C:$C,QUERY!AR:AR)</f>
        <v>INTERVET MEXICO SA DE CV</v>
      </c>
      <c r="GR152" s="3">
        <f>_xlfn.XLOOKUP(B152,QUERY!$C:$C,QUERY!AS:AS)</f>
        <v>0</v>
      </c>
      <c r="GS152" s="3" t="str">
        <f>_xlfn.XLOOKUP(B152,QUERY!$C:$C,QUERY!AT:AT)</f>
        <v>OTRO</v>
      </c>
      <c r="GT152" s="3" t="str">
        <f>_xlfn.XLOOKUP(B152,QUERY!$C:$C,QUERY!AU:AU)</f>
        <v>REVALIDACION</v>
      </c>
      <c r="GU152" s="3" t="str">
        <f>_xlfn.XLOOKUP(B152,QUERY!$C:$C,QUERY!AV:AV)</f>
        <v>REVALIDACION</v>
      </c>
      <c r="GV152" s="3" t="str">
        <f>_xlfn.XLOOKUP(B152,QUERY!$C:$C,QUERY!AW:AW)</f>
        <v>PRODUCTO TERMINADO</v>
      </c>
      <c r="GW152" s="3" t="str">
        <f>_xlfn.XLOOKUP(B152,QUERY!$C:$C,QUERY!AX:AX)</f>
        <v>Rojo</v>
      </c>
      <c r="GX152" s="3" t="str">
        <f>_xlfn.XLOOKUP(B152,QUERY!$C:$C,QUERY!AY:AY)</f>
        <v xml:space="preserve"> MLH TRANSPORTE, S.A. DE C.V.</v>
      </c>
      <c r="GY152" s="3" t="str">
        <f>_xlfn.XLOOKUP(B152,QUERY!$C:$C,QUERY!AZ:AZ)</f>
        <v>ECONOMICO 153</v>
      </c>
      <c r="GZ152" s="3">
        <f>_xlfn.XLOOKUP(B152,QUERY!$C:$C,QUERY!BA:BA)</f>
        <v>0</v>
      </c>
      <c r="HA152" s="3" t="str">
        <f>_xlfn.XLOOKUP(B152,QUERY!$C:$C,QUERY!BB:BB)</f>
        <v>IME850329RH2</v>
      </c>
      <c r="HB152" s="3">
        <f>_xlfn.XLOOKUP(B152,QUERY!$C:$C,QUERY!BC:BC)</f>
        <v>0</v>
      </c>
      <c r="HC152" s="3">
        <f>_xlfn.XLOOKUP(B152,QUERY!$C:$C,QUERY!BD:BD)</f>
        <v>99</v>
      </c>
      <c r="HD152" s="3" t="str">
        <f>_xlfn.XLOOKUP(B152,QUERY!$C:$C,QUERY!BE:BE)</f>
        <v>NULL</v>
      </c>
      <c r="HE152" s="3">
        <f>_xlfn.XLOOKUP(B152,QUERY!$C:$C,QUERY!BF:BF)</f>
        <v>90</v>
      </c>
      <c r="HF152" s="3" t="str">
        <f>_xlfn.XLOOKUP(B152,QUERY!$C:$C,QUERY!BG:BG)</f>
        <v xml:space="preserve"> 27800.00</v>
      </c>
      <c r="HG152" s="3" t="str">
        <f>_xlfn.XLOOKUP(B152,QUERY!$C:$C,QUERY!BH:BH)</f>
        <v>PIEZA</v>
      </c>
      <c r="HH152" s="3">
        <f>_xlfn.XLOOKUP(B152,QUERY!$C:$C,QUERY!BI:BI)</f>
        <v>0</v>
      </c>
      <c r="HI152" s="3" t="str">
        <f>_xlfn.XLOOKUP(B152,QUERY!$C:$C,QUERY!BJ:BJ)</f>
        <v>CHINA (REPUBLICA POPULAR)</v>
      </c>
      <c r="HJ152" s="3" t="str">
        <f>_xlfn.XLOOKUP(B152,QUERY!$C:$C,QUERY!BK:BK)</f>
        <v>REINO UNIDO DE LA GRAN BRETAÑA E IRLANDA DEL NORTE</v>
      </c>
      <c r="HK152" s="3" t="str">
        <f>_xlfn.XLOOKUP(B152,QUERY!$C:$C,QUERY!BL:BL)</f>
        <v>CHN</v>
      </c>
      <c r="HL152" s="3" t="str">
        <f>_xlfn.XLOOKUP(B152,QUERY!$C:$C,QUERY!BM:BM)</f>
        <v>GBR</v>
      </c>
      <c r="HM152" s="3">
        <f>_xlfn.XLOOKUP(B152,QUERY!$C:$C,QUERY!BN:BN)</f>
        <v>482589</v>
      </c>
      <c r="HN152" s="3" t="str">
        <f>_xlfn.XLOOKUP(B152,QUERY!$C:$C,QUERY!BO:BO)</f>
        <v>3861.00</v>
      </c>
      <c r="HO152" s="3" t="str">
        <f>_xlfn.XLOOKUP(B152,QUERY!$C:$C,QUERY!BP:BP)</f>
        <v>85553.00</v>
      </c>
      <c r="HP152" s="3" t="str">
        <f>_xlfn.XLOOKUP(B152,QUERY!$C:$C,QUERY!BQ:BQ)</f>
        <v>48259.00</v>
      </c>
      <c r="HQ152" s="3" t="str">
        <f>_xlfn.XLOOKUP(B152,QUERY!$C:$C,QUERY!BR:BR)</f>
        <v>82025.96</v>
      </c>
      <c r="HR152" s="3">
        <f>_xlfn.XLOOKUP(B152,QUERY!$C:$C,QUERY!BS:BS)</f>
        <v>0</v>
      </c>
      <c r="HS152" s="3">
        <f>_xlfn.XLOOKUP(B152,QUERY!$C:$C,QUERY!BT:BT)</f>
        <v>0</v>
      </c>
      <c r="HT152" s="3" t="str">
        <f>_xlfn.XLOOKUP(B152,QUERY!$C:$C,QUERY!A:A)</f>
        <v>VERACRUZ</v>
      </c>
      <c r="HU152" s="3" t="str">
        <f>_xlfn.XLOOKUP(B152,QUERY!$C:$C,QUERY!B:B)</f>
        <v>MARÍTIMO VERACRUZ</v>
      </c>
    </row>
    <row r="153" spans="1:229" x14ac:dyDescent="0.25">
      <c r="A153" s="3" t="s">
        <v>90</v>
      </c>
      <c r="B153" s="3" t="s">
        <v>418</v>
      </c>
      <c r="C153" s="3">
        <v>3942</v>
      </c>
      <c r="D153" s="3">
        <v>6000578</v>
      </c>
      <c r="E153" s="3"/>
      <c r="F153" s="3" t="s">
        <v>92</v>
      </c>
      <c r="G153" s="3" t="s">
        <v>93</v>
      </c>
      <c r="H153" s="3">
        <v>16</v>
      </c>
      <c r="I153" s="3">
        <v>157255</v>
      </c>
      <c r="J153" s="3">
        <v>0</v>
      </c>
      <c r="K153" s="3">
        <v>0</v>
      </c>
      <c r="L153" s="3">
        <v>0</v>
      </c>
      <c r="M153" s="3">
        <v>0</v>
      </c>
      <c r="N153" s="3">
        <v>5</v>
      </c>
      <c r="O153" s="3">
        <v>46448</v>
      </c>
      <c r="P153" s="3">
        <v>17.268799999999999</v>
      </c>
      <c r="Q153" s="3">
        <v>7891</v>
      </c>
      <c r="R153" s="3">
        <v>430</v>
      </c>
      <c r="S153" s="3" t="s">
        <v>419</v>
      </c>
      <c r="T153" s="3" t="s">
        <v>185</v>
      </c>
      <c r="U153" s="3">
        <v>928967</v>
      </c>
      <c r="V153" s="3">
        <v>928967</v>
      </c>
      <c r="W153" s="3">
        <v>0</v>
      </c>
      <c r="X153" s="3">
        <v>0</v>
      </c>
      <c r="Y153" s="3">
        <v>0</v>
      </c>
      <c r="Z153" s="3">
        <v>0</v>
      </c>
      <c r="AA153" s="3" t="s">
        <v>420</v>
      </c>
      <c r="AB153" s="3"/>
      <c r="AC153" s="3">
        <v>928967</v>
      </c>
      <c r="AD153" s="3">
        <v>61.75</v>
      </c>
      <c r="AE153" s="3">
        <v>354</v>
      </c>
      <c r="AF153" s="3" t="s">
        <v>187</v>
      </c>
      <c r="AG153" s="3">
        <v>46448</v>
      </c>
      <c r="AH153" s="3">
        <v>0</v>
      </c>
      <c r="AI153" s="3">
        <v>53</v>
      </c>
      <c r="AJ153" s="3">
        <v>7432</v>
      </c>
      <c r="AK153" s="3">
        <v>0</v>
      </c>
      <c r="AL153" s="3">
        <v>157255</v>
      </c>
      <c r="AM153" s="3">
        <v>330</v>
      </c>
      <c r="AN153" s="3">
        <v>211518</v>
      </c>
      <c r="AO153" s="3" t="s">
        <v>97</v>
      </c>
      <c r="AP153" s="3" t="s">
        <v>98</v>
      </c>
      <c r="AQ153" s="3">
        <v>210369652</v>
      </c>
      <c r="AR153" s="3" t="s">
        <v>99</v>
      </c>
      <c r="AS153" s="3" t="s">
        <v>100</v>
      </c>
      <c r="AT153" s="3">
        <v>266794386</v>
      </c>
      <c r="AU153" s="3"/>
      <c r="AV153" s="3" t="s">
        <v>188</v>
      </c>
      <c r="AW153" s="3">
        <v>38249999</v>
      </c>
      <c r="AX153" s="3">
        <v>99</v>
      </c>
      <c r="AY153" s="3">
        <v>15044</v>
      </c>
      <c r="AZ153" s="3">
        <v>15044</v>
      </c>
      <c r="BA153" s="3" t="s">
        <v>103</v>
      </c>
      <c r="BB153" s="3"/>
      <c r="BC153" s="3" t="s">
        <v>189</v>
      </c>
      <c r="BD153" s="3" t="s">
        <v>105</v>
      </c>
      <c r="BE153" s="3" t="s">
        <v>106</v>
      </c>
      <c r="BF153" s="3" t="s">
        <v>397</v>
      </c>
      <c r="BG153" s="5"/>
      <c r="BH153" s="3"/>
      <c r="BI153" s="3"/>
      <c r="BJ153" s="3" t="s">
        <v>109</v>
      </c>
      <c r="BK153" s="3" t="s">
        <v>421</v>
      </c>
      <c r="BL153" s="3">
        <v>46001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5600</v>
      </c>
      <c r="CC153" s="3">
        <v>1019.2</v>
      </c>
      <c r="CD153" s="3">
        <v>91291.45</v>
      </c>
      <c r="CE153" s="3" t="s">
        <v>192</v>
      </c>
      <c r="CF153" s="3">
        <v>91291.45</v>
      </c>
      <c r="CG153" s="3">
        <v>0</v>
      </c>
      <c r="CH153" s="3">
        <v>0</v>
      </c>
      <c r="CI153" s="3" t="s">
        <v>112</v>
      </c>
      <c r="CJ153" s="3" t="s">
        <v>112</v>
      </c>
      <c r="CK153" s="3">
        <f>_xlfn.XLOOKUP($B$2,'BASE DE EXCEL'!C:C,'BASE DE EXCEL'!D:D,"NO HAY REFERENCIA")</f>
        <v>470</v>
      </c>
      <c r="CL153" s="5">
        <f>_xlfn.XLOOKUP($B$2,'BASE DE EXCEL'!$C:$C,'BASE DE EXCEL'!F:F,"NO HAY REFERENCIA")</f>
        <v>3</v>
      </c>
      <c r="CM153" s="4">
        <f>_xlfn.XLOOKUP($B$2,'BASE DE EXCEL'!$C:$C,'BASE DE EXCEL'!G:G,"NO HAY REFERENCIA")</f>
        <v>46080</v>
      </c>
      <c r="CN153" s="4">
        <f>_xlfn.XLOOKUP($B$2,'BASE DE EXCEL'!$C:$C,'BASE DE EXCEL'!H:H,"NO HAY REFERENCIA")</f>
        <v>46086</v>
      </c>
      <c r="CO153" s="3">
        <f>_xlfn.XLOOKUP($B$2,'BASE DE EXCEL'!$C:$C,'BASE DE EXCEL'!I:I,"NO HAY REFERENCIA")</f>
        <v>4</v>
      </c>
      <c r="CP153" s="3" t="str">
        <f>_xlfn.XLOOKUP($B$2,'BASE DE EXCEL'!$C:$C,'BASE DE EXCEL'!J:J,"NO HAY REFERENCIA")</f>
        <v>4 a 5 días</v>
      </c>
      <c r="CQ153" s="4">
        <f>_xlfn.XLOOKUP($B$2,'BASE DE EXCEL'!$C:$C,'BASE DE EXCEL'!K:K,"NO HAY REFERENCIA")</f>
        <v>46087</v>
      </c>
      <c r="CR153" s="3">
        <f>_xlfn.XLOOKUP($B$2,'BASE DE EXCEL'!$C:$C,'BASE DE EXCEL'!L:L,"NO HAY REFERENCIA")</f>
        <v>5</v>
      </c>
      <c r="CS153" s="3">
        <f>_xlfn.XLOOKUP($B$2,'BASE DE EXCEL'!$C:$C,'BASE DE EXCEL'!M:M,"NO HAY REFERENCIA")</f>
        <v>6</v>
      </c>
      <c r="CT153" s="3" t="str">
        <f>_xlfn.XLOOKUP($B$2,'BASE DE EXCEL'!$C:$C,'BASE DE EXCEL'!N:N,"NO HAY REFERENCIA")</f>
        <v>6 a 10 días</v>
      </c>
      <c r="CU153" s="3" t="str">
        <f>_xlfn.XLOOKUP($B$2,'BASE DE EXCEL'!$C:$C,'BASE DE EXCEL'!O:O,"NO HAY REFERENCIA")</f>
        <v>On Time</v>
      </c>
      <c r="CV153" s="3" t="str">
        <f>_xlfn.XLOOKUP(B153,'BASE DE EXCEL'!$C:$C,'BASE DE EXCEL'!P:P,"NO HAY REFERENCIA")</f>
        <v>6 a 10 días</v>
      </c>
      <c r="CW153" s="4">
        <f>_xlfn.XLOOKUP(B153,'BASE DE EXCEL'!$C:$C,'BASE DE EXCEL'!Q:Q,"NO HAY REFERENCIA")</f>
        <v>46139</v>
      </c>
      <c r="CX153" s="3">
        <f>_xlfn.XLOOKUP(B153,'BASE DE EXCEL'!$C:$C,'BASE DE EXCEL'!R:R,"NO HAY REFERENCIA")</f>
        <v>8</v>
      </c>
      <c r="CY153" s="3" t="str">
        <f>_xlfn.XLOOKUP(B153,'BASE DE EXCEL'!$C:$C,'BASE DE EXCEL'!S:S,"NO HAY REFERENCIA")</f>
        <v>6 a 10 días</v>
      </c>
      <c r="CZ153" s="3" t="str">
        <f>_xlfn.XLOOKUP(B153,'BASE DE EXCEL'!$C:$C,'BASE DE EXCEL'!T:T,"NO HAY REFERENCIA")</f>
        <v>Delayed</v>
      </c>
      <c r="DA153" s="3">
        <f>_xlfn.XLOOKUP(B153,'BASE DE EXCEL'!$C:$C,'BASE DE EXCEL'!U:U,"NO HAY REFERENCIA")</f>
        <v>11</v>
      </c>
      <c r="DB153" s="3" t="str">
        <f>_xlfn.XLOOKUP(B153,'BASE DE EXCEL'!$C:$C,'BASE DE EXCEL'!V:V,"NO HAY REFERENCIA")</f>
        <v>6 a 10 días</v>
      </c>
      <c r="DC153" s="3">
        <f>_xlfn.XLOOKUP(B153,'BASE DE EXCEL'!$C:$C,'BASE DE EXCEL'!W:W,"NO HAY REFERENCIA")</f>
        <v>17</v>
      </c>
      <c r="DD153" s="3" t="str">
        <f>_xlfn.XLOOKUP(B153,'BASE DE EXCEL'!$C:$C,'BASE DE EXCEL'!X:X,"NO HAY REFERENCIA")</f>
        <v>más de 16 días</v>
      </c>
      <c r="DE153" s="3">
        <f>_xlfn.XLOOKUP(B153,'BASE DE EXCEL'!$C:$C,'BASE DE EXCEL'!Y:Y,"NO HAY REFERENCIA")</f>
        <v>1</v>
      </c>
      <c r="DF153" s="3" t="str">
        <f>_xlfn.XLOOKUP(B153,'BASE DE EXCEL'!$C:$C,'BASE DE EXCEL'!Z:Z,"NO HAY REFERENCIA")</f>
        <v>1 día o menos</v>
      </c>
      <c r="DG153" s="3">
        <f>_xlfn.XLOOKUP(B153,'BASE DE EXCEL'!$C:$C,'BASE DE EXCEL'!AA:AA,"NO HAY REFERENCIA")</f>
        <v>8</v>
      </c>
      <c r="DH153" s="3">
        <f>_xlfn.XLOOKUP(B153,'BASE DE EXCEL'!$C:$C,'BASE DE EXCEL'!AB:AB,"NO HAY REFERENCIA")</f>
        <v>2</v>
      </c>
      <c r="DI153" s="3" t="str">
        <f>_xlfn.XLOOKUP(B153,'BASE DE EXCEL'!$C:$C,'BASE DE EXCEL'!AC:AC,"NO HAY REFERENCIA")</f>
        <v>2 a 3 días</v>
      </c>
      <c r="DJ153" s="4">
        <f>_xlfn.XLOOKUP(B153,'BASE DE EXCEL'!$C:$C,'BASE DE EXCEL'!AD:AD,"NO HAY REFERENCIA")</f>
        <v>46153</v>
      </c>
      <c r="DK153" s="3">
        <f>_xlfn.XLOOKUP(B153,'BASE DE EXCEL'!$C:$C,'BASE DE EXCEL'!AE:AE,"NO HAY REFERENCIA")</f>
        <v>14</v>
      </c>
      <c r="DL153" s="3">
        <f>_xlfn.XLOOKUP(B153,'BASE DE EXCEL'!$C:$C,'BASE DE EXCEL'!AF:AF,"NO HAY REFERENCIA")</f>
        <v>10</v>
      </c>
      <c r="DM153" s="4">
        <f>_xlfn.XLOOKUP(B153,'BASE DE EXCEL'!$C:$C,'BASE DE EXCEL'!AG:AG,"NO HAY REFERENCIA")</f>
        <v>46153</v>
      </c>
      <c r="DN153" s="4">
        <f>_xlfn.XLOOKUP(B153,'BASE DE EXCEL'!$C:$C,'BASE DE EXCEL'!AH:AH,"NO HAY REFERENCIA")</f>
        <v>46153</v>
      </c>
      <c r="DO153" s="3">
        <f>_xlfn.XLOOKUP(B153,'BASE DE EXCEL'!$C:$C,'BASE DE EXCEL'!AI:AI,"NO HAY REFERENCIA")</f>
        <v>0</v>
      </c>
      <c r="DP153" s="4" t="str">
        <f>_xlfn.XLOOKUP(B153,'BASE DE EXCEL'!$C:$C,'BASE DE EXCEL'!AJ:AJ,"NO HAY REFERENCIA")</f>
        <v>11 a 15 días</v>
      </c>
      <c r="DQ153" s="4">
        <f>_xlfn.XLOOKUP(B153,'BASE DE EXCEL'!$C:$C,'BASE DE EXCEL'!AK:AK,"NO HAY REFERENCIA")</f>
        <v>46153</v>
      </c>
      <c r="DR153" s="3">
        <f>_xlfn.XLOOKUP(B153,'BASE DE EXCEL'!$C:$C,'BASE DE EXCEL'!AL:AL,"NO HAY REFERENCIA")</f>
        <v>10</v>
      </c>
      <c r="DS153" s="3" t="str">
        <f>_xlfn.XLOOKUP(B153,'BASE DE EXCEL'!$C:$C,'BASE DE EXCEL'!AM:AM,"NO HAY REFERENCIA")</f>
        <v>6 a 10 días</v>
      </c>
      <c r="DT153" s="3" t="str">
        <f>_xlfn.XLOOKUP(B153,'BASE DE EXCEL'!$C:$C,'BASE DE EXCEL'!AN:AN,"NO HAY REFERENCIA")</f>
        <v>Delayed</v>
      </c>
      <c r="DU153" s="3">
        <f>_xlfn.XLOOKUP(B153,'BASE DE EXCEL'!$C:$C,'BASE DE EXCEL'!AO:AO,"NO HAY REFERENCIA")</f>
        <v>1</v>
      </c>
      <c r="DV153" s="3" t="str">
        <f>_xlfn.XLOOKUP(B153,'BASE DE EXCEL'!$C:$C,'BASE DE EXCEL'!AP:AP,"NO HAY REFERENCIA")</f>
        <v>Es anterior</v>
      </c>
      <c r="DW153" s="3" t="str">
        <f>_xlfn.XLOOKUP(B153,'BASE DE EXCEL'!$C:$C,'BASE DE EXCEL'!AQ:AQ,"NO HAY REFERENCIA")</f>
        <v>A1</v>
      </c>
      <c r="DX153" s="3" t="str">
        <f>_xlfn.XLOOKUP(B153,'BASE DE EXCEL'!$C:$C,'BASE DE EXCEL'!AR:AR,"NO HAY REFERENCIA")</f>
        <v>ZULEIMA PEREZ RUIZ</v>
      </c>
      <c r="DY153" s="3">
        <f>_xlfn.XLOOKUP(B153,'BASE DE EXCEL'!$C:$C,'BASE DE EXCEL'!AS:AS,"NO HAY REFERENCIA")</f>
        <v>266794386</v>
      </c>
      <c r="DZ153" s="3" t="str">
        <f>_xlfn.XLOOKUP(B153,'BASE DE EXCEL'!$C:$C,'BASE DE EXCEL'!AT:AT,"NO HAY REFERENCIA")</f>
        <v>NULL</v>
      </c>
      <c r="EA153" s="3">
        <f>_xlfn.XLOOKUP(B153,'BASE DE EXCEL'!$C:$C,'BASE DE EXCEL'!AU:AU,"NO HAY REFERENCIA")</f>
        <v>6000578</v>
      </c>
      <c r="EB153" s="3" t="str">
        <f>_xlfn.XLOOKUP(B153,'BASE DE EXCEL'!$C:$C,'BASE DE EXCEL'!AV:AV,"NO HAY REFERENCIA")</f>
        <v>Importación</v>
      </c>
      <c r="EC153" s="3" t="str">
        <f>_xlfn.XLOOKUP(B153,'BASE DE EXCEL'!$C:$C,'BASE DE EXCEL'!AW:AW,"NO HAY REFERENCIA")</f>
        <v>DILUREK POULTRY DILUENT 1X400 ML</v>
      </c>
      <c r="ED153" s="3" t="str">
        <f>_xlfn.XLOOKUP(B153,'BASE DE EXCEL'!$C:$C,'BASE DE EXCEL'!AX:AX,"NO HAY REFERENCIA")</f>
        <v>SIN CLASIFICACION</v>
      </c>
      <c r="EE153" s="3">
        <f>_xlfn.XLOOKUP(B153,'BASE DE EXCEL'!$C:$C,'BASE DE EXCEL'!AY:AY,"NO HAY REFERENCIA")</f>
        <v>0</v>
      </c>
      <c r="EF153" s="3" t="str">
        <f>_xlfn.XLOOKUP(B153,'BASE DE EXCEL'!$C:$C,'BASE DE EXCEL'!AZ:AZ,"NO HAY REFERENCIA")</f>
        <v>Cargas de Importación</v>
      </c>
      <c r="EG153" s="3" t="str">
        <f>_xlfn.XLOOKUP(B153,'BASE DE EXCEL'!$C:$C,'BASE DE EXCEL'!BA:BA,"NO HAY REFERENCIA")</f>
        <v>INTERVET MEXICO SA DE CV</v>
      </c>
      <c r="EH153" s="3">
        <f>_xlfn.XLOOKUP(B153,'BASE DE EXCEL'!$C:$C,'BASE DE EXCEL'!BB:BB,"NO HAY REFERENCIA")</f>
        <v>0</v>
      </c>
      <c r="EI153" s="3">
        <f>_xlfn.XLOOKUP(B153,'BASE DE EXCEL'!$C:$C,'BASE DE EXCEL'!BC:BC,"NO HAY REFERENCIA")</f>
        <v>0</v>
      </c>
      <c r="EJ153" s="3">
        <f>_xlfn.XLOOKUP(B153,'BASE DE EXCEL'!$C:$C,'BASE DE EXCEL'!BD:BD,"NO HAY REFERENCIA")</f>
        <v>0</v>
      </c>
      <c r="EK153" s="3">
        <f>_xlfn.XLOOKUP(B153,'BASE DE EXCEL'!$C:$C,'BASE DE EXCEL'!BE:BE,"NO HAY REFERENCIA")</f>
        <v>0</v>
      </c>
      <c r="EL153" s="3" t="str">
        <f>_xlfn.XLOOKUP(B153,'BASE DE EXCEL'!$C:$C,'BASE DE EXCEL'!BF:BF,"NO HAY REFERENCIA")</f>
        <v>PRODUCTO TERMINADO</v>
      </c>
      <c r="EM153" s="3" t="str">
        <f>_xlfn.XLOOKUP(B153,'BASE DE EXCEL'!$C:$C,'BASE DE EXCEL'!BG:BG,"NO HAY REFERENCIA")</f>
        <v>Verde</v>
      </c>
      <c r="EN153" s="3" t="str">
        <f>_xlfn.XLOOKUP(B153,'BASE DE EXCEL'!$C:$C,'BASE DE EXCEL'!BH:BH,"NO HAY REFERENCIA")</f>
        <v xml:space="preserve"> MLH TRANSPORTE, S.A. DE C.V.</v>
      </c>
      <c r="EO153" s="3" t="str">
        <f>_xlfn.XLOOKUP(B153,'BASE DE EXCEL'!$C:$C,'BASE DE EXCEL'!BI:BI,"NO HAY REFERENCIA")</f>
        <v>ECO 178</v>
      </c>
      <c r="EP153" s="3">
        <f>_xlfn.XLOOKUP(B153,'BASE DE EXCEL'!$C:$C,'BASE DE EXCEL'!BJ:BJ,"NO HAY REFERENCIA")</f>
        <v>0</v>
      </c>
      <c r="EQ153" s="3" t="str">
        <f>_xlfn.XLOOKUP(B153,'BASE DE EXCEL'!$C:$C,'BASE DE EXCEL'!BK:BK,"NO HAY REFERENCIA")</f>
        <v>IME850329RH2</v>
      </c>
      <c r="ER153" s="3">
        <f>_xlfn.XLOOKUP(B153,'BASE DE EXCEL'!$C:$C,'BASE DE EXCEL'!BL:BL,"NO HAY REFERENCIA")</f>
        <v>0</v>
      </c>
      <c r="ES153" s="3">
        <f>_xlfn.XLOOKUP(B153,'BASE DE EXCEL'!$C:$C,'BASE DE EXCEL'!BM:BM,"NO HAY REFERENCIA")</f>
        <v>99</v>
      </c>
      <c r="ET153" s="3" t="str">
        <f>_xlfn.XLOOKUP(B153,'BASE DE EXCEL'!$C:$C,'BASE DE EXCEL'!BN:BN,"NO HAY REFERENCIA")</f>
        <v>LOTES: 013/25, 014/25</v>
      </c>
      <c r="EU153" s="3">
        <f>_xlfn.XLOOKUP(B153,'BASE DE EXCEL'!$C:$C,'BASE DE EXCEL'!BO:BO,"NO HAY REFERENCIA")</f>
        <v>90</v>
      </c>
      <c r="EV153" s="3">
        <f>_xlfn.XLOOKUP(B153,'BASE DE EXCEL'!$C:$C,'BASE DE EXCEL'!BP:BP,"NO HAY REFERENCIA")</f>
        <v>928967</v>
      </c>
      <c r="EW153" s="3" t="str">
        <f>_xlfn.XLOOKUP(B153,'BASE DE EXCEL'!$C:$C,'BASE DE EXCEL'!BQ:BQ,"NO HAY REFERENCIA")</f>
        <v>KILO</v>
      </c>
      <c r="EX153" s="3">
        <f>_xlfn.XLOOKUP(B153,'BASE DE EXCEL'!$C:$C,'BASE DE EXCEL'!BR:BR,"NO HAY REFERENCIA")</f>
        <v>0</v>
      </c>
      <c r="EY153" s="3" t="str">
        <f>_xlfn.XLOOKUP(B153,'BASE DE EXCEL'!$C:$C,'BASE DE EXCEL'!BS:BS,"NO HAY REFERENCIA")</f>
        <v>BRASIL (REPUBLICA FEDERATIVA DE)</v>
      </c>
      <c r="EZ153" s="3" t="str">
        <f>_xlfn.XLOOKUP(B153,'BASE DE EXCEL'!$C:$C,'BASE DE EXCEL'!BT:BT,"NO HAY REFERENCIA")</f>
        <v>PAISES BAJOS (REINO DE LOS) (HOLANDA)</v>
      </c>
      <c r="FA153" s="3" t="str">
        <f>_xlfn.XLOOKUP(B153,'BASE DE EXCEL'!$C:$C,'BASE DE EXCEL'!BU:BU,"NO HAY REFERENCIA")</f>
        <v>BRA</v>
      </c>
      <c r="FB153" s="3" t="str">
        <f>_xlfn.XLOOKUP(B153,'BASE DE EXCEL'!$C:$C,'BASE DE EXCEL'!BV:BV,"NO HAY REFERENCIA")</f>
        <v>ZYA</v>
      </c>
      <c r="FC153" s="3">
        <f>_xlfn.XLOOKUP(B153,QUERY!$C:$C,QUERY!D:D)</f>
        <v>430</v>
      </c>
      <c r="FD153" s="4">
        <f>_xlfn.XLOOKUP(B153,QUERY!$C:$C,QUERY!E:E)</f>
        <v>46136</v>
      </c>
      <c r="FE153" s="3">
        <f>_xlfn.XLOOKUP(B153,QUERY!$C:$C,QUERY!F:F)</f>
        <v>4</v>
      </c>
      <c r="FF153" s="4">
        <f>_xlfn.XLOOKUP(B153,QUERY!$C:$C,QUERY!G:G)</f>
        <v>46128</v>
      </c>
      <c r="FG153" s="4">
        <f>_xlfn.XLOOKUP(B153,QUERY!$C:$C,QUERY!H:H)</f>
        <v>46136</v>
      </c>
      <c r="FH153" s="3">
        <f>_xlfn.XLOOKUP(B153,QUERY!$C:$C,QUERY!I:I)</f>
        <v>6</v>
      </c>
      <c r="FI153" s="3" t="str">
        <f>_xlfn.XLOOKUP(B153,QUERY!$C:$C,QUERY!J:J)</f>
        <v>6 a 10 días</v>
      </c>
      <c r="FJ153" s="4">
        <f>_xlfn.XLOOKUP(B153,QUERY!$C:$C,QUERY!K:K)</f>
        <v>46137</v>
      </c>
      <c r="FK153" s="3">
        <f>_xlfn.XLOOKUP(B153,QUERY!$C:$C,QUERY!L:L)</f>
        <v>6</v>
      </c>
      <c r="FL153" s="3" t="str">
        <f>_xlfn.XLOOKUP(B153,QUERY!$C:$C,QUERY!M:M)</f>
        <v>6 a 10 días</v>
      </c>
      <c r="FM153" s="3">
        <f>_xlfn.XLOOKUP(B153,QUERY!$C:$C,QUERY!N:N)</f>
        <v>1</v>
      </c>
      <c r="FN153" s="3" t="str">
        <f>_xlfn.XLOOKUP(B153,QUERY!$C:$C,QUERY!O:O)</f>
        <v>1 día o menos</v>
      </c>
      <c r="FO153" s="3">
        <f>_xlfn.XLOOKUP(B153,QUERY!$C:$C,QUERY!P:P)</f>
        <v>1</v>
      </c>
      <c r="FP153" s="3">
        <f>_xlfn.XLOOKUP(B153,QUERY!$C:$C,QUERY!Q:Q)</f>
        <v>2</v>
      </c>
      <c r="FQ153" s="3" t="str">
        <f>_xlfn.XLOOKUP(B153,QUERY!$C:$C,QUERY!R:R)</f>
        <v>2 a 3 días</v>
      </c>
      <c r="FR153" s="4">
        <f>_xlfn.XLOOKUP(B153,QUERY!$C:$C,QUERY!S:S)</f>
        <v>46139</v>
      </c>
      <c r="FS153" s="3">
        <f>_xlfn.XLOOKUP(B153,QUERY!$C:$C,QUERY!T:T)</f>
        <v>7</v>
      </c>
      <c r="FT153" s="3" t="str">
        <f>_xlfn.XLOOKUP(B153,QUERY!$C:$C,QUERY!U:U)</f>
        <v>6 a 10 días</v>
      </c>
      <c r="FU153" s="3">
        <f>_xlfn.XLOOKUP(B153,QUERY!$C:$C,QUERY!V:V)</f>
        <v>17</v>
      </c>
      <c r="FV153" s="3" t="str">
        <f>_xlfn.XLOOKUP(B153,QUERY!$C:$C,QUERY!W:W)</f>
        <v>más de 16 días</v>
      </c>
      <c r="FW153" s="4">
        <f>_xlfn.XLOOKUP(B153,QUERY!$C:$C,QUERY!X:X)</f>
        <v>46153</v>
      </c>
      <c r="FX153" s="3">
        <f>_xlfn.XLOOKUP(B153,QUERY!$C:$C,QUERY!Y:Y)</f>
        <v>10</v>
      </c>
      <c r="FY153" s="3">
        <f>_xlfn.XLOOKUP(B153,QUERY!$C:$C,QUERY!Z:Z)</f>
        <v>10</v>
      </c>
      <c r="FZ153" s="4" t="str">
        <f>_xlfn.XLOOKUP(B153,QUERY!$C:$C,QUERY!AA:AA)</f>
        <v>11 a 15 días</v>
      </c>
      <c r="GA153" s="4">
        <f>_xlfn.XLOOKUP(B153,QUERY!$C:$C,QUERY!AB:AB)</f>
        <v>46153</v>
      </c>
      <c r="GB153" s="4">
        <f>_xlfn.XLOOKUP(B153,QUERY!$C:$C,QUERY!AC:AC)</f>
        <v>46153</v>
      </c>
      <c r="GC153" s="3">
        <f>_xlfn.XLOOKUP(B153,QUERY!$C:$C,QUERY!AD:AD)</f>
        <v>0</v>
      </c>
      <c r="GD153" s="4">
        <f>_xlfn.XLOOKUP(B153,QUERY!$C:$C,QUERY!AE:AE)</f>
        <v>46153</v>
      </c>
      <c r="GE153" s="3">
        <f>_xlfn.XLOOKUP(B153,QUERY!$C:$C,QUERY!AF:AF)</f>
        <v>1</v>
      </c>
      <c r="GF153" s="4" t="str">
        <f>_xlfn.XLOOKUP(B153,QUERY!$C:$C,QUERY!AG:AG)</f>
        <v>Es anterior</v>
      </c>
      <c r="GG153" s="3" t="str">
        <f>_xlfn.XLOOKUP(B153,QUERY!$C:$C,QUERY!AH:AH)</f>
        <v>A1</v>
      </c>
      <c r="GH153" s="3" t="str">
        <f>_xlfn.XLOOKUP(B153,QUERY!$C:$C,QUERY!AI:AI)</f>
        <v>ZULEIMA PEREZ RUIZ</v>
      </c>
      <c r="GI153" s="3">
        <f>_xlfn.XLOOKUP(B153,QUERY!$C:$C,QUERY!AJ:AJ)</f>
        <v>266794386</v>
      </c>
      <c r="GJ153" s="3" t="str">
        <f>_xlfn.XLOOKUP(B153,QUERY!$C:$C,QUERY!AK:AK)</f>
        <v>NULL</v>
      </c>
      <c r="GK153" s="3">
        <f>_xlfn.XLOOKUP(B153,QUERY!$C:$C,QUERY!AL:AL)</f>
        <v>6000578</v>
      </c>
      <c r="GL153" s="3" t="str">
        <f>_xlfn.XLOOKUP(B153,QUERY!$C:$C,QUERY!AM:AM)</f>
        <v>Importación</v>
      </c>
      <c r="GM153" s="3" t="str">
        <f>_xlfn.XLOOKUP(B153,QUERY!$C:$C,QUERY!AN:AN)</f>
        <v>DILUREK POULTRY DILUENT 1X400 ML</v>
      </c>
      <c r="GN153" s="3" t="str">
        <f>_xlfn.XLOOKUP(B153,QUERY!$C:$C,QUERY!AO:AO)</f>
        <v>SIN CLASIFICACION</v>
      </c>
      <c r="GO153" s="3">
        <f>_xlfn.XLOOKUP(B153,QUERY!$C:$C,QUERY!AP:AP)</f>
        <v>0</v>
      </c>
      <c r="GP153" s="3" t="str">
        <f>_xlfn.XLOOKUP(B153,QUERY!$C:$C,QUERY!AQ:AQ)</f>
        <v>Cargas de Importación</v>
      </c>
      <c r="GQ153" s="3" t="str">
        <f>_xlfn.XLOOKUP(B153,QUERY!$C:$C,QUERY!AR:AR)</f>
        <v>INTERVET MEXICO SA DE CV</v>
      </c>
      <c r="GR153" s="3">
        <f>_xlfn.XLOOKUP(B153,QUERY!$C:$C,QUERY!AS:AS)</f>
        <v>0</v>
      </c>
      <c r="GS153" s="3" t="str">
        <f>_xlfn.XLOOKUP(B153,QUERY!$C:$C,QUERY!AT:AT)</f>
        <v>OTRO</v>
      </c>
      <c r="GT153" s="3" t="str">
        <f>_xlfn.XLOOKUP(B153,QUERY!$C:$C,QUERY!AU:AU)</f>
        <v>REVISION DE CLASIFICACION ARANCELARIA</v>
      </c>
      <c r="GU153" s="3" t="str">
        <f>_xlfn.XLOOKUP(B153,QUERY!$C:$C,QUERY!AV:AV)</f>
        <v>REVISION DE CLASIFICACION ARANCELARIA</v>
      </c>
      <c r="GV153" s="3" t="str">
        <f>_xlfn.XLOOKUP(B153,QUERY!$C:$C,QUERY!AW:AW)</f>
        <v>PRODUCTO TERMINADO</v>
      </c>
      <c r="GW153" s="3" t="str">
        <f>_xlfn.XLOOKUP(B153,QUERY!$C:$C,QUERY!AX:AX)</f>
        <v>Verde</v>
      </c>
      <c r="GX153" s="3" t="str">
        <f>_xlfn.XLOOKUP(B153,QUERY!$C:$C,QUERY!AY:AY)</f>
        <v xml:space="preserve"> MLH TRANSPORTE, S.A. DE C.V.</v>
      </c>
      <c r="GY153" s="3" t="str">
        <f>_xlfn.XLOOKUP(B153,QUERY!$C:$C,QUERY!AZ:AZ)</f>
        <v>ECO 178</v>
      </c>
      <c r="GZ153" s="3">
        <f>_xlfn.XLOOKUP(B153,QUERY!$C:$C,QUERY!BA:BA)</f>
        <v>0</v>
      </c>
      <c r="HA153" s="3" t="str">
        <f>_xlfn.XLOOKUP(B153,QUERY!$C:$C,QUERY!BB:BB)</f>
        <v>IME850329RH2</v>
      </c>
      <c r="HB153" s="3">
        <f>_xlfn.XLOOKUP(B153,QUERY!$C:$C,QUERY!BC:BC)</f>
        <v>0</v>
      </c>
      <c r="HC153" s="3">
        <f>_xlfn.XLOOKUP(B153,QUERY!$C:$C,QUERY!BD:BD)</f>
        <v>99</v>
      </c>
      <c r="HD153" s="3" t="str">
        <f>_xlfn.XLOOKUP(B153,QUERY!$C:$C,QUERY!BE:BE)</f>
        <v>LOTES: 013/25, 014/25</v>
      </c>
      <c r="HE153" s="3">
        <f>_xlfn.XLOOKUP(B153,QUERY!$C:$C,QUERY!BF:BF)</f>
        <v>90</v>
      </c>
      <c r="HF153" s="3" t="str">
        <f>_xlfn.XLOOKUP(B153,QUERY!$C:$C,QUERY!BG:BG)</f>
        <v xml:space="preserve"> 928967.00</v>
      </c>
      <c r="HG153" s="3" t="str">
        <f>_xlfn.XLOOKUP(B153,QUERY!$C:$C,QUERY!BH:BH)</f>
        <v>KILO</v>
      </c>
      <c r="HH153" s="3">
        <f>_xlfn.XLOOKUP(B153,QUERY!$C:$C,QUERY!BI:BI)</f>
        <v>0</v>
      </c>
      <c r="HI153" s="3" t="str">
        <f>_xlfn.XLOOKUP(B153,QUERY!$C:$C,QUERY!BJ:BJ)</f>
        <v>BRASIL (REPUBLICA FEDERATIVA DE)</v>
      </c>
      <c r="HJ153" s="3" t="str">
        <f>_xlfn.XLOOKUP(B153,QUERY!$C:$C,QUERY!BK:BK)</f>
        <v>PAISES BAJOS (REINO DE LOS) (HOLANDA)</v>
      </c>
      <c r="HK153" s="3" t="str">
        <f>_xlfn.XLOOKUP(B153,QUERY!$C:$C,QUERY!BL:BL)</f>
        <v>BRA</v>
      </c>
      <c r="HL153" s="3" t="str">
        <f>_xlfn.XLOOKUP(B153,QUERY!$C:$C,QUERY!BM:BM)</f>
        <v>ZYA</v>
      </c>
      <c r="HM153" s="3">
        <f>_xlfn.XLOOKUP(B153,QUERY!$C:$C,QUERY!BN:BN)</f>
        <v>928967</v>
      </c>
      <c r="HN153" s="3" t="str">
        <f>_xlfn.XLOOKUP(B153,QUERY!$C:$C,QUERY!BO:BO)</f>
        <v>7432.00</v>
      </c>
      <c r="HO153" s="3" t="str">
        <f>_xlfn.XLOOKUP(B153,QUERY!$C:$C,QUERY!BP:BP)</f>
        <v>157255.00</v>
      </c>
      <c r="HP153" s="3" t="str">
        <f>_xlfn.XLOOKUP(B153,QUERY!$C:$C,QUERY!BQ:BQ)</f>
        <v>46448.00</v>
      </c>
      <c r="HQ153" s="3" t="str">
        <f>_xlfn.XLOOKUP(B153,QUERY!$C:$C,QUERY!BR:BR)</f>
        <v>91291.45</v>
      </c>
      <c r="HR153" s="3">
        <f>_xlfn.XLOOKUP(B153,QUERY!$C:$C,QUERY!BS:BS)</f>
        <v>0</v>
      </c>
      <c r="HS153" s="3">
        <f>_xlfn.XLOOKUP(B153,QUERY!$C:$C,QUERY!BT:BT)</f>
        <v>0</v>
      </c>
      <c r="HT153" s="3" t="str">
        <f>_xlfn.XLOOKUP(B153,QUERY!$C:$C,QUERY!A:A)</f>
        <v>VERACRUZ</v>
      </c>
      <c r="HU153" s="3" t="str">
        <f>_xlfn.XLOOKUP(B153,QUERY!$C:$C,QUERY!B:B)</f>
        <v>MARÍTIMO VERACRUZ</v>
      </c>
    </row>
    <row r="154" spans="1:229" x14ac:dyDescent="0.25">
      <c r="A154" s="3" t="s">
        <v>90</v>
      </c>
      <c r="B154" s="3" t="s">
        <v>422</v>
      </c>
      <c r="C154" s="3">
        <v>3942</v>
      </c>
      <c r="D154" s="3">
        <v>6000580</v>
      </c>
      <c r="E154" s="3"/>
      <c r="F154" s="3" t="s">
        <v>92</v>
      </c>
      <c r="G154" s="3" t="s">
        <v>93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17.347000000000001</v>
      </c>
      <c r="Q154" s="3">
        <v>9828</v>
      </c>
      <c r="R154" s="3">
        <v>430</v>
      </c>
      <c r="S154" s="3" t="s">
        <v>423</v>
      </c>
      <c r="T154" s="3" t="s">
        <v>130</v>
      </c>
      <c r="U154" s="3">
        <v>12690063</v>
      </c>
      <c r="V154" s="3">
        <v>12690063</v>
      </c>
      <c r="W154" s="3">
        <v>0</v>
      </c>
      <c r="X154" s="3">
        <v>0</v>
      </c>
      <c r="Y154" s="3">
        <v>0</v>
      </c>
      <c r="Z154" s="3">
        <v>0</v>
      </c>
      <c r="AA154" s="3" t="s">
        <v>96</v>
      </c>
      <c r="AB154" s="3"/>
      <c r="AC154" s="3">
        <v>12690063</v>
      </c>
      <c r="AD154" s="3">
        <v>14100.07</v>
      </c>
      <c r="AE154" s="3">
        <v>354</v>
      </c>
      <c r="AF154" s="3">
        <v>0</v>
      </c>
      <c r="AG154" s="3">
        <v>0</v>
      </c>
      <c r="AH154" s="3">
        <v>0</v>
      </c>
      <c r="AI154" s="3">
        <v>53</v>
      </c>
      <c r="AJ154" s="3">
        <v>101520</v>
      </c>
      <c r="AK154" s="3">
        <v>0</v>
      </c>
      <c r="AL154" s="3">
        <v>0</v>
      </c>
      <c r="AM154" s="3">
        <v>330</v>
      </c>
      <c r="AN154" s="3">
        <v>101903</v>
      </c>
      <c r="AO154" s="3" t="s">
        <v>97</v>
      </c>
      <c r="AP154" s="3" t="s">
        <v>98</v>
      </c>
      <c r="AQ154" s="3">
        <v>210369653</v>
      </c>
      <c r="AR154" s="3" t="s">
        <v>99</v>
      </c>
      <c r="AS154" s="3" t="s">
        <v>100</v>
      </c>
      <c r="AT154" s="3" t="s">
        <v>424</v>
      </c>
      <c r="AU154" s="3"/>
      <c r="AV154" s="3" t="s">
        <v>102</v>
      </c>
      <c r="AW154" s="3">
        <v>23099099</v>
      </c>
      <c r="AX154" s="3">
        <v>99</v>
      </c>
      <c r="AY154" s="3">
        <v>900</v>
      </c>
      <c r="AZ154" s="3">
        <v>900</v>
      </c>
      <c r="BA154" s="3" t="s">
        <v>103</v>
      </c>
      <c r="BB154" s="3"/>
      <c r="BC154" s="3" t="s">
        <v>104</v>
      </c>
      <c r="BD154" s="3" t="s">
        <v>105</v>
      </c>
      <c r="BE154" s="3" t="s">
        <v>106</v>
      </c>
      <c r="BF154" s="3" t="s">
        <v>107</v>
      </c>
      <c r="BG154" s="5">
        <v>4.3064022026132E+16</v>
      </c>
      <c r="BH154" s="3" t="s">
        <v>108</v>
      </c>
      <c r="BI154" s="3"/>
      <c r="BJ154" s="3" t="s">
        <v>109</v>
      </c>
      <c r="BK154" s="3" t="s">
        <v>425</v>
      </c>
      <c r="BL154" s="3">
        <v>45826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22189.59</v>
      </c>
      <c r="BY154" s="3">
        <v>0</v>
      </c>
      <c r="BZ154" s="3">
        <v>0</v>
      </c>
      <c r="CA154" s="3">
        <v>52267.86</v>
      </c>
      <c r="CB154" s="3">
        <v>18000</v>
      </c>
      <c r="CC154" s="3">
        <v>3323.2</v>
      </c>
      <c r="CD154" s="3">
        <v>245152.44</v>
      </c>
      <c r="CE154" s="3" t="s">
        <v>192</v>
      </c>
      <c r="CF154" s="3">
        <v>245152.44</v>
      </c>
      <c r="CG154" s="3">
        <v>0</v>
      </c>
      <c r="CH154" s="3">
        <v>0</v>
      </c>
      <c r="CI154" s="3" t="s">
        <v>112</v>
      </c>
      <c r="CJ154" s="3" t="s">
        <v>112</v>
      </c>
      <c r="CK154" s="3">
        <f>_xlfn.XLOOKUP($B$2,'BASE DE EXCEL'!C:C,'BASE DE EXCEL'!D:D,"NO HAY REFERENCIA")</f>
        <v>470</v>
      </c>
      <c r="CL154" s="5">
        <f>_xlfn.XLOOKUP($B$2,'BASE DE EXCEL'!$C:$C,'BASE DE EXCEL'!F:F,"NO HAY REFERENCIA")</f>
        <v>3</v>
      </c>
      <c r="CM154" s="4">
        <f>_xlfn.XLOOKUP($B$2,'BASE DE EXCEL'!$C:$C,'BASE DE EXCEL'!G:G,"NO HAY REFERENCIA")</f>
        <v>46080</v>
      </c>
      <c r="CN154" s="4">
        <f>_xlfn.XLOOKUP($B$2,'BASE DE EXCEL'!$C:$C,'BASE DE EXCEL'!H:H,"NO HAY REFERENCIA")</f>
        <v>46086</v>
      </c>
      <c r="CO154" s="3">
        <f>_xlfn.XLOOKUP($B$2,'BASE DE EXCEL'!$C:$C,'BASE DE EXCEL'!I:I,"NO HAY REFERENCIA")</f>
        <v>4</v>
      </c>
      <c r="CP154" s="3" t="str">
        <f>_xlfn.XLOOKUP($B$2,'BASE DE EXCEL'!$C:$C,'BASE DE EXCEL'!J:J,"NO HAY REFERENCIA")</f>
        <v>4 a 5 días</v>
      </c>
      <c r="CQ154" s="4">
        <f>_xlfn.XLOOKUP($B$2,'BASE DE EXCEL'!$C:$C,'BASE DE EXCEL'!K:K,"NO HAY REFERENCIA")</f>
        <v>46087</v>
      </c>
      <c r="CR154" s="3">
        <f>_xlfn.XLOOKUP($B$2,'BASE DE EXCEL'!$C:$C,'BASE DE EXCEL'!L:L,"NO HAY REFERENCIA")</f>
        <v>5</v>
      </c>
      <c r="CS154" s="3">
        <f>_xlfn.XLOOKUP($B$2,'BASE DE EXCEL'!$C:$C,'BASE DE EXCEL'!M:M,"NO HAY REFERENCIA")</f>
        <v>6</v>
      </c>
      <c r="CT154" s="3" t="str">
        <f>_xlfn.XLOOKUP($B$2,'BASE DE EXCEL'!$C:$C,'BASE DE EXCEL'!N:N,"NO HAY REFERENCIA")</f>
        <v>6 a 10 días</v>
      </c>
      <c r="CU154" s="3" t="str">
        <f>_xlfn.XLOOKUP($B$2,'BASE DE EXCEL'!$C:$C,'BASE DE EXCEL'!O:O,"NO HAY REFERENCIA")</f>
        <v>On Time</v>
      </c>
      <c r="CV154" s="3" t="str">
        <f>_xlfn.XLOOKUP(B154,'BASE DE EXCEL'!$C:$C,'BASE DE EXCEL'!P:P,"NO HAY REFERENCIA")</f>
        <v>11 a 15 días</v>
      </c>
      <c r="CW154" s="4">
        <f>_xlfn.XLOOKUP(B154,'BASE DE EXCEL'!$C:$C,'BASE DE EXCEL'!Q:Q,"NO HAY REFERENCIA")</f>
        <v>46139</v>
      </c>
      <c r="CX154" s="3">
        <f>_xlfn.XLOOKUP(B154,'BASE DE EXCEL'!$C:$C,'BASE DE EXCEL'!R:R,"NO HAY REFERENCIA")</f>
        <v>9</v>
      </c>
      <c r="CY154" s="3" t="str">
        <f>_xlfn.XLOOKUP(B154,'BASE DE EXCEL'!$C:$C,'BASE DE EXCEL'!S:S,"NO HAY REFERENCIA")</f>
        <v>6 a 10 días</v>
      </c>
      <c r="CZ154" s="3" t="str">
        <f>_xlfn.XLOOKUP(B154,'BASE DE EXCEL'!$C:$C,'BASE DE EXCEL'!T:T,"NO HAY REFERENCIA")</f>
        <v>Delayed</v>
      </c>
      <c r="DA154" s="3">
        <f>_xlfn.XLOOKUP(B154,'BASE DE EXCEL'!$C:$C,'BASE DE EXCEL'!U:U,"NO HAY REFERENCIA")</f>
        <v>88</v>
      </c>
      <c r="DB154" s="3" t="str">
        <f>_xlfn.XLOOKUP(B154,'BASE DE EXCEL'!$C:$C,'BASE DE EXCEL'!V:V,"NO HAY REFERENCIA")</f>
        <v>mas de 16 dias</v>
      </c>
      <c r="DC154" s="3">
        <f>_xlfn.XLOOKUP(B154,'BASE DE EXCEL'!$C:$C,'BASE DE EXCEL'!W:W,"NO HAY REFERENCIA")</f>
        <v>16</v>
      </c>
      <c r="DD154" s="3" t="str">
        <f>_xlfn.XLOOKUP(B154,'BASE DE EXCEL'!$C:$C,'BASE DE EXCEL'!X:X,"NO HAY REFERENCIA")</f>
        <v>más de 16 días</v>
      </c>
      <c r="DE154" s="3">
        <f>_xlfn.XLOOKUP(B154,'BASE DE EXCEL'!$C:$C,'BASE DE EXCEL'!Y:Y,"NO HAY REFERENCIA")</f>
        <v>1</v>
      </c>
      <c r="DF154" s="3" t="str">
        <f>_xlfn.XLOOKUP(B154,'BASE DE EXCEL'!$C:$C,'BASE DE EXCEL'!Z:Z,"NO HAY REFERENCIA")</f>
        <v>1 día o menos</v>
      </c>
      <c r="DG154" s="3">
        <f>_xlfn.XLOOKUP(B154,'BASE DE EXCEL'!$C:$C,'BASE DE EXCEL'!AA:AA,"NO HAY REFERENCIA")</f>
        <v>9</v>
      </c>
      <c r="DH154" s="3">
        <f>_xlfn.XLOOKUP(B154,'BASE DE EXCEL'!$C:$C,'BASE DE EXCEL'!AB:AB,"NO HAY REFERENCIA")</f>
        <v>76</v>
      </c>
      <c r="DI154" s="3" t="str">
        <f>_xlfn.XLOOKUP(B154,'BASE DE EXCEL'!$C:$C,'BASE DE EXCEL'!AC:AC,"NO HAY REFERENCIA")</f>
        <v>más de 16 días</v>
      </c>
      <c r="DJ154" s="4">
        <f>_xlfn.XLOOKUP(B154,'BASE DE EXCEL'!$C:$C,'BASE DE EXCEL'!AD:AD,"NO HAY REFERENCIA")</f>
        <v>46149</v>
      </c>
      <c r="DK154" s="3">
        <f>_xlfn.XLOOKUP(B154,'BASE DE EXCEL'!$C:$C,'BASE DE EXCEL'!AE:AE,"NO HAY REFERENCIA")</f>
        <v>-67</v>
      </c>
      <c r="DL154" s="3">
        <f>_xlfn.XLOOKUP(B154,'BASE DE EXCEL'!$C:$C,'BASE DE EXCEL'!AF:AF,"NO HAY REFERENCIA")</f>
        <v>-46</v>
      </c>
      <c r="DM154" s="4">
        <f>_xlfn.XLOOKUP(B154,'BASE DE EXCEL'!$C:$C,'BASE DE EXCEL'!AG:AG,"NO HAY REFERENCIA")</f>
        <v>46148</v>
      </c>
      <c r="DN154" s="4">
        <f>_xlfn.XLOOKUP(B154,'BASE DE EXCEL'!$C:$C,'BASE DE EXCEL'!AH:AH,"NO HAY REFERENCIA")</f>
        <v>46149</v>
      </c>
      <c r="DO154" s="3">
        <f>_xlfn.XLOOKUP(B154,'BASE DE EXCEL'!$C:$C,'BASE DE EXCEL'!AI:AI,"NO HAY REFERENCIA")</f>
        <v>1</v>
      </c>
      <c r="DP154" s="4" t="str">
        <f>_xlfn.XLOOKUP(B154,'BASE DE EXCEL'!$C:$C,'BASE DE EXCEL'!AJ:AJ,"NO HAY REFERENCIA")</f>
        <v>SIN DATO</v>
      </c>
      <c r="DQ154" s="4">
        <f>_xlfn.XLOOKUP(B154,'BASE DE EXCEL'!$C:$C,'BASE DE EXCEL'!AK:AK,"NO HAY REFERENCIA")</f>
        <v>46149</v>
      </c>
      <c r="DR154" s="3">
        <f>_xlfn.XLOOKUP(B154,'BASE DE EXCEL'!$C:$C,'BASE DE EXCEL'!AL:AL,"NO HAY REFERENCIA")</f>
        <v>8</v>
      </c>
      <c r="DS154" s="3" t="str">
        <f>_xlfn.XLOOKUP(B154,'BASE DE EXCEL'!$C:$C,'BASE DE EXCEL'!AM:AM,"NO HAY REFERENCIA")</f>
        <v>6 a 10 días</v>
      </c>
      <c r="DT154" s="3" t="str">
        <f>_xlfn.XLOOKUP(B154,'BASE DE EXCEL'!$C:$C,'BASE DE EXCEL'!AN:AN,"NO HAY REFERENCIA")</f>
        <v>Delayed</v>
      </c>
      <c r="DU154" s="3">
        <f>_xlfn.XLOOKUP(B154,'BASE DE EXCEL'!$C:$C,'BASE DE EXCEL'!AO:AO,"NO HAY REFERENCIA")</f>
        <v>1</v>
      </c>
      <c r="DV154" s="3" t="str">
        <f>_xlfn.XLOOKUP(B154,'BASE DE EXCEL'!$C:$C,'BASE DE EXCEL'!AP:AP,"NO HAY REFERENCIA")</f>
        <v>Es anterior</v>
      </c>
      <c r="DW154" s="3" t="str">
        <f>_xlfn.XLOOKUP(B154,'BASE DE EXCEL'!$C:$C,'BASE DE EXCEL'!AQ:AQ,"NO HAY REFERENCIA")</f>
        <v>A1</v>
      </c>
      <c r="DX154" s="3" t="str">
        <f>_xlfn.XLOOKUP(B154,'BASE DE EXCEL'!$C:$C,'BASE DE EXCEL'!AR:AR,"NO HAY REFERENCIA")</f>
        <v>ZULEIMA PEREZ RUIZ</v>
      </c>
      <c r="DY154" s="3" t="str">
        <f>_xlfn.XLOOKUP(B154,'BASE DE EXCEL'!$C:$C,'BASE DE EXCEL'!AS:AS,"NO HAY REFERENCIA")</f>
        <v>HLCULE1260252158</v>
      </c>
      <c r="DZ154" s="3" t="str">
        <f>_xlfn.XLOOKUP(B154,'BASE DE EXCEL'!$C:$C,'BASE DE EXCEL'!AT:AT,"NO HAY REFERENCIA")</f>
        <v>NULL</v>
      </c>
      <c r="EA154" s="3">
        <f>_xlfn.XLOOKUP(B154,'BASE DE EXCEL'!$C:$C,'BASE DE EXCEL'!AU:AU,"NO HAY REFERENCIA")</f>
        <v>6000580</v>
      </c>
      <c r="EB154" s="3" t="str">
        <f>_xlfn.XLOOKUP(B154,'BASE DE EXCEL'!$C:$C,'BASE DE EXCEL'!AV:AV,"NO HAY REFERENCIA")</f>
        <v>Importación</v>
      </c>
      <c r="EC154" s="3" t="str">
        <f>_xlfn.XLOOKUP(B154,'BASE DE EXCEL'!$C:$C,'BASE DE EXCEL'!AW:AW,"NO HAY REFERENCIA")</f>
        <v>ZILMAX (PROMOTOR DEL RENDIMIENTO)</v>
      </c>
      <c r="ED154" s="3" t="str">
        <f>_xlfn.XLOOKUP(B154,'BASE DE EXCEL'!$C:$C,'BASE DE EXCEL'!AX:AX,"NO HAY REFERENCIA")</f>
        <v>SIN CLASIFICACION</v>
      </c>
      <c r="EE154" s="3">
        <f>_xlfn.XLOOKUP(B154,'BASE DE EXCEL'!$C:$C,'BASE DE EXCEL'!AY:AY,"NO HAY REFERENCIA")</f>
        <v>0</v>
      </c>
      <c r="EF154" s="3" t="str">
        <f>_xlfn.XLOOKUP(B154,'BASE DE EXCEL'!$C:$C,'BASE DE EXCEL'!AZ:AZ,"NO HAY REFERENCIA")</f>
        <v>Cargas de Importación</v>
      </c>
      <c r="EG154" s="3" t="str">
        <f>_xlfn.XLOOKUP(B154,'BASE DE EXCEL'!$C:$C,'BASE DE EXCEL'!BA:BA,"NO HAY REFERENCIA")</f>
        <v>INTERVET MEXICO SA DE CV</v>
      </c>
      <c r="EH154" s="3">
        <f>_xlfn.XLOOKUP(B154,'BASE DE EXCEL'!$C:$C,'BASE DE EXCEL'!BB:BB,"NO HAY REFERENCIA")</f>
        <v>0</v>
      </c>
      <c r="EI154" s="3" t="str">
        <f>_xlfn.XLOOKUP(B154,'BASE DE EXCEL'!$C:$C,'BASE DE EXCEL'!BC:BC,"NO HAY REFERENCIA")</f>
        <v>FALTA RRNA</v>
      </c>
      <c r="EJ154" s="3">
        <f>_xlfn.XLOOKUP(B154,'BASE DE EXCEL'!$C:$C,'BASE DE EXCEL'!BD:BD,"NO HAY REFERENCIA")</f>
        <v>0</v>
      </c>
      <c r="EK154" s="3" t="str">
        <f>_xlfn.XLOOKUP(B154,'BASE DE EXCEL'!$C:$C,'BASE DE EXCEL'!BE:BE,"NO HAY REFERENCIA")</f>
        <v>FALTA RRNA</v>
      </c>
      <c r="EL154" s="3" t="str">
        <f>_xlfn.XLOOKUP(B154,'BASE DE EXCEL'!$C:$C,'BASE DE EXCEL'!BF:BF,"NO HAY REFERENCIA")</f>
        <v>PRODUCTO TERMINADO</v>
      </c>
      <c r="EM154" s="3" t="str">
        <f>_xlfn.XLOOKUP(B154,'BASE DE EXCEL'!$C:$C,'BASE DE EXCEL'!BG:BG,"NO HAY REFERENCIA")</f>
        <v>Verde</v>
      </c>
      <c r="EN154" s="3" t="str">
        <f>_xlfn.XLOOKUP(B154,'BASE DE EXCEL'!$C:$C,'BASE DE EXCEL'!BH:BH,"NO HAY REFERENCIA")</f>
        <v xml:space="preserve"> MLH TRANSPORTE, S.A. DE C.V.</v>
      </c>
      <c r="EO154" s="3" t="str">
        <f>_xlfn.XLOOKUP(B154,'BASE DE EXCEL'!$C:$C,'BASE DE EXCEL'!BI:BI,"NO HAY REFERENCIA")</f>
        <v>ECONOMICO 135</v>
      </c>
      <c r="EP154" s="3">
        <f>_xlfn.XLOOKUP(B154,'BASE DE EXCEL'!$C:$C,'BASE DE EXCEL'!BJ:BJ,"NO HAY REFERENCIA")</f>
        <v>0</v>
      </c>
      <c r="EQ154" s="3" t="str">
        <f>_xlfn.XLOOKUP(B154,'BASE DE EXCEL'!$C:$C,'BASE DE EXCEL'!BK:BK,"NO HAY REFERENCIA")</f>
        <v>IME850329RH2</v>
      </c>
      <c r="ER154" s="3">
        <f>_xlfn.XLOOKUP(B154,'BASE DE EXCEL'!$C:$C,'BASE DE EXCEL'!BL:BL,"NO HAY REFERENCIA")</f>
        <v>0</v>
      </c>
      <c r="ES154" s="3">
        <f>_xlfn.XLOOKUP(B154,'BASE DE EXCEL'!$C:$C,'BASE DE EXCEL'!BM:BM,"NO HAY REFERENCIA")</f>
        <v>99</v>
      </c>
      <c r="ET154" s="3" t="str">
        <f>_xlfn.XLOOKUP(B154,'BASE DE EXCEL'!$C:$C,'BASE DE EXCEL'!BN:BN,"NO HAY REFERENCIA")</f>
        <v>LOTE: M255A01, M256A01, M257A01, M258A01,LOTE: M259A01, M260A01, M261A01, M262A01,LOTE:  M263A01, M285A01, M286A01, M287A01,LOTE: M288A01, M289A01, M290A01, M291A01,LOTE: M292A01, M293A01</v>
      </c>
      <c r="EU154" s="3">
        <f>_xlfn.XLOOKUP(B154,'BASE DE EXCEL'!$C:$C,'BASE DE EXCEL'!BO:BO,"NO HAY REFERENCIA")</f>
        <v>90</v>
      </c>
      <c r="EV154" s="3">
        <f>_xlfn.XLOOKUP(B154,'BASE DE EXCEL'!$C:$C,'BASE DE EXCEL'!BP:BP,"NO HAY REFERENCIA")</f>
        <v>12690063</v>
      </c>
      <c r="EW154" s="3" t="str">
        <f>_xlfn.XLOOKUP(B154,'BASE DE EXCEL'!$C:$C,'BASE DE EXCEL'!BQ:BQ,"NO HAY REFERENCIA")</f>
        <v>KILO</v>
      </c>
      <c r="EX154" s="3">
        <f>_xlfn.XLOOKUP(B154,'BASE DE EXCEL'!$C:$C,'BASE DE EXCEL'!BR:BR,"NO HAY REFERENCIA")</f>
        <v>0</v>
      </c>
      <c r="EY154" s="3" t="str">
        <f>_xlfn.XLOOKUP(B154,'BASE DE EXCEL'!$C:$C,'BASE DE EXCEL'!BS:BS,"NO HAY REFERENCIA")</f>
        <v>FRANCIA (REPUBLICA FRANCESA)</v>
      </c>
      <c r="EZ154" s="3" t="str">
        <f>_xlfn.XLOOKUP(B154,'BASE DE EXCEL'!$C:$C,'BASE DE EXCEL'!BT:BT,"NO HAY REFERENCIA")</f>
        <v>PAISES BAJOS (REINO DE LOS) (HOLANDA)</v>
      </c>
      <c r="FA154" s="3" t="str">
        <f>_xlfn.XLOOKUP(B154,'BASE DE EXCEL'!$C:$C,'BASE DE EXCEL'!BU:BU,"NO HAY REFERENCIA")</f>
        <v>FRA</v>
      </c>
      <c r="FB154" s="3" t="str">
        <f>_xlfn.XLOOKUP(B154,'BASE DE EXCEL'!$C:$C,'BASE DE EXCEL'!BV:BV,"NO HAY REFERENCIA")</f>
        <v>ZYA</v>
      </c>
      <c r="FC154" s="3">
        <f>_xlfn.XLOOKUP(B154,QUERY!$C:$C,QUERY!D:D)</f>
        <v>430</v>
      </c>
      <c r="FD154" s="4">
        <f>_xlfn.XLOOKUP(B154,QUERY!$C:$C,QUERY!E:E)</f>
        <v>46136</v>
      </c>
      <c r="FE154" s="3">
        <f>_xlfn.XLOOKUP(B154,QUERY!$C:$C,QUERY!F:F)</f>
        <v>4</v>
      </c>
      <c r="FF154" s="4">
        <f>_xlfn.XLOOKUP(B154,QUERY!$C:$C,QUERY!G:G)</f>
        <v>46127</v>
      </c>
      <c r="FG154" s="4">
        <f>_xlfn.XLOOKUP(B154,QUERY!$C:$C,QUERY!H:H)</f>
        <v>46136</v>
      </c>
      <c r="FH154" s="3">
        <f>_xlfn.XLOOKUP(B154,QUERY!$C:$C,QUERY!I:I)</f>
        <v>7</v>
      </c>
      <c r="FI154" s="3" t="str">
        <f>_xlfn.XLOOKUP(B154,QUERY!$C:$C,QUERY!J:J)</f>
        <v>6 a 10 días</v>
      </c>
      <c r="FJ154" s="4">
        <f>_xlfn.XLOOKUP(B154,QUERY!$C:$C,QUERY!K:K)</f>
        <v>46139</v>
      </c>
      <c r="FK154" s="3">
        <f>_xlfn.XLOOKUP(B154,QUERY!$C:$C,QUERY!L:L)</f>
        <v>8</v>
      </c>
      <c r="FL154" s="3" t="str">
        <f>_xlfn.XLOOKUP(B154,QUERY!$C:$C,QUERY!M:M)</f>
        <v>6 a 10 días</v>
      </c>
      <c r="FM154" s="3">
        <f>_xlfn.XLOOKUP(B154,QUERY!$C:$C,QUERY!N:N)</f>
        <v>1</v>
      </c>
      <c r="FN154" s="3" t="str">
        <f>_xlfn.XLOOKUP(B154,QUERY!$C:$C,QUERY!O:O)</f>
        <v>1 día o menos</v>
      </c>
      <c r="FO154" s="3">
        <f>_xlfn.XLOOKUP(B154,QUERY!$C:$C,QUERY!P:P)</f>
        <v>1</v>
      </c>
      <c r="FP154" s="3">
        <f>_xlfn.XLOOKUP(B154,QUERY!$C:$C,QUERY!Q:Q)</f>
        <v>1</v>
      </c>
      <c r="FQ154" s="3" t="str">
        <f>_xlfn.XLOOKUP(B154,QUERY!$C:$C,QUERY!R:R)</f>
        <v>1 día o menos</v>
      </c>
      <c r="FR154" s="4">
        <f>_xlfn.XLOOKUP(B154,QUERY!$C:$C,QUERY!S:S)</f>
        <v>46140</v>
      </c>
      <c r="FS154" s="3">
        <f>_xlfn.XLOOKUP(B154,QUERY!$C:$C,QUERY!T:T)</f>
        <v>9</v>
      </c>
      <c r="FT154" s="3" t="str">
        <f>_xlfn.XLOOKUP(B154,QUERY!$C:$C,QUERY!U:U)</f>
        <v>6 a 10 días</v>
      </c>
      <c r="FU154" s="3">
        <f>_xlfn.XLOOKUP(B154,QUERY!$C:$C,QUERY!V:V)</f>
        <v>16</v>
      </c>
      <c r="FV154" s="3" t="str">
        <f>_xlfn.XLOOKUP(B154,QUERY!$C:$C,QUERY!W:W)</f>
        <v>más de 16 días</v>
      </c>
      <c r="FW154" s="4">
        <f>_xlfn.XLOOKUP(B154,QUERY!$C:$C,QUERY!X:X)</f>
        <v>46149</v>
      </c>
      <c r="FX154" s="3">
        <f>_xlfn.XLOOKUP(B154,QUERY!$C:$C,QUERY!Y:Y)</f>
        <v>6</v>
      </c>
      <c r="FY154" s="3">
        <f>_xlfn.XLOOKUP(B154,QUERY!$C:$C,QUERY!Z:Z)</f>
        <v>7</v>
      </c>
      <c r="FZ154" s="4" t="str">
        <f>_xlfn.XLOOKUP(B154,QUERY!$C:$C,QUERY!AA:AA)</f>
        <v>6 a 10 días</v>
      </c>
      <c r="GA154" s="4">
        <f>_xlfn.XLOOKUP(B154,QUERY!$C:$C,QUERY!AB:AB)</f>
        <v>46148</v>
      </c>
      <c r="GB154" s="4">
        <f>_xlfn.XLOOKUP(B154,QUERY!$C:$C,QUERY!AC:AC)</f>
        <v>46149</v>
      </c>
      <c r="GC154" s="3">
        <f>_xlfn.XLOOKUP(B154,QUERY!$C:$C,QUERY!AD:AD)</f>
        <v>1</v>
      </c>
      <c r="GD154" s="4">
        <f>_xlfn.XLOOKUP(B154,QUERY!$C:$C,QUERY!AE:AE)</f>
        <v>46149</v>
      </c>
      <c r="GE154" s="3">
        <f>_xlfn.XLOOKUP(B154,QUERY!$C:$C,QUERY!AF:AF)</f>
        <v>1</v>
      </c>
      <c r="GF154" s="4" t="str">
        <f>_xlfn.XLOOKUP(B154,QUERY!$C:$C,QUERY!AG:AG)</f>
        <v>Es anterior</v>
      </c>
      <c r="GG154" s="3" t="str">
        <f>_xlfn.XLOOKUP(B154,QUERY!$C:$C,QUERY!AH:AH)</f>
        <v>A1</v>
      </c>
      <c r="GH154" s="3" t="str">
        <f>_xlfn.XLOOKUP(B154,QUERY!$C:$C,QUERY!AI:AI)</f>
        <v>ZULEIMA PEREZ RUIZ</v>
      </c>
      <c r="GI154" s="3" t="str">
        <f>_xlfn.XLOOKUP(B154,QUERY!$C:$C,QUERY!AJ:AJ)</f>
        <v>HLCULE1260252158</v>
      </c>
      <c r="GJ154" s="3" t="str">
        <f>_xlfn.XLOOKUP(B154,QUERY!$C:$C,QUERY!AK:AK)</f>
        <v>NULL</v>
      </c>
      <c r="GK154" s="3">
        <f>_xlfn.XLOOKUP(B154,QUERY!$C:$C,QUERY!AL:AL)</f>
        <v>6000580</v>
      </c>
      <c r="GL154" s="3" t="str">
        <f>_xlfn.XLOOKUP(B154,QUERY!$C:$C,QUERY!AM:AM)</f>
        <v>Importación</v>
      </c>
      <c r="GM154" s="3" t="str">
        <f>_xlfn.XLOOKUP(B154,QUERY!$C:$C,QUERY!AN:AN)</f>
        <v>ZILMAX (PROMOTOR DEL RENDIMIENTO)</v>
      </c>
      <c r="GN154" s="3" t="str">
        <f>_xlfn.XLOOKUP(B154,QUERY!$C:$C,QUERY!AO:AO)</f>
        <v>SIN CLASIFICACION</v>
      </c>
      <c r="GO154" s="3">
        <f>_xlfn.XLOOKUP(B154,QUERY!$C:$C,QUERY!AP:AP)</f>
        <v>0</v>
      </c>
      <c r="GP154" s="3" t="str">
        <f>_xlfn.XLOOKUP(B154,QUERY!$C:$C,QUERY!AQ:AQ)</f>
        <v>Cargas de Importación</v>
      </c>
      <c r="GQ154" s="3" t="str">
        <f>_xlfn.XLOOKUP(B154,QUERY!$C:$C,QUERY!AR:AR)</f>
        <v>INTERVET MEXICO SA DE CV</v>
      </c>
      <c r="GR154" s="3">
        <f>_xlfn.XLOOKUP(B154,QUERY!$C:$C,QUERY!AS:AS)</f>
        <v>0</v>
      </c>
      <c r="GS154" s="3" t="str">
        <f>_xlfn.XLOOKUP(B154,QUERY!$C:$C,QUERY!AT:AT)</f>
        <v>FALTA RRNA</v>
      </c>
      <c r="GT154" s="3">
        <f>_xlfn.XLOOKUP(B154,QUERY!$C:$C,QUERY!AU:AU)</f>
        <v>0</v>
      </c>
      <c r="GU154" s="3" t="str">
        <f>_xlfn.XLOOKUP(B154,QUERY!$C:$C,QUERY!AV:AV)</f>
        <v>FALTA RRNA</v>
      </c>
      <c r="GV154" s="3" t="str">
        <f>_xlfn.XLOOKUP(B154,QUERY!$C:$C,QUERY!AW:AW)</f>
        <v>PRODUCTO TERMINADO</v>
      </c>
      <c r="GW154" s="3" t="str">
        <f>_xlfn.XLOOKUP(B154,QUERY!$C:$C,QUERY!AX:AX)</f>
        <v>Verde</v>
      </c>
      <c r="GX154" s="3" t="str">
        <f>_xlfn.XLOOKUP(B154,QUERY!$C:$C,QUERY!AY:AY)</f>
        <v xml:space="preserve"> MLH TRANSPORTE, S.A. DE C.V.</v>
      </c>
      <c r="GY154" s="3" t="str">
        <f>_xlfn.XLOOKUP(B154,QUERY!$C:$C,QUERY!AZ:AZ)</f>
        <v>ECONOMICO 135</v>
      </c>
      <c r="GZ154" s="3">
        <f>_xlfn.XLOOKUP(B154,QUERY!$C:$C,QUERY!BA:BA)</f>
        <v>0</v>
      </c>
      <c r="HA154" s="3" t="str">
        <f>_xlfn.XLOOKUP(B154,QUERY!$C:$C,QUERY!BB:BB)</f>
        <v>IME850329RH2</v>
      </c>
      <c r="HB154" s="3">
        <f>_xlfn.XLOOKUP(B154,QUERY!$C:$C,QUERY!BC:BC)</f>
        <v>0</v>
      </c>
      <c r="HC154" s="3">
        <f>_xlfn.XLOOKUP(B154,QUERY!$C:$C,QUERY!BD:BD)</f>
        <v>99</v>
      </c>
      <c r="HD154" s="3" t="str">
        <f>_xlfn.XLOOKUP(B154,QUERY!$C:$C,QUERY!BE:BE)</f>
        <v>LOTE: M255A01, M256A01, M257A01, M258A01,LOTE: M259A01, M260A01, M261A01, M262A01,LOTE:  M263A01, M285A01, M286A01, M287A01,LOTE: M288A01, M289A01, M290A01, M291A01,LOTE: M292A01, M293A01</v>
      </c>
      <c r="HE154" s="3">
        <f>_xlfn.XLOOKUP(B154,QUERY!$C:$C,QUERY!BF:BF)</f>
        <v>90</v>
      </c>
      <c r="HF154" s="3" t="str">
        <f>_xlfn.XLOOKUP(B154,QUERY!$C:$C,QUERY!BG:BG)</f>
        <v xml:space="preserve"> 12690063.00</v>
      </c>
      <c r="HG154" s="3" t="str">
        <f>_xlfn.XLOOKUP(B154,QUERY!$C:$C,QUERY!BH:BH)</f>
        <v>KILO</v>
      </c>
      <c r="HH154" s="3">
        <f>_xlfn.XLOOKUP(B154,QUERY!$C:$C,QUERY!BI:BI)</f>
        <v>0</v>
      </c>
      <c r="HI154" s="3" t="str">
        <f>_xlfn.XLOOKUP(B154,QUERY!$C:$C,QUERY!BJ:BJ)</f>
        <v>FRANCIA (REPUBLICA FRANCESA)</v>
      </c>
      <c r="HJ154" s="3" t="str">
        <f>_xlfn.XLOOKUP(B154,QUERY!$C:$C,QUERY!BK:BK)</f>
        <v>PAISES BAJOS (REINO DE LOS) (HOLANDA)</v>
      </c>
      <c r="HK154" s="3" t="str">
        <f>_xlfn.XLOOKUP(B154,QUERY!$C:$C,QUERY!BL:BL)</f>
        <v>FRA</v>
      </c>
      <c r="HL154" s="3" t="str">
        <f>_xlfn.XLOOKUP(B154,QUERY!$C:$C,QUERY!BM:BM)</f>
        <v>ZYA</v>
      </c>
      <c r="HM154" s="3">
        <f>_xlfn.XLOOKUP(B154,QUERY!$C:$C,QUERY!BN:BN)</f>
        <v>12690063</v>
      </c>
      <c r="HN154" s="3" t="str">
        <f>_xlfn.XLOOKUP(B154,QUERY!$C:$C,QUERY!BO:BO)</f>
        <v>101520.00</v>
      </c>
      <c r="HO154" s="3" t="str">
        <f>_xlfn.XLOOKUP(B154,QUERY!$C:$C,QUERY!BP:BP)</f>
        <v>NULL</v>
      </c>
      <c r="HP154" s="3" t="str">
        <f>_xlfn.XLOOKUP(B154,QUERY!$C:$C,QUERY!BQ:BQ)</f>
        <v>NULL</v>
      </c>
      <c r="HQ154" s="3" t="str">
        <f>_xlfn.XLOOKUP(B154,QUERY!$C:$C,QUERY!BR:BR)</f>
        <v>245152.44</v>
      </c>
      <c r="HR154" s="3">
        <f>_xlfn.XLOOKUP(B154,QUERY!$C:$C,QUERY!BS:BS)</f>
        <v>0</v>
      </c>
      <c r="HS154" s="3">
        <f>_xlfn.XLOOKUP(B154,QUERY!$C:$C,QUERY!BT:BT)</f>
        <v>0</v>
      </c>
      <c r="HT154" s="3" t="str">
        <f>_xlfn.XLOOKUP(B154,QUERY!$C:$C,QUERY!A:A)</f>
        <v>VERACRUZ</v>
      </c>
      <c r="HU154" s="3" t="str">
        <f>_xlfn.XLOOKUP(B154,QUERY!$C:$C,QUERY!B:B)</f>
        <v>MARÍTIMO VERACRUZ</v>
      </c>
    </row>
    <row r="155" spans="1:229" x14ac:dyDescent="0.25">
      <c r="A155" s="3" t="s">
        <v>90</v>
      </c>
      <c r="B155" s="3" t="s">
        <v>426</v>
      </c>
      <c r="C155" s="3">
        <v>3942</v>
      </c>
      <c r="D155" s="3">
        <v>6000581</v>
      </c>
      <c r="E155" s="3"/>
      <c r="F155" s="3" t="s">
        <v>92</v>
      </c>
      <c r="G155" s="3" t="s">
        <v>93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10</v>
      </c>
      <c r="O155" s="3">
        <v>407518</v>
      </c>
      <c r="P155" s="3">
        <v>17.347000000000001</v>
      </c>
      <c r="Q155" s="3">
        <v>3942</v>
      </c>
      <c r="R155" s="3">
        <v>430</v>
      </c>
      <c r="S155" s="3" t="s">
        <v>427</v>
      </c>
      <c r="T155" s="3" t="s">
        <v>95</v>
      </c>
      <c r="U155" s="3">
        <v>11116744</v>
      </c>
      <c r="V155" s="3">
        <v>11116744</v>
      </c>
      <c r="W155" s="3">
        <v>0</v>
      </c>
      <c r="X155" s="3">
        <v>0</v>
      </c>
      <c r="Y155" s="3">
        <v>0</v>
      </c>
      <c r="Z155" s="3">
        <v>0</v>
      </c>
      <c r="AA155" s="3" t="s">
        <v>401</v>
      </c>
      <c r="AB155" s="3"/>
      <c r="AC155" s="3">
        <v>4075179</v>
      </c>
      <c r="AD155" s="3">
        <v>171.37002000000001</v>
      </c>
      <c r="AE155" s="3">
        <v>354</v>
      </c>
      <c r="AF155" s="3">
        <v>10</v>
      </c>
      <c r="AG155" s="3">
        <v>407518</v>
      </c>
      <c r="AH155" s="3">
        <v>0</v>
      </c>
      <c r="AI155" s="3">
        <v>53</v>
      </c>
      <c r="AJ155" s="3">
        <v>32601</v>
      </c>
      <c r="AK155" s="3">
        <v>0</v>
      </c>
      <c r="AL155" s="3">
        <v>0</v>
      </c>
      <c r="AM155" s="3">
        <v>330</v>
      </c>
      <c r="AN155" s="3">
        <v>440502</v>
      </c>
      <c r="AO155" s="3" t="s">
        <v>97</v>
      </c>
      <c r="AP155" s="3" t="s">
        <v>98</v>
      </c>
      <c r="AQ155" s="3">
        <v>210370444</v>
      </c>
      <c r="AR155" s="3" t="s">
        <v>99</v>
      </c>
      <c r="AS155" s="3" t="s">
        <v>100</v>
      </c>
      <c r="AT155" s="3" t="s">
        <v>428</v>
      </c>
      <c r="AU155" s="3"/>
      <c r="AV155" s="3" t="s">
        <v>102</v>
      </c>
      <c r="AW155" s="3">
        <v>30049099</v>
      </c>
      <c r="AX155" s="3">
        <v>99</v>
      </c>
      <c r="AY155" s="3">
        <v>23780</v>
      </c>
      <c r="AZ155" s="3">
        <v>23780</v>
      </c>
      <c r="BA155" s="3" t="s">
        <v>103</v>
      </c>
      <c r="BB155" s="3"/>
      <c r="BC155" s="3" t="s">
        <v>133</v>
      </c>
      <c r="BD155" s="3" t="s">
        <v>105</v>
      </c>
      <c r="BE155" s="3" t="s">
        <v>228</v>
      </c>
      <c r="BF155" s="3" t="s">
        <v>107</v>
      </c>
      <c r="BG155" s="5"/>
      <c r="BH155" s="3"/>
      <c r="BI155" s="3"/>
      <c r="BJ155" s="3" t="s">
        <v>109</v>
      </c>
      <c r="BK155" s="3" t="s">
        <v>429</v>
      </c>
      <c r="BL155" s="3">
        <v>46003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22189.59</v>
      </c>
      <c r="BY155" s="3">
        <v>0</v>
      </c>
      <c r="BZ155" s="3">
        <v>0</v>
      </c>
      <c r="CA155" s="3">
        <v>5038.8100000000004</v>
      </c>
      <c r="CB155" s="3">
        <v>16369.14</v>
      </c>
      <c r="CC155" s="3">
        <v>2761.46</v>
      </c>
      <c r="CD155" s="3">
        <v>155013.37</v>
      </c>
      <c r="CE155" s="3" t="s">
        <v>192</v>
      </c>
      <c r="CF155" s="3">
        <v>155013.37</v>
      </c>
      <c r="CG155" s="3">
        <v>0</v>
      </c>
      <c r="CH155" s="3">
        <v>0</v>
      </c>
      <c r="CI155" s="3" t="s">
        <v>112</v>
      </c>
      <c r="CJ155" s="3" t="s">
        <v>112</v>
      </c>
      <c r="CK155" s="3">
        <f>_xlfn.XLOOKUP($B$2,'BASE DE EXCEL'!C:C,'BASE DE EXCEL'!D:D,"NO HAY REFERENCIA")</f>
        <v>470</v>
      </c>
      <c r="CL155" s="5">
        <f>_xlfn.XLOOKUP($B$2,'BASE DE EXCEL'!$C:$C,'BASE DE EXCEL'!F:F,"NO HAY REFERENCIA")</f>
        <v>3</v>
      </c>
      <c r="CM155" s="4">
        <f>_xlfn.XLOOKUP($B$2,'BASE DE EXCEL'!$C:$C,'BASE DE EXCEL'!G:G,"NO HAY REFERENCIA")</f>
        <v>46080</v>
      </c>
      <c r="CN155" s="4">
        <f>_xlfn.XLOOKUP($B$2,'BASE DE EXCEL'!$C:$C,'BASE DE EXCEL'!H:H,"NO HAY REFERENCIA")</f>
        <v>46086</v>
      </c>
      <c r="CO155" s="3">
        <f>_xlfn.XLOOKUP($B$2,'BASE DE EXCEL'!$C:$C,'BASE DE EXCEL'!I:I,"NO HAY REFERENCIA")</f>
        <v>4</v>
      </c>
      <c r="CP155" s="3" t="str">
        <f>_xlfn.XLOOKUP($B$2,'BASE DE EXCEL'!$C:$C,'BASE DE EXCEL'!J:J,"NO HAY REFERENCIA")</f>
        <v>4 a 5 días</v>
      </c>
      <c r="CQ155" s="4">
        <f>_xlfn.XLOOKUP($B$2,'BASE DE EXCEL'!$C:$C,'BASE DE EXCEL'!K:K,"NO HAY REFERENCIA")</f>
        <v>46087</v>
      </c>
      <c r="CR155" s="3">
        <f>_xlfn.XLOOKUP($B$2,'BASE DE EXCEL'!$C:$C,'BASE DE EXCEL'!L:L,"NO HAY REFERENCIA")</f>
        <v>5</v>
      </c>
      <c r="CS155" s="3">
        <f>_xlfn.XLOOKUP($B$2,'BASE DE EXCEL'!$C:$C,'BASE DE EXCEL'!M:M,"NO HAY REFERENCIA")</f>
        <v>6</v>
      </c>
      <c r="CT155" s="3" t="str">
        <f>_xlfn.XLOOKUP($B$2,'BASE DE EXCEL'!$C:$C,'BASE DE EXCEL'!N:N,"NO HAY REFERENCIA")</f>
        <v>6 a 10 días</v>
      </c>
      <c r="CU155" s="3" t="str">
        <f>_xlfn.XLOOKUP($B$2,'BASE DE EXCEL'!$C:$C,'BASE DE EXCEL'!O:O,"NO HAY REFERENCIA")</f>
        <v>On Time</v>
      </c>
      <c r="CV155" s="3" t="str">
        <f>_xlfn.XLOOKUP(B155,'BASE DE EXCEL'!$C:$C,'BASE DE EXCEL'!P:P,"NO HAY REFERENCIA")</f>
        <v>6 a 10 días</v>
      </c>
      <c r="CW155" s="4">
        <f>_xlfn.XLOOKUP(B155,'BASE DE EXCEL'!$C:$C,'BASE DE EXCEL'!Q:Q,"NO HAY REFERENCIA")</f>
        <v>46134</v>
      </c>
      <c r="CX155" s="3">
        <f>_xlfn.XLOOKUP(B155,'BASE DE EXCEL'!$C:$C,'BASE DE EXCEL'!R:R,"NO HAY REFERENCIA")</f>
        <v>6</v>
      </c>
      <c r="CY155" s="3" t="str">
        <f>_xlfn.XLOOKUP(B155,'BASE DE EXCEL'!$C:$C,'BASE DE EXCEL'!S:S,"NO HAY REFERENCIA")</f>
        <v>6 a 10 días</v>
      </c>
      <c r="CZ155" s="3" t="str">
        <f>_xlfn.XLOOKUP(B155,'BASE DE EXCEL'!$C:$C,'BASE DE EXCEL'!T:T,"NO HAY REFERENCIA")</f>
        <v>On Time</v>
      </c>
      <c r="DA155" s="3">
        <f>_xlfn.XLOOKUP(B155,'BASE DE EXCEL'!$C:$C,'BASE DE EXCEL'!U:U,"NO HAY REFERENCIA")</f>
        <v>7</v>
      </c>
      <c r="DB155" s="3" t="str">
        <f>_xlfn.XLOOKUP(B155,'BASE DE EXCEL'!$C:$C,'BASE DE EXCEL'!V:V,"NO HAY REFERENCIA")</f>
        <v>4 a 5 días</v>
      </c>
      <c r="DC155" s="3">
        <f>_xlfn.XLOOKUP(B155,'BASE DE EXCEL'!$C:$C,'BASE DE EXCEL'!W:W,"NO HAY REFERENCIA")</f>
        <v>18</v>
      </c>
      <c r="DD155" s="3" t="str">
        <f>_xlfn.XLOOKUP(B155,'BASE DE EXCEL'!$C:$C,'BASE DE EXCEL'!X:X,"NO HAY REFERENCIA")</f>
        <v>más de 16 días</v>
      </c>
      <c r="DE155" s="3">
        <f>_xlfn.XLOOKUP(B155,'BASE DE EXCEL'!$C:$C,'BASE DE EXCEL'!Y:Y,"NO HAY REFERENCIA")</f>
        <v>1</v>
      </c>
      <c r="DF155" s="3" t="str">
        <f>_xlfn.XLOOKUP(B155,'BASE DE EXCEL'!$C:$C,'BASE DE EXCEL'!Z:Z,"NO HAY REFERENCIA")</f>
        <v>1 día o menos</v>
      </c>
      <c r="DG155" s="3">
        <f>_xlfn.XLOOKUP(B155,'BASE DE EXCEL'!$C:$C,'BASE DE EXCEL'!AA:AA,"NO HAY REFERENCIA")</f>
        <v>5</v>
      </c>
      <c r="DH155" s="3">
        <f>_xlfn.XLOOKUP(B155,'BASE DE EXCEL'!$C:$C,'BASE DE EXCEL'!AB:AB,"NO HAY REFERENCIA")</f>
        <v>1</v>
      </c>
      <c r="DI155" s="3" t="str">
        <f>_xlfn.XLOOKUP(B155,'BASE DE EXCEL'!$C:$C,'BASE DE EXCEL'!AC:AC,"NO HAY REFERENCIA")</f>
        <v>1 día o menos</v>
      </c>
      <c r="DJ155" s="4">
        <f>_xlfn.XLOOKUP(B155,'BASE DE EXCEL'!$C:$C,'BASE DE EXCEL'!AD:AD,"NO HAY REFERENCIA")</f>
        <v>46153</v>
      </c>
      <c r="DK155" s="3">
        <f>_xlfn.XLOOKUP(B155,'BASE DE EXCEL'!$C:$C,'BASE DE EXCEL'!AE:AE,"NO HAY REFERENCIA")</f>
        <v>19</v>
      </c>
      <c r="DL155" s="3">
        <f>_xlfn.XLOOKUP(B155,'BASE DE EXCEL'!$C:$C,'BASE DE EXCEL'!AF:AF,"NO HAY REFERENCIA")</f>
        <v>13</v>
      </c>
      <c r="DM155" s="4">
        <f>_xlfn.XLOOKUP(B155,'BASE DE EXCEL'!$C:$C,'BASE DE EXCEL'!AG:AG,"NO HAY REFERENCIA")</f>
        <v>46153</v>
      </c>
      <c r="DN155" s="4">
        <f>_xlfn.XLOOKUP(B155,'BASE DE EXCEL'!$C:$C,'BASE DE EXCEL'!AH:AH,"NO HAY REFERENCIA")</f>
        <v>46153</v>
      </c>
      <c r="DO155" s="3">
        <f>_xlfn.XLOOKUP(B155,'BASE DE EXCEL'!$C:$C,'BASE DE EXCEL'!AI:AI,"NO HAY REFERENCIA")</f>
        <v>0</v>
      </c>
      <c r="DP155" s="4" t="str">
        <f>_xlfn.XLOOKUP(B155,'BASE DE EXCEL'!$C:$C,'BASE DE EXCEL'!AJ:AJ,"NO HAY REFERENCIA")</f>
        <v>más de 16 días</v>
      </c>
      <c r="DQ155" s="4">
        <f>_xlfn.XLOOKUP(B155,'BASE DE EXCEL'!$C:$C,'BASE DE EXCEL'!AK:AK,"NO HAY REFERENCIA")</f>
        <v>46153</v>
      </c>
      <c r="DR155" s="3">
        <f>_xlfn.XLOOKUP(B155,'BASE DE EXCEL'!$C:$C,'BASE DE EXCEL'!AL:AL,"NO HAY REFERENCIA")</f>
        <v>13</v>
      </c>
      <c r="DS155" s="3" t="str">
        <f>_xlfn.XLOOKUP(B155,'BASE DE EXCEL'!$C:$C,'BASE DE EXCEL'!AM:AM,"NO HAY REFERENCIA")</f>
        <v>11 a 15 días</v>
      </c>
      <c r="DT155" s="3" t="str">
        <f>_xlfn.XLOOKUP(B155,'BASE DE EXCEL'!$C:$C,'BASE DE EXCEL'!AN:AN,"NO HAY REFERENCIA")</f>
        <v>Delayed</v>
      </c>
      <c r="DU155" s="3">
        <f>_xlfn.XLOOKUP(B155,'BASE DE EXCEL'!$C:$C,'BASE DE EXCEL'!AO:AO,"NO HAY REFERENCIA")</f>
        <v>1</v>
      </c>
      <c r="DV155" s="3" t="str">
        <f>_xlfn.XLOOKUP(B155,'BASE DE EXCEL'!$C:$C,'BASE DE EXCEL'!AP:AP,"NO HAY REFERENCIA")</f>
        <v>Es anterior</v>
      </c>
      <c r="DW155" s="3" t="str">
        <f>_xlfn.XLOOKUP(B155,'BASE DE EXCEL'!$C:$C,'BASE DE EXCEL'!AQ:AQ,"NO HAY REFERENCIA")</f>
        <v>A1</v>
      </c>
      <c r="DX155" s="3" t="str">
        <f>_xlfn.XLOOKUP(B155,'BASE DE EXCEL'!$C:$C,'BASE DE EXCEL'!AR:AR,"NO HAY REFERENCIA")</f>
        <v>ZULEIMA PEREZ RUIZ</v>
      </c>
      <c r="DY155" s="3" t="str">
        <f>_xlfn.XLOOKUP(B155,'BASE DE EXCEL'!$C:$C,'BASE DE EXCEL'!AS:AS,"NO HAY REFERENCIA")</f>
        <v>HLCUHAM260357434</v>
      </c>
      <c r="DZ155" s="3" t="str">
        <f>_xlfn.XLOOKUP(B155,'BASE DE EXCEL'!$C:$C,'BASE DE EXCEL'!AT:AT,"NO HAY REFERENCIA")</f>
        <v>NULL</v>
      </c>
      <c r="EA155" s="3">
        <f>_xlfn.XLOOKUP(B155,'BASE DE EXCEL'!$C:$C,'BASE DE EXCEL'!AU:AU,"NO HAY REFERENCIA")</f>
        <v>6000581</v>
      </c>
      <c r="EB155" s="3" t="str">
        <f>_xlfn.XLOOKUP(B155,'BASE DE EXCEL'!$C:$C,'BASE DE EXCEL'!AV:AV,"NO HAY REFERENCIA")</f>
        <v>Importación</v>
      </c>
      <c r="EC155" s="3" t="str">
        <f>_xlfn.XLOOKUP(B155,'BASE DE EXCEL'!$C:$C,'BASE DE EXCEL'!AW:AW,"NO HAY REFERENCIA")</f>
        <v>BRAVECTO 1000 MG (MEDICAMENTO DOSIFICADO DE USO VETERINARIO)</v>
      </c>
      <c r="ED155" s="3" t="str">
        <f>_xlfn.XLOOKUP(B155,'BASE DE EXCEL'!$C:$C,'BASE DE EXCEL'!AX:AX,"NO HAY REFERENCIA")</f>
        <v>SIN CLASIFICACION</v>
      </c>
      <c r="EE155" s="3">
        <f>_xlfn.XLOOKUP(B155,'BASE DE EXCEL'!$C:$C,'BASE DE EXCEL'!AY:AY,"NO HAY REFERENCIA")</f>
        <v>0</v>
      </c>
      <c r="EF155" s="3" t="str">
        <f>_xlfn.XLOOKUP(B155,'BASE DE EXCEL'!$C:$C,'BASE DE EXCEL'!AZ:AZ,"NO HAY REFERENCIA")</f>
        <v>Cargas de Importación</v>
      </c>
      <c r="EG155" s="3" t="str">
        <f>_xlfn.XLOOKUP(B155,'BASE DE EXCEL'!$C:$C,'BASE DE EXCEL'!BA:BA,"NO HAY REFERENCIA")</f>
        <v>INTERVET MEXICO SA DE CV</v>
      </c>
      <c r="EH155" s="3">
        <f>_xlfn.XLOOKUP(B155,'BASE DE EXCEL'!$C:$C,'BASE DE EXCEL'!BB:BB,"NO HAY REFERENCIA")</f>
        <v>0</v>
      </c>
      <c r="EI155" s="3" t="str">
        <f>_xlfn.XLOOKUP(B155,'BASE DE EXCEL'!$C:$C,'BASE DE EXCEL'!BC:BC,"NO HAY REFERENCIA")</f>
        <v>FALTA RRNA</v>
      </c>
      <c r="EJ155" s="3">
        <f>_xlfn.XLOOKUP(B155,'BASE DE EXCEL'!$C:$C,'BASE DE EXCEL'!BD:BD,"NO HAY REFERENCIA")</f>
        <v>0</v>
      </c>
      <c r="EK155" s="3" t="str">
        <f>_xlfn.XLOOKUP(B155,'BASE DE EXCEL'!$C:$C,'BASE DE EXCEL'!BE:BE,"NO HAY REFERENCIA")</f>
        <v>FALTA RRNA</v>
      </c>
      <c r="EL155" s="3" t="str">
        <f>_xlfn.XLOOKUP(B155,'BASE DE EXCEL'!$C:$C,'BASE DE EXCEL'!BF:BF,"NO HAY REFERENCIA")</f>
        <v>PRODUCTO TERMINADO</v>
      </c>
      <c r="EM155" s="3" t="str">
        <f>_xlfn.XLOOKUP(B155,'BASE DE EXCEL'!$C:$C,'BASE DE EXCEL'!BG:BG,"NO HAY REFERENCIA")</f>
        <v>Rojo</v>
      </c>
      <c r="EN155" s="3" t="str">
        <f>_xlfn.XLOOKUP(B155,'BASE DE EXCEL'!$C:$C,'BASE DE EXCEL'!BH:BH,"NO HAY REFERENCIA")</f>
        <v xml:space="preserve"> SUPER EXPRESS DE CARGA FEDERAL S.A. DE C.V.</v>
      </c>
      <c r="EO155" s="3">
        <f>_xlfn.XLOOKUP(B155,'BASE DE EXCEL'!$C:$C,'BASE DE EXCEL'!BI:BI,"NO HAY REFERENCIA")</f>
        <v>0</v>
      </c>
      <c r="EP155" s="3" t="str">
        <f>_xlfn.XLOOKUP(B155,'BASE DE EXCEL'!$C:$C,'BASE DE EXCEL'!BJ:BJ,"NO HAY REFERENCIA")</f>
        <v>IME-T005</v>
      </c>
      <c r="EQ155" s="3" t="str">
        <f>_xlfn.XLOOKUP(B155,'BASE DE EXCEL'!$C:$C,'BASE DE EXCEL'!BK:BK,"NO HAY REFERENCIA")</f>
        <v>IME850329RH2</v>
      </c>
      <c r="ER155" s="3">
        <f>_xlfn.XLOOKUP(B155,'BASE DE EXCEL'!$C:$C,'BASE DE EXCEL'!BL:BL,"NO HAY REFERENCIA")</f>
        <v>0</v>
      </c>
      <c r="ES155" s="3">
        <f>_xlfn.XLOOKUP(B155,'BASE DE EXCEL'!$C:$C,'BASE DE EXCEL'!BM:BM,"NO HAY REFERENCIA")</f>
        <v>99</v>
      </c>
      <c r="ET155" s="3" t="str">
        <f>_xlfn.XLOOKUP(B155,'BASE DE EXCEL'!$C:$C,'BASE DE EXCEL'!BN:BN,"NO HAY REFERENCIA")</f>
        <v>LOTE: 25M4254C01,LOTE: A674T01,LOTE: 26P1001A01</v>
      </c>
      <c r="EU155" s="3">
        <f>_xlfn.XLOOKUP(B155,'BASE DE EXCEL'!$C:$C,'BASE DE EXCEL'!BO:BO,"NO HAY REFERENCIA")</f>
        <v>90</v>
      </c>
      <c r="EV155" s="3">
        <f>_xlfn.XLOOKUP(B155,'BASE DE EXCEL'!$C:$C,'BASE DE EXCEL'!BP:BP,"NO HAY REFERENCIA")</f>
        <v>11116743.74</v>
      </c>
      <c r="EW155" s="3" t="str">
        <f>_xlfn.XLOOKUP(B155,'BASE DE EXCEL'!$C:$C,'BASE DE EXCEL'!BQ:BQ,"NO HAY REFERENCIA")</f>
        <v>KILO,KILO,KILO</v>
      </c>
      <c r="EX155" s="3">
        <f>_xlfn.XLOOKUP(B155,'BASE DE EXCEL'!$C:$C,'BASE DE EXCEL'!BR:BR,"NO HAY REFERENCIA")</f>
        <v>0</v>
      </c>
      <c r="EY155" s="3" t="str">
        <f>_xlfn.XLOOKUP(B155,'BASE DE EXCEL'!$C:$C,'BASE DE EXCEL'!BS:BS,"NO HAY REFERENCIA")</f>
        <v>AUSTRIA (REPUBLICA DE)</v>
      </c>
      <c r="EZ155" s="3" t="str">
        <f>_xlfn.XLOOKUP(B155,'BASE DE EXCEL'!$C:$C,'BASE DE EXCEL'!BT:BT,"NO HAY REFERENCIA")</f>
        <v>PAISES BAJOS (REINO DE LOS) (HOLANDA)</v>
      </c>
      <c r="FA155" s="3" t="str">
        <f>_xlfn.XLOOKUP(B155,'BASE DE EXCEL'!$C:$C,'BASE DE EXCEL'!BU:BU,"NO HAY REFERENCIA")</f>
        <v>AUT</v>
      </c>
      <c r="FB155" s="3" t="str">
        <f>_xlfn.XLOOKUP(B155,'BASE DE EXCEL'!$C:$C,'BASE DE EXCEL'!BV:BV,"NO HAY REFERENCIA")</f>
        <v>ZYA</v>
      </c>
      <c r="FC155" s="3">
        <f>_xlfn.XLOOKUP(B155,QUERY!$C:$C,QUERY!D:D)</f>
        <v>430</v>
      </c>
      <c r="FD155" s="4">
        <f>_xlfn.XLOOKUP(B155,QUERY!$C:$C,QUERY!E:E)</f>
        <v>46132</v>
      </c>
      <c r="FE155" s="3">
        <f>_xlfn.XLOOKUP(B155,QUERY!$C:$C,QUERY!F:F)</f>
        <v>4</v>
      </c>
      <c r="FF155" s="4">
        <f>_xlfn.XLOOKUP(B155,QUERY!$C:$C,QUERY!G:G)</f>
        <v>46127</v>
      </c>
      <c r="FG155" s="4">
        <f>_xlfn.XLOOKUP(B155,QUERY!$C:$C,QUERY!H:H)</f>
        <v>46132</v>
      </c>
      <c r="FH155" s="3">
        <f>_xlfn.XLOOKUP(B155,QUERY!$C:$C,QUERY!I:I)</f>
        <v>3</v>
      </c>
      <c r="FI155" s="3" t="str">
        <f>_xlfn.XLOOKUP(B155,QUERY!$C:$C,QUERY!J:J)</f>
        <v>2 a 3 días</v>
      </c>
      <c r="FJ155" s="4">
        <f>_xlfn.XLOOKUP(B155,QUERY!$C:$C,QUERY!K:K)</f>
        <v>46133</v>
      </c>
      <c r="FK155" s="3">
        <f>_xlfn.XLOOKUP(B155,QUERY!$C:$C,QUERY!L:L)</f>
        <v>4</v>
      </c>
      <c r="FL155" s="3" t="str">
        <f>_xlfn.XLOOKUP(B155,QUERY!$C:$C,QUERY!M:M)</f>
        <v>4 a 5 días</v>
      </c>
      <c r="FM155" s="3">
        <f>_xlfn.XLOOKUP(B155,QUERY!$C:$C,QUERY!N:N)</f>
        <v>1</v>
      </c>
      <c r="FN155" s="3" t="str">
        <f>_xlfn.XLOOKUP(B155,QUERY!$C:$C,QUERY!O:O)</f>
        <v>1 día o menos</v>
      </c>
      <c r="FO155" s="3">
        <f>_xlfn.XLOOKUP(B155,QUERY!$C:$C,QUERY!P:P)</f>
        <v>1</v>
      </c>
      <c r="FP155" s="3">
        <f>_xlfn.XLOOKUP(B155,QUERY!$C:$C,QUERY!Q:Q)</f>
        <v>1</v>
      </c>
      <c r="FQ155" s="3" t="str">
        <f>_xlfn.XLOOKUP(B155,QUERY!$C:$C,QUERY!R:R)</f>
        <v>1 día o menos</v>
      </c>
      <c r="FR155" s="4">
        <f>_xlfn.XLOOKUP(B155,QUERY!$C:$C,QUERY!S:S)</f>
        <v>46134</v>
      </c>
      <c r="FS155" s="3">
        <f>_xlfn.XLOOKUP(B155,QUERY!$C:$C,QUERY!T:T)</f>
        <v>5</v>
      </c>
      <c r="FT155" s="3" t="str">
        <f>_xlfn.XLOOKUP(B155,QUERY!$C:$C,QUERY!U:U)</f>
        <v>4 a 5 días</v>
      </c>
      <c r="FU155" s="3">
        <f>_xlfn.XLOOKUP(B155,QUERY!$C:$C,QUERY!V:V)</f>
        <v>18</v>
      </c>
      <c r="FV155" s="3" t="str">
        <f>_xlfn.XLOOKUP(B155,QUERY!$C:$C,QUERY!W:W)</f>
        <v>más de 16 días</v>
      </c>
      <c r="FW155" s="4">
        <f>_xlfn.XLOOKUP(B155,QUERY!$C:$C,QUERY!X:X)</f>
        <v>46153</v>
      </c>
      <c r="FX155" s="3">
        <f>_xlfn.XLOOKUP(B155,QUERY!$C:$C,QUERY!Y:Y)</f>
        <v>13</v>
      </c>
      <c r="FY155" s="3">
        <f>_xlfn.XLOOKUP(B155,QUERY!$C:$C,QUERY!Z:Z)</f>
        <v>13</v>
      </c>
      <c r="FZ155" s="4" t="str">
        <f>_xlfn.XLOOKUP(B155,QUERY!$C:$C,QUERY!AA:AA)</f>
        <v>más de 16 días</v>
      </c>
      <c r="GA155" s="4">
        <f>_xlfn.XLOOKUP(B155,QUERY!$C:$C,QUERY!AB:AB)</f>
        <v>46153</v>
      </c>
      <c r="GB155" s="4">
        <f>_xlfn.XLOOKUP(B155,QUERY!$C:$C,QUERY!AC:AC)</f>
        <v>46153</v>
      </c>
      <c r="GC155" s="3">
        <f>_xlfn.XLOOKUP(B155,QUERY!$C:$C,QUERY!AD:AD)</f>
        <v>0</v>
      </c>
      <c r="GD155" s="4">
        <f>_xlfn.XLOOKUP(B155,QUERY!$C:$C,QUERY!AE:AE)</f>
        <v>46153</v>
      </c>
      <c r="GE155" s="3">
        <f>_xlfn.XLOOKUP(B155,QUERY!$C:$C,QUERY!AF:AF)</f>
        <v>1</v>
      </c>
      <c r="GF155" s="4" t="str">
        <f>_xlfn.XLOOKUP(B155,QUERY!$C:$C,QUERY!AG:AG)</f>
        <v>Es anterior</v>
      </c>
      <c r="GG155" s="3" t="str">
        <f>_xlfn.XLOOKUP(B155,QUERY!$C:$C,QUERY!AH:AH)</f>
        <v>A1</v>
      </c>
      <c r="GH155" s="3" t="str">
        <f>_xlfn.XLOOKUP(B155,QUERY!$C:$C,QUERY!AI:AI)</f>
        <v>ZULEIMA PEREZ RUIZ</v>
      </c>
      <c r="GI155" s="3" t="str">
        <f>_xlfn.XLOOKUP(B155,QUERY!$C:$C,QUERY!AJ:AJ)</f>
        <v>HLCUHAM260357434</v>
      </c>
      <c r="GJ155" s="3" t="str">
        <f>_xlfn.XLOOKUP(B155,QUERY!$C:$C,QUERY!AK:AK)</f>
        <v>NULL</v>
      </c>
      <c r="GK155" s="3">
        <f>_xlfn.XLOOKUP(B155,QUERY!$C:$C,QUERY!AL:AL)</f>
        <v>6000581</v>
      </c>
      <c r="GL155" s="3" t="str">
        <f>_xlfn.XLOOKUP(B155,QUERY!$C:$C,QUERY!AM:AM)</f>
        <v>Importación</v>
      </c>
      <c r="GM155" s="3" t="str">
        <f>_xlfn.XLOOKUP(B155,QUERY!$C:$C,QUERY!AN:AN)</f>
        <v>BRAVECTO 1000 MG (MEDICAMENTO DOSIFICADO DE USO VETERINARIO)</v>
      </c>
      <c r="GN155" s="3" t="str">
        <f>_xlfn.XLOOKUP(B155,QUERY!$C:$C,QUERY!AO:AO)</f>
        <v>SIN CLASIFICACION</v>
      </c>
      <c r="GO155" s="3">
        <f>_xlfn.XLOOKUP(B155,QUERY!$C:$C,QUERY!AP:AP)</f>
        <v>0</v>
      </c>
      <c r="GP155" s="3" t="str">
        <f>_xlfn.XLOOKUP(B155,QUERY!$C:$C,QUERY!AQ:AQ)</f>
        <v>Cargas de Importación</v>
      </c>
      <c r="GQ155" s="3" t="str">
        <f>_xlfn.XLOOKUP(B155,QUERY!$C:$C,QUERY!AR:AR)</f>
        <v>INTERVET MEXICO SA DE CV</v>
      </c>
      <c r="GR155" s="3">
        <f>_xlfn.XLOOKUP(B155,QUERY!$C:$C,QUERY!AS:AS)</f>
        <v>0</v>
      </c>
      <c r="GS155" s="3" t="str">
        <f>_xlfn.XLOOKUP(B155,QUERY!$C:$C,QUERY!AT:AT)</f>
        <v>FALTA RRNA</v>
      </c>
      <c r="GT155" s="3">
        <f>_xlfn.XLOOKUP(B155,QUERY!$C:$C,QUERY!AU:AU)</f>
        <v>0</v>
      </c>
      <c r="GU155" s="3" t="str">
        <f>_xlfn.XLOOKUP(B155,QUERY!$C:$C,QUERY!AV:AV)</f>
        <v>FALTA RRNA</v>
      </c>
      <c r="GV155" s="3" t="str">
        <f>_xlfn.XLOOKUP(B155,QUERY!$C:$C,QUERY!AW:AW)</f>
        <v>PRODUCTO TERMINADO</v>
      </c>
      <c r="GW155" s="3" t="str">
        <f>_xlfn.XLOOKUP(B155,QUERY!$C:$C,QUERY!AX:AX)</f>
        <v>Rojo</v>
      </c>
      <c r="GX155" s="3" t="str">
        <f>_xlfn.XLOOKUP(B155,QUERY!$C:$C,QUERY!AY:AY)</f>
        <v xml:space="preserve"> SUPER EXPRESS DE CARGA FEDERAL S.A. DE C.V.</v>
      </c>
      <c r="GY155" s="3">
        <f>_xlfn.XLOOKUP(B155,QUERY!$C:$C,QUERY!AZ:AZ)</f>
        <v>0</v>
      </c>
      <c r="GZ155" s="3" t="str">
        <f>_xlfn.XLOOKUP(B155,QUERY!$C:$C,QUERY!BA:BA)</f>
        <v>IME-T005</v>
      </c>
      <c r="HA155" s="3" t="str">
        <f>_xlfn.XLOOKUP(B155,QUERY!$C:$C,QUERY!BB:BB)</f>
        <v>IME850329RH2</v>
      </c>
      <c r="HB155" s="3">
        <f>_xlfn.XLOOKUP(B155,QUERY!$C:$C,QUERY!BC:BC)</f>
        <v>0</v>
      </c>
      <c r="HC155" s="3">
        <f>_xlfn.XLOOKUP(B155,QUERY!$C:$C,QUERY!BD:BD)</f>
        <v>99</v>
      </c>
      <c r="HD155" s="3" t="str">
        <f>_xlfn.XLOOKUP(B155,QUERY!$C:$C,QUERY!BE:BE)</f>
        <v>LOTE: 25M4254C01,LOTE: A674T01,LOTE: 26P1001A01</v>
      </c>
      <c r="HE155" s="3">
        <f>_xlfn.XLOOKUP(B155,QUERY!$C:$C,QUERY!BF:BF)</f>
        <v>90</v>
      </c>
      <c r="HF155" s="3" t="str">
        <f>_xlfn.XLOOKUP(B155,QUERY!$C:$C,QUERY!BG:BG)</f>
        <v xml:space="preserve"> 11116743.74</v>
      </c>
      <c r="HG155" s="3" t="str">
        <f>_xlfn.XLOOKUP(B155,QUERY!$C:$C,QUERY!BH:BH)</f>
        <v>KILO,KILO,KILO</v>
      </c>
      <c r="HH155" s="3">
        <f>_xlfn.XLOOKUP(B155,QUERY!$C:$C,QUERY!BI:BI)</f>
        <v>0</v>
      </c>
      <c r="HI155" s="3" t="str">
        <f>_xlfn.XLOOKUP(B155,QUERY!$C:$C,QUERY!BJ:BJ)</f>
        <v>AUSTRIA (REPUBLICA DE)</v>
      </c>
      <c r="HJ155" s="3" t="str">
        <f>_xlfn.XLOOKUP(B155,QUERY!$C:$C,QUERY!BK:BK)</f>
        <v>PAISES BAJOS (REINO DE LOS) (HOLANDA)</v>
      </c>
      <c r="HK155" s="3" t="str">
        <f>_xlfn.XLOOKUP(B155,QUERY!$C:$C,QUERY!BL:BL)</f>
        <v>AUT</v>
      </c>
      <c r="HL155" s="3" t="str">
        <f>_xlfn.XLOOKUP(B155,QUERY!$C:$C,QUERY!BM:BM)</f>
        <v>ZYA</v>
      </c>
      <c r="HM155" s="3">
        <f>_xlfn.XLOOKUP(B155,QUERY!$C:$C,QUERY!BN:BN)</f>
        <v>11116744</v>
      </c>
      <c r="HN155" s="3" t="str">
        <f>_xlfn.XLOOKUP(B155,QUERY!$C:$C,QUERY!BO:BO)</f>
        <v>32601.00</v>
      </c>
      <c r="HO155" s="3" t="str">
        <f>_xlfn.XLOOKUP(B155,QUERY!$C:$C,QUERY!BP:BP)</f>
        <v>NULL</v>
      </c>
      <c r="HP155" s="3" t="str">
        <f>_xlfn.XLOOKUP(B155,QUERY!$C:$C,QUERY!BQ:BQ)</f>
        <v>407518.00</v>
      </c>
      <c r="HQ155" s="3" t="str">
        <f>_xlfn.XLOOKUP(B155,QUERY!$C:$C,QUERY!BR:BR)</f>
        <v>155013.37</v>
      </c>
      <c r="HR155" s="3">
        <f>_xlfn.XLOOKUP(B155,QUERY!$C:$C,QUERY!BS:BS)</f>
        <v>0</v>
      </c>
      <c r="HS155" s="3">
        <f>_xlfn.XLOOKUP(B155,QUERY!$C:$C,QUERY!BT:BT)</f>
        <v>0</v>
      </c>
      <c r="HT155" s="3" t="str">
        <f>_xlfn.XLOOKUP(B155,QUERY!$C:$C,QUERY!A:A)</f>
        <v>VERACRUZ</v>
      </c>
      <c r="HU155" s="3" t="str">
        <f>_xlfn.XLOOKUP(B155,QUERY!$C:$C,QUERY!B:B)</f>
        <v>MARÍTIMO VERACRUZ</v>
      </c>
    </row>
    <row r="156" spans="1:229" x14ac:dyDescent="0.25">
      <c r="A156" s="3" t="s">
        <v>90</v>
      </c>
      <c r="B156" s="3" t="s">
        <v>426</v>
      </c>
      <c r="C156" s="3">
        <v>3942</v>
      </c>
      <c r="D156" s="3">
        <v>6000581</v>
      </c>
      <c r="E156" s="3"/>
      <c r="F156" s="3" t="s">
        <v>92</v>
      </c>
      <c r="G156" s="3" t="s">
        <v>93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430</v>
      </c>
      <c r="S156" s="3" t="s">
        <v>427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 t="s">
        <v>430</v>
      </c>
      <c r="AB156" s="3"/>
      <c r="AC156" s="3">
        <v>4456382</v>
      </c>
      <c r="AD156" s="3">
        <v>279.65998999999999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/>
      <c r="AP156" s="3" t="s">
        <v>98</v>
      </c>
      <c r="AQ156" s="3">
        <v>210370444</v>
      </c>
      <c r="AR156" s="3" t="s">
        <v>99</v>
      </c>
      <c r="AS156" s="3" t="s">
        <v>100</v>
      </c>
      <c r="AT156" s="3">
        <v>0</v>
      </c>
      <c r="AU156" s="3">
        <v>0</v>
      </c>
      <c r="AV156" s="3">
        <v>0</v>
      </c>
      <c r="AW156" s="3">
        <v>30043999</v>
      </c>
      <c r="AX156" s="3">
        <v>99</v>
      </c>
      <c r="AY156" s="3">
        <v>15935</v>
      </c>
      <c r="AZ156" s="3">
        <v>15935</v>
      </c>
      <c r="BA156" s="3" t="s">
        <v>103</v>
      </c>
      <c r="BB156" s="3"/>
      <c r="BC156" s="3" t="s">
        <v>133</v>
      </c>
      <c r="BD156" s="3" t="s">
        <v>105</v>
      </c>
      <c r="BE156" s="3"/>
      <c r="BF156" s="3"/>
      <c r="BG156" s="5"/>
      <c r="BH156" s="3"/>
      <c r="BI156" s="3"/>
      <c r="BJ156" s="3"/>
      <c r="BK156" s="3" t="s">
        <v>429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 t="s">
        <v>192</v>
      </c>
      <c r="CF156" s="3">
        <v>0</v>
      </c>
      <c r="CG156" s="3">
        <v>0</v>
      </c>
      <c r="CH156" s="3">
        <v>0</v>
      </c>
      <c r="CI156" s="3" t="s">
        <v>112</v>
      </c>
      <c r="CJ156" s="3" t="s">
        <v>112</v>
      </c>
      <c r="CK156" s="3">
        <f>_xlfn.XLOOKUP($B$2,'BASE DE EXCEL'!C:C,'BASE DE EXCEL'!D:D,"NO HAY REFERENCIA")</f>
        <v>470</v>
      </c>
      <c r="CL156" s="5">
        <f>_xlfn.XLOOKUP($B$2,'BASE DE EXCEL'!$C:$C,'BASE DE EXCEL'!F:F,"NO HAY REFERENCIA")</f>
        <v>3</v>
      </c>
      <c r="CM156" s="4">
        <f>_xlfn.XLOOKUP($B$2,'BASE DE EXCEL'!$C:$C,'BASE DE EXCEL'!G:G,"NO HAY REFERENCIA")</f>
        <v>46080</v>
      </c>
      <c r="CN156" s="4">
        <f>_xlfn.XLOOKUP($B$2,'BASE DE EXCEL'!$C:$C,'BASE DE EXCEL'!H:H,"NO HAY REFERENCIA")</f>
        <v>46086</v>
      </c>
      <c r="CO156" s="3">
        <f>_xlfn.XLOOKUP($B$2,'BASE DE EXCEL'!$C:$C,'BASE DE EXCEL'!I:I,"NO HAY REFERENCIA")</f>
        <v>4</v>
      </c>
      <c r="CP156" s="3" t="str">
        <f>_xlfn.XLOOKUP($B$2,'BASE DE EXCEL'!$C:$C,'BASE DE EXCEL'!J:J,"NO HAY REFERENCIA")</f>
        <v>4 a 5 días</v>
      </c>
      <c r="CQ156" s="4">
        <f>_xlfn.XLOOKUP($B$2,'BASE DE EXCEL'!$C:$C,'BASE DE EXCEL'!K:K,"NO HAY REFERENCIA")</f>
        <v>46087</v>
      </c>
      <c r="CR156" s="3">
        <f>_xlfn.XLOOKUP($B$2,'BASE DE EXCEL'!$C:$C,'BASE DE EXCEL'!L:L,"NO HAY REFERENCIA")</f>
        <v>5</v>
      </c>
      <c r="CS156" s="3">
        <f>_xlfn.XLOOKUP($B$2,'BASE DE EXCEL'!$C:$C,'BASE DE EXCEL'!M:M,"NO HAY REFERENCIA")</f>
        <v>6</v>
      </c>
      <c r="CT156" s="3" t="str">
        <f>_xlfn.XLOOKUP($B$2,'BASE DE EXCEL'!$C:$C,'BASE DE EXCEL'!N:N,"NO HAY REFERENCIA")</f>
        <v>6 a 10 días</v>
      </c>
      <c r="CU156" s="3" t="str">
        <f>_xlfn.XLOOKUP($B$2,'BASE DE EXCEL'!$C:$C,'BASE DE EXCEL'!O:O,"NO HAY REFERENCIA")</f>
        <v>On Time</v>
      </c>
      <c r="CV156" s="3" t="str">
        <f>_xlfn.XLOOKUP(B156,'BASE DE EXCEL'!$C:$C,'BASE DE EXCEL'!P:P,"NO HAY REFERENCIA")</f>
        <v>6 a 10 días</v>
      </c>
      <c r="CW156" s="4">
        <f>_xlfn.XLOOKUP(B156,'BASE DE EXCEL'!$C:$C,'BASE DE EXCEL'!Q:Q,"NO HAY REFERENCIA")</f>
        <v>46134</v>
      </c>
      <c r="CX156" s="3">
        <f>_xlfn.XLOOKUP(B156,'BASE DE EXCEL'!$C:$C,'BASE DE EXCEL'!R:R,"NO HAY REFERENCIA")</f>
        <v>6</v>
      </c>
      <c r="CY156" s="3" t="str">
        <f>_xlfn.XLOOKUP(B156,'BASE DE EXCEL'!$C:$C,'BASE DE EXCEL'!S:S,"NO HAY REFERENCIA")</f>
        <v>6 a 10 días</v>
      </c>
      <c r="CZ156" s="3" t="str">
        <f>_xlfn.XLOOKUP(B156,'BASE DE EXCEL'!$C:$C,'BASE DE EXCEL'!T:T,"NO HAY REFERENCIA")</f>
        <v>On Time</v>
      </c>
      <c r="DA156" s="3">
        <f>_xlfn.XLOOKUP(B156,'BASE DE EXCEL'!$C:$C,'BASE DE EXCEL'!U:U,"NO HAY REFERENCIA")</f>
        <v>7</v>
      </c>
      <c r="DB156" s="3" t="str">
        <f>_xlfn.XLOOKUP(B156,'BASE DE EXCEL'!$C:$C,'BASE DE EXCEL'!V:V,"NO HAY REFERENCIA")</f>
        <v>4 a 5 días</v>
      </c>
      <c r="DC156" s="3">
        <f>_xlfn.XLOOKUP(B156,'BASE DE EXCEL'!$C:$C,'BASE DE EXCEL'!W:W,"NO HAY REFERENCIA")</f>
        <v>18</v>
      </c>
      <c r="DD156" s="3" t="str">
        <f>_xlfn.XLOOKUP(B156,'BASE DE EXCEL'!$C:$C,'BASE DE EXCEL'!X:X,"NO HAY REFERENCIA")</f>
        <v>más de 16 días</v>
      </c>
      <c r="DE156" s="3">
        <f>_xlfn.XLOOKUP(B156,'BASE DE EXCEL'!$C:$C,'BASE DE EXCEL'!Y:Y,"NO HAY REFERENCIA")</f>
        <v>1</v>
      </c>
      <c r="DF156" s="3" t="str">
        <f>_xlfn.XLOOKUP(B156,'BASE DE EXCEL'!$C:$C,'BASE DE EXCEL'!Z:Z,"NO HAY REFERENCIA")</f>
        <v>1 día o menos</v>
      </c>
      <c r="DG156" s="3">
        <f>_xlfn.XLOOKUP(B156,'BASE DE EXCEL'!$C:$C,'BASE DE EXCEL'!AA:AA,"NO HAY REFERENCIA")</f>
        <v>5</v>
      </c>
      <c r="DH156" s="3">
        <f>_xlfn.XLOOKUP(B156,'BASE DE EXCEL'!$C:$C,'BASE DE EXCEL'!AB:AB,"NO HAY REFERENCIA")</f>
        <v>1</v>
      </c>
      <c r="DI156" s="3" t="str">
        <f>_xlfn.XLOOKUP(B156,'BASE DE EXCEL'!$C:$C,'BASE DE EXCEL'!AC:AC,"NO HAY REFERENCIA")</f>
        <v>1 día o menos</v>
      </c>
      <c r="DJ156" s="4">
        <f>_xlfn.XLOOKUP(B156,'BASE DE EXCEL'!$C:$C,'BASE DE EXCEL'!AD:AD,"NO HAY REFERENCIA")</f>
        <v>46153</v>
      </c>
      <c r="DK156" s="3">
        <f>_xlfn.XLOOKUP(B156,'BASE DE EXCEL'!$C:$C,'BASE DE EXCEL'!AE:AE,"NO HAY REFERENCIA")</f>
        <v>19</v>
      </c>
      <c r="DL156" s="3">
        <f>_xlfn.XLOOKUP(B156,'BASE DE EXCEL'!$C:$C,'BASE DE EXCEL'!AF:AF,"NO HAY REFERENCIA")</f>
        <v>13</v>
      </c>
      <c r="DM156" s="4">
        <f>_xlfn.XLOOKUP(B156,'BASE DE EXCEL'!$C:$C,'BASE DE EXCEL'!AG:AG,"NO HAY REFERENCIA")</f>
        <v>46153</v>
      </c>
      <c r="DN156" s="4">
        <f>_xlfn.XLOOKUP(B156,'BASE DE EXCEL'!$C:$C,'BASE DE EXCEL'!AH:AH,"NO HAY REFERENCIA")</f>
        <v>46153</v>
      </c>
      <c r="DO156" s="3">
        <f>_xlfn.XLOOKUP(B156,'BASE DE EXCEL'!$C:$C,'BASE DE EXCEL'!AI:AI,"NO HAY REFERENCIA")</f>
        <v>0</v>
      </c>
      <c r="DP156" s="4" t="str">
        <f>_xlfn.XLOOKUP(B156,'BASE DE EXCEL'!$C:$C,'BASE DE EXCEL'!AJ:AJ,"NO HAY REFERENCIA")</f>
        <v>más de 16 días</v>
      </c>
      <c r="DQ156" s="4">
        <f>_xlfn.XLOOKUP(B156,'BASE DE EXCEL'!$C:$C,'BASE DE EXCEL'!AK:AK,"NO HAY REFERENCIA")</f>
        <v>46153</v>
      </c>
      <c r="DR156" s="3">
        <f>_xlfn.XLOOKUP(B156,'BASE DE EXCEL'!$C:$C,'BASE DE EXCEL'!AL:AL,"NO HAY REFERENCIA")</f>
        <v>13</v>
      </c>
      <c r="DS156" s="3" t="str">
        <f>_xlfn.XLOOKUP(B156,'BASE DE EXCEL'!$C:$C,'BASE DE EXCEL'!AM:AM,"NO HAY REFERENCIA")</f>
        <v>11 a 15 días</v>
      </c>
      <c r="DT156" s="3" t="str">
        <f>_xlfn.XLOOKUP(B156,'BASE DE EXCEL'!$C:$C,'BASE DE EXCEL'!AN:AN,"NO HAY REFERENCIA")</f>
        <v>Delayed</v>
      </c>
      <c r="DU156" s="3">
        <f>_xlfn.XLOOKUP(B156,'BASE DE EXCEL'!$C:$C,'BASE DE EXCEL'!AO:AO,"NO HAY REFERENCIA")</f>
        <v>1</v>
      </c>
      <c r="DV156" s="3" t="str">
        <f>_xlfn.XLOOKUP(B156,'BASE DE EXCEL'!$C:$C,'BASE DE EXCEL'!AP:AP,"NO HAY REFERENCIA")</f>
        <v>Es anterior</v>
      </c>
      <c r="DW156" s="3" t="str">
        <f>_xlfn.XLOOKUP(B156,'BASE DE EXCEL'!$C:$C,'BASE DE EXCEL'!AQ:AQ,"NO HAY REFERENCIA")</f>
        <v>A1</v>
      </c>
      <c r="DX156" s="3" t="str">
        <f>_xlfn.XLOOKUP(B156,'BASE DE EXCEL'!$C:$C,'BASE DE EXCEL'!AR:AR,"NO HAY REFERENCIA")</f>
        <v>ZULEIMA PEREZ RUIZ</v>
      </c>
      <c r="DY156" s="3" t="str">
        <f>_xlfn.XLOOKUP(B156,'BASE DE EXCEL'!$C:$C,'BASE DE EXCEL'!AS:AS,"NO HAY REFERENCIA")</f>
        <v>HLCUHAM260357434</v>
      </c>
      <c r="DZ156" s="3" t="str">
        <f>_xlfn.XLOOKUP(B156,'BASE DE EXCEL'!$C:$C,'BASE DE EXCEL'!AT:AT,"NO HAY REFERENCIA")</f>
        <v>NULL</v>
      </c>
      <c r="EA156" s="3">
        <f>_xlfn.XLOOKUP(B156,'BASE DE EXCEL'!$C:$C,'BASE DE EXCEL'!AU:AU,"NO HAY REFERENCIA")</f>
        <v>6000581</v>
      </c>
      <c r="EB156" s="3" t="str">
        <f>_xlfn.XLOOKUP(B156,'BASE DE EXCEL'!$C:$C,'BASE DE EXCEL'!AV:AV,"NO HAY REFERENCIA")</f>
        <v>Importación</v>
      </c>
      <c r="EC156" s="3" t="str">
        <f>_xlfn.XLOOKUP(B156,'BASE DE EXCEL'!$C:$C,'BASE DE EXCEL'!AW:AW,"NO HAY REFERENCIA")</f>
        <v>BRAVECTO 1000 MG (MEDICAMENTO DOSIFICADO DE USO VETERINARIO)</v>
      </c>
      <c r="ED156" s="3" t="str">
        <f>_xlfn.XLOOKUP(B156,'BASE DE EXCEL'!$C:$C,'BASE DE EXCEL'!AX:AX,"NO HAY REFERENCIA")</f>
        <v>SIN CLASIFICACION</v>
      </c>
      <c r="EE156" s="3">
        <f>_xlfn.XLOOKUP(B156,'BASE DE EXCEL'!$C:$C,'BASE DE EXCEL'!AY:AY,"NO HAY REFERENCIA")</f>
        <v>0</v>
      </c>
      <c r="EF156" s="3" t="str">
        <f>_xlfn.XLOOKUP(B156,'BASE DE EXCEL'!$C:$C,'BASE DE EXCEL'!AZ:AZ,"NO HAY REFERENCIA")</f>
        <v>Cargas de Importación</v>
      </c>
      <c r="EG156" s="3" t="str">
        <f>_xlfn.XLOOKUP(B156,'BASE DE EXCEL'!$C:$C,'BASE DE EXCEL'!BA:BA,"NO HAY REFERENCIA")</f>
        <v>INTERVET MEXICO SA DE CV</v>
      </c>
      <c r="EH156" s="3">
        <f>_xlfn.XLOOKUP(B156,'BASE DE EXCEL'!$C:$C,'BASE DE EXCEL'!BB:BB,"NO HAY REFERENCIA")</f>
        <v>0</v>
      </c>
      <c r="EI156" s="3" t="str">
        <f>_xlfn.XLOOKUP(B156,'BASE DE EXCEL'!$C:$C,'BASE DE EXCEL'!BC:BC,"NO HAY REFERENCIA")</f>
        <v>FALTA RRNA</v>
      </c>
      <c r="EJ156" s="3">
        <f>_xlfn.XLOOKUP(B156,'BASE DE EXCEL'!$C:$C,'BASE DE EXCEL'!BD:BD,"NO HAY REFERENCIA")</f>
        <v>0</v>
      </c>
      <c r="EK156" s="3" t="str">
        <f>_xlfn.XLOOKUP(B156,'BASE DE EXCEL'!$C:$C,'BASE DE EXCEL'!BE:BE,"NO HAY REFERENCIA")</f>
        <v>FALTA RRNA</v>
      </c>
      <c r="EL156" s="3" t="str">
        <f>_xlfn.XLOOKUP(B156,'BASE DE EXCEL'!$C:$C,'BASE DE EXCEL'!BF:BF,"NO HAY REFERENCIA")</f>
        <v>PRODUCTO TERMINADO</v>
      </c>
      <c r="EM156" s="3" t="str">
        <f>_xlfn.XLOOKUP(B156,'BASE DE EXCEL'!$C:$C,'BASE DE EXCEL'!BG:BG,"NO HAY REFERENCIA")</f>
        <v>Rojo</v>
      </c>
      <c r="EN156" s="3" t="str">
        <f>_xlfn.XLOOKUP(B156,'BASE DE EXCEL'!$C:$C,'BASE DE EXCEL'!BH:BH,"NO HAY REFERENCIA")</f>
        <v xml:space="preserve"> SUPER EXPRESS DE CARGA FEDERAL S.A. DE C.V.</v>
      </c>
      <c r="EO156" s="3">
        <f>_xlfn.XLOOKUP(B156,'BASE DE EXCEL'!$C:$C,'BASE DE EXCEL'!BI:BI,"NO HAY REFERENCIA")</f>
        <v>0</v>
      </c>
      <c r="EP156" s="3" t="str">
        <f>_xlfn.XLOOKUP(B156,'BASE DE EXCEL'!$C:$C,'BASE DE EXCEL'!BJ:BJ,"NO HAY REFERENCIA")</f>
        <v>IME-T005</v>
      </c>
      <c r="EQ156" s="3" t="str">
        <f>_xlfn.XLOOKUP(B156,'BASE DE EXCEL'!$C:$C,'BASE DE EXCEL'!BK:BK,"NO HAY REFERENCIA")</f>
        <v>IME850329RH2</v>
      </c>
      <c r="ER156" s="3">
        <f>_xlfn.XLOOKUP(B156,'BASE DE EXCEL'!$C:$C,'BASE DE EXCEL'!BL:BL,"NO HAY REFERENCIA")</f>
        <v>0</v>
      </c>
      <c r="ES156" s="3">
        <f>_xlfn.XLOOKUP(B156,'BASE DE EXCEL'!$C:$C,'BASE DE EXCEL'!BM:BM,"NO HAY REFERENCIA")</f>
        <v>99</v>
      </c>
      <c r="ET156" s="3" t="str">
        <f>_xlfn.XLOOKUP(B156,'BASE DE EXCEL'!$C:$C,'BASE DE EXCEL'!BN:BN,"NO HAY REFERENCIA")</f>
        <v>LOTE: 25M4254C01,LOTE: A674T01,LOTE: 26P1001A01</v>
      </c>
      <c r="EU156" s="3">
        <f>_xlfn.XLOOKUP(B156,'BASE DE EXCEL'!$C:$C,'BASE DE EXCEL'!BO:BO,"NO HAY REFERENCIA")</f>
        <v>90</v>
      </c>
      <c r="EV156" s="3">
        <f>_xlfn.XLOOKUP(B156,'BASE DE EXCEL'!$C:$C,'BASE DE EXCEL'!BP:BP,"NO HAY REFERENCIA")</f>
        <v>11116743.74</v>
      </c>
      <c r="EW156" s="3" t="str">
        <f>_xlfn.XLOOKUP(B156,'BASE DE EXCEL'!$C:$C,'BASE DE EXCEL'!BQ:BQ,"NO HAY REFERENCIA")</f>
        <v>KILO,KILO,KILO</v>
      </c>
      <c r="EX156" s="3">
        <f>_xlfn.XLOOKUP(B156,'BASE DE EXCEL'!$C:$C,'BASE DE EXCEL'!BR:BR,"NO HAY REFERENCIA")</f>
        <v>0</v>
      </c>
      <c r="EY156" s="3" t="str">
        <f>_xlfn.XLOOKUP(B156,'BASE DE EXCEL'!$C:$C,'BASE DE EXCEL'!BS:BS,"NO HAY REFERENCIA")</f>
        <v>AUSTRIA (REPUBLICA DE)</v>
      </c>
      <c r="EZ156" s="3" t="str">
        <f>_xlfn.XLOOKUP(B156,'BASE DE EXCEL'!$C:$C,'BASE DE EXCEL'!BT:BT,"NO HAY REFERENCIA")</f>
        <v>PAISES BAJOS (REINO DE LOS) (HOLANDA)</v>
      </c>
      <c r="FA156" s="3" t="str">
        <f>_xlfn.XLOOKUP(B156,'BASE DE EXCEL'!$C:$C,'BASE DE EXCEL'!BU:BU,"NO HAY REFERENCIA")</f>
        <v>AUT</v>
      </c>
      <c r="FB156" s="3" t="str">
        <f>_xlfn.XLOOKUP(B156,'BASE DE EXCEL'!$C:$C,'BASE DE EXCEL'!BV:BV,"NO HAY REFERENCIA")</f>
        <v>ZYA</v>
      </c>
      <c r="FC156" s="3">
        <f>_xlfn.XLOOKUP(B156,QUERY!$C:$C,QUERY!D:D)</f>
        <v>430</v>
      </c>
      <c r="FD156" s="4">
        <f>_xlfn.XLOOKUP(B156,QUERY!$C:$C,QUERY!E:E)</f>
        <v>46132</v>
      </c>
      <c r="FE156" s="3">
        <f>_xlfn.XLOOKUP(B156,QUERY!$C:$C,QUERY!F:F)</f>
        <v>4</v>
      </c>
      <c r="FF156" s="4">
        <f>_xlfn.XLOOKUP(B156,QUERY!$C:$C,QUERY!G:G)</f>
        <v>46127</v>
      </c>
      <c r="FG156" s="4">
        <f>_xlfn.XLOOKUP(B156,QUERY!$C:$C,QUERY!H:H)</f>
        <v>46132</v>
      </c>
      <c r="FH156" s="3">
        <f>_xlfn.XLOOKUP(B156,QUERY!$C:$C,QUERY!I:I)</f>
        <v>3</v>
      </c>
      <c r="FI156" s="3" t="str">
        <f>_xlfn.XLOOKUP(B156,QUERY!$C:$C,QUERY!J:J)</f>
        <v>2 a 3 días</v>
      </c>
      <c r="FJ156" s="4">
        <f>_xlfn.XLOOKUP(B156,QUERY!$C:$C,QUERY!K:K)</f>
        <v>46133</v>
      </c>
      <c r="FK156" s="3">
        <f>_xlfn.XLOOKUP(B156,QUERY!$C:$C,QUERY!L:L)</f>
        <v>4</v>
      </c>
      <c r="FL156" s="3" t="str">
        <f>_xlfn.XLOOKUP(B156,QUERY!$C:$C,QUERY!M:M)</f>
        <v>4 a 5 días</v>
      </c>
      <c r="FM156" s="3">
        <f>_xlfn.XLOOKUP(B156,QUERY!$C:$C,QUERY!N:N)</f>
        <v>1</v>
      </c>
      <c r="FN156" s="3" t="str">
        <f>_xlfn.XLOOKUP(B156,QUERY!$C:$C,QUERY!O:O)</f>
        <v>1 día o menos</v>
      </c>
      <c r="FO156" s="3">
        <f>_xlfn.XLOOKUP(B156,QUERY!$C:$C,QUERY!P:P)</f>
        <v>1</v>
      </c>
      <c r="FP156" s="3">
        <f>_xlfn.XLOOKUP(B156,QUERY!$C:$C,QUERY!Q:Q)</f>
        <v>1</v>
      </c>
      <c r="FQ156" s="3" t="str">
        <f>_xlfn.XLOOKUP(B156,QUERY!$C:$C,QUERY!R:R)</f>
        <v>1 día o menos</v>
      </c>
      <c r="FR156" s="4">
        <f>_xlfn.XLOOKUP(B156,QUERY!$C:$C,QUERY!S:S)</f>
        <v>46134</v>
      </c>
      <c r="FS156" s="3">
        <f>_xlfn.XLOOKUP(B156,QUERY!$C:$C,QUERY!T:T)</f>
        <v>5</v>
      </c>
      <c r="FT156" s="3" t="str">
        <f>_xlfn.XLOOKUP(B156,QUERY!$C:$C,QUERY!U:U)</f>
        <v>4 a 5 días</v>
      </c>
      <c r="FU156" s="3">
        <f>_xlfn.XLOOKUP(B156,QUERY!$C:$C,QUERY!V:V)</f>
        <v>18</v>
      </c>
      <c r="FV156" s="3" t="str">
        <f>_xlfn.XLOOKUP(B156,QUERY!$C:$C,QUERY!W:W)</f>
        <v>más de 16 días</v>
      </c>
      <c r="FW156" s="4">
        <f>_xlfn.XLOOKUP(B156,QUERY!$C:$C,QUERY!X:X)</f>
        <v>46153</v>
      </c>
      <c r="FX156" s="3">
        <f>_xlfn.XLOOKUP(B156,QUERY!$C:$C,QUERY!Y:Y)</f>
        <v>13</v>
      </c>
      <c r="FY156" s="3">
        <f>_xlfn.XLOOKUP(B156,QUERY!$C:$C,QUERY!Z:Z)</f>
        <v>13</v>
      </c>
      <c r="FZ156" s="4" t="str">
        <f>_xlfn.XLOOKUP(B156,QUERY!$C:$C,QUERY!AA:AA)</f>
        <v>más de 16 días</v>
      </c>
      <c r="GA156" s="4">
        <f>_xlfn.XLOOKUP(B156,QUERY!$C:$C,QUERY!AB:AB)</f>
        <v>46153</v>
      </c>
      <c r="GB156" s="4">
        <f>_xlfn.XLOOKUP(B156,QUERY!$C:$C,QUERY!AC:AC)</f>
        <v>46153</v>
      </c>
      <c r="GC156" s="3">
        <f>_xlfn.XLOOKUP(B156,QUERY!$C:$C,QUERY!AD:AD)</f>
        <v>0</v>
      </c>
      <c r="GD156" s="4">
        <f>_xlfn.XLOOKUP(B156,QUERY!$C:$C,QUERY!AE:AE)</f>
        <v>46153</v>
      </c>
      <c r="GE156" s="3">
        <f>_xlfn.XLOOKUP(B156,QUERY!$C:$C,QUERY!AF:AF)</f>
        <v>1</v>
      </c>
      <c r="GF156" s="4" t="str">
        <f>_xlfn.XLOOKUP(B156,QUERY!$C:$C,QUERY!AG:AG)</f>
        <v>Es anterior</v>
      </c>
      <c r="GG156" s="3" t="str">
        <f>_xlfn.XLOOKUP(B156,QUERY!$C:$C,QUERY!AH:AH)</f>
        <v>A1</v>
      </c>
      <c r="GH156" s="3" t="str">
        <f>_xlfn.XLOOKUP(B156,QUERY!$C:$C,QUERY!AI:AI)</f>
        <v>ZULEIMA PEREZ RUIZ</v>
      </c>
      <c r="GI156" s="3" t="str">
        <f>_xlfn.XLOOKUP(B156,QUERY!$C:$C,QUERY!AJ:AJ)</f>
        <v>HLCUHAM260357434</v>
      </c>
      <c r="GJ156" s="3" t="str">
        <f>_xlfn.XLOOKUP(B156,QUERY!$C:$C,QUERY!AK:AK)</f>
        <v>NULL</v>
      </c>
      <c r="GK156" s="3">
        <f>_xlfn.XLOOKUP(B156,QUERY!$C:$C,QUERY!AL:AL)</f>
        <v>6000581</v>
      </c>
      <c r="GL156" s="3" t="str">
        <f>_xlfn.XLOOKUP(B156,QUERY!$C:$C,QUERY!AM:AM)</f>
        <v>Importación</v>
      </c>
      <c r="GM156" s="3" t="str">
        <f>_xlfn.XLOOKUP(B156,QUERY!$C:$C,QUERY!AN:AN)</f>
        <v>BRAVECTO 1000 MG (MEDICAMENTO DOSIFICADO DE USO VETERINARIO)</v>
      </c>
      <c r="GN156" s="3" t="str">
        <f>_xlfn.XLOOKUP(B156,QUERY!$C:$C,QUERY!AO:AO)</f>
        <v>SIN CLASIFICACION</v>
      </c>
      <c r="GO156" s="3">
        <f>_xlfn.XLOOKUP(B156,QUERY!$C:$C,QUERY!AP:AP)</f>
        <v>0</v>
      </c>
      <c r="GP156" s="3" t="str">
        <f>_xlfn.XLOOKUP(B156,QUERY!$C:$C,QUERY!AQ:AQ)</f>
        <v>Cargas de Importación</v>
      </c>
      <c r="GQ156" s="3" t="str">
        <f>_xlfn.XLOOKUP(B156,QUERY!$C:$C,QUERY!AR:AR)</f>
        <v>INTERVET MEXICO SA DE CV</v>
      </c>
      <c r="GR156" s="3">
        <f>_xlfn.XLOOKUP(B156,QUERY!$C:$C,QUERY!AS:AS)</f>
        <v>0</v>
      </c>
      <c r="GS156" s="3" t="str">
        <f>_xlfn.XLOOKUP(B156,QUERY!$C:$C,QUERY!AT:AT)</f>
        <v>FALTA RRNA</v>
      </c>
      <c r="GT156" s="3">
        <f>_xlfn.XLOOKUP(B156,QUERY!$C:$C,QUERY!AU:AU)</f>
        <v>0</v>
      </c>
      <c r="GU156" s="3" t="str">
        <f>_xlfn.XLOOKUP(B156,QUERY!$C:$C,QUERY!AV:AV)</f>
        <v>FALTA RRNA</v>
      </c>
      <c r="GV156" s="3" t="str">
        <f>_xlfn.XLOOKUP(B156,QUERY!$C:$C,QUERY!AW:AW)</f>
        <v>PRODUCTO TERMINADO</v>
      </c>
      <c r="GW156" s="3" t="str">
        <f>_xlfn.XLOOKUP(B156,QUERY!$C:$C,QUERY!AX:AX)</f>
        <v>Rojo</v>
      </c>
      <c r="GX156" s="3" t="str">
        <f>_xlfn.XLOOKUP(B156,QUERY!$C:$C,QUERY!AY:AY)</f>
        <v xml:space="preserve"> SUPER EXPRESS DE CARGA FEDERAL S.A. DE C.V.</v>
      </c>
      <c r="GY156" s="3">
        <f>_xlfn.XLOOKUP(B156,QUERY!$C:$C,QUERY!AZ:AZ)</f>
        <v>0</v>
      </c>
      <c r="GZ156" s="3" t="str">
        <f>_xlfn.XLOOKUP(B156,QUERY!$C:$C,QUERY!BA:BA)</f>
        <v>IME-T005</v>
      </c>
      <c r="HA156" s="3" t="str">
        <f>_xlfn.XLOOKUP(B156,QUERY!$C:$C,QUERY!BB:BB)</f>
        <v>IME850329RH2</v>
      </c>
      <c r="HB156" s="3">
        <f>_xlfn.XLOOKUP(B156,QUERY!$C:$C,QUERY!BC:BC)</f>
        <v>0</v>
      </c>
      <c r="HC156" s="3">
        <f>_xlfn.XLOOKUP(B156,QUERY!$C:$C,QUERY!BD:BD)</f>
        <v>99</v>
      </c>
      <c r="HD156" s="3" t="str">
        <f>_xlfn.XLOOKUP(B156,QUERY!$C:$C,QUERY!BE:BE)</f>
        <v>LOTE: 25M4254C01,LOTE: A674T01,LOTE: 26P1001A01</v>
      </c>
      <c r="HE156" s="3">
        <f>_xlfn.XLOOKUP(B156,QUERY!$C:$C,QUERY!BF:BF)</f>
        <v>90</v>
      </c>
      <c r="HF156" s="3" t="str">
        <f>_xlfn.XLOOKUP(B156,QUERY!$C:$C,QUERY!BG:BG)</f>
        <v xml:space="preserve"> 11116743.74</v>
      </c>
      <c r="HG156" s="3" t="str">
        <f>_xlfn.XLOOKUP(B156,QUERY!$C:$C,QUERY!BH:BH)</f>
        <v>KILO,KILO,KILO</v>
      </c>
      <c r="HH156" s="3">
        <f>_xlfn.XLOOKUP(B156,QUERY!$C:$C,QUERY!BI:BI)</f>
        <v>0</v>
      </c>
      <c r="HI156" s="3" t="str">
        <f>_xlfn.XLOOKUP(B156,QUERY!$C:$C,QUERY!BJ:BJ)</f>
        <v>AUSTRIA (REPUBLICA DE)</v>
      </c>
      <c r="HJ156" s="3" t="str">
        <f>_xlfn.XLOOKUP(B156,QUERY!$C:$C,QUERY!BK:BK)</f>
        <v>PAISES BAJOS (REINO DE LOS) (HOLANDA)</v>
      </c>
      <c r="HK156" s="3" t="str">
        <f>_xlfn.XLOOKUP(B156,QUERY!$C:$C,QUERY!BL:BL)</f>
        <v>AUT</v>
      </c>
      <c r="HL156" s="3" t="str">
        <f>_xlfn.XLOOKUP(B156,QUERY!$C:$C,QUERY!BM:BM)</f>
        <v>ZYA</v>
      </c>
      <c r="HM156" s="3">
        <f>_xlfn.XLOOKUP(B156,QUERY!$C:$C,QUERY!BN:BN)</f>
        <v>11116744</v>
      </c>
      <c r="HN156" s="3" t="str">
        <f>_xlfn.XLOOKUP(B156,QUERY!$C:$C,QUERY!BO:BO)</f>
        <v>32601.00</v>
      </c>
      <c r="HO156" s="3" t="str">
        <f>_xlfn.XLOOKUP(B156,QUERY!$C:$C,QUERY!BP:BP)</f>
        <v>NULL</v>
      </c>
      <c r="HP156" s="3" t="str">
        <f>_xlfn.XLOOKUP(B156,QUERY!$C:$C,QUERY!BQ:BQ)</f>
        <v>407518.00</v>
      </c>
      <c r="HQ156" s="3" t="str">
        <f>_xlfn.XLOOKUP(B156,QUERY!$C:$C,QUERY!BR:BR)</f>
        <v>155013.37</v>
      </c>
      <c r="HR156" s="3">
        <f>_xlfn.XLOOKUP(B156,QUERY!$C:$C,QUERY!BS:BS)</f>
        <v>0</v>
      </c>
      <c r="HS156" s="3">
        <f>_xlfn.XLOOKUP(B156,QUERY!$C:$C,QUERY!BT:BT)</f>
        <v>0</v>
      </c>
      <c r="HT156" s="3" t="str">
        <f>_xlfn.XLOOKUP(B156,QUERY!$C:$C,QUERY!A:A)</f>
        <v>VERACRUZ</v>
      </c>
      <c r="HU156" s="3" t="str">
        <f>_xlfn.XLOOKUP(B156,QUERY!$C:$C,QUERY!B:B)</f>
        <v>MARÍTIMO VERACRUZ</v>
      </c>
    </row>
    <row r="157" spans="1:229" x14ac:dyDescent="0.25">
      <c r="A157" s="3" t="s">
        <v>90</v>
      </c>
      <c r="B157" s="3" t="s">
        <v>426</v>
      </c>
      <c r="C157" s="3">
        <v>3942</v>
      </c>
      <c r="D157" s="3">
        <v>6000581</v>
      </c>
      <c r="E157" s="3"/>
      <c r="F157" s="3" t="s">
        <v>92</v>
      </c>
      <c r="G157" s="3" t="s">
        <v>93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430</v>
      </c>
      <c r="S157" s="3" t="s">
        <v>427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 t="s">
        <v>431</v>
      </c>
      <c r="AB157" s="3"/>
      <c r="AC157" s="3">
        <v>2585183</v>
      </c>
      <c r="AD157" s="3">
        <v>997.36998000000006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/>
      <c r="AP157" s="3" t="s">
        <v>98</v>
      </c>
      <c r="AQ157" s="3">
        <v>210370444</v>
      </c>
      <c r="AR157" s="3" t="s">
        <v>99</v>
      </c>
      <c r="AS157" s="3" t="s">
        <v>100</v>
      </c>
      <c r="AT157" s="3">
        <v>0</v>
      </c>
      <c r="AU157" s="3">
        <v>0</v>
      </c>
      <c r="AV157" s="3">
        <v>0</v>
      </c>
      <c r="AW157" s="3">
        <v>30049099</v>
      </c>
      <c r="AX157" s="3">
        <v>99</v>
      </c>
      <c r="AY157" s="3">
        <v>2592</v>
      </c>
      <c r="AZ157" s="3">
        <v>2592</v>
      </c>
      <c r="BA157" s="3" t="s">
        <v>432</v>
      </c>
      <c r="BB157" s="3"/>
      <c r="BC157" s="3" t="s">
        <v>133</v>
      </c>
      <c r="BD157" s="3" t="s">
        <v>105</v>
      </c>
      <c r="BE157" s="3"/>
      <c r="BF157" s="3"/>
      <c r="BG157" s="5"/>
      <c r="BH157" s="3"/>
      <c r="BI157" s="3"/>
      <c r="BJ157" s="3"/>
      <c r="BK157" s="3" t="s">
        <v>429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 t="s">
        <v>192</v>
      </c>
      <c r="CF157" s="3">
        <v>0</v>
      </c>
      <c r="CG157" s="3">
        <v>0</v>
      </c>
      <c r="CH157" s="3">
        <v>0</v>
      </c>
      <c r="CI157" s="3" t="s">
        <v>112</v>
      </c>
      <c r="CJ157" s="3" t="s">
        <v>112</v>
      </c>
      <c r="CK157" s="3">
        <f>_xlfn.XLOOKUP($B$2,'BASE DE EXCEL'!C:C,'BASE DE EXCEL'!D:D,"NO HAY REFERENCIA")</f>
        <v>470</v>
      </c>
      <c r="CL157" s="5">
        <f>_xlfn.XLOOKUP($B$2,'BASE DE EXCEL'!$C:$C,'BASE DE EXCEL'!F:F,"NO HAY REFERENCIA")</f>
        <v>3</v>
      </c>
      <c r="CM157" s="4">
        <f>_xlfn.XLOOKUP($B$2,'BASE DE EXCEL'!$C:$C,'BASE DE EXCEL'!G:G,"NO HAY REFERENCIA")</f>
        <v>46080</v>
      </c>
      <c r="CN157" s="4">
        <f>_xlfn.XLOOKUP($B$2,'BASE DE EXCEL'!$C:$C,'BASE DE EXCEL'!H:H,"NO HAY REFERENCIA")</f>
        <v>46086</v>
      </c>
      <c r="CO157" s="3">
        <f>_xlfn.XLOOKUP($B$2,'BASE DE EXCEL'!$C:$C,'BASE DE EXCEL'!I:I,"NO HAY REFERENCIA")</f>
        <v>4</v>
      </c>
      <c r="CP157" s="3" t="str">
        <f>_xlfn.XLOOKUP($B$2,'BASE DE EXCEL'!$C:$C,'BASE DE EXCEL'!J:J,"NO HAY REFERENCIA")</f>
        <v>4 a 5 días</v>
      </c>
      <c r="CQ157" s="4">
        <f>_xlfn.XLOOKUP($B$2,'BASE DE EXCEL'!$C:$C,'BASE DE EXCEL'!K:K,"NO HAY REFERENCIA")</f>
        <v>46087</v>
      </c>
      <c r="CR157" s="3">
        <f>_xlfn.XLOOKUP($B$2,'BASE DE EXCEL'!$C:$C,'BASE DE EXCEL'!L:L,"NO HAY REFERENCIA")</f>
        <v>5</v>
      </c>
      <c r="CS157" s="3">
        <f>_xlfn.XLOOKUP($B$2,'BASE DE EXCEL'!$C:$C,'BASE DE EXCEL'!M:M,"NO HAY REFERENCIA")</f>
        <v>6</v>
      </c>
      <c r="CT157" s="3" t="str">
        <f>_xlfn.XLOOKUP($B$2,'BASE DE EXCEL'!$C:$C,'BASE DE EXCEL'!N:N,"NO HAY REFERENCIA")</f>
        <v>6 a 10 días</v>
      </c>
      <c r="CU157" s="3" t="str">
        <f>_xlfn.XLOOKUP($B$2,'BASE DE EXCEL'!$C:$C,'BASE DE EXCEL'!O:O,"NO HAY REFERENCIA")</f>
        <v>On Time</v>
      </c>
      <c r="CV157" s="3" t="str">
        <f>_xlfn.XLOOKUP(B157,'BASE DE EXCEL'!$C:$C,'BASE DE EXCEL'!P:P,"NO HAY REFERENCIA")</f>
        <v>6 a 10 días</v>
      </c>
      <c r="CW157" s="4">
        <f>_xlfn.XLOOKUP(B157,'BASE DE EXCEL'!$C:$C,'BASE DE EXCEL'!Q:Q,"NO HAY REFERENCIA")</f>
        <v>46134</v>
      </c>
      <c r="CX157" s="3">
        <f>_xlfn.XLOOKUP(B157,'BASE DE EXCEL'!$C:$C,'BASE DE EXCEL'!R:R,"NO HAY REFERENCIA")</f>
        <v>6</v>
      </c>
      <c r="CY157" s="3" t="str">
        <f>_xlfn.XLOOKUP(B157,'BASE DE EXCEL'!$C:$C,'BASE DE EXCEL'!S:S,"NO HAY REFERENCIA")</f>
        <v>6 a 10 días</v>
      </c>
      <c r="CZ157" s="3" t="str">
        <f>_xlfn.XLOOKUP(B157,'BASE DE EXCEL'!$C:$C,'BASE DE EXCEL'!T:T,"NO HAY REFERENCIA")</f>
        <v>On Time</v>
      </c>
      <c r="DA157" s="3">
        <f>_xlfn.XLOOKUP(B157,'BASE DE EXCEL'!$C:$C,'BASE DE EXCEL'!U:U,"NO HAY REFERENCIA")</f>
        <v>7</v>
      </c>
      <c r="DB157" s="3" t="str">
        <f>_xlfn.XLOOKUP(B157,'BASE DE EXCEL'!$C:$C,'BASE DE EXCEL'!V:V,"NO HAY REFERENCIA")</f>
        <v>4 a 5 días</v>
      </c>
      <c r="DC157" s="3">
        <f>_xlfn.XLOOKUP(B157,'BASE DE EXCEL'!$C:$C,'BASE DE EXCEL'!W:W,"NO HAY REFERENCIA")</f>
        <v>18</v>
      </c>
      <c r="DD157" s="3" t="str">
        <f>_xlfn.XLOOKUP(B157,'BASE DE EXCEL'!$C:$C,'BASE DE EXCEL'!X:X,"NO HAY REFERENCIA")</f>
        <v>más de 16 días</v>
      </c>
      <c r="DE157" s="3">
        <f>_xlfn.XLOOKUP(B157,'BASE DE EXCEL'!$C:$C,'BASE DE EXCEL'!Y:Y,"NO HAY REFERENCIA")</f>
        <v>1</v>
      </c>
      <c r="DF157" s="3" t="str">
        <f>_xlfn.XLOOKUP(B157,'BASE DE EXCEL'!$C:$C,'BASE DE EXCEL'!Z:Z,"NO HAY REFERENCIA")</f>
        <v>1 día o menos</v>
      </c>
      <c r="DG157" s="3">
        <f>_xlfn.XLOOKUP(B157,'BASE DE EXCEL'!$C:$C,'BASE DE EXCEL'!AA:AA,"NO HAY REFERENCIA")</f>
        <v>5</v>
      </c>
      <c r="DH157" s="3">
        <f>_xlfn.XLOOKUP(B157,'BASE DE EXCEL'!$C:$C,'BASE DE EXCEL'!AB:AB,"NO HAY REFERENCIA")</f>
        <v>1</v>
      </c>
      <c r="DI157" s="3" t="str">
        <f>_xlfn.XLOOKUP(B157,'BASE DE EXCEL'!$C:$C,'BASE DE EXCEL'!AC:AC,"NO HAY REFERENCIA")</f>
        <v>1 día o menos</v>
      </c>
      <c r="DJ157" s="4">
        <f>_xlfn.XLOOKUP(B157,'BASE DE EXCEL'!$C:$C,'BASE DE EXCEL'!AD:AD,"NO HAY REFERENCIA")</f>
        <v>46153</v>
      </c>
      <c r="DK157" s="3">
        <f>_xlfn.XLOOKUP(B157,'BASE DE EXCEL'!$C:$C,'BASE DE EXCEL'!AE:AE,"NO HAY REFERENCIA")</f>
        <v>19</v>
      </c>
      <c r="DL157" s="3">
        <f>_xlfn.XLOOKUP(B157,'BASE DE EXCEL'!$C:$C,'BASE DE EXCEL'!AF:AF,"NO HAY REFERENCIA")</f>
        <v>13</v>
      </c>
      <c r="DM157" s="4">
        <f>_xlfn.XLOOKUP(B157,'BASE DE EXCEL'!$C:$C,'BASE DE EXCEL'!AG:AG,"NO HAY REFERENCIA")</f>
        <v>46153</v>
      </c>
      <c r="DN157" s="4">
        <f>_xlfn.XLOOKUP(B157,'BASE DE EXCEL'!$C:$C,'BASE DE EXCEL'!AH:AH,"NO HAY REFERENCIA")</f>
        <v>46153</v>
      </c>
      <c r="DO157" s="3">
        <f>_xlfn.XLOOKUP(B157,'BASE DE EXCEL'!$C:$C,'BASE DE EXCEL'!AI:AI,"NO HAY REFERENCIA")</f>
        <v>0</v>
      </c>
      <c r="DP157" s="4" t="str">
        <f>_xlfn.XLOOKUP(B157,'BASE DE EXCEL'!$C:$C,'BASE DE EXCEL'!AJ:AJ,"NO HAY REFERENCIA")</f>
        <v>más de 16 días</v>
      </c>
      <c r="DQ157" s="4">
        <f>_xlfn.XLOOKUP(B157,'BASE DE EXCEL'!$C:$C,'BASE DE EXCEL'!AK:AK,"NO HAY REFERENCIA")</f>
        <v>46153</v>
      </c>
      <c r="DR157" s="3">
        <f>_xlfn.XLOOKUP(B157,'BASE DE EXCEL'!$C:$C,'BASE DE EXCEL'!AL:AL,"NO HAY REFERENCIA")</f>
        <v>13</v>
      </c>
      <c r="DS157" s="3" t="str">
        <f>_xlfn.XLOOKUP(B157,'BASE DE EXCEL'!$C:$C,'BASE DE EXCEL'!AM:AM,"NO HAY REFERENCIA")</f>
        <v>11 a 15 días</v>
      </c>
      <c r="DT157" s="3" t="str">
        <f>_xlfn.XLOOKUP(B157,'BASE DE EXCEL'!$C:$C,'BASE DE EXCEL'!AN:AN,"NO HAY REFERENCIA")</f>
        <v>Delayed</v>
      </c>
      <c r="DU157" s="3">
        <f>_xlfn.XLOOKUP(B157,'BASE DE EXCEL'!$C:$C,'BASE DE EXCEL'!AO:AO,"NO HAY REFERENCIA")</f>
        <v>1</v>
      </c>
      <c r="DV157" s="3" t="str">
        <f>_xlfn.XLOOKUP(B157,'BASE DE EXCEL'!$C:$C,'BASE DE EXCEL'!AP:AP,"NO HAY REFERENCIA")</f>
        <v>Es anterior</v>
      </c>
      <c r="DW157" s="3" t="str">
        <f>_xlfn.XLOOKUP(B157,'BASE DE EXCEL'!$C:$C,'BASE DE EXCEL'!AQ:AQ,"NO HAY REFERENCIA")</f>
        <v>A1</v>
      </c>
      <c r="DX157" s="3" t="str">
        <f>_xlfn.XLOOKUP(B157,'BASE DE EXCEL'!$C:$C,'BASE DE EXCEL'!AR:AR,"NO HAY REFERENCIA")</f>
        <v>ZULEIMA PEREZ RUIZ</v>
      </c>
      <c r="DY157" s="3" t="str">
        <f>_xlfn.XLOOKUP(B157,'BASE DE EXCEL'!$C:$C,'BASE DE EXCEL'!AS:AS,"NO HAY REFERENCIA")</f>
        <v>HLCUHAM260357434</v>
      </c>
      <c r="DZ157" s="3" t="str">
        <f>_xlfn.XLOOKUP(B157,'BASE DE EXCEL'!$C:$C,'BASE DE EXCEL'!AT:AT,"NO HAY REFERENCIA")</f>
        <v>NULL</v>
      </c>
      <c r="EA157" s="3">
        <f>_xlfn.XLOOKUP(B157,'BASE DE EXCEL'!$C:$C,'BASE DE EXCEL'!AU:AU,"NO HAY REFERENCIA")</f>
        <v>6000581</v>
      </c>
      <c r="EB157" s="3" t="str">
        <f>_xlfn.XLOOKUP(B157,'BASE DE EXCEL'!$C:$C,'BASE DE EXCEL'!AV:AV,"NO HAY REFERENCIA")</f>
        <v>Importación</v>
      </c>
      <c r="EC157" s="3" t="str">
        <f>_xlfn.XLOOKUP(B157,'BASE DE EXCEL'!$C:$C,'BASE DE EXCEL'!AW:AW,"NO HAY REFERENCIA")</f>
        <v>BRAVECTO 1000 MG (MEDICAMENTO DOSIFICADO DE USO VETERINARIO)</v>
      </c>
      <c r="ED157" s="3" t="str">
        <f>_xlfn.XLOOKUP(B157,'BASE DE EXCEL'!$C:$C,'BASE DE EXCEL'!AX:AX,"NO HAY REFERENCIA")</f>
        <v>SIN CLASIFICACION</v>
      </c>
      <c r="EE157" s="3">
        <f>_xlfn.XLOOKUP(B157,'BASE DE EXCEL'!$C:$C,'BASE DE EXCEL'!AY:AY,"NO HAY REFERENCIA")</f>
        <v>0</v>
      </c>
      <c r="EF157" s="3" t="str">
        <f>_xlfn.XLOOKUP(B157,'BASE DE EXCEL'!$C:$C,'BASE DE EXCEL'!AZ:AZ,"NO HAY REFERENCIA")</f>
        <v>Cargas de Importación</v>
      </c>
      <c r="EG157" s="3" t="str">
        <f>_xlfn.XLOOKUP(B157,'BASE DE EXCEL'!$C:$C,'BASE DE EXCEL'!BA:BA,"NO HAY REFERENCIA")</f>
        <v>INTERVET MEXICO SA DE CV</v>
      </c>
      <c r="EH157" s="3">
        <f>_xlfn.XLOOKUP(B157,'BASE DE EXCEL'!$C:$C,'BASE DE EXCEL'!BB:BB,"NO HAY REFERENCIA")</f>
        <v>0</v>
      </c>
      <c r="EI157" s="3" t="str">
        <f>_xlfn.XLOOKUP(B157,'BASE DE EXCEL'!$C:$C,'BASE DE EXCEL'!BC:BC,"NO HAY REFERENCIA")</f>
        <v>FALTA RRNA</v>
      </c>
      <c r="EJ157" s="3">
        <f>_xlfn.XLOOKUP(B157,'BASE DE EXCEL'!$C:$C,'BASE DE EXCEL'!BD:BD,"NO HAY REFERENCIA")</f>
        <v>0</v>
      </c>
      <c r="EK157" s="3" t="str">
        <f>_xlfn.XLOOKUP(B157,'BASE DE EXCEL'!$C:$C,'BASE DE EXCEL'!BE:BE,"NO HAY REFERENCIA")</f>
        <v>FALTA RRNA</v>
      </c>
      <c r="EL157" s="3" t="str">
        <f>_xlfn.XLOOKUP(B157,'BASE DE EXCEL'!$C:$C,'BASE DE EXCEL'!BF:BF,"NO HAY REFERENCIA")</f>
        <v>PRODUCTO TERMINADO</v>
      </c>
      <c r="EM157" s="3" t="str">
        <f>_xlfn.XLOOKUP(B157,'BASE DE EXCEL'!$C:$C,'BASE DE EXCEL'!BG:BG,"NO HAY REFERENCIA")</f>
        <v>Rojo</v>
      </c>
      <c r="EN157" s="3" t="str">
        <f>_xlfn.XLOOKUP(B157,'BASE DE EXCEL'!$C:$C,'BASE DE EXCEL'!BH:BH,"NO HAY REFERENCIA")</f>
        <v xml:space="preserve"> SUPER EXPRESS DE CARGA FEDERAL S.A. DE C.V.</v>
      </c>
      <c r="EO157" s="3">
        <f>_xlfn.XLOOKUP(B157,'BASE DE EXCEL'!$C:$C,'BASE DE EXCEL'!BI:BI,"NO HAY REFERENCIA")</f>
        <v>0</v>
      </c>
      <c r="EP157" s="3" t="str">
        <f>_xlfn.XLOOKUP(B157,'BASE DE EXCEL'!$C:$C,'BASE DE EXCEL'!BJ:BJ,"NO HAY REFERENCIA")</f>
        <v>IME-T005</v>
      </c>
      <c r="EQ157" s="3" t="str">
        <f>_xlfn.XLOOKUP(B157,'BASE DE EXCEL'!$C:$C,'BASE DE EXCEL'!BK:BK,"NO HAY REFERENCIA")</f>
        <v>IME850329RH2</v>
      </c>
      <c r="ER157" s="3">
        <f>_xlfn.XLOOKUP(B157,'BASE DE EXCEL'!$C:$C,'BASE DE EXCEL'!BL:BL,"NO HAY REFERENCIA")</f>
        <v>0</v>
      </c>
      <c r="ES157" s="3">
        <f>_xlfn.XLOOKUP(B157,'BASE DE EXCEL'!$C:$C,'BASE DE EXCEL'!BM:BM,"NO HAY REFERENCIA")</f>
        <v>99</v>
      </c>
      <c r="ET157" s="3" t="str">
        <f>_xlfn.XLOOKUP(B157,'BASE DE EXCEL'!$C:$C,'BASE DE EXCEL'!BN:BN,"NO HAY REFERENCIA")</f>
        <v>LOTE: 25M4254C01,LOTE: A674T01,LOTE: 26P1001A01</v>
      </c>
      <c r="EU157" s="3">
        <f>_xlfn.XLOOKUP(B157,'BASE DE EXCEL'!$C:$C,'BASE DE EXCEL'!BO:BO,"NO HAY REFERENCIA")</f>
        <v>90</v>
      </c>
      <c r="EV157" s="3">
        <f>_xlfn.XLOOKUP(B157,'BASE DE EXCEL'!$C:$C,'BASE DE EXCEL'!BP:BP,"NO HAY REFERENCIA")</f>
        <v>11116743.74</v>
      </c>
      <c r="EW157" s="3" t="str">
        <f>_xlfn.XLOOKUP(B157,'BASE DE EXCEL'!$C:$C,'BASE DE EXCEL'!BQ:BQ,"NO HAY REFERENCIA")</f>
        <v>KILO,KILO,KILO</v>
      </c>
      <c r="EX157" s="3">
        <f>_xlfn.XLOOKUP(B157,'BASE DE EXCEL'!$C:$C,'BASE DE EXCEL'!BR:BR,"NO HAY REFERENCIA")</f>
        <v>0</v>
      </c>
      <c r="EY157" s="3" t="str">
        <f>_xlfn.XLOOKUP(B157,'BASE DE EXCEL'!$C:$C,'BASE DE EXCEL'!BS:BS,"NO HAY REFERENCIA")</f>
        <v>AUSTRIA (REPUBLICA DE)</v>
      </c>
      <c r="EZ157" s="3" t="str">
        <f>_xlfn.XLOOKUP(B157,'BASE DE EXCEL'!$C:$C,'BASE DE EXCEL'!BT:BT,"NO HAY REFERENCIA")</f>
        <v>PAISES BAJOS (REINO DE LOS) (HOLANDA)</v>
      </c>
      <c r="FA157" s="3" t="str">
        <f>_xlfn.XLOOKUP(B157,'BASE DE EXCEL'!$C:$C,'BASE DE EXCEL'!BU:BU,"NO HAY REFERENCIA")</f>
        <v>AUT</v>
      </c>
      <c r="FB157" s="3" t="str">
        <f>_xlfn.XLOOKUP(B157,'BASE DE EXCEL'!$C:$C,'BASE DE EXCEL'!BV:BV,"NO HAY REFERENCIA")</f>
        <v>ZYA</v>
      </c>
      <c r="FC157" s="3">
        <f>_xlfn.XLOOKUP(B157,QUERY!$C:$C,QUERY!D:D)</f>
        <v>430</v>
      </c>
      <c r="FD157" s="4">
        <f>_xlfn.XLOOKUP(B157,QUERY!$C:$C,QUERY!E:E)</f>
        <v>46132</v>
      </c>
      <c r="FE157" s="3">
        <f>_xlfn.XLOOKUP(B157,QUERY!$C:$C,QUERY!F:F)</f>
        <v>4</v>
      </c>
      <c r="FF157" s="4">
        <f>_xlfn.XLOOKUP(B157,QUERY!$C:$C,QUERY!G:G)</f>
        <v>46127</v>
      </c>
      <c r="FG157" s="4">
        <f>_xlfn.XLOOKUP(B157,QUERY!$C:$C,QUERY!H:H)</f>
        <v>46132</v>
      </c>
      <c r="FH157" s="3">
        <f>_xlfn.XLOOKUP(B157,QUERY!$C:$C,QUERY!I:I)</f>
        <v>3</v>
      </c>
      <c r="FI157" s="3" t="str">
        <f>_xlfn.XLOOKUP(B157,QUERY!$C:$C,QUERY!J:J)</f>
        <v>2 a 3 días</v>
      </c>
      <c r="FJ157" s="4">
        <f>_xlfn.XLOOKUP(B157,QUERY!$C:$C,QUERY!K:K)</f>
        <v>46133</v>
      </c>
      <c r="FK157" s="3">
        <f>_xlfn.XLOOKUP(B157,QUERY!$C:$C,QUERY!L:L)</f>
        <v>4</v>
      </c>
      <c r="FL157" s="3" t="str">
        <f>_xlfn.XLOOKUP(B157,QUERY!$C:$C,QUERY!M:M)</f>
        <v>4 a 5 días</v>
      </c>
      <c r="FM157" s="3">
        <f>_xlfn.XLOOKUP(B157,QUERY!$C:$C,QUERY!N:N)</f>
        <v>1</v>
      </c>
      <c r="FN157" s="3" t="str">
        <f>_xlfn.XLOOKUP(B157,QUERY!$C:$C,QUERY!O:O)</f>
        <v>1 día o menos</v>
      </c>
      <c r="FO157" s="3">
        <f>_xlfn.XLOOKUP(B157,QUERY!$C:$C,QUERY!P:P)</f>
        <v>1</v>
      </c>
      <c r="FP157" s="3">
        <f>_xlfn.XLOOKUP(B157,QUERY!$C:$C,QUERY!Q:Q)</f>
        <v>1</v>
      </c>
      <c r="FQ157" s="3" t="str">
        <f>_xlfn.XLOOKUP(B157,QUERY!$C:$C,QUERY!R:R)</f>
        <v>1 día o menos</v>
      </c>
      <c r="FR157" s="4">
        <f>_xlfn.XLOOKUP(B157,QUERY!$C:$C,QUERY!S:S)</f>
        <v>46134</v>
      </c>
      <c r="FS157" s="3">
        <f>_xlfn.XLOOKUP(B157,QUERY!$C:$C,QUERY!T:T)</f>
        <v>5</v>
      </c>
      <c r="FT157" s="3" t="str">
        <f>_xlfn.XLOOKUP(B157,QUERY!$C:$C,QUERY!U:U)</f>
        <v>4 a 5 días</v>
      </c>
      <c r="FU157" s="3">
        <f>_xlfn.XLOOKUP(B157,QUERY!$C:$C,QUERY!V:V)</f>
        <v>18</v>
      </c>
      <c r="FV157" s="3" t="str">
        <f>_xlfn.XLOOKUP(B157,QUERY!$C:$C,QUERY!W:W)</f>
        <v>más de 16 días</v>
      </c>
      <c r="FW157" s="4">
        <f>_xlfn.XLOOKUP(B157,QUERY!$C:$C,QUERY!X:X)</f>
        <v>46153</v>
      </c>
      <c r="FX157" s="3">
        <f>_xlfn.XLOOKUP(B157,QUERY!$C:$C,QUERY!Y:Y)</f>
        <v>13</v>
      </c>
      <c r="FY157" s="3">
        <f>_xlfn.XLOOKUP(B157,QUERY!$C:$C,QUERY!Z:Z)</f>
        <v>13</v>
      </c>
      <c r="FZ157" s="4" t="str">
        <f>_xlfn.XLOOKUP(B157,QUERY!$C:$C,QUERY!AA:AA)</f>
        <v>más de 16 días</v>
      </c>
      <c r="GA157" s="4">
        <f>_xlfn.XLOOKUP(B157,QUERY!$C:$C,QUERY!AB:AB)</f>
        <v>46153</v>
      </c>
      <c r="GB157" s="4">
        <f>_xlfn.XLOOKUP(B157,QUERY!$C:$C,QUERY!AC:AC)</f>
        <v>46153</v>
      </c>
      <c r="GC157" s="3">
        <f>_xlfn.XLOOKUP(B157,QUERY!$C:$C,QUERY!AD:AD)</f>
        <v>0</v>
      </c>
      <c r="GD157" s="4">
        <f>_xlfn.XLOOKUP(B157,QUERY!$C:$C,QUERY!AE:AE)</f>
        <v>46153</v>
      </c>
      <c r="GE157" s="3">
        <f>_xlfn.XLOOKUP(B157,QUERY!$C:$C,QUERY!AF:AF)</f>
        <v>1</v>
      </c>
      <c r="GF157" s="4" t="str">
        <f>_xlfn.XLOOKUP(B157,QUERY!$C:$C,QUERY!AG:AG)</f>
        <v>Es anterior</v>
      </c>
      <c r="GG157" s="3" t="str">
        <f>_xlfn.XLOOKUP(B157,QUERY!$C:$C,QUERY!AH:AH)</f>
        <v>A1</v>
      </c>
      <c r="GH157" s="3" t="str">
        <f>_xlfn.XLOOKUP(B157,QUERY!$C:$C,QUERY!AI:AI)</f>
        <v>ZULEIMA PEREZ RUIZ</v>
      </c>
      <c r="GI157" s="3" t="str">
        <f>_xlfn.XLOOKUP(B157,QUERY!$C:$C,QUERY!AJ:AJ)</f>
        <v>HLCUHAM260357434</v>
      </c>
      <c r="GJ157" s="3" t="str">
        <f>_xlfn.XLOOKUP(B157,QUERY!$C:$C,QUERY!AK:AK)</f>
        <v>NULL</v>
      </c>
      <c r="GK157" s="3">
        <f>_xlfn.XLOOKUP(B157,QUERY!$C:$C,QUERY!AL:AL)</f>
        <v>6000581</v>
      </c>
      <c r="GL157" s="3" t="str">
        <f>_xlfn.XLOOKUP(B157,QUERY!$C:$C,QUERY!AM:AM)</f>
        <v>Importación</v>
      </c>
      <c r="GM157" s="3" t="str">
        <f>_xlfn.XLOOKUP(B157,QUERY!$C:$C,QUERY!AN:AN)</f>
        <v>BRAVECTO 1000 MG (MEDICAMENTO DOSIFICADO DE USO VETERINARIO)</v>
      </c>
      <c r="GN157" s="3" t="str">
        <f>_xlfn.XLOOKUP(B157,QUERY!$C:$C,QUERY!AO:AO)</f>
        <v>SIN CLASIFICACION</v>
      </c>
      <c r="GO157" s="3">
        <f>_xlfn.XLOOKUP(B157,QUERY!$C:$C,QUERY!AP:AP)</f>
        <v>0</v>
      </c>
      <c r="GP157" s="3" t="str">
        <f>_xlfn.XLOOKUP(B157,QUERY!$C:$C,QUERY!AQ:AQ)</f>
        <v>Cargas de Importación</v>
      </c>
      <c r="GQ157" s="3" t="str">
        <f>_xlfn.XLOOKUP(B157,QUERY!$C:$C,QUERY!AR:AR)</f>
        <v>INTERVET MEXICO SA DE CV</v>
      </c>
      <c r="GR157" s="3">
        <f>_xlfn.XLOOKUP(B157,QUERY!$C:$C,QUERY!AS:AS)</f>
        <v>0</v>
      </c>
      <c r="GS157" s="3" t="str">
        <f>_xlfn.XLOOKUP(B157,QUERY!$C:$C,QUERY!AT:AT)</f>
        <v>FALTA RRNA</v>
      </c>
      <c r="GT157" s="3">
        <f>_xlfn.XLOOKUP(B157,QUERY!$C:$C,QUERY!AU:AU)</f>
        <v>0</v>
      </c>
      <c r="GU157" s="3" t="str">
        <f>_xlfn.XLOOKUP(B157,QUERY!$C:$C,QUERY!AV:AV)</f>
        <v>FALTA RRNA</v>
      </c>
      <c r="GV157" s="3" t="str">
        <f>_xlfn.XLOOKUP(B157,QUERY!$C:$C,QUERY!AW:AW)</f>
        <v>PRODUCTO TERMINADO</v>
      </c>
      <c r="GW157" s="3" t="str">
        <f>_xlfn.XLOOKUP(B157,QUERY!$C:$C,QUERY!AX:AX)</f>
        <v>Rojo</v>
      </c>
      <c r="GX157" s="3" t="str">
        <f>_xlfn.XLOOKUP(B157,QUERY!$C:$C,QUERY!AY:AY)</f>
        <v xml:space="preserve"> SUPER EXPRESS DE CARGA FEDERAL S.A. DE C.V.</v>
      </c>
      <c r="GY157" s="3">
        <f>_xlfn.XLOOKUP(B157,QUERY!$C:$C,QUERY!AZ:AZ)</f>
        <v>0</v>
      </c>
      <c r="GZ157" s="3" t="str">
        <f>_xlfn.XLOOKUP(B157,QUERY!$C:$C,QUERY!BA:BA)</f>
        <v>IME-T005</v>
      </c>
      <c r="HA157" s="3" t="str">
        <f>_xlfn.XLOOKUP(B157,QUERY!$C:$C,QUERY!BB:BB)</f>
        <v>IME850329RH2</v>
      </c>
      <c r="HB157" s="3">
        <f>_xlfn.XLOOKUP(B157,QUERY!$C:$C,QUERY!BC:BC)</f>
        <v>0</v>
      </c>
      <c r="HC157" s="3">
        <f>_xlfn.XLOOKUP(B157,QUERY!$C:$C,QUERY!BD:BD)</f>
        <v>99</v>
      </c>
      <c r="HD157" s="3" t="str">
        <f>_xlfn.XLOOKUP(B157,QUERY!$C:$C,QUERY!BE:BE)</f>
        <v>LOTE: 25M4254C01,LOTE: A674T01,LOTE: 26P1001A01</v>
      </c>
      <c r="HE157" s="3">
        <f>_xlfn.XLOOKUP(B157,QUERY!$C:$C,QUERY!BF:BF)</f>
        <v>90</v>
      </c>
      <c r="HF157" s="3" t="str">
        <f>_xlfn.XLOOKUP(B157,QUERY!$C:$C,QUERY!BG:BG)</f>
        <v xml:space="preserve"> 11116743.74</v>
      </c>
      <c r="HG157" s="3" t="str">
        <f>_xlfn.XLOOKUP(B157,QUERY!$C:$C,QUERY!BH:BH)</f>
        <v>KILO,KILO,KILO</v>
      </c>
      <c r="HH157" s="3">
        <f>_xlfn.XLOOKUP(B157,QUERY!$C:$C,QUERY!BI:BI)</f>
        <v>0</v>
      </c>
      <c r="HI157" s="3" t="str">
        <f>_xlfn.XLOOKUP(B157,QUERY!$C:$C,QUERY!BJ:BJ)</f>
        <v>AUSTRIA (REPUBLICA DE)</v>
      </c>
      <c r="HJ157" s="3" t="str">
        <f>_xlfn.XLOOKUP(B157,QUERY!$C:$C,QUERY!BK:BK)</f>
        <v>PAISES BAJOS (REINO DE LOS) (HOLANDA)</v>
      </c>
      <c r="HK157" s="3" t="str">
        <f>_xlfn.XLOOKUP(B157,QUERY!$C:$C,QUERY!BL:BL)</f>
        <v>AUT</v>
      </c>
      <c r="HL157" s="3" t="str">
        <f>_xlfn.XLOOKUP(B157,QUERY!$C:$C,QUERY!BM:BM)</f>
        <v>ZYA</v>
      </c>
      <c r="HM157" s="3">
        <f>_xlfn.XLOOKUP(B157,QUERY!$C:$C,QUERY!BN:BN)</f>
        <v>11116744</v>
      </c>
      <c r="HN157" s="3" t="str">
        <f>_xlfn.XLOOKUP(B157,QUERY!$C:$C,QUERY!BO:BO)</f>
        <v>32601.00</v>
      </c>
      <c r="HO157" s="3" t="str">
        <f>_xlfn.XLOOKUP(B157,QUERY!$C:$C,QUERY!BP:BP)</f>
        <v>NULL</v>
      </c>
      <c r="HP157" s="3" t="str">
        <f>_xlfn.XLOOKUP(B157,QUERY!$C:$C,QUERY!BQ:BQ)</f>
        <v>407518.00</v>
      </c>
      <c r="HQ157" s="3" t="str">
        <f>_xlfn.XLOOKUP(B157,QUERY!$C:$C,QUERY!BR:BR)</f>
        <v>155013.37</v>
      </c>
      <c r="HR157" s="3">
        <f>_xlfn.XLOOKUP(B157,QUERY!$C:$C,QUERY!BS:BS)</f>
        <v>0</v>
      </c>
      <c r="HS157" s="3">
        <f>_xlfn.XLOOKUP(B157,QUERY!$C:$C,QUERY!BT:BT)</f>
        <v>0</v>
      </c>
      <c r="HT157" s="3" t="str">
        <f>_xlfn.XLOOKUP(B157,QUERY!$C:$C,QUERY!A:A)</f>
        <v>VERACRUZ</v>
      </c>
      <c r="HU157" s="3" t="str">
        <f>_xlfn.XLOOKUP(B157,QUERY!$C:$C,QUERY!B:B)</f>
        <v>MARÍTIMO VERACRUZ</v>
      </c>
    </row>
    <row r="158" spans="1:229" x14ac:dyDescent="0.25">
      <c r="A158" s="3" t="s">
        <v>90</v>
      </c>
      <c r="B158" s="3" t="s">
        <v>433</v>
      </c>
      <c r="C158" s="3">
        <v>3942</v>
      </c>
      <c r="D158" s="3">
        <v>6000582</v>
      </c>
      <c r="E158" s="3"/>
      <c r="F158" s="3" t="s">
        <v>92</v>
      </c>
      <c r="G158" s="3" t="s">
        <v>93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17.347000000000001</v>
      </c>
      <c r="Q158" s="3">
        <v>2904</v>
      </c>
      <c r="R158" s="3">
        <v>430</v>
      </c>
      <c r="S158" s="3" t="s">
        <v>434</v>
      </c>
      <c r="T158" s="3" t="s">
        <v>95</v>
      </c>
      <c r="U158" s="3">
        <v>15215720</v>
      </c>
      <c r="V158" s="3">
        <v>15215720</v>
      </c>
      <c r="W158" s="3">
        <v>0</v>
      </c>
      <c r="X158" s="3">
        <v>0</v>
      </c>
      <c r="Y158" s="3">
        <v>0</v>
      </c>
      <c r="Z158" s="3">
        <v>0</v>
      </c>
      <c r="AA158" s="3" t="s">
        <v>435</v>
      </c>
      <c r="AB158" s="3"/>
      <c r="AC158" s="3">
        <v>1675479</v>
      </c>
      <c r="AD158" s="3">
        <v>59.329990000000002</v>
      </c>
      <c r="AE158" s="3">
        <v>354</v>
      </c>
      <c r="AF158" s="3">
        <v>10</v>
      </c>
      <c r="AG158" s="3">
        <v>582093</v>
      </c>
      <c r="AH158" s="3">
        <v>0</v>
      </c>
      <c r="AI158" s="3">
        <v>53</v>
      </c>
      <c r="AJ158" s="3">
        <v>46567</v>
      </c>
      <c r="AK158" s="3">
        <v>0</v>
      </c>
      <c r="AL158" s="3">
        <v>0</v>
      </c>
      <c r="AM158" s="3">
        <v>330</v>
      </c>
      <c r="AN158" s="3">
        <v>629043</v>
      </c>
      <c r="AO158" s="3" t="s">
        <v>97</v>
      </c>
      <c r="AP158" s="3" t="s">
        <v>98</v>
      </c>
      <c r="AQ158" s="3">
        <v>210370445</v>
      </c>
      <c r="AR158" s="3" t="s">
        <v>99</v>
      </c>
      <c r="AS158" s="3" t="s">
        <v>100</v>
      </c>
      <c r="AT158" s="3" t="s">
        <v>436</v>
      </c>
      <c r="AU158" s="3"/>
      <c r="AV158" s="3" t="s">
        <v>102</v>
      </c>
      <c r="AW158" s="3">
        <v>30049099</v>
      </c>
      <c r="AX158" s="3">
        <v>99</v>
      </c>
      <c r="AY158" s="3">
        <v>28240</v>
      </c>
      <c r="AZ158" s="3">
        <v>28240</v>
      </c>
      <c r="BA158" s="3" t="s">
        <v>103</v>
      </c>
      <c r="BB158" s="3"/>
      <c r="BC158" s="3" t="s">
        <v>133</v>
      </c>
      <c r="BD158" s="3" t="s">
        <v>105</v>
      </c>
      <c r="BE158" s="3" t="s">
        <v>106</v>
      </c>
      <c r="BF158" s="3" t="s">
        <v>107</v>
      </c>
      <c r="BG158" s="5">
        <v>4.30640220261306E+16</v>
      </c>
      <c r="BH158" s="3" t="s">
        <v>108</v>
      </c>
      <c r="BI158" s="3"/>
      <c r="BJ158" s="3" t="s">
        <v>109</v>
      </c>
      <c r="BK158" s="3" t="s">
        <v>437</v>
      </c>
      <c r="BL158" s="3">
        <v>45990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22189.59</v>
      </c>
      <c r="BY158" s="3">
        <v>0</v>
      </c>
      <c r="BZ158" s="3">
        <v>0</v>
      </c>
      <c r="CA158" s="3">
        <v>35271.660000000003</v>
      </c>
      <c r="CB158" s="3">
        <v>18000</v>
      </c>
      <c r="CC158" s="3">
        <v>3323.2</v>
      </c>
      <c r="CD158" s="3">
        <v>216973.64</v>
      </c>
      <c r="CE158" s="3" t="s">
        <v>192</v>
      </c>
      <c r="CF158" s="3">
        <v>216973.64</v>
      </c>
      <c r="CG158" s="3">
        <v>0</v>
      </c>
      <c r="CH158" s="3">
        <v>0</v>
      </c>
      <c r="CI158" s="3" t="s">
        <v>112</v>
      </c>
      <c r="CJ158" s="3" t="s">
        <v>112</v>
      </c>
      <c r="CK158" s="3">
        <f>_xlfn.XLOOKUP($B$2,'BASE DE EXCEL'!C:C,'BASE DE EXCEL'!D:D,"NO HAY REFERENCIA")</f>
        <v>470</v>
      </c>
      <c r="CL158" s="5">
        <f>_xlfn.XLOOKUP($B$2,'BASE DE EXCEL'!$C:$C,'BASE DE EXCEL'!F:F,"NO HAY REFERENCIA")</f>
        <v>3</v>
      </c>
      <c r="CM158" s="4">
        <f>_xlfn.XLOOKUP($B$2,'BASE DE EXCEL'!$C:$C,'BASE DE EXCEL'!G:G,"NO HAY REFERENCIA")</f>
        <v>46080</v>
      </c>
      <c r="CN158" s="4">
        <f>_xlfn.XLOOKUP($B$2,'BASE DE EXCEL'!$C:$C,'BASE DE EXCEL'!H:H,"NO HAY REFERENCIA")</f>
        <v>46086</v>
      </c>
      <c r="CO158" s="3">
        <f>_xlfn.XLOOKUP($B$2,'BASE DE EXCEL'!$C:$C,'BASE DE EXCEL'!I:I,"NO HAY REFERENCIA")</f>
        <v>4</v>
      </c>
      <c r="CP158" s="3" t="str">
        <f>_xlfn.XLOOKUP($B$2,'BASE DE EXCEL'!$C:$C,'BASE DE EXCEL'!J:J,"NO HAY REFERENCIA")</f>
        <v>4 a 5 días</v>
      </c>
      <c r="CQ158" s="4">
        <f>_xlfn.XLOOKUP($B$2,'BASE DE EXCEL'!$C:$C,'BASE DE EXCEL'!K:K,"NO HAY REFERENCIA")</f>
        <v>46087</v>
      </c>
      <c r="CR158" s="3">
        <f>_xlfn.XLOOKUP($B$2,'BASE DE EXCEL'!$C:$C,'BASE DE EXCEL'!L:L,"NO HAY REFERENCIA")</f>
        <v>5</v>
      </c>
      <c r="CS158" s="3">
        <f>_xlfn.XLOOKUP($B$2,'BASE DE EXCEL'!$C:$C,'BASE DE EXCEL'!M:M,"NO HAY REFERENCIA")</f>
        <v>6</v>
      </c>
      <c r="CT158" s="3" t="str">
        <f>_xlfn.XLOOKUP($B$2,'BASE DE EXCEL'!$C:$C,'BASE DE EXCEL'!N:N,"NO HAY REFERENCIA")</f>
        <v>6 a 10 días</v>
      </c>
      <c r="CU158" s="3" t="str">
        <f>_xlfn.XLOOKUP($B$2,'BASE DE EXCEL'!$C:$C,'BASE DE EXCEL'!O:O,"NO HAY REFERENCIA")</f>
        <v>On Time</v>
      </c>
      <c r="CV158" s="3" t="str">
        <f>_xlfn.XLOOKUP(B158,'BASE DE EXCEL'!$C:$C,'BASE DE EXCEL'!P:P,"NO HAY REFERENCIA")</f>
        <v>11 a 15 días</v>
      </c>
      <c r="CW158" s="4">
        <f>_xlfn.XLOOKUP(B158,'BASE DE EXCEL'!$C:$C,'BASE DE EXCEL'!Q:Q,"NO HAY REFERENCIA")</f>
        <v>46140</v>
      </c>
      <c r="CX158" s="3">
        <f>_xlfn.XLOOKUP(B158,'BASE DE EXCEL'!$C:$C,'BASE DE EXCEL'!R:R,"NO HAY REFERENCIA")</f>
        <v>10</v>
      </c>
      <c r="CY158" s="3" t="str">
        <f>_xlfn.XLOOKUP(B158,'BASE DE EXCEL'!$C:$C,'BASE DE EXCEL'!S:S,"NO HAY REFERENCIA")</f>
        <v>6 a 10 días</v>
      </c>
      <c r="CZ158" s="3" t="str">
        <f>_xlfn.XLOOKUP(B158,'BASE DE EXCEL'!$C:$C,'BASE DE EXCEL'!T:T,"NO HAY REFERENCIA")</f>
        <v>Delayed</v>
      </c>
      <c r="DA158" s="3">
        <f>_xlfn.XLOOKUP(B158,'BASE DE EXCEL'!$C:$C,'BASE DE EXCEL'!U:U,"NO HAY REFERENCIA")</f>
        <v>13</v>
      </c>
      <c r="DB158" s="3" t="str">
        <f>_xlfn.XLOOKUP(B158,'BASE DE EXCEL'!$C:$C,'BASE DE EXCEL'!V:V,"NO HAY REFERENCIA")</f>
        <v>6 a 10 días</v>
      </c>
      <c r="DC158" s="3">
        <f>_xlfn.XLOOKUP(B158,'BASE DE EXCEL'!$C:$C,'BASE DE EXCEL'!W:W,"NO HAY REFERENCIA")</f>
        <v>18</v>
      </c>
      <c r="DD158" s="3" t="str">
        <f>_xlfn.XLOOKUP(B158,'BASE DE EXCEL'!$C:$C,'BASE DE EXCEL'!X:X,"NO HAY REFERENCIA")</f>
        <v>más de 16 días</v>
      </c>
      <c r="DE158" s="3">
        <f>_xlfn.XLOOKUP(B158,'BASE DE EXCEL'!$C:$C,'BASE DE EXCEL'!Y:Y,"NO HAY REFERENCIA")</f>
        <v>0</v>
      </c>
      <c r="DF158" s="3" t="str">
        <f>_xlfn.XLOOKUP(B158,'BASE DE EXCEL'!$C:$C,'BASE DE EXCEL'!Z:Z,"NO HAY REFERENCIA")</f>
        <v>1 día o menos</v>
      </c>
      <c r="DG158" s="3">
        <f>_xlfn.XLOOKUP(B158,'BASE DE EXCEL'!$C:$C,'BASE DE EXCEL'!AA:AA,"NO HAY REFERENCIA")</f>
        <v>12</v>
      </c>
      <c r="DH158" s="3">
        <f>_xlfn.XLOOKUP(B158,'BASE DE EXCEL'!$C:$C,'BASE DE EXCEL'!AB:AB,"NO HAY REFERENCIA")</f>
        <v>1</v>
      </c>
      <c r="DI158" s="3" t="str">
        <f>_xlfn.XLOOKUP(B158,'BASE DE EXCEL'!$C:$C,'BASE DE EXCEL'!AC:AC,"NO HAY REFERENCIA")</f>
        <v>1 día o menos</v>
      </c>
      <c r="DJ158" s="4">
        <f>_xlfn.XLOOKUP(B158,'BASE DE EXCEL'!$C:$C,'BASE DE EXCEL'!AD:AD,"NO HAY REFERENCIA")</f>
        <v>46153</v>
      </c>
      <c r="DK158" s="3">
        <f>_xlfn.XLOOKUP(B158,'BASE DE EXCEL'!$C:$C,'BASE DE EXCEL'!AE:AE,"NO HAY REFERENCIA")</f>
        <v>13</v>
      </c>
      <c r="DL158" s="3">
        <f>_xlfn.XLOOKUP(B158,'BASE DE EXCEL'!$C:$C,'BASE DE EXCEL'!AF:AF,"NO HAY REFERENCIA")</f>
        <v>9</v>
      </c>
      <c r="DM158" s="4">
        <f>_xlfn.XLOOKUP(B158,'BASE DE EXCEL'!$C:$C,'BASE DE EXCEL'!AG:AG,"NO HAY REFERENCIA")</f>
        <v>46153</v>
      </c>
      <c r="DN158" s="4">
        <f>_xlfn.XLOOKUP(B158,'BASE DE EXCEL'!$C:$C,'BASE DE EXCEL'!AH:AH,"NO HAY REFERENCIA")</f>
        <v>46153</v>
      </c>
      <c r="DO158" s="3">
        <f>_xlfn.XLOOKUP(B158,'BASE DE EXCEL'!$C:$C,'BASE DE EXCEL'!AI:AI,"NO HAY REFERENCIA")</f>
        <v>0</v>
      </c>
      <c r="DP158" s="4" t="str">
        <f>_xlfn.XLOOKUP(B158,'BASE DE EXCEL'!$C:$C,'BASE DE EXCEL'!AJ:AJ,"NO HAY REFERENCIA")</f>
        <v>11 a 15 días</v>
      </c>
      <c r="DQ158" s="4">
        <f>_xlfn.XLOOKUP(B158,'BASE DE EXCEL'!$C:$C,'BASE DE EXCEL'!AK:AK,"NO HAY REFERENCIA")</f>
        <v>46153</v>
      </c>
      <c r="DR158" s="3">
        <f>_xlfn.XLOOKUP(B158,'BASE DE EXCEL'!$C:$C,'BASE DE EXCEL'!AL:AL,"NO HAY REFERENCIA")</f>
        <v>9</v>
      </c>
      <c r="DS158" s="3" t="str">
        <f>_xlfn.XLOOKUP(B158,'BASE DE EXCEL'!$C:$C,'BASE DE EXCEL'!AM:AM,"NO HAY REFERENCIA")</f>
        <v>6 a 10 días</v>
      </c>
      <c r="DT158" s="3" t="str">
        <f>_xlfn.XLOOKUP(B158,'BASE DE EXCEL'!$C:$C,'BASE DE EXCEL'!AN:AN,"NO HAY REFERENCIA")</f>
        <v>Delayed</v>
      </c>
      <c r="DU158" s="3">
        <f>_xlfn.XLOOKUP(B158,'BASE DE EXCEL'!$C:$C,'BASE DE EXCEL'!AO:AO,"NO HAY REFERENCIA")</f>
        <v>1</v>
      </c>
      <c r="DV158" s="3" t="str">
        <f>_xlfn.XLOOKUP(B158,'BASE DE EXCEL'!$C:$C,'BASE DE EXCEL'!AP:AP,"NO HAY REFERENCIA")</f>
        <v>Es anterior</v>
      </c>
      <c r="DW158" s="3" t="str">
        <f>_xlfn.XLOOKUP(B158,'BASE DE EXCEL'!$C:$C,'BASE DE EXCEL'!AQ:AQ,"NO HAY REFERENCIA")</f>
        <v>A1</v>
      </c>
      <c r="DX158" s="3" t="str">
        <f>_xlfn.XLOOKUP(B158,'BASE DE EXCEL'!$C:$C,'BASE DE EXCEL'!AR:AR,"NO HAY REFERENCIA")</f>
        <v>ZULEIMA PEREZ RUIZ</v>
      </c>
      <c r="DY158" s="3" t="str">
        <f>_xlfn.XLOOKUP(B158,'BASE DE EXCEL'!$C:$C,'BASE DE EXCEL'!AS:AS,"NO HAY REFERENCIA")</f>
        <v>HLCUHAM2602AZCL0</v>
      </c>
      <c r="DZ158" s="3" t="str">
        <f>_xlfn.XLOOKUP(B158,'BASE DE EXCEL'!$C:$C,'BASE DE EXCEL'!AT:AT,"NO HAY REFERENCIA")</f>
        <v>NULL</v>
      </c>
      <c r="EA158" s="3">
        <f>_xlfn.XLOOKUP(B158,'BASE DE EXCEL'!$C:$C,'BASE DE EXCEL'!AU:AU,"NO HAY REFERENCIA")</f>
        <v>6000582</v>
      </c>
      <c r="EB158" s="3" t="str">
        <f>_xlfn.XLOOKUP(B158,'BASE DE EXCEL'!$C:$C,'BASE DE EXCEL'!AV:AV,"NO HAY REFERENCIA")</f>
        <v>Importación</v>
      </c>
      <c r="EC158" s="3" t="str">
        <f>_xlfn.XLOOKUP(B158,'BASE DE EXCEL'!$C:$C,'BASE DE EXCEL'!AW:AW,"NO HAY REFERENCIA")</f>
        <v>BRAVECTO 1M 45MG (MEDICAMENTO DOSIFICADO DE USO VETERINARIO)</v>
      </c>
      <c r="ED158" s="3" t="str">
        <f>_xlfn.XLOOKUP(B158,'BASE DE EXCEL'!$C:$C,'BASE DE EXCEL'!AX:AX,"NO HAY REFERENCIA")</f>
        <v>SIN CLASIFICACION</v>
      </c>
      <c r="EE158" s="3">
        <f>_xlfn.XLOOKUP(B158,'BASE DE EXCEL'!$C:$C,'BASE DE EXCEL'!AY:AY,"NO HAY REFERENCIA")</f>
        <v>0</v>
      </c>
      <c r="EF158" s="3" t="str">
        <f>_xlfn.XLOOKUP(B158,'BASE DE EXCEL'!$C:$C,'BASE DE EXCEL'!AZ:AZ,"NO HAY REFERENCIA")</f>
        <v>Cargas de Importación</v>
      </c>
      <c r="EG158" s="3" t="str">
        <f>_xlfn.XLOOKUP(B158,'BASE DE EXCEL'!$C:$C,'BASE DE EXCEL'!BA:BA,"NO HAY REFERENCIA")</f>
        <v>INTERVET MEXICO SA DE CV</v>
      </c>
      <c r="EH158" s="3">
        <f>_xlfn.XLOOKUP(B158,'BASE DE EXCEL'!$C:$C,'BASE DE EXCEL'!BB:BB,"NO HAY REFERENCIA")</f>
        <v>0</v>
      </c>
      <c r="EI158" s="3" t="str">
        <f>_xlfn.XLOOKUP(B158,'BASE DE EXCEL'!$C:$C,'BASE DE EXCEL'!BC:BC,"NO HAY REFERENCIA")</f>
        <v>FALTA RRNA</v>
      </c>
      <c r="EJ158" s="3">
        <f>_xlfn.XLOOKUP(B158,'BASE DE EXCEL'!$C:$C,'BASE DE EXCEL'!BD:BD,"NO HAY REFERENCIA")</f>
        <v>0</v>
      </c>
      <c r="EK158" s="3" t="str">
        <f>_xlfn.XLOOKUP(B158,'BASE DE EXCEL'!$C:$C,'BASE DE EXCEL'!BE:BE,"NO HAY REFERENCIA")</f>
        <v>FALTA RRNA</v>
      </c>
      <c r="EL158" s="3" t="str">
        <f>_xlfn.XLOOKUP(B158,'BASE DE EXCEL'!$C:$C,'BASE DE EXCEL'!BF:BF,"NO HAY REFERENCIA")</f>
        <v>PRODUCTO TERMINADO</v>
      </c>
      <c r="EM158" s="3" t="str">
        <f>_xlfn.XLOOKUP(B158,'BASE DE EXCEL'!$C:$C,'BASE DE EXCEL'!BG:BG,"NO HAY REFERENCIA")</f>
        <v>Verde</v>
      </c>
      <c r="EN158" s="3" t="str">
        <f>_xlfn.XLOOKUP(B158,'BASE DE EXCEL'!$C:$C,'BASE DE EXCEL'!BH:BH,"NO HAY REFERENCIA")</f>
        <v xml:space="preserve"> SUPER EXPRESS DE CARGA FEDERAL S.A. DE C.V.</v>
      </c>
      <c r="EO158" s="3">
        <f>_xlfn.XLOOKUP(B158,'BASE DE EXCEL'!$C:$C,'BASE DE EXCEL'!BI:BI,"NO HAY REFERENCIA")</f>
        <v>0</v>
      </c>
      <c r="EP158" s="3" t="str">
        <f>_xlfn.XLOOKUP(B158,'BASE DE EXCEL'!$C:$C,'BASE DE EXCEL'!BJ:BJ,"NO HAY REFERENCIA")</f>
        <v>IME-T006</v>
      </c>
      <c r="EQ158" s="3" t="str">
        <f>_xlfn.XLOOKUP(B158,'BASE DE EXCEL'!$C:$C,'BASE DE EXCEL'!BK:BK,"NO HAY REFERENCIA")</f>
        <v>IME850329RH2</v>
      </c>
      <c r="ER158" s="3">
        <f>_xlfn.XLOOKUP(B158,'BASE DE EXCEL'!$C:$C,'BASE DE EXCEL'!BL:BL,"NO HAY REFERENCIA")</f>
        <v>0</v>
      </c>
      <c r="ES158" s="3">
        <f>_xlfn.XLOOKUP(B158,'BASE DE EXCEL'!$C:$C,'BASE DE EXCEL'!BM:BM,"NO HAY REFERENCIA")</f>
        <v>99</v>
      </c>
      <c r="ET158" s="3" t="str">
        <f>_xlfn.XLOOKUP(B158,'BASE DE EXCEL'!$C:$C,'BASE DE EXCEL'!BN:BN,"NO HAY REFERENCIA")</f>
        <v>LOTE: 25E1003C06,LOTE: A075C01,LOTE: B031T01</v>
      </c>
      <c r="EU158" s="3">
        <f>_xlfn.XLOOKUP(B158,'BASE DE EXCEL'!$C:$C,'BASE DE EXCEL'!BO:BO,"NO HAY REFERENCIA")</f>
        <v>90</v>
      </c>
      <c r="EV158" s="3" t="str">
        <f>_xlfn.XLOOKUP(B158,'BASE DE EXCEL'!$C:$C,'BASE DE EXCEL'!BP:BP,"NO HAY REFERENCIA")</f>
        <v xml:space="preserve"> 7496410.42, 7719310.00</v>
      </c>
      <c r="EW158" s="3" t="str">
        <f>_xlfn.XLOOKUP(B158,'BASE DE EXCEL'!$C:$C,'BASE DE EXCEL'!BQ:BQ,"NO HAY REFERENCIA")</f>
        <v>KILO,KILO,KILO</v>
      </c>
      <c r="EX158" s="3">
        <f>_xlfn.XLOOKUP(B158,'BASE DE EXCEL'!$C:$C,'BASE DE EXCEL'!BR:BR,"NO HAY REFERENCIA")</f>
        <v>0</v>
      </c>
      <c r="EY158" s="3" t="str">
        <f>_xlfn.XLOOKUP(B158,'BASE DE EXCEL'!$C:$C,'BASE DE EXCEL'!BS:BS,"NO HAY REFERENCIA")</f>
        <v>AUSTRIA (REPUBLICA DE)</v>
      </c>
      <c r="EZ158" s="3" t="str">
        <f>_xlfn.XLOOKUP(B158,'BASE DE EXCEL'!$C:$C,'BASE DE EXCEL'!BT:BT,"NO HAY REFERENCIA")</f>
        <v>PAISES BAJOS (REINO DE LOS) (HOLANDA)</v>
      </c>
      <c r="FA158" s="3" t="str">
        <f>_xlfn.XLOOKUP(B158,'BASE DE EXCEL'!$C:$C,'BASE DE EXCEL'!BU:BU,"NO HAY REFERENCIA")</f>
        <v>AUT</v>
      </c>
      <c r="FB158" s="3" t="str">
        <f>_xlfn.XLOOKUP(B158,'BASE DE EXCEL'!$C:$C,'BASE DE EXCEL'!BV:BV,"NO HAY REFERENCIA")</f>
        <v>ZYA</v>
      </c>
      <c r="FC158" s="3">
        <f>_xlfn.XLOOKUP(B158,QUERY!$C:$C,QUERY!D:D)</f>
        <v>430</v>
      </c>
      <c r="FD158" s="4">
        <f>_xlfn.XLOOKUP(B158,QUERY!$C:$C,QUERY!E:E)</f>
        <v>46139</v>
      </c>
      <c r="FE158" s="3">
        <f>_xlfn.XLOOKUP(B158,QUERY!$C:$C,QUERY!F:F)</f>
        <v>4</v>
      </c>
      <c r="FF158" s="4">
        <f>_xlfn.XLOOKUP(B158,QUERY!$C:$C,QUERY!G:G)</f>
        <v>46127</v>
      </c>
      <c r="FG158" s="4">
        <f>_xlfn.XLOOKUP(B158,QUERY!$C:$C,QUERY!H:H)</f>
        <v>46139</v>
      </c>
      <c r="FH158" s="3">
        <f>_xlfn.XLOOKUP(B158,QUERY!$C:$C,QUERY!I:I)</f>
        <v>8</v>
      </c>
      <c r="FI158" s="3" t="str">
        <f>_xlfn.XLOOKUP(B158,QUERY!$C:$C,QUERY!J:J)</f>
        <v>6 a 10 días</v>
      </c>
      <c r="FJ158" s="4">
        <f>_xlfn.XLOOKUP(B158,QUERY!$C:$C,QUERY!K:K)</f>
        <v>46139</v>
      </c>
      <c r="FK158" s="3">
        <f>_xlfn.XLOOKUP(B158,QUERY!$C:$C,QUERY!L:L)</f>
        <v>8</v>
      </c>
      <c r="FL158" s="3" t="str">
        <f>_xlfn.XLOOKUP(B158,QUERY!$C:$C,QUERY!M:M)</f>
        <v>6 a 10 días</v>
      </c>
      <c r="FM158" s="3">
        <f>_xlfn.XLOOKUP(B158,QUERY!$C:$C,QUERY!N:N)</f>
        <v>0</v>
      </c>
      <c r="FN158" s="3" t="str">
        <f>_xlfn.XLOOKUP(B158,QUERY!$C:$C,QUERY!O:O)</f>
        <v>1 día o menos</v>
      </c>
      <c r="FO158" s="3">
        <f>_xlfn.XLOOKUP(B158,QUERY!$C:$C,QUERY!P:P)</f>
        <v>0</v>
      </c>
      <c r="FP158" s="3">
        <f>_xlfn.XLOOKUP(B158,QUERY!$C:$C,QUERY!Q:Q)</f>
        <v>1</v>
      </c>
      <c r="FQ158" s="3" t="str">
        <f>_xlfn.XLOOKUP(B158,QUERY!$C:$C,QUERY!R:R)</f>
        <v>1 día o menos</v>
      </c>
      <c r="FR158" s="4">
        <f>_xlfn.XLOOKUP(B158,QUERY!$C:$C,QUERY!S:S)</f>
        <v>46140</v>
      </c>
      <c r="FS158" s="3">
        <f>_xlfn.XLOOKUP(B158,QUERY!$C:$C,QUERY!T:T)</f>
        <v>9</v>
      </c>
      <c r="FT158" s="3" t="str">
        <f>_xlfn.XLOOKUP(B158,QUERY!$C:$C,QUERY!U:U)</f>
        <v>6 a 10 días</v>
      </c>
      <c r="FU158" s="3">
        <f>_xlfn.XLOOKUP(B158,QUERY!$C:$C,QUERY!V:V)</f>
        <v>18</v>
      </c>
      <c r="FV158" s="3" t="str">
        <f>_xlfn.XLOOKUP(B158,QUERY!$C:$C,QUERY!W:W)</f>
        <v>más de 16 días</v>
      </c>
      <c r="FW158" s="4">
        <f>_xlfn.XLOOKUP(B158,QUERY!$C:$C,QUERY!X:X)</f>
        <v>46153</v>
      </c>
      <c r="FX158" s="3">
        <f>_xlfn.XLOOKUP(B158,QUERY!$C:$C,QUERY!Y:Y)</f>
        <v>9</v>
      </c>
      <c r="FY158" s="3">
        <f>_xlfn.XLOOKUP(B158,QUERY!$C:$C,QUERY!Z:Z)</f>
        <v>9</v>
      </c>
      <c r="FZ158" s="4" t="str">
        <f>_xlfn.XLOOKUP(B158,QUERY!$C:$C,QUERY!AA:AA)</f>
        <v>11 a 15 días</v>
      </c>
      <c r="GA158" s="4">
        <f>_xlfn.XLOOKUP(B158,QUERY!$C:$C,QUERY!AB:AB)</f>
        <v>46153</v>
      </c>
      <c r="GB158" s="4">
        <f>_xlfn.XLOOKUP(B158,QUERY!$C:$C,QUERY!AC:AC)</f>
        <v>46153</v>
      </c>
      <c r="GC158" s="3">
        <f>_xlfn.XLOOKUP(B158,QUERY!$C:$C,QUERY!AD:AD)</f>
        <v>0</v>
      </c>
      <c r="GD158" s="4">
        <f>_xlfn.XLOOKUP(B158,QUERY!$C:$C,QUERY!AE:AE)</f>
        <v>46153</v>
      </c>
      <c r="GE158" s="3">
        <f>_xlfn.XLOOKUP(B158,QUERY!$C:$C,QUERY!AF:AF)</f>
        <v>1</v>
      </c>
      <c r="GF158" s="4" t="str">
        <f>_xlfn.XLOOKUP(B158,QUERY!$C:$C,QUERY!AG:AG)</f>
        <v>Es anterior</v>
      </c>
      <c r="GG158" s="3" t="str">
        <f>_xlfn.XLOOKUP(B158,QUERY!$C:$C,QUERY!AH:AH)</f>
        <v>A1</v>
      </c>
      <c r="GH158" s="3" t="str">
        <f>_xlfn.XLOOKUP(B158,QUERY!$C:$C,QUERY!AI:AI)</f>
        <v>ZULEIMA PEREZ RUIZ</v>
      </c>
      <c r="GI158" s="3" t="str">
        <f>_xlfn.XLOOKUP(B158,QUERY!$C:$C,QUERY!AJ:AJ)</f>
        <v>HLCUHAM2602AZCL0</v>
      </c>
      <c r="GJ158" s="3" t="str">
        <f>_xlfn.XLOOKUP(B158,QUERY!$C:$C,QUERY!AK:AK)</f>
        <v>NULL</v>
      </c>
      <c r="GK158" s="3">
        <f>_xlfn.XLOOKUP(B158,QUERY!$C:$C,QUERY!AL:AL)</f>
        <v>6000582</v>
      </c>
      <c r="GL158" s="3" t="str">
        <f>_xlfn.XLOOKUP(B158,QUERY!$C:$C,QUERY!AM:AM)</f>
        <v>Importación</v>
      </c>
      <c r="GM158" s="3" t="str">
        <f>_xlfn.XLOOKUP(B158,QUERY!$C:$C,QUERY!AN:AN)</f>
        <v>BRAVECTO 1M 45MG (MEDICAMENTO DOSIFICADO DE USO VETERINARIO)</v>
      </c>
      <c r="GN158" s="3" t="str">
        <f>_xlfn.XLOOKUP(B158,QUERY!$C:$C,QUERY!AO:AO)</f>
        <v>SIN CLASIFICACION</v>
      </c>
      <c r="GO158" s="3">
        <f>_xlfn.XLOOKUP(B158,QUERY!$C:$C,QUERY!AP:AP)</f>
        <v>0</v>
      </c>
      <c r="GP158" s="3" t="str">
        <f>_xlfn.XLOOKUP(B158,QUERY!$C:$C,QUERY!AQ:AQ)</f>
        <v>Cargas de Importación</v>
      </c>
      <c r="GQ158" s="3" t="str">
        <f>_xlfn.XLOOKUP(B158,QUERY!$C:$C,QUERY!AR:AR)</f>
        <v>INTERVET MEXICO SA DE CV</v>
      </c>
      <c r="GR158" s="3">
        <f>_xlfn.XLOOKUP(B158,QUERY!$C:$C,QUERY!AS:AS)</f>
        <v>0</v>
      </c>
      <c r="GS158" s="3" t="str">
        <f>_xlfn.XLOOKUP(B158,QUERY!$C:$C,QUERY!AT:AT)</f>
        <v>FALTA RRNA</v>
      </c>
      <c r="GT158" s="3">
        <f>_xlfn.XLOOKUP(B158,QUERY!$C:$C,QUERY!AU:AU)</f>
        <v>0</v>
      </c>
      <c r="GU158" s="3" t="str">
        <f>_xlfn.XLOOKUP(B158,QUERY!$C:$C,QUERY!AV:AV)</f>
        <v>FALTA RRNA</v>
      </c>
      <c r="GV158" s="3" t="str">
        <f>_xlfn.XLOOKUP(B158,QUERY!$C:$C,QUERY!AW:AW)</f>
        <v>PRODUCTO TERMINADO</v>
      </c>
      <c r="GW158" s="3" t="str">
        <f>_xlfn.XLOOKUP(B158,QUERY!$C:$C,QUERY!AX:AX)</f>
        <v>Verde</v>
      </c>
      <c r="GX158" s="3" t="str">
        <f>_xlfn.XLOOKUP(B158,QUERY!$C:$C,QUERY!AY:AY)</f>
        <v xml:space="preserve"> SUPER EXPRESS DE CARGA FEDERAL S.A. DE C.V.</v>
      </c>
      <c r="GY158" s="3">
        <f>_xlfn.XLOOKUP(B158,QUERY!$C:$C,QUERY!AZ:AZ)</f>
        <v>0</v>
      </c>
      <c r="GZ158" s="3" t="str">
        <f>_xlfn.XLOOKUP(B158,QUERY!$C:$C,QUERY!BA:BA)</f>
        <v>IME-T006</v>
      </c>
      <c r="HA158" s="3" t="str">
        <f>_xlfn.XLOOKUP(B158,QUERY!$C:$C,QUERY!BB:BB)</f>
        <v>IME850329RH2</v>
      </c>
      <c r="HB158" s="3">
        <f>_xlfn.XLOOKUP(B158,QUERY!$C:$C,QUERY!BC:BC)</f>
        <v>0</v>
      </c>
      <c r="HC158" s="3">
        <f>_xlfn.XLOOKUP(B158,QUERY!$C:$C,QUERY!BD:BD)</f>
        <v>99</v>
      </c>
      <c r="HD158" s="3" t="str">
        <f>_xlfn.XLOOKUP(B158,QUERY!$C:$C,QUERY!BE:BE)</f>
        <v>LOTE: 25E1003C06,LOTE: B031T01,LOTE: A075C01</v>
      </c>
      <c r="HE158" s="3">
        <f>_xlfn.XLOOKUP(B158,QUERY!$C:$C,QUERY!BF:BF)</f>
        <v>90</v>
      </c>
      <c r="HF158" s="3" t="str">
        <f>_xlfn.XLOOKUP(B158,QUERY!$C:$C,QUERY!BG:BG)</f>
        <v xml:space="preserve"> 7496410.42, 7719310.00</v>
      </c>
      <c r="HG158" s="3" t="str">
        <f>_xlfn.XLOOKUP(B158,QUERY!$C:$C,QUERY!BH:BH)</f>
        <v>KILO,KILO,KILO</v>
      </c>
      <c r="HH158" s="3">
        <f>_xlfn.XLOOKUP(B158,QUERY!$C:$C,QUERY!BI:BI)</f>
        <v>0</v>
      </c>
      <c r="HI158" s="3" t="str">
        <f>_xlfn.XLOOKUP(B158,QUERY!$C:$C,QUERY!BJ:BJ)</f>
        <v>AUSTRIA (REPUBLICA DE)</v>
      </c>
      <c r="HJ158" s="3" t="str">
        <f>_xlfn.XLOOKUP(B158,QUERY!$C:$C,QUERY!BK:BK)</f>
        <v>PAISES BAJOS (REINO DE LOS) (HOLANDA)</v>
      </c>
      <c r="HK158" s="3" t="str">
        <f>_xlfn.XLOOKUP(B158,QUERY!$C:$C,QUERY!BL:BL)</f>
        <v>AUT</v>
      </c>
      <c r="HL158" s="3" t="str">
        <f>_xlfn.XLOOKUP(B158,QUERY!$C:$C,QUERY!BM:BM)</f>
        <v>ZYA</v>
      </c>
      <c r="HM158" s="3">
        <f>_xlfn.XLOOKUP(B158,QUERY!$C:$C,QUERY!BN:BN)</f>
        <v>15215720</v>
      </c>
      <c r="HN158" s="3" t="str">
        <f>_xlfn.XLOOKUP(B158,QUERY!$C:$C,QUERY!BO:BO)</f>
        <v>46567.00</v>
      </c>
      <c r="HO158" s="3" t="str">
        <f>_xlfn.XLOOKUP(B158,QUERY!$C:$C,QUERY!BP:BP)</f>
        <v>NULL</v>
      </c>
      <c r="HP158" s="3" t="str">
        <f>_xlfn.XLOOKUP(B158,QUERY!$C:$C,QUERY!BQ:BQ)</f>
        <v>582093.00</v>
      </c>
      <c r="HQ158" s="3" t="str">
        <f>_xlfn.XLOOKUP(B158,QUERY!$C:$C,QUERY!BR:BR)</f>
        <v>216973.64</v>
      </c>
      <c r="HR158" s="3">
        <f>_xlfn.XLOOKUP(B158,QUERY!$C:$C,QUERY!BS:BS)</f>
        <v>0</v>
      </c>
      <c r="HS158" s="3">
        <f>_xlfn.XLOOKUP(B158,QUERY!$C:$C,QUERY!BT:BT)</f>
        <v>0</v>
      </c>
      <c r="HT158" s="3" t="str">
        <f>_xlfn.XLOOKUP(B158,QUERY!$C:$C,QUERY!A:A)</f>
        <v>VERACRUZ</v>
      </c>
      <c r="HU158" s="3" t="str">
        <f>_xlfn.XLOOKUP(B158,QUERY!$C:$C,QUERY!B:B)</f>
        <v>MARÍTIMO VERACRUZ</v>
      </c>
    </row>
    <row r="159" spans="1:229" x14ac:dyDescent="0.25">
      <c r="A159" s="3" t="s">
        <v>90</v>
      </c>
      <c r="B159" s="3" t="s">
        <v>433</v>
      </c>
      <c r="C159" s="3">
        <v>3942</v>
      </c>
      <c r="D159" s="3">
        <v>6000582</v>
      </c>
      <c r="E159" s="3"/>
      <c r="F159" s="3" t="s">
        <v>92</v>
      </c>
      <c r="G159" s="3" t="s">
        <v>93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10</v>
      </c>
      <c r="O159" s="3">
        <v>582093</v>
      </c>
      <c r="P159" s="3">
        <v>0</v>
      </c>
      <c r="Q159" s="3">
        <v>0</v>
      </c>
      <c r="R159" s="3">
        <v>430</v>
      </c>
      <c r="S159" s="3" t="s">
        <v>434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 t="s">
        <v>179</v>
      </c>
      <c r="AB159" s="3"/>
      <c r="AC159" s="3">
        <v>5820931</v>
      </c>
      <c r="AD159" s="3">
        <v>2080.3899200000001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/>
      <c r="AP159" s="3" t="s">
        <v>98</v>
      </c>
      <c r="AQ159" s="3">
        <v>210370445</v>
      </c>
      <c r="AR159" s="3" t="s">
        <v>99</v>
      </c>
      <c r="AS159" s="3" t="s">
        <v>100</v>
      </c>
      <c r="AT159" s="3">
        <v>0</v>
      </c>
      <c r="AU159" s="3">
        <v>0</v>
      </c>
      <c r="AV159" s="3">
        <v>0</v>
      </c>
      <c r="AW159" s="3">
        <v>30043999</v>
      </c>
      <c r="AX159" s="3">
        <v>99</v>
      </c>
      <c r="AY159" s="3">
        <v>2798</v>
      </c>
      <c r="AZ159" s="3">
        <v>2798</v>
      </c>
      <c r="BA159" s="3" t="s">
        <v>103</v>
      </c>
      <c r="BB159" s="3"/>
      <c r="BC159" s="3" t="s">
        <v>133</v>
      </c>
      <c r="BD159" s="3" t="s">
        <v>105</v>
      </c>
      <c r="BE159" s="3"/>
      <c r="BF159" s="3"/>
      <c r="BG159" s="5"/>
      <c r="BH159" s="3"/>
      <c r="BI159" s="3"/>
      <c r="BJ159" s="3"/>
      <c r="BK159" s="3" t="s">
        <v>437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 t="s">
        <v>192</v>
      </c>
      <c r="CF159" s="3">
        <v>0</v>
      </c>
      <c r="CG159" s="3">
        <v>0</v>
      </c>
      <c r="CH159" s="3">
        <v>0</v>
      </c>
      <c r="CI159" s="3" t="s">
        <v>112</v>
      </c>
      <c r="CJ159" s="3" t="s">
        <v>112</v>
      </c>
      <c r="CK159" s="3">
        <f>_xlfn.XLOOKUP($B$2,'BASE DE EXCEL'!C:C,'BASE DE EXCEL'!D:D,"NO HAY REFERENCIA")</f>
        <v>470</v>
      </c>
      <c r="CL159" s="5">
        <f>_xlfn.XLOOKUP($B$2,'BASE DE EXCEL'!$C:$C,'BASE DE EXCEL'!F:F,"NO HAY REFERENCIA")</f>
        <v>3</v>
      </c>
      <c r="CM159" s="4">
        <f>_xlfn.XLOOKUP($B$2,'BASE DE EXCEL'!$C:$C,'BASE DE EXCEL'!G:G,"NO HAY REFERENCIA")</f>
        <v>46080</v>
      </c>
      <c r="CN159" s="4">
        <f>_xlfn.XLOOKUP($B$2,'BASE DE EXCEL'!$C:$C,'BASE DE EXCEL'!H:H,"NO HAY REFERENCIA")</f>
        <v>46086</v>
      </c>
      <c r="CO159" s="3">
        <f>_xlfn.XLOOKUP($B$2,'BASE DE EXCEL'!$C:$C,'BASE DE EXCEL'!I:I,"NO HAY REFERENCIA")</f>
        <v>4</v>
      </c>
      <c r="CP159" s="3" t="str">
        <f>_xlfn.XLOOKUP($B$2,'BASE DE EXCEL'!$C:$C,'BASE DE EXCEL'!J:J,"NO HAY REFERENCIA")</f>
        <v>4 a 5 días</v>
      </c>
      <c r="CQ159" s="4">
        <f>_xlfn.XLOOKUP($B$2,'BASE DE EXCEL'!$C:$C,'BASE DE EXCEL'!K:K,"NO HAY REFERENCIA")</f>
        <v>46087</v>
      </c>
      <c r="CR159" s="3">
        <f>_xlfn.XLOOKUP($B$2,'BASE DE EXCEL'!$C:$C,'BASE DE EXCEL'!L:L,"NO HAY REFERENCIA")</f>
        <v>5</v>
      </c>
      <c r="CS159" s="3">
        <f>_xlfn.XLOOKUP($B$2,'BASE DE EXCEL'!$C:$C,'BASE DE EXCEL'!M:M,"NO HAY REFERENCIA")</f>
        <v>6</v>
      </c>
      <c r="CT159" s="3" t="str">
        <f>_xlfn.XLOOKUP($B$2,'BASE DE EXCEL'!$C:$C,'BASE DE EXCEL'!N:N,"NO HAY REFERENCIA")</f>
        <v>6 a 10 días</v>
      </c>
      <c r="CU159" s="3" t="str">
        <f>_xlfn.XLOOKUP($B$2,'BASE DE EXCEL'!$C:$C,'BASE DE EXCEL'!O:O,"NO HAY REFERENCIA")</f>
        <v>On Time</v>
      </c>
      <c r="CV159" s="3" t="str">
        <f>_xlfn.XLOOKUP(B159,'BASE DE EXCEL'!$C:$C,'BASE DE EXCEL'!P:P,"NO HAY REFERENCIA")</f>
        <v>11 a 15 días</v>
      </c>
      <c r="CW159" s="4">
        <f>_xlfn.XLOOKUP(B159,'BASE DE EXCEL'!$C:$C,'BASE DE EXCEL'!Q:Q,"NO HAY REFERENCIA")</f>
        <v>46140</v>
      </c>
      <c r="CX159" s="3">
        <f>_xlfn.XLOOKUP(B159,'BASE DE EXCEL'!$C:$C,'BASE DE EXCEL'!R:R,"NO HAY REFERENCIA")</f>
        <v>10</v>
      </c>
      <c r="CY159" s="3" t="str">
        <f>_xlfn.XLOOKUP(B159,'BASE DE EXCEL'!$C:$C,'BASE DE EXCEL'!S:S,"NO HAY REFERENCIA")</f>
        <v>6 a 10 días</v>
      </c>
      <c r="CZ159" s="3" t="str">
        <f>_xlfn.XLOOKUP(B159,'BASE DE EXCEL'!$C:$C,'BASE DE EXCEL'!T:T,"NO HAY REFERENCIA")</f>
        <v>Delayed</v>
      </c>
      <c r="DA159" s="3">
        <f>_xlfn.XLOOKUP(B159,'BASE DE EXCEL'!$C:$C,'BASE DE EXCEL'!U:U,"NO HAY REFERENCIA")</f>
        <v>13</v>
      </c>
      <c r="DB159" s="3" t="str">
        <f>_xlfn.XLOOKUP(B159,'BASE DE EXCEL'!$C:$C,'BASE DE EXCEL'!V:V,"NO HAY REFERENCIA")</f>
        <v>6 a 10 días</v>
      </c>
      <c r="DC159" s="3">
        <f>_xlfn.XLOOKUP(B159,'BASE DE EXCEL'!$C:$C,'BASE DE EXCEL'!W:W,"NO HAY REFERENCIA")</f>
        <v>18</v>
      </c>
      <c r="DD159" s="3" t="str">
        <f>_xlfn.XLOOKUP(B159,'BASE DE EXCEL'!$C:$C,'BASE DE EXCEL'!X:X,"NO HAY REFERENCIA")</f>
        <v>más de 16 días</v>
      </c>
      <c r="DE159" s="3">
        <f>_xlfn.XLOOKUP(B159,'BASE DE EXCEL'!$C:$C,'BASE DE EXCEL'!Y:Y,"NO HAY REFERENCIA")</f>
        <v>0</v>
      </c>
      <c r="DF159" s="3" t="str">
        <f>_xlfn.XLOOKUP(B159,'BASE DE EXCEL'!$C:$C,'BASE DE EXCEL'!Z:Z,"NO HAY REFERENCIA")</f>
        <v>1 día o menos</v>
      </c>
      <c r="DG159" s="3">
        <f>_xlfn.XLOOKUP(B159,'BASE DE EXCEL'!$C:$C,'BASE DE EXCEL'!AA:AA,"NO HAY REFERENCIA")</f>
        <v>12</v>
      </c>
      <c r="DH159" s="3">
        <f>_xlfn.XLOOKUP(B159,'BASE DE EXCEL'!$C:$C,'BASE DE EXCEL'!AB:AB,"NO HAY REFERENCIA")</f>
        <v>1</v>
      </c>
      <c r="DI159" s="3" t="str">
        <f>_xlfn.XLOOKUP(B159,'BASE DE EXCEL'!$C:$C,'BASE DE EXCEL'!AC:AC,"NO HAY REFERENCIA")</f>
        <v>1 día o menos</v>
      </c>
      <c r="DJ159" s="4">
        <f>_xlfn.XLOOKUP(B159,'BASE DE EXCEL'!$C:$C,'BASE DE EXCEL'!AD:AD,"NO HAY REFERENCIA")</f>
        <v>46153</v>
      </c>
      <c r="DK159" s="3">
        <f>_xlfn.XLOOKUP(B159,'BASE DE EXCEL'!$C:$C,'BASE DE EXCEL'!AE:AE,"NO HAY REFERENCIA")</f>
        <v>13</v>
      </c>
      <c r="DL159" s="3">
        <f>_xlfn.XLOOKUP(B159,'BASE DE EXCEL'!$C:$C,'BASE DE EXCEL'!AF:AF,"NO HAY REFERENCIA")</f>
        <v>9</v>
      </c>
      <c r="DM159" s="4">
        <f>_xlfn.XLOOKUP(B159,'BASE DE EXCEL'!$C:$C,'BASE DE EXCEL'!AG:AG,"NO HAY REFERENCIA")</f>
        <v>46153</v>
      </c>
      <c r="DN159" s="4">
        <f>_xlfn.XLOOKUP(B159,'BASE DE EXCEL'!$C:$C,'BASE DE EXCEL'!AH:AH,"NO HAY REFERENCIA")</f>
        <v>46153</v>
      </c>
      <c r="DO159" s="3">
        <f>_xlfn.XLOOKUP(B159,'BASE DE EXCEL'!$C:$C,'BASE DE EXCEL'!AI:AI,"NO HAY REFERENCIA")</f>
        <v>0</v>
      </c>
      <c r="DP159" s="4" t="str">
        <f>_xlfn.XLOOKUP(B159,'BASE DE EXCEL'!$C:$C,'BASE DE EXCEL'!AJ:AJ,"NO HAY REFERENCIA")</f>
        <v>11 a 15 días</v>
      </c>
      <c r="DQ159" s="4">
        <f>_xlfn.XLOOKUP(B159,'BASE DE EXCEL'!$C:$C,'BASE DE EXCEL'!AK:AK,"NO HAY REFERENCIA")</f>
        <v>46153</v>
      </c>
      <c r="DR159" s="3">
        <f>_xlfn.XLOOKUP(B159,'BASE DE EXCEL'!$C:$C,'BASE DE EXCEL'!AL:AL,"NO HAY REFERENCIA")</f>
        <v>9</v>
      </c>
      <c r="DS159" s="3" t="str">
        <f>_xlfn.XLOOKUP(B159,'BASE DE EXCEL'!$C:$C,'BASE DE EXCEL'!AM:AM,"NO HAY REFERENCIA")</f>
        <v>6 a 10 días</v>
      </c>
      <c r="DT159" s="3" t="str">
        <f>_xlfn.XLOOKUP(B159,'BASE DE EXCEL'!$C:$C,'BASE DE EXCEL'!AN:AN,"NO HAY REFERENCIA")</f>
        <v>Delayed</v>
      </c>
      <c r="DU159" s="3">
        <f>_xlfn.XLOOKUP(B159,'BASE DE EXCEL'!$C:$C,'BASE DE EXCEL'!AO:AO,"NO HAY REFERENCIA")</f>
        <v>1</v>
      </c>
      <c r="DV159" s="3" t="str">
        <f>_xlfn.XLOOKUP(B159,'BASE DE EXCEL'!$C:$C,'BASE DE EXCEL'!AP:AP,"NO HAY REFERENCIA")</f>
        <v>Es anterior</v>
      </c>
      <c r="DW159" s="3" t="str">
        <f>_xlfn.XLOOKUP(B159,'BASE DE EXCEL'!$C:$C,'BASE DE EXCEL'!AQ:AQ,"NO HAY REFERENCIA")</f>
        <v>A1</v>
      </c>
      <c r="DX159" s="3" t="str">
        <f>_xlfn.XLOOKUP(B159,'BASE DE EXCEL'!$C:$C,'BASE DE EXCEL'!AR:AR,"NO HAY REFERENCIA")</f>
        <v>ZULEIMA PEREZ RUIZ</v>
      </c>
      <c r="DY159" s="3" t="str">
        <f>_xlfn.XLOOKUP(B159,'BASE DE EXCEL'!$C:$C,'BASE DE EXCEL'!AS:AS,"NO HAY REFERENCIA")</f>
        <v>HLCUHAM2602AZCL0</v>
      </c>
      <c r="DZ159" s="3" t="str">
        <f>_xlfn.XLOOKUP(B159,'BASE DE EXCEL'!$C:$C,'BASE DE EXCEL'!AT:AT,"NO HAY REFERENCIA")</f>
        <v>NULL</v>
      </c>
      <c r="EA159" s="3">
        <f>_xlfn.XLOOKUP(B159,'BASE DE EXCEL'!$C:$C,'BASE DE EXCEL'!AU:AU,"NO HAY REFERENCIA")</f>
        <v>6000582</v>
      </c>
      <c r="EB159" s="3" t="str">
        <f>_xlfn.XLOOKUP(B159,'BASE DE EXCEL'!$C:$C,'BASE DE EXCEL'!AV:AV,"NO HAY REFERENCIA")</f>
        <v>Importación</v>
      </c>
      <c r="EC159" s="3" t="str">
        <f>_xlfn.XLOOKUP(B159,'BASE DE EXCEL'!$C:$C,'BASE DE EXCEL'!AW:AW,"NO HAY REFERENCIA")</f>
        <v>BRAVECTO 1M 45MG (MEDICAMENTO DOSIFICADO DE USO VETERINARIO)</v>
      </c>
      <c r="ED159" s="3" t="str">
        <f>_xlfn.XLOOKUP(B159,'BASE DE EXCEL'!$C:$C,'BASE DE EXCEL'!AX:AX,"NO HAY REFERENCIA")</f>
        <v>SIN CLASIFICACION</v>
      </c>
      <c r="EE159" s="3">
        <f>_xlfn.XLOOKUP(B159,'BASE DE EXCEL'!$C:$C,'BASE DE EXCEL'!AY:AY,"NO HAY REFERENCIA")</f>
        <v>0</v>
      </c>
      <c r="EF159" s="3" t="str">
        <f>_xlfn.XLOOKUP(B159,'BASE DE EXCEL'!$C:$C,'BASE DE EXCEL'!AZ:AZ,"NO HAY REFERENCIA")</f>
        <v>Cargas de Importación</v>
      </c>
      <c r="EG159" s="3" t="str">
        <f>_xlfn.XLOOKUP(B159,'BASE DE EXCEL'!$C:$C,'BASE DE EXCEL'!BA:BA,"NO HAY REFERENCIA")</f>
        <v>INTERVET MEXICO SA DE CV</v>
      </c>
      <c r="EH159" s="3">
        <f>_xlfn.XLOOKUP(B159,'BASE DE EXCEL'!$C:$C,'BASE DE EXCEL'!BB:BB,"NO HAY REFERENCIA")</f>
        <v>0</v>
      </c>
      <c r="EI159" s="3" t="str">
        <f>_xlfn.XLOOKUP(B159,'BASE DE EXCEL'!$C:$C,'BASE DE EXCEL'!BC:BC,"NO HAY REFERENCIA")</f>
        <v>FALTA RRNA</v>
      </c>
      <c r="EJ159" s="3">
        <f>_xlfn.XLOOKUP(B159,'BASE DE EXCEL'!$C:$C,'BASE DE EXCEL'!BD:BD,"NO HAY REFERENCIA")</f>
        <v>0</v>
      </c>
      <c r="EK159" s="3" t="str">
        <f>_xlfn.XLOOKUP(B159,'BASE DE EXCEL'!$C:$C,'BASE DE EXCEL'!BE:BE,"NO HAY REFERENCIA")</f>
        <v>FALTA RRNA</v>
      </c>
      <c r="EL159" s="3" t="str">
        <f>_xlfn.XLOOKUP(B159,'BASE DE EXCEL'!$C:$C,'BASE DE EXCEL'!BF:BF,"NO HAY REFERENCIA")</f>
        <v>PRODUCTO TERMINADO</v>
      </c>
      <c r="EM159" s="3" t="str">
        <f>_xlfn.XLOOKUP(B159,'BASE DE EXCEL'!$C:$C,'BASE DE EXCEL'!BG:BG,"NO HAY REFERENCIA")</f>
        <v>Verde</v>
      </c>
      <c r="EN159" s="3" t="str">
        <f>_xlfn.XLOOKUP(B159,'BASE DE EXCEL'!$C:$C,'BASE DE EXCEL'!BH:BH,"NO HAY REFERENCIA")</f>
        <v xml:space="preserve"> SUPER EXPRESS DE CARGA FEDERAL S.A. DE C.V.</v>
      </c>
      <c r="EO159" s="3">
        <f>_xlfn.XLOOKUP(B159,'BASE DE EXCEL'!$C:$C,'BASE DE EXCEL'!BI:BI,"NO HAY REFERENCIA")</f>
        <v>0</v>
      </c>
      <c r="EP159" s="3" t="str">
        <f>_xlfn.XLOOKUP(B159,'BASE DE EXCEL'!$C:$C,'BASE DE EXCEL'!BJ:BJ,"NO HAY REFERENCIA")</f>
        <v>IME-T006</v>
      </c>
      <c r="EQ159" s="3" t="str">
        <f>_xlfn.XLOOKUP(B159,'BASE DE EXCEL'!$C:$C,'BASE DE EXCEL'!BK:BK,"NO HAY REFERENCIA")</f>
        <v>IME850329RH2</v>
      </c>
      <c r="ER159" s="3">
        <f>_xlfn.XLOOKUP(B159,'BASE DE EXCEL'!$C:$C,'BASE DE EXCEL'!BL:BL,"NO HAY REFERENCIA")</f>
        <v>0</v>
      </c>
      <c r="ES159" s="3">
        <f>_xlfn.XLOOKUP(B159,'BASE DE EXCEL'!$C:$C,'BASE DE EXCEL'!BM:BM,"NO HAY REFERENCIA")</f>
        <v>99</v>
      </c>
      <c r="ET159" s="3" t="str">
        <f>_xlfn.XLOOKUP(B159,'BASE DE EXCEL'!$C:$C,'BASE DE EXCEL'!BN:BN,"NO HAY REFERENCIA")</f>
        <v>LOTE: 25E1003C06,LOTE: A075C01,LOTE: B031T01</v>
      </c>
      <c r="EU159" s="3">
        <f>_xlfn.XLOOKUP(B159,'BASE DE EXCEL'!$C:$C,'BASE DE EXCEL'!BO:BO,"NO HAY REFERENCIA")</f>
        <v>90</v>
      </c>
      <c r="EV159" s="3" t="str">
        <f>_xlfn.XLOOKUP(B159,'BASE DE EXCEL'!$C:$C,'BASE DE EXCEL'!BP:BP,"NO HAY REFERENCIA")</f>
        <v xml:space="preserve"> 7496410.42, 7719310.00</v>
      </c>
      <c r="EW159" s="3" t="str">
        <f>_xlfn.XLOOKUP(B159,'BASE DE EXCEL'!$C:$C,'BASE DE EXCEL'!BQ:BQ,"NO HAY REFERENCIA")</f>
        <v>KILO,KILO,KILO</v>
      </c>
      <c r="EX159" s="3">
        <f>_xlfn.XLOOKUP(B159,'BASE DE EXCEL'!$C:$C,'BASE DE EXCEL'!BR:BR,"NO HAY REFERENCIA")</f>
        <v>0</v>
      </c>
      <c r="EY159" s="3" t="str">
        <f>_xlfn.XLOOKUP(B159,'BASE DE EXCEL'!$C:$C,'BASE DE EXCEL'!BS:BS,"NO HAY REFERENCIA")</f>
        <v>AUSTRIA (REPUBLICA DE)</v>
      </c>
      <c r="EZ159" s="3" t="str">
        <f>_xlfn.XLOOKUP(B159,'BASE DE EXCEL'!$C:$C,'BASE DE EXCEL'!BT:BT,"NO HAY REFERENCIA")</f>
        <v>PAISES BAJOS (REINO DE LOS) (HOLANDA)</v>
      </c>
      <c r="FA159" s="3" t="str">
        <f>_xlfn.XLOOKUP(B159,'BASE DE EXCEL'!$C:$C,'BASE DE EXCEL'!BU:BU,"NO HAY REFERENCIA")</f>
        <v>AUT</v>
      </c>
      <c r="FB159" s="3" t="str">
        <f>_xlfn.XLOOKUP(B159,'BASE DE EXCEL'!$C:$C,'BASE DE EXCEL'!BV:BV,"NO HAY REFERENCIA")</f>
        <v>ZYA</v>
      </c>
      <c r="FC159" s="3">
        <f>_xlfn.XLOOKUP(B159,QUERY!$C:$C,QUERY!D:D)</f>
        <v>430</v>
      </c>
      <c r="FD159" s="4">
        <f>_xlfn.XLOOKUP(B159,QUERY!$C:$C,QUERY!E:E)</f>
        <v>46139</v>
      </c>
      <c r="FE159" s="3">
        <f>_xlfn.XLOOKUP(B159,QUERY!$C:$C,QUERY!F:F)</f>
        <v>4</v>
      </c>
      <c r="FF159" s="4">
        <f>_xlfn.XLOOKUP(B159,QUERY!$C:$C,QUERY!G:G)</f>
        <v>46127</v>
      </c>
      <c r="FG159" s="4">
        <f>_xlfn.XLOOKUP(B159,QUERY!$C:$C,QUERY!H:H)</f>
        <v>46139</v>
      </c>
      <c r="FH159" s="3">
        <f>_xlfn.XLOOKUP(B159,QUERY!$C:$C,QUERY!I:I)</f>
        <v>8</v>
      </c>
      <c r="FI159" s="3" t="str">
        <f>_xlfn.XLOOKUP(B159,QUERY!$C:$C,QUERY!J:J)</f>
        <v>6 a 10 días</v>
      </c>
      <c r="FJ159" s="4">
        <f>_xlfn.XLOOKUP(B159,QUERY!$C:$C,QUERY!K:K)</f>
        <v>46139</v>
      </c>
      <c r="FK159" s="3">
        <f>_xlfn.XLOOKUP(B159,QUERY!$C:$C,QUERY!L:L)</f>
        <v>8</v>
      </c>
      <c r="FL159" s="3" t="str">
        <f>_xlfn.XLOOKUP(B159,QUERY!$C:$C,QUERY!M:M)</f>
        <v>6 a 10 días</v>
      </c>
      <c r="FM159" s="3">
        <f>_xlfn.XLOOKUP(B159,QUERY!$C:$C,QUERY!N:N)</f>
        <v>0</v>
      </c>
      <c r="FN159" s="3" t="str">
        <f>_xlfn.XLOOKUP(B159,QUERY!$C:$C,QUERY!O:O)</f>
        <v>1 día o menos</v>
      </c>
      <c r="FO159" s="3">
        <f>_xlfn.XLOOKUP(B159,QUERY!$C:$C,QUERY!P:P)</f>
        <v>0</v>
      </c>
      <c r="FP159" s="3">
        <f>_xlfn.XLOOKUP(B159,QUERY!$C:$C,QUERY!Q:Q)</f>
        <v>1</v>
      </c>
      <c r="FQ159" s="3" t="str">
        <f>_xlfn.XLOOKUP(B159,QUERY!$C:$C,QUERY!R:R)</f>
        <v>1 día o menos</v>
      </c>
      <c r="FR159" s="4">
        <f>_xlfn.XLOOKUP(B159,QUERY!$C:$C,QUERY!S:S)</f>
        <v>46140</v>
      </c>
      <c r="FS159" s="3">
        <f>_xlfn.XLOOKUP(B159,QUERY!$C:$C,QUERY!T:T)</f>
        <v>9</v>
      </c>
      <c r="FT159" s="3" t="str">
        <f>_xlfn.XLOOKUP(B159,QUERY!$C:$C,QUERY!U:U)</f>
        <v>6 a 10 días</v>
      </c>
      <c r="FU159" s="3">
        <f>_xlfn.XLOOKUP(B159,QUERY!$C:$C,QUERY!V:V)</f>
        <v>18</v>
      </c>
      <c r="FV159" s="3" t="str">
        <f>_xlfn.XLOOKUP(B159,QUERY!$C:$C,QUERY!W:W)</f>
        <v>más de 16 días</v>
      </c>
      <c r="FW159" s="4">
        <f>_xlfn.XLOOKUP(B159,QUERY!$C:$C,QUERY!X:X)</f>
        <v>46153</v>
      </c>
      <c r="FX159" s="3">
        <f>_xlfn.XLOOKUP(B159,QUERY!$C:$C,QUERY!Y:Y)</f>
        <v>9</v>
      </c>
      <c r="FY159" s="3">
        <f>_xlfn.XLOOKUP(B159,QUERY!$C:$C,QUERY!Z:Z)</f>
        <v>9</v>
      </c>
      <c r="FZ159" s="4" t="str">
        <f>_xlfn.XLOOKUP(B159,QUERY!$C:$C,QUERY!AA:AA)</f>
        <v>11 a 15 días</v>
      </c>
      <c r="GA159" s="4">
        <f>_xlfn.XLOOKUP(B159,QUERY!$C:$C,QUERY!AB:AB)</f>
        <v>46153</v>
      </c>
      <c r="GB159" s="4">
        <f>_xlfn.XLOOKUP(B159,QUERY!$C:$C,QUERY!AC:AC)</f>
        <v>46153</v>
      </c>
      <c r="GC159" s="3">
        <f>_xlfn.XLOOKUP(B159,QUERY!$C:$C,QUERY!AD:AD)</f>
        <v>0</v>
      </c>
      <c r="GD159" s="4">
        <f>_xlfn.XLOOKUP(B159,QUERY!$C:$C,QUERY!AE:AE)</f>
        <v>46153</v>
      </c>
      <c r="GE159" s="3">
        <f>_xlfn.XLOOKUP(B159,QUERY!$C:$C,QUERY!AF:AF)</f>
        <v>1</v>
      </c>
      <c r="GF159" s="4" t="str">
        <f>_xlfn.XLOOKUP(B159,QUERY!$C:$C,QUERY!AG:AG)</f>
        <v>Es anterior</v>
      </c>
      <c r="GG159" s="3" t="str">
        <f>_xlfn.XLOOKUP(B159,QUERY!$C:$C,QUERY!AH:AH)</f>
        <v>A1</v>
      </c>
      <c r="GH159" s="3" t="str">
        <f>_xlfn.XLOOKUP(B159,QUERY!$C:$C,QUERY!AI:AI)</f>
        <v>ZULEIMA PEREZ RUIZ</v>
      </c>
      <c r="GI159" s="3" t="str">
        <f>_xlfn.XLOOKUP(B159,QUERY!$C:$C,QUERY!AJ:AJ)</f>
        <v>HLCUHAM2602AZCL0</v>
      </c>
      <c r="GJ159" s="3" t="str">
        <f>_xlfn.XLOOKUP(B159,QUERY!$C:$C,QUERY!AK:AK)</f>
        <v>NULL</v>
      </c>
      <c r="GK159" s="3">
        <f>_xlfn.XLOOKUP(B159,QUERY!$C:$C,QUERY!AL:AL)</f>
        <v>6000582</v>
      </c>
      <c r="GL159" s="3" t="str">
        <f>_xlfn.XLOOKUP(B159,QUERY!$C:$C,QUERY!AM:AM)</f>
        <v>Importación</v>
      </c>
      <c r="GM159" s="3" t="str">
        <f>_xlfn.XLOOKUP(B159,QUERY!$C:$C,QUERY!AN:AN)</f>
        <v>BRAVECTO 1M 45MG (MEDICAMENTO DOSIFICADO DE USO VETERINARIO)</v>
      </c>
      <c r="GN159" s="3" t="str">
        <f>_xlfn.XLOOKUP(B159,QUERY!$C:$C,QUERY!AO:AO)</f>
        <v>SIN CLASIFICACION</v>
      </c>
      <c r="GO159" s="3">
        <f>_xlfn.XLOOKUP(B159,QUERY!$C:$C,QUERY!AP:AP)</f>
        <v>0</v>
      </c>
      <c r="GP159" s="3" t="str">
        <f>_xlfn.XLOOKUP(B159,QUERY!$C:$C,QUERY!AQ:AQ)</f>
        <v>Cargas de Importación</v>
      </c>
      <c r="GQ159" s="3" t="str">
        <f>_xlfn.XLOOKUP(B159,QUERY!$C:$C,QUERY!AR:AR)</f>
        <v>INTERVET MEXICO SA DE CV</v>
      </c>
      <c r="GR159" s="3">
        <f>_xlfn.XLOOKUP(B159,QUERY!$C:$C,QUERY!AS:AS)</f>
        <v>0</v>
      </c>
      <c r="GS159" s="3" t="str">
        <f>_xlfn.XLOOKUP(B159,QUERY!$C:$C,QUERY!AT:AT)</f>
        <v>FALTA RRNA</v>
      </c>
      <c r="GT159" s="3">
        <f>_xlfn.XLOOKUP(B159,QUERY!$C:$C,QUERY!AU:AU)</f>
        <v>0</v>
      </c>
      <c r="GU159" s="3" t="str">
        <f>_xlfn.XLOOKUP(B159,QUERY!$C:$C,QUERY!AV:AV)</f>
        <v>FALTA RRNA</v>
      </c>
      <c r="GV159" s="3" t="str">
        <f>_xlfn.XLOOKUP(B159,QUERY!$C:$C,QUERY!AW:AW)</f>
        <v>PRODUCTO TERMINADO</v>
      </c>
      <c r="GW159" s="3" t="str">
        <f>_xlfn.XLOOKUP(B159,QUERY!$C:$C,QUERY!AX:AX)</f>
        <v>Verde</v>
      </c>
      <c r="GX159" s="3" t="str">
        <f>_xlfn.XLOOKUP(B159,QUERY!$C:$C,QUERY!AY:AY)</f>
        <v xml:space="preserve"> SUPER EXPRESS DE CARGA FEDERAL S.A. DE C.V.</v>
      </c>
      <c r="GY159" s="3">
        <f>_xlfn.XLOOKUP(B159,QUERY!$C:$C,QUERY!AZ:AZ)</f>
        <v>0</v>
      </c>
      <c r="GZ159" s="3" t="str">
        <f>_xlfn.XLOOKUP(B159,QUERY!$C:$C,QUERY!BA:BA)</f>
        <v>IME-T006</v>
      </c>
      <c r="HA159" s="3" t="str">
        <f>_xlfn.XLOOKUP(B159,QUERY!$C:$C,QUERY!BB:BB)</f>
        <v>IME850329RH2</v>
      </c>
      <c r="HB159" s="3">
        <f>_xlfn.XLOOKUP(B159,QUERY!$C:$C,QUERY!BC:BC)</f>
        <v>0</v>
      </c>
      <c r="HC159" s="3">
        <f>_xlfn.XLOOKUP(B159,QUERY!$C:$C,QUERY!BD:BD)</f>
        <v>99</v>
      </c>
      <c r="HD159" s="3" t="str">
        <f>_xlfn.XLOOKUP(B159,QUERY!$C:$C,QUERY!BE:BE)</f>
        <v>LOTE: 25E1003C06,LOTE: B031T01,LOTE: A075C01</v>
      </c>
      <c r="HE159" s="3">
        <f>_xlfn.XLOOKUP(B159,QUERY!$C:$C,QUERY!BF:BF)</f>
        <v>90</v>
      </c>
      <c r="HF159" s="3" t="str">
        <f>_xlfn.XLOOKUP(B159,QUERY!$C:$C,QUERY!BG:BG)</f>
        <v xml:space="preserve"> 7496410.42, 7719310.00</v>
      </c>
      <c r="HG159" s="3" t="str">
        <f>_xlfn.XLOOKUP(B159,QUERY!$C:$C,QUERY!BH:BH)</f>
        <v>KILO,KILO,KILO</v>
      </c>
      <c r="HH159" s="3">
        <f>_xlfn.XLOOKUP(B159,QUERY!$C:$C,QUERY!BI:BI)</f>
        <v>0</v>
      </c>
      <c r="HI159" s="3" t="str">
        <f>_xlfn.XLOOKUP(B159,QUERY!$C:$C,QUERY!BJ:BJ)</f>
        <v>AUSTRIA (REPUBLICA DE)</v>
      </c>
      <c r="HJ159" s="3" t="str">
        <f>_xlfn.XLOOKUP(B159,QUERY!$C:$C,QUERY!BK:BK)</f>
        <v>PAISES BAJOS (REINO DE LOS) (HOLANDA)</v>
      </c>
      <c r="HK159" s="3" t="str">
        <f>_xlfn.XLOOKUP(B159,QUERY!$C:$C,QUERY!BL:BL)</f>
        <v>AUT</v>
      </c>
      <c r="HL159" s="3" t="str">
        <f>_xlfn.XLOOKUP(B159,QUERY!$C:$C,QUERY!BM:BM)</f>
        <v>ZYA</v>
      </c>
      <c r="HM159" s="3">
        <f>_xlfn.XLOOKUP(B159,QUERY!$C:$C,QUERY!BN:BN)</f>
        <v>15215720</v>
      </c>
      <c r="HN159" s="3" t="str">
        <f>_xlfn.XLOOKUP(B159,QUERY!$C:$C,QUERY!BO:BO)</f>
        <v>46567.00</v>
      </c>
      <c r="HO159" s="3" t="str">
        <f>_xlfn.XLOOKUP(B159,QUERY!$C:$C,QUERY!BP:BP)</f>
        <v>NULL</v>
      </c>
      <c r="HP159" s="3" t="str">
        <f>_xlfn.XLOOKUP(B159,QUERY!$C:$C,QUERY!BQ:BQ)</f>
        <v>582093.00</v>
      </c>
      <c r="HQ159" s="3" t="str">
        <f>_xlfn.XLOOKUP(B159,QUERY!$C:$C,QUERY!BR:BR)</f>
        <v>216973.64</v>
      </c>
      <c r="HR159" s="3">
        <f>_xlfn.XLOOKUP(B159,QUERY!$C:$C,QUERY!BS:BS)</f>
        <v>0</v>
      </c>
      <c r="HS159" s="3">
        <f>_xlfn.XLOOKUP(B159,QUERY!$C:$C,QUERY!BT:BT)</f>
        <v>0</v>
      </c>
      <c r="HT159" s="3" t="str">
        <f>_xlfn.XLOOKUP(B159,QUERY!$C:$C,QUERY!A:A)</f>
        <v>VERACRUZ</v>
      </c>
      <c r="HU159" s="3" t="str">
        <f>_xlfn.XLOOKUP(B159,QUERY!$C:$C,QUERY!B:B)</f>
        <v>MARÍTIMO VERACRUZ</v>
      </c>
    </row>
    <row r="160" spans="1:229" x14ac:dyDescent="0.25">
      <c r="A160" s="3" t="s">
        <v>90</v>
      </c>
      <c r="B160" s="3" t="s">
        <v>433</v>
      </c>
      <c r="C160" s="3">
        <v>3942</v>
      </c>
      <c r="D160" s="3">
        <v>6000582</v>
      </c>
      <c r="E160" s="3"/>
      <c r="F160" s="3" t="s">
        <v>92</v>
      </c>
      <c r="G160" s="3" t="s">
        <v>93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430</v>
      </c>
      <c r="S160" s="3" t="s">
        <v>434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 t="s">
        <v>438</v>
      </c>
      <c r="AB160" s="3"/>
      <c r="AC160" s="3">
        <v>7719310</v>
      </c>
      <c r="AD160" s="3">
        <v>7719.31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/>
      <c r="AP160" s="3" t="s">
        <v>98</v>
      </c>
      <c r="AQ160" s="3">
        <v>210370446</v>
      </c>
      <c r="AR160" s="3" t="s">
        <v>99</v>
      </c>
      <c r="AS160" s="3" t="s">
        <v>100</v>
      </c>
      <c r="AT160" s="3">
        <v>0</v>
      </c>
      <c r="AU160" s="3">
        <v>0</v>
      </c>
      <c r="AV160" s="3">
        <v>0</v>
      </c>
      <c r="AW160" s="3">
        <v>30049099</v>
      </c>
      <c r="AX160" s="3">
        <v>99</v>
      </c>
      <c r="AY160" s="3">
        <v>1000</v>
      </c>
      <c r="AZ160" s="3">
        <v>1000</v>
      </c>
      <c r="BA160" s="3" t="s">
        <v>121</v>
      </c>
      <c r="BB160" s="3"/>
      <c r="BC160" s="3" t="s">
        <v>133</v>
      </c>
      <c r="BD160" s="3" t="s">
        <v>105</v>
      </c>
      <c r="BE160" s="3"/>
      <c r="BF160" s="3"/>
      <c r="BG160" s="5"/>
      <c r="BH160" s="3"/>
      <c r="BI160" s="3"/>
      <c r="BJ160" s="3"/>
      <c r="BK160" s="3" t="s">
        <v>439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 t="s">
        <v>192</v>
      </c>
      <c r="CF160" s="3">
        <v>0</v>
      </c>
      <c r="CG160" s="3">
        <v>0</v>
      </c>
      <c r="CH160" s="3">
        <v>0</v>
      </c>
      <c r="CI160" s="3" t="s">
        <v>112</v>
      </c>
      <c r="CJ160" s="3" t="s">
        <v>112</v>
      </c>
      <c r="CK160" s="3">
        <f>_xlfn.XLOOKUP($B$2,'BASE DE EXCEL'!C:C,'BASE DE EXCEL'!D:D,"NO HAY REFERENCIA")</f>
        <v>470</v>
      </c>
      <c r="CL160" s="5">
        <f>_xlfn.XLOOKUP($B$2,'BASE DE EXCEL'!$C:$C,'BASE DE EXCEL'!F:F,"NO HAY REFERENCIA")</f>
        <v>3</v>
      </c>
      <c r="CM160" s="4">
        <f>_xlfn.XLOOKUP($B$2,'BASE DE EXCEL'!$C:$C,'BASE DE EXCEL'!G:G,"NO HAY REFERENCIA")</f>
        <v>46080</v>
      </c>
      <c r="CN160" s="4">
        <f>_xlfn.XLOOKUP($B$2,'BASE DE EXCEL'!$C:$C,'BASE DE EXCEL'!H:H,"NO HAY REFERENCIA")</f>
        <v>46086</v>
      </c>
      <c r="CO160" s="3">
        <f>_xlfn.XLOOKUP($B$2,'BASE DE EXCEL'!$C:$C,'BASE DE EXCEL'!I:I,"NO HAY REFERENCIA")</f>
        <v>4</v>
      </c>
      <c r="CP160" s="3" t="str">
        <f>_xlfn.XLOOKUP($B$2,'BASE DE EXCEL'!$C:$C,'BASE DE EXCEL'!J:J,"NO HAY REFERENCIA")</f>
        <v>4 a 5 días</v>
      </c>
      <c r="CQ160" s="4">
        <f>_xlfn.XLOOKUP($B$2,'BASE DE EXCEL'!$C:$C,'BASE DE EXCEL'!K:K,"NO HAY REFERENCIA")</f>
        <v>46087</v>
      </c>
      <c r="CR160" s="3">
        <f>_xlfn.XLOOKUP($B$2,'BASE DE EXCEL'!$C:$C,'BASE DE EXCEL'!L:L,"NO HAY REFERENCIA")</f>
        <v>5</v>
      </c>
      <c r="CS160" s="3">
        <f>_xlfn.XLOOKUP($B$2,'BASE DE EXCEL'!$C:$C,'BASE DE EXCEL'!M:M,"NO HAY REFERENCIA")</f>
        <v>6</v>
      </c>
      <c r="CT160" s="3" t="str">
        <f>_xlfn.XLOOKUP($B$2,'BASE DE EXCEL'!$C:$C,'BASE DE EXCEL'!N:N,"NO HAY REFERENCIA")</f>
        <v>6 a 10 días</v>
      </c>
      <c r="CU160" s="3" t="str">
        <f>_xlfn.XLOOKUP($B$2,'BASE DE EXCEL'!$C:$C,'BASE DE EXCEL'!O:O,"NO HAY REFERENCIA")</f>
        <v>On Time</v>
      </c>
      <c r="CV160" s="3" t="str">
        <f>_xlfn.XLOOKUP(B160,'BASE DE EXCEL'!$C:$C,'BASE DE EXCEL'!P:P,"NO HAY REFERENCIA")</f>
        <v>11 a 15 días</v>
      </c>
      <c r="CW160" s="4">
        <f>_xlfn.XLOOKUP(B160,'BASE DE EXCEL'!$C:$C,'BASE DE EXCEL'!Q:Q,"NO HAY REFERENCIA")</f>
        <v>46140</v>
      </c>
      <c r="CX160" s="3">
        <f>_xlfn.XLOOKUP(B160,'BASE DE EXCEL'!$C:$C,'BASE DE EXCEL'!R:R,"NO HAY REFERENCIA")</f>
        <v>10</v>
      </c>
      <c r="CY160" s="3" t="str">
        <f>_xlfn.XLOOKUP(B160,'BASE DE EXCEL'!$C:$C,'BASE DE EXCEL'!S:S,"NO HAY REFERENCIA")</f>
        <v>6 a 10 días</v>
      </c>
      <c r="CZ160" s="3" t="str">
        <f>_xlfn.XLOOKUP(B160,'BASE DE EXCEL'!$C:$C,'BASE DE EXCEL'!T:T,"NO HAY REFERENCIA")</f>
        <v>Delayed</v>
      </c>
      <c r="DA160" s="3">
        <f>_xlfn.XLOOKUP(B160,'BASE DE EXCEL'!$C:$C,'BASE DE EXCEL'!U:U,"NO HAY REFERENCIA")</f>
        <v>13</v>
      </c>
      <c r="DB160" s="3" t="str">
        <f>_xlfn.XLOOKUP(B160,'BASE DE EXCEL'!$C:$C,'BASE DE EXCEL'!V:V,"NO HAY REFERENCIA")</f>
        <v>6 a 10 días</v>
      </c>
      <c r="DC160" s="3">
        <f>_xlfn.XLOOKUP(B160,'BASE DE EXCEL'!$C:$C,'BASE DE EXCEL'!W:W,"NO HAY REFERENCIA")</f>
        <v>18</v>
      </c>
      <c r="DD160" s="3" t="str">
        <f>_xlfn.XLOOKUP(B160,'BASE DE EXCEL'!$C:$C,'BASE DE EXCEL'!X:X,"NO HAY REFERENCIA")</f>
        <v>más de 16 días</v>
      </c>
      <c r="DE160" s="3">
        <f>_xlfn.XLOOKUP(B160,'BASE DE EXCEL'!$C:$C,'BASE DE EXCEL'!Y:Y,"NO HAY REFERENCIA")</f>
        <v>0</v>
      </c>
      <c r="DF160" s="3" t="str">
        <f>_xlfn.XLOOKUP(B160,'BASE DE EXCEL'!$C:$C,'BASE DE EXCEL'!Z:Z,"NO HAY REFERENCIA")</f>
        <v>1 día o menos</v>
      </c>
      <c r="DG160" s="3">
        <f>_xlfn.XLOOKUP(B160,'BASE DE EXCEL'!$C:$C,'BASE DE EXCEL'!AA:AA,"NO HAY REFERENCIA")</f>
        <v>12</v>
      </c>
      <c r="DH160" s="3">
        <f>_xlfn.XLOOKUP(B160,'BASE DE EXCEL'!$C:$C,'BASE DE EXCEL'!AB:AB,"NO HAY REFERENCIA")</f>
        <v>1</v>
      </c>
      <c r="DI160" s="3" t="str">
        <f>_xlfn.XLOOKUP(B160,'BASE DE EXCEL'!$C:$C,'BASE DE EXCEL'!AC:AC,"NO HAY REFERENCIA")</f>
        <v>1 día o menos</v>
      </c>
      <c r="DJ160" s="4">
        <f>_xlfn.XLOOKUP(B160,'BASE DE EXCEL'!$C:$C,'BASE DE EXCEL'!AD:AD,"NO HAY REFERENCIA")</f>
        <v>46153</v>
      </c>
      <c r="DK160" s="3">
        <f>_xlfn.XLOOKUP(B160,'BASE DE EXCEL'!$C:$C,'BASE DE EXCEL'!AE:AE,"NO HAY REFERENCIA")</f>
        <v>13</v>
      </c>
      <c r="DL160" s="3">
        <f>_xlfn.XLOOKUP(B160,'BASE DE EXCEL'!$C:$C,'BASE DE EXCEL'!AF:AF,"NO HAY REFERENCIA")</f>
        <v>9</v>
      </c>
      <c r="DM160" s="4">
        <f>_xlfn.XLOOKUP(B160,'BASE DE EXCEL'!$C:$C,'BASE DE EXCEL'!AG:AG,"NO HAY REFERENCIA")</f>
        <v>46153</v>
      </c>
      <c r="DN160" s="4">
        <f>_xlfn.XLOOKUP(B160,'BASE DE EXCEL'!$C:$C,'BASE DE EXCEL'!AH:AH,"NO HAY REFERENCIA")</f>
        <v>46153</v>
      </c>
      <c r="DO160" s="3">
        <f>_xlfn.XLOOKUP(B160,'BASE DE EXCEL'!$C:$C,'BASE DE EXCEL'!AI:AI,"NO HAY REFERENCIA")</f>
        <v>0</v>
      </c>
      <c r="DP160" s="4" t="str">
        <f>_xlfn.XLOOKUP(B160,'BASE DE EXCEL'!$C:$C,'BASE DE EXCEL'!AJ:AJ,"NO HAY REFERENCIA")</f>
        <v>11 a 15 días</v>
      </c>
      <c r="DQ160" s="4">
        <f>_xlfn.XLOOKUP(B160,'BASE DE EXCEL'!$C:$C,'BASE DE EXCEL'!AK:AK,"NO HAY REFERENCIA")</f>
        <v>46153</v>
      </c>
      <c r="DR160" s="3">
        <f>_xlfn.XLOOKUP(B160,'BASE DE EXCEL'!$C:$C,'BASE DE EXCEL'!AL:AL,"NO HAY REFERENCIA")</f>
        <v>9</v>
      </c>
      <c r="DS160" s="3" t="str">
        <f>_xlfn.XLOOKUP(B160,'BASE DE EXCEL'!$C:$C,'BASE DE EXCEL'!AM:AM,"NO HAY REFERENCIA")</f>
        <v>6 a 10 días</v>
      </c>
      <c r="DT160" s="3" t="str">
        <f>_xlfn.XLOOKUP(B160,'BASE DE EXCEL'!$C:$C,'BASE DE EXCEL'!AN:AN,"NO HAY REFERENCIA")</f>
        <v>Delayed</v>
      </c>
      <c r="DU160" s="3">
        <f>_xlfn.XLOOKUP(B160,'BASE DE EXCEL'!$C:$C,'BASE DE EXCEL'!AO:AO,"NO HAY REFERENCIA")</f>
        <v>1</v>
      </c>
      <c r="DV160" s="3" t="str">
        <f>_xlfn.XLOOKUP(B160,'BASE DE EXCEL'!$C:$C,'BASE DE EXCEL'!AP:AP,"NO HAY REFERENCIA")</f>
        <v>Es anterior</v>
      </c>
      <c r="DW160" s="3" t="str">
        <f>_xlfn.XLOOKUP(B160,'BASE DE EXCEL'!$C:$C,'BASE DE EXCEL'!AQ:AQ,"NO HAY REFERENCIA")</f>
        <v>A1</v>
      </c>
      <c r="DX160" s="3" t="str">
        <f>_xlfn.XLOOKUP(B160,'BASE DE EXCEL'!$C:$C,'BASE DE EXCEL'!AR:AR,"NO HAY REFERENCIA")</f>
        <v>ZULEIMA PEREZ RUIZ</v>
      </c>
      <c r="DY160" s="3" t="str">
        <f>_xlfn.XLOOKUP(B160,'BASE DE EXCEL'!$C:$C,'BASE DE EXCEL'!AS:AS,"NO HAY REFERENCIA")</f>
        <v>HLCUHAM2602AZCL0</v>
      </c>
      <c r="DZ160" s="3" t="str">
        <f>_xlfn.XLOOKUP(B160,'BASE DE EXCEL'!$C:$C,'BASE DE EXCEL'!AT:AT,"NO HAY REFERENCIA")</f>
        <v>NULL</v>
      </c>
      <c r="EA160" s="3">
        <f>_xlfn.XLOOKUP(B160,'BASE DE EXCEL'!$C:$C,'BASE DE EXCEL'!AU:AU,"NO HAY REFERENCIA")</f>
        <v>6000582</v>
      </c>
      <c r="EB160" s="3" t="str">
        <f>_xlfn.XLOOKUP(B160,'BASE DE EXCEL'!$C:$C,'BASE DE EXCEL'!AV:AV,"NO HAY REFERENCIA")</f>
        <v>Importación</v>
      </c>
      <c r="EC160" s="3" t="str">
        <f>_xlfn.XLOOKUP(B160,'BASE DE EXCEL'!$C:$C,'BASE DE EXCEL'!AW:AW,"NO HAY REFERENCIA")</f>
        <v>BRAVECTO 1M 45MG (MEDICAMENTO DOSIFICADO DE USO VETERINARIO)</v>
      </c>
      <c r="ED160" s="3" t="str">
        <f>_xlfn.XLOOKUP(B160,'BASE DE EXCEL'!$C:$C,'BASE DE EXCEL'!AX:AX,"NO HAY REFERENCIA")</f>
        <v>SIN CLASIFICACION</v>
      </c>
      <c r="EE160" s="3">
        <f>_xlfn.XLOOKUP(B160,'BASE DE EXCEL'!$C:$C,'BASE DE EXCEL'!AY:AY,"NO HAY REFERENCIA")</f>
        <v>0</v>
      </c>
      <c r="EF160" s="3" t="str">
        <f>_xlfn.XLOOKUP(B160,'BASE DE EXCEL'!$C:$C,'BASE DE EXCEL'!AZ:AZ,"NO HAY REFERENCIA")</f>
        <v>Cargas de Importación</v>
      </c>
      <c r="EG160" s="3" t="str">
        <f>_xlfn.XLOOKUP(B160,'BASE DE EXCEL'!$C:$C,'BASE DE EXCEL'!BA:BA,"NO HAY REFERENCIA")</f>
        <v>INTERVET MEXICO SA DE CV</v>
      </c>
      <c r="EH160" s="3">
        <f>_xlfn.XLOOKUP(B160,'BASE DE EXCEL'!$C:$C,'BASE DE EXCEL'!BB:BB,"NO HAY REFERENCIA")</f>
        <v>0</v>
      </c>
      <c r="EI160" s="3" t="str">
        <f>_xlfn.XLOOKUP(B160,'BASE DE EXCEL'!$C:$C,'BASE DE EXCEL'!BC:BC,"NO HAY REFERENCIA")</f>
        <v>FALTA RRNA</v>
      </c>
      <c r="EJ160" s="3">
        <f>_xlfn.XLOOKUP(B160,'BASE DE EXCEL'!$C:$C,'BASE DE EXCEL'!BD:BD,"NO HAY REFERENCIA")</f>
        <v>0</v>
      </c>
      <c r="EK160" s="3" t="str">
        <f>_xlfn.XLOOKUP(B160,'BASE DE EXCEL'!$C:$C,'BASE DE EXCEL'!BE:BE,"NO HAY REFERENCIA")</f>
        <v>FALTA RRNA</v>
      </c>
      <c r="EL160" s="3" t="str">
        <f>_xlfn.XLOOKUP(B160,'BASE DE EXCEL'!$C:$C,'BASE DE EXCEL'!BF:BF,"NO HAY REFERENCIA")</f>
        <v>PRODUCTO TERMINADO</v>
      </c>
      <c r="EM160" s="3" t="str">
        <f>_xlfn.XLOOKUP(B160,'BASE DE EXCEL'!$C:$C,'BASE DE EXCEL'!BG:BG,"NO HAY REFERENCIA")</f>
        <v>Verde</v>
      </c>
      <c r="EN160" s="3" t="str">
        <f>_xlfn.XLOOKUP(B160,'BASE DE EXCEL'!$C:$C,'BASE DE EXCEL'!BH:BH,"NO HAY REFERENCIA")</f>
        <v xml:space="preserve"> SUPER EXPRESS DE CARGA FEDERAL S.A. DE C.V.</v>
      </c>
      <c r="EO160" s="3">
        <f>_xlfn.XLOOKUP(B160,'BASE DE EXCEL'!$C:$C,'BASE DE EXCEL'!BI:BI,"NO HAY REFERENCIA")</f>
        <v>0</v>
      </c>
      <c r="EP160" s="3" t="str">
        <f>_xlfn.XLOOKUP(B160,'BASE DE EXCEL'!$C:$C,'BASE DE EXCEL'!BJ:BJ,"NO HAY REFERENCIA")</f>
        <v>IME-T006</v>
      </c>
      <c r="EQ160" s="3" t="str">
        <f>_xlfn.XLOOKUP(B160,'BASE DE EXCEL'!$C:$C,'BASE DE EXCEL'!BK:BK,"NO HAY REFERENCIA")</f>
        <v>IME850329RH2</v>
      </c>
      <c r="ER160" s="3">
        <f>_xlfn.XLOOKUP(B160,'BASE DE EXCEL'!$C:$C,'BASE DE EXCEL'!BL:BL,"NO HAY REFERENCIA")</f>
        <v>0</v>
      </c>
      <c r="ES160" s="3">
        <f>_xlfn.XLOOKUP(B160,'BASE DE EXCEL'!$C:$C,'BASE DE EXCEL'!BM:BM,"NO HAY REFERENCIA")</f>
        <v>99</v>
      </c>
      <c r="ET160" s="3" t="str">
        <f>_xlfn.XLOOKUP(B160,'BASE DE EXCEL'!$C:$C,'BASE DE EXCEL'!BN:BN,"NO HAY REFERENCIA")</f>
        <v>LOTE: 25E1003C06,LOTE: A075C01,LOTE: B031T01</v>
      </c>
      <c r="EU160" s="3">
        <f>_xlfn.XLOOKUP(B160,'BASE DE EXCEL'!$C:$C,'BASE DE EXCEL'!BO:BO,"NO HAY REFERENCIA")</f>
        <v>90</v>
      </c>
      <c r="EV160" s="3" t="str">
        <f>_xlfn.XLOOKUP(B160,'BASE DE EXCEL'!$C:$C,'BASE DE EXCEL'!BP:BP,"NO HAY REFERENCIA")</f>
        <v xml:space="preserve"> 7496410.42, 7719310.00</v>
      </c>
      <c r="EW160" s="3" t="str">
        <f>_xlfn.XLOOKUP(B160,'BASE DE EXCEL'!$C:$C,'BASE DE EXCEL'!BQ:BQ,"NO HAY REFERENCIA")</f>
        <v>KILO,KILO,KILO</v>
      </c>
      <c r="EX160" s="3">
        <f>_xlfn.XLOOKUP(B160,'BASE DE EXCEL'!$C:$C,'BASE DE EXCEL'!BR:BR,"NO HAY REFERENCIA")</f>
        <v>0</v>
      </c>
      <c r="EY160" s="3" t="str">
        <f>_xlfn.XLOOKUP(B160,'BASE DE EXCEL'!$C:$C,'BASE DE EXCEL'!BS:BS,"NO HAY REFERENCIA")</f>
        <v>AUSTRIA (REPUBLICA DE)</v>
      </c>
      <c r="EZ160" s="3" t="str">
        <f>_xlfn.XLOOKUP(B160,'BASE DE EXCEL'!$C:$C,'BASE DE EXCEL'!BT:BT,"NO HAY REFERENCIA")</f>
        <v>PAISES BAJOS (REINO DE LOS) (HOLANDA)</v>
      </c>
      <c r="FA160" s="3" t="str">
        <f>_xlfn.XLOOKUP(B160,'BASE DE EXCEL'!$C:$C,'BASE DE EXCEL'!BU:BU,"NO HAY REFERENCIA")</f>
        <v>AUT</v>
      </c>
      <c r="FB160" s="3" t="str">
        <f>_xlfn.XLOOKUP(B160,'BASE DE EXCEL'!$C:$C,'BASE DE EXCEL'!BV:BV,"NO HAY REFERENCIA")</f>
        <v>ZYA</v>
      </c>
      <c r="FC160" s="3">
        <f>_xlfn.XLOOKUP(B160,QUERY!$C:$C,QUERY!D:D)</f>
        <v>430</v>
      </c>
      <c r="FD160" s="4">
        <f>_xlfn.XLOOKUP(B160,QUERY!$C:$C,QUERY!E:E)</f>
        <v>46139</v>
      </c>
      <c r="FE160" s="3">
        <f>_xlfn.XLOOKUP(B160,QUERY!$C:$C,QUERY!F:F)</f>
        <v>4</v>
      </c>
      <c r="FF160" s="4">
        <f>_xlfn.XLOOKUP(B160,QUERY!$C:$C,QUERY!G:G)</f>
        <v>46127</v>
      </c>
      <c r="FG160" s="4">
        <f>_xlfn.XLOOKUP(B160,QUERY!$C:$C,QUERY!H:H)</f>
        <v>46139</v>
      </c>
      <c r="FH160" s="3">
        <f>_xlfn.XLOOKUP(B160,QUERY!$C:$C,QUERY!I:I)</f>
        <v>8</v>
      </c>
      <c r="FI160" s="3" t="str">
        <f>_xlfn.XLOOKUP(B160,QUERY!$C:$C,QUERY!J:J)</f>
        <v>6 a 10 días</v>
      </c>
      <c r="FJ160" s="4">
        <f>_xlfn.XLOOKUP(B160,QUERY!$C:$C,QUERY!K:K)</f>
        <v>46139</v>
      </c>
      <c r="FK160" s="3">
        <f>_xlfn.XLOOKUP(B160,QUERY!$C:$C,QUERY!L:L)</f>
        <v>8</v>
      </c>
      <c r="FL160" s="3" t="str">
        <f>_xlfn.XLOOKUP(B160,QUERY!$C:$C,QUERY!M:M)</f>
        <v>6 a 10 días</v>
      </c>
      <c r="FM160" s="3">
        <f>_xlfn.XLOOKUP(B160,QUERY!$C:$C,QUERY!N:N)</f>
        <v>0</v>
      </c>
      <c r="FN160" s="3" t="str">
        <f>_xlfn.XLOOKUP(B160,QUERY!$C:$C,QUERY!O:O)</f>
        <v>1 día o menos</v>
      </c>
      <c r="FO160" s="3">
        <f>_xlfn.XLOOKUP(B160,QUERY!$C:$C,QUERY!P:P)</f>
        <v>0</v>
      </c>
      <c r="FP160" s="3">
        <f>_xlfn.XLOOKUP(B160,QUERY!$C:$C,QUERY!Q:Q)</f>
        <v>1</v>
      </c>
      <c r="FQ160" s="3" t="str">
        <f>_xlfn.XLOOKUP(B160,QUERY!$C:$C,QUERY!R:R)</f>
        <v>1 día o menos</v>
      </c>
      <c r="FR160" s="4">
        <f>_xlfn.XLOOKUP(B160,QUERY!$C:$C,QUERY!S:S)</f>
        <v>46140</v>
      </c>
      <c r="FS160" s="3">
        <f>_xlfn.XLOOKUP(B160,QUERY!$C:$C,QUERY!T:T)</f>
        <v>9</v>
      </c>
      <c r="FT160" s="3" t="str">
        <f>_xlfn.XLOOKUP(B160,QUERY!$C:$C,QUERY!U:U)</f>
        <v>6 a 10 días</v>
      </c>
      <c r="FU160" s="3">
        <f>_xlfn.XLOOKUP(B160,QUERY!$C:$C,QUERY!V:V)</f>
        <v>18</v>
      </c>
      <c r="FV160" s="3" t="str">
        <f>_xlfn.XLOOKUP(B160,QUERY!$C:$C,QUERY!W:W)</f>
        <v>más de 16 días</v>
      </c>
      <c r="FW160" s="4">
        <f>_xlfn.XLOOKUP(B160,QUERY!$C:$C,QUERY!X:X)</f>
        <v>46153</v>
      </c>
      <c r="FX160" s="3">
        <f>_xlfn.XLOOKUP(B160,QUERY!$C:$C,QUERY!Y:Y)</f>
        <v>9</v>
      </c>
      <c r="FY160" s="3">
        <f>_xlfn.XLOOKUP(B160,QUERY!$C:$C,QUERY!Z:Z)</f>
        <v>9</v>
      </c>
      <c r="FZ160" s="4" t="str">
        <f>_xlfn.XLOOKUP(B160,QUERY!$C:$C,QUERY!AA:AA)</f>
        <v>11 a 15 días</v>
      </c>
      <c r="GA160" s="4">
        <f>_xlfn.XLOOKUP(B160,QUERY!$C:$C,QUERY!AB:AB)</f>
        <v>46153</v>
      </c>
      <c r="GB160" s="4">
        <f>_xlfn.XLOOKUP(B160,QUERY!$C:$C,QUERY!AC:AC)</f>
        <v>46153</v>
      </c>
      <c r="GC160" s="3">
        <f>_xlfn.XLOOKUP(B160,QUERY!$C:$C,QUERY!AD:AD)</f>
        <v>0</v>
      </c>
      <c r="GD160" s="4">
        <f>_xlfn.XLOOKUP(B160,QUERY!$C:$C,QUERY!AE:AE)</f>
        <v>46153</v>
      </c>
      <c r="GE160" s="3">
        <f>_xlfn.XLOOKUP(B160,QUERY!$C:$C,QUERY!AF:AF)</f>
        <v>1</v>
      </c>
      <c r="GF160" s="4" t="str">
        <f>_xlfn.XLOOKUP(B160,QUERY!$C:$C,QUERY!AG:AG)</f>
        <v>Es anterior</v>
      </c>
      <c r="GG160" s="3" t="str">
        <f>_xlfn.XLOOKUP(B160,QUERY!$C:$C,QUERY!AH:AH)</f>
        <v>A1</v>
      </c>
      <c r="GH160" s="3" t="str">
        <f>_xlfn.XLOOKUP(B160,QUERY!$C:$C,QUERY!AI:AI)</f>
        <v>ZULEIMA PEREZ RUIZ</v>
      </c>
      <c r="GI160" s="3" t="str">
        <f>_xlfn.XLOOKUP(B160,QUERY!$C:$C,QUERY!AJ:AJ)</f>
        <v>HLCUHAM2602AZCL0</v>
      </c>
      <c r="GJ160" s="3" t="str">
        <f>_xlfn.XLOOKUP(B160,QUERY!$C:$C,QUERY!AK:AK)</f>
        <v>NULL</v>
      </c>
      <c r="GK160" s="3">
        <f>_xlfn.XLOOKUP(B160,QUERY!$C:$C,QUERY!AL:AL)</f>
        <v>6000582</v>
      </c>
      <c r="GL160" s="3" t="str">
        <f>_xlfn.XLOOKUP(B160,QUERY!$C:$C,QUERY!AM:AM)</f>
        <v>Importación</v>
      </c>
      <c r="GM160" s="3" t="str">
        <f>_xlfn.XLOOKUP(B160,QUERY!$C:$C,QUERY!AN:AN)</f>
        <v>BRAVECTO 1M 45MG (MEDICAMENTO DOSIFICADO DE USO VETERINARIO)</v>
      </c>
      <c r="GN160" s="3" t="str">
        <f>_xlfn.XLOOKUP(B160,QUERY!$C:$C,QUERY!AO:AO)</f>
        <v>SIN CLASIFICACION</v>
      </c>
      <c r="GO160" s="3">
        <f>_xlfn.XLOOKUP(B160,QUERY!$C:$C,QUERY!AP:AP)</f>
        <v>0</v>
      </c>
      <c r="GP160" s="3" t="str">
        <f>_xlfn.XLOOKUP(B160,QUERY!$C:$C,QUERY!AQ:AQ)</f>
        <v>Cargas de Importación</v>
      </c>
      <c r="GQ160" s="3" t="str">
        <f>_xlfn.XLOOKUP(B160,QUERY!$C:$C,QUERY!AR:AR)</f>
        <v>INTERVET MEXICO SA DE CV</v>
      </c>
      <c r="GR160" s="3">
        <f>_xlfn.XLOOKUP(B160,QUERY!$C:$C,QUERY!AS:AS)</f>
        <v>0</v>
      </c>
      <c r="GS160" s="3" t="str">
        <f>_xlfn.XLOOKUP(B160,QUERY!$C:$C,QUERY!AT:AT)</f>
        <v>FALTA RRNA</v>
      </c>
      <c r="GT160" s="3">
        <f>_xlfn.XLOOKUP(B160,QUERY!$C:$C,QUERY!AU:AU)</f>
        <v>0</v>
      </c>
      <c r="GU160" s="3" t="str">
        <f>_xlfn.XLOOKUP(B160,QUERY!$C:$C,QUERY!AV:AV)</f>
        <v>FALTA RRNA</v>
      </c>
      <c r="GV160" s="3" t="str">
        <f>_xlfn.XLOOKUP(B160,QUERY!$C:$C,QUERY!AW:AW)</f>
        <v>PRODUCTO TERMINADO</v>
      </c>
      <c r="GW160" s="3" t="str">
        <f>_xlfn.XLOOKUP(B160,QUERY!$C:$C,QUERY!AX:AX)</f>
        <v>Verde</v>
      </c>
      <c r="GX160" s="3" t="str">
        <f>_xlfn.XLOOKUP(B160,QUERY!$C:$C,QUERY!AY:AY)</f>
        <v xml:space="preserve"> SUPER EXPRESS DE CARGA FEDERAL S.A. DE C.V.</v>
      </c>
      <c r="GY160" s="3">
        <f>_xlfn.XLOOKUP(B160,QUERY!$C:$C,QUERY!AZ:AZ)</f>
        <v>0</v>
      </c>
      <c r="GZ160" s="3" t="str">
        <f>_xlfn.XLOOKUP(B160,QUERY!$C:$C,QUERY!BA:BA)</f>
        <v>IME-T006</v>
      </c>
      <c r="HA160" s="3" t="str">
        <f>_xlfn.XLOOKUP(B160,QUERY!$C:$C,QUERY!BB:BB)</f>
        <v>IME850329RH2</v>
      </c>
      <c r="HB160" s="3">
        <f>_xlfn.XLOOKUP(B160,QUERY!$C:$C,QUERY!BC:BC)</f>
        <v>0</v>
      </c>
      <c r="HC160" s="3">
        <f>_xlfn.XLOOKUP(B160,QUERY!$C:$C,QUERY!BD:BD)</f>
        <v>99</v>
      </c>
      <c r="HD160" s="3" t="str">
        <f>_xlfn.XLOOKUP(B160,QUERY!$C:$C,QUERY!BE:BE)</f>
        <v>LOTE: 25E1003C06,LOTE: B031T01,LOTE: A075C01</v>
      </c>
      <c r="HE160" s="3">
        <f>_xlfn.XLOOKUP(B160,QUERY!$C:$C,QUERY!BF:BF)</f>
        <v>90</v>
      </c>
      <c r="HF160" s="3" t="str">
        <f>_xlfn.XLOOKUP(B160,QUERY!$C:$C,QUERY!BG:BG)</f>
        <v xml:space="preserve"> 7496410.42, 7719310.00</v>
      </c>
      <c r="HG160" s="3" t="str">
        <f>_xlfn.XLOOKUP(B160,QUERY!$C:$C,QUERY!BH:BH)</f>
        <v>KILO,KILO,KILO</v>
      </c>
      <c r="HH160" s="3">
        <f>_xlfn.XLOOKUP(B160,QUERY!$C:$C,QUERY!BI:BI)</f>
        <v>0</v>
      </c>
      <c r="HI160" s="3" t="str">
        <f>_xlfn.XLOOKUP(B160,QUERY!$C:$C,QUERY!BJ:BJ)</f>
        <v>AUSTRIA (REPUBLICA DE)</v>
      </c>
      <c r="HJ160" s="3" t="str">
        <f>_xlfn.XLOOKUP(B160,QUERY!$C:$C,QUERY!BK:BK)</f>
        <v>PAISES BAJOS (REINO DE LOS) (HOLANDA)</v>
      </c>
      <c r="HK160" s="3" t="str">
        <f>_xlfn.XLOOKUP(B160,QUERY!$C:$C,QUERY!BL:BL)</f>
        <v>AUT</v>
      </c>
      <c r="HL160" s="3" t="str">
        <f>_xlfn.XLOOKUP(B160,QUERY!$C:$C,QUERY!BM:BM)</f>
        <v>ZYA</v>
      </c>
      <c r="HM160" s="3">
        <f>_xlfn.XLOOKUP(B160,QUERY!$C:$C,QUERY!BN:BN)</f>
        <v>15215720</v>
      </c>
      <c r="HN160" s="3" t="str">
        <f>_xlfn.XLOOKUP(B160,QUERY!$C:$C,QUERY!BO:BO)</f>
        <v>46567.00</v>
      </c>
      <c r="HO160" s="3" t="str">
        <f>_xlfn.XLOOKUP(B160,QUERY!$C:$C,QUERY!BP:BP)</f>
        <v>NULL</v>
      </c>
      <c r="HP160" s="3" t="str">
        <f>_xlfn.XLOOKUP(B160,QUERY!$C:$C,QUERY!BQ:BQ)</f>
        <v>582093.00</v>
      </c>
      <c r="HQ160" s="3" t="str">
        <f>_xlfn.XLOOKUP(B160,QUERY!$C:$C,QUERY!BR:BR)</f>
        <v>216973.64</v>
      </c>
      <c r="HR160" s="3">
        <f>_xlfn.XLOOKUP(B160,QUERY!$C:$C,QUERY!BS:BS)</f>
        <v>0</v>
      </c>
      <c r="HS160" s="3">
        <f>_xlfn.XLOOKUP(B160,QUERY!$C:$C,QUERY!BT:BT)</f>
        <v>0</v>
      </c>
      <c r="HT160" s="3" t="str">
        <f>_xlfn.XLOOKUP(B160,QUERY!$C:$C,QUERY!A:A)</f>
        <v>VERACRUZ</v>
      </c>
      <c r="HU160" s="3" t="str">
        <f>_xlfn.XLOOKUP(B160,QUERY!$C:$C,QUERY!B:B)</f>
        <v>MARÍTIMO VERACRUZ</v>
      </c>
    </row>
    <row r="161" spans="1:229" x14ac:dyDescent="0.25">
      <c r="A161" s="3" t="s">
        <v>90</v>
      </c>
      <c r="B161" s="3" t="s">
        <v>440</v>
      </c>
      <c r="C161" s="3">
        <v>3942</v>
      </c>
      <c r="D161" s="3">
        <v>6000583</v>
      </c>
      <c r="E161" s="3"/>
      <c r="F161" s="3" t="s">
        <v>92</v>
      </c>
      <c r="G161" s="3" t="s">
        <v>93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17.347000000000001</v>
      </c>
      <c r="Q161" s="3">
        <v>3195</v>
      </c>
      <c r="R161" s="3">
        <v>430</v>
      </c>
      <c r="S161" s="3" t="s">
        <v>441</v>
      </c>
      <c r="T161" s="3" t="s">
        <v>95</v>
      </c>
      <c r="U161" s="3">
        <v>10797531</v>
      </c>
      <c r="V161" s="3">
        <v>10797531</v>
      </c>
      <c r="W161" s="3">
        <v>0</v>
      </c>
      <c r="X161" s="3">
        <v>0</v>
      </c>
      <c r="Y161" s="3">
        <v>0</v>
      </c>
      <c r="Z161" s="3">
        <v>0</v>
      </c>
      <c r="AA161" s="3" t="s">
        <v>136</v>
      </c>
      <c r="AB161" s="3"/>
      <c r="AC161" s="3">
        <v>732459</v>
      </c>
      <c r="AD161" s="3">
        <v>606.34023000000002</v>
      </c>
      <c r="AE161" s="3">
        <v>354</v>
      </c>
      <c r="AF161" s="3" t="s">
        <v>180</v>
      </c>
      <c r="AG161" s="3">
        <v>752477</v>
      </c>
      <c r="AH161" s="3">
        <v>0</v>
      </c>
      <c r="AI161" s="3">
        <v>53</v>
      </c>
      <c r="AJ161" s="3">
        <v>60198</v>
      </c>
      <c r="AK161" s="3">
        <v>0</v>
      </c>
      <c r="AL161" s="3">
        <v>0</v>
      </c>
      <c r="AM161" s="3">
        <v>330</v>
      </c>
      <c r="AN161" s="3">
        <v>813058</v>
      </c>
      <c r="AO161" s="3" t="s">
        <v>97</v>
      </c>
      <c r="AP161" s="3" t="s">
        <v>98</v>
      </c>
      <c r="AQ161" s="3">
        <v>210370447</v>
      </c>
      <c r="AR161" s="3" t="s">
        <v>99</v>
      </c>
      <c r="AS161" s="3" t="s">
        <v>100</v>
      </c>
      <c r="AT161" s="3" t="s">
        <v>442</v>
      </c>
      <c r="AU161" s="3"/>
      <c r="AV161" s="3" t="s">
        <v>102</v>
      </c>
      <c r="AW161" s="3">
        <v>30049099</v>
      </c>
      <c r="AX161" s="3">
        <v>99</v>
      </c>
      <c r="AY161" s="3">
        <v>1208</v>
      </c>
      <c r="AZ161" s="3">
        <v>1208</v>
      </c>
      <c r="BA161" s="3" t="s">
        <v>103</v>
      </c>
      <c r="BB161" s="3"/>
      <c r="BC161" s="3" t="s">
        <v>133</v>
      </c>
      <c r="BD161" s="3" t="s">
        <v>105</v>
      </c>
      <c r="BE161" s="3" t="s">
        <v>228</v>
      </c>
      <c r="BF161" s="3" t="s">
        <v>117</v>
      </c>
      <c r="BG161" s="5"/>
      <c r="BH161" s="3"/>
      <c r="BI161" s="3"/>
      <c r="BJ161" s="3" t="s">
        <v>109</v>
      </c>
      <c r="BK161" s="3" t="s">
        <v>443</v>
      </c>
      <c r="BL161" s="3">
        <v>45992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22189.59</v>
      </c>
      <c r="BY161" s="3">
        <v>0</v>
      </c>
      <c r="BZ161" s="3">
        <v>0</v>
      </c>
      <c r="CA161" s="3">
        <v>5038.8100000000004</v>
      </c>
      <c r="CB161" s="3">
        <v>16446.53</v>
      </c>
      <c r="CC161" s="3">
        <v>2773.84</v>
      </c>
      <c r="CD161" s="3">
        <v>157037.87</v>
      </c>
      <c r="CE161" s="3" t="s">
        <v>192</v>
      </c>
      <c r="CF161" s="3">
        <v>157037.87</v>
      </c>
      <c r="CG161" s="3">
        <v>0</v>
      </c>
      <c r="CH161" s="3">
        <v>0</v>
      </c>
      <c r="CI161" s="3" t="s">
        <v>112</v>
      </c>
      <c r="CJ161" s="3" t="s">
        <v>112</v>
      </c>
      <c r="CK161" s="3">
        <f>_xlfn.XLOOKUP($B$2,'BASE DE EXCEL'!C:C,'BASE DE EXCEL'!D:D,"NO HAY REFERENCIA")</f>
        <v>470</v>
      </c>
      <c r="CL161" s="5">
        <f>_xlfn.XLOOKUP($B$2,'BASE DE EXCEL'!$C:$C,'BASE DE EXCEL'!F:F,"NO HAY REFERENCIA")</f>
        <v>3</v>
      </c>
      <c r="CM161" s="4">
        <f>_xlfn.XLOOKUP($B$2,'BASE DE EXCEL'!$C:$C,'BASE DE EXCEL'!G:G,"NO HAY REFERENCIA")</f>
        <v>46080</v>
      </c>
      <c r="CN161" s="4">
        <f>_xlfn.XLOOKUP($B$2,'BASE DE EXCEL'!$C:$C,'BASE DE EXCEL'!H:H,"NO HAY REFERENCIA")</f>
        <v>46086</v>
      </c>
      <c r="CO161" s="3">
        <f>_xlfn.XLOOKUP($B$2,'BASE DE EXCEL'!$C:$C,'BASE DE EXCEL'!I:I,"NO HAY REFERENCIA")</f>
        <v>4</v>
      </c>
      <c r="CP161" s="3" t="str">
        <f>_xlfn.XLOOKUP($B$2,'BASE DE EXCEL'!$C:$C,'BASE DE EXCEL'!J:J,"NO HAY REFERENCIA")</f>
        <v>4 a 5 días</v>
      </c>
      <c r="CQ161" s="4">
        <f>_xlfn.XLOOKUP($B$2,'BASE DE EXCEL'!$C:$C,'BASE DE EXCEL'!K:K,"NO HAY REFERENCIA")</f>
        <v>46087</v>
      </c>
      <c r="CR161" s="3">
        <f>_xlfn.XLOOKUP($B$2,'BASE DE EXCEL'!$C:$C,'BASE DE EXCEL'!L:L,"NO HAY REFERENCIA")</f>
        <v>5</v>
      </c>
      <c r="CS161" s="3">
        <f>_xlfn.XLOOKUP($B$2,'BASE DE EXCEL'!$C:$C,'BASE DE EXCEL'!M:M,"NO HAY REFERENCIA")</f>
        <v>6</v>
      </c>
      <c r="CT161" s="3" t="str">
        <f>_xlfn.XLOOKUP($B$2,'BASE DE EXCEL'!$C:$C,'BASE DE EXCEL'!N:N,"NO HAY REFERENCIA")</f>
        <v>6 a 10 días</v>
      </c>
      <c r="CU161" s="3" t="str">
        <f>_xlfn.XLOOKUP($B$2,'BASE DE EXCEL'!$C:$C,'BASE DE EXCEL'!O:O,"NO HAY REFERENCIA")</f>
        <v>On Time</v>
      </c>
      <c r="CV161" s="3" t="str">
        <f>_xlfn.XLOOKUP(B161,'BASE DE EXCEL'!$C:$C,'BASE DE EXCEL'!P:P,"NO HAY REFERENCIA")</f>
        <v>6 a 10 días</v>
      </c>
      <c r="CW161" s="4">
        <f>_xlfn.XLOOKUP(B161,'BASE DE EXCEL'!$C:$C,'BASE DE EXCEL'!Q:Q,"NO HAY REFERENCIA")</f>
        <v>46134</v>
      </c>
      <c r="CX161" s="3">
        <f>_xlfn.XLOOKUP(B161,'BASE DE EXCEL'!$C:$C,'BASE DE EXCEL'!R:R,"NO HAY REFERENCIA")</f>
        <v>6</v>
      </c>
      <c r="CY161" s="3" t="str">
        <f>_xlfn.XLOOKUP(B161,'BASE DE EXCEL'!$C:$C,'BASE DE EXCEL'!S:S,"NO HAY REFERENCIA")</f>
        <v>6 a 10 días</v>
      </c>
      <c r="CZ161" s="3" t="str">
        <f>_xlfn.XLOOKUP(B161,'BASE DE EXCEL'!$C:$C,'BASE DE EXCEL'!T:T,"NO HAY REFERENCIA")</f>
        <v>On Time</v>
      </c>
      <c r="DA161" s="3">
        <f>_xlfn.XLOOKUP(B161,'BASE DE EXCEL'!$C:$C,'BASE DE EXCEL'!U:U,"NO HAY REFERENCIA")</f>
        <v>7</v>
      </c>
      <c r="DB161" s="3" t="str">
        <f>_xlfn.XLOOKUP(B161,'BASE DE EXCEL'!$C:$C,'BASE DE EXCEL'!V:V,"NO HAY REFERENCIA")</f>
        <v>4 a 5 días</v>
      </c>
      <c r="DC161" s="3">
        <f>_xlfn.XLOOKUP(B161,'BASE DE EXCEL'!$C:$C,'BASE DE EXCEL'!W:W,"NO HAY REFERENCIA")</f>
        <v>18</v>
      </c>
      <c r="DD161" s="3" t="str">
        <f>_xlfn.XLOOKUP(B161,'BASE DE EXCEL'!$C:$C,'BASE DE EXCEL'!X:X,"NO HAY REFERENCIA")</f>
        <v>más de 16 días</v>
      </c>
      <c r="DE161" s="3">
        <f>_xlfn.XLOOKUP(B161,'BASE DE EXCEL'!$C:$C,'BASE DE EXCEL'!Y:Y,"NO HAY REFERENCIA")</f>
        <v>1</v>
      </c>
      <c r="DF161" s="3" t="str">
        <f>_xlfn.XLOOKUP(B161,'BASE DE EXCEL'!$C:$C,'BASE DE EXCEL'!Z:Z,"NO HAY REFERENCIA")</f>
        <v>1 día o menos</v>
      </c>
      <c r="DG161" s="3">
        <f>_xlfn.XLOOKUP(B161,'BASE DE EXCEL'!$C:$C,'BASE DE EXCEL'!AA:AA,"NO HAY REFERENCIA")</f>
        <v>5</v>
      </c>
      <c r="DH161" s="3">
        <f>_xlfn.XLOOKUP(B161,'BASE DE EXCEL'!$C:$C,'BASE DE EXCEL'!AB:AB,"NO HAY REFERENCIA")</f>
        <v>1</v>
      </c>
      <c r="DI161" s="3" t="str">
        <f>_xlfn.XLOOKUP(B161,'BASE DE EXCEL'!$C:$C,'BASE DE EXCEL'!AC:AC,"NO HAY REFERENCIA")</f>
        <v>1 día o menos</v>
      </c>
      <c r="DJ161" s="4">
        <f>_xlfn.XLOOKUP(B161,'BASE DE EXCEL'!$C:$C,'BASE DE EXCEL'!AD:AD,"NO HAY REFERENCIA")</f>
        <v>46153</v>
      </c>
      <c r="DK161" s="3">
        <f>_xlfn.XLOOKUP(B161,'BASE DE EXCEL'!$C:$C,'BASE DE EXCEL'!AE:AE,"NO HAY REFERENCIA")</f>
        <v>19</v>
      </c>
      <c r="DL161" s="3">
        <f>_xlfn.XLOOKUP(B161,'BASE DE EXCEL'!$C:$C,'BASE DE EXCEL'!AF:AF,"NO HAY REFERENCIA")</f>
        <v>13</v>
      </c>
      <c r="DM161" s="4">
        <f>_xlfn.XLOOKUP(B161,'BASE DE EXCEL'!$C:$C,'BASE DE EXCEL'!AG:AG,"NO HAY REFERENCIA")</f>
        <v>46153</v>
      </c>
      <c r="DN161" s="4">
        <f>_xlfn.XLOOKUP(B161,'BASE DE EXCEL'!$C:$C,'BASE DE EXCEL'!AH:AH,"NO HAY REFERENCIA")</f>
        <v>46153</v>
      </c>
      <c r="DO161" s="3">
        <f>_xlfn.XLOOKUP(B161,'BASE DE EXCEL'!$C:$C,'BASE DE EXCEL'!AI:AI,"NO HAY REFERENCIA")</f>
        <v>0</v>
      </c>
      <c r="DP161" s="4" t="str">
        <f>_xlfn.XLOOKUP(B161,'BASE DE EXCEL'!$C:$C,'BASE DE EXCEL'!AJ:AJ,"NO HAY REFERENCIA")</f>
        <v>más de 16 días</v>
      </c>
      <c r="DQ161" s="4">
        <f>_xlfn.XLOOKUP(B161,'BASE DE EXCEL'!$C:$C,'BASE DE EXCEL'!AK:AK,"NO HAY REFERENCIA")</f>
        <v>46153</v>
      </c>
      <c r="DR161" s="3">
        <f>_xlfn.XLOOKUP(B161,'BASE DE EXCEL'!$C:$C,'BASE DE EXCEL'!AL:AL,"NO HAY REFERENCIA")</f>
        <v>13</v>
      </c>
      <c r="DS161" s="3" t="str">
        <f>_xlfn.XLOOKUP(B161,'BASE DE EXCEL'!$C:$C,'BASE DE EXCEL'!AM:AM,"NO HAY REFERENCIA")</f>
        <v>11 a 15 días</v>
      </c>
      <c r="DT161" s="3" t="str">
        <f>_xlfn.XLOOKUP(B161,'BASE DE EXCEL'!$C:$C,'BASE DE EXCEL'!AN:AN,"NO HAY REFERENCIA")</f>
        <v>Delayed</v>
      </c>
      <c r="DU161" s="3">
        <f>_xlfn.XLOOKUP(B161,'BASE DE EXCEL'!$C:$C,'BASE DE EXCEL'!AO:AO,"NO HAY REFERENCIA")</f>
        <v>1</v>
      </c>
      <c r="DV161" s="3" t="str">
        <f>_xlfn.XLOOKUP(B161,'BASE DE EXCEL'!$C:$C,'BASE DE EXCEL'!AP:AP,"NO HAY REFERENCIA")</f>
        <v>Es anterior</v>
      </c>
      <c r="DW161" s="3" t="str">
        <f>_xlfn.XLOOKUP(B161,'BASE DE EXCEL'!$C:$C,'BASE DE EXCEL'!AQ:AQ,"NO HAY REFERENCIA")</f>
        <v>A1</v>
      </c>
      <c r="DX161" s="3" t="str">
        <f>_xlfn.XLOOKUP(B161,'BASE DE EXCEL'!$C:$C,'BASE DE EXCEL'!AR:AR,"NO HAY REFERENCIA")</f>
        <v>ZULEIMA PEREZ RUIZ</v>
      </c>
      <c r="DY161" s="3" t="str">
        <f>_xlfn.XLOOKUP(B161,'BASE DE EXCEL'!$C:$C,'BASE DE EXCEL'!AS:AS,"NO HAY REFERENCIA")</f>
        <v>HLCUHAM2603BCZP2</v>
      </c>
      <c r="DZ161" s="3" t="str">
        <f>_xlfn.XLOOKUP(B161,'BASE DE EXCEL'!$C:$C,'BASE DE EXCEL'!AT:AT,"NO HAY REFERENCIA")</f>
        <v>NULL</v>
      </c>
      <c r="EA161" s="3">
        <f>_xlfn.XLOOKUP(B161,'BASE DE EXCEL'!$C:$C,'BASE DE EXCEL'!AU:AU,"NO HAY REFERENCIA")</f>
        <v>6000583</v>
      </c>
      <c r="EB161" s="3" t="str">
        <f>_xlfn.XLOOKUP(B161,'BASE DE EXCEL'!$C:$C,'BASE DE EXCEL'!AV:AV,"NO HAY REFERENCIA")</f>
        <v>Importación</v>
      </c>
      <c r="EC161" s="3" t="str">
        <f>_xlfn.XLOOKUP(B161,'BASE DE EXCEL'!$C:$C,'BASE DE EXCEL'!AW:AW,"NO HAY REFERENCIA")</f>
        <v>NUMELVI 31.6 MG 1X30TAB (MEDICAMENTO DOSIFICADO DE USO VETERINARIO)</v>
      </c>
      <c r="ED161" s="3" t="str">
        <f>_xlfn.XLOOKUP(B161,'BASE DE EXCEL'!$C:$C,'BASE DE EXCEL'!AX:AX,"NO HAY REFERENCIA")</f>
        <v>SIN CLASIFICACION</v>
      </c>
      <c r="EE161" s="3">
        <f>_xlfn.XLOOKUP(B161,'BASE DE EXCEL'!$C:$C,'BASE DE EXCEL'!AY:AY,"NO HAY REFERENCIA")</f>
        <v>0</v>
      </c>
      <c r="EF161" s="3" t="str">
        <f>_xlfn.XLOOKUP(B161,'BASE DE EXCEL'!$C:$C,'BASE DE EXCEL'!AZ:AZ,"NO HAY REFERENCIA")</f>
        <v>Cargas de Importación</v>
      </c>
      <c r="EG161" s="3" t="str">
        <f>_xlfn.XLOOKUP(B161,'BASE DE EXCEL'!$C:$C,'BASE DE EXCEL'!BA:BA,"NO HAY REFERENCIA")</f>
        <v>INTERVET MEXICO SA DE CV</v>
      </c>
      <c r="EH161" s="3">
        <f>_xlfn.XLOOKUP(B161,'BASE DE EXCEL'!$C:$C,'BASE DE EXCEL'!BB:BB,"NO HAY REFERENCIA")</f>
        <v>0</v>
      </c>
      <c r="EI161" s="3" t="str">
        <f>_xlfn.XLOOKUP(B161,'BASE DE EXCEL'!$C:$C,'BASE DE EXCEL'!BC:BC,"NO HAY REFERENCIA")</f>
        <v>NINGUNO</v>
      </c>
      <c r="EJ161" s="3">
        <f>_xlfn.XLOOKUP(B161,'BASE DE EXCEL'!$C:$C,'BASE DE EXCEL'!BD:BD,"NO HAY REFERENCIA")</f>
        <v>0</v>
      </c>
      <c r="EK161" s="3" t="str">
        <f>_xlfn.XLOOKUP(B161,'BASE DE EXCEL'!$C:$C,'BASE DE EXCEL'!BE:BE,"NO HAY REFERENCIA")</f>
        <v>NINGUNO</v>
      </c>
      <c r="EL161" s="3" t="str">
        <f>_xlfn.XLOOKUP(B161,'BASE DE EXCEL'!$C:$C,'BASE DE EXCEL'!BF:BF,"NO HAY REFERENCIA")</f>
        <v>PRODUCTO TERMINADO</v>
      </c>
      <c r="EM161" s="3" t="str">
        <f>_xlfn.XLOOKUP(B161,'BASE DE EXCEL'!$C:$C,'BASE DE EXCEL'!BG:BG,"NO HAY REFERENCIA")</f>
        <v>Rojo</v>
      </c>
      <c r="EN161" s="3" t="str">
        <f>_xlfn.XLOOKUP(B161,'BASE DE EXCEL'!$C:$C,'BASE DE EXCEL'!BH:BH,"NO HAY REFERENCIA")</f>
        <v xml:space="preserve"> SUPER EXPRESS DE CARGA FEDERAL S.A. DE C.V.</v>
      </c>
      <c r="EO161" s="3">
        <f>_xlfn.XLOOKUP(B161,'BASE DE EXCEL'!$C:$C,'BASE DE EXCEL'!BI:BI,"NO HAY REFERENCIA")</f>
        <v>0</v>
      </c>
      <c r="EP161" s="3" t="str">
        <f>_xlfn.XLOOKUP(B161,'BASE DE EXCEL'!$C:$C,'BASE DE EXCEL'!BJ:BJ,"NO HAY REFERENCIA")</f>
        <v>IME-T005</v>
      </c>
      <c r="EQ161" s="3" t="str">
        <f>_xlfn.XLOOKUP(B161,'BASE DE EXCEL'!$C:$C,'BASE DE EXCEL'!BK:BK,"NO HAY REFERENCIA")</f>
        <v>IME850329RH2</v>
      </c>
      <c r="ER161" s="3">
        <f>_xlfn.XLOOKUP(B161,'BASE DE EXCEL'!$C:$C,'BASE DE EXCEL'!BL:BL,"NO HAY REFERENCIA")</f>
        <v>0</v>
      </c>
      <c r="ES161" s="3">
        <f>_xlfn.XLOOKUP(B161,'BASE DE EXCEL'!$C:$C,'BASE DE EXCEL'!BM:BM,"NO HAY REFERENCIA")</f>
        <v>99</v>
      </c>
      <c r="ET161" s="3" t="str">
        <f>_xlfn.XLOOKUP(B161,'BASE DE EXCEL'!$C:$C,'BASE DE EXCEL'!BN:BN,"NO HAY REFERENCIA")</f>
        <v>LOTE: 25N4019A05,LOTE: 26P1002A01,LOTE: B030T01,LOTE: B032P01</v>
      </c>
      <c r="EU161" s="3">
        <f>_xlfn.XLOOKUP(B161,'BASE DE EXCEL'!$C:$C,'BASE DE EXCEL'!BO:BO,"NO HAY REFERENCIA")</f>
        <v>90</v>
      </c>
      <c r="EV161" s="3">
        <f>_xlfn.XLOOKUP(B161,'BASE DE EXCEL'!$C:$C,'BASE DE EXCEL'!BP:BP,"NO HAY REFERENCIA")</f>
        <v>10797530.74</v>
      </c>
      <c r="EW161" s="3" t="str">
        <f>_xlfn.XLOOKUP(B161,'BASE DE EXCEL'!$C:$C,'BASE DE EXCEL'!BQ:BQ,"NO HAY REFERENCIA")</f>
        <v>KILO,KILO,KILO,KILO</v>
      </c>
      <c r="EX161" s="3">
        <f>_xlfn.XLOOKUP(B161,'BASE DE EXCEL'!$C:$C,'BASE DE EXCEL'!BR:BR,"NO HAY REFERENCIA")</f>
        <v>0</v>
      </c>
      <c r="EY161" s="3" t="str">
        <f>_xlfn.XLOOKUP(B161,'BASE DE EXCEL'!$C:$C,'BASE DE EXCEL'!BS:BS,"NO HAY REFERENCIA")</f>
        <v>AUSTRIA (REPUBLICA DE)</v>
      </c>
      <c r="EZ161" s="3" t="str">
        <f>_xlfn.XLOOKUP(B161,'BASE DE EXCEL'!$C:$C,'BASE DE EXCEL'!BT:BT,"NO HAY REFERENCIA")</f>
        <v>PAISES BAJOS (REINO DE LOS) (HOLANDA)</v>
      </c>
      <c r="FA161" s="3" t="str">
        <f>_xlfn.XLOOKUP(B161,'BASE DE EXCEL'!$C:$C,'BASE DE EXCEL'!BU:BU,"NO HAY REFERENCIA")</f>
        <v>AUT</v>
      </c>
      <c r="FB161" s="3" t="str">
        <f>_xlfn.XLOOKUP(B161,'BASE DE EXCEL'!$C:$C,'BASE DE EXCEL'!BV:BV,"NO HAY REFERENCIA")</f>
        <v>ZYA</v>
      </c>
      <c r="FC161" s="3">
        <f>_xlfn.XLOOKUP(B161,QUERY!$C:$C,QUERY!D:D)</f>
        <v>430</v>
      </c>
      <c r="FD161" s="4">
        <f>_xlfn.XLOOKUP(B161,QUERY!$C:$C,QUERY!E:E)</f>
        <v>46132</v>
      </c>
      <c r="FE161" s="3">
        <f>_xlfn.XLOOKUP(B161,QUERY!$C:$C,QUERY!F:F)</f>
        <v>4</v>
      </c>
      <c r="FF161" s="4">
        <f>_xlfn.XLOOKUP(B161,QUERY!$C:$C,QUERY!G:G)</f>
        <v>46127</v>
      </c>
      <c r="FG161" s="4">
        <f>_xlfn.XLOOKUP(B161,QUERY!$C:$C,QUERY!H:H)</f>
        <v>46132</v>
      </c>
      <c r="FH161" s="3">
        <f>_xlfn.XLOOKUP(B161,QUERY!$C:$C,QUERY!I:I)</f>
        <v>3</v>
      </c>
      <c r="FI161" s="3" t="str">
        <f>_xlfn.XLOOKUP(B161,QUERY!$C:$C,QUERY!J:J)</f>
        <v>2 a 3 días</v>
      </c>
      <c r="FJ161" s="4">
        <f>_xlfn.XLOOKUP(B161,QUERY!$C:$C,QUERY!K:K)</f>
        <v>46133</v>
      </c>
      <c r="FK161" s="3">
        <f>_xlfn.XLOOKUP(B161,QUERY!$C:$C,QUERY!L:L)</f>
        <v>4</v>
      </c>
      <c r="FL161" s="3" t="str">
        <f>_xlfn.XLOOKUP(B161,QUERY!$C:$C,QUERY!M:M)</f>
        <v>4 a 5 días</v>
      </c>
      <c r="FM161" s="3">
        <f>_xlfn.XLOOKUP(B161,QUERY!$C:$C,QUERY!N:N)</f>
        <v>1</v>
      </c>
      <c r="FN161" s="3" t="str">
        <f>_xlfn.XLOOKUP(B161,QUERY!$C:$C,QUERY!O:O)</f>
        <v>1 día o menos</v>
      </c>
      <c r="FO161" s="3">
        <f>_xlfn.XLOOKUP(B161,QUERY!$C:$C,QUERY!P:P)</f>
        <v>1</v>
      </c>
      <c r="FP161" s="3">
        <f>_xlfn.XLOOKUP(B161,QUERY!$C:$C,QUERY!Q:Q)</f>
        <v>1</v>
      </c>
      <c r="FQ161" s="3" t="str">
        <f>_xlfn.XLOOKUP(B161,QUERY!$C:$C,QUERY!R:R)</f>
        <v>1 día o menos</v>
      </c>
      <c r="FR161" s="4">
        <f>_xlfn.XLOOKUP(B161,QUERY!$C:$C,QUERY!S:S)</f>
        <v>46134</v>
      </c>
      <c r="FS161" s="3">
        <f>_xlfn.XLOOKUP(B161,QUERY!$C:$C,QUERY!T:T)</f>
        <v>5</v>
      </c>
      <c r="FT161" s="3" t="str">
        <f>_xlfn.XLOOKUP(B161,QUERY!$C:$C,QUERY!U:U)</f>
        <v>4 a 5 días</v>
      </c>
      <c r="FU161" s="3">
        <f>_xlfn.XLOOKUP(B161,QUERY!$C:$C,QUERY!V:V)</f>
        <v>18</v>
      </c>
      <c r="FV161" s="3" t="str">
        <f>_xlfn.XLOOKUP(B161,QUERY!$C:$C,QUERY!W:W)</f>
        <v>más de 16 días</v>
      </c>
      <c r="FW161" s="4">
        <f>_xlfn.XLOOKUP(B161,QUERY!$C:$C,QUERY!X:X)</f>
        <v>46153</v>
      </c>
      <c r="FX161" s="3">
        <f>_xlfn.XLOOKUP(B161,QUERY!$C:$C,QUERY!Y:Y)</f>
        <v>13</v>
      </c>
      <c r="FY161" s="3">
        <f>_xlfn.XLOOKUP(B161,QUERY!$C:$C,QUERY!Z:Z)</f>
        <v>13</v>
      </c>
      <c r="FZ161" s="4" t="str">
        <f>_xlfn.XLOOKUP(B161,QUERY!$C:$C,QUERY!AA:AA)</f>
        <v>más de 16 días</v>
      </c>
      <c r="GA161" s="4">
        <f>_xlfn.XLOOKUP(B161,QUERY!$C:$C,QUERY!AB:AB)</f>
        <v>46153</v>
      </c>
      <c r="GB161" s="4">
        <f>_xlfn.XLOOKUP(B161,QUERY!$C:$C,QUERY!AC:AC)</f>
        <v>46153</v>
      </c>
      <c r="GC161" s="3">
        <f>_xlfn.XLOOKUP(B161,QUERY!$C:$C,QUERY!AD:AD)</f>
        <v>0</v>
      </c>
      <c r="GD161" s="4">
        <f>_xlfn.XLOOKUP(B161,QUERY!$C:$C,QUERY!AE:AE)</f>
        <v>46153</v>
      </c>
      <c r="GE161" s="3">
        <f>_xlfn.XLOOKUP(B161,QUERY!$C:$C,QUERY!AF:AF)</f>
        <v>1</v>
      </c>
      <c r="GF161" s="4" t="str">
        <f>_xlfn.XLOOKUP(B161,QUERY!$C:$C,QUERY!AG:AG)</f>
        <v>Es anterior</v>
      </c>
      <c r="GG161" s="3" t="str">
        <f>_xlfn.XLOOKUP(B161,QUERY!$C:$C,QUERY!AH:AH)</f>
        <v>A1</v>
      </c>
      <c r="GH161" s="3" t="str">
        <f>_xlfn.XLOOKUP(B161,QUERY!$C:$C,QUERY!AI:AI)</f>
        <v>ZULEIMA PEREZ RUIZ</v>
      </c>
      <c r="GI161" s="3" t="str">
        <f>_xlfn.XLOOKUP(B161,QUERY!$C:$C,QUERY!AJ:AJ)</f>
        <v>HLCUHAM2603BCZP2</v>
      </c>
      <c r="GJ161" s="3" t="str">
        <f>_xlfn.XLOOKUP(B161,QUERY!$C:$C,QUERY!AK:AK)</f>
        <v>NULL</v>
      </c>
      <c r="GK161" s="3">
        <f>_xlfn.XLOOKUP(B161,QUERY!$C:$C,QUERY!AL:AL)</f>
        <v>6000583</v>
      </c>
      <c r="GL161" s="3" t="str">
        <f>_xlfn.XLOOKUP(B161,QUERY!$C:$C,QUERY!AM:AM)</f>
        <v>Importación</v>
      </c>
      <c r="GM161" s="3" t="str">
        <f>_xlfn.XLOOKUP(B161,QUERY!$C:$C,QUERY!AN:AN)</f>
        <v>NUMELVI 31.6 MG 1X30TAB (MEDICAMENTO DOSIFICADO DE USO VETERINARIO)</v>
      </c>
      <c r="GN161" s="3" t="str">
        <f>_xlfn.XLOOKUP(B161,QUERY!$C:$C,QUERY!AO:AO)</f>
        <v>SIN CLASIFICACION</v>
      </c>
      <c r="GO161" s="3">
        <f>_xlfn.XLOOKUP(B161,QUERY!$C:$C,QUERY!AP:AP)</f>
        <v>0</v>
      </c>
      <c r="GP161" s="3" t="str">
        <f>_xlfn.XLOOKUP(B161,QUERY!$C:$C,QUERY!AQ:AQ)</f>
        <v>Cargas de Importación</v>
      </c>
      <c r="GQ161" s="3" t="str">
        <f>_xlfn.XLOOKUP(B161,QUERY!$C:$C,QUERY!AR:AR)</f>
        <v>INTERVET MEXICO SA DE CV</v>
      </c>
      <c r="GR161" s="3">
        <f>_xlfn.XLOOKUP(B161,QUERY!$C:$C,QUERY!AS:AS)</f>
        <v>0</v>
      </c>
      <c r="GS161" s="3" t="str">
        <f>_xlfn.XLOOKUP(B161,QUERY!$C:$C,QUERY!AT:AT)</f>
        <v>NINGUNO</v>
      </c>
      <c r="GT161" s="3">
        <f>_xlfn.XLOOKUP(B161,QUERY!$C:$C,QUERY!AU:AU)</f>
        <v>0</v>
      </c>
      <c r="GU161" s="3" t="str">
        <f>_xlfn.XLOOKUP(B161,QUERY!$C:$C,QUERY!AV:AV)</f>
        <v>NINGUNO</v>
      </c>
      <c r="GV161" s="3" t="str">
        <f>_xlfn.XLOOKUP(B161,QUERY!$C:$C,QUERY!AW:AW)</f>
        <v>PRODUCTO TERMINADO</v>
      </c>
      <c r="GW161" s="3" t="str">
        <f>_xlfn.XLOOKUP(B161,QUERY!$C:$C,QUERY!AX:AX)</f>
        <v>Rojo</v>
      </c>
      <c r="GX161" s="3" t="str">
        <f>_xlfn.XLOOKUP(B161,QUERY!$C:$C,QUERY!AY:AY)</f>
        <v xml:space="preserve"> SUPER EXPRESS DE CARGA FEDERAL S.A. DE C.V.</v>
      </c>
      <c r="GY161" s="3">
        <f>_xlfn.XLOOKUP(B161,QUERY!$C:$C,QUERY!AZ:AZ)</f>
        <v>0</v>
      </c>
      <c r="GZ161" s="3" t="str">
        <f>_xlfn.XLOOKUP(B161,QUERY!$C:$C,QUERY!BA:BA)</f>
        <v>IME-T005</v>
      </c>
      <c r="HA161" s="3" t="str">
        <f>_xlfn.XLOOKUP(B161,QUERY!$C:$C,QUERY!BB:BB)</f>
        <v>IME850329RH2</v>
      </c>
      <c r="HB161" s="3">
        <f>_xlfn.XLOOKUP(B161,QUERY!$C:$C,QUERY!BC:BC)</f>
        <v>0</v>
      </c>
      <c r="HC161" s="3">
        <f>_xlfn.XLOOKUP(B161,QUERY!$C:$C,QUERY!BD:BD)</f>
        <v>99</v>
      </c>
      <c r="HD161" s="3" t="str">
        <f>_xlfn.XLOOKUP(B161,QUERY!$C:$C,QUERY!BE:BE)</f>
        <v>LOTE: 25N4019A05,LOTE: 26P1002A01,LOTE: B030T01,LOTE: B032P01</v>
      </c>
      <c r="HE161" s="3">
        <f>_xlfn.XLOOKUP(B161,QUERY!$C:$C,QUERY!BF:BF)</f>
        <v>90</v>
      </c>
      <c r="HF161" s="3" t="str">
        <f>_xlfn.XLOOKUP(B161,QUERY!$C:$C,QUERY!BG:BG)</f>
        <v xml:space="preserve"> 10797530.74</v>
      </c>
      <c r="HG161" s="3" t="str">
        <f>_xlfn.XLOOKUP(B161,QUERY!$C:$C,QUERY!BH:BH)</f>
        <v>KILO,KILO,KILO,KILO</v>
      </c>
      <c r="HH161" s="3">
        <f>_xlfn.XLOOKUP(B161,QUERY!$C:$C,QUERY!BI:BI)</f>
        <v>0</v>
      </c>
      <c r="HI161" s="3" t="str">
        <f>_xlfn.XLOOKUP(B161,QUERY!$C:$C,QUERY!BJ:BJ)</f>
        <v>AUSTRIA (REPUBLICA DE)</v>
      </c>
      <c r="HJ161" s="3" t="str">
        <f>_xlfn.XLOOKUP(B161,QUERY!$C:$C,QUERY!BK:BK)</f>
        <v>PAISES BAJOS (REINO DE LOS) (HOLANDA)</v>
      </c>
      <c r="HK161" s="3" t="str">
        <f>_xlfn.XLOOKUP(B161,QUERY!$C:$C,QUERY!BL:BL)</f>
        <v>AUT</v>
      </c>
      <c r="HL161" s="3" t="str">
        <f>_xlfn.XLOOKUP(B161,QUERY!$C:$C,QUERY!BM:BM)</f>
        <v>ZYA</v>
      </c>
      <c r="HM161" s="3">
        <f>_xlfn.XLOOKUP(B161,QUERY!$C:$C,QUERY!BN:BN)</f>
        <v>10797531</v>
      </c>
      <c r="HN161" s="3" t="str">
        <f>_xlfn.XLOOKUP(B161,QUERY!$C:$C,QUERY!BO:BO)</f>
        <v>60198.00</v>
      </c>
      <c r="HO161" s="3" t="str">
        <f>_xlfn.XLOOKUP(B161,QUERY!$C:$C,QUERY!BP:BP)</f>
        <v>NULL</v>
      </c>
      <c r="HP161" s="3" t="str">
        <f>_xlfn.XLOOKUP(B161,QUERY!$C:$C,QUERY!BQ:BQ)</f>
        <v>752477.00</v>
      </c>
      <c r="HQ161" s="3" t="str">
        <f>_xlfn.XLOOKUP(B161,QUERY!$C:$C,QUERY!BR:BR)</f>
        <v>157037.87</v>
      </c>
      <c r="HR161" s="3">
        <f>_xlfn.XLOOKUP(B161,QUERY!$C:$C,QUERY!BS:BS)</f>
        <v>0</v>
      </c>
      <c r="HS161" s="3">
        <f>_xlfn.XLOOKUP(B161,QUERY!$C:$C,QUERY!BT:BT)</f>
        <v>0</v>
      </c>
      <c r="HT161" s="3" t="str">
        <f>_xlfn.XLOOKUP(B161,QUERY!$C:$C,QUERY!A:A)</f>
        <v>VERACRUZ</v>
      </c>
      <c r="HU161" s="3" t="str">
        <f>_xlfn.XLOOKUP(B161,QUERY!$C:$C,QUERY!B:B)</f>
        <v>MARÍTIMO VERACRUZ</v>
      </c>
    </row>
    <row r="162" spans="1:229" x14ac:dyDescent="0.25">
      <c r="A162" s="3" t="s">
        <v>90</v>
      </c>
      <c r="B162" s="3" t="s">
        <v>440</v>
      </c>
      <c r="C162" s="3">
        <v>3942</v>
      </c>
      <c r="D162" s="3">
        <v>6000583</v>
      </c>
      <c r="E162" s="3"/>
      <c r="F162" s="3" t="s">
        <v>92</v>
      </c>
      <c r="G162" s="3" t="s">
        <v>93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430</v>
      </c>
      <c r="S162" s="3" t="s">
        <v>441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 t="s">
        <v>431</v>
      </c>
      <c r="AB162" s="3"/>
      <c r="AC162" s="3">
        <v>2540301</v>
      </c>
      <c r="AD162" s="3">
        <v>997.36985000000004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/>
      <c r="AP162" s="3" t="s">
        <v>98</v>
      </c>
      <c r="AQ162" s="3">
        <v>210370447</v>
      </c>
      <c r="AR162" s="3" t="s">
        <v>99</v>
      </c>
      <c r="AS162" s="3" t="s">
        <v>100</v>
      </c>
      <c r="AT162" s="3">
        <v>0</v>
      </c>
      <c r="AU162" s="3">
        <v>0</v>
      </c>
      <c r="AV162" s="3">
        <v>0</v>
      </c>
      <c r="AW162" s="3">
        <v>30049099</v>
      </c>
      <c r="AX162" s="3">
        <v>99</v>
      </c>
      <c r="AY162" s="3">
        <v>2547</v>
      </c>
      <c r="AZ162" s="3">
        <v>2547</v>
      </c>
      <c r="BA162" s="3" t="s">
        <v>432</v>
      </c>
      <c r="BB162" s="3"/>
      <c r="BC162" s="3" t="s">
        <v>133</v>
      </c>
      <c r="BD162" s="3" t="s">
        <v>105</v>
      </c>
      <c r="BE162" s="3"/>
      <c r="BF162" s="3"/>
      <c r="BG162" s="5"/>
      <c r="BH162" s="3"/>
      <c r="BI162" s="3"/>
      <c r="BJ162" s="3"/>
      <c r="BK162" s="3" t="s">
        <v>443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 t="s">
        <v>192</v>
      </c>
      <c r="CF162" s="3">
        <v>0</v>
      </c>
      <c r="CG162" s="3">
        <v>0</v>
      </c>
      <c r="CH162" s="3">
        <v>0</v>
      </c>
      <c r="CI162" s="3" t="s">
        <v>112</v>
      </c>
      <c r="CJ162" s="3" t="s">
        <v>112</v>
      </c>
      <c r="CK162" s="3">
        <f>_xlfn.XLOOKUP($B$2,'BASE DE EXCEL'!C:C,'BASE DE EXCEL'!D:D,"NO HAY REFERENCIA")</f>
        <v>470</v>
      </c>
      <c r="CL162" s="5">
        <f>_xlfn.XLOOKUP($B$2,'BASE DE EXCEL'!$C:$C,'BASE DE EXCEL'!F:F,"NO HAY REFERENCIA")</f>
        <v>3</v>
      </c>
      <c r="CM162" s="4">
        <f>_xlfn.XLOOKUP($B$2,'BASE DE EXCEL'!$C:$C,'BASE DE EXCEL'!G:G,"NO HAY REFERENCIA")</f>
        <v>46080</v>
      </c>
      <c r="CN162" s="4">
        <f>_xlfn.XLOOKUP($B$2,'BASE DE EXCEL'!$C:$C,'BASE DE EXCEL'!H:H,"NO HAY REFERENCIA")</f>
        <v>46086</v>
      </c>
      <c r="CO162" s="3">
        <f>_xlfn.XLOOKUP($B$2,'BASE DE EXCEL'!$C:$C,'BASE DE EXCEL'!I:I,"NO HAY REFERENCIA")</f>
        <v>4</v>
      </c>
      <c r="CP162" s="3" t="str">
        <f>_xlfn.XLOOKUP($B$2,'BASE DE EXCEL'!$C:$C,'BASE DE EXCEL'!J:J,"NO HAY REFERENCIA")</f>
        <v>4 a 5 días</v>
      </c>
      <c r="CQ162" s="4">
        <f>_xlfn.XLOOKUP($B$2,'BASE DE EXCEL'!$C:$C,'BASE DE EXCEL'!K:K,"NO HAY REFERENCIA")</f>
        <v>46087</v>
      </c>
      <c r="CR162" s="3">
        <f>_xlfn.XLOOKUP($B$2,'BASE DE EXCEL'!$C:$C,'BASE DE EXCEL'!L:L,"NO HAY REFERENCIA")</f>
        <v>5</v>
      </c>
      <c r="CS162" s="3">
        <f>_xlfn.XLOOKUP($B$2,'BASE DE EXCEL'!$C:$C,'BASE DE EXCEL'!M:M,"NO HAY REFERENCIA")</f>
        <v>6</v>
      </c>
      <c r="CT162" s="3" t="str">
        <f>_xlfn.XLOOKUP($B$2,'BASE DE EXCEL'!$C:$C,'BASE DE EXCEL'!N:N,"NO HAY REFERENCIA")</f>
        <v>6 a 10 días</v>
      </c>
      <c r="CU162" s="3" t="str">
        <f>_xlfn.XLOOKUP($B$2,'BASE DE EXCEL'!$C:$C,'BASE DE EXCEL'!O:O,"NO HAY REFERENCIA")</f>
        <v>On Time</v>
      </c>
      <c r="CV162" s="3" t="str">
        <f>_xlfn.XLOOKUP(B162,'BASE DE EXCEL'!$C:$C,'BASE DE EXCEL'!P:P,"NO HAY REFERENCIA")</f>
        <v>6 a 10 días</v>
      </c>
      <c r="CW162" s="4">
        <f>_xlfn.XLOOKUP(B162,'BASE DE EXCEL'!$C:$C,'BASE DE EXCEL'!Q:Q,"NO HAY REFERENCIA")</f>
        <v>46134</v>
      </c>
      <c r="CX162" s="3">
        <f>_xlfn.XLOOKUP(B162,'BASE DE EXCEL'!$C:$C,'BASE DE EXCEL'!R:R,"NO HAY REFERENCIA")</f>
        <v>6</v>
      </c>
      <c r="CY162" s="3" t="str">
        <f>_xlfn.XLOOKUP(B162,'BASE DE EXCEL'!$C:$C,'BASE DE EXCEL'!S:S,"NO HAY REFERENCIA")</f>
        <v>6 a 10 días</v>
      </c>
      <c r="CZ162" s="3" t="str">
        <f>_xlfn.XLOOKUP(B162,'BASE DE EXCEL'!$C:$C,'BASE DE EXCEL'!T:T,"NO HAY REFERENCIA")</f>
        <v>On Time</v>
      </c>
      <c r="DA162" s="3">
        <f>_xlfn.XLOOKUP(B162,'BASE DE EXCEL'!$C:$C,'BASE DE EXCEL'!U:U,"NO HAY REFERENCIA")</f>
        <v>7</v>
      </c>
      <c r="DB162" s="3" t="str">
        <f>_xlfn.XLOOKUP(B162,'BASE DE EXCEL'!$C:$C,'BASE DE EXCEL'!V:V,"NO HAY REFERENCIA")</f>
        <v>4 a 5 días</v>
      </c>
      <c r="DC162" s="3">
        <f>_xlfn.XLOOKUP(B162,'BASE DE EXCEL'!$C:$C,'BASE DE EXCEL'!W:W,"NO HAY REFERENCIA")</f>
        <v>18</v>
      </c>
      <c r="DD162" s="3" t="str">
        <f>_xlfn.XLOOKUP(B162,'BASE DE EXCEL'!$C:$C,'BASE DE EXCEL'!X:X,"NO HAY REFERENCIA")</f>
        <v>más de 16 días</v>
      </c>
      <c r="DE162" s="3">
        <f>_xlfn.XLOOKUP(B162,'BASE DE EXCEL'!$C:$C,'BASE DE EXCEL'!Y:Y,"NO HAY REFERENCIA")</f>
        <v>1</v>
      </c>
      <c r="DF162" s="3" t="str">
        <f>_xlfn.XLOOKUP(B162,'BASE DE EXCEL'!$C:$C,'BASE DE EXCEL'!Z:Z,"NO HAY REFERENCIA")</f>
        <v>1 día o menos</v>
      </c>
      <c r="DG162" s="3">
        <f>_xlfn.XLOOKUP(B162,'BASE DE EXCEL'!$C:$C,'BASE DE EXCEL'!AA:AA,"NO HAY REFERENCIA")</f>
        <v>5</v>
      </c>
      <c r="DH162" s="3">
        <f>_xlfn.XLOOKUP(B162,'BASE DE EXCEL'!$C:$C,'BASE DE EXCEL'!AB:AB,"NO HAY REFERENCIA")</f>
        <v>1</v>
      </c>
      <c r="DI162" s="3" t="str">
        <f>_xlfn.XLOOKUP(B162,'BASE DE EXCEL'!$C:$C,'BASE DE EXCEL'!AC:AC,"NO HAY REFERENCIA")</f>
        <v>1 día o menos</v>
      </c>
      <c r="DJ162" s="4">
        <f>_xlfn.XLOOKUP(B162,'BASE DE EXCEL'!$C:$C,'BASE DE EXCEL'!AD:AD,"NO HAY REFERENCIA")</f>
        <v>46153</v>
      </c>
      <c r="DK162" s="3">
        <f>_xlfn.XLOOKUP(B162,'BASE DE EXCEL'!$C:$C,'BASE DE EXCEL'!AE:AE,"NO HAY REFERENCIA")</f>
        <v>19</v>
      </c>
      <c r="DL162" s="3">
        <f>_xlfn.XLOOKUP(B162,'BASE DE EXCEL'!$C:$C,'BASE DE EXCEL'!AF:AF,"NO HAY REFERENCIA")</f>
        <v>13</v>
      </c>
      <c r="DM162" s="4">
        <f>_xlfn.XLOOKUP(B162,'BASE DE EXCEL'!$C:$C,'BASE DE EXCEL'!AG:AG,"NO HAY REFERENCIA")</f>
        <v>46153</v>
      </c>
      <c r="DN162" s="4">
        <f>_xlfn.XLOOKUP(B162,'BASE DE EXCEL'!$C:$C,'BASE DE EXCEL'!AH:AH,"NO HAY REFERENCIA")</f>
        <v>46153</v>
      </c>
      <c r="DO162" s="3">
        <f>_xlfn.XLOOKUP(B162,'BASE DE EXCEL'!$C:$C,'BASE DE EXCEL'!AI:AI,"NO HAY REFERENCIA")</f>
        <v>0</v>
      </c>
      <c r="DP162" s="4" t="str">
        <f>_xlfn.XLOOKUP(B162,'BASE DE EXCEL'!$C:$C,'BASE DE EXCEL'!AJ:AJ,"NO HAY REFERENCIA")</f>
        <v>más de 16 días</v>
      </c>
      <c r="DQ162" s="4">
        <f>_xlfn.XLOOKUP(B162,'BASE DE EXCEL'!$C:$C,'BASE DE EXCEL'!AK:AK,"NO HAY REFERENCIA")</f>
        <v>46153</v>
      </c>
      <c r="DR162" s="3">
        <f>_xlfn.XLOOKUP(B162,'BASE DE EXCEL'!$C:$C,'BASE DE EXCEL'!AL:AL,"NO HAY REFERENCIA")</f>
        <v>13</v>
      </c>
      <c r="DS162" s="3" t="str">
        <f>_xlfn.XLOOKUP(B162,'BASE DE EXCEL'!$C:$C,'BASE DE EXCEL'!AM:AM,"NO HAY REFERENCIA")</f>
        <v>11 a 15 días</v>
      </c>
      <c r="DT162" s="3" t="str">
        <f>_xlfn.XLOOKUP(B162,'BASE DE EXCEL'!$C:$C,'BASE DE EXCEL'!AN:AN,"NO HAY REFERENCIA")</f>
        <v>Delayed</v>
      </c>
      <c r="DU162" s="3">
        <f>_xlfn.XLOOKUP(B162,'BASE DE EXCEL'!$C:$C,'BASE DE EXCEL'!AO:AO,"NO HAY REFERENCIA")</f>
        <v>1</v>
      </c>
      <c r="DV162" s="3" t="str">
        <f>_xlfn.XLOOKUP(B162,'BASE DE EXCEL'!$C:$C,'BASE DE EXCEL'!AP:AP,"NO HAY REFERENCIA")</f>
        <v>Es anterior</v>
      </c>
      <c r="DW162" s="3" t="str">
        <f>_xlfn.XLOOKUP(B162,'BASE DE EXCEL'!$C:$C,'BASE DE EXCEL'!AQ:AQ,"NO HAY REFERENCIA")</f>
        <v>A1</v>
      </c>
      <c r="DX162" s="3" t="str">
        <f>_xlfn.XLOOKUP(B162,'BASE DE EXCEL'!$C:$C,'BASE DE EXCEL'!AR:AR,"NO HAY REFERENCIA")</f>
        <v>ZULEIMA PEREZ RUIZ</v>
      </c>
      <c r="DY162" s="3" t="str">
        <f>_xlfn.XLOOKUP(B162,'BASE DE EXCEL'!$C:$C,'BASE DE EXCEL'!AS:AS,"NO HAY REFERENCIA")</f>
        <v>HLCUHAM2603BCZP2</v>
      </c>
      <c r="DZ162" s="3" t="str">
        <f>_xlfn.XLOOKUP(B162,'BASE DE EXCEL'!$C:$C,'BASE DE EXCEL'!AT:AT,"NO HAY REFERENCIA")</f>
        <v>NULL</v>
      </c>
      <c r="EA162" s="3">
        <f>_xlfn.XLOOKUP(B162,'BASE DE EXCEL'!$C:$C,'BASE DE EXCEL'!AU:AU,"NO HAY REFERENCIA")</f>
        <v>6000583</v>
      </c>
      <c r="EB162" s="3" t="str">
        <f>_xlfn.XLOOKUP(B162,'BASE DE EXCEL'!$C:$C,'BASE DE EXCEL'!AV:AV,"NO HAY REFERENCIA")</f>
        <v>Importación</v>
      </c>
      <c r="EC162" s="3" t="str">
        <f>_xlfn.XLOOKUP(B162,'BASE DE EXCEL'!$C:$C,'BASE DE EXCEL'!AW:AW,"NO HAY REFERENCIA")</f>
        <v>NUMELVI 31.6 MG 1X30TAB (MEDICAMENTO DOSIFICADO DE USO VETERINARIO)</v>
      </c>
      <c r="ED162" s="3" t="str">
        <f>_xlfn.XLOOKUP(B162,'BASE DE EXCEL'!$C:$C,'BASE DE EXCEL'!AX:AX,"NO HAY REFERENCIA")</f>
        <v>SIN CLASIFICACION</v>
      </c>
      <c r="EE162" s="3">
        <f>_xlfn.XLOOKUP(B162,'BASE DE EXCEL'!$C:$C,'BASE DE EXCEL'!AY:AY,"NO HAY REFERENCIA")</f>
        <v>0</v>
      </c>
      <c r="EF162" s="3" t="str">
        <f>_xlfn.XLOOKUP(B162,'BASE DE EXCEL'!$C:$C,'BASE DE EXCEL'!AZ:AZ,"NO HAY REFERENCIA")</f>
        <v>Cargas de Importación</v>
      </c>
      <c r="EG162" s="3" t="str">
        <f>_xlfn.XLOOKUP(B162,'BASE DE EXCEL'!$C:$C,'BASE DE EXCEL'!BA:BA,"NO HAY REFERENCIA")</f>
        <v>INTERVET MEXICO SA DE CV</v>
      </c>
      <c r="EH162" s="3">
        <f>_xlfn.XLOOKUP(B162,'BASE DE EXCEL'!$C:$C,'BASE DE EXCEL'!BB:BB,"NO HAY REFERENCIA")</f>
        <v>0</v>
      </c>
      <c r="EI162" s="3" t="str">
        <f>_xlfn.XLOOKUP(B162,'BASE DE EXCEL'!$C:$C,'BASE DE EXCEL'!BC:BC,"NO HAY REFERENCIA")</f>
        <v>NINGUNO</v>
      </c>
      <c r="EJ162" s="3">
        <f>_xlfn.XLOOKUP(B162,'BASE DE EXCEL'!$C:$C,'BASE DE EXCEL'!BD:BD,"NO HAY REFERENCIA")</f>
        <v>0</v>
      </c>
      <c r="EK162" s="3" t="str">
        <f>_xlfn.XLOOKUP(B162,'BASE DE EXCEL'!$C:$C,'BASE DE EXCEL'!BE:BE,"NO HAY REFERENCIA")</f>
        <v>NINGUNO</v>
      </c>
      <c r="EL162" s="3" t="str">
        <f>_xlfn.XLOOKUP(B162,'BASE DE EXCEL'!$C:$C,'BASE DE EXCEL'!BF:BF,"NO HAY REFERENCIA")</f>
        <v>PRODUCTO TERMINADO</v>
      </c>
      <c r="EM162" s="3" t="str">
        <f>_xlfn.XLOOKUP(B162,'BASE DE EXCEL'!$C:$C,'BASE DE EXCEL'!BG:BG,"NO HAY REFERENCIA")</f>
        <v>Rojo</v>
      </c>
      <c r="EN162" s="3" t="str">
        <f>_xlfn.XLOOKUP(B162,'BASE DE EXCEL'!$C:$C,'BASE DE EXCEL'!BH:BH,"NO HAY REFERENCIA")</f>
        <v xml:space="preserve"> SUPER EXPRESS DE CARGA FEDERAL S.A. DE C.V.</v>
      </c>
      <c r="EO162" s="3">
        <f>_xlfn.XLOOKUP(B162,'BASE DE EXCEL'!$C:$C,'BASE DE EXCEL'!BI:BI,"NO HAY REFERENCIA")</f>
        <v>0</v>
      </c>
      <c r="EP162" s="3" t="str">
        <f>_xlfn.XLOOKUP(B162,'BASE DE EXCEL'!$C:$C,'BASE DE EXCEL'!BJ:BJ,"NO HAY REFERENCIA")</f>
        <v>IME-T005</v>
      </c>
      <c r="EQ162" s="3" t="str">
        <f>_xlfn.XLOOKUP(B162,'BASE DE EXCEL'!$C:$C,'BASE DE EXCEL'!BK:BK,"NO HAY REFERENCIA")</f>
        <v>IME850329RH2</v>
      </c>
      <c r="ER162" s="3">
        <f>_xlfn.XLOOKUP(B162,'BASE DE EXCEL'!$C:$C,'BASE DE EXCEL'!BL:BL,"NO HAY REFERENCIA")</f>
        <v>0</v>
      </c>
      <c r="ES162" s="3">
        <f>_xlfn.XLOOKUP(B162,'BASE DE EXCEL'!$C:$C,'BASE DE EXCEL'!BM:BM,"NO HAY REFERENCIA")</f>
        <v>99</v>
      </c>
      <c r="ET162" s="3" t="str">
        <f>_xlfn.XLOOKUP(B162,'BASE DE EXCEL'!$C:$C,'BASE DE EXCEL'!BN:BN,"NO HAY REFERENCIA")</f>
        <v>LOTE: 25N4019A05,LOTE: 26P1002A01,LOTE: B030T01,LOTE: B032P01</v>
      </c>
      <c r="EU162" s="3">
        <f>_xlfn.XLOOKUP(B162,'BASE DE EXCEL'!$C:$C,'BASE DE EXCEL'!BO:BO,"NO HAY REFERENCIA")</f>
        <v>90</v>
      </c>
      <c r="EV162" s="3">
        <f>_xlfn.XLOOKUP(B162,'BASE DE EXCEL'!$C:$C,'BASE DE EXCEL'!BP:BP,"NO HAY REFERENCIA")</f>
        <v>10797530.74</v>
      </c>
      <c r="EW162" s="3" t="str">
        <f>_xlfn.XLOOKUP(B162,'BASE DE EXCEL'!$C:$C,'BASE DE EXCEL'!BQ:BQ,"NO HAY REFERENCIA")</f>
        <v>KILO,KILO,KILO,KILO</v>
      </c>
      <c r="EX162" s="3">
        <f>_xlfn.XLOOKUP(B162,'BASE DE EXCEL'!$C:$C,'BASE DE EXCEL'!BR:BR,"NO HAY REFERENCIA")</f>
        <v>0</v>
      </c>
      <c r="EY162" s="3" t="str">
        <f>_xlfn.XLOOKUP(B162,'BASE DE EXCEL'!$C:$C,'BASE DE EXCEL'!BS:BS,"NO HAY REFERENCIA")</f>
        <v>AUSTRIA (REPUBLICA DE)</v>
      </c>
      <c r="EZ162" s="3" t="str">
        <f>_xlfn.XLOOKUP(B162,'BASE DE EXCEL'!$C:$C,'BASE DE EXCEL'!BT:BT,"NO HAY REFERENCIA")</f>
        <v>PAISES BAJOS (REINO DE LOS) (HOLANDA)</v>
      </c>
      <c r="FA162" s="3" t="str">
        <f>_xlfn.XLOOKUP(B162,'BASE DE EXCEL'!$C:$C,'BASE DE EXCEL'!BU:BU,"NO HAY REFERENCIA")</f>
        <v>AUT</v>
      </c>
      <c r="FB162" s="3" t="str">
        <f>_xlfn.XLOOKUP(B162,'BASE DE EXCEL'!$C:$C,'BASE DE EXCEL'!BV:BV,"NO HAY REFERENCIA")</f>
        <v>ZYA</v>
      </c>
      <c r="FC162" s="3">
        <f>_xlfn.XLOOKUP(B162,QUERY!$C:$C,QUERY!D:D)</f>
        <v>430</v>
      </c>
      <c r="FD162" s="4">
        <f>_xlfn.XLOOKUP(B162,QUERY!$C:$C,QUERY!E:E)</f>
        <v>46132</v>
      </c>
      <c r="FE162" s="3">
        <f>_xlfn.XLOOKUP(B162,QUERY!$C:$C,QUERY!F:F)</f>
        <v>4</v>
      </c>
      <c r="FF162" s="4">
        <f>_xlfn.XLOOKUP(B162,QUERY!$C:$C,QUERY!G:G)</f>
        <v>46127</v>
      </c>
      <c r="FG162" s="4">
        <f>_xlfn.XLOOKUP(B162,QUERY!$C:$C,QUERY!H:H)</f>
        <v>46132</v>
      </c>
      <c r="FH162" s="3">
        <f>_xlfn.XLOOKUP(B162,QUERY!$C:$C,QUERY!I:I)</f>
        <v>3</v>
      </c>
      <c r="FI162" s="3" t="str">
        <f>_xlfn.XLOOKUP(B162,QUERY!$C:$C,QUERY!J:J)</f>
        <v>2 a 3 días</v>
      </c>
      <c r="FJ162" s="4">
        <f>_xlfn.XLOOKUP(B162,QUERY!$C:$C,QUERY!K:K)</f>
        <v>46133</v>
      </c>
      <c r="FK162" s="3">
        <f>_xlfn.XLOOKUP(B162,QUERY!$C:$C,QUERY!L:L)</f>
        <v>4</v>
      </c>
      <c r="FL162" s="3" t="str">
        <f>_xlfn.XLOOKUP(B162,QUERY!$C:$C,QUERY!M:M)</f>
        <v>4 a 5 días</v>
      </c>
      <c r="FM162" s="3">
        <f>_xlfn.XLOOKUP(B162,QUERY!$C:$C,QUERY!N:N)</f>
        <v>1</v>
      </c>
      <c r="FN162" s="3" t="str">
        <f>_xlfn.XLOOKUP(B162,QUERY!$C:$C,QUERY!O:O)</f>
        <v>1 día o menos</v>
      </c>
      <c r="FO162" s="3">
        <f>_xlfn.XLOOKUP(B162,QUERY!$C:$C,QUERY!P:P)</f>
        <v>1</v>
      </c>
      <c r="FP162" s="3">
        <f>_xlfn.XLOOKUP(B162,QUERY!$C:$C,QUERY!Q:Q)</f>
        <v>1</v>
      </c>
      <c r="FQ162" s="3" t="str">
        <f>_xlfn.XLOOKUP(B162,QUERY!$C:$C,QUERY!R:R)</f>
        <v>1 día o menos</v>
      </c>
      <c r="FR162" s="4">
        <f>_xlfn.XLOOKUP(B162,QUERY!$C:$C,QUERY!S:S)</f>
        <v>46134</v>
      </c>
      <c r="FS162" s="3">
        <f>_xlfn.XLOOKUP(B162,QUERY!$C:$C,QUERY!T:T)</f>
        <v>5</v>
      </c>
      <c r="FT162" s="3" t="str">
        <f>_xlfn.XLOOKUP(B162,QUERY!$C:$C,QUERY!U:U)</f>
        <v>4 a 5 días</v>
      </c>
      <c r="FU162" s="3">
        <f>_xlfn.XLOOKUP(B162,QUERY!$C:$C,QUERY!V:V)</f>
        <v>18</v>
      </c>
      <c r="FV162" s="3" t="str">
        <f>_xlfn.XLOOKUP(B162,QUERY!$C:$C,QUERY!W:W)</f>
        <v>más de 16 días</v>
      </c>
      <c r="FW162" s="4">
        <f>_xlfn.XLOOKUP(B162,QUERY!$C:$C,QUERY!X:X)</f>
        <v>46153</v>
      </c>
      <c r="FX162" s="3">
        <f>_xlfn.XLOOKUP(B162,QUERY!$C:$C,QUERY!Y:Y)</f>
        <v>13</v>
      </c>
      <c r="FY162" s="3">
        <f>_xlfn.XLOOKUP(B162,QUERY!$C:$C,QUERY!Z:Z)</f>
        <v>13</v>
      </c>
      <c r="FZ162" s="4" t="str">
        <f>_xlfn.XLOOKUP(B162,QUERY!$C:$C,QUERY!AA:AA)</f>
        <v>más de 16 días</v>
      </c>
      <c r="GA162" s="4">
        <f>_xlfn.XLOOKUP(B162,QUERY!$C:$C,QUERY!AB:AB)</f>
        <v>46153</v>
      </c>
      <c r="GB162" s="4">
        <f>_xlfn.XLOOKUP(B162,QUERY!$C:$C,QUERY!AC:AC)</f>
        <v>46153</v>
      </c>
      <c r="GC162" s="3">
        <f>_xlfn.XLOOKUP(B162,QUERY!$C:$C,QUERY!AD:AD)</f>
        <v>0</v>
      </c>
      <c r="GD162" s="4">
        <f>_xlfn.XLOOKUP(B162,QUERY!$C:$C,QUERY!AE:AE)</f>
        <v>46153</v>
      </c>
      <c r="GE162" s="3">
        <f>_xlfn.XLOOKUP(B162,QUERY!$C:$C,QUERY!AF:AF)</f>
        <v>1</v>
      </c>
      <c r="GF162" s="4" t="str">
        <f>_xlfn.XLOOKUP(B162,QUERY!$C:$C,QUERY!AG:AG)</f>
        <v>Es anterior</v>
      </c>
      <c r="GG162" s="3" t="str">
        <f>_xlfn.XLOOKUP(B162,QUERY!$C:$C,QUERY!AH:AH)</f>
        <v>A1</v>
      </c>
      <c r="GH162" s="3" t="str">
        <f>_xlfn.XLOOKUP(B162,QUERY!$C:$C,QUERY!AI:AI)</f>
        <v>ZULEIMA PEREZ RUIZ</v>
      </c>
      <c r="GI162" s="3" t="str">
        <f>_xlfn.XLOOKUP(B162,QUERY!$C:$C,QUERY!AJ:AJ)</f>
        <v>HLCUHAM2603BCZP2</v>
      </c>
      <c r="GJ162" s="3" t="str">
        <f>_xlfn.XLOOKUP(B162,QUERY!$C:$C,QUERY!AK:AK)</f>
        <v>NULL</v>
      </c>
      <c r="GK162" s="3">
        <f>_xlfn.XLOOKUP(B162,QUERY!$C:$C,QUERY!AL:AL)</f>
        <v>6000583</v>
      </c>
      <c r="GL162" s="3" t="str">
        <f>_xlfn.XLOOKUP(B162,QUERY!$C:$C,QUERY!AM:AM)</f>
        <v>Importación</v>
      </c>
      <c r="GM162" s="3" t="str">
        <f>_xlfn.XLOOKUP(B162,QUERY!$C:$C,QUERY!AN:AN)</f>
        <v>NUMELVI 31.6 MG 1X30TAB (MEDICAMENTO DOSIFICADO DE USO VETERINARIO)</v>
      </c>
      <c r="GN162" s="3" t="str">
        <f>_xlfn.XLOOKUP(B162,QUERY!$C:$C,QUERY!AO:AO)</f>
        <v>SIN CLASIFICACION</v>
      </c>
      <c r="GO162" s="3">
        <f>_xlfn.XLOOKUP(B162,QUERY!$C:$C,QUERY!AP:AP)</f>
        <v>0</v>
      </c>
      <c r="GP162" s="3" t="str">
        <f>_xlfn.XLOOKUP(B162,QUERY!$C:$C,QUERY!AQ:AQ)</f>
        <v>Cargas de Importación</v>
      </c>
      <c r="GQ162" s="3" t="str">
        <f>_xlfn.XLOOKUP(B162,QUERY!$C:$C,QUERY!AR:AR)</f>
        <v>INTERVET MEXICO SA DE CV</v>
      </c>
      <c r="GR162" s="3">
        <f>_xlfn.XLOOKUP(B162,QUERY!$C:$C,QUERY!AS:AS)</f>
        <v>0</v>
      </c>
      <c r="GS162" s="3" t="str">
        <f>_xlfn.XLOOKUP(B162,QUERY!$C:$C,QUERY!AT:AT)</f>
        <v>NINGUNO</v>
      </c>
      <c r="GT162" s="3">
        <f>_xlfn.XLOOKUP(B162,QUERY!$C:$C,QUERY!AU:AU)</f>
        <v>0</v>
      </c>
      <c r="GU162" s="3" t="str">
        <f>_xlfn.XLOOKUP(B162,QUERY!$C:$C,QUERY!AV:AV)</f>
        <v>NINGUNO</v>
      </c>
      <c r="GV162" s="3" t="str">
        <f>_xlfn.XLOOKUP(B162,QUERY!$C:$C,QUERY!AW:AW)</f>
        <v>PRODUCTO TERMINADO</v>
      </c>
      <c r="GW162" s="3" t="str">
        <f>_xlfn.XLOOKUP(B162,QUERY!$C:$C,QUERY!AX:AX)</f>
        <v>Rojo</v>
      </c>
      <c r="GX162" s="3" t="str">
        <f>_xlfn.XLOOKUP(B162,QUERY!$C:$C,QUERY!AY:AY)</f>
        <v xml:space="preserve"> SUPER EXPRESS DE CARGA FEDERAL S.A. DE C.V.</v>
      </c>
      <c r="GY162" s="3">
        <f>_xlfn.XLOOKUP(B162,QUERY!$C:$C,QUERY!AZ:AZ)</f>
        <v>0</v>
      </c>
      <c r="GZ162" s="3" t="str">
        <f>_xlfn.XLOOKUP(B162,QUERY!$C:$C,QUERY!BA:BA)</f>
        <v>IME-T005</v>
      </c>
      <c r="HA162" s="3" t="str">
        <f>_xlfn.XLOOKUP(B162,QUERY!$C:$C,QUERY!BB:BB)</f>
        <v>IME850329RH2</v>
      </c>
      <c r="HB162" s="3">
        <f>_xlfn.XLOOKUP(B162,QUERY!$C:$C,QUERY!BC:BC)</f>
        <v>0</v>
      </c>
      <c r="HC162" s="3">
        <f>_xlfn.XLOOKUP(B162,QUERY!$C:$C,QUERY!BD:BD)</f>
        <v>99</v>
      </c>
      <c r="HD162" s="3" t="str">
        <f>_xlfn.XLOOKUP(B162,QUERY!$C:$C,QUERY!BE:BE)</f>
        <v>LOTE: 25N4019A05,LOTE: 26P1002A01,LOTE: B030T01,LOTE: B032P01</v>
      </c>
      <c r="HE162" s="3">
        <f>_xlfn.XLOOKUP(B162,QUERY!$C:$C,QUERY!BF:BF)</f>
        <v>90</v>
      </c>
      <c r="HF162" s="3" t="str">
        <f>_xlfn.XLOOKUP(B162,QUERY!$C:$C,QUERY!BG:BG)</f>
        <v xml:space="preserve"> 10797530.74</v>
      </c>
      <c r="HG162" s="3" t="str">
        <f>_xlfn.XLOOKUP(B162,QUERY!$C:$C,QUERY!BH:BH)</f>
        <v>KILO,KILO,KILO,KILO</v>
      </c>
      <c r="HH162" s="3">
        <f>_xlfn.XLOOKUP(B162,QUERY!$C:$C,QUERY!BI:BI)</f>
        <v>0</v>
      </c>
      <c r="HI162" s="3" t="str">
        <f>_xlfn.XLOOKUP(B162,QUERY!$C:$C,QUERY!BJ:BJ)</f>
        <v>AUSTRIA (REPUBLICA DE)</v>
      </c>
      <c r="HJ162" s="3" t="str">
        <f>_xlfn.XLOOKUP(B162,QUERY!$C:$C,QUERY!BK:BK)</f>
        <v>PAISES BAJOS (REINO DE LOS) (HOLANDA)</v>
      </c>
      <c r="HK162" s="3" t="str">
        <f>_xlfn.XLOOKUP(B162,QUERY!$C:$C,QUERY!BL:BL)</f>
        <v>AUT</v>
      </c>
      <c r="HL162" s="3" t="str">
        <f>_xlfn.XLOOKUP(B162,QUERY!$C:$C,QUERY!BM:BM)</f>
        <v>ZYA</v>
      </c>
      <c r="HM162" s="3">
        <f>_xlfn.XLOOKUP(B162,QUERY!$C:$C,QUERY!BN:BN)</f>
        <v>10797531</v>
      </c>
      <c r="HN162" s="3" t="str">
        <f>_xlfn.XLOOKUP(B162,QUERY!$C:$C,QUERY!BO:BO)</f>
        <v>60198.00</v>
      </c>
      <c r="HO162" s="3" t="str">
        <f>_xlfn.XLOOKUP(B162,QUERY!$C:$C,QUERY!BP:BP)</f>
        <v>NULL</v>
      </c>
      <c r="HP162" s="3" t="str">
        <f>_xlfn.XLOOKUP(B162,QUERY!$C:$C,QUERY!BQ:BQ)</f>
        <v>752477.00</v>
      </c>
      <c r="HQ162" s="3" t="str">
        <f>_xlfn.XLOOKUP(B162,QUERY!$C:$C,QUERY!BR:BR)</f>
        <v>157037.87</v>
      </c>
      <c r="HR162" s="3">
        <f>_xlfn.XLOOKUP(B162,QUERY!$C:$C,QUERY!BS:BS)</f>
        <v>0</v>
      </c>
      <c r="HS162" s="3">
        <f>_xlfn.XLOOKUP(B162,QUERY!$C:$C,QUERY!BT:BT)</f>
        <v>0</v>
      </c>
      <c r="HT162" s="3" t="str">
        <f>_xlfn.XLOOKUP(B162,QUERY!$C:$C,QUERY!A:A)</f>
        <v>VERACRUZ</v>
      </c>
      <c r="HU162" s="3" t="str">
        <f>_xlfn.XLOOKUP(B162,QUERY!$C:$C,QUERY!B:B)</f>
        <v>MARÍTIMO VERACRUZ</v>
      </c>
    </row>
    <row r="163" spans="1:229" x14ac:dyDescent="0.25">
      <c r="A163" s="3" t="s">
        <v>90</v>
      </c>
      <c r="B163" s="3" t="s">
        <v>440</v>
      </c>
      <c r="C163" s="3">
        <v>3942</v>
      </c>
      <c r="D163" s="3">
        <v>6000583</v>
      </c>
      <c r="E163" s="3"/>
      <c r="F163" s="3" t="s">
        <v>92</v>
      </c>
      <c r="G163" s="3" t="s">
        <v>93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10</v>
      </c>
      <c r="O163" s="3">
        <v>251103</v>
      </c>
      <c r="P163" s="3">
        <v>0</v>
      </c>
      <c r="Q163" s="3">
        <v>0</v>
      </c>
      <c r="R163" s="3">
        <v>430</v>
      </c>
      <c r="S163" s="3" t="s">
        <v>441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 t="s">
        <v>179</v>
      </c>
      <c r="AB163" s="3"/>
      <c r="AC163" s="3">
        <v>2511031</v>
      </c>
      <c r="AD163" s="3">
        <v>2080.3902200000002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/>
      <c r="AP163" s="3" t="s">
        <v>98</v>
      </c>
      <c r="AQ163" s="3">
        <v>210370447</v>
      </c>
      <c r="AR163" s="3" t="s">
        <v>99</v>
      </c>
      <c r="AS163" s="3" t="s">
        <v>100</v>
      </c>
      <c r="AT163" s="3">
        <v>0</v>
      </c>
      <c r="AU163" s="3">
        <v>0</v>
      </c>
      <c r="AV163" s="3">
        <v>0</v>
      </c>
      <c r="AW163" s="3">
        <v>30043999</v>
      </c>
      <c r="AX163" s="3">
        <v>99</v>
      </c>
      <c r="AY163" s="3">
        <v>1207</v>
      </c>
      <c r="AZ163" s="3">
        <v>1207</v>
      </c>
      <c r="BA163" s="3" t="s">
        <v>103</v>
      </c>
      <c r="BB163" s="3"/>
      <c r="BC163" s="3" t="s">
        <v>133</v>
      </c>
      <c r="BD163" s="3" t="s">
        <v>105</v>
      </c>
      <c r="BE163" s="3"/>
      <c r="BF163" s="3"/>
      <c r="BG163" s="5"/>
      <c r="BH163" s="3"/>
      <c r="BI163" s="3"/>
      <c r="BJ163" s="3"/>
      <c r="BK163" s="3" t="s">
        <v>443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 t="s">
        <v>192</v>
      </c>
      <c r="CF163" s="3">
        <v>0</v>
      </c>
      <c r="CG163" s="3">
        <v>0</v>
      </c>
      <c r="CH163" s="3">
        <v>0</v>
      </c>
      <c r="CI163" s="3" t="s">
        <v>112</v>
      </c>
      <c r="CJ163" s="3" t="s">
        <v>112</v>
      </c>
      <c r="CK163" s="3">
        <f>_xlfn.XLOOKUP($B$2,'BASE DE EXCEL'!C:C,'BASE DE EXCEL'!D:D,"NO HAY REFERENCIA")</f>
        <v>470</v>
      </c>
      <c r="CL163" s="5">
        <f>_xlfn.XLOOKUP($B$2,'BASE DE EXCEL'!$C:$C,'BASE DE EXCEL'!F:F,"NO HAY REFERENCIA")</f>
        <v>3</v>
      </c>
      <c r="CM163" s="4">
        <f>_xlfn.XLOOKUP($B$2,'BASE DE EXCEL'!$C:$C,'BASE DE EXCEL'!G:G,"NO HAY REFERENCIA")</f>
        <v>46080</v>
      </c>
      <c r="CN163" s="4">
        <f>_xlfn.XLOOKUP($B$2,'BASE DE EXCEL'!$C:$C,'BASE DE EXCEL'!H:H,"NO HAY REFERENCIA")</f>
        <v>46086</v>
      </c>
      <c r="CO163" s="3">
        <f>_xlfn.XLOOKUP($B$2,'BASE DE EXCEL'!$C:$C,'BASE DE EXCEL'!I:I,"NO HAY REFERENCIA")</f>
        <v>4</v>
      </c>
      <c r="CP163" s="3" t="str">
        <f>_xlfn.XLOOKUP($B$2,'BASE DE EXCEL'!$C:$C,'BASE DE EXCEL'!J:J,"NO HAY REFERENCIA")</f>
        <v>4 a 5 días</v>
      </c>
      <c r="CQ163" s="4">
        <f>_xlfn.XLOOKUP($B$2,'BASE DE EXCEL'!$C:$C,'BASE DE EXCEL'!K:K,"NO HAY REFERENCIA")</f>
        <v>46087</v>
      </c>
      <c r="CR163" s="3">
        <f>_xlfn.XLOOKUP($B$2,'BASE DE EXCEL'!$C:$C,'BASE DE EXCEL'!L:L,"NO HAY REFERENCIA")</f>
        <v>5</v>
      </c>
      <c r="CS163" s="3">
        <f>_xlfn.XLOOKUP($B$2,'BASE DE EXCEL'!$C:$C,'BASE DE EXCEL'!M:M,"NO HAY REFERENCIA")</f>
        <v>6</v>
      </c>
      <c r="CT163" s="3" t="str">
        <f>_xlfn.XLOOKUP($B$2,'BASE DE EXCEL'!$C:$C,'BASE DE EXCEL'!N:N,"NO HAY REFERENCIA")</f>
        <v>6 a 10 días</v>
      </c>
      <c r="CU163" s="3" t="str">
        <f>_xlfn.XLOOKUP($B$2,'BASE DE EXCEL'!$C:$C,'BASE DE EXCEL'!O:O,"NO HAY REFERENCIA")</f>
        <v>On Time</v>
      </c>
      <c r="CV163" s="3" t="str">
        <f>_xlfn.XLOOKUP(B163,'BASE DE EXCEL'!$C:$C,'BASE DE EXCEL'!P:P,"NO HAY REFERENCIA")</f>
        <v>6 a 10 días</v>
      </c>
      <c r="CW163" s="4">
        <f>_xlfn.XLOOKUP(B163,'BASE DE EXCEL'!$C:$C,'BASE DE EXCEL'!Q:Q,"NO HAY REFERENCIA")</f>
        <v>46134</v>
      </c>
      <c r="CX163" s="3">
        <f>_xlfn.XLOOKUP(B163,'BASE DE EXCEL'!$C:$C,'BASE DE EXCEL'!R:R,"NO HAY REFERENCIA")</f>
        <v>6</v>
      </c>
      <c r="CY163" s="3" t="str">
        <f>_xlfn.XLOOKUP(B163,'BASE DE EXCEL'!$C:$C,'BASE DE EXCEL'!S:S,"NO HAY REFERENCIA")</f>
        <v>6 a 10 días</v>
      </c>
      <c r="CZ163" s="3" t="str">
        <f>_xlfn.XLOOKUP(B163,'BASE DE EXCEL'!$C:$C,'BASE DE EXCEL'!T:T,"NO HAY REFERENCIA")</f>
        <v>On Time</v>
      </c>
      <c r="DA163" s="3">
        <f>_xlfn.XLOOKUP(B163,'BASE DE EXCEL'!$C:$C,'BASE DE EXCEL'!U:U,"NO HAY REFERENCIA")</f>
        <v>7</v>
      </c>
      <c r="DB163" s="3" t="str">
        <f>_xlfn.XLOOKUP(B163,'BASE DE EXCEL'!$C:$C,'BASE DE EXCEL'!V:V,"NO HAY REFERENCIA")</f>
        <v>4 a 5 días</v>
      </c>
      <c r="DC163" s="3">
        <f>_xlfn.XLOOKUP(B163,'BASE DE EXCEL'!$C:$C,'BASE DE EXCEL'!W:W,"NO HAY REFERENCIA")</f>
        <v>18</v>
      </c>
      <c r="DD163" s="3" t="str">
        <f>_xlfn.XLOOKUP(B163,'BASE DE EXCEL'!$C:$C,'BASE DE EXCEL'!X:X,"NO HAY REFERENCIA")</f>
        <v>más de 16 días</v>
      </c>
      <c r="DE163" s="3">
        <f>_xlfn.XLOOKUP(B163,'BASE DE EXCEL'!$C:$C,'BASE DE EXCEL'!Y:Y,"NO HAY REFERENCIA")</f>
        <v>1</v>
      </c>
      <c r="DF163" s="3" t="str">
        <f>_xlfn.XLOOKUP(B163,'BASE DE EXCEL'!$C:$C,'BASE DE EXCEL'!Z:Z,"NO HAY REFERENCIA")</f>
        <v>1 día o menos</v>
      </c>
      <c r="DG163" s="3">
        <f>_xlfn.XLOOKUP(B163,'BASE DE EXCEL'!$C:$C,'BASE DE EXCEL'!AA:AA,"NO HAY REFERENCIA")</f>
        <v>5</v>
      </c>
      <c r="DH163" s="3">
        <f>_xlfn.XLOOKUP(B163,'BASE DE EXCEL'!$C:$C,'BASE DE EXCEL'!AB:AB,"NO HAY REFERENCIA")</f>
        <v>1</v>
      </c>
      <c r="DI163" s="3" t="str">
        <f>_xlfn.XLOOKUP(B163,'BASE DE EXCEL'!$C:$C,'BASE DE EXCEL'!AC:AC,"NO HAY REFERENCIA")</f>
        <v>1 día o menos</v>
      </c>
      <c r="DJ163" s="4">
        <f>_xlfn.XLOOKUP(B163,'BASE DE EXCEL'!$C:$C,'BASE DE EXCEL'!AD:AD,"NO HAY REFERENCIA")</f>
        <v>46153</v>
      </c>
      <c r="DK163" s="3">
        <f>_xlfn.XLOOKUP(B163,'BASE DE EXCEL'!$C:$C,'BASE DE EXCEL'!AE:AE,"NO HAY REFERENCIA")</f>
        <v>19</v>
      </c>
      <c r="DL163" s="3">
        <f>_xlfn.XLOOKUP(B163,'BASE DE EXCEL'!$C:$C,'BASE DE EXCEL'!AF:AF,"NO HAY REFERENCIA")</f>
        <v>13</v>
      </c>
      <c r="DM163" s="4">
        <f>_xlfn.XLOOKUP(B163,'BASE DE EXCEL'!$C:$C,'BASE DE EXCEL'!AG:AG,"NO HAY REFERENCIA")</f>
        <v>46153</v>
      </c>
      <c r="DN163" s="4">
        <f>_xlfn.XLOOKUP(B163,'BASE DE EXCEL'!$C:$C,'BASE DE EXCEL'!AH:AH,"NO HAY REFERENCIA")</f>
        <v>46153</v>
      </c>
      <c r="DO163" s="3">
        <f>_xlfn.XLOOKUP(B163,'BASE DE EXCEL'!$C:$C,'BASE DE EXCEL'!AI:AI,"NO HAY REFERENCIA")</f>
        <v>0</v>
      </c>
      <c r="DP163" s="4" t="str">
        <f>_xlfn.XLOOKUP(B163,'BASE DE EXCEL'!$C:$C,'BASE DE EXCEL'!AJ:AJ,"NO HAY REFERENCIA")</f>
        <v>más de 16 días</v>
      </c>
      <c r="DQ163" s="4">
        <f>_xlfn.XLOOKUP(B163,'BASE DE EXCEL'!$C:$C,'BASE DE EXCEL'!AK:AK,"NO HAY REFERENCIA")</f>
        <v>46153</v>
      </c>
      <c r="DR163" s="3">
        <f>_xlfn.XLOOKUP(B163,'BASE DE EXCEL'!$C:$C,'BASE DE EXCEL'!AL:AL,"NO HAY REFERENCIA")</f>
        <v>13</v>
      </c>
      <c r="DS163" s="3" t="str">
        <f>_xlfn.XLOOKUP(B163,'BASE DE EXCEL'!$C:$C,'BASE DE EXCEL'!AM:AM,"NO HAY REFERENCIA")</f>
        <v>11 a 15 días</v>
      </c>
      <c r="DT163" s="3" t="str">
        <f>_xlfn.XLOOKUP(B163,'BASE DE EXCEL'!$C:$C,'BASE DE EXCEL'!AN:AN,"NO HAY REFERENCIA")</f>
        <v>Delayed</v>
      </c>
      <c r="DU163" s="3">
        <f>_xlfn.XLOOKUP(B163,'BASE DE EXCEL'!$C:$C,'BASE DE EXCEL'!AO:AO,"NO HAY REFERENCIA")</f>
        <v>1</v>
      </c>
      <c r="DV163" s="3" t="str">
        <f>_xlfn.XLOOKUP(B163,'BASE DE EXCEL'!$C:$C,'BASE DE EXCEL'!AP:AP,"NO HAY REFERENCIA")</f>
        <v>Es anterior</v>
      </c>
      <c r="DW163" s="3" t="str">
        <f>_xlfn.XLOOKUP(B163,'BASE DE EXCEL'!$C:$C,'BASE DE EXCEL'!AQ:AQ,"NO HAY REFERENCIA")</f>
        <v>A1</v>
      </c>
      <c r="DX163" s="3" t="str">
        <f>_xlfn.XLOOKUP(B163,'BASE DE EXCEL'!$C:$C,'BASE DE EXCEL'!AR:AR,"NO HAY REFERENCIA")</f>
        <v>ZULEIMA PEREZ RUIZ</v>
      </c>
      <c r="DY163" s="3" t="str">
        <f>_xlfn.XLOOKUP(B163,'BASE DE EXCEL'!$C:$C,'BASE DE EXCEL'!AS:AS,"NO HAY REFERENCIA")</f>
        <v>HLCUHAM2603BCZP2</v>
      </c>
      <c r="DZ163" s="3" t="str">
        <f>_xlfn.XLOOKUP(B163,'BASE DE EXCEL'!$C:$C,'BASE DE EXCEL'!AT:AT,"NO HAY REFERENCIA")</f>
        <v>NULL</v>
      </c>
      <c r="EA163" s="3">
        <f>_xlfn.XLOOKUP(B163,'BASE DE EXCEL'!$C:$C,'BASE DE EXCEL'!AU:AU,"NO HAY REFERENCIA")</f>
        <v>6000583</v>
      </c>
      <c r="EB163" s="3" t="str">
        <f>_xlfn.XLOOKUP(B163,'BASE DE EXCEL'!$C:$C,'BASE DE EXCEL'!AV:AV,"NO HAY REFERENCIA")</f>
        <v>Importación</v>
      </c>
      <c r="EC163" s="3" t="str">
        <f>_xlfn.XLOOKUP(B163,'BASE DE EXCEL'!$C:$C,'BASE DE EXCEL'!AW:AW,"NO HAY REFERENCIA")</f>
        <v>NUMELVI 31.6 MG 1X30TAB (MEDICAMENTO DOSIFICADO DE USO VETERINARIO)</v>
      </c>
      <c r="ED163" s="3" t="str">
        <f>_xlfn.XLOOKUP(B163,'BASE DE EXCEL'!$C:$C,'BASE DE EXCEL'!AX:AX,"NO HAY REFERENCIA")</f>
        <v>SIN CLASIFICACION</v>
      </c>
      <c r="EE163" s="3">
        <f>_xlfn.XLOOKUP(B163,'BASE DE EXCEL'!$C:$C,'BASE DE EXCEL'!AY:AY,"NO HAY REFERENCIA")</f>
        <v>0</v>
      </c>
      <c r="EF163" s="3" t="str">
        <f>_xlfn.XLOOKUP(B163,'BASE DE EXCEL'!$C:$C,'BASE DE EXCEL'!AZ:AZ,"NO HAY REFERENCIA")</f>
        <v>Cargas de Importación</v>
      </c>
      <c r="EG163" s="3" t="str">
        <f>_xlfn.XLOOKUP(B163,'BASE DE EXCEL'!$C:$C,'BASE DE EXCEL'!BA:BA,"NO HAY REFERENCIA")</f>
        <v>INTERVET MEXICO SA DE CV</v>
      </c>
      <c r="EH163" s="3">
        <f>_xlfn.XLOOKUP(B163,'BASE DE EXCEL'!$C:$C,'BASE DE EXCEL'!BB:BB,"NO HAY REFERENCIA")</f>
        <v>0</v>
      </c>
      <c r="EI163" s="3" t="str">
        <f>_xlfn.XLOOKUP(B163,'BASE DE EXCEL'!$C:$C,'BASE DE EXCEL'!BC:BC,"NO HAY REFERENCIA")</f>
        <v>NINGUNO</v>
      </c>
      <c r="EJ163" s="3">
        <f>_xlfn.XLOOKUP(B163,'BASE DE EXCEL'!$C:$C,'BASE DE EXCEL'!BD:BD,"NO HAY REFERENCIA")</f>
        <v>0</v>
      </c>
      <c r="EK163" s="3" t="str">
        <f>_xlfn.XLOOKUP(B163,'BASE DE EXCEL'!$C:$C,'BASE DE EXCEL'!BE:BE,"NO HAY REFERENCIA")</f>
        <v>NINGUNO</v>
      </c>
      <c r="EL163" s="3" t="str">
        <f>_xlfn.XLOOKUP(B163,'BASE DE EXCEL'!$C:$C,'BASE DE EXCEL'!BF:BF,"NO HAY REFERENCIA")</f>
        <v>PRODUCTO TERMINADO</v>
      </c>
      <c r="EM163" s="3" t="str">
        <f>_xlfn.XLOOKUP(B163,'BASE DE EXCEL'!$C:$C,'BASE DE EXCEL'!BG:BG,"NO HAY REFERENCIA")</f>
        <v>Rojo</v>
      </c>
      <c r="EN163" s="3" t="str">
        <f>_xlfn.XLOOKUP(B163,'BASE DE EXCEL'!$C:$C,'BASE DE EXCEL'!BH:BH,"NO HAY REFERENCIA")</f>
        <v xml:space="preserve"> SUPER EXPRESS DE CARGA FEDERAL S.A. DE C.V.</v>
      </c>
      <c r="EO163" s="3">
        <f>_xlfn.XLOOKUP(B163,'BASE DE EXCEL'!$C:$C,'BASE DE EXCEL'!BI:BI,"NO HAY REFERENCIA")</f>
        <v>0</v>
      </c>
      <c r="EP163" s="3" t="str">
        <f>_xlfn.XLOOKUP(B163,'BASE DE EXCEL'!$C:$C,'BASE DE EXCEL'!BJ:BJ,"NO HAY REFERENCIA")</f>
        <v>IME-T005</v>
      </c>
      <c r="EQ163" s="3" t="str">
        <f>_xlfn.XLOOKUP(B163,'BASE DE EXCEL'!$C:$C,'BASE DE EXCEL'!BK:BK,"NO HAY REFERENCIA")</f>
        <v>IME850329RH2</v>
      </c>
      <c r="ER163" s="3">
        <f>_xlfn.XLOOKUP(B163,'BASE DE EXCEL'!$C:$C,'BASE DE EXCEL'!BL:BL,"NO HAY REFERENCIA")</f>
        <v>0</v>
      </c>
      <c r="ES163" s="3">
        <f>_xlfn.XLOOKUP(B163,'BASE DE EXCEL'!$C:$C,'BASE DE EXCEL'!BM:BM,"NO HAY REFERENCIA")</f>
        <v>99</v>
      </c>
      <c r="ET163" s="3" t="str">
        <f>_xlfn.XLOOKUP(B163,'BASE DE EXCEL'!$C:$C,'BASE DE EXCEL'!BN:BN,"NO HAY REFERENCIA")</f>
        <v>LOTE: 25N4019A05,LOTE: 26P1002A01,LOTE: B030T01,LOTE: B032P01</v>
      </c>
      <c r="EU163" s="3">
        <f>_xlfn.XLOOKUP(B163,'BASE DE EXCEL'!$C:$C,'BASE DE EXCEL'!BO:BO,"NO HAY REFERENCIA")</f>
        <v>90</v>
      </c>
      <c r="EV163" s="3">
        <f>_xlfn.XLOOKUP(B163,'BASE DE EXCEL'!$C:$C,'BASE DE EXCEL'!BP:BP,"NO HAY REFERENCIA")</f>
        <v>10797530.74</v>
      </c>
      <c r="EW163" s="3" t="str">
        <f>_xlfn.XLOOKUP(B163,'BASE DE EXCEL'!$C:$C,'BASE DE EXCEL'!BQ:BQ,"NO HAY REFERENCIA")</f>
        <v>KILO,KILO,KILO,KILO</v>
      </c>
      <c r="EX163" s="3">
        <f>_xlfn.XLOOKUP(B163,'BASE DE EXCEL'!$C:$C,'BASE DE EXCEL'!BR:BR,"NO HAY REFERENCIA")</f>
        <v>0</v>
      </c>
      <c r="EY163" s="3" t="str">
        <f>_xlfn.XLOOKUP(B163,'BASE DE EXCEL'!$C:$C,'BASE DE EXCEL'!BS:BS,"NO HAY REFERENCIA")</f>
        <v>AUSTRIA (REPUBLICA DE)</v>
      </c>
      <c r="EZ163" s="3" t="str">
        <f>_xlfn.XLOOKUP(B163,'BASE DE EXCEL'!$C:$C,'BASE DE EXCEL'!BT:BT,"NO HAY REFERENCIA")</f>
        <v>PAISES BAJOS (REINO DE LOS) (HOLANDA)</v>
      </c>
      <c r="FA163" s="3" t="str">
        <f>_xlfn.XLOOKUP(B163,'BASE DE EXCEL'!$C:$C,'BASE DE EXCEL'!BU:BU,"NO HAY REFERENCIA")</f>
        <v>AUT</v>
      </c>
      <c r="FB163" s="3" t="str">
        <f>_xlfn.XLOOKUP(B163,'BASE DE EXCEL'!$C:$C,'BASE DE EXCEL'!BV:BV,"NO HAY REFERENCIA")</f>
        <v>ZYA</v>
      </c>
      <c r="FC163" s="3">
        <f>_xlfn.XLOOKUP(B163,QUERY!$C:$C,QUERY!D:D)</f>
        <v>430</v>
      </c>
      <c r="FD163" s="4">
        <f>_xlfn.XLOOKUP(B163,QUERY!$C:$C,QUERY!E:E)</f>
        <v>46132</v>
      </c>
      <c r="FE163" s="3">
        <f>_xlfn.XLOOKUP(B163,QUERY!$C:$C,QUERY!F:F)</f>
        <v>4</v>
      </c>
      <c r="FF163" s="4">
        <f>_xlfn.XLOOKUP(B163,QUERY!$C:$C,QUERY!G:G)</f>
        <v>46127</v>
      </c>
      <c r="FG163" s="4">
        <f>_xlfn.XLOOKUP(B163,QUERY!$C:$C,QUERY!H:H)</f>
        <v>46132</v>
      </c>
      <c r="FH163" s="3">
        <f>_xlfn.XLOOKUP(B163,QUERY!$C:$C,QUERY!I:I)</f>
        <v>3</v>
      </c>
      <c r="FI163" s="3" t="str">
        <f>_xlfn.XLOOKUP(B163,QUERY!$C:$C,QUERY!J:J)</f>
        <v>2 a 3 días</v>
      </c>
      <c r="FJ163" s="4">
        <f>_xlfn.XLOOKUP(B163,QUERY!$C:$C,QUERY!K:K)</f>
        <v>46133</v>
      </c>
      <c r="FK163" s="3">
        <f>_xlfn.XLOOKUP(B163,QUERY!$C:$C,QUERY!L:L)</f>
        <v>4</v>
      </c>
      <c r="FL163" s="3" t="str">
        <f>_xlfn.XLOOKUP(B163,QUERY!$C:$C,QUERY!M:M)</f>
        <v>4 a 5 días</v>
      </c>
      <c r="FM163" s="3">
        <f>_xlfn.XLOOKUP(B163,QUERY!$C:$C,QUERY!N:N)</f>
        <v>1</v>
      </c>
      <c r="FN163" s="3" t="str">
        <f>_xlfn.XLOOKUP(B163,QUERY!$C:$C,QUERY!O:O)</f>
        <v>1 día o menos</v>
      </c>
      <c r="FO163" s="3">
        <f>_xlfn.XLOOKUP(B163,QUERY!$C:$C,QUERY!P:P)</f>
        <v>1</v>
      </c>
      <c r="FP163" s="3">
        <f>_xlfn.XLOOKUP(B163,QUERY!$C:$C,QUERY!Q:Q)</f>
        <v>1</v>
      </c>
      <c r="FQ163" s="3" t="str">
        <f>_xlfn.XLOOKUP(B163,QUERY!$C:$C,QUERY!R:R)</f>
        <v>1 día o menos</v>
      </c>
      <c r="FR163" s="4">
        <f>_xlfn.XLOOKUP(B163,QUERY!$C:$C,QUERY!S:S)</f>
        <v>46134</v>
      </c>
      <c r="FS163" s="3">
        <f>_xlfn.XLOOKUP(B163,QUERY!$C:$C,QUERY!T:T)</f>
        <v>5</v>
      </c>
      <c r="FT163" s="3" t="str">
        <f>_xlfn.XLOOKUP(B163,QUERY!$C:$C,QUERY!U:U)</f>
        <v>4 a 5 días</v>
      </c>
      <c r="FU163" s="3">
        <f>_xlfn.XLOOKUP(B163,QUERY!$C:$C,QUERY!V:V)</f>
        <v>18</v>
      </c>
      <c r="FV163" s="3" t="str">
        <f>_xlfn.XLOOKUP(B163,QUERY!$C:$C,QUERY!W:W)</f>
        <v>más de 16 días</v>
      </c>
      <c r="FW163" s="4">
        <f>_xlfn.XLOOKUP(B163,QUERY!$C:$C,QUERY!X:X)</f>
        <v>46153</v>
      </c>
      <c r="FX163" s="3">
        <f>_xlfn.XLOOKUP(B163,QUERY!$C:$C,QUERY!Y:Y)</f>
        <v>13</v>
      </c>
      <c r="FY163" s="3">
        <f>_xlfn.XLOOKUP(B163,QUERY!$C:$C,QUERY!Z:Z)</f>
        <v>13</v>
      </c>
      <c r="FZ163" s="4" t="str">
        <f>_xlfn.XLOOKUP(B163,QUERY!$C:$C,QUERY!AA:AA)</f>
        <v>más de 16 días</v>
      </c>
      <c r="GA163" s="4">
        <f>_xlfn.XLOOKUP(B163,QUERY!$C:$C,QUERY!AB:AB)</f>
        <v>46153</v>
      </c>
      <c r="GB163" s="4">
        <f>_xlfn.XLOOKUP(B163,QUERY!$C:$C,QUERY!AC:AC)</f>
        <v>46153</v>
      </c>
      <c r="GC163" s="3">
        <f>_xlfn.XLOOKUP(B163,QUERY!$C:$C,QUERY!AD:AD)</f>
        <v>0</v>
      </c>
      <c r="GD163" s="4">
        <f>_xlfn.XLOOKUP(B163,QUERY!$C:$C,QUERY!AE:AE)</f>
        <v>46153</v>
      </c>
      <c r="GE163" s="3">
        <f>_xlfn.XLOOKUP(B163,QUERY!$C:$C,QUERY!AF:AF)</f>
        <v>1</v>
      </c>
      <c r="GF163" s="4" t="str">
        <f>_xlfn.XLOOKUP(B163,QUERY!$C:$C,QUERY!AG:AG)</f>
        <v>Es anterior</v>
      </c>
      <c r="GG163" s="3" t="str">
        <f>_xlfn.XLOOKUP(B163,QUERY!$C:$C,QUERY!AH:AH)</f>
        <v>A1</v>
      </c>
      <c r="GH163" s="3" t="str">
        <f>_xlfn.XLOOKUP(B163,QUERY!$C:$C,QUERY!AI:AI)</f>
        <v>ZULEIMA PEREZ RUIZ</v>
      </c>
      <c r="GI163" s="3" t="str">
        <f>_xlfn.XLOOKUP(B163,QUERY!$C:$C,QUERY!AJ:AJ)</f>
        <v>HLCUHAM2603BCZP2</v>
      </c>
      <c r="GJ163" s="3" t="str">
        <f>_xlfn.XLOOKUP(B163,QUERY!$C:$C,QUERY!AK:AK)</f>
        <v>NULL</v>
      </c>
      <c r="GK163" s="3">
        <f>_xlfn.XLOOKUP(B163,QUERY!$C:$C,QUERY!AL:AL)</f>
        <v>6000583</v>
      </c>
      <c r="GL163" s="3" t="str">
        <f>_xlfn.XLOOKUP(B163,QUERY!$C:$C,QUERY!AM:AM)</f>
        <v>Importación</v>
      </c>
      <c r="GM163" s="3" t="str">
        <f>_xlfn.XLOOKUP(B163,QUERY!$C:$C,QUERY!AN:AN)</f>
        <v>NUMELVI 31.6 MG 1X30TAB (MEDICAMENTO DOSIFICADO DE USO VETERINARIO)</v>
      </c>
      <c r="GN163" s="3" t="str">
        <f>_xlfn.XLOOKUP(B163,QUERY!$C:$C,QUERY!AO:AO)</f>
        <v>SIN CLASIFICACION</v>
      </c>
      <c r="GO163" s="3">
        <f>_xlfn.XLOOKUP(B163,QUERY!$C:$C,QUERY!AP:AP)</f>
        <v>0</v>
      </c>
      <c r="GP163" s="3" t="str">
        <f>_xlfn.XLOOKUP(B163,QUERY!$C:$C,QUERY!AQ:AQ)</f>
        <v>Cargas de Importación</v>
      </c>
      <c r="GQ163" s="3" t="str">
        <f>_xlfn.XLOOKUP(B163,QUERY!$C:$C,QUERY!AR:AR)</f>
        <v>INTERVET MEXICO SA DE CV</v>
      </c>
      <c r="GR163" s="3">
        <f>_xlfn.XLOOKUP(B163,QUERY!$C:$C,QUERY!AS:AS)</f>
        <v>0</v>
      </c>
      <c r="GS163" s="3" t="str">
        <f>_xlfn.XLOOKUP(B163,QUERY!$C:$C,QUERY!AT:AT)</f>
        <v>NINGUNO</v>
      </c>
      <c r="GT163" s="3">
        <f>_xlfn.XLOOKUP(B163,QUERY!$C:$C,QUERY!AU:AU)</f>
        <v>0</v>
      </c>
      <c r="GU163" s="3" t="str">
        <f>_xlfn.XLOOKUP(B163,QUERY!$C:$C,QUERY!AV:AV)</f>
        <v>NINGUNO</v>
      </c>
      <c r="GV163" s="3" t="str">
        <f>_xlfn.XLOOKUP(B163,QUERY!$C:$C,QUERY!AW:AW)</f>
        <v>PRODUCTO TERMINADO</v>
      </c>
      <c r="GW163" s="3" t="str">
        <f>_xlfn.XLOOKUP(B163,QUERY!$C:$C,QUERY!AX:AX)</f>
        <v>Rojo</v>
      </c>
      <c r="GX163" s="3" t="str">
        <f>_xlfn.XLOOKUP(B163,QUERY!$C:$C,QUERY!AY:AY)</f>
        <v xml:space="preserve"> SUPER EXPRESS DE CARGA FEDERAL S.A. DE C.V.</v>
      </c>
      <c r="GY163" s="3">
        <f>_xlfn.XLOOKUP(B163,QUERY!$C:$C,QUERY!AZ:AZ)</f>
        <v>0</v>
      </c>
      <c r="GZ163" s="3" t="str">
        <f>_xlfn.XLOOKUP(B163,QUERY!$C:$C,QUERY!BA:BA)</f>
        <v>IME-T005</v>
      </c>
      <c r="HA163" s="3" t="str">
        <f>_xlfn.XLOOKUP(B163,QUERY!$C:$C,QUERY!BB:BB)</f>
        <v>IME850329RH2</v>
      </c>
      <c r="HB163" s="3">
        <f>_xlfn.XLOOKUP(B163,QUERY!$C:$C,QUERY!BC:BC)</f>
        <v>0</v>
      </c>
      <c r="HC163" s="3">
        <f>_xlfn.XLOOKUP(B163,QUERY!$C:$C,QUERY!BD:BD)</f>
        <v>99</v>
      </c>
      <c r="HD163" s="3" t="str">
        <f>_xlfn.XLOOKUP(B163,QUERY!$C:$C,QUERY!BE:BE)</f>
        <v>LOTE: 25N4019A05,LOTE: 26P1002A01,LOTE: B030T01,LOTE: B032P01</v>
      </c>
      <c r="HE163" s="3">
        <f>_xlfn.XLOOKUP(B163,QUERY!$C:$C,QUERY!BF:BF)</f>
        <v>90</v>
      </c>
      <c r="HF163" s="3" t="str">
        <f>_xlfn.XLOOKUP(B163,QUERY!$C:$C,QUERY!BG:BG)</f>
        <v xml:space="preserve"> 10797530.74</v>
      </c>
      <c r="HG163" s="3" t="str">
        <f>_xlfn.XLOOKUP(B163,QUERY!$C:$C,QUERY!BH:BH)</f>
        <v>KILO,KILO,KILO,KILO</v>
      </c>
      <c r="HH163" s="3">
        <f>_xlfn.XLOOKUP(B163,QUERY!$C:$C,QUERY!BI:BI)</f>
        <v>0</v>
      </c>
      <c r="HI163" s="3" t="str">
        <f>_xlfn.XLOOKUP(B163,QUERY!$C:$C,QUERY!BJ:BJ)</f>
        <v>AUSTRIA (REPUBLICA DE)</v>
      </c>
      <c r="HJ163" s="3" t="str">
        <f>_xlfn.XLOOKUP(B163,QUERY!$C:$C,QUERY!BK:BK)</f>
        <v>PAISES BAJOS (REINO DE LOS) (HOLANDA)</v>
      </c>
      <c r="HK163" s="3" t="str">
        <f>_xlfn.XLOOKUP(B163,QUERY!$C:$C,QUERY!BL:BL)</f>
        <v>AUT</v>
      </c>
      <c r="HL163" s="3" t="str">
        <f>_xlfn.XLOOKUP(B163,QUERY!$C:$C,QUERY!BM:BM)</f>
        <v>ZYA</v>
      </c>
      <c r="HM163" s="3">
        <f>_xlfn.XLOOKUP(B163,QUERY!$C:$C,QUERY!BN:BN)</f>
        <v>10797531</v>
      </c>
      <c r="HN163" s="3" t="str">
        <f>_xlfn.XLOOKUP(B163,QUERY!$C:$C,QUERY!BO:BO)</f>
        <v>60198.00</v>
      </c>
      <c r="HO163" s="3" t="str">
        <f>_xlfn.XLOOKUP(B163,QUERY!$C:$C,QUERY!BP:BP)</f>
        <v>NULL</v>
      </c>
      <c r="HP163" s="3" t="str">
        <f>_xlfn.XLOOKUP(B163,QUERY!$C:$C,QUERY!BQ:BQ)</f>
        <v>752477.00</v>
      </c>
      <c r="HQ163" s="3" t="str">
        <f>_xlfn.XLOOKUP(B163,QUERY!$C:$C,QUERY!BR:BR)</f>
        <v>157037.87</v>
      </c>
      <c r="HR163" s="3">
        <f>_xlfn.XLOOKUP(B163,QUERY!$C:$C,QUERY!BS:BS)</f>
        <v>0</v>
      </c>
      <c r="HS163" s="3">
        <f>_xlfn.XLOOKUP(B163,QUERY!$C:$C,QUERY!BT:BT)</f>
        <v>0</v>
      </c>
      <c r="HT163" s="3" t="str">
        <f>_xlfn.XLOOKUP(B163,QUERY!$C:$C,QUERY!A:A)</f>
        <v>VERACRUZ</v>
      </c>
      <c r="HU163" s="3" t="str">
        <f>_xlfn.XLOOKUP(B163,QUERY!$C:$C,QUERY!B:B)</f>
        <v>MARÍTIMO VERACRUZ</v>
      </c>
    </row>
    <row r="164" spans="1:229" x14ac:dyDescent="0.25">
      <c r="A164" s="3" t="s">
        <v>90</v>
      </c>
      <c r="B164" s="3" t="s">
        <v>440</v>
      </c>
      <c r="C164" s="3">
        <v>3942</v>
      </c>
      <c r="D164" s="3">
        <v>6000583</v>
      </c>
      <c r="E164" s="3"/>
      <c r="F164" s="3" t="s">
        <v>92</v>
      </c>
      <c r="G164" s="3" t="s">
        <v>93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10</v>
      </c>
      <c r="O164" s="3">
        <v>501374</v>
      </c>
      <c r="P164" s="3">
        <v>0</v>
      </c>
      <c r="Q164" s="3">
        <v>0</v>
      </c>
      <c r="R164" s="3">
        <v>430</v>
      </c>
      <c r="S164" s="3" t="s">
        <v>441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 t="s">
        <v>179</v>
      </c>
      <c r="AB164" s="3"/>
      <c r="AC164" s="3">
        <v>5013740</v>
      </c>
      <c r="AD164" s="3">
        <v>2080.3900400000002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/>
      <c r="AP164" s="3" t="s">
        <v>98</v>
      </c>
      <c r="AQ164" s="3">
        <v>210370447</v>
      </c>
      <c r="AR164" s="3" t="s">
        <v>99</v>
      </c>
      <c r="AS164" s="3" t="s">
        <v>100</v>
      </c>
      <c r="AT164" s="3">
        <v>0</v>
      </c>
      <c r="AU164" s="3">
        <v>0</v>
      </c>
      <c r="AV164" s="3">
        <v>0</v>
      </c>
      <c r="AW164" s="3">
        <v>30043999</v>
      </c>
      <c r="AX164" s="3">
        <v>99</v>
      </c>
      <c r="AY164" s="3">
        <v>2410</v>
      </c>
      <c r="AZ164" s="3">
        <v>2410</v>
      </c>
      <c r="BA164" s="3" t="s">
        <v>103</v>
      </c>
      <c r="BB164" s="3"/>
      <c r="BC164" s="3" t="s">
        <v>133</v>
      </c>
      <c r="BD164" s="3" t="s">
        <v>105</v>
      </c>
      <c r="BE164" s="3"/>
      <c r="BF164" s="3"/>
      <c r="BG164" s="5"/>
      <c r="BH164" s="3"/>
      <c r="BI164" s="3"/>
      <c r="BJ164" s="3"/>
      <c r="BK164" s="3" t="s">
        <v>443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 t="s">
        <v>192</v>
      </c>
      <c r="CF164" s="3">
        <v>0</v>
      </c>
      <c r="CG164" s="3">
        <v>0</v>
      </c>
      <c r="CH164" s="3">
        <v>0</v>
      </c>
      <c r="CI164" s="3" t="s">
        <v>112</v>
      </c>
      <c r="CJ164" s="3" t="s">
        <v>112</v>
      </c>
      <c r="CK164" s="3">
        <f>_xlfn.XLOOKUP($B$2,'BASE DE EXCEL'!C:C,'BASE DE EXCEL'!D:D,"NO HAY REFERENCIA")</f>
        <v>470</v>
      </c>
      <c r="CL164" s="5">
        <f>_xlfn.XLOOKUP($B$2,'BASE DE EXCEL'!$C:$C,'BASE DE EXCEL'!F:F,"NO HAY REFERENCIA")</f>
        <v>3</v>
      </c>
      <c r="CM164" s="4">
        <f>_xlfn.XLOOKUP($B$2,'BASE DE EXCEL'!$C:$C,'BASE DE EXCEL'!G:G,"NO HAY REFERENCIA")</f>
        <v>46080</v>
      </c>
      <c r="CN164" s="4">
        <f>_xlfn.XLOOKUP($B$2,'BASE DE EXCEL'!$C:$C,'BASE DE EXCEL'!H:H,"NO HAY REFERENCIA")</f>
        <v>46086</v>
      </c>
      <c r="CO164" s="3">
        <f>_xlfn.XLOOKUP($B$2,'BASE DE EXCEL'!$C:$C,'BASE DE EXCEL'!I:I,"NO HAY REFERENCIA")</f>
        <v>4</v>
      </c>
      <c r="CP164" s="3" t="str">
        <f>_xlfn.XLOOKUP($B$2,'BASE DE EXCEL'!$C:$C,'BASE DE EXCEL'!J:J,"NO HAY REFERENCIA")</f>
        <v>4 a 5 días</v>
      </c>
      <c r="CQ164" s="4">
        <f>_xlfn.XLOOKUP($B$2,'BASE DE EXCEL'!$C:$C,'BASE DE EXCEL'!K:K,"NO HAY REFERENCIA")</f>
        <v>46087</v>
      </c>
      <c r="CR164" s="3">
        <f>_xlfn.XLOOKUP($B$2,'BASE DE EXCEL'!$C:$C,'BASE DE EXCEL'!L:L,"NO HAY REFERENCIA")</f>
        <v>5</v>
      </c>
      <c r="CS164" s="3">
        <f>_xlfn.XLOOKUP($B$2,'BASE DE EXCEL'!$C:$C,'BASE DE EXCEL'!M:M,"NO HAY REFERENCIA")</f>
        <v>6</v>
      </c>
      <c r="CT164" s="3" t="str">
        <f>_xlfn.XLOOKUP($B$2,'BASE DE EXCEL'!$C:$C,'BASE DE EXCEL'!N:N,"NO HAY REFERENCIA")</f>
        <v>6 a 10 días</v>
      </c>
      <c r="CU164" s="3" t="str">
        <f>_xlfn.XLOOKUP($B$2,'BASE DE EXCEL'!$C:$C,'BASE DE EXCEL'!O:O,"NO HAY REFERENCIA")</f>
        <v>On Time</v>
      </c>
      <c r="CV164" s="3" t="str">
        <f>_xlfn.XLOOKUP(B164,'BASE DE EXCEL'!$C:$C,'BASE DE EXCEL'!P:P,"NO HAY REFERENCIA")</f>
        <v>6 a 10 días</v>
      </c>
      <c r="CW164" s="4">
        <f>_xlfn.XLOOKUP(B164,'BASE DE EXCEL'!$C:$C,'BASE DE EXCEL'!Q:Q,"NO HAY REFERENCIA")</f>
        <v>46134</v>
      </c>
      <c r="CX164" s="3">
        <f>_xlfn.XLOOKUP(B164,'BASE DE EXCEL'!$C:$C,'BASE DE EXCEL'!R:R,"NO HAY REFERENCIA")</f>
        <v>6</v>
      </c>
      <c r="CY164" s="3" t="str">
        <f>_xlfn.XLOOKUP(B164,'BASE DE EXCEL'!$C:$C,'BASE DE EXCEL'!S:S,"NO HAY REFERENCIA")</f>
        <v>6 a 10 días</v>
      </c>
      <c r="CZ164" s="3" t="str">
        <f>_xlfn.XLOOKUP(B164,'BASE DE EXCEL'!$C:$C,'BASE DE EXCEL'!T:T,"NO HAY REFERENCIA")</f>
        <v>On Time</v>
      </c>
      <c r="DA164" s="3">
        <f>_xlfn.XLOOKUP(B164,'BASE DE EXCEL'!$C:$C,'BASE DE EXCEL'!U:U,"NO HAY REFERENCIA")</f>
        <v>7</v>
      </c>
      <c r="DB164" s="3" t="str">
        <f>_xlfn.XLOOKUP(B164,'BASE DE EXCEL'!$C:$C,'BASE DE EXCEL'!V:V,"NO HAY REFERENCIA")</f>
        <v>4 a 5 días</v>
      </c>
      <c r="DC164" s="3">
        <f>_xlfn.XLOOKUP(B164,'BASE DE EXCEL'!$C:$C,'BASE DE EXCEL'!W:W,"NO HAY REFERENCIA")</f>
        <v>18</v>
      </c>
      <c r="DD164" s="3" t="str">
        <f>_xlfn.XLOOKUP(B164,'BASE DE EXCEL'!$C:$C,'BASE DE EXCEL'!X:X,"NO HAY REFERENCIA")</f>
        <v>más de 16 días</v>
      </c>
      <c r="DE164" s="3">
        <f>_xlfn.XLOOKUP(B164,'BASE DE EXCEL'!$C:$C,'BASE DE EXCEL'!Y:Y,"NO HAY REFERENCIA")</f>
        <v>1</v>
      </c>
      <c r="DF164" s="3" t="str">
        <f>_xlfn.XLOOKUP(B164,'BASE DE EXCEL'!$C:$C,'BASE DE EXCEL'!Z:Z,"NO HAY REFERENCIA")</f>
        <v>1 día o menos</v>
      </c>
      <c r="DG164" s="3">
        <f>_xlfn.XLOOKUP(B164,'BASE DE EXCEL'!$C:$C,'BASE DE EXCEL'!AA:AA,"NO HAY REFERENCIA")</f>
        <v>5</v>
      </c>
      <c r="DH164" s="3">
        <f>_xlfn.XLOOKUP(B164,'BASE DE EXCEL'!$C:$C,'BASE DE EXCEL'!AB:AB,"NO HAY REFERENCIA")</f>
        <v>1</v>
      </c>
      <c r="DI164" s="3" t="str">
        <f>_xlfn.XLOOKUP(B164,'BASE DE EXCEL'!$C:$C,'BASE DE EXCEL'!AC:AC,"NO HAY REFERENCIA")</f>
        <v>1 día o menos</v>
      </c>
      <c r="DJ164" s="4">
        <f>_xlfn.XLOOKUP(B164,'BASE DE EXCEL'!$C:$C,'BASE DE EXCEL'!AD:AD,"NO HAY REFERENCIA")</f>
        <v>46153</v>
      </c>
      <c r="DK164" s="3">
        <f>_xlfn.XLOOKUP(B164,'BASE DE EXCEL'!$C:$C,'BASE DE EXCEL'!AE:AE,"NO HAY REFERENCIA")</f>
        <v>19</v>
      </c>
      <c r="DL164" s="3">
        <f>_xlfn.XLOOKUP(B164,'BASE DE EXCEL'!$C:$C,'BASE DE EXCEL'!AF:AF,"NO HAY REFERENCIA")</f>
        <v>13</v>
      </c>
      <c r="DM164" s="4">
        <f>_xlfn.XLOOKUP(B164,'BASE DE EXCEL'!$C:$C,'BASE DE EXCEL'!AG:AG,"NO HAY REFERENCIA")</f>
        <v>46153</v>
      </c>
      <c r="DN164" s="4">
        <f>_xlfn.XLOOKUP(B164,'BASE DE EXCEL'!$C:$C,'BASE DE EXCEL'!AH:AH,"NO HAY REFERENCIA")</f>
        <v>46153</v>
      </c>
      <c r="DO164" s="3">
        <f>_xlfn.XLOOKUP(B164,'BASE DE EXCEL'!$C:$C,'BASE DE EXCEL'!AI:AI,"NO HAY REFERENCIA")</f>
        <v>0</v>
      </c>
      <c r="DP164" s="4" t="str">
        <f>_xlfn.XLOOKUP(B164,'BASE DE EXCEL'!$C:$C,'BASE DE EXCEL'!AJ:AJ,"NO HAY REFERENCIA")</f>
        <v>más de 16 días</v>
      </c>
      <c r="DQ164" s="4">
        <f>_xlfn.XLOOKUP(B164,'BASE DE EXCEL'!$C:$C,'BASE DE EXCEL'!AK:AK,"NO HAY REFERENCIA")</f>
        <v>46153</v>
      </c>
      <c r="DR164" s="3">
        <f>_xlfn.XLOOKUP(B164,'BASE DE EXCEL'!$C:$C,'BASE DE EXCEL'!AL:AL,"NO HAY REFERENCIA")</f>
        <v>13</v>
      </c>
      <c r="DS164" s="3" t="str">
        <f>_xlfn.XLOOKUP(B164,'BASE DE EXCEL'!$C:$C,'BASE DE EXCEL'!AM:AM,"NO HAY REFERENCIA")</f>
        <v>11 a 15 días</v>
      </c>
      <c r="DT164" s="3" t="str">
        <f>_xlfn.XLOOKUP(B164,'BASE DE EXCEL'!$C:$C,'BASE DE EXCEL'!AN:AN,"NO HAY REFERENCIA")</f>
        <v>Delayed</v>
      </c>
      <c r="DU164" s="3">
        <f>_xlfn.XLOOKUP(B164,'BASE DE EXCEL'!$C:$C,'BASE DE EXCEL'!AO:AO,"NO HAY REFERENCIA")</f>
        <v>1</v>
      </c>
      <c r="DV164" s="3" t="str">
        <f>_xlfn.XLOOKUP(B164,'BASE DE EXCEL'!$C:$C,'BASE DE EXCEL'!AP:AP,"NO HAY REFERENCIA")</f>
        <v>Es anterior</v>
      </c>
      <c r="DW164" s="3" t="str">
        <f>_xlfn.XLOOKUP(B164,'BASE DE EXCEL'!$C:$C,'BASE DE EXCEL'!AQ:AQ,"NO HAY REFERENCIA")</f>
        <v>A1</v>
      </c>
      <c r="DX164" s="3" t="str">
        <f>_xlfn.XLOOKUP(B164,'BASE DE EXCEL'!$C:$C,'BASE DE EXCEL'!AR:AR,"NO HAY REFERENCIA")</f>
        <v>ZULEIMA PEREZ RUIZ</v>
      </c>
      <c r="DY164" s="3" t="str">
        <f>_xlfn.XLOOKUP(B164,'BASE DE EXCEL'!$C:$C,'BASE DE EXCEL'!AS:AS,"NO HAY REFERENCIA")</f>
        <v>HLCUHAM2603BCZP2</v>
      </c>
      <c r="DZ164" s="3" t="str">
        <f>_xlfn.XLOOKUP(B164,'BASE DE EXCEL'!$C:$C,'BASE DE EXCEL'!AT:AT,"NO HAY REFERENCIA")</f>
        <v>NULL</v>
      </c>
      <c r="EA164" s="3">
        <f>_xlfn.XLOOKUP(B164,'BASE DE EXCEL'!$C:$C,'BASE DE EXCEL'!AU:AU,"NO HAY REFERENCIA")</f>
        <v>6000583</v>
      </c>
      <c r="EB164" s="3" t="str">
        <f>_xlfn.XLOOKUP(B164,'BASE DE EXCEL'!$C:$C,'BASE DE EXCEL'!AV:AV,"NO HAY REFERENCIA")</f>
        <v>Importación</v>
      </c>
      <c r="EC164" s="3" t="str">
        <f>_xlfn.XLOOKUP(B164,'BASE DE EXCEL'!$C:$C,'BASE DE EXCEL'!AW:AW,"NO HAY REFERENCIA")</f>
        <v>NUMELVI 31.6 MG 1X30TAB (MEDICAMENTO DOSIFICADO DE USO VETERINARIO)</v>
      </c>
      <c r="ED164" s="3" t="str">
        <f>_xlfn.XLOOKUP(B164,'BASE DE EXCEL'!$C:$C,'BASE DE EXCEL'!AX:AX,"NO HAY REFERENCIA")</f>
        <v>SIN CLASIFICACION</v>
      </c>
      <c r="EE164" s="3">
        <f>_xlfn.XLOOKUP(B164,'BASE DE EXCEL'!$C:$C,'BASE DE EXCEL'!AY:AY,"NO HAY REFERENCIA")</f>
        <v>0</v>
      </c>
      <c r="EF164" s="3" t="str">
        <f>_xlfn.XLOOKUP(B164,'BASE DE EXCEL'!$C:$C,'BASE DE EXCEL'!AZ:AZ,"NO HAY REFERENCIA")</f>
        <v>Cargas de Importación</v>
      </c>
      <c r="EG164" s="3" t="str">
        <f>_xlfn.XLOOKUP(B164,'BASE DE EXCEL'!$C:$C,'BASE DE EXCEL'!BA:BA,"NO HAY REFERENCIA")</f>
        <v>INTERVET MEXICO SA DE CV</v>
      </c>
      <c r="EH164" s="3">
        <f>_xlfn.XLOOKUP(B164,'BASE DE EXCEL'!$C:$C,'BASE DE EXCEL'!BB:BB,"NO HAY REFERENCIA")</f>
        <v>0</v>
      </c>
      <c r="EI164" s="3" t="str">
        <f>_xlfn.XLOOKUP(B164,'BASE DE EXCEL'!$C:$C,'BASE DE EXCEL'!BC:BC,"NO HAY REFERENCIA")</f>
        <v>NINGUNO</v>
      </c>
      <c r="EJ164" s="3">
        <f>_xlfn.XLOOKUP(B164,'BASE DE EXCEL'!$C:$C,'BASE DE EXCEL'!BD:BD,"NO HAY REFERENCIA")</f>
        <v>0</v>
      </c>
      <c r="EK164" s="3" t="str">
        <f>_xlfn.XLOOKUP(B164,'BASE DE EXCEL'!$C:$C,'BASE DE EXCEL'!BE:BE,"NO HAY REFERENCIA")</f>
        <v>NINGUNO</v>
      </c>
      <c r="EL164" s="3" t="str">
        <f>_xlfn.XLOOKUP(B164,'BASE DE EXCEL'!$C:$C,'BASE DE EXCEL'!BF:BF,"NO HAY REFERENCIA")</f>
        <v>PRODUCTO TERMINADO</v>
      </c>
      <c r="EM164" s="3" t="str">
        <f>_xlfn.XLOOKUP(B164,'BASE DE EXCEL'!$C:$C,'BASE DE EXCEL'!BG:BG,"NO HAY REFERENCIA")</f>
        <v>Rojo</v>
      </c>
      <c r="EN164" s="3" t="str">
        <f>_xlfn.XLOOKUP(B164,'BASE DE EXCEL'!$C:$C,'BASE DE EXCEL'!BH:BH,"NO HAY REFERENCIA")</f>
        <v xml:space="preserve"> SUPER EXPRESS DE CARGA FEDERAL S.A. DE C.V.</v>
      </c>
      <c r="EO164" s="3">
        <f>_xlfn.XLOOKUP(B164,'BASE DE EXCEL'!$C:$C,'BASE DE EXCEL'!BI:BI,"NO HAY REFERENCIA")</f>
        <v>0</v>
      </c>
      <c r="EP164" s="3" t="str">
        <f>_xlfn.XLOOKUP(B164,'BASE DE EXCEL'!$C:$C,'BASE DE EXCEL'!BJ:BJ,"NO HAY REFERENCIA")</f>
        <v>IME-T005</v>
      </c>
      <c r="EQ164" s="3" t="str">
        <f>_xlfn.XLOOKUP(B164,'BASE DE EXCEL'!$C:$C,'BASE DE EXCEL'!BK:BK,"NO HAY REFERENCIA")</f>
        <v>IME850329RH2</v>
      </c>
      <c r="ER164" s="3">
        <f>_xlfn.XLOOKUP(B164,'BASE DE EXCEL'!$C:$C,'BASE DE EXCEL'!BL:BL,"NO HAY REFERENCIA")</f>
        <v>0</v>
      </c>
      <c r="ES164" s="3">
        <f>_xlfn.XLOOKUP(B164,'BASE DE EXCEL'!$C:$C,'BASE DE EXCEL'!BM:BM,"NO HAY REFERENCIA")</f>
        <v>99</v>
      </c>
      <c r="ET164" s="3" t="str">
        <f>_xlfn.XLOOKUP(B164,'BASE DE EXCEL'!$C:$C,'BASE DE EXCEL'!BN:BN,"NO HAY REFERENCIA")</f>
        <v>LOTE: 25N4019A05,LOTE: 26P1002A01,LOTE: B030T01,LOTE: B032P01</v>
      </c>
      <c r="EU164" s="3">
        <f>_xlfn.XLOOKUP(B164,'BASE DE EXCEL'!$C:$C,'BASE DE EXCEL'!BO:BO,"NO HAY REFERENCIA")</f>
        <v>90</v>
      </c>
      <c r="EV164" s="3">
        <f>_xlfn.XLOOKUP(B164,'BASE DE EXCEL'!$C:$C,'BASE DE EXCEL'!BP:BP,"NO HAY REFERENCIA")</f>
        <v>10797530.74</v>
      </c>
      <c r="EW164" s="3" t="str">
        <f>_xlfn.XLOOKUP(B164,'BASE DE EXCEL'!$C:$C,'BASE DE EXCEL'!BQ:BQ,"NO HAY REFERENCIA")</f>
        <v>KILO,KILO,KILO,KILO</v>
      </c>
      <c r="EX164" s="3">
        <f>_xlfn.XLOOKUP(B164,'BASE DE EXCEL'!$C:$C,'BASE DE EXCEL'!BR:BR,"NO HAY REFERENCIA")</f>
        <v>0</v>
      </c>
      <c r="EY164" s="3" t="str">
        <f>_xlfn.XLOOKUP(B164,'BASE DE EXCEL'!$C:$C,'BASE DE EXCEL'!BS:BS,"NO HAY REFERENCIA")</f>
        <v>AUSTRIA (REPUBLICA DE)</v>
      </c>
      <c r="EZ164" s="3" t="str">
        <f>_xlfn.XLOOKUP(B164,'BASE DE EXCEL'!$C:$C,'BASE DE EXCEL'!BT:BT,"NO HAY REFERENCIA")</f>
        <v>PAISES BAJOS (REINO DE LOS) (HOLANDA)</v>
      </c>
      <c r="FA164" s="3" t="str">
        <f>_xlfn.XLOOKUP(B164,'BASE DE EXCEL'!$C:$C,'BASE DE EXCEL'!BU:BU,"NO HAY REFERENCIA")</f>
        <v>AUT</v>
      </c>
      <c r="FB164" s="3" t="str">
        <f>_xlfn.XLOOKUP(B164,'BASE DE EXCEL'!$C:$C,'BASE DE EXCEL'!BV:BV,"NO HAY REFERENCIA")</f>
        <v>ZYA</v>
      </c>
      <c r="FC164" s="3">
        <f>_xlfn.XLOOKUP(B164,QUERY!$C:$C,QUERY!D:D)</f>
        <v>430</v>
      </c>
      <c r="FD164" s="4">
        <f>_xlfn.XLOOKUP(B164,QUERY!$C:$C,QUERY!E:E)</f>
        <v>46132</v>
      </c>
      <c r="FE164" s="3">
        <f>_xlfn.XLOOKUP(B164,QUERY!$C:$C,QUERY!F:F)</f>
        <v>4</v>
      </c>
      <c r="FF164" s="4">
        <f>_xlfn.XLOOKUP(B164,QUERY!$C:$C,QUERY!G:G)</f>
        <v>46127</v>
      </c>
      <c r="FG164" s="4">
        <f>_xlfn.XLOOKUP(B164,QUERY!$C:$C,QUERY!H:H)</f>
        <v>46132</v>
      </c>
      <c r="FH164" s="3">
        <f>_xlfn.XLOOKUP(B164,QUERY!$C:$C,QUERY!I:I)</f>
        <v>3</v>
      </c>
      <c r="FI164" s="3" t="str">
        <f>_xlfn.XLOOKUP(B164,QUERY!$C:$C,QUERY!J:J)</f>
        <v>2 a 3 días</v>
      </c>
      <c r="FJ164" s="4">
        <f>_xlfn.XLOOKUP(B164,QUERY!$C:$C,QUERY!K:K)</f>
        <v>46133</v>
      </c>
      <c r="FK164" s="3">
        <f>_xlfn.XLOOKUP(B164,QUERY!$C:$C,QUERY!L:L)</f>
        <v>4</v>
      </c>
      <c r="FL164" s="3" t="str">
        <f>_xlfn.XLOOKUP(B164,QUERY!$C:$C,QUERY!M:M)</f>
        <v>4 a 5 días</v>
      </c>
      <c r="FM164" s="3">
        <f>_xlfn.XLOOKUP(B164,QUERY!$C:$C,QUERY!N:N)</f>
        <v>1</v>
      </c>
      <c r="FN164" s="3" t="str">
        <f>_xlfn.XLOOKUP(B164,QUERY!$C:$C,QUERY!O:O)</f>
        <v>1 día o menos</v>
      </c>
      <c r="FO164" s="3">
        <f>_xlfn.XLOOKUP(B164,QUERY!$C:$C,QUERY!P:P)</f>
        <v>1</v>
      </c>
      <c r="FP164" s="3">
        <f>_xlfn.XLOOKUP(B164,QUERY!$C:$C,QUERY!Q:Q)</f>
        <v>1</v>
      </c>
      <c r="FQ164" s="3" t="str">
        <f>_xlfn.XLOOKUP(B164,QUERY!$C:$C,QUERY!R:R)</f>
        <v>1 día o menos</v>
      </c>
      <c r="FR164" s="4">
        <f>_xlfn.XLOOKUP(B164,QUERY!$C:$C,QUERY!S:S)</f>
        <v>46134</v>
      </c>
      <c r="FS164" s="3">
        <f>_xlfn.XLOOKUP(B164,QUERY!$C:$C,QUERY!T:T)</f>
        <v>5</v>
      </c>
      <c r="FT164" s="3" t="str">
        <f>_xlfn.XLOOKUP(B164,QUERY!$C:$C,QUERY!U:U)</f>
        <v>4 a 5 días</v>
      </c>
      <c r="FU164" s="3">
        <f>_xlfn.XLOOKUP(B164,QUERY!$C:$C,QUERY!V:V)</f>
        <v>18</v>
      </c>
      <c r="FV164" s="3" t="str">
        <f>_xlfn.XLOOKUP(B164,QUERY!$C:$C,QUERY!W:W)</f>
        <v>más de 16 días</v>
      </c>
      <c r="FW164" s="4">
        <f>_xlfn.XLOOKUP(B164,QUERY!$C:$C,QUERY!X:X)</f>
        <v>46153</v>
      </c>
      <c r="FX164" s="3">
        <f>_xlfn.XLOOKUP(B164,QUERY!$C:$C,QUERY!Y:Y)</f>
        <v>13</v>
      </c>
      <c r="FY164" s="3">
        <f>_xlfn.XLOOKUP(B164,QUERY!$C:$C,QUERY!Z:Z)</f>
        <v>13</v>
      </c>
      <c r="FZ164" s="4" t="str">
        <f>_xlfn.XLOOKUP(B164,QUERY!$C:$C,QUERY!AA:AA)</f>
        <v>más de 16 días</v>
      </c>
      <c r="GA164" s="4">
        <f>_xlfn.XLOOKUP(B164,QUERY!$C:$C,QUERY!AB:AB)</f>
        <v>46153</v>
      </c>
      <c r="GB164" s="4">
        <f>_xlfn.XLOOKUP(B164,QUERY!$C:$C,QUERY!AC:AC)</f>
        <v>46153</v>
      </c>
      <c r="GC164" s="3">
        <f>_xlfn.XLOOKUP(B164,QUERY!$C:$C,QUERY!AD:AD)</f>
        <v>0</v>
      </c>
      <c r="GD164" s="4">
        <f>_xlfn.XLOOKUP(B164,QUERY!$C:$C,QUERY!AE:AE)</f>
        <v>46153</v>
      </c>
      <c r="GE164" s="3">
        <f>_xlfn.XLOOKUP(B164,QUERY!$C:$C,QUERY!AF:AF)</f>
        <v>1</v>
      </c>
      <c r="GF164" s="4" t="str">
        <f>_xlfn.XLOOKUP(B164,QUERY!$C:$C,QUERY!AG:AG)</f>
        <v>Es anterior</v>
      </c>
      <c r="GG164" s="3" t="str">
        <f>_xlfn.XLOOKUP(B164,QUERY!$C:$C,QUERY!AH:AH)</f>
        <v>A1</v>
      </c>
      <c r="GH164" s="3" t="str">
        <f>_xlfn.XLOOKUP(B164,QUERY!$C:$C,QUERY!AI:AI)</f>
        <v>ZULEIMA PEREZ RUIZ</v>
      </c>
      <c r="GI164" s="3" t="str">
        <f>_xlfn.XLOOKUP(B164,QUERY!$C:$C,QUERY!AJ:AJ)</f>
        <v>HLCUHAM2603BCZP2</v>
      </c>
      <c r="GJ164" s="3" t="str">
        <f>_xlfn.XLOOKUP(B164,QUERY!$C:$C,QUERY!AK:AK)</f>
        <v>NULL</v>
      </c>
      <c r="GK164" s="3">
        <f>_xlfn.XLOOKUP(B164,QUERY!$C:$C,QUERY!AL:AL)</f>
        <v>6000583</v>
      </c>
      <c r="GL164" s="3" t="str">
        <f>_xlfn.XLOOKUP(B164,QUERY!$C:$C,QUERY!AM:AM)</f>
        <v>Importación</v>
      </c>
      <c r="GM164" s="3" t="str">
        <f>_xlfn.XLOOKUP(B164,QUERY!$C:$C,QUERY!AN:AN)</f>
        <v>NUMELVI 31.6 MG 1X30TAB (MEDICAMENTO DOSIFICADO DE USO VETERINARIO)</v>
      </c>
      <c r="GN164" s="3" t="str">
        <f>_xlfn.XLOOKUP(B164,QUERY!$C:$C,QUERY!AO:AO)</f>
        <v>SIN CLASIFICACION</v>
      </c>
      <c r="GO164" s="3">
        <f>_xlfn.XLOOKUP(B164,QUERY!$C:$C,QUERY!AP:AP)</f>
        <v>0</v>
      </c>
      <c r="GP164" s="3" t="str">
        <f>_xlfn.XLOOKUP(B164,QUERY!$C:$C,QUERY!AQ:AQ)</f>
        <v>Cargas de Importación</v>
      </c>
      <c r="GQ164" s="3" t="str">
        <f>_xlfn.XLOOKUP(B164,QUERY!$C:$C,QUERY!AR:AR)</f>
        <v>INTERVET MEXICO SA DE CV</v>
      </c>
      <c r="GR164" s="3">
        <f>_xlfn.XLOOKUP(B164,QUERY!$C:$C,QUERY!AS:AS)</f>
        <v>0</v>
      </c>
      <c r="GS164" s="3" t="str">
        <f>_xlfn.XLOOKUP(B164,QUERY!$C:$C,QUERY!AT:AT)</f>
        <v>NINGUNO</v>
      </c>
      <c r="GT164" s="3">
        <f>_xlfn.XLOOKUP(B164,QUERY!$C:$C,QUERY!AU:AU)</f>
        <v>0</v>
      </c>
      <c r="GU164" s="3" t="str">
        <f>_xlfn.XLOOKUP(B164,QUERY!$C:$C,QUERY!AV:AV)</f>
        <v>NINGUNO</v>
      </c>
      <c r="GV164" s="3" t="str">
        <f>_xlfn.XLOOKUP(B164,QUERY!$C:$C,QUERY!AW:AW)</f>
        <v>PRODUCTO TERMINADO</v>
      </c>
      <c r="GW164" s="3" t="str">
        <f>_xlfn.XLOOKUP(B164,QUERY!$C:$C,QUERY!AX:AX)</f>
        <v>Rojo</v>
      </c>
      <c r="GX164" s="3" t="str">
        <f>_xlfn.XLOOKUP(B164,QUERY!$C:$C,QUERY!AY:AY)</f>
        <v xml:space="preserve"> SUPER EXPRESS DE CARGA FEDERAL S.A. DE C.V.</v>
      </c>
      <c r="GY164" s="3">
        <f>_xlfn.XLOOKUP(B164,QUERY!$C:$C,QUERY!AZ:AZ)</f>
        <v>0</v>
      </c>
      <c r="GZ164" s="3" t="str">
        <f>_xlfn.XLOOKUP(B164,QUERY!$C:$C,QUERY!BA:BA)</f>
        <v>IME-T005</v>
      </c>
      <c r="HA164" s="3" t="str">
        <f>_xlfn.XLOOKUP(B164,QUERY!$C:$C,QUERY!BB:BB)</f>
        <v>IME850329RH2</v>
      </c>
      <c r="HB164" s="3">
        <f>_xlfn.XLOOKUP(B164,QUERY!$C:$C,QUERY!BC:BC)</f>
        <v>0</v>
      </c>
      <c r="HC164" s="3">
        <f>_xlfn.XLOOKUP(B164,QUERY!$C:$C,QUERY!BD:BD)</f>
        <v>99</v>
      </c>
      <c r="HD164" s="3" t="str">
        <f>_xlfn.XLOOKUP(B164,QUERY!$C:$C,QUERY!BE:BE)</f>
        <v>LOTE: 25N4019A05,LOTE: 26P1002A01,LOTE: B030T01,LOTE: B032P01</v>
      </c>
      <c r="HE164" s="3">
        <f>_xlfn.XLOOKUP(B164,QUERY!$C:$C,QUERY!BF:BF)</f>
        <v>90</v>
      </c>
      <c r="HF164" s="3" t="str">
        <f>_xlfn.XLOOKUP(B164,QUERY!$C:$C,QUERY!BG:BG)</f>
        <v xml:space="preserve"> 10797530.74</v>
      </c>
      <c r="HG164" s="3" t="str">
        <f>_xlfn.XLOOKUP(B164,QUERY!$C:$C,QUERY!BH:BH)</f>
        <v>KILO,KILO,KILO,KILO</v>
      </c>
      <c r="HH164" s="3">
        <f>_xlfn.XLOOKUP(B164,QUERY!$C:$C,QUERY!BI:BI)</f>
        <v>0</v>
      </c>
      <c r="HI164" s="3" t="str">
        <f>_xlfn.XLOOKUP(B164,QUERY!$C:$C,QUERY!BJ:BJ)</f>
        <v>AUSTRIA (REPUBLICA DE)</v>
      </c>
      <c r="HJ164" s="3" t="str">
        <f>_xlfn.XLOOKUP(B164,QUERY!$C:$C,QUERY!BK:BK)</f>
        <v>PAISES BAJOS (REINO DE LOS) (HOLANDA)</v>
      </c>
      <c r="HK164" s="3" t="str">
        <f>_xlfn.XLOOKUP(B164,QUERY!$C:$C,QUERY!BL:BL)</f>
        <v>AUT</v>
      </c>
      <c r="HL164" s="3" t="str">
        <f>_xlfn.XLOOKUP(B164,QUERY!$C:$C,QUERY!BM:BM)</f>
        <v>ZYA</v>
      </c>
      <c r="HM164" s="3">
        <f>_xlfn.XLOOKUP(B164,QUERY!$C:$C,QUERY!BN:BN)</f>
        <v>10797531</v>
      </c>
      <c r="HN164" s="3" t="str">
        <f>_xlfn.XLOOKUP(B164,QUERY!$C:$C,QUERY!BO:BO)</f>
        <v>60198.00</v>
      </c>
      <c r="HO164" s="3" t="str">
        <f>_xlfn.XLOOKUP(B164,QUERY!$C:$C,QUERY!BP:BP)</f>
        <v>NULL</v>
      </c>
      <c r="HP164" s="3" t="str">
        <f>_xlfn.XLOOKUP(B164,QUERY!$C:$C,QUERY!BQ:BQ)</f>
        <v>752477.00</v>
      </c>
      <c r="HQ164" s="3" t="str">
        <f>_xlfn.XLOOKUP(B164,QUERY!$C:$C,QUERY!BR:BR)</f>
        <v>157037.87</v>
      </c>
      <c r="HR164" s="3">
        <f>_xlfn.XLOOKUP(B164,QUERY!$C:$C,QUERY!BS:BS)</f>
        <v>0</v>
      </c>
      <c r="HS164" s="3">
        <f>_xlfn.XLOOKUP(B164,QUERY!$C:$C,QUERY!BT:BT)</f>
        <v>0</v>
      </c>
      <c r="HT164" s="3" t="str">
        <f>_xlfn.XLOOKUP(B164,QUERY!$C:$C,QUERY!A:A)</f>
        <v>VERACRUZ</v>
      </c>
      <c r="HU164" s="3" t="str">
        <f>_xlfn.XLOOKUP(B164,QUERY!$C:$C,QUERY!B:B)</f>
        <v>MARÍTIMO VERACRUZ</v>
      </c>
    </row>
    <row r="165" spans="1:229" x14ac:dyDescent="0.25">
      <c r="A165" s="3" t="s">
        <v>90</v>
      </c>
      <c r="B165" s="3" t="s">
        <v>444</v>
      </c>
      <c r="C165" s="3">
        <v>3942</v>
      </c>
      <c r="D165" s="3">
        <v>6000612</v>
      </c>
      <c r="E165" s="3"/>
      <c r="F165" s="3" t="s">
        <v>92</v>
      </c>
      <c r="G165" s="3" t="s">
        <v>93</v>
      </c>
      <c r="H165" s="3">
        <v>16</v>
      </c>
      <c r="I165" s="3">
        <v>179305</v>
      </c>
      <c r="J165" s="3">
        <v>0</v>
      </c>
      <c r="K165" s="3">
        <v>0</v>
      </c>
      <c r="L165" s="3" t="s">
        <v>223</v>
      </c>
      <c r="M165" s="3" t="s">
        <v>223</v>
      </c>
      <c r="N165" s="3">
        <v>0</v>
      </c>
      <c r="O165" s="3">
        <v>0</v>
      </c>
      <c r="P165" s="3">
        <v>17.268799999999999</v>
      </c>
      <c r="Q165" s="3">
        <v>2044.2</v>
      </c>
      <c r="R165" s="3">
        <v>430</v>
      </c>
      <c r="S165" s="3" t="s">
        <v>445</v>
      </c>
      <c r="T165" s="3" t="s">
        <v>446</v>
      </c>
      <c r="U165" s="3">
        <v>1048831</v>
      </c>
      <c r="V165" s="3">
        <v>1048831</v>
      </c>
      <c r="W165" s="3">
        <v>0</v>
      </c>
      <c r="X165" s="3">
        <v>0</v>
      </c>
      <c r="Y165" s="3">
        <v>0</v>
      </c>
      <c r="Z165" s="3">
        <v>0</v>
      </c>
      <c r="AA165" s="3" t="s">
        <v>364</v>
      </c>
      <c r="AB165" s="3"/>
      <c r="AC165" s="3">
        <v>1048831</v>
      </c>
      <c r="AD165" s="3">
        <v>592.55989</v>
      </c>
      <c r="AE165" s="3">
        <v>354</v>
      </c>
      <c r="AF165" s="3" t="s">
        <v>447</v>
      </c>
      <c r="AG165" s="3">
        <v>0</v>
      </c>
      <c r="AH165" s="3">
        <v>0</v>
      </c>
      <c r="AI165" s="3">
        <v>53</v>
      </c>
      <c r="AJ165" s="3">
        <v>8391</v>
      </c>
      <c r="AK165" s="3">
        <v>0</v>
      </c>
      <c r="AL165" s="3">
        <v>179305</v>
      </c>
      <c r="AM165" s="3">
        <v>330</v>
      </c>
      <c r="AN165" s="3">
        <v>251512</v>
      </c>
      <c r="AO165" s="3" t="s">
        <v>97</v>
      </c>
      <c r="AP165" s="3" t="s">
        <v>98</v>
      </c>
      <c r="AQ165" s="3">
        <v>210370161</v>
      </c>
      <c r="AR165" s="3" t="s">
        <v>99</v>
      </c>
      <c r="AS165" s="3" t="s">
        <v>100</v>
      </c>
      <c r="AT165" s="3">
        <v>267273161</v>
      </c>
      <c r="AU165" s="3"/>
      <c r="AV165" s="3" t="s">
        <v>188</v>
      </c>
      <c r="AW165" s="3">
        <v>38086201</v>
      </c>
      <c r="AX165" s="3">
        <v>0</v>
      </c>
      <c r="AY165" s="3">
        <v>1770</v>
      </c>
      <c r="AZ165" s="3">
        <v>1770</v>
      </c>
      <c r="BA165" s="3" t="s">
        <v>103</v>
      </c>
      <c r="BB165" s="3"/>
      <c r="BC165" s="3" t="s">
        <v>189</v>
      </c>
      <c r="BD165" s="3" t="s">
        <v>105</v>
      </c>
      <c r="BE165" s="3" t="s">
        <v>106</v>
      </c>
      <c r="BF165" s="3" t="s">
        <v>107</v>
      </c>
      <c r="BG165" s="5" t="s">
        <v>448</v>
      </c>
      <c r="BH165" s="3" t="s">
        <v>274</v>
      </c>
      <c r="BI165" s="3"/>
      <c r="BJ165" s="3" t="s">
        <v>190</v>
      </c>
      <c r="BK165" s="3" t="s">
        <v>449</v>
      </c>
      <c r="BL165" s="3">
        <v>45991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22189.59</v>
      </c>
      <c r="BY165" s="3">
        <v>0</v>
      </c>
      <c r="BZ165" s="3">
        <v>0</v>
      </c>
      <c r="CA165" s="3">
        <v>0</v>
      </c>
      <c r="CB165" s="3">
        <v>5600</v>
      </c>
      <c r="CC165" s="3">
        <v>1339.2</v>
      </c>
      <c r="CD165" s="3">
        <v>138283.46</v>
      </c>
      <c r="CE165" s="3" t="s">
        <v>192</v>
      </c>
      <c r="CF165" s="3">
        <v>138283.46</v>
      </c>
      <c r="CG165" s="3">
        <v>0</v>
      </c>
      <c r="CH165" s="3">
        <v>0</v>
      </c>
      <c r="CI165" s="3" t="s">
        <v>112</v>
      </c>
      <c r="CJ165" s="3" t="s">
        <v>112</v>
      </c>
      <c r="CK165" s="3">
        <f>_xlfn.XLOOKUP($B$2,'BASE DE EXCEL'!C:C,'BASE DE EXCEL'!D:D,"NO HAY REFERENCIA")</f>
        <v>470</v>
      </c>
      <c r="CL165" s="5">
        <f>_xlfn.XLOOKUP($B$2,'BASE DE EXCEL'!$C:$C,'BASE DE EXCEL'!F:F,"NO HAY REFERENCIA")</f>
        <v>3</v>
      </c>
      <c r="CM165" s="4">
        <f>_xlfn.XLOOKUP($B$2,'BASE DE EXCEL'!$C:$C,'BASE DE EXCEL'!G:G,"NO HAY REFERENCIA")</f>
        <v>46080</v>
      </c>
      <c r="CN165" s="4">
        <f>_xlfn.XLOOKUP($B$2,'BASE DE EXCEL'!$C:$C,'BASE DE EXCEL'!H:H,"NO HAY REFERENCIA")</f>
        <v>46086</v>
      </c>
      <c r="CO165" s="3">
        <f>_xlfn.XLOOKUP($B$2,'BASE DE EXCEL'!$C:$C,'BASE DE EXCEL'!I:I,"NO HAY REFERENCIA")</f>
        <v>4</v>
      </c>
      <c r="CP165" s="3" t="str">
        <f>_xlfn.XLOOKUP($B$2,'BASE DE EXCEL'!$C:$C,'BASE DE EXCEL'!J:J,"NO HAY REFERENCIA")</f>
        <v>4 a 5 días</v>
      </c>
      <c r="CQ165" s="4">
        <f>_xlfn.XLOOKUP($B$2,'BASE DE EXCEL'!$C:$C,'BASE DE EXCEL'!K:K,"NO HAY REFERENCIA")</f>
        <v>46087</v>
      </c>
      <c r="CR165" s="3">
        <f>_xlfn.XLOOKUP($B$2,'BASE DE EXCEL'!$C:$C,'BASE DE EXCEL'!L:L,"NO HAY REFERENCIA")</f>
        <v>5</v>
      </c>
      <c r="CS165" s="3">
        <f>_xlfn.XLOOKUP($B$2,'BASE DE EXCEL'!$C:$C,'BASE DE EXCEL'!M:M,"NO HAY REFERENCIA")</f>
        <v>6</v>
      </c>
      <c r="CT165" s="3" t="str">
        <f>_xlfn.XLOOKUP($B$2,'BASE DE EXCEL'!$C:$C,'BASE DE EXCEL'!N:N,"NO HAY REFERENCIA")</f>
        <v>6 a 10 días</v>
      </c>
      <c r="CU165" s="3" t="str">
        <f>_xlfn.XLOOKUP($B$2,'BASE DE EXCEL'!$C:$C,'BASE DE EXCEL'!O:O,"NO HAY REFERENCIA")</f>
        <v>On Time</v>
      </c>
      <c r="CV165" s="3" t="str">
        <f>_xlfn.XLOOKUP(B165,'BASE DE EXCEL'!$C:$C,'BASE DE EXCEL'!P:P,"NO HAY REFERENCIA")</f>
        <v>6 a 10 días</v>
      </c>
      <c r="CW165" s="4">
        <f>_xlfn.XLOOKUP(B165,'BASE DE EXCEL'!$C:$C,'BASE DE EXCEL'!Q:Q,"NO HAY REFERENCIA")</f>
        <v>46139</v>
      </c>
      <c r="CX165" s="3">
        <f>_xlfn.XLOOKUP(B165,'BASE DE EXCEL'!$C:$C,'BASE DE EXCEL'!R:R,"NO HAY REFERENCIA")</f>
        <v>8</v>
      </c>
      <c r="CY165" s="3" t="str">
        <f>_xlfn.XLOOKUP(B165,'BASE DE EXCEL'!$C:$C,'BASE DE EXCEL'!S:S,"NO HAY REFERENCIA")</f>
        <v>6 a 10 días</v>
      </c>
      <c r="CZ165" s="3" t="str">
        <f>_xlfn.XLOOKUP(B165,'BASE DE EXCEL'!$C:$C,'BASE DE EXCEL'!T:T,"NO HAY REFERENCIA")</f>
        <v>Delayed</v>
      </c>
      <c r="DA165" s="3">
        <f>_xlfn.XLOOKUP(B165,'BASE DE EXCEL'!$C:$C,'BASE DE EXCEL'!U:U,"NO HAY REFERENCIA")</f>
        <v>11</v>
      </c>
      <c r="DB165" s="3" t="str">
        <f>_xlfn.XLOOKUP(B165,'BASE DE EXCEL'!$C:$C,'BASE DE EXCEL'!V:V,"NO HAY REFERENCIA")</f>
        <v>6 a 10 días</v>
      </c>
      <c r="DC165" s="3">
        <f>_xlfn.XLOOKUP(B165,'BASE DE EXCEL'!$C:$C,'BASE DE EXCEL'!W:W,"NO HAY REFERENCIA")</f>
        <v>17</v>
      </c>
      <c r="DD165" s="3" t="str">
        <f>_xlfn.XLOOKUP(B165,'BASE DE EXCEL'!$C:$C,'BASE DE EXCEL'!X:X,"NO HAY REFERENCIA")</f>
        <v>más de 16 días</v>
      </c>
      <c r="DE165" s="3">
        <f>_xlfn.XLOOKUP(B165,'BASE DE EXCEL'!$C:$C,'BASE DE EXCEL'!Y:Y,"NO HAY REFERENCIA")</f>
        <v>1</v>
      </c>
      <c r="DF165" s="3" t="str">
        <f>_xlfn.XLOOKUP(B165,'BASE DE EXCEL'!$C:$C,'BASE DE EXCEL'!Z:Z,"NO HAY REFERENCIA")</f>
        <v>1 día o menos</v>
      </c>
      <c r="DG165" s="3">
        <f>_xlfn.XLOOKUP(B165,'BASE DE EXCEL'!$C:$C,'BASE DE EXCEL'!AA:AA,"NO HAY REFERENCIA")</f>
        <v>8</v>
      </c>
      <c r="DH165" s="3">
        <f>_xlfn.XLOOKUP(B165,'BASE DE EXCEL'!$C:$C,'BASE DE EXCEL'!AB:AB,"NO HAY REFERENCIA")</f>
        <v>2</v>
      </c>
      <c r="DI165" s="3" t="str">
        <f>_xlfn.XLOOKUP(B165,'BASE DE EXCEL'!$C:$C,'BASE DE EXCEL'!AC:AC,"NO HAY REFERENCIA")</f>
        <v>2 a 3 días</v>
      </c>
      <c r="DJ165" s="4">
        <f>_xlfn.XLOOKUP(B165,'BASE DE EXCEL'!$C:$C,'BASE DE EXCEL'!AD:AD,"NO HAY REFERENCIA")</f>
        <v>46153</v>
      </c>
      <c r="DK165" s="3">
        <f>_xlfn.XLOOKUP(B165,'BASE DE EXCEL'!$C:$C,'BASE DE EXCEL'!AE:AE,"NO HAY REFERENCIA")</f>
        <v>14</v>
      </c>
      <c r="DL165" s="3">
        <f>_xlfn.XLOOKUP(B165,'BASE DE EXCEL'!$C:$C,'BASE DE EXCEL'!AF:AF,"NO HAY REFERENCIA")</f>
        <v>10</v>
      </c>
      <c r="DM165" s="4">
        <f>_xlfn.XLOOKUP(B165,'BASE DE EXCEL'!$C:$C,'BASE DE EXCEL'!AG:AG,"NO HAY REFERENCIA")</f>
        <v>46153</v>
      </c>
      <c r="DN165" s="4">
        <f>_xlfn.XLOOKUP(B165,'BASE DE EXCEL'!$C:$C,'BASE DE EXCEL'!AH:AH,"NO HAY REFERENCIA")</f>
        <v>46153</v>
      </c>
      <c r="DO165" s="3">
        <f>_xlfn.XLOOKUP(B165,'BASE DE EXCEL'!$C:$C,'BASE DE EXCEL'!AI:AI,"NO HAY REFERENCIA")</f>
        <v>0</v>
      </c>
      <c r="DP165" s="4" t="str">
        <f>_xlfn.XLOOKUP(B165,'BASE DE EXCEL'!$C:$C,'BASE DE EXCEL'!AJ:AJ,"NO HAY REFERENCIA")</f>
        <v>11 a 15 días</v>
      </c>
      <c r="DQ165" s="4">
        <f>_xlfn.XLOOKUP(B165,'BASE DE EXCEL'!$C:$C,'BASE DE EXCEL'!AK:AK,"NO HAY REFERENCIA")</f>
        <v>46153</v>
      </c>
      <c r="DR165" s="3">
        <f>_xlfn.XLOOKUP(B165,'BASE DE EXCEL'!$C:$C,'BASE DE EXCEL'!AL:AL,"NO HAY REFERENCIA")</f>
        <v>10</v>
      </c>
      <c r="DS165" s="3" t="str">
        <f>_xlfn.XLOOKUP(B165,'BASE DE EXCEL'!$C:$C,'BASE DE EXCEL'!AM:AM,"NO HAY REFERENCIA")</f>
        <v>6 a 10 días</v>
      </c>
      <c r="DT165" s="3" t="str">
        <f>_xlfn.XLOOKUP(B165,'BASE DE EXCEL'!$C:$C,'BASE DE EXCEL'!AN:AN,"NO HAY REFERENCIA")</f>
        <v>Delayed</v>
      </c>
      <c r="DU165" s="3">
        <f>_xlfn.XLOOKUP(B165,'BASE DE EXCEL'!$C:$C,'BASE DE EXCEL'!AO:AO,"NO HAY REFERENCIA")</f>
        <v>1</v>
      </c>
      <c r="DV165" s="3" t="str">
        <f>_xlfn.XLOOKUP(B165,'BASE DE EXCEL'!$C:$C,'BASE DE EXCEL'!AP:AP,"NO HAY REFERENCIA")</f>
        <v>Es anterior</v>
      </c>
      <c r="DW165" s="3" t="str">
        <f>_xlfn.XLOOKUP(B165,'BASE DE EXCEL'!$C:$C,'BASE DE EXCEL'!AQ:AQ,"NO HAY REFERENCIA")</f>
        <v>A1</v>
      </c>
      <c r="DX165" s="3" t="str">
        <f>_xlfn.XLOOKUP(B165,'BASE DE EXCEL'!$C:$C,'BASE DE EXCEL'!AR:AR,"NO HAY REFERENCIA")</f>
        <v>ZULEIMA PEREZ RUIZ</v>
      </c>
      <c r="DY165" s="3">
        <f>_xlfn.XLOOKUP(B165,'BASE DE EXCEL'!$C:$C,'BASE DE EXCEL'!AS:AS,"NO HAY REFERENCIA")</f>
        <v>267273161</v>
      </c>
      <c r="DZ165" s="3" t="str">
        <f>_xlfn.XLOOKUP(B165,'BASE DE EXCEL'!$C:$C,'BASE DE EXCEL'!AT:AT,"NO HAY REFERENCIA")</f>
        <v>NULL</v>
      </c>
      <c r="EA165" s="3">
        <f>_xlfn.XLOOKUP(B165,'BASE DE EXCEL'!$C:$C,'BASE DE EXCEL'!AU:AU,"NO HAY REFERENCIA")</f>
        <v>6000612</v>
      </c>
      <c r="EB165" s="3" t="str">
        <f>_xlfn.XLOOKUP(B165,'BASE DE EXCEL'!$C:$C,'BASE DE EXCEL'!AV:AV,"NO HAY REFERENCIA")</f>
        <v>Importación</v>
      </c>
      <c r="EC165" s="3" t="str">
        <f>_xlfn.XLOOKUP(B165,'BASE DE EXCEL'!$C:$C,'BASE DE EXCEL'!AW:AW,"NO HAY REFERENCIA")</f>
        <v>BUTOX 2.5% (DELTAMETRINA)</v>
      </c>
      <c r="ED165" s="3" t="str">
        <f>_xlfn.XLOOKUP(B165,'BASE DE EXCEL'!$C:$C,'BASE DE EXCEL'!AX:AX,"NO HAY REFERENCIA")</f>
        <v>SIN CLASIFICACION</v>
      </c>
      <c r="EE165" s="3">
        <f>_xlfn.XLOOKUP(B165,'BASE DE EXCEL'!$C:$C,'BASE DE EXCEL'!AY:AY,"NO HAY REFERENCIA")</f>
        <v>0</v>
      </c>
      <c r="EF165" s="3" t="str">
        <f>_xlfn.XLOOKUP(B165,'BASE DE EXCEL'!$C:$C,'BASE DE EXCEL'!AZ:AZ,"NO HAY REFERENCIA")</f>
        <v>Cargas de Importación</v>
      </c>
      <c r="EG165" s="3" t="str">
        <f>_xlfn.XLOOKUP(B165,'BASE DE EXCEL'!$C:$C,'BASE DE EXCEL'!BA:BA,"NO HAY REFERENCIA")</f>
        <v>INTERVET MEXICO SA DE CV</v>
      </c>
      <c r="EH165" s="3">
        <f>_xlfn.XLOOKUP(B165,'BASE DE EXCEL'!$C:$C,'BASE DE EXCEL'!BB:BB,"NO HAY REFERENCIA")</f>
        <v>0</v>
      </c>
      <c r="EI165" s="3" t="str">
        <f>_xlfn.XLOOKUP(B165,'BASE DE EXCEL'!$C:$C,'BASE DE EXCEL'!BC:BC,"NO HAY REFERENCIA")</f>
        <v>FALTA RRNA</v>
      </c>
      <c r="EJ165" s="3">
        <f>_xlfn.XLOOKUP(B165,'BASE DE EXCEL'!$C:$C,'BASE DE EXCEL'!BD:BD,"NO HAY REFERENCIA")</f>
        <v>0</v>
      </c>
      <c r="EK165" s="3" t="str">
        <f>_xlfn.XLOOKUP(B165,'BASE DE EXCEL'!$C:$C,'BASE DE EXCEL'!BE:BE,"NO HAY REFERENCIA")</f>
        <v>FALTA RRNA</v>
      </c>
      <c r="EL165" s="3" t="str">
        <f>_xlfn.XLOOKUP(B165,'BASE DE EXCEL'!$C:$C,'BASE DE EXCEL'!BF:BF,"NO HAY REFERENCIA")</f>
        <v>PRODUCTO TERMINADO</v>
      </c>
      <c r="EM165" s="3" t="str">
        <f>_xlfn.XLOOKUP(B165,'BASE DE EXCEL'!$C:$C,'BASE DE EXCEL'!BG:BG,"NO HAY REFERENCIA")</f>
        <v>Verde</v>
      </c>
      <c r="EN165" s="3" t="str">
        <f>_xlfn.XLOOKUP(B165,'BASE DE EXCEL'!$C:$C,'BASE DE EXCEL'!BH:BH,"NO HAY REFERENCIA")</f>
        <v xml:space="preserve"> MLH TRANSPORTE, S.A. DE C.V.</v>
      </c>
      <c r="EO165" s="3" t="str">
        <f>_xlfn.XLOOKUP(B165,'BASE DE EXCEL'!$C:$C,'BASE DE EXCEL'!BI:BI,"NO HAY REFERENCIA")</f>
        <v>ECO 178</v>
      </c>
      <c r="EP165" s="3">
        <f>_xlfn.XLOOKUP(B165,'BASE DE EXCEL'!$C:$C,'BASE DE EXCEL'!BJ:BJ,"NO HAY REFERENCIA")</f>
        <v>0</v>
      </c>
      <c r="EQ165" s="3" t="str">
        <f>_xlfn.XLOOKUP(B165,'BASE DE EXCEL'!$C:$C,'BASE DE EXCEL'!BK:BK,"NO HAY REFERENCIA")</f>
        <v>IME850329RH2</v>
      </c>
      <c r="ER165" s="3">
        <f>_xlfn.XLOOKUP(B165,'BASE DE EXCEL'!$C:$C,'BASE DE EXCEL'!BL:BL,"NO HAY REFERENCIA")</f>
        <v>0</v>
      </c>
      <c r="ES165" s="3">
        <f>_xlfn.XLOOKUP(B165,'BASE DE EXCEL'!$C:$C,'BASE DE EXCEL'!BM:BM,"NO HAY REFERENCIA")</f>
        <v>0</v>
      </c>
      <c r="ET165" s="3" t="str">
        <f>_xlfn.XLOOKUP(B165,'BASE DE EXCEL'!$C:$C,'BASE DE EXCEL'!BN:BN,"NO HAY REFERENCIA")</f>
        <v>LOTE: 005/2026</v>
      </c>
      <c r="EU165" s="3">
        <f>_xlfn.XLOOKUP(B165,'BASE DE EXCEL'!$C:$C,'BASE DE EXCEL'!BO:BO,"NO HAY REFERENCIA")</f>
        <v>90</v>
      </c>
      <c r="EV165" s="3">
        <f>_xlfn.XLOOKUP(B165,'BASE DE EXCEL'!$C:$C,'BASE DE EXCEL'!BP:BP,"NO HAY REFERENCIA")</f>
        <v>1048831.2</v>
      </c>
      <c r="EW165" s="3" t="str">
        <f>_xlfn.XLOOKUP(B165,'BASE DE EXCEL'!$C:$C,'BASE DE EXCEL'!BQ:BQ,"NO HAY REFERENCIA")</f>
        <v>KILO</v>
      </c>
      <c r="EX165" s="3">
        <f>_xlfn.XLOOKUP(B165,'BASE DE EXCEL'!$C:$C,'BASE DE EXCEL'!BR:BR,"NO HAY REFERENCIA")</f>
        <v>0</v>
      </c>
      <c r="EY165" s="3" t="str">
        <f>_xlfn.XLOOKUP(B165,'BASE DE EXCEL'!$C:$C,'BASE DE EXCEL'!BS:BS,"NO HAY REFERENCIA")</f>
        <v>BRASIL (REPUBLICA FEDERATIVA DE)</v>
      </c>
      <c r="EZ165" s="3" t="str">
        <f>_xlfn.XLOOKUP(B165,'BASE DE EXCEL'!$C:$C,'BASE DE EXCEL'!BT:BT,"NO HAY REFERENCIA")</f>
        <v>PAISES BAJOS (REINO DE LOS) (HOLANDA)</v>
      </c>
      <c r="FA165" s="3" t="str">
        <f>_xlfn.XLOOKUP(B165,'BASE DE EXCEL'!$C:$C,'BASE DE EXCEL'!BU:BU,"NO HAY REFERENCIA")</f>
        <v>BRA</v>
      </c>
      <c r="FB165" s="3" t="str">
        <f>_xlfn.XLOOKUP(B165,'BASE DE EXCEL'!$C:$C,'BASE DE EXCEL'!BV:BV,"NO HAY REFERENCIA")</f>
        <v>ZYA</v>
      </c>
      <c r="FC165" s="3">
        <f>_xlfn.XLOOKUP(B165,QUERY!$C:$C,QUERY!D:D)</f>
        <v>430</v>
      </c>
      <c r="FD165" s="4">
        <f>_xlfn.XLOOKUP(B165,QUERY!$C:$C,QUERY!E:E)</f>
        <v>46136</v>
      </c>
      <c r="FE165" s="3">
        <f>_xlfn.XLOOKUP(B165,QUERY!$C:$C,QUERY!F:F)</f>
        <v>4</v>
      </c>
      <c r="FF165" s="4">
        <f>_xlfn.XLOOKUP(B165,QUERY!$C:$C,QUERY!G:G)</f>
        <v>46128</v>
      </c>
      <c r="FG165" s="4">
        <f>_xlfn.XLOOKUP(B165,QUERY!$C:$C,QUERY!H:H)</f>
        <v>46136</v>
      </c>
      <c r="FH165" s="3">
        <f>_xlfn.XLOOKUP(B165,QUERY!$C:$C,QUERY!I:I)</f>
        <v>6</v>
      </c>
      <c r="FI165" s="3" t="str">
        <f>_xlfn.XLOOKUP(B165,QUERY!$C:$C,QUERY!J:J)</f>
        <v>6 a 10 días</v>
      </c>
      <c r="FJ165" s="4">
        <f>_xlfn.XLOOKUP(B165,QUERY!$C:$C,QUERY!K:K)</f>
        <v>46137</v>
      </c>
      <c r="FK165" s="3">
        <f>_xlfn.XLOOKUP(B165,QUERY!$C:$C,QUERY!L:L)</f>
        <v>6</v>
      </c>
      <c r="FL165" s="3" t="str">
        <f>_xlfn.XLOOKUP(B165,QUERY!$C:$C,QUERY!M:M)</f>
        <v>6 a 10 días</v>
      </c>
      <c r="FM165" s="3">
        <f>_xlfn.XLOOKUP(B165,QUERY!$C:$C,QUERY!N:N)</f>
        <v>1</v>
      </c>
      <c r="FN165" s="3" t="str">
        <f>_xlfn.XLOOKUP(B165,QUERY!$C:$C,QUERY!O:O)</f>
        <v>1 día o menos</v>
      </c>
      <c r="FO165" s="3">
        <f>_xlfn.XLOOKUP(B165,QUERY!$C:$C,QUERY!P:P)</f>
        <v>1</v>
      </c>
      <c r="FP165" s="3">
        <f>_xlfn.XLOOKUP(B165,QUERY!$C:$C,QUERY!Q:Q)</f>
        <v>2</v>
      </c>
      <c r="FQ165" s="3" t="str">
        <f>_xlfn.XLOOKUP(B165,QUERY!$C:$C,QUERY!R:R)</f>
        <v>2 a 3 días</v>
      </c>
      <c r="FR165" s="4">
        <f>_xlfn.XLOOKUP(B165,QUERY!$C:$C,QUERY!S:S)</f>
        <v>46139</v>
      </c>
      <c r="FS165" s="3">
        <f>_xlfn.XLOOKUP(B165,QUERY!$C:$C,QUERY!T:T)</f>
        <v>7</v>
      </c>
      <c r="FT165" s="3" t="str">
        <f>_xlfn.XLOOKUP(B165,QUERY!$C:$C,QUERY!U:U)</f>
        <v>6 a 10 días</v>
      </c>
      <c r="FU165" s="3">
        <f>_xlfn.XLOOKUP(B165,QUERY!$C:$C,QUERY!V:V)</f>
        <v>17</v>
      </c>
      <c r="FV165" s="3" t="str">
        <f>_xlfn.XLOOKUP(B165,QUERY!$C:$C,QUERY!W:W)</f>
        <v>más de 16 días</v>
      </c>
      <c r="FW165" s="4">
        <f>_xlfn.XLOOKUP(B165,QUERY!$C:$C,QUERY!X:X)</f>
        <v>46153</v>
      </c>
      <c r="FX165" s="3">
        <f>_xlfn.XLOOKUP(B165,QUERY!$C:$C,QUERY!Y:Y)</f>
        <v>10</v>
      </c>
      <c r="FY165" s="3">
        <f>_xlfn.XLOOKUP(B165,QUERY!$C:$C,QUERY!Z:Z)</f>
        <v>10</v>
      </c>
      <c r="FZ165" s="4" t="str">
        <f>_xlfn.XLOOKUP(B165,QUERY!$C:$C,QUERY!AA:AA)</f>
        <v>11 a 15 días</v>
      </c>
      <c r="GA165" s="4">
        <f>_xlfn.XLOOKUP(B165,QUERY!$C:$C,QUERY!AB:AB)</f>
        <v>46153</v>
      </c>
      <c r="GB165" s="4">
        <f>_xlfn.XLOOKUP(B165,QUERY!$C:$C,QUERY!AC:AC)</f>
        <v>46153</v>
      </c>
      <c r="GC165" s="3">
        <f>_xlfn.XLOOKUP(B165,QUERY!$C:$C,QUERY!AD:AD)</f>
        <v>0</v>
      </c>
      <c r="GD165" s="4">
        <f>_xlfn.XLOOKUP(B165,QUERY!$C:$C,QUERY!AE:AE)</f>
        <v>46153</v>
      </c>
      <c r="GE165" s="3">
        <f>_xlfn.XLOOKUP(B165,QUERY!$C:$C,QUERY!AF:AF)</f>
        <v>1</v>
      </c>
      <c r="GF165" s="4" t="str">
        <f>_xlfn.XLOOKUP(B165,QUERY!$C:$C,QUERY!AG:AG)</f>
        <v>Es anterior</v>
      </c>
      <c r="GG165" s="3" t="str">
        <f>_xlfn.XLOOKUP(B165,QUERY!$C:$C,QUERY!AH:AH)</f>
        <v>A1</v>
      </c>
      <c r="GH165" s="3" t="str">
        <f>_xlfn.XLOOKUP(B165,QUERY!$C:$C,QUERY!AI:AI)</f>
        <v>ZULEIMA PEREZ RUIZ</v>
      </c>
      <c r="GI165" s="3">
        <f>_xlfn.XLOOKUP(B165,QUERY!$C:$C,QUERY!AJ:AJ)</f>
        <v>267273161</v>
      </c>
      <c r="GJ165" s="3" t="str">
        <f>_xlfn.XLOOKUP(B165,QUERY!$C:$C,QUERY!AK:AK)</f>
        <v>NULL</v>
      </c>
      <c r="GK165" s="3">
        <f>_xlfn.XLOOKUP(B165,QUERY!$C:$C,QUERY!AL:AL)</f>
        <v>6000612</v>
      </c>
      <c r="GL165" s="3" t="str">
        <f>_xlfn.XLOOKUP(B165,QUERY!$C:$C,QUERY!AM:AM)</f>
        <v>Importación</v>
      </c>
      <c r="GM165" s="3" t="str">
        <f>_xlfn.XLOOKUP(B165,QUERY!$C:$C,QUERY!AN:AN)</f>
        <v>BUTOX 2.5% (DELTAMETRINA)</v>
      </c>
      <c r="GN165" s="3" t="str">
        <f>_xlfn.XLOOKUP(B165,QUERY!$C:$C,QUERY!AO:AO)</f>
        <v>SIN CLASIFICACION</v>
      </c>
      <c r="GO165" s="3">
        <f>_xlfn.XLOOKUP(B165,QUERY!$C:$C,QUERY!AP:AP)</f>
        <v>0</v>
      </c>
      <c r="GP165" s="3" t="str">
        <f>_xlfn.XLOOKUP(B165,QUERY!$C:$C,QUERY!AQ:AQ)</f>
        <v>Cargas de Importación</v>
      </c>
      <c r="GQ165" s="3" t="str">
        <f>_xlfn.XLOOKUP(B165,QUERY!$C:$C,QUERY!AR:AR)</f>
        <v>INTERVET MEXICO SA DE CV</v>
      </c>
      <c r="GR165" s="3">
        <f>_xlfn.XLOOKUP(B165,QUERY!$C:$C,QUERY!AS:AS)</f>
        <v>0</v>
      </c>
      <c r="GS165" s="3" t="str">
        <f>_xlfn.XLOOKUP(B165,QUERY!$C:$C,QUERY!AT:AT)</f>
        <v>FALTA RRNA</v>
      </c>
      <c r="GT165" s="3">
        <f>_xlfn.XLOOKUP(B165,QUERY!$C:$C,QUERY!AU:AU)</f>
        <v>0</v>
      </c>
      <c r="GU165" s="3" t="str">
        <f>_xlfn.XLOOKUP(B165,QUERY!$C:$C,QUERY!AV:AV)</f>
        <v>FALTA RRNA</v>
      </c>
      <c r="GV165" s="3" t="str">
        <f>_xlfn.XLOOKUP(B165,QUERY!$C:$C,QUERY!AW:AW)</f>
        <v>PRODUCTO TERMINADO</v>
      </c>
      <c r="GW165" s="3" t="str">
        <f>_xlfn.XLOOKUP(B165,QUERY!$C:$C,QUERY!AX:AX)</f>
        <v>Verde</v>
      </c>
      <c r="GX165" s="3" t="str">
        <f>_xlfn.XLOOKUP(B165,QUERY!$C:$C,QUERY!AY:AY)</f>
        <v xml:space="preserve"> MLH TRANSPORTE, S.A. DE C.V.</v>
      </c>
      <c r="GY165" s="3" t="str">
        <f>_xlfn.XLOOKUP(B165,QUERY!$C:$C,QUERY!AZ:AZ)</f>
        <v>ECO 178</v>
      </c>
      <c r="GZ165" s="3">
        <f>_xlfn.XLOOKUP(B165,QUERY!$C:$C,QUERY!BA:BA)</f>
        <v>0</v>
      </c>
      <c r="HA165" s="3" t="str">
        <f>_xlfn.XLOOKUP(B165,QUERY!$C:$C,QUERY!BB:BB)</f>
        <v>IME850329RH2</v>
      </c>
      <c r="HB165" s="3">
        <f>_xlfn.XLOOKUP(B165,QUERY!$C:$C,QUERY!BC:BC)</f>
        <v>0</v>
      </c>
      <c r="HC165" s="3">
        <f>_xlfn.XLOOKUP(B165,QUERY!$C:$C,QUERY!BD:BD)</f>
        <v>0</v>
      </c>
      <c r="HD165" s="3" t="str">
        <f>_xlfn.XLOOKUP(B165,QUERY!$C:$C,QUERY!BE:BE)</f>
        <v>LOTE: 005/2026</v>
      </c>
      <c r="HE165" s="3">
        <f>_xlfn.XLOOKUP(B165,QUERY!$C:$C,QUERY!BF:BF)</f>
        <v>90</v>
      </c>
      <c r="HF165" s="3" t="str">
        <f>_xlfn.XLOOKUP(B165,QUERY!$C:$C,QUERY!BG:BG)</f>
        <v xml:space="preserve"> 1048831.20</v>
      </c>
      <c r="HG165" s="3" t="str">
        <f>_xlfn.XLOOKUP(B165,QUERY!$C:$C,QUERY!BH:BH)</f>
        <v>KILO</v>
      </c>
      <c r="HH165" s="3">
        <f>_xlfn.XLOOKUP(B165,QUERY!$C:$C,QUERY!BI:BI)</f>
        <v>0</v>
      </c>
      <c r="HI165" s="3" t="str">
        <f>_xlfn.XLOOKUP(B165,QUERY!$C:$C,QUERY!BJ:BJ)</f>
        <v>BRASIL (REPUBLICA FEDERATIVA DE)</v>
      </c>
      <c r="HJ165" s="3" t="str">
        <f>_xlfn.XLOOKUP(B165,QUERY!$C:$C,QUERY!BK:BK)</f>
        <v>PAISES BAJOS (REINO DE LOS) (HOLANDA)</v>
      </c>
      <c r="HK165" s="3" t="str">
        <f>_xlfn.XLOOKUP(B165,QUERY!$C:$C,QUERY!BL:BL)</f>
        <v>BRA</v>
      </c>
      <c r="HL165" s="3" t="str">
        <f>_xlfn.XLOOKUP(B165,QUERY!$C:$C,QUERY!BM:BM)</f>
        <v>ZYA</v>
      </c>
      <c r="HM165" s="3">
        <f>_xlfn.XLOOKUP(B165,QUERY!$C:$C,QUERY!BN:BN)</f>
        <v>1048831</v>
      </c>
      <c r="HN165" s="3" t="str">
        <f>_xlfn.XLOOKUP(B165,QUERY!$C:$C,QUERY!BO:BO)</f>
        <v>8391.00</v>
      </c>
      <c r="HO165" s="3" t="str">
        <f>_xlfn.XLOOKUP(B165,QUERY!$C:$C,QUERY!BP:BP)</f>
        <v>179305.00</v>
      </c>
      <c r="HP165" s="3" t="str">
        <f>_xlfn.XLOOKUP(B165,QUERY!$C:$C,QUERY!BQ:BQ)</f>
        <v>NULL</v>
      </c>
      <c r="HQ165" s="3" t="str">
        <f>_xlfn.XLOOKUP(B165,QUERY!$C:$C,QUERY!BR:BR)</f>
        <v>138283.46</v>
      </c>
      <c r="HR165" s="3">
        <f>_xlfn.XLOOKUP(B165,QUERY!$C:$C,QUERY!BS:BS)</f>
        <v>0</v>
      </c>
      <c r="HS165" s="3">
        <f>_xlfn.XLOOKUP(B165,QUERY!$C:$C,QUERY!BT:BT)</f>
        <v>0</v>
      </c>
      <c r="HT165" s="3" t="str">
        <f>_xlfn.XLOOKUP(B165,QUERY!$C:$C,QUERY!A:A)</f>
        <v>VERACRUZ</v>
      </c>
      <c r="HU165" s="3" t="str">
        <f>_xlfn.XLOOKUP(B165,QUERY!$C:$C,QUERY!B:B)</f>
        <v>MARÍTIMO VERACRUZ</v>
      </c>
    </row>
    <row r="166" spans="1:229" x14ac:dyDescent="0.25">
      <c r="A166" s="3" t="s">
        <v>90</v>
      </c>
      <c r="B166" s="3" t="s">
        <v>450</v>
      </c>
      <c r="C166" s="3">
        <v>3942</v>
      </c>
      <c r="D166" s="3">
        <v>6000613</v>
      </c>
      <c r="E166" s="3"/>
      <c r="F166" s="3" t="s">
        <v>92</v>
      </c>
      <c r="G166" s="3" t="s">
        <v>93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430</v>
      </c>
      <c r="S166" s="3" t="s">
        <v>451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 t="s">
        <v>150</v>
      </c>
      <c r="AB166" s="3"/>
      <c r="AC166" s="3">
        <v>1513157</v>
      </c>
      <c r="AD166" s="3">
        <v>8006.1216899999999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/>
      <c r="AP166" s="3" t="s">
        <v>98</v>
      </c>
      <c r="AQ166" s="3">
        <v>210368344</v>
      </c>
      <c r="AR166" s="3" t="s">
        <v>99</v>
      </c>
      <c r="AS166" s="3" t="s">
        <v>100</v>
      </c>
      <c r="AT166" s="3">
        <v>0</v>
      </c>
      <c r="AU166" s="3">
        <v>0</v>
      </c>
      <c r="AV166" s="3">
        <v>0</v>
      </c>
      <c r="AW166" s="3">
        <v>30024201</v>
      </c>
      <c r="AX166" s="3">
        <v>99</v>
      </c>
      <c r="AY166" s="3">
        <v>189</v>
      </c>
      <c r="AZ166" s="3">
        <v>189</v>
      </c>
      <c r="BA166" s="3" t="s">
        <v>121</v>
      </c>
      <c r="BB166" s="3"/>
      <c r="BC166" s="3" t="s">
        <v>105</v>
      </c>
      <c r="BD166" s="3" t="s">
        <v>105</v>
      </c>
      <c r="BE166" s="3"/>
      <c r="BF166" s="3"/>
      <c r="BG166" s="5"/>
      <c r="BH166" s="3"/>
      <c r="BI166" s="3"/>
      <c r="BJ166" s="3"/>
      <c r="BK166" s="3" t="s">
        <v>452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 t="s">
        <v>192</v>
      </c>
      <c r="CF166" s="3">
        <v>0</v>
      </c>
      <c r="CG166" s="3">
        <v>0</v>
      </c>
      <c r="CH166" s="3">
        <v>0</v>
      </c>
      <c r="CI166" s="3" t="s">
        <v>112</v>
      </c>
      <c r="CJ166" s="3" t="s">
        <v>112</v>
      </c>
      <c r="CK166" s="3">
        <f>_xlfn.XLOOKUP($B$2,'BASE DE EXCEL'!C:C,'BASE DE EXCEL'!D:D,"NO HAY REFERENCIA")</f>
        <v>470</v>
      </c>
      <c r="CL166" s="5">
        <f>_xlfn.XLOOKUP($B$2,'BASE DE EXCEL'!$C:$C,'BASE DE EXCEL'!F:F,"NO HAY REFERENCIA")</f>
        <v>3</v>
      </c>
      <c r="CM166" s="4">
        <f>_xlfn.XLOOKUP($B$2,'BASE DE EXCEL'!$C:$C,'BASE DE EXCEL'!G:G,"NO HAY REFERENCIA")</f>
        <v>46080</v>
      </c>
      <c r="CN166" s="4">
        <f>_xlfn.XLOOKUP($B$2,'BASE DE EXCEL'!$C:$C,'BASE DE EXCEL'!H:H,"NO HAY REFERENCIA")</f>
        <v>46086</v>
      </c>
      <c r="CO166" s="3">
        <f>_xlfn.XLOOKUP($B$2,'BASE DE EXCEL'!$C:$C,'BASE DE EXCEL'!I:I,"NO HAY REFERENCIA")</f>
        <v>4</v>
      </c>
      <c r="CP166" s="3" t="str">
        <f>_xlfn.XLOOKUP($B$2,'BASE DE EXCEL'!$C:$C,'BASE DE EXCEL'!J:J,"NO HAY REFERENCIA")</f>
        <v>4 a 5 días</v>
      </c>
      <c r="CQ166" s="4">
        <f>_xlfn.XLOOKUP($B$2,'BASE DE EXCEL'!$C:$C,'BASE DE EXCEL'!K:K,"NO HAY REFERENCIA")</f>
        <v>46087</v>
      </c>
      <c r="CR166" s="3">
        <f>_xlfn.XLOOKUP($B$2,'BASE DE EXCEL'!$C:$C,'BASE DE EXCEL'!L:L,"NO HAY REFERENCIA")</f>
        <v>5</v>
      </c>
      <c r="CS166" s="3">
        <f>_xlfn.XLOOKUP($B$2,'BASE DE EXCEL'!$C:$C,'BASE DE EXCEL'!M:M,"NO HAY REFERENCIA")</f>
        <v>6</v>
      </c>
      <c r="CT166" s="3" t="str">
        <f>_xlfn.XLOOKUP($B$2,'BASE DE EXCEL'!$C:$C,'BASE DE EXCEL'!N:N,"NO HAY REFERENCIA")</f>
        <v>6 a 10 días</v>
      </c>
      <c r="CU166" s="3" t="str">
        <f>_xlfn.XLOOKUP($B$2,'BASE DE EXCEL'!$C:$C,'BASE DE EXCEL'!O:O,"NO HAY REFERENCIA")</f>
        <v>On Time</v>
      </c>
      <c r="CV166" s="3" t="str">
        <f>_xlfn.XLOOKUP(B166,'BASE DE EXCEL'!$C:$C,'BASE DE EXCEL'!P:P,"NO HAY REFERENCIA")</f>
        <v>6 a 10 días</v>
      </c>
      <c r="CW166" s="4">
        <f>_xlfn.XLOOKUP(B166,'BASE DE EXCEL'!$C:$C,'BASE DE EXCEL'!Q:Q,"NO HAY REFERENCIA")</f>
        <v>46140</v>
      </c>
      <c r="CX166" s="3">
        <f>_xlfn.XLOOKUP(B166,'BASE DE EXCEL'!$C:$C,'BASE DE EXCEL'!R:R,"NO HAY REFERENCIA")</f>
        <v>6</v>
      </c>
      <c r="CY166" s="3" t="str">
        <f>_xlfn.XLOOKUP(B166,'BASE DE EXCEL'!$C:$C,'BASE DE EXCEL'!S:S,"NO HAY REFERENCIA")</f>
        <v>6 a 10 días</v>
      </c>
      <c r="CZ166" s="3" t="str">
        <f>_xlfn.XLOOKUP(B166,'BASE DE EXCEL'!$C:$C,'BASE DE EXCEL'!T:T,"NO HAY REFERENCIA")</f>
        <v>On Time</v>
      </c>
      <c r="DA166" s="3">
        <f>_xlfn.XLOOKUP(B166,'BASE DE EXCEL'!$C:$C,'BASE DE EXCEL'!U:U,"NO HAY REFERENCIA")</f>
        <v>7</v>
      </c>
      <c r="DB166" s="3" t="str">
        <f>_xlfn.XLOOKUP(B166,'BASE DE EXCEL'!$C:$C,'BASE DE EXCEL'!V:V,"NO HAY REFERENCIA")</f>
        <v>4 a 5 días</v>
      </c>
      <c r="DC166" s="3">
        <f>_xlfn.XLOOKUP(B166,'BASE DE EXCEL'!$C:$C,'BASE DE EXCEL'!W:W,"NO HAY REFERENCIA")</f>
        <v>14</v>
      </c>
      <c r="DD166" s="3" t="str">
        <f>_xlfn.XLOOKUP(B166,'BASE DE EXCEL'!$C:$C,'BASE DE EXCEL'!X:X,"NO HAY REFERENCIA")</f>
        <v>11 a 15 días</v>
      </c>
      <c r="DE166" s="3">
        <f>_xlfn.XLOOKUP(B166,'BASE DE EXCEL'!$C:$C,'BASE DE EXCEL'!Y:Y,"NO HAY REFERENCIA")</f>
        <v>0</v>
      </c>
      <c r="DF166" s="3" t="str">
        <f>_xlfn.XLOOKUP(B166,'BASE DE EXCEL'!$C:$C,'BASE DE EXCEL'!Z:Z,"NO HAY REFERENCIA")</f>
        <v>1 día o menos</v>
      </c>
      <c r="DG166" s="3">
        <f>_xlfn.XLOOKUP(B166,'BASE DE EXCEL'!$C:$C,'BASE DE EXCEL'!AA:AA,"NO HAY REFERENCIA")</f>
        <v>6</v>
      </c>
      <c r="DH166" s="3">
        <f>_xlfn.XLOOKUP(B166,'BASE DE EXCEL'!$C:$C,'BASE DE EXCEL'!AB:AB,"NO HAY REFERENCIA")</f>
        <v>1</v>
      </c>
      <c r="DI166" s="3" t="str">
        <f>_xlfn.XLOOKUP(B166,'BASE DE EXCEL'!$C:$C,'BASE DE EXCEL'!AC:AC,"NO HAY REFERENCIA")</f>
        <v>1 día o menos</v>
      </c>
      <c r="DJ166" s="4">
        <f>_xlfn.XLOOKUP(B166,'BASE DE EXCEL'!$C:$C,'BASE DE EXCEL'!AD:AD,"NO HAY REFERENCIA")</f>
        <v>46153</v>
      </c>
      <c r="DK166" s="3">
        <f>_xlfn.XLOOKUP(B166,'BASE DE EXCEL'!$C:$C,'BASE DE EXCEL'!AE:AE,"NO HAY REFERENCIA")</f>
        <v>13</v>
      </c>
      <c r="DL166" s="3">
        <f>_xlfn.XLOOKUP(B166,'BASE DE EXCEL'!$C:$C,'BASE DE EXCEL'!AF:AF,"NO HAY REFERENCIA")</f>
        <v>9</v>
      </c>
      <c r="DM166" s="4">
        <f>_xlfn.XLOOKUP(B166,'BASE DE EXCEL'!$C:$C,'BASE DE EXCEL'!AG:AG,"NO HAY REFERENCIA")</f>
        <v>46153</v>
      </c>
      <c r="DN166" s="4">
        <f>_xlfn.XLOOKUP(B166,'BASE DE EXCEL'!$C:$C,'BASE DE EXCEL'!AH:AH,"NO HAY REFERENCIA")</f>
        <v>46153</v>
      </c>
      <c r="DO166" s="3">
        <f>_xlfn.XLOOKUP(B166,'BASE DE EXCEL'!$C:$C,'BASE DE EXCEL'!AI:AI,"NO HAY REFERENCIA")</f>
        <v>0</v>
      </c>
      <c r="DP166" s="4" t="str">
        <f>_xlfn.XLOOKUP(B166,'BASE DE EXCEL'!$C:$C,'BASE DE EXCEL'!AJ:AJ,"NO HAY REFERENCIA")</f>
        <v>11 a 15 días</v>
      </c>
      <c r="DQ166" s="4">
        <f>_xlfn.XLOOKUP(B166,'BASE DE EXCEL'!$C:$C,'BASE DE EXCEL'!AK:AK,"NO HAY REFERENCIA")</f>
        <v>46153</v>
      </c>
      <c r="DR166" s="3">
        <f>_xlfn.XLOOKUP(B166,'BASE DE EXCEL'!$C:$C,'BASE DE EXCEL'!AL:AL,"NO HAY REFERENCIA")</f>
        <v>9</v>
      </c>
      <c r="DS166" s="3" t="str">
        <f>_xlfn.XLOOKUP(B166,'BASE DE EXCEL'!$C:$C,'BASE DE EXCEL'!AM:AM,"NO HAY REFERENCIA")</f>
        <v>6 a 10 días</v>
      </c>
      <c r="DT166" s="3" t="str">
        <f>_xlfn.XLOOKUP(B166,'BASE DE EXCEL'!$C:$C,'BASE DE EXCEL'!AN:AN,"NO HAY REFERENCIA")</f>
        <v>Delayed</v>
      </c>
      <c r="DU166" s="3">
        <f>_xlfn.XLOOKUP(B166,'BASE DE EXCEL'!$C:$C,'BASE DE EXCEL'!AO:AO,"NO HAY REFERENCIA")</f>
        <v>1</v>
      </c>
      <c r="DV166" s="3" t="str">
        <f>_xlfn.XLOOKUP(B166,'BASE DE EXCEL'!$C:$C,'BASE DE EXCEL'!AP:AP,"NO HAY REFERENCIA")</f>
        <v>Es anterior</v>
      </c>
      <c r="DW166" s="3" t="str">
        <f>_xlfn.XLOOKUP(B166,'BASE DE EXCEL'!$C:$C,'BASE DE EXCEL'!AQ:AQ,"NO HAY REFERENCIA")</f>
        <v>A1</v>
      </c>
      <c r="DX166" s="3" t="str">
        <f>_xlfn.XLOOKUP(B166,'BASE DE EXCEL'!$C:$C,'BASE DE EXCEL'!AR:AR,"NO HAY REFERENCIA")</f>
        <v>ZULEIMA PEREZ RUIZ</v>
      </c>
      <c r="DY166" s="3" t="str">
        <f>_xlfn.XLOOKUP(B166,'BASE DE EXCEL'!$C:$C,'BASE DE EXCEL'!AS:AS,"NO HAY REFERENCIA")</f>
        <v>HLCURTM260353888</v>
      </c>
      <c r="DZ166" s="3" t="str">
        <f>_xlfn.XLOOKUP(B166,'BASE DE EXCEL'!$C:$C,'BASE DE EXCEL'!AT:AT,"NO HAY REFERENCIA")</f>
        <v>NULL</v>
      </c>
      <c r="EA166" s="3">
        <f>_xlfn.XLOOKUP(B166,'BASE DE EXCEL'!$C:$C,'BASE DE EXCEL'!AU:AU,"NO HAY REFERENCIA")</f>
        <v>6000613</v>
      </c>
      <c r="EB166" s="3" t="str">
        <f>_xlfn.XLOOKUP(B166,'BASE DE EXCEL'!$C:$C,'BASE DE EXCEL'!AV:AV,"NO HAY REFERENCIA")</f>
        <v>Importación</v>
      </c>
      <c r="EC166" s="3" t="str">
        <f>_xlfn.XLOOKUP(B166,'BASE DE EXCEL'!$C:$C,'BASE DE EXCEL'!AW:AW,"NO HAY REFERENCIA")</f>
        <v>PORCILIS PCV M HYO (VACUNA DE USO VETERINARIO)</v>
      </c>
      <c r="ED166" s="3" t="str">
        <f>_xlfn.XLOOKUP(B166,'BASE DE EXCEL'!$C:$C,'BASE DE EXCEL'!AX:AX,"NO HAY REFERENCIA")</f>
        <v>SIN CLASIFICACION</v>
      </c>
      <c r="EE166" s="3">
        <f>_xlfn.XLOOKUP(B166,'BASE DE EXCEL'!$C:$C,'BASE DE EXCEL'!AY:AY,"NO HAY REFERENCIA")</f>
        <v>0</v>
      </c>
      <c r="EF166" s="3" t="str">
        <f>_xlfn.XLOOKUP(B166,'BASE DE EXCEL'!$C:$C,'BASE DE EXCEL'!AZ:AZ,"NO HAY REFERENCIA")</f>
        <v>Cargas de Importación</v>
      </c>
      <c r="EG166" s="3" t="str">
        <f>_xlfn.XLOOKUP(B166,'BASE DE EXCEL'!$C:$C,'BASE DE EXCEL'!BA:BA,"NO HAY REFERENCIA")</f>
        <v>INTERVET MEXICO SA DE CV</v>
      </c>
      <c r="EH166" s="3">
        <f>_xlfn.XLOOKUP(B166,'BASE DE EXCEL'!$C:$C,'BASE DE EXCEL'!BB:BB,"NO HAY REFERENCIA")</f>
        <v>0</v>
      </c>
      <c r="EI166" s="3" t="str">
        <f>_xlfn.XLOOKUP(B166,'BASE DE EXCEL'!$C:$C,'BASE DE EXCEL'!BC:BC,"NO HAY REFERENCIA")</f>
        <v>NINGUNO</v>
      </c>
      <c r="EJ166" s="3">
        <f>_xlfn.XLOOKUP(B166,'BASE DE EXCEL'!$C:$C,'BASE DE EXCEL'!BD:BD,"NO HAY REFERENCIA")</f>
        <v>0</v>
      </c>
      <c r="EK166" s="3" t="str">
        <f>_xlfn.XLOOKUP(B166,'BASE DE EXCEL'!$C:$C,'BASE DE EXCEL'!BE:BE,"NO HAY REFERENCIA")</f>
        <v>NINGUNO</v>
      </c>
      <c r="EL166" s="3" t="str">
        <f>_xlfn.XLOOKUP(B166,'BASE DE EXCEL'!$C:$C,'BASE DE EXCEL'!BF:BF,"NO HAY REFERENCIA")</f>
        <v>PRODUCTO TERMINADO</v>
      </c>
      <c r="EM166" s="3" t="str">
        <f>_xlfn.XLOOKUP(B166,'BASE DE EXCEL'!$C:$C,'BASE DE EXCEL'!BG:BG,"NO HAY REFERENCIA")</f>
        <v>Verde</v>
      </c>
      <c r="EN166" s="3" t="str">
        <f>_xlfn.XLOOKUP(B166,'BASE DE EXCEL'!$C:$C,'BASE DE EXCEL'!BH:BH,"NO HAY REFERENCIA")</f>
        <v xml:space="preserve"> SUPER EXPRESS DE CARGA FEDERAL S.A. DE C.V.</v>
      </c>
      <c r="EO166" s="3">
        <f>_xlfn.XLOOKUP(B166,'BASE DE EXCEL'!$C:$C,'BASE DE EXCEL'!BI:BI,"NO HAY REFERENCIA")</f>
        <v>0</v>
      </c>
      <c r="EP166" s="3" t="str">
        <f>_xlfn.XLOOKUP(B166,'BASE DE EXCEL'!$C:$C,'BASE DE EXCEL'!BJ:BJ,"NO HAY REFERENCIA")</f>
        <v>IME-T006</v>
      </c>
      <c r="EQ166" s="3" t="str">
        <f>_xlfn.XLOOKUP(B166,'BASE DE EXCEL'!$C:$C,'BASE DE EXCEL'!BK:BK,"NO HAY REFERENCIA")</f>
        <v>IME850329RH2</v>
      </c>
      <c r="ER166" s="3">
        <f>_xlfn.XLOOKUP(B166,'BASE DE EXCEL'!$C:$C,'BASE DE EXCEL'!BL:BL,"NO HAY REFERENCIA")</f>
        <v>0</v>
      </c>
      <c r="ES166" s="3">
        <f>_xlfn.XLOOKUP(B166,'BASE DE EXCEL'!$C:$C,'BASE DE EXCEL'!BM:BM,"NO HAY REFERENCIA")</f>
        <v>99</v>
      </c>
      <c r="ET166" s="3" t="str">
        <f>_xlfn.XLOOKUP(B166,'BASE DE EXCEL'!$C:$C,'BASE DE EXCEL'!BN:BN,"NO HAY REFERENCIA")</f>
        <v>LOTE: J654A03,LOTE: J853A01,LOTE: A495A01,LOTE: A494A01,LOTE: 1E076A02,LOTE: A854D01,LOTE: A061A05,LOTE: A463A02,LOTE: A548A01,LOTE: A270B01</v>
      </c>
      <c r="EU166" s="3">
        <f>_xlfn.XLOOKUP(B166,'BASE DE EXCEL'!$C:$C,'BASE DE EXCEL'!BO:BO,"NO HAY REFERENCIA")</f>
        <v>90</v>
      </c>
      <c r="EV166" s="3" t="str">
        <f>_xlfn.XLOOKUP(B166,'BASE DE EXCEL'!$C:$C,'BASE DE EXCEL'!BP:BP,"NO HAY REFERENCIA")</f>
        <v xml:space="preserve"> 1513156.68, 2401836.00, 1768988.52, 1254448.52, 13288734.10, 2977644.74</v>
      </c>
      <c r="EW166" s="3" t="str">
        <f>_xlfn.XLOOKUP(B166,'BASE DE EXCEL'!$C:$C,'BASE DE EXCEL'!BQ:BQ,"NO HAY REFERENCIA")</f>
        <v>KILO,KILO,KILO,KILO,KILO,KILO,KILO,KILO,KILO,KILO</v>
      </c>
      <c r="EX166" s="3">
        <f>_xlfn.XLOOKUP(B166,'BASE DE EXCEL'!$C:$C,'BASE DE EXCEL'!BR:BR,"NO HAY REFERENCIA")</f>
        <v>0</v>
      </c>
      <c r="EY166" s="3" t="str">
        <f>_xlfn.XLOOKUP(B166,'BASE DE EXCEL'!$C:$C,'BASE DE EXCEL'!BS:BS,"NO HAY REFERENCIA")</f>
        <v>PAISES BAJOS (REINO DE LOS) (HOLANDA)</v>
      </c>
      <c r="EZ166" s="3" t="str">
        <f>_xlfn.XLOOKUP(B166,'BASE DE EXCEL'!$C:$C,'BASE DE EXCEL'!BT:BT,"NO HAY REFERENCIA")</f>
        <v>PAISES BAJOS (REINO DE LOS) (HOLANDA)</v>
      </c>
      <c r="FA166" s="3" t="str">
        <f>_xlfn.XLOOKUP(B166,'BASE DE EXCEL'!$C:$C,'BASE DE EXCEL'!BU:BU,"NO HAY REFERENCIA")</f>
        <v>ZYA</v>
      </c>
      <c r="FB166" s="3" t="str">
        <f>_xlfn.XLOOKUP(B166,'BASE DE EXCEL'!$C:$C,'BASE DE EXCEL'!BV:BV,"NO HAY REFERENCIA")</f>
        <v>ZYA</v>
      </c>
      <c r="FC166" s="3">
        <f>_xlfn.XLOOKUP(B166,QUERY!$C:$C,QUERY!D:D)</f>
        <v>430</v>
      </c>
      <c r="FD166" s="4">
        <f>_xlfn.XLOOKUP(B166,QUERY!$C:$C,QUERY!E:E)</f>
        <v>46139</v>
      </c>
      <c r="FE166" s="3">
        <f>_xlfn.XLOOKUP(B166,QUERY!$C:$C,QUERY!F:F)</f>
        <v>4</v>
      </c>
      <c r="FF166" s="4">
        <f>_xlfn.XLOOKUP(B166,QUERY!$C:$C,QUERY!G:G)</f>
        <v>46133</v>
      </c>
      <c r="FG166" s="4">
        <f>_xlfn.XLOOKUP(B166,QUERY!$C:$C,QUERY!H:H)</f>
        <v>46139</v>
      </c>
      <c r="FH166" s="3">
        <f>_xlfn.XLOOKUP(B166,QUERY!$C:$C,QUERY!I:I)</f>
        <v>4</v>
      </c>
      <c r="FI166" s="3" t="str">
        <f>_xlfn.XLOOKUP(B166,QUERY!$C:$C,QUERY!J:J)</f>
        <v>4 a 5 días</v>
      </c>
      <c r="FJ166" s="4">
        <f>_xlfn.XLOOKUP(B166,QUERY!$C:$C,QUERY!K:K)</f>
        <v>46139</v>
      </c>
      <c r="FK166" s="3">
        <f>_xlfn.XLOOKUP(B166,QUERY!$C:$C,QUERY!L:L)</f>
        <v>4</v>
      </c>
      <c r="FL166" s="3" t="str">
        <f>_xlfn.XLOOKUP(B166,QUERY!$C:$C,QUERY!M:M)</f>
        <v>4 a 5 días</v>
      </c>
      <c r="FM166" s="3">
        <f>_xlfn.XLOOKUP(B166,QUERY!$C:$C,QUERY!N:N)</f>
        <v>0</v>
      </c>
      <c r="FN166" s="3" t="str">
        <f>_xlfn.XLOOKUP(B166,QUERY!$C:$C,QUERY!O:O)</f>
        <v>1 día o menos</v>
      </c>
      <c r="FO166" s="3">
        <f>_xlfn.XLOOKUP(B166,QUERY!$C:$C,QUERY!P:P)</f>
        <v>0</v>
      </c>
      <c r="FP166" s="3">
        <f>_xlfn.XLOOKUP(B166,QUERY!$C:$C,QUERY!Q:Q)</f>
        <v>1</v>
      </c>
      <c r="FQ166" s="3" t="str">
        <f>_xlfn.XLOOKUP(B166,QUERY!$C:$C,QUERY!R:R)</f>
        <v>1 día o menos</v>
      </c>
      <c r="FR166" s="4">
        <f>_xlfn.XLOOKUP(B166,QUERY!$C:$C,QUERY!S:S)</f>
        <v>46140</v>
      </c>
      <c r="FS166" s="3">
        <f>_xlfn.XLOOKUP(B166,QUERY!$C:$C,QUERY!T:T)</f>
        <v>5</v>
      </c>
      <c r="FT166" s="3" t="str">
        <f>_xlfn.XLOOKUP(B166,QUERY!$C:$C,QUERY!U:U)</f>
        <v>4 a 5 días</v>
      </c>
      <c r="FU166" s="3">
        <f>_xlfn.XLOOKUP(B166,QUERY!$C:$C,QUERY!V:V)</f>
        <v>14</v>
      </c>
      <c r="FV166" s="3" t="str">
        <f>_xlfn.XLOOKUP(B166,QUERY!$C:$C,QUERY!W:W)</f>
        <v>11 a 15 días</v>
      </c>
      <c r="FW166" s="4">
        <f>_xlfn.XLOOKUP(B166,QUERY!$C:$C,QUERY!X:X)</f>
        <v>46153</v>
      </c>
      <c r="FX166" s="3">
        <f>_xlfn.XLOOKUP(B166,QUERY!$C:$C,QUERY!Y:Y)</f>
        <v>9</v>
      </c>
      <c r="FY166" s="3">
        <f>_xlfn.XLOOKUP(B166,QUERY!$C:$C,QUERY!Z:Z)</f>
        <v>9</v>
      </c>
      <c r="FZ166" s="4" t="str">
        <f>_xlfn.XLOOKUP(B166,QUERY!$C:$C,QUERY!AA:AA)</f>
        <v>11 a 15 días</v>
      </c>
      <c r="GA166" s="4">
        <f>_xlfn.XLOOKUP(B166,QUERY!$C:$C,QUERY!AB:AB)</f>
        <v>46153</v>
      </c>
      <c r="GB166" s="4">
        <f>_xlfn.XLOOKUP(B166,QUERY!$C:$C,QUERY!AC:AC)</f>
        <v>46153</v>
      </c>
      <c r="GC166" s="3">
        <f>_xlfn.XLOOKUP(B166,QUERY!$C:$C,QUERY!AD:AD)</f>
        <v>0</v>
      </c>
      <c r="GD166" s="4">
        <f>_xlfn.XLOOKUP(B166,QUERY!$C:$C,QUERY!AE:AE)</f>
        <v>46153</v>
      </c>
      <c r="GE166" s="3">
        <f>_xlfn.XLOOKUP(B166,QUERY!$C:$C,QUERY!AF:AF)</f>
        <v>1</v>
      </c>
      <c r="GF166" s="4" t="str">
        <f>_xlfn.XLOOKUP(B166,QUERY!$C:$C,QUERY!AG:AG)</f>
        <v>Es anterior</v>
      </c>
      <c r="GG166" s="3" t="str">
        <f>_xlfn.XLOOKUP(B166,QUERY!$C:$C,QUERY!AH:AH)</f>
        <v>A1</v>
      </c>
      <c r="GH166" s="3" t="str">
        <f>_xlfn.XLOOKUP(B166,QUERY!$C:$C,QUERY!AI:AI)</f>
        <v>ZULEIMA PEREZ RUIZ</v>
      </c>
      <c r="GI166" s="3" t="str">
        <f>_xlfn.XLOOKUP(B166,QUERY!$C:$C,QUERY!AJ:AJ)</f>
        <v>HLCURTM260353888</v>
      </c>
      <c r="GJ166" s="3" t="str">
        <f>_xlfn.XLOOKUP(B166,QUERY!$C:$C,QUERY!AK:AK)</f>
        <v>NULL</v>
      </c>
      <c r="GK166" s="3">
        <f>_xlfn.XLOOKUP(B166,QUERY!$C:$C,QUERY!AL:AL)</f>
        <v>6000613</v>
      </c>
      <c r="GL166" s="3" t="str">
        <f>_xlfn.XLOOKUP(B166,QUERY!$C:$C,QUERY!AM:AM)</f>
        <v>Importación</v>
      </c>
      <c r="GM166" s="3" t="str">
        <f>_xlfn.XLOOKUP(B166,QUERY!$C:$C,QUERY!AN:AN)</f>
        <v>PORCILIS PCV M HYO (VACUNA DE USO VETERINARIO)</v>
      </c>
      <c r="GN166" s="3" t="str">
        <f>_xlfn.XLOOKUP(B166,QUERY!$C:$C,QUERY!AO:AO)</f>
        <v>SIN CLASIFICACION</v>
      </c>
      <c r="GO166" s="3">
        <f>_xlfn.XLOOKUP(B166,QUERY!$C:$C,QUERY!AP:AP)</f>
        <v>0</v>
      </c>
      <c r="GP166" s="3" t="str">
        <f>_xlfn.XLOOKUP(B166,QUERY!$C:$C,QUERY!AQ:AQ)</f>
        <v>Cargas de Importación</v>
      </c>
      <c r="GQ166" s="3" t="str">
        <f>_xlfn.XLOOKUP(B166,QUERY!$C:$C,QUERY!AR:AR)</f>
        <v>INTERVET MEXICO SA DE CV</v>
      </c>
      <c r="GR166" s="3">
        <f>_xlfn.XLOOKUP(B166,QUERY!$C:$C,QUERY!AS:AS)</f>
        <v>0</v>
      </c>
      <c r="GS166" s="3" t="str">
        <f>_xlfn.XLOOKUP(B166,QUERY!$C:$C,QUERY!AT:AT)</f>
        <v>NINGUNO</v>
      </c>
      <c r="GT166" s="3">
        <f>_xlfn.XLOOKUP(B166,QUERY!$C:$C,QUERY!AU:AU)</f>
        <v>0</v>
      </c>
      <c r="GU166" s="3" t="str">
        <f>_xlfn.XLOOKUP(B166,QUERY!$C:$C,QUERY!AV:AV)</f>
        <v>NINGUNO</v>
      </c>
      <c r="GV166" s="3" t="str">
        <f>_xlfn.XLOOKUP(B166,QUERY!$C:$C,QUERY!AW:AW)</f>
        <v>PRODUCTO TERMINADO</v>
      </c>
      <c r="GW166" s="3" t="str">
        <f>_xlfn.XLOOKUP(B166,QUERY!$C:$C,QUERY!AX:AX)</f>
        <v>Verde</v>
      </c>
      <c r="GX166" s="3" t="str">
        <f>_xlfn.XLOOKUP(B166,QUERY!$C:$C,QUERY!AY:AY)</f>
        <v xml:space="preserve"> SUPER EXPRESS DE CARGA FEDERAL S.A. DE C.V.</v>
      </c>
      <c r="GY166" s="3">
        <f>_xlfn.XLOOKUP(B166,QUERY!$C:$C,QUERY!AZ:AZ)</f>
        <v>0</v>
      </c>
      <c r="GZ166" s="3" t="str">
        <f>_xlfn.XLOOKUP(B166,QUERY!$C:$C,QUERY!BA:BA)</f>
        <v>IME-T006</v>
      </c>
      <c r="HA166" s="3" t="str">
        <f>_xlfn.XLOOKUP(B166,QUERY!$C:$C,QUERY!BB:BB)</f>
        <v>IME850329RH2</v>
      </c>
      <c r="HB166" s="3">
        <f>_xlfn.XLOOKUP(B166,QUERY!$C:$C,QUERY!BC:BC)</f>
        <v>0</v>
      </c>
      <c r="HC166" s="3">
        <f>_xlfn.XLOOKUP(B166,QUERY!$C:$C,QUERY!BD:BD)</f>
        <v>99</v>
      </c>
      <c r="HD166" s="3" t="str">
        <f>_xlfn.XLOOKUP(B166,QUERY!$C:$C,QUERY!BE:BE)</f>
        <v>LOTE: J654A03,LOTE: J853A01,LOTE: A495A01,LOTE: A494A01,LOTE: 1E076A02,LOTE: A854D01,LOTE: A061A05,LOTE: A463A02,LOTE: A548A01,LOTE: A270B01</v>
      </c>
      <c r="HE166" s="3">
        <f>_xlfn.XLOOKUP(B166,QUERY!$C:$C,QUERY!BF:BF)</f>
        <v>90</v>
      </c>
      <c r="HF166" s="3" t="str">
        <f>_xlfn.XLOOKUP(B166,QUERY!$C:$C,QUERY!BG:BG)</f>
        <v xml:space="preserve"> 1513156.68, 2401836.00, 1768988.52, 1254448.52, 13288734.10, 2977644.74</v>
      </c>
      <c r="HG166" s="3" t="str">
        <f>_xlfn.XLOOKUP(B166,QUERY!$C:$C,QUERY!BH:BH)</f>
        <v>KILO,KILO,KILO,KILO,KILO,KILO,KILO,KILO,KILO,KILO</v>
      </c>
      <c r="HH166" s="3">
        <f>_xlfn.XLOOKUP(B166,QUERY!$C:$C,QUERY!BI:BI)</f>
        <v>0</v>
      </c>
      <c r="HI166" s="3" t="str">
        <f>_xlfn.XLOOKUP(B166,QUERY!$C:$C,QUERY!BJ:BJ)</f>
        <v>PAISES BAJOS (REINO DE LOS) (HOLANDA)</v>
      </c>
      <c r="HJ166" s="3" t="str">
        <f>_xlfn.XLOOKUP(B166,QUERY!$C:$C,QUERY!BK:BK)</f>
        <v>PAISES BAJOS (REINO DE LOS) (HOLANDA)</v>
      </c>
      <c r="HK166" s="3" t="str">
        <f>_xlfn.XLOOKUP(B166,QUERY!$C:$C,QUERY!BL:BL)</f>
        <v>ZYA</v>
      </c>
      <c r="HL166" s="3" t="str">
        <f>_xlfn.XLOOKUP(B166,QUERY!$C:$C,QUERY!BM:BM)</f>
        <v>ZYA</v>
      </c>
      <c r="HM166" s="3">
        <f>_xlfn.XLOOKUP(B166,QUERY!$C:$C,QUERY!BN:BN)</f>
        <v>23204810</v>
      </c>
      <c r="HN166" s="3" t="str">
        <f>_xlfn.XLOOKUP(B166,QUERY!$C:$C,QUERY!BO:BO)</f>
        <v>462.00</v>
      </c>
      <c r="HO166" s="3" t="str">
        <f>_xlfn.XLOOKUP(B166,QUERY!$C:$C,QUERY!BP:BP)</f>
        <v>NULL</v>
      </c>
      <c r="HP166" s="3" t="str">
        <f>_xlfn.XLOOKUP(B166,QUERY!$C:$C,QUERY!BQ:BQ)</f>
        <v>NULL</v>
      </c>
      <c r="HQ166" s="3" t="str">
        <f>_xlfn.XLOOKUP(B166,QUERY!$C:$C,QUERY!BR:BR)</f>
        <v>189833.75</v>
      </c>
      <c r="HR166" s="3">
        <f>_xlfn.XLOOKUP(B166,QUERY!$C:$C,QUERY!BS:BS)</f>
        <v>0</v>
      </c>
      <c r="HS166" s="3">
        <f>_xlfn.XLOOKUP(B166,QUERY!$C:$C,QUERY!BT:BT)</f>
        <v>0</v>
      </c>
      <c r="HT166" s="3" t="str">
        <f>_xlfn.XLOOKUP(B166,QUERY!$C:$C,QUERY!A:A)</f>
        <v>VERACRUZ</v>
      </c>
      <c r="HU166" s="3" t="str">
        <f>_xlfn.XLOOKUP(B166,QUERY!$C:$C,QUERY!B:B)</f>
        <v>MARÍTIMO VERACRUZ</v>
      </c>
    </row>
    <row r="167" spans="1:229" x14ac:dyDescent="0.25">
      <c r="A167" s="3" t="s">
        <v>90</v>
      </c>
      <c r="B167" s="3" t="s">
        <v>450</v>
      </c>
      <c r="C167" s="3">
        <v>3942</v>
      </c>
      <c r="D167" s="3">
        <v>6000613</v>
      </c>
      <c r="E167" s="3"/>
      <c r="F167" s="3" t="s">
        <v>92</v>
      </c>
      <c r="G167" s="3" t="s">
        <v>93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430</v>
      </c>
      <c r="S167" s="3" t="s">
        <v>451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 t="s">
        <v>150</v>
      </c>
      <c r="AB167" s="3"/>
      <c r="AC167" s="3">
        <v>2401836</v>
      </c>
      <c r="AD167" s="3">
        <v>8006.12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/>
      <c r="AP167" s="3" t="s">
        <v>98</v>
      </c>
      <c r="AQ167" s="3">
        <v>210370044</v>
      </c>
      <c r="AR167" s="3" t="s">
        <v>99</v>
      </c>
      <c r="AS167" s="3" t="s">
        <v>100</v>
      </c>
      <c r="AT167" s="3">
        <v>0</v>
      </c>
      <c r="AU167" s="3">
        <v>0</v>
      </c>
      <c r="AV167" s="3">
        <v>0</v>
      </c>
      <c r="AW167" s="3">
        <v>30024201</v>
      </c>
      <c r="AX167" s="3">
        <v>99</v>
      </c>
      <c r="AY167" s="3">
        <v>300</v>
      </c>
      <c r="AZ167" s="3">
        <v>300</v>
      </c>
      <c r="BA167" s="3" t="s">
        <v>121</v>
      </c>
      <c r="BB167" s="3"/>
      <c r="BC167" s="3" t="s">
        <v>105</v>
      </c>
      <c r="BD167" s="3" t="s">
        <v>105</v>
      </c>
      <c r="BE167" s="3"/>
      <c r="BF167" s="3"/>
      <c r="BG167" s="5"/>
      <c r="BH167" s="3"/>
      <c r="BI167" s="3"/>
      <c r="BJ167" s="3"/>
      <c r="BK167" s="3" t="s">
        <v>453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 t="s">
        <v>192</v>
      </c>
      <c r="CF167" s="3">
        <v>0</v>
      </c>
      <c r="CG167" s="3">
        <v>0</v>
      </c>
      <c r="CH167" s="3">
        <v>0</v>
      </c>
      <c r="CI167" s="3" t="s">
        <v>112</v>
      </c>
      <c r="CJ167" s="3" t="s">
        <v>112</v>
      </c>
      <c r="CK167" s="3">
        <f>_xlfn.XLOOKUP($B$2,'BASE DE EXCEL'!C:C,'BASE DE EXCEL'!D:D,"NO HAY REFERENCIA")</f>
        <v>470</v>
      </c>
      <c r="CL167" s="5">
        <f>_xlfn.XLOOKUP($B$2,'BASE DE EXCEL'!$C:$C,'BASE DE EXCEL'!F:F,"NO HAY REFERENCIA")</f>
        <v>3</v>
      </c>
      <c r="CM167" s="4">
        <f>_xlfn.XLOOKUP($B$2,'BASE DE EXCEL'!$C:$C,'BASE DE EXCEL'!G:G,"NO HAY REFERENCIA")</f>
        <v>46080</v>
      </c>
      <c r="CN167" s="4">
        <f>_xlfn.XLOOKUP($B$2,'BASE DE EXCEL'!$C:$C,'BASE DE EXCEL'!H:H,"NO HAY REFERENCIA")</f>
        <v>46086</v>
      </c>
      <c r="CO167" s="3">
        <f>_xlfn.XLOOKUP($B$2,'BASE DE EXCEL'!$C:$C,'BASE DE EXCEL'!I:I,"NO HAY REFERENCIA")</f>
        <v>4</v>
      </c>
      <c r="CP167" s="3" t="str">
        <f>_xlfn.XLOOKUP($B$2,'BASE DE EXCEL'!$C:$C,'BASE DE EXCEL'!J:J,"NO HAY REFERENCIA")</f>
        <v>4 a 5 días</v>
      </c>
      <c r="CQ167" s="4">
        <f>_xlfn.XLOOKUP($B$2,'BASE DE EXCEL'!$C:$C,'BASE DE EXCEL'!K:K,"NO HAY REFERENCIA")</f>
        <v>46087</v>
      </c>
      <c r="CR167" s="3">
        <f>_xlfn.XLOOKUP($B$2,'BASE DE EXCEL'!$C:$C,'BASE DE EXCEL'!L:L,"NO HAY REFERENCIA")</f>
        <v>5</v>
      </c>
      <c r="CS167" s="3">
        <f>_xlfn.XLOOKUP($B$2,'BASE DE EXCEL'!$C:$C,'BASE DE EXCEL'!M:M,"NO HAY REFERENCIA")</f>
        <v>6</v>
      </c>
      <c r="CT167" s="3" t="str">
        <f>_xlfn.XLOOKUP($B$2,'BASE DE EXCEL'!$C:$C,'BASE DE EXCEL'!N:N,"NO HAY REFERENCIA")</f>
        <v>6 a 10 días</v>
      </c>
      <c r="CU167" s="3" t="str">
        <f>_xlfn.XLOOKUP($B$2,'BASE DE EXCEL'!$C:$C,'BASE DE EXCEL'!O:O,"NO HAY REFERENCIA")</f>
        <v>On Time</v>
      </c>
      <c r="CV167" s="3" t="str">
        <f>_xlfn.XLOOKUP(B167,'BASE DE EXCEL'!$C:$C,'BASE DE EXCEL'!P:P,"NO HAY REFERENCIA")</f>
        <v>6 a 10 días</v>
      </c>
      <c r="CW167" s="4">
        <f>_xlfn.XLOOKUP(B167,'BASE DE EXCEL'!$C:$C,'BASE DE EXCEL'!Q:Q,"NO HAY REFERENCIA")</f>
        <v>46140</v>
      </c>
      <c r="CX167" s="3">
        <f>_xlfn.XLOOKUP(B167,'BASE DE EXCEL'!$C:$C,'BASE DE EXCEL'!R:R,"NO HAY REFERENCIA")</f>
        <v>6</v>
      </c>
      <c r="CY167" s="3" t="str">
        <f>_xlfn.XLOOKUP(B167,'BASE DE EXCEL'!$C:$C,'BASE DE EXCEL'!S:S,"NO HAY REFERENCIA")</f>
        <v>6 a 10 días</v>
      </c>
      <c r="CZ167" s="3" t="str">
        <f>_xlfn.XLOOKUP(B167,'BASE DE EXCEL'!$C:$C,'BASE DE EXCEL'!T:T,"NO HAY REFERENCIA")</f>
        <v>On Time</v>
      </c>
      <c r="DA167" s="3">
        <f>_xlfn.XLOOKUP(B167,'BASE DE EXCEL'!$C:$C,'BASE DE EXCEL'!U:U,"NO HAY REFERENCIA")</f>
        <v>7</v>
      </c>
      <c r="DB167" s="3" t="str">
        <f>_xlfn.XLOOKUP(B167,'BASE DE EXCEL'!$C:$C,'BASE DE EXCEL'!V:V,"NO HAY REFERENCIA")</f>
        <v>4 a 5 días</v>
      </c>
      <c r="DC167" s="3">
        <f>_xlfn.XLOOKUP(B167,'BASE DE EXCEL'!$C:$C,'BASE DE EXCEL'!W:W,"NO HAY REFERENCIA")</f>
        <v>14</v>
      </c>
      <c r="DD167" s="3" t="str">
        <f>_xlfn.XLOOKUP(B167,'BASE DE EXCEL'!$C:$C,'BASE DE EXCEL'!X:X,"NO HAY REFERENCIA")</f>
        <v>11 a 15 días</v>
      </c>
      <c r="DE167" s="3">
        <f>_xlfn.XLOOKUP(B167,'BASE DE EXCEL'!$C:$C,'BASE DE EXCEL'!Y:Y,"NO HAY REFERENCIA")</f>
        <v>0</v>
      </c>
      <c r="DF167" s="3" t="str">
        <f>_xlfn.XLOOKUP(B167,'BASE DE EXCEL'!$C:$C,'BASE DE EXCEL'!Z:Z,"NO HAY REFERENCIA")</f>
        <v>1 día o menos</v>
      </c>
      <c r="DG167" s="3">
        <f>_xlfn.XLOOKUP(B167,'BASE DE EXCEL'!$C:$C,'BASE DE EXCEL'!AA:AA,"NO HAY REFERENCIA")</f>
        <v>6</v>
      </c>
      <c r="DH167" s="3">
        <f>_xlfn.XLOOKUP(B167,'BASE DE EXCEL'!$C:$C,'BASE DE EXCEL'!AB:AB,"NO HAY REFERENCIA")</f>
        <v>1</v>
      </c>
      <c r="DI167" s="3" t="str">
        <f>_xlfn.XLOOKUP(B167,'BASE DE EXCEL'!$C:$C,'BASE DE EXCEL'!AC:AC,"NO HAY REFERENCIA")</f>
        <v>1 día o menos</v>
      </c>
      <c r="DJ167" s="4">
        <f>_xlfn.XLOOKUP(B167,'BASE DE EXCEL'!$C:$C,'BASE DE EXCEL'!AD:AD,"NO HAY REFERENCIA")</f>
        <v>46153</v>
      </c>
      <c r="DK167" s="3">
        <f>_xlfn.XLOOKUP(B167,'BASE DE EXCEL'!$C:$C,'BASE DE EXCEL'!AE:AE,"NO HAY REFERENCIA")</f>
        <v>13</v>
      </c>
      <c r="DL167" s="3">
        <f>_xlfn.XLOOKUP(B167,'BASE DE EXCEL'!$C:$C,'BASE DE EXCEL'!AF:AF,"NO HAY REFERENCIA")</f>
        <v>9</v>
      </c>
      <c r="DM167" s="4">
        <f>_xlfn.XLOOKUP(B167,'BASE DE EXCEL'!$C:$C,'BASE DE EXCEL'!AG:AG,"NO HAY REFERENCIA")</f>
        <v>46153</v>
      </c>
      <c r="DN167" s="4">
        <f>_xlfn.XLOOKUP(B167,'BASE DE EXCEL'!$C:$C,'BASE DE EXCEL'!AH:AH,"NO HAY REFERENCIA")</f>
        <v>46153</v>
      </c>
      <c r="DO167" s="3">
        <f>_xlfn.XLOOKUP(B167,'BASE DE EXCEL'!$C:$C,'BASE DE EXCEL'!AI:AI,"NO HAY REFERENCIA")</f>
        <v>0</v>
      </c>
      <c r="DP167" s="4" t="str">
        <f>_xlfn.XLOOKUP(B167,'BASE DE EXCEL'!$C:$C,'BASE DE EXCEL'!AJ:AJ,"NO HAY REFERENCIA")</f>
        <v>11 a 15 días</v>
      </c>
      <c r="DQ167" s="4">
        <f>_xlfn.XLOOKUP(B167,'BASE DE EXCEL'!$C:$C,'BASE DE EXCEL'!AK:AK,"NO HAY REFERENCIA")</f>
        <v>46153</v>
      </c>
      <c r="DR167" s="3">
        <f>_xlfn.XLOOKUP(B167,'BASE DE EXCEL'!$C:$C,'BASE DE EXCEL'!AL:AL,"NO HAY REFERENCIA")</f>
        <v>9</v>
      </c>
      <c r="DS167" s="3" t="str">
        <f>_xlfn.XLOOKUP(B167,'BASE DE EXCEL'!$C:$C,'BASE DE EXCEL'!AM:AM,"NO HAY REFERENCIA")</f>
        <v>6 a 10 días</v>
      </c>
      <c r="DT167" s="3" t="str">
        <f>_xlfn.XLOOKUP(B167,'BASE DE EXCEL'!$C:$C,'BASE DE EXCEL'!AN:AN,"NO HAY REFERENCIA")</f>
        <v>Delayed</v>
      </c>
      <c r="DU167" s="3">
        <f>_xlfn.XLOOKUP(B167,'BASE DE EXCEL'!$C:$C,'BASE DE EXCEL'!AO:AO,"NO HAY REFERENCIA")</f>
        <v>1</v>
      </c>
      <c r="DV167" s="3" t="str">
        <f>_xlfn.XLOOKUP(B167,'BASE DE EXCEL'!$C:$C,'BASE DE EXCEL'!AP:AP,"NO HAY REFERENCIA")</f>
        <v>Es anterior</v>
      </c>
      <c r="DW167" s="3" t="str">
        <f>_xlfn.XLOOKUP(B167,'BASE DE EXCEL'!$C:$C,'BASE DE EXCEL'!AQ:AQ,"NO HAY REFERENCIA")</f>
        <v>A1</v>
      </c>
      <c r="DX167" s="3" t="str">
        <f>_xlfn.XLOOKUP(B167,'BASE DE EXCEL'!$C:$C,'BASE DE EXCEL'!AR:AR,"NO HAY REFERENCIA")</f>
        <v>ZULEIMA PEREZ RUIZ</v>
      </c>
      <c r="DY167" s="3" t="str">
        <f>_xlfn.XLOOKUP(B167,'BASE DE EXCEL'!$C:$C,'BASE DE EXCEL'!AS:AS,"NO HAY REFERENCIA")</f>
        <v>HLCURTM260353888</v>
      </c>
      <c r="DZ167" s="3" t="str">
        <f>_xlfn.XLOOKUP(B167,'BASE DE EXCEL'!$C:$C,'BASE DE EXCEL'!AT:AT,"NO HAY REFERENCIA")</f>
        <v>NULL</v>
      </c>
      <c r="EA167" s="3">
        <f>_xlfn.XLOOKUP(B167,'BASE DE EXCEL'!$C:$C,'BASE DE EXCEL'!AU:AU,"NO HAY REFERENCIA")</f>
        <v>6000613</v>
      </c>
      <c r="EB167" s="3" t="str">
        <f>_xlfn.XLOOKUP(B167,'BASE DE EXCEL'!$C:$C,'BASE DE EXCEL'!AV:AV,"NO HAY REFERENCIA")</f>
        <v>Importación</v>
      </c>
      <c r="EC167" s="3" t="str">
        <f>_xlfn.XLOOKUP(B167,'BASE DE EXCEL'!$C:$C,'BASE DE EXCEL'!AW:AW,"NO HAY REFERENCIA")</f>
        <v>PORCILIS PCV M HYO (VACUNA DE USO VETERINARIO)</v>
      </c>
      <c r="ED167" s="3" t="str">
        <f>_xlfn.XLOOKUP(B167,'BASE DE EXCEL'!$C:$C,'BASE DE EXCEL'!AX:AX,"NO HAY REFERENCIA")</f>
        <v>SIN CLASIFICACION</v>
      </c>
      <c r="EE167" s="3">
        <f>_xlfn.XLOOKUP(B167,'BASE DE EXCEL'!$C:$C,'BASE DE EXCEL'!AY:AY,"NO HAY REFERENCIA")</f>
        <v>0</v>
      </c>
      <c r="EF167" s="3" t="str">
        <f>_xlfn.XLOOKUP(B167,'BASE DE EXCEL'!$C:$C,'BASE DE EXCEL'!AZ:AZ,"NO HAY REFERENCIA")</f>
        <v>Cargas de Importación</v>
      </c>
      <c r="EG167" s="3" t="str">
        <f>_xlfn.XLOOKUP(B167,'BASE DE EXCEL'!$C:$C,'BASE DE EXCEL'!BA:BA,"NO HAY REFERENCIA")</f>
        <v>INTERVET MEXICO SA DE CV</v>
      </c>
      <c r="EH167" s="3">
        <f>_xlfn.XLOOKUP(B167,'BASE DE EXCEL'!$C:$C,'BASE DE EXCEL'!BB:BB,"NO HAY REFERENCIA")</f>
        <v>0</v>
      </c>
      <c r="EI167" s="3" t="str">
        <f>_xlfn.XLOOKUP(B167,'BASE DE EXCEL'!$C:$C,'BASE DE EXCEL'!BC:BC,"NO HAY REFERENCIA")</f>
        <v>NINGUNO</v>
      </c>
      <c r="EJ167" s="3">
        <f>_xlfn.XLOOKUP(B167,'BASE DE EXCEL'!$C:$C,'BASE DE EXCEL'!BD:BD,"NO HAY REFERENCIA")</f>
        <v>0</v>
      </c>
      <c r="EK167" s="3" t="str">
        <f>_xlfn.XLOOKUP(B167,'BASE DE EXCEL'!$C:$C,'BASE DE EXCEL'!BE:BE,"NO HAY REFERENCIA")</f>
        <v>NINGUNO</v>
      </c>
      <c r="EL167" s="3" t="str">
        <f>_xlfn.XLOOKUP(B167,'BASE DE EXCEL'!$C:$C,'BASE DE EXCEL'!BF:BF,"NO HAY REFERENCIA")</f>
        <v>PRODUCTO TERMINADO</v>
      </c>
      <c r="EM167" s="3" t="str">
        <f>_xlfn.XLOOKUP(B167,'BASE DE EXCEL'!$C:$C,'BASE DE EXCEL'!BG:BG,"NO HAY REFERENCIA")</f>
        <v>Verde</v>
      </c>
      <c r="EN167" s="3" t="str">
        <f>_xlfn.XLOOKUP(B167,'BASE DE EXCEL'!$C:$C,'BASE DE EXCEL'!BH:BH,"NO HAY REFERENCIA")</f>
        <v xml:space="preserve"> SUPER EXPRESS DE CARGA FEDERAL S.A. DE C.V.</v>
      </c>
      <c r="EO167" s="3">
        <f>_xlfn.XLOOKUP(B167,'BASE DE EXCEL'!$C:$C,'BASE DE EXCEL'!BI:BI,"NO HAY REFERENCIA")</f>
        <v>0</v>
      </c>
      <c r="EP167" s="3" t="str">
        <f>_xlfn.XLOOKUP(B167,'BASE DE EXCEL'!$C:$C,'BASE DE EXCEL'!BJ:BJ,"NO HAY REFERENCIA")</f>
        <v>IME-T006</v>
      </c>
      <c r="EQ167" s="3" t="str">
        <f>_xlfn.XLOOKUP(B167,'BASE DE EXCEL'!$C:$C,'BASE DE EXCEL'!BK:BK,"NO HAY REFERENCIA")</f>
        <v>IME850329RH2</v>
      </c>
      <c r="ER167" s="3">
        <f>_xlfn.XLOOKUP(B167,'BASE DE EXCEL'!$C:$C,'BASE DE EXCEL'!BL:BL,"NO HAY REFERENCIA")</f>
        <v>0</v>
      </c>
      <c r="ES167" s="3">
        <f>_xlfn.XLOOKUP(B167,'BASE DE EXCEL'!$C:$C,'BASE DE EXCEL'!BM:BM,"NO HAY REFERENCIA")</f>
        <v>99</v>
      </c>
      <c r="ET167" s="3" t="str">
        <f>_xlfn.XLOOKUP(B167,'BASE DE EXCEL'!$C:$C,'BASE DE EXCEL'!BN:BN,"NO HAY REFERENCIA")</f>
        <v>LOTE: J654A03,LOTE: J853A01,LOTE: A495A01,LOTE: A494A01,LOTE: 1E076A02,LOTE: A854D01,LOTE: A061A05,LOTE: A463A02,LOTE: A548A01,LOTE: A270B01</v>
      </c>
      <c r="EU167" s="3">
        <f>_xlfn.XLOOKUP(B167,'BASE DE EXCEL'!$C:$C,'BASE DE EXCEL'!BO:BO,"NO HAY REFERENCIA")</f>
        <v>90</v>
      </c>
      <c r="EV167" s="3" t="str">
        <f>_xlfn.XLOOKUP(B167,'BASE DE EXCEL'!$C:$C,'BASE DE EXCEL'!BP:BP,"NO HAY REFERENCIA")</f>
        <v xml:space="preserve"> 1513156.68, 2401836.00, 1768988.52, 1254448.52, 13288734.10, 2977644.74</v>
      </c>
      <c r="EW167" s="3" t="str">
        <f>_xlfn.XLOOKUP(B167,'BASE DE EXCEL'!$C:$C,'BASE DE EXCEL'!BQ:BQ,"NO HAY REFERENCIA")</f>
        <v>KILO,KILO,KILO,KILO,KILO,KILO,KILO,KILO,KILO,KILO</v>
      </c>
      <c r="EX167" s="3">
        <f>_xlfn.XLOOKUP(B167,'BASE DE EXCEL'!$C:$C,'BASE DE EXCEL'!BR:BR,"NO HAY REFERENCIA")</f>
        <v>0</v>
      </c>
      <c r="EY167" s="3" t="str">
        <f>_xlfn.XLOOKUP(B167,'BASE DE EXCEL'!$C:$C,'BASE DE EXCEL'!BS:BS,"NO HAY REFERENCIA")</f>
        <v>PAISES BAJOS (REINO DE LOS) (HOLANDA)</v>
      </c>
      <c r="EZ167" s="3" t="str">
        <f>_xlfn.XLOOKUP(B167,'BASE DE EXCEL'!$C:$C,'BASE DE EXCEL'!BT:BT,"NO HAY REFERENCIA")</f>
        <v>PAISES BAJOS (REINO DE LOS) (HOLANDA)</v>
      </c>
      <c r="FA167" s="3" t="str">
        <f>_xlfn.XLOOKUP(B167,'BASE DE EXCEL'!$C:$C,'BASE DE EXCEL'!BU:BU,"NO HAY REFERENCIA")</f>
        <v>ZYA</v>
      </c>
      <c r="FB167" s="3" t="str">
        <f>_xlfn.XLOOKUP(B167,'BASE DE EXCEL'!$C:$C,'BASE DE EXCEL'!BV:BV,"NO HAY REFERENCIA")</f>
        <v>ZYA</v>
      </c>
      <c r="FC167" s="3">
        <f>_xlfn.XLOOKUP(B167,QUERY!$C:$C,QUERY!D:D)</f>
        <v>430</v>
      </c>
      <c r="FD167" s="4">
        <f>_xlfn.XLOOKUP(B167,QUERY!$C:$C,QUERY!E:E)</f>
        <v>46139</v>
      </c>
      <c r="FE167" s="3">
        <f>_xlfn.XLOOKUP(B167,QUERY!$C:$C,QUERY!F:F)</f>
        <v>4</v>
      </c>
      <c r="FF167" s="4">
        <f>_xlfn.XLOOKUP(B167,QUERY!$C:$C,QUERY!G:G)</f>
        <v>46133</v>
      </c>
      <c r="FG167" s="4">
        <f>_xlfn.XLOOKUP(B167,QUERY!$C:$C,QUERY!H:H)</f>
        <v>46139</v>
      </c>
      <c r="FH167" s="3">
        <f>_xlfn.XLOOKUP(B167,QUERY!$C:$C,QUERY!I:I)</f>
        <v>4</v>
      </c>
      <c r="FI167" s="3" t="str">
        <f>_xlfn.XLOOKUP(B167,QUERY!$C:$C,QUERY!J:J)</f>
        <v>4 a 5 días</v>
      </c>
      <c r="FJ167" s="4">
        <f>_xlfn.XLOOKUP(B167,QUERY!$C:$C,QUERY!K:K)</f>
        <v>46139</v>
      </c>
      <c r="FK167" s="3">
        <f>_xlfn.XLOOKUP(B167,QUERY!$C:$C,QUERY!L:L)</f>
        <v>4</v>
      </c>
      <c r="FL167" s="3" t="str">
        <f>_xlfn.XLOOKUP(B167,QUERY!$C:$C,QUERY!M:M)</f>
        <v>4 a 5 días</v>
      </c>
      <c r="FM167" s="3">
        <f>_xlfn.XLOOKUP(B167,QUERY!$C:$C,QUERY!N:N)</f>
        <v>0</v>
      </c>
      <c r="FN167" s="3" t="str">
        <f>_xlfn.XLOOKUP(B167,QUERY!$C:$C,QUERY!O:O)</f>
        <v>1 día o menos</v>
      </c>
      <c r="FO167" s="3">
        <f>_xlfn.XLOOKUP(B167,QUERY!$C:$C,QUERY!P:P)</f>
        <v>0</v>
      </c>
      <c r="FP167" s="3">
        <f>_xlfn.XLOOKUP(B167,QUERY!$C:$C,QUERY!Q:Q)</f>
        <v>1</v>
      </c>
      <c r="FQ167" s="3" t="str">
        <f>_xlfn.XLOOKUP(B167,QUERY!$C:$C,QUERY!R:R)</f>
        <v>1 día o menos</v>
      </c>
      <c r="FR167" s="4">
        <f>_xlfn.XLOOKUP(B167,QUERY!$C:$C,QUERY!S:S)</f>
        <v>46140</v>
      </c>
      <c r="FS167" s="3">
        <f>_xlfn.XLOOKUP(B167,QUERY!$C:$C,QUERY!T:T)</f>
        <v>5</v>
      </c>
      <c r="FT167" s="3" t="str">
        <f>_xlfn.XLOOKUP(B167,QUERY!$C:$C,QUERY!U:U)</f>
        <v>4 a 5 días</v>
      </c>
      <c r="FU167" s="3">
        <f>_xlfn.XLOOKUP(B167,QUERY!$C:$C,QUERY!V:V)</f>
        <v>14</v>
      </c>
      <c r="FV167" s="3" t="str">
        <f>_xlfn.XLOOKUP(B167,QUERY!$C:$C,QUERY!W:W)</f>
        <v>11 a 15 días</v>
      </c>
      <c r="FW167" s="4">
        <f>_xlfn.XLOOKUP(B167,QUERY!$C:$C,QUERY!X:X)</f>
        <v>46153</v>
      </c>
      <c r="FX167" s="3">
        <f>_xlfn.XLOOKUP(B167,QUERY!$C:$C,QUERY!Y:Y)</f>
        <v>9</v>
      </c>
      <c r="FY167" s="3">
        <f>_xlfn.XLOOKUP(B167,QUERY!$C:$C,QUERY!Z:Z)</f>
        <v>9</v>
      </c>
      <c r="FZ167" s="4" t="str">
        <f>_xlfn.XLOOKUP(B167,QUERY!$C:$C,QUERY!AA:AA)</f>
        <v>11 a 15 días</v>
      </c>
      <c r="GA167" s="4">
        <f>_xlfn.XLOOKUP(B167,QUERY!$C:$C,QUERY!AB:AB)</f>
        <v>46153</v>
      </c>
      <c r="GB167" s="4">
        <f>_xlfn.XLOOKUP(B167,QUERY!$C:$C,QUERY!AC:AC)</f>
        <v>46153</v>
      </c>
      <c r="GC167" s="3">
        <f>_xlfn.XLOOKUP(B167,QUERY!$C:$C,QUERY!AD:AD)</f>
        <v>0</v>
      </c>
      <c r="GD167" s="4">
        <f>_xlfn.XLOOKUP(B167,QUERY!$C:$C,QUERY!AE:AE)</f>
        <v>46153</v>
      </c>
      <c r="GE167" s="3">
        <f>_xlfn.XLOOKUP(B167,QUERY!$C:$C,QUERY!AF:AF)</f>
        <v>1</v>
      </c>
      <c r="GF167" s="4" t="str">
        <f>_xlfn.XLOOKUP(B167,QUERY!$C:$C,QUERY!AG:AG)</f>
        <v>Es anterior</v>
      </c>
      <c r="GG167" s="3" t="str">
        <f>_xlfn.XLOOKUP(B167,QUERY!$C:$C,QUERY!AH:AH)</f>
        <v>A1</v>
      </c>
      <c r="GH167" s="3" t="str">
        <f>_xlfn.XLOOKUP(B167,QUERY!$C:$C,QUERY!AI:AI)</f>
        <v>ZULEIMA PEREZ RUIZ</v>
      </c>
      <c r="GI167" s="3" t="str">
        <f>_xlfn.XLOOKUP(B167,QUERY!$C:$C,QUERY!AJ:AJ)</f>
        <v>HLCURTM260353888</v>
      </c>
      <c r="GJ167" s="3" t="str">
        <f>_xlfn.XLOOKUP(B167,QUERY!$C:$C,QUERY!AK:AK)</f>
        <v>NULL</v>
      </c>
      <c r="GK167" s="3">
        <f>_xlfn.XLOOKUP(B167,QUERY!$C:$C,QUERY!AL:AL)</f>
        <v>6000613</v>
      </c>
      <c r="GL167" s="3" t="str">
        <f>_xlfn.XLOOKUP(B167,QUERY!$C:$C,QUERY!AM:AM)</f>
        <v>Importación</v>
      </c>
      <c r="GM167" s="3" t="str">
        <f>_xlfn.XLOOKUP(B167,QUERY!$C:$C,QUERY!AN:AN)</f>
        <v>PORCILIS PCV M HYO (VACUNA DE USO VETERINARIO)</v>
      </c>
      <c r="GN167" s="3" t="str">
        <f>_xlfn.XLOOKUP(B167,QUERY!$C:$C,QUERY!AO:AO)</f>
        <v>SIN CLASIFICACION</v>
      </c>
      <c r="GO167" s="3">
        <f>_xlfn.XLOOKUP(B167,QUERY!$C:$C,QUERY!AP:AP)</f>
        <v>0</v>
      </c>
      <c r="GP167" s="3" t="str">
        <f>_xlfn.XLOOKUP(B167,QUERY!$C:$C,QUERY!AQ:AQ)</f>
        <v>Cargas de Importación</v>
      </c>
      <c r="GQ167" s="3" t="str">
        <f>_xlfn.XLOOKUP(B167,QUERY!$C:$C,QUERY!AR:AR)</f>
        <v>INTERVET MEXICO SA DE CV</v>
      </c>
      <c r="GR167" s="3">
        <f>_xlfn.XLOOKUP(B167,QUERY!$C:$C,QUERY!AS:AS)</f>
        <v>0</v>
      </c>
      <c r="GS167" s="3" t="str">
        <f>_xlfn.XLOOKUP(B167,QUERY!$C:$C,QUERY!AT:AT)</f>
        <v>NINGUNO</v>
      </c>
      <c r="GT167" s="3">
        <f>_xlfn.XLOOKUP(B167,QUERY!$C:$C,QUERY!AU:AU)</f>
        <v>0</v>
      </c>
      <c r="GU167" s="3" t="str">
        <f>_xlfn.XLOOKUP(B167,QUERY!$C:$C,QUERY!AV:AV)</f>
        <v>NINGUNO</v>
      </c>
      <c r="GV167" s="3" t="str">
        <f>_xlfn.XLOOKUP(B167,QUERY!$C:$C,QUERY!AW:AW)</f>
        <v>PRODUCTO TERMINADO</v>
      </c>
      <c r="GW167" s="3" t="str">
        <f>_xlfn.XLOOKUP(B167,QUERY!$C:$C,QUERY!AX:AX)</f>
        <v>Verde</v>
      </c>
      <c r="GX167" s="3" t="str">
        <f>_xlfn.XLOOKUP(B167,QUERY!$C:$C,QUERY!AY:AY)</f>
        <v xml:space="preserve"> SUPER EXPRESS DE CARGA FEDERAL S.A. DE C.V.</v>
      </c>
      <c r="GY167" s="3">
        <f>_xlfn.XLOOKUP(B167,QUERY!$C:$C,QUERY!AZ:AZ)</f>
        <v>0</v>
      </c>
      <c r="GZ167" s="3" t="str">
        <f>_xlfn.XLOOKUP(B167,QUERY!$C:$C,QUERY!BA:BA)</f>
        <v>IME-T006</v>
      </c>
      <c r="HA167" s="3" t="str">
        <f>_xlfn.XLOOKUP(B167,QUERY!$C:$C,QUERY!BB:BB)</f>
        <v>IME850329RH2</v>
      </c>
      <c r="HB167" s="3">
        <f>_xlfn.XLOOKUP(B167,QUERY!$C:$C,QUERY!BC:BC)</f>
        <v>0</v>
      </c>
      <c r="HC167" s="3">
        <f>_xlfn.XLOOKUP(B167,QUERY!$C:$C,QUERY!BD:BD)</f>
        <v>99</v>
      </c>
      <c r="HD167" s="3" t="str">
        <f>_xlfn.XLOOKUP(B167,QUERY!$C:$C,QUERY!BE:BE)</f>
        <v>LOTE: J654A03,LOTE: J853A01,LOTE: A495A01,LOTE: A494A01,LOTE: 1E076A02,LOTE: A854D01,LOTE: A061A05,LOTE: A463A02,LOTE: A548A01,LOTE: A270B01</v>
      </c>
      <c r="HE167" s="3">
        <f>_xlfn.XLOOKUP(B167,QUERY!$C:$C,QUERY!BF:BF)</f>
        <v>90</v>
      </c>
      <c r="HF167" s="3" t="str">
        <f>_xlfn.XLOOKUP(B167,QUERY!$C:$C,QUERY!BG:BG)</f>
        <v xml:space="preserve"> 1513156.68, 2401836.00, 1768988.52, 1254448.52, 13288734.10, 2977644.74</v>
      </c>
      <c r="HG167" s="3" t="str">
        <f>_xlfn.XLOOKUP(B167,QUERY!$C:$C,QUERY!BH:BH)</f>
        <v>KILO,KILO,KILO,KILO,KILO,KILO,KILO,KILO,KILO,KILO</v>
      </c>
      <c r="HH167" s="3">
        <f>_xlfn.XLOOKUP(B167,QUERY!$C:$C,QUERY!BI:BI)</f>
        <v>0</v>
      </c>
      <c r="HI167" s="3" t="str">
        <f>_xlfn.XLOOKUP(B167,QUERY!$C:$C,QUERY!BJ:BJ)</f>
        <v>PAISES BAJOS (REINO DE LOS) (HOLANDA)</v>
      </c>
      <c r="HJ167" s="3" t="str">
        <f>_xlfn.XLOOKUP(B167,QUERY!$C:$C,QUERY!BK:BK)</f>
        <v>PAISES BAJOS (REINO DE LOS) (HOLANDA)</v>
      </c>
      <c r="HK167" s="3" t="str">
        <f>_xlfn.XLOOKUP(B167,QUERY!$C:$C,QUERY!BL:BL)</f>
        <v>ZYA</v>
      </c>
      <c r="HL167" s="3" t="str">
        <f>_xlfn.XLOOKUP(B167,QUERY!$C:$C,QUERY!BM:BM)</f>
        <v>ZYA</v>
      </c>
      <c r="HM167" s="3">
        <f>_xlfn.XLOOKUP(B167,QUERY!$C:$C,QUERY!BN:BN)</f>
        <v>23204810</v>
      </c>
      <c r="HN167" s="3" t="str">
        <f>_xlfn.XLOOKUP(B167,QUERY!$C:$C,QUERY!BO:BO)</f>
        <v>462.00</v>
      </c>
      <c r="HO167" s="3" t="str">
        <f>_xlfn.XLOOKUP(B167,QUERY!$C:$C,QUERY!BP:BP)</f>
        <v>NULL</v>
      </c>
      <c r="HP167" s="3" t="str">
        <f>_xlfn.XLOOKUP(B167,QUERY!$C:$C,QUERY!BQ:BQ)</f>
        <v>NULL</v>
      </c>
      <c r="HQ167" s="3" t="str">
        <f>_xlfn.XLOOKUP(B167,QUERY!$C:$C,QUERY!BR:BR)</f>
        <v>189833.75</v>
      </c>
      <c r="HR167" s="3">
        <f>_xlfn.XLOOKUP(B167,QUERY!$C:$C,QUERY!BS:BS)</f>
        <v>0</v>
      </c>
      <c r="HS167" s="3">
        <f>_xlfn.XLOOKUP(B167,QUERY!$C:$C,QUERY!BT:BT)</f>
        <v>0</v>
      </c>
      <c r="HT167" s="3" t="str">
        <f>_xlfn.XLOOKUP(B167,QUERY!$C:$C,QUERY!A:A)</f>
        <v>VERACRUZ</v>
      </c>
      <c r="HU167" s="3" t="str">
        <f>_xlfn.XLOOKUP(B167,QUERY!$C:$C,QUERY!B:B)</f>
        <v>MARÍTIMO VERACRUZ</v>
      </c>
    </row>
    <row r="168" spans="1:229" x14ac:dyDescent="0.25">
      <c r="A168" s="3" t="s">
        <v>90</v>
      </c>
      <c r="B168" s="3" t="s">
        <v>450</v>
      </c>
      <c r="C168" s="3">
        <v>3942</v>
      </c>
      <c r="D168" s="3">
        <v>6000613</v>
      </c>
      <c r="E168" s="3"/>
      <c r="F168" s="3" t="s">
        <v>92</v>
      </c>
      <c r="G168" s="3" t="s">
        <v>93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430</v>
      </c>
      <c r="S168" s="3" t="s">
        <v>451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 t="s">
        <v>218</v>
      </c>
      <c r="AB168" s="3"/>
      <c r="AC168" s="3">
        <v>1768989</v>
      </c>
      <c r="AD168" s="3">
        <v>1029.0802799999999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/>
      <c r="AP168" s="3" t="s">
        <v>98</v>
      </c>
      <c r="AQ168" s="3">
        <v>210370641</v>
      </c>
      <c r="AR168" s="3" t="s">
        <v>99</v>
      </c>
      <c r="AS168" s="3" t="s">
        <v>100</v>
      </c>
      <c r="AT168" s="3">
        <v>0</v>
      </c>
      <c r="AU168" s="3">
        <v>0</v>
      </c>
      <c r="AV168" s="3">
        <v>0</v>
      </c>
      <c r="AW168" s="3">
        <v>30024201</v>
      </c>
      <c r="AX168" s="3">
        <v>99</v>
      </c>
      <c r="AY168" s="3">
        <v>1719</v>
      </c>
      <c r="AZ168" s="3">
        <v>1719</v>
      </c>
      <c r="BA168" s="3" t="s">
        <v>103</v>
      </c>
      <c r="BB168" s="3"/>
      <c r="BC168" s="3" t="s">
        <v>105</v>
      </c>
      <c r="BD168" s="3" t="s">
        <v>105</v>
      </c>
      <c r="BE168" s="3"/>
      <c r="BF168" s="3"/>
      <c r="BG168" s="5"/>
      <c r="BH168" s="3"/>
      <c r="BI168" s="3"/>
      <c r="BJ168" s="3"/>
      <c r="BK168" s="3" t="s">
        <v>454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 t="s">
        <v>192</v>
      </c>
      <c r="CF168" s="3">
        <v>0</v>
      </c>
      <c r="CG168" s="3">
        <v>0</v>
      </c>
      <c r="CH168" s="3">
        <v>0</v>
      </c>
      <c r="CI168" s="3" t="s">
        <v>112</v>
      </c>
      <c r="CJ168" s="3" t="s">
        <v>112</v>
      </c>
      <c r="CK168" s="3">
        <f>_xlfn.XLOOKUP($B$2,'BASE DE EXCEL'!C:C,'BASE DE EXCEL'!D:D,"NO HAY REFERENCIA")</f>
        <v>470</v>
      </c>
      <c r="CL168" s="5">
        <f>_xlfn.XLOOKUP($B$2,'BASE DE EXCEL'!$C:$C,'BASE DE EXCEL'!F:F,"NO HAY REFERENCIA")</f>
        <v>3</v>
      </c>
      <c r="CM168" s="4">
        <f>_xlfn.XLOOKUP($B$2,'BASE DE EXCEL'!$C:$C,'BASE DE EXCEL'!G:G,"NO HAY REFERENCIA")</f>
        <v>46080</v>
      </c>
      <c r="CN168" s="4">
        <f>_xlfn.XLOOKUP($B$2,'BASE DE EXCEL'!$C:$C,'BASE DE EXCEL'!H:H,"NO HAY REFERENCIA")</f>
        <v>46086</v>
      </c>
      <c r="CO168" s="3">
        <f>_xlfn.XLOOKUP($B$2,'BASE DE EXCEL'!$C:$C,'BASE DE EXCEL'!I:I,"NO HAY REFERENCIA")</f>
        <v>4</v>
      </c>
      <c r="CP168" s="3" t="str">
        <f>_xlfn.XLOOKUP($B$2,'BASE DE EXCEL'!$C:$C,'BASE DE EXCEL'!J:J,"NO HAY REFERENCIA")</f>
        <v>4 a 5 días</v>
      </c>
      <c r="CQ168" s="4">
        <f>_xlfn.XLOOKUP($B$2,'BASE DE EXCEL'!$C:$C,'BASE DE EXCEL'!K:K,"NO HAY REFERENCIA")</f>
        <v>46087</v>
      </c>
      <c r="CR168" s="3">
        <f>_xlfn.XLOOKUP($B$2,'BASE DE EXCEL'!$C:$C,'BASE DE EXCEL'!L:L,"NO HAY REFERENCIA")</f>
        <v>5</v>
      </c>
      <c r="CS168" s="3">
        <f>_xlfn.XLOOKUP($B$2,'BASE DE EXCEL'!$C:$C,'BASE DE EXCEL'!M:M,"NO HAY REFERENCIA")</f>
        <v>6</v>
      </c>
      <c r="CT168" s="3" t="str">
        <f>_xlfn.XLOOKUP($B$2,'BASE DE EXCEL'!$C:$C,'BASE DE EXCEL'!N:N,"NO HAY REFERENCIA")</f>
        <v>6 a 10 días</v>
      </c>
      <c r="CU168" s="3" t="str">
        <f>_xlfn.XLOOKUP($B$2,'BASE DE EXCEL'!$C:$C,'BASE DE EXCEL'!O:O,"NO HAY REFERENCIA")</f>
        <v>On Time</v>
      </c>
      <c r="CV168" s="3" t="str">
        <f>_xlfn.XLOOKUP(B168,'BASE DE EXCEL'!$C:$C,'BASE DE EXCEL'!P:P,"NO HAY REFERENCIA")</f>
        <v>6 a 10 días</v>
      </c>
      <c r="CW168" s="4">
        <f>_xlfn.XLOOKUP(B168,'BASE DE EXCEL'!$C:$C,'BASE DE EXCEL'!Q:Q,"NO HAY REFERENCIA")</f>
        <v>46140</v>
      </c>
      <c r="CX168" s="3">
        <f>_xlfn.XLOOKUP(B168,'BASE DE EXCEL'!$C:$C,'BASE DE EXCEL'!R:R,"NO HAY REFERENCIA")</f>
        <v>6</v>
      </c>
      <c r="CY168" s="3" t="str">
        <f>_xlfn.XLOOKUP(B168,'BASE DE EXCEL'!$C:$C,'BASE DE EXCEL'!S:S,"NO HAY REFERENCIA")</f>
        <v>6 a 10 días</v>
      </c>
      <c r="CZ168" s="3" t="str">
        <f>_xlfn.XLOOKUP(B168,'BASE DE EXCEL'!$C:$C,'BASE DE EXCEL'!T:T,"NO HAY REFERENCIA")</f>
        <v>On Time</v>
      </c>
      <c r="DA168" s="3">
        <f>_xlfn.XLOOKUP(B168,'BASE DE EXCEL'!$C:$C,'BASE DE EXCEL'!U:U,"NO HAY REFERENCIA")</f>
        <v>7</v>
      </c>
      <c r="DB168" s="3" t="str">
        <f>_xlfn.XLOOKUP(B168,'BASE DE EXCEL'!$C:$C,'BASE DE EXCEL'!V:V,"NO HAY REFERENCIA")</f>
        <v>4 a 5 días</v>
      </c>
      <c r="DC168" s="3">
        <f>_xlfn.XLOOKUP(B168,'BASE DE EXCEL'!$C:$C,'BASE DE EXCEL'!W:W,"NO HAY REFERENCIA")</f>
        <v>14</v>
      </c>
      <c r="DD168" s="3" t="str">
        <f>_xlfn.XLOOKUP(B168,'BASE DE EXCEL'!$C:$C,'BASE DE EXCEL'!X:X,"NO HAY REFERENCIA")</f>
        <v>11 a 15 días</v>
      </c>
      <c r="DE168" s="3">
        <f>_xlfn.XLOOKUP(B168,'BASE DE EXCEL'!$C:$C,'BASE DE EXCEL'!Y:Y,"NO HAY REFERENCIA")</f>
        <v>0</v>
      </c>
      <c r="DF168" s="3" t="str">
        <f>_xlfn.XLOOKUP(B168,'BASE DE EXCEL'!$C:$C,'BASE DE EXCEL'!Z:Z,"NO HAY REFERENCIA")</f>
        <v>1 día o menos</v>
      </c>
      <c r="DG168" s="3">
        <f>_xlfn.XLOOKUP(B168,'BASE DE EXCEL'!$C:$C,'BASE DE EXCEL'!AA:AA,"NO HAY REFERENCIA")</f>
        <v>6</v>
      </c>
      <c r="DH168" s="3">
        <f>_xlfn.XLOOKUP(B168,'BASE DE EXCEL'!$C:$C,'BASE DE EXCEL'!AB:AB,"NO HAY REFERENCIA")</f>
        <v>1</v>
      </c>
      <c r="DI168" s="3" t="str">
        <f>_xlfn.XLOOKUP(B168,'BASE DE EXCEL'!$C:$C,'BASE DE EXCEL'!AC:AC,"NO HAY REFERENCIA")</f>
        <v>1 día o menos</v>
      </c>
      <c r="DJ168" s="4">
        <f>_xlfn.XLOOKUP(B168,'BASE DE EXCEL'!$C:$C,'BASE DE EXCEL'!AD:AD,"NO HAY REFERENCIA")</f>
        <v>46153</v>
      </c>
      <c r="DK168" s="3">
        <f>_xlfn.XLOOKUP(B168,'BASE DE EXCEL'!$C:$C,'BASE DE EXCEL'!AE:AE,"NO HAY REFERENCIA")</f>
        <v>13</v>
      </c>
      <c r="DL168" s="3">
        <f>_xlfn.XLOOKUP(B168,'BASE DE EXCEL'!$C:$C,'BASE DE EXCEL'!AF:AF,"NO HAY REFERENCIA")</f>
        <v>9</v>
      </c>
      <c r="DM168" s="4">
        <f>_xlfn.XLOOKUP(B168,'BASE DE EXCEL'!$C:$C,'BASE DE EXCEL'!AG:AG,"NO HAY REFERENCIA")</f>
        <v>46153</v>
      </c>
      <c r="DN168" s="4">
        <f>_xlfn.XLOOKUP(B168,'BASE DE EXCEL'!$C:$C,'BASE DE EXCEL'!AH:AH,"NO HAY REFERENCIA")</f>
        <v>46153</v>
      </c>
      <c r="DO168" s="3">
        <f>_xlfn.XLOOKUP(B168,'BASE DE EXCEL'!$C:$C,'BASE DE EXCEL'!AI:AI,"NO HAY REFERENCIA")</f>
        <v>0</v>
      </c>
      <c r="DP168" s="4" t="str">
        <f>_xlfn.XLOOKUP(B168,'BASE DE EXCEL'!$C:$C,'BASE DE EXCEL'!AJ:AJ,"NO HAY REFERENCIA")</f>
        <v>11 a 15 días</v>
      </c>
      <c r="DQ168" s="4">
        <f>_xlfn.XLOOKUP(B168,'BASE DE EXCEL'!$C:$C,'BASE DE EXCEL'!AK:AK,"NO HAY REFERENCIA")</f>
        <v>46153</v>
      </c>
      <c r="DR168" s="3">
        <f>_xlfn.XLOOKUP(B168,'BASE DE EXCEL'!$C:$C,'BASE DE EXCEL'!AL:AL,"NO HAY REFERENCIA")</f>
        <v>9</v>
      </c>
      <c r="DS168" s="3" t="str">
        <f>_xlfn.XLOOKUP(B168,'BASE DE EXCEL'!$C:$C,'BASE DE EXCEL'!AM:AM,"NO HAY REFERENCIA")</f>
        <v>6 a 10 días</v>
      </c>
      <c r="DT168" s="3" t="str">
        <f>_xlfn.XLOOKUP(B168,'BASE DE EXCEL'!$C:$C,'BASE DE EXCEL'!AN:AN,"NO HAY REFERENCIA")</f>
        <v>Delayed</v>
      </c>
      <c r="DU168" s="3">
        <f>_xlfn.XLOOKUP(B168,'BASE DE EXCEL'!$C:$C,'BASE DE EXCEL'!AO:AO,"NO HAY REFERENCIA")</f>
        <v>1</v>
      </c>
      <c r="DV168" s="3" t="str">
        <f>_xlfn.XLOOKUP(B168,'BASE DE EXCEL'!$C:$C,'BASE DE EXCEL'!AP:AP,"NO HAY REFERENCIA")</f>
        <v>Es anterior</v>
      </c>
      <c r="DW168" s="3" t="str">
        <f>_xlfn.XLOOKUP(B168,'BASE DE EXCEL'!$C:$C,'BASE DE EXCEL'!AQ:AQ,"NO HAY REFERENCIA")</f>
        <v>A1</v>
      </c>
      <c r="DX168" s="3" t="str">
        <f>_xlfn.XLOOKUP(B168,'BASE DE EXCEL'!$C:$C,'BASE DE EXCEL'!AR:AR,"NO HAY REFERENCIA")</f>
        <v>ZULEIMA PEREZ RUIZ</v>
      </c>
      <c r="DY168" s="3" t="str">
        <f>_xlfn.XLOOKUP(B168,'BASE DE EXCEL'!$C:$C,'BASE DE EXCEL'!AS:AS,"NO HAY REFERENCIA")</f>
        <v>HLCURTM260353888</v>
      </c>
      <c r="DZ168" s="3" t="str">
        <f>_xlfn.XLOOKUP(B168,'BASE DE EXCEL'!$C:$C,'BASE DE EXCEL'!AT:AT,"NO HAY REFERENCIA")</f>
        <v>NULL</v>
      </c>
      <c r="EA168" s="3">
        <f>_xlfn.XLOOKUP(B168,'BASE DE EXCEL'!$C:$C,'BASE DE EXCEL'!AU:AU,"NO HAY REFERENCIA")</f>
        <v>6000613</v>
      </c>
      <c r="EB168" s="3" t="str">
        <f>_xlfn.XLOOKUP(B168,'BASE DE EXCEL'!$C:$C,'BASE DE EXCEL'!AV:AV,"NO HAY REFERENCIA")</f>
        <v>Importación</v>
      </c>
      <c r="EC168" s="3" t="str">
        <f>_xlfn.XLOOKUP(B168,'BASE DE EXCEL'!$C:$C,'BASE DE EXCEL'!AW:AW,"NO HAY REFERENCIA")</f>
        <v>PORCILIS PCV M HYO (VACUNA DE USO VETERINARIO)</v>
      </c>
      <c r="ED168" s="3" t="str">
        <f>_xlfn.XLOOKUP(B168,'BASE DE EXCEL'!$C:$C,'BASE DE EXCEL'!AX:AX,"NO HAY REFERENCIA")</f>
        <v>SIN CLASIFICACION</v>
      </c>
      <c r="EE168" s="3">
        <f>_xlfn.XLOOKUP(B168,'BASE DE EXCEL'!$C:$C,'BASE DE EXCEL'!AY:AY,"NO HAY REFERENCIA")</f>
        <v>0</v>
      </c>
      <c r="EF168" s="3" t="str">
        <f>_xlfn.XLOOKUP(B168,'BASE DE EXCEL'!$C:$C,'BASE DE EXCEL'!AZ:AZ,"NO HAY REFERENCIA")</f>
        <v>Cargas de Importación</v>
      </c>
      <c r="EG168" s="3" t="str">
        <f>_xlfn.XLOOKUP(B168,'BASE DE EXCEL'!$C:$C,'BASE DE EXCEL'!BA:BA,"NO HAY REFERENCIA")</f>
        <v>INTERVET MEXICO SA DE CV</v>
      </c>
      <c r="EH168" s="3">
        <f>_xlfn.XLOOKUP(B168,'BASE DE EXCEL'!$C:$C,'BASE DE EXCEL'!BB:BB,"NO HAY REFERENCIA")</f>
        <v>0</v>
      </c>
      <c r="EI168" s="3" t="str">
        <f>_xlfn.XLOOKUP(B168,'BASE DE EXCEL'!$C:$C,'BASE DE EXCEL'!BC:BC,"NO HAY REFERENCIA")</f>
        <v>NINGUNO</v>
      </c>
      <c r="EJ168" s="3">
        <f>_xlfn.XLOOKUP(B168,'BASE DE EXCEL'!$C:$C,'BASE DE EXCEL'!BD:BD,"NO HAY REFERENCIA")</f>
        <v>0</v>
      </c>
      <c r="EK168" s="3" t="str">
        <f>_xlfn.XLOOKUP(B168,'BASE DE EXCEL'!$C:$C,'BASE DE EXCEL'!BE:BE,"NO HAY REFERENCIA")</f>
        <v>NINGUNO</v>
      </c>
      <c r="EL168" s="3" t="str">
        <f>_xlfn.XLOOKUP(B168,'BASE DE EXCEL'!$C:$C,'BASE DE EXCEL'!BF:BF,"NO HAY REFERENCIA")</f>
        <v>PRODUCTO TERMINADO</v>
      </c>
      <c r="EM168" s="3" t="str">
        <f>_xlfn.XLOOKUP(B168,'BASE DE EXCEL'!$C:$C,'BASE DE EXCEL'!BG:BG,"NO HAY REFERENCIA")</f>
        <v>Verde</v>
      </c>
      <c r="EN168" s="3" t="str">
        <f>_xlfn.XLOOKUP(B168,'BASE DE EXCEL'!$C:$C,'BASE DE EXCEL'!BH:BH,"NO HAY REFERENCIA")</f>
        <v xml:space="preserve"> SUPER EXPRESS DE CARGA FEDERAL S.A. DE C.V.</v>
      </c>
      <c r="EO168" s="3">
        <f>_xlfn.XLOOKUP(B168,'BASE DE EXCEL'!$C:$C,'BASE DE EXCEL'!BI:BI,"NO HAY REFERENCIA")</f>
        <v>0</v>
      </c>
      <c r="EP168" s="3" t="str">
        <f>_xlfn.XLOOKUP(B168,'BASE DE EXCEL'!$C:$C,'BASE DE EXCEL'!BJ:BJ,"NO HAY REFERENCIA")</f>
        <v>IME-T006</v>
      </c>
      <c r="EQ168" s="3" t="str">
        <f>_xlfn.XLOOKUP(B168,'BASE DE EXCEL'!$C:$C,'BASE DE EXCEL'!BK:BK,"NO HAY REFERENCIA")</f>
        <v>IME850329RH2</v>
      </c>
      <c r="ER168" s="3">
        <f>_xlfn.XLOOKUP(B168,'BASE DE EXCEL'!$C:$C,'BASE DE EXCEL'!BL:BL,"NO HAY REFERENCIA")</f>
        <v>0</v>
      </c>
      <c r="ES168" s="3">
        <f>_xlfn.XLOOKUP(B168,'BASE DE EXCEL'!$C:$C,'BASE DE EXCEL'!BM:BM,"NO HAY REFERENCIA")</f>
        <v>99</v>
      </c>
      <c r="ET168" s="3" t="str">
        <f>_xlfn.XLOOKUP(B168,'BASE DE EXCEL'!$C:$C,'BASE DE EXCEL'!BN:BN,"NO HAY REFERENCIA")</f>
        <v>LOTE: J654A03,LOTE: J853A01,LOTE: A495A01,LOTE: A494A01,LOTE: 1E076A02,LOTE: A854D01,LOTE: A061A05,LOTE: A463A02,LOTE: A548A01,LOTE: A270B01</v>
      </c>
      <c r="EU168" s="3">
        <f>_xlfn.XLOOKUP(B168,'BASE DE EXCEL'!$C:$C,'BASE DE EXCEL'!BO:BO,"NO HAY REFERENCIA")</f>
        <v>90</v>
      </c>
      <c r="EV168" s="3" t="str">
        <f>_xlfn.XLOOKUP(B168,'BASE DE EXCEL'!$C:$C,'BASE DE EXCEL'!BP:BP,"NO HAY REFERENCIA")</f>
        <v xml:space="preserve"> 1513156.68, 2401836.00, 1768988.52, 1254448.52, 13288734.10, 2977644.74</v>
      </c>
      <c r="EW168" s="3" t="str">
        <f>_xlfn.XLOOKUP(B168,'BASE DE EXCEL'!$C:$C,'BASE DE EXCEL'!BQ:BQ,"NO HAY REFERENCIA")</f>
        <v>KILO,KILO,KILO,KILO,KILO,KILO,KILO,KILO,KILO,KILO</v>
      </c>
      <c r="EX168" s="3">
        <f>_xlfn.XLOOKUP(B168,'BASE DE EXCEL'!$C:$C,'BASE DE EXCEL'!BR:BR,"NO HAY REFERENCIA")</f>
        <v>0</v>
      </c>
      <c r="EY168" s="3" t="str">
        <f>_xlfn.XLOOKUP(B168,'BASE DE EXCEL'!$C:$C,'BASE DE EXCEL'!BS:BS,"NO HAY REFERENCIA")</f>
        <v>PAISES BAJOS (REINO DE LOS) (HOLANDA)</v>
      </c>
      <c r="EZ168" s="3" t="str">
        <f>_xlfn.XLOOKUP(B168,'BASE DE EXCEL'!$C:$C,'BASE DE EXCEL'!BT:BT,"NO HAY REFERENCIA")</f>
        <v>PAISES BAJOS (REINO DE LOS) (HOLANDA)</v>
      </c>
      <c r="FA168" s="3" t="str">
        <f>_xlfn.XLOOKUP(B168,'BASE DE EXCEL'!$C:$C,'BASE DE EXCEL'!BU:BU,"NO HAY REFERENCIA")</f>
        <v>ZYA</v>
      </c>
      <c r="FB168" s="3" t="str">
        <f>_xlfn.XLOOKUP(B168,'BASE DE EXCEL'!$C:$C,'BASE DE EXCEL'!BV:BV,"NO HAY REFERENCIA")</f>
        <v>ZYA</v>
      </c>
      <c r="FC168" s="3">
        <f>_xlfn.XLOOKUP(B168,QUERY!$C:$C,QUERY!D:D)</f>
        <v>430</v>
      </c>
      <c r="FD168" s="4">
        <f>_xlfn.XLOOKUP(B168,QUERY!$C:$C,QUERY!E:E)</f>
        <v>46139</v>
      </c>
      <c r="FE168" s="3">
        <f>_xlfn.XLOOKUP(B168,QUERY!$C:$C,QUERY!F:F)</f>
        <v>4</v>
      </c>
      <c r="FF168" s="4">
        <f>_xlfn.XLOOKUP(B168,QUERY!$C:$C,QUERY!G:G)</f>
        <v>46133</v>
      </c>
      <c r="FG168" s="4">
        <f>_xlfn.XLOOKUP(B168,QUERY!$C:$C,QUERY!H:H)</f>
        <v>46139</v>
      </c>
      <c r="FH168" s="3">
        <f>_xlfn.XLOOKUP(B168,QUERY!$C:$C,QUERY!I:I)</f>
        <v>4</v>
      </c>
      <c r="FI168" s="3" t="str">
        <f>_xlfn.XLOOKUP(B168,QUERY!$C:$C,QUERY!J:J)</f>
        <v>4 a 5 días</v>
      </c>
      <c r="FJ168" s="4">
        <f>_xlfn.XLOOKUP(B168,QUERY!$C:$C,QUERY!K:K)</f>
        <v>46139</v>
      </c>
      <c r="FK168" s="3">
        <f>_xlfn.XLOOKUP(B168,QUERY!$C:$C,QUERY!L:L)</f>
        <v>4</v>
      </c>
      <c r="FL168" s="3" t="str">
        <f>_xlfn.XLOOKUP(B168,QUERY!$C:$C,QUERY!M:M)</f>
        <v>4 a 5 días</v>
      </c>
      <c r="FM168" s="3">
        <f>_xlfn.XLOOKUP(B168,QUERY!$C:$C,QUERY!N:N)</f>
        <v>0</v>
      </c>
      <c r="FN168" s="3" t="str">
        <f>_xlfn.XLOOKUP(B168,QUERY!$C:$C,QUERY!O:O)</f>
        <v>1 día o menos</v>
      </c>
      <c r="FO168" s="3">
        <f>_xlfn.XLOOKUP(B168,QUERY!$C:$C,QUERY!P:P)</f>
        <v>0</v>
      </c>
      <c r="FP168" s="3">
        <f>_xlfn.XLOOKUP(B168,QUERY!$C:$C,QUERY!Q:Q)</f>
        <v>1</v>
      </c>
      <c r="FQ168" s="3" t="str">
        <f>_xlfn.XLOOKUP(B168,QUERY!$C:$C,QUERY!R:R)</f>
        <v>1 día o menos</v>
      </c>
      <c r="FR168" s="4">
        <f>_xlfn.XLOOKUP(B168,QUERY!$C:$C,QUERY!S:S)</f>
        <v>46140</v>
      </c>
      <c r="FS168" s="3">
        <f>_xlfn.XLOOKUP(B168,QUERY!$C:$C,QUERY!T:T)</f>
        <v>5</v>
      </c>
      <c r="FT168" s="3" t="str">
        <f>_xlfn.XLOOKUP(B168,QUERY!$C:$C,QUERY!U:U)</f>
        <v>4 a 5 días</v>
      </c>
      <c r="FU168" s="3">
        <f>_xlfn.XLOOKUP(B168,QUERY!$C:$C,QUERY!V:V)</f>
        <v>14</v>
      </c>
      <c r="FV168" s="3" t="str">
        <f>_xlfn.XLOOKUP(B168,QUERY!$C:$C,QUERY!W:W)</f>
        <v>11 a 15 días</v>
      </c>
      <c r="FW168" s="4">
        <f>_xlfn.XLOOKUP(B168,QUERY!$C:$C,QUERY!X:X)</f>
        <v>46153</v>
      </c>
      <c r="FX168" s="3">
        <f>_xlfn.XLOOKUP(B168,QUERY!$C:$C,QUERY!Y:Y)</f>
        <v>9</v>
      </c>
      <c r="FY168" s="3">
        <f>_xlfn.XLOOKUP(B168,QUERY!$C:$C,QUERY!Z:Z)</f>
        <v>9</v>
      </c>
      <c r="FZ168" s="4" t="str">
        <f>_xlfn.XLOOKUP(B168,QUERY!$C:$C,QUERY!AA:AA)</f>
        <v>11 a 15 días</v>
      </c>
      <c r="GA168" s="4">
        <f>_xlfn.XLOOKUP(B168,QUERY!$C:$C,QUERY!AB:AB)</f>
        <v>46153</v>
      </c>
      <c r="GB168" s="4">
        <f>_xlfn.XLOOKUP(B168,QUERY!$C:$C,QUERY!AC:AC)</f>
        <v>46153</v>
      </c>
      <c r="GC168" s="3">
        <f>_xlfn.XLOOKUP(B168,QUERY!$C:$C,QUERY!AD:AD)</f>
        <v>0</v>
      </c>
      <c r="GD168" s="4">
        <f>_xlfn.XLOOKUP(B168,QUERY!$C:$C,QUERY!AE:AE)</f>
        <v>46153</v>
      </c>
      <c r="GE168" s="3">
        <f>_xlfn.XLOOKUP(B168,QUERY!$C:$C,QUERY!AF:AF)</f>
        <v>1</v>
      </c>
      <c r="GF168" s="4" t="str">
        <f>_xlfn.XLOOKUP(B168,QUERY!$C:$C,QUERY!AG:AG)</f>
        <v>Es anterior</v>
      </c>
      <c r="GG168" s="3" t="str">
        <f>_xlfn.XLOOKUP(B168,QUERY!$C:$C,QUERY!AH:AH)</f>
        <v>A1</v>
      </c>
      <c r="GH168" s="3" t="str">
        <f>_xlfn.XLOOKUP(B168,QUERY!$C:$C,QUERY!AI:AI)</f>
        <v>ZULEIMA PEREZ RUIZ</v>
      </c>
      <c r="GI168" s="3" t="str">
        <f>_xlfn.XLOOKUP(B168,QUERY!$C:$C,QUERY!AJ:AJ)</f>
        <v>HLCURTM260353888</v>
      </c>
      <c r="GJ168" s="3" t="str">
        <f>_xlfn.XLOOKUP(B168,QUERY!$C:$C,QUERY!AK:AK)</f>
        <v>NULL</v>
      </c>
      <c r="GK168" s="3">
        <f>_xlfn.XLOOKUP(B168,QUERY!$C:$C,QUERY!AL:AL)</f>
        <v>6000613</v>
      </c>
      <c r="GL168" s="3" t="str">
        <f>_xlfn.XLOOKUP(B168,QUERY!$C:$C,QUERY!AM:AM)</f>
        <v>Importación</v>
      </c>
      <c r="GM168" s="3" t="str">
        <f>_xlfn.XLOOKUP(B168,QUERY!$C:$C,QUERY!AN:AN)</f>
        <v>PORCILIS PCV M HYO (VACUNA DE USO VETERINARIO)</v>
      </c>
      <c r="GN168" s="3" t="str">
        <f>_xlfn.XLOOKUP(B168,QUERY!$C:$C,QUERY!AO:AO)</f>
        <v>SIN CLASIFICACION</v>
      </c>
      <c r="GO168" s="3">
        <f>_xlfn.XLOOKUP(B168,QUERY!$C:$C,QUERY!AP:AP)</f>
        <v>0</v>
      </c>
      <c r="GP168" s="3" t="str">
        <f>_xlfn.XLOOKUP(B168,QUERY!$C:$C,QUERY!AQ:AQ)</f>
        <v>Cargas de Importación</v>
      </c>
      <c r="GQ168" s="3" t="str">
        <f>_xlfn.XLOOKUP(B168,QUERY!$C:$C,QUERY!AR:AR)</f>
        <v>INTERVET MEXICO SA DE CV</v>
      </c>
      <c r="GR168" s="3">
        <f>_xlfn.XLOOKUP(B168,QUERY!$C:$C,QUERY!AS:AS)</f>
        <v>0</v>
      </c>
      <c r="GS168" s="3" t="str">
        <f>_xlfn.XLOOKUP(B168,QUERY!$C:$C,QUERY!AT:AT)</f>
        <v>NINGUNO</v>
      </c>
      <c r="GT168" s="3">
        <f>_xlfn.XLOOKUP(B168,QUERY!$C:$C,QUERY!AU:AU)</f>
        <v>0</v>
      </c>
      <c r="GU168" s="3" t="str">
        <f>_xlfn.XLOOKUP(B168,QUERY!$C:$C,QUERY!AV:AV)</f>
        <v>NINGUNO</v>
      </c>
      <c r="GV168" s="3" t="str">
        <f>_xlfn.XLOOKUP(B168,QUERY!$C:$C,QUERY!AW:AW)</f>
        <v>PRODUCTO TERMINADO</v>
      </c>
      <c r="GW168" s="3" t="str">
        <f>_xlfn.XLOOKUP(B168,QUERY!$C:$C,QUERY!AX:AX)</f>
        <v>Verde</v>
      </c>
      <c r="GX168" s="3" t="str">
        <f>_xlfn.XLOOKUP(B168,QUERY!$C:$C,QUERY!AY:AY)</f>
        <v xml:space="preserve"> SUPER EXPRESS DE CARGA FEDERAL S.A. DE C.V.</v>
      </c>
      <c r="GY168" s="3">
        <f>_xlfn.XLOOKUP(B168,QUERY!$C:$C,QUERY!AZ:AZ)</f>
        <v>0</v>
      </c>
      <c r="GZ168" s="3" t="str">
        <f>_xlfn.XLOOKUP(B168,QUERY!$C:$C,QUERY!BA:BA)</f>
        <v>IME-T006</v>
      </c>
      <c r="HA168" s="3" t="str">
        <f>_xlfn.XLOOKUP(B168,QUERY!$C:$C,QUERY!BB:BB)</f>
        <v>IME850329RH2</v>
      </c>
      <c r="HB168" s="3">
        <f>_xlfn.XLOOKUP(B168,QUERY!$C:$C,QUERY!BC:BC)</f>
        <v>0</v>
      </c>
      <c r="HC168" s="3">
        <f>_xlfn.XLOOKUP(B168,QUERY!$C:$C,QUERY!BD:BD)</f>
        <v>99</v>
      </c>
      <c r="HD168" s="3" t="str">
        <f>_xlfn.XLOOKUP(B168,QUERY!$C:$C,QUERY!BE:BE)</f>
        <v>LOTE: J654A03,LOTE: J853A01,LOTE: A495A01,LOTE: A494A01,LOTE: 1E076A02,LOTE: A854D01,LOTE: A061A05,LOTE: A463A02,LOTE: A548A01,LOTE: A270B01</v>
      </c>
      <c r="HE168" s="3">
        <f>_xlfn.XLOOKUP(B168,QUERY!$C:$C,QUERY!BF:BF)</f>
        <v>90</v>
      </c>
      <c r="HF168" s="3" t="str">
        <f>_xlfn.XLOOKUP(B168,QUERY!$C:$C,QUERY!BG:BG)</f>
        <v xml:space="preserve"> 1513156.68, 2401836.00, 1768988.52, 1254448.52, 13288734.10, 2977644.74</v>
      </c>
      <c r="HG168" s="3" t="str">
        <f>_xlfn.XLOOKUP(B168,QUERY!$C:$C,QUERY!BH:BH)</f>
        <v>KILO,KILO,KILO,KILO,KILO,KILO,KILO,KILO,KILO,KILO</v>
      </c>
      <c r="HH168" s="3">
        <f>_xlfn.XLOOKUP(B168,QUERY!$C:$C,QUERY!BI:BI)</f>
        <v>0</v>
      </c>
      <c r="HI168" s="3" t="str">
        <f>_xlfn.XLOOKUP(B168,QUERY!$C:$C,QUERY!BJ:BJ)</f>
        <v>PAISES BAJOS (REINO DE LOS) (HOLANDA)</v>
      </c>
      <c r="HJ168" s="3" t="str">
        <f>_xlfn.XLOOKUP(B168,QUERY!$C:$C,QUERY!BK:BK)</f>
        <v>PAISES BAJOS (REINO DE LOS) (HOLANDA)</v>
      </c>
      <c r="HK168" s="3" t="str">
        <f>_xlfn.XLOOKUP(B168,QUERY!$C:$C,QUERY!BL:BL)</f>
        <v>ZYA</v>
      </c>
      <c r="HL168" s="3" t="str">
        <f>_xlfn.XLOOKUP(B168,QUERY!$C:$C,QUERY!BM:BM)</f>
        <v>ZYA</v>
      </c>
      <c r="HM168" s="3">
        <f>_xlfn.XLOOKUP(B168,QUERY!$C:$C,QUERY!BN:BN)</f>
        <v>23204810</v>
      </c>
      <c r="HN168" s="3" t="str">
        <f>_xlfn.XLOOKUP(B168,QUERY!$C:$C,QUERY!BO:BO)</f>
        <v>462.00</v>
      </c>
      <c r="HO168" s="3" t="str">
        <f>_xlfn.XLOOKUP(B168,QUERY!$C:$C,QUERY!BP:BP)</f>
        <v>NULL</v>
      </c>
      <c r="HP168" s="3" t="str">
        <f>_xlfn.XLOOKUP(B168,QUERY!$C:$C,QUERY!BQ:BQ)</f>
        <v>NULL</v>
      </c>
      <c r="HQ168" s="3" t="str">
        <f>_xlfn.XLOOKUP(B168,QUERY!$C:$C,QUERY!BR:BR)</f>
        <v>189833.75</v>
      </c>
      <c r="HR168" s="3">
        <f>_xlfn.XLOOKUP(B168,QUERY!$C:$C,QUERY!BS:BS)</f>
        <v>0</v>
      </c>
      <c r="HS168" s="3">
        <f>_xlfn.XLOOKUP(B168,QUERY!$C:$C,QUERY!BT:BT)</f>
        <v>0</v>
      </c>
      <c r="HT168" s="3" t="str">
        <f>_xlfn.XLOOKUP(B168,QUERY!$C:$C,QUERY!A:A)</f>
        <v>VERACRUZ</v>
      </c>
      <c r="HU168" s="3" t="str">
        <f>_xlfn.XLOOKUP(B168,QUERY!$C:$C,QUERY!B:B)</f>
        <v>MARÍTIMO VERACRUZ</v>
      </c>
    </row>
    <row r="169" spans="1:229" x14ac:dyDescent="0.25">
      <c r="A169" s="3" t="s">
        <v>90</v>
      </c>
      <c r="B169" s="3" t="s">
        <v>450</v>
      </c>
      <c r="C169" s="3">
        <v>3942</v>
      </c>
      <c r="D169" s="3">
        <v>6000613</v>
      </c>
      <c r="E169" s="3"/>
      <c r="F169" s="3" t="s">
        <v>92</v>
      </c>
      <c r="G169" s="3" t="s">
        <v>93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430</v>
      </c>
      <c r="S169" s="3" t="s">
        <v>451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 t="s">
        <v>218</v>
      </c>
      <c r="AB169" s="3"/>
      <c r="AC169" s="3">
        <v>1254449</v>
      </c>
      <c r="AD169" s="3">
        <v>1029.0803900000001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/>
      <c r="AP169" s="3" t="s">
        <v>98</v>
      </c>
      <c r="AQ169" s="3">
        <v>210370642</v>
      </c>
      <c r="AR169" s="3" t="s">
        <v>99</v>
      </c>
      <c r="AS169" s="3" t="s">
        <v>100</v>
      </c>
      <c r="AT169" s="3">
        <v>0</v>
      </c>
      <c r="AU169" s="3">
        <v>0</v>
      </c>
      <c r="AV169" s="3">
        <v>0</v>
      </c>
      <c r="AW169" s="3">
        <v>30024201</v>
      </c>
      <c r="AX169" s="3">
        <v>99</v>
      </c>
      <c r="AY169" s="3">
        <v>1219</v>
      </c>
      <c r="AZ169" s="3">
        <v>1219</v>
      </c>
      <c r="BA169" s="3" t="s">
        <v>103</v>
      </c>
      <c r="BB169" s="3"/>
      <c r="BC169" s="3" t="s">
        <v>105</v>
      </c>
      <c r="BD169" s="3" t="s">
        <v>105</v>
      </c>
      <c r="BE169" s="3"/>
      <c r="BF169" s="3"/>
      <c r="BG169" s="5"/>
      <c r="BH169" s="3"/>
      <c r="BI169" s="3"/>
      <c r="BJ169" s="3"/>
      <c r="BK169" s="3" t="s">
        <v>455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 t="s">
        <v>192</v>
      </c>
      <c r="CF169" s="3">
        <v>0</v>
      </c>
      <c r="CG169" s="3">
        <v>0</v>
      </c>
      <c r="CH169" s="3">
        <v>0</v>
      </c>
      <c r="CI169" s="3" t="s">
        <v>112</v>
      </c>
      <c r="CJ169" s="3" t="s">
        <v>112</v>
      </c>
      <c r="CK169" s="3">
        <f>_xlfn.XLOOKUP($B$2,'BASE DE EXCEL'!C:C,'BASE DE EXCEL'!D:D,"NO HAY REFERENCIA")</f>
        <v>470</v>
      </c>
      <c r="CL169" s="5">
        <f>_xlfn.XLOOKUP($B$2,'BASE DE EXCEL'!$C:$C,'BASE DE EXCEL'!F:F,"NO HAY REFERENCIA")</f>
        <v>3</v>
      </c>
      <c r="CM169" s="4">
        <f>_xlfn.XLOOKUP($B$2,'BASE DE EXCEL'!$C:$C,'BASE DE EXCEL'!G:G,"NO HAY REFERENCIA")</f>
        <v>46080</v>
      </c>
      <c r="CN169" s="4">
        <f>_xlfn.XLOOKUP($B$2,'BASE DE EXCEL'!$C:$C,'BASE DE EXCEL'!H:H,"NO HAY REFERENCIA")</f>
        <v>46086</v>
      </c>
      <c r="CO169" s="3">
        <f>_xlfn.XLOOKUP($B$2,'BASE DE EXCEL'!$C:$C,'BASE DE EXCEL'!I:I,"NO HAY REFERENCIA")</f>
        <v>4</v>
      </c>
      <c r="CP169" s="3" t="str">
        <f>_xlfn.XLOOKUP($B$2,'BASE DE EXCEL'!$C:$C,'BASE DE EXCEL'!J:J,"NO HAY REFERENCIA")</f>
        <v>4 a 5 días</v>
      </c>
      <c r="CQ169" s="4">
        <f>_xlfn.XLOOKUP($B$2,'BASE DE EXCEL'!$C:$C,'BASE DE EXCEL'!K:K,"NO HAY REFERENCIA")</f>
        <v>46087</v>
      </c>
      <c r="CR169" s="3">
        <f>_xlfn.XLOOKUP($B$2,'BASE DE EXCEL'!$C:$C,'BASE DE EXCEL'!L:L,"NO HAY REFERENCIA")</f>
        <v>5</v>
      </c>
      <c r="CS169" s="3">
        <f>_xlfn.XLOOKUP($B$2,'BASE DE EXCEL'!$C:$C,'BASE DE EXCEL'!M:M,"NO HAY REFERENCIA")</f>
        <v>6</v>
      </c>
      <c r="CT169" s="3" t="str">
        <f>_xlfn.XLOOKUP($B$2,'BASE DE EXCEL'!$C:$C,'BASE DE EXCEL'!N:N,"NO HAY REFERENCIA")</f>
        <v>6 a 10 días</v>
      </c>
      <c r="CU169" s="3" t="str">
        <f>_xlfn.XLOOKUP($B$2,'BASE DE EXCEL'!$C:$C,'BASE DE EXCEL'!O:O,"NO HAY REFERENCIA")</f>
        <v>On Time</v>
      </c>
      <c r="CV169" s="3" t="str">
        <f>_xlfn.XLOOKUP(B169,'BASE DE EXCEL'!$C:$C,'BASE DE EXCEL'!P:P,"NO HAY REFERENCIA")</f>
        <v>6 a 10 días</v>
      </c>
      <c r="CW169" s="4">
        <f>_xlfn.XLOOKUP(B169,'BASE DE EXCEL'!$C:$C,'BASE DE EXCEL'!Q:Q,"NO HAY REFERENCIA")</f>
        <v>46140</v>
      </c>
      <c r="CX169" s="3">
        <f>_xlfn.XLOOKUP(B169,'BASE DE EXCEL'!$C:$C,'BASE DE EXCEL'!R:R,"NO HAY REFERENCIA")</f>
        <v>6</v>
      </c>
      <c r="CY169" s="3" t="str">
        <f>_xlfn.XLOOKUP(B169,'BASE DE EXCEL'!$C:$C,'BASE DE EXCEL'!S:S,"NO HAY REFERENCIA")</f>
        <v>6 a 10 días</v>
      </c>
      <c r="CZ169" s="3" t="str">
        <f>_xlfn.XLOOKUP(B169,'BASE DE EXCEL'!$C:$C,'BASE DE EXCEL'!T:T,"NO HAY REFERENCIA")</f>
        <v>On Time</v>
      </c>
      <c r="DA169" s="3">
        <f>_xlfn.XLOOKUP(B169,'BASE DE EXCEL'!$C:$C,'BASE DE EXCEL'!U:U,"NO HAY REFERENCIA")</f>
        <v>7</v>
      </c>
      <c r="DB169" s="3" t="str">
        <f>_xlfn.XLOOKUP(B169,'BASE DE EXCEL'!$C:$C,'BASE DE EXCEL'!V:V,"NO HAY REFERENCIA")</f>
        <v>4 a 5 días</v>
      </c>
      <c r="DC169" s="3">
        <f>_xlfn.XLOOKUP(B169,'BASE DE EXCEL'!$C:$C,'BASE DE EXCEL'!W:W,"NO HAY REFERENCIA")</f>
        <v>14</v>
      </c>
      <c r="DD169" s="3" t="str">
        <f>_xlfn.XLOOKUP(B169,'BASE DE EXCEL'!$C:$C,'BASE DE EXCEL'!X:X,"NO HAY REFERENCIA")</f>
        <v>11 a 15 días</v>
      </c>
      <c r="DE169" s="3">
        <f>_xlfn.XLOOKUP(B169,'BASE DE EXCEL'!$C:$C,'BASE DE EXCEL'!Y:Y,"NO HAY REFERENCIA")</f>
        <v>0</v>
      </c>
      <c r="DF169" s="3" t="str">
        <f>_xlfn.XLOOKUP(B169,'BASE DE EXCEL'!$C:$C,'BASE DE EXCEL'!Z:Z,"NO HAY REFERENCIA")</f>
        <v>1 día o menos</v>
      </c>
      <c r="DG169" s="3">
        <f>_xlfn.XLOOKUP(B169,'BASE DE EXCEL'!$C:$C,'BASE DE EXCEL'!AA:AA,"NO HAY REFERENCIA")</f>
        <v>6</v>
      </c>
      <c r="DH169" s="3">
        <f>_xlfn.XLOOKUP(B169,'BASE DE EXCEL'!$C:$C,'BASE DE EXCEL'!AB:AB,"NO HAY REFERENCIA")</f>
        <v>1</v>
      </c>
      <c r="DI169" s="3" t="str">
        <f>_xlfn.XLOOKUP(B169,'BASE DE EXCEL'!$C:$C,'BASE DE EXCEL'!AC:AC,"NO HAY REFERENCIA")</f>
        <v>1 día o menos</v>
      </c>
      <c r="DJ169" s="4">
        <f>_xlfn.XLOOKUP(B169,'BASE DE EXCEL'!$C:$C,'BASE DE EXCEL'!AD:AD,"NO HAY REFERENCIA")</f>
        <v>46153</v>
      </c>
      <c r="DK169" s="3">
        <f>_xlfn.XLOOKUP(B169,'BASE DE EXCEL'!$C:$C,'BASE DE EXCEL'!AE:AE,"NO HAY REFERENCIA")</f>
        <v>13</v>
      </c>
      <c r="DL169" s="3">
        <f>_xlfn.XLOOKUP(B169,'BASE DE EXCEL'!$C:$C,'BASE DE EXCEL'!AF:AF,"NO HAY REFERENCIA")</f>
        <v>9</v>
      </c>
      <c r="DM169" s="4">
        <f>_xlfn.XLOOKUP(B169,'BASE DE EXCEL'!$C:$C,'BASE DE EXCEL'!AG:AG,"NO HAY REFERENCIA")</f>
        <v>46153</v>
      </c>
      <c r="DN169" s="4">
        <f>_xlfn.XLOOKUP(B169,'BASE DE EXCEL'!$C:$C,'BASE DE EXCEL'!AH:AH,"NO HAY REFERENCIA")</f>
        <v>46153</v>
      </c>
      <c r="DO169" s="3">
        <f>_xlfn.XLOOKUP(B169,'BASE DE EXCEL'!$C:$C,'BASE DE EXCEL'!AI:AI,"NO HAY REFERENCIA")</f>
        <v>0</v>
      </c>
      <c r="DP169" s="4" t="str">
        <f>_xlfn.XLOOKUP(B169,'BASE DE EXCEL'!$C:$C,'BASE DE EXCEL'!AJ:AJ,"NO HAY REFERENCIA")</f>
        <v>11 a 15 días</v>
      </c>
      <c r="DQ169" s="4">
        <f>_xlfn.XLOOKUP(B169,'BASE DE EXCEL'!$C:$C,'BASE DE EXCEL'!AK:AK,"NO HAY REFERENCIA")</f>
        <v>46153</v>
      </c>
      <c r="DR169" s="3">
        <f>_xlfn.XLOOKUP(B169,'BASE DE EXCEL'!$C:$C,'BASE DE EXCEL'!AL:AL,"NO HAY REFERENCIA")</f>
        <v>9</v>
      </c>
      <c r="DS169" s="3" t="str">
        <f>_xlfn.XLOOKUP(B169,'BASE DE EXCEL'!$C:$C,'BASE DE EXCEL'!AM:AM,"NO HAY REFERENCIA")</f>
        <v>6 a 10 días</v>
      </c>
      <c r="DT169" s="3" t="str">
        <f>_xlfn.XLOOKUP(B169,'BASE DE EXCEL'!$C:$C,'BASE DE EXCEL'!AN:AN,"NO HAY REFERENCIA")</f>
        <v>Delayed</v>
      </c>
      <c r="DU169" s="3">
        <f>_xlfn.XLOOKUP(B169,'BASE DE EXCEL'!$C:$C,'BASE DE EXCEL'!AO:AO,"NO HAY REFERENCIA")</f>
        <v>1</v>
      </c>
      <c r="DV169" s="3" t="str">
        <f>_xlfn.XLOOKUP(B169,'BASE DE EXCEL'!$C:$C,'BASE DE EXCEL'!AP:AP,"NO HAY REFERENCIA")</f>
        <v>Es anterior</v>
      </c>
      <c r="DW169" s="3" t="str">
        <f>_xlfn.XLOOKUP(B169,'BASE DE EXCEL'!$C:$C,'BASE DE EXCEL'!AQ:AQ,"NO HAY REFERENCIA")</f>
        <v>A1</v>
      </c>
      <c r="DX169" s="3" t="str">
        <f>_xlfn.XLOOKUP(B169,'BASE DE EXCEL'!$C:$C,'BASE DE EXCEL'!AR:AR,"NO HAY REFERENCIA")</f>
        <v>ZULEIMA PEREZ RUIZ</v>
      </c>
      <c r="DY169" s="3" t="str">
        <f>_xlfn.XLOOKUP(B169,'BASE DE EXCEL'!$C:$C,'BASE DE EXCEL'!AS:AS,"NO HAY REFERENCIA")</f>
        <v>HLCURTM260353888</v>
      </c>
      <c r="DZ169" s="3" t="str">
        <f>_xlfn.XLOOKUP(B169,'BASE DE EXCEL'!$C:$C,'BASE DE EXCEL'!AT:AT,"NO HAY REFERENCIA")</f>
        <v>NULL</v>
      </c>
      <c r="EA169" s="3">
        <f>_xlfn.XLOOKUP(B169,'BASE DE EXCEL'!$C:$C,'BASE DE EXCEL'!AU:AU,"NO HAY REFERENCIA")</f>
        <v>6000613</v>
      </c>
      <c r="EB169" s="3" t="str">
        <f>_xlfn.XLOOKUP(B169,'BASE DE EXCEL'!$C:$C,'BASE DE EXCEL'!AV:AV,"NO HAY REFERENCIA")</f>
        <v>Importación</v>
      </c>
      <c r="EC169" s="3" t="str">
        <f>_xlfn.XLOOKUP(B169,'BASE DE EXCEL'!$C:$C,'BASE DE EXCEL'!AW:AW,"NO HAY REFERENCIA")</f>
        <v>PORCILIS PCV M HYO (VACUNA DE USO VETERINARIO)</v>
      </c>
      <c r="ED169" s="3" t="str">
        <f>_xlfn.XLOOKUP(B169,'BASE DE EXCEL'!$C:$C,'BASE DE EXCEL'!AX:AX,"NO HAY REFERENCIA")</f>
        <v>SIN CLASIFICACION</v>
      </c>
      <c r="EE169" s="3">
        <f>_xlfn.XLOOKUP(B169,'BASE DE EXCEL'!$C:$C,'BASE DE EXCEL'!AY:AY,"NO HAY REFERENCIA")</f>
        <v>0</v>
      </c>
      <c r="EF169" s="3" t="str">
        <f>_xlfn.XLOOKUP(B169,'BASE DE EXCEL'!$C:$C,'BASE DE EXCEL'!AZ:AZ,"NO HAY REFERENCIA")</f>
        <v>Cargas de Importación</v>
      </c>
      <c r="EG169" s="3" t="str">
        <f>_xlfn.XLOOKUP(B169,'BASE DE EXCEL'!$C:$C,'BASE DE EXCEL'!BA:BA,"NO HAY REFERENCIA")</f>
        <v>INTERVET MEXICO SA DE CV</v>
      </c>
      <c r="EH169" s="3">
        <f>_xlfn.XLOOKUP(B169,'BASE DE EXCEL'!$C:$C,'BASE DE EXCEL'!BB:BB,"NO HAY REFERENCIA")</f>
        <v>0</v>
      </c>
      <c r="EI169" s="3" t="str">
        <f>_xlfn.XLOOKUP(B169,'BASE DE EXCEL'!$C:$C,'BASE DE EXCEL'!BC:BC,"NO HAY REFERENCIA")</f>
        <v>NINGUNO</v>
      </c>
      <c r="EJ169" s="3">
        <f>_xlfn.XLOOKUP(B169,'BASE DE EXCEL'!$C:$C,'BASE DE EXCEL'!BD:BD,"NO HAY REFERENCIA")</f>
        <v>0</v>
      </c>
      <c r="EK169" s="3" t="str">
        <f>_xlfn.XLOOKUP(B169,'BASE DE EXCEL'!$C:$C,'BASE DE EXCEL'!BE:BE,"NO HAY REFERENCIA")</f>
        <v>NINGUNO</v>
      </c>
      <c r="EL169" s="3" t="str">
        <f>_xlfn.XLOOKUP(B169,'BASE DE EXCEL'!$C:$C,'BASE DE EXCEL'!BF:BF,"NO HAY REFERENCIA")</f>
        <v>PRODUCTO TERMINADO</v>
      </c>
      <c r="EM169" s="3" t="str">
        <f>_xlfn.XLOOKUP(B169,'BASE DE EXCEL'!$C:$C,'BASE DE EXCEL'!BG:BG,"NO HAY REFERENCIA")</f>
        <v>Verde</v>
      </c>
      <c r="EN169" s="3" t="str">
        <f>_xlfn.XLOOKUP(B169,'BASE DE EXCEL'!$C:$C,'BASE DE EXCEL'!BH:BH,"NO HAY REFERENCIA")</f>
        <v xml:space="preserve"> SUPER EXPRESS DE CARGA FEDERAL S.A. DE C.V.</v>
      </c>
      <c r="EO169" s="3">
        <f>_xlfn.XLOOKUP(B169,'BASE DE EXCEL'!$C:$C,'BASE DE EXCEL'!BI:BI,"NO HAY REFERENCIA")</f>
        <v>0</v>
      </c>
      <c r="EP169" s="3" t="str">
        <f>_xlfn.XLOOKUP(B169,'BASE DE EXCEL'!$C:$C,'BASE DE EXCEL'!BJ:BJ,"NO HAY REFERENCIA")</f>
        <v>IME-T006</v>
      </c>
      <c r="EQ169" s="3" t="str">
        <f>_xlfn.XLOOKUP(B169,'BASE DE EXCEL'!$C:$C,'BASE DE EXCEL'!BK:BK,"NO HAY REFERENCIA")</f>
        <v>IME850329RH2</v>
      </c>
      <c r="ER169" s="3">
        <f>_xlfn.XLOOKUP(B169,'BASE DE EXCEL'!$C:$C,'BASE DE EXCEL'!BL:BL,"NO HAY REFERENCIA")</f>
        <v>0</v>
      </c>
      <c r="ES169" s="3">
        <f>_xlfn.XLOOKUP(B169,'BASE DE EXCEL'!$C:$C,'BASE DE EXCEL'!BM:BM,"NO HAY REFERENCIA")</f>
        <v>99</v>
      </c>
      <c r="ET169" s="3" t="str">
        <f>_xlfn.XLOOKUP(B169,'BASE DE EXCEL'!$C:$C,'BASE DE EXCEL'!BN:BN,"NO HAY REFERENCIA")</f>
        <v>LOTE: J654A03,LOTE: J853A01,LOTE: A495A01,LOTE: A494A01,LOTE: 1E076A02,LOTE: A854D01,LOTE: A061A05,LOTE: A463A02,LOTE: A548A01,LOTE: A270B01</v>
      </c>
      <c r="EU169" s="3">
        <f>_xlfn.XLOOKUP(B169,'BASE DE EXCEL'!$C:$C,'BASE DE EXCEL'!BO:BO,"NO HAY REFERENCIA")</f>
        <v>90</v>
      </c>
      <c r="EV169" s="3" t="str">
        <f>_xlfn.XLOOKUP(B169,'BASE DE EXCEL'!$C:$C,'BASE DE EXCEL'!BP:BP,"NO HAY REFERENCIA")</f>
        <v xml:space="preserve"> 1513156.68, 2401836.00, 1768988.52, 1254448.52, 13288734.10, 2977644.74</v>
      </c>
      <c r="EW169" s="3" t="str">
        <f>_xlfn.XLOOKUP(B169,'BASE DE EXCEL'!$C:$C,'BASE DE EXCEL'!BQ:BQ,"NO HAY REFERENCIA")</f>
        <v>KILO,KILO,KILO,KILO,KILO,KILO,KILO,KILO,KILO,KILO</v>
      </c>
      <c r="EX169" s="3">
        <f>_xlfn.XLOOKUP(B169,'BASE DE EXCEL'!$C:$C,'BASE DE EXCEL'!BR:BR,"NO HAY REFERENCIA")</f>
        <v>0</v>
      </c>
      <c r="EY169" s="3" t="str">
        <f>_xlfn.XLOOKUP(B169,'BASE DE EXCEL'!$C:$C,'BASE DE EXCEL'!BS:BS,"NO HAY REFERENCIA")</f>
        <v>PAISES BAJOS (REINO DE LOS) (HOLANDA)</v>
      </c>
      <c r="EZ169" s="3" t="str">
        <f>_xlfn.XLOOKUP(B169,'BASE DE EXCEL'!$C:$C,'BASE DE EXCEL'!BT:BT,"NO HAY REFERENCIA")</f>
        <v>PAISES BAJOS (REINO DE LOS) (HOLANDA)</v>
      </c>
      <c r="FA169" s="3" t="str">
        <f>_xlfn.XLOOKUP(B169,'BASE DE EXCEL'!$C:$C,'BASE DE EXCEL'!BU:BU,"NO HAY REFERENCIA")</f>
        <v>ZYA</v>
      </c>
      <c r="FB169" s="3" t="str">
        <f>_xlfn.XLOOKUP(B169,'BASE DE EXCEL'!$C:$C,'BASE DE EXCEL'!BV:BV,"NO HAY REFERENCIA")</f>
        <v>ZYA</v>
      </c>
      <c r="FC169" s="3">
        <f>_xlfn.XLOOKUP(B169,QUERY!$C:$C,QUERY!D:D)</f>
        <v>430</v>
      </c>
      <c r="FD169" s="4">
        <f>_xlfn.XLOOKUP(B169,QUERY!$C:$C,QUERY!E:E)</f>
        <v>46139</v>
      </c>
      <c r="FE169" s="3">
        <f>_xlfn.XLOOKUP(B169,QUERY!$C:$C,QUERY!F:F)</f>
        <v>4</v>
      </c>
      <c r="FF169" s="4">
        <f>_xlfn.XLOOKUP(B169,QUERY!$C:$C,QUERY!G:G)</f>
        <v>46133</v>
      </c>
      <c r="FG169" s="4">
        <f>_xlfn.XLOOKUP(B169,QUERY!$C:$C,QUERY!H:H)</f>
        <v>46139</v>
      </c>
      <c r="FH169" s="3">
        <f>_xlfn.XLOOKUP(B169,QUERY!$C:$C,QUERY!I:I)</f>
        <v>4</v>
      </c>
      <c r="FI169" s="3" t="str">
        <f>_xlfn.XLOOKUP(B169,QUERY!$C:$C,QUERY!J:J)</f>
        <v>4 a 5 días</v>
      </c>
      <c r="FJ169" s="4">
        <f>_xlfn.XLOOKUP(B169,QUERY!$C:$C,QUERY!K:K)</f>
        <v>46139</v>
      </c>
      <c r="FK169" s="3">
        <f>_xlfn.XLOOKUP(B169,QUERY!$C:$C,QUERY!L:L)</f>
        <v>4</v>
      </c>
      <c r="FL169" s="3" t="str">
        <f>_xlfn.XLOOKUP(B169,QUERY!$C:$C,QUERY!M:M)</f>
        <v>4 a 5 días</v>
      </c>
      <c r="FM169" s="3">
        <f>_xlfn.XLOOKUP(B169,QUERY!$C:$C,QUERY!N:N)</f>
        <v>0</v>
      </c>
      <c r="FN169" s="3" t="str">
        <f>_xlfn.XLOOKUP(B169,QUERY!$C:$C,QUERY!O:O)</f>
        <v>1 día o menos</v>
      </c>
      <c r="FO169" s="3">
        <f>_xlfn.XLOOKUP(B169,QUERY!$C:$C,QUERY!P:P)</f>
        <v>0</v>
      </c>
      <c r="FP169" s="3">
        <f>_xlfn.XLOOKUP(B169,QUERY!$C:$C,QUERY!Q:Q)</f>
        <v>1</v>
      </c>
      <c r="FQ169" s="3" t="str">
        <f>_xlfn.XLOOKUP(B169,QUERY!$C:$C,QUERY!R:R)</f>
        <v>1 día o menos</v>
      </c>
      <c r="FR169" s="4">
        <f>_xlfn.XLOOKUP(B169,QUERY!$C:$C,QUERY!S:S)</f>
        <v>46140</v>
      </c>
      <c r="FS169" s="3">
        <f>_xlfn.XLOOKUP(B169,QUERY!$C:$C,QUERY!T:T)</f>
        <v>5</v>
      </c>
      <c r="FT169" s="3" t="str">
        <f>_xlfn.XLOOKUP(B169,QUERY!$C:$C,QUERY!U:U)</f>
        <v>4 a 5 días</v>
      </c>
      <c r="FU169" s="3">
        <f>_xlfn.XLOOKUP(B169,QUERY!$C:$C,QUERY!V:V)</f>
        <v>14</v>
      </c>
      <c r="FV169" s="3" t="str">
        <f>_xlfn.XLOOKUP(B169,QUERY!$C:$C,QUERY!W:W)</f>
        <v>11 a 15 días</v>
      </c>
      <c r="FW169" s="4">
        <f>_xlfn.XLOOKUP(B169,QUERY!$C:$C,QUERY!X:X)</f>
        <v>46153</v>
      </c>
      <c r="FX169" s="3">
        <f>_xlfn.XLOOKUP(B169,QUERY!$C:$C,QUERY!Y:Y)</f>
        <v>9</v>
      </c>
      <c r="FY169" s="3">
        <f>_xlfn.XLOOKUP(B169,QUERY!$C:$C,QUERY!Z:Z)</f>
        <v>9</v>
      </c>
      <c r="FZ169" s="4" t="str">
        <f>_xlfn.XLOOKUP(B169,QUERY!$C:$C,QUERY!AA:AA)</f>
        <v>11 a 15 días</v>
      </c>
      <c r="GA169" s="4">
        <f>_xlfn.XLOOKUP(B169,QUERY!$C:$C,QUERY!AB:AB)</f>
        <v>46153</v>
      </c>
      <c r="GB169" s="4">
        <f>_xlfn.XLOOKUP(B169,QUERY!$C:$C,QUERY!AC:AC)</f>
        <v>46153</v>
      </c>
      <c r="GC169" s="3">
        <f>_xlfn.XLOOKUP(B169,QUERY!$C:$C,QUERY!AD:AD)</f>
        <v>0</v>
      </c>
      <c r="GD169" s="4">
        <f>_xlfn.XLOOKUP(B169,QUERY!$C:$C,QUERY!AE:AE)</f>
        <v>46153</v>
      </c>
      <c r="GE169" s="3">
        <f>_xlfn.XLOOKUP(B169,QUERY!$C:$C,QUERY!AF:AF)</f>
        <v>1</v>
      </c>
      <c r="GF169" s="4" t="str">
        <f>_xlfn.XLOOKUP(B169,QUERY!$C:$C,QUERY!AG:AG)</f>
        <v>Es anterior</v>
      </c>
      <c r="GG169" s="3" t="str">
        <f>_xlfn.XLOOKUP(B169,QUERY!$C:$C,QUERY!AH:AH)</f>
        <v>A1</v>
      </c>
      <c r="GH169" s="3" t="str">
        <f>_xlfn.XLOOKUP(B169,QUERY!$C:$C,QUERY!AI:AI)</f>
        <v>ZULEIMA PEREZ RUIZ</v>
      </c>
      <c r="GI169" s="3" t="str">
        <f>_xlfn.XLOOKUP(B169,QUERY!$C:$C,QUERY!AJ:AJ)</f>
        <v>HLCURTM260353888</v>
      </c>
      <c r="GJ169" s="3" t="str">
        <f>_xlfn.XLOOKUP(B169,QUERY!$C:$C,QUERY!AK:AK)</f>
        <v>NULL</v>
      </c>
      <c r="GK169" s="3">
        <f>_xlfn.XLOOKUP(B169,QUERY!$C:$C,QUERY!AL:AL)</f>
        <v>6000613</v>
      </c>
      <c r="GL169" s="3" t="str">
        <f>_xlfn.XLOOKUP(B169,QUERY!$C:$C,QUERY!AM:AM)</f>
        <v>Importación</v>
      </c>
      <c r="GM169" s="3" t="str">
        <f>_xlfn.XLOOKUP(B169,QUERY!$C:$C,QUERY!AN:AN)</f>
        <v>PORCILIS PCV M HYO (VACUNA DE USO VETERINARIO)</v>
      </c>
      <c r="GN169" s="3" t="str">
        <f>_xlfn.XLOOKUP(B169,QUERY!$C:$C,QUERY!AO:AO)</f>
        <v>SIN CLASIFICACION</v>
      </c>
      <c r="GO169" s="3">
        <f>_xlfn.XLOOKUP(B169,QUERY!$C:$C,QUERY!AP:AP)</f>
        <v>0</v>
      </c>
      <c r="GP169" s="3" t="str">
        <f>_xlfn.XLOOKUP(B169,QUERY!$C:$C,QUERY!AQ:AQ)</f>
        <v>Cargas de Importación</v>
      </c>
      <c r="GQ169" s="3" t="str">
        <f>_xlfn.XLOOKUP(B169,QUERY!$C:$C,QUERY!AR:AR)</f>
        <v>INTERVET MEXICO SA DE CV</v>
      </c>
      <c r="GR169" s="3">
        <f>_xlfn.XLOOKUP(B169,QUERY!$C:$C,QUERY!AS:AS)</f>
        <v>0</v>
      </c>
      <c r="GS169" s="3" t="str">
        <f>_xlfn.XLOOKUP(B169,QUERY!$C:$C,QUERY!AT:AT)</f>
        <v>NINGUNO</v>
      </c>
      <c r="GT169" s="3">
        <f>_xlfn.XLOOKUP(B169,QUERY!$C:$C,QUERY!AU:AU)</f>
        <v>0</v>
      </c>
      <c r="GU169" s="3" t="str">
        <f>_xlfn.XLOOKUP(B169,QUERY!$C:$C,QUERY!AV:AV)</f>
        <v>NINGUNO</v>
      </c>
      <c r="GV169" s="3" t="str">
        <f>_xlfn.XLOOKUP(B169,QUERY!$C:$C,QUERY!AW:AW)</f>
        <v>PRODUCTO TERMINADO</v>
      </c>
      <c r="GW169" s="3" t="str">
        <f>_xlfn.XLOOKUP(B169,QUERY!$C:$C,QUERY!AX:AX)</f>
        <v>Verde</v>
      </c>
      <c r="GX169" s="3" t="str">
        <f>_xlfn.XLOOKUP(B169,QUERY!$C:$C,QUERY!AY:AY)</f>
        <v xml:space="preserve"> SUPER EXPRESS DE CARGA FEDERAL S.A. DE C.V.</v>
      </c>
      <c r="GY169" s="3">
        <f>_xlfn.XLOOKUP(B169,QUERY!$C:$C,QUERY!AZ:AZ)</f>
        <v>0</v>
      </c>
      <c r="GZ169" s="3" t="str">
        <f>_xlfn.XLOOKUP(B169,QUERY!$C:$C,QUERY!BA:BA)</f>
        <v>IME-T006</v>
      </c>
      <c r="HA169" s="3" t="str">
        <f>_xlfn.XLOOKUP(B169,QUERY!$C:$C,QUERY!BB:BB)</f>
        <v>IME850329RH2</v>
      </c>
      <c r="HB169" s="3">
        <f>_xlfn.XLOOKUP(B169,QUERY!$C:$C,QUERY!BC:BC)</f>
        <v>0</v>
      </c>
      <c r="HC169" s="3">
        <f>_xlfn.XLOOKUP(B169,QUERY!$C:$C,QUERY!BD:BD)</f>
        <v>99</v>
      </c>
      <c r="HD169" s="3" t="str">
        <f>_xlfn.XLOOKUP(B169,QUERY!$C:$C,QUERY!BE:BE)</f>
        <v>LOTE: J654A03,LOTE: J853A01,LOTE: A495A01,LOTE: A494A01,LOTE: 1E076A02,LOTE: A854D01,LOTE: A061A05,LOTE: A463A02,LOTE: A548A01,LOTE: A270B01</v>
      </c>
      <c r="HE169" s="3">
        <f>_xlfn.XLOOKUP(B169,QUERY!$C:$C,QUERY!BF:BF)</f>
        <v>90</v>
      </c>
      <c r="HF169" s="3" t="str">
        <f>_xlfn.XLOOKUP(B169,QUERY!$C:$C,QUERY!BG:BG)</f>
        <v xml:space="preserve"> 1513156.68, 2401836.00, 1768988.52, 1254448.52, 13288734.10, 2977644.74</v>
      </c>
      <c r="HG169" s="3" t="str">
        <f>_xlfn.XLOOKUP(B169,QUERY!$C:$C,QUERY!BH:BH)</f>
        <v>KILO,KILO,KILO,KILO,KILO,KILO,KILO,KILO,KILO,KILO</v>
      </c>
      <c r="HH169" s="3">
        <f>_xlfn.XLOOKUP(B169,QUERY!$C:$C,QUERY!BI:BI)</f>
        <v>0</v>
      </c>
      <c r="HI169" s="3" t="str">
        <f>_xlfn.XLOOKUP(B169,QUERY!$C:$C,QUERY!BJ:BJ)</f>
        <v>PAISES BAJOS (REINO DE LOS) (HOLANDA)</v>
      </c>
      <c r="HJ169" s="3" t="str">
        <f>_xlfn.XLOOKUP(B169,QUERY!$C:$C,QUERY!BK:BK)</f>
        <v>PAISES BAJOS (REINO DE LOS) (HOLANDA)</v>
      </c>
      <c r="HK169" s="3" t="str">
        <f>_xlfn.XLOOKUP(B169,QUERY!$C:$C,QUERY!BL:BL)</f>
        <v>ZYA</v>
      </c>
      <c r="HL169" s="3" t="str">
        <f>_xlfn.XLOOKUP(B169,QUERY!$C:$C,QUERY!BM:BM)</f>
        <v>ZYA</v>
      </c>
      <c r="HM169" s="3">
        <f>_xlfn.XLOOKUP(B169,QUERY!$C:$C,QUERY!BN:BN)</f>
        <v>23204810</v>
      </c>
      <c r="HN169" s="3" t="str">
        <f>_xlfn.XLOOKUP(B169,QUERY!$C:$C,QUERY!BO:BO)</f>
        <v>462.00</v>
      </c>
      <c r="HO169" s="3" t="str">
        <f>_xlfn.XLOOKUP(B169,QUERY!$C:$C,QUERY!BP:BP)</f>
        <v>NULL</v>
      </c>
      <c r="HP169" s="3" t="str">
        <f>_xlfn.XLOOKUP(B169,QUERY!$C:$C,QUERY!BQ:BQ)</f>
        <v>NULL</v>
      </c>
      <c r="HQ169" s="3" t="str">
        <f>_xlfn.XLOOKUP(B169,QUERY!$C:$C,QUERY!BR:BR)</f>
        <v>189833.75</v>
      </c>
      <c r="HR169" s="3">
        <f>_xlfn.XLOOKUP(B169,QUERY!$C:$C,QUERY!BS:BS)</f>
        <v>0</v>
      </c>
      <c r="HS169" s="3">
        <f>_xlfn.XLOOKUP(B169,QUERY!$C:$C,QUERY!BT:BT)</f>
        <v>0</v>
      </c>
      <c r="HT169" s="3" t="str">
        <f>_xlfn.XLOOKUP(B169,QUERY!$C:$C,QUERY!A:A)</f>
        <v>VERACRUZ</v>
      </c>
      <c r="HU169" s="3" t="str">
        <f>_xlfn.XLOOKUP(B169,QUERY!$C:$C,QUERY!B:B)</f>
        <v>MARÍTIMO VERACRUZ</v>
      </c>
    </row>
    <row r="170" spans="1:229" x14ac:dyDescent="0.25">
      <c r="A170" s="3" t="s">
        <v>90</v>
      </c>
      <c r="B170" s="3" t="s">
        <v>450</v>
      </c>
      <c r="C170" s="3">
        <v>3942</v>
      </c>
      <c r="D170" s="3">
        <v>6000613</v>
      </c>
      <c r="E170" s="3"/>
      <c r="F170" s="3" t="s">
        <v>92</v>
      </c>
      <c r="G170" s="3" t="s">
        <v>93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17.244700000000002</v>
      </c>
      <c r="Q170" s="3">
        <v>7268</v>
      </c>
      <c r="R170" s="3">
        <v>430</v>
      </c>
      <c r="S170" s="3" t="s">
        <v>451</v>
      </c>
      <c r="T170" s="3" t="s">
        <v>130</v>
      </c>
      <c r="U170" s="3">
        <v>23204810</v>
      </c>
      <c r="V170" s="3">
        <v>23204810</v>
      </c>
      <c r="W170" s="3">
        <v>0</v>
      </c>
      <c r="X170" s="3">
        <v>0</v>
      </c>
      <c r="Y170" s="3">
        <v>0</v>
      </c>
      <c r="Z170" s="3">
        <v>0</v>
      </c>
      <c r="AA170" s="3" t="s">
        <v>217</v>
      </c>
      <c r="AB170" s="3"/>
      <c r="AC170" s="3">
        <v>3093506</v>
      </c>
      <c r="AD170" s="3">
        <v>520.87995000000001</v>
      </c>
      <c r="AE170" s="3">
        <v>808</v>
      </c>
      <c r="AF170" s="3">
        <v>0</v>
      </c>
      <c r="AG170" s="3">
        <v>0</v>
      </c>
      <c r="AH170" s="3">
        <v>0</v>
      </c>
      <c r="AI170" s="3">
        <v>53</v>
      </c>
      <c r="AJ170" s="3">
        <v>462</v>
      </c>
      <c r="AK170" s="3">
        <v>0</v>
      </c>
      <c r="AL170" s="3">
        <v>0</v>
      </c>
      <c r="AM170" s="3">
        <v>330</v>
      </c>
      <c r="AN170" s="3">
        <v>845</v>
      </c>
      <c r="AO170" s="3" t="s">
        <v>97</v>
      </c>
      <c r="AP170" s="3" t="s">
        <v>98</v>
      </c>
      <c r="AQ170" s="3">
        <v>210370643</v>
      </c>
      <c r="AR170" s="3" t="s">
        <v>99</v>
      </c>
      <c r="AS170" s="3" t="s">
        <v>100</v>
      </c>
      <c r="AT170" s="3" t="s">
        <v>456</v>
      </c>
      <c r="AU170" s="3"/>
      <c r="AV170" s="3" t="s">
        <v>146</v>
      </c>
      <c r="AW170" s="3">
        <v>30024201</v>
      </c>
      <c r="AX170" s="3">
        <v>99</v>
      </c>
      <c r="AY170" s="3">
        <v>5939</v>
      </c>
      <c r="AZ170" s="3">
        <v>5939</v>
      </c>
      <c r="BA170" s="3" t="s">
        <v>103</v>
      </c>
      <c r="BB170" s="3"/>
      <c r="BC170" s="3" t="s">
        <v>105</v>
      </c>
      <c r="BD170" s="3" t="s">
        <v>105</v>
      </c>
      <c r="BE170" s="3" t="s">
        <v>106</v>
      </c>
      <c r="BF170" s="3" t="s">
        <v>117</v>
      </c>
      <c r="BG170" s="5" t="s">
        <v>457</v>
      </c>
      <c r="BH170" s="3" t="s">
        <v>148</v>
      </c>
      <c r="BI170" s="3"/>
      <c r="BJ170" s="3" t="s">
        <v>109</v>
      </c>
      <c r="BK170" s="3" t="s">
        <v>458</v>
      </c>
      <c r="BL170" s="3">
        <v>46002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22189.59</v>
      </c>
      <c r="BY170" s="3">
        <v>0</v>
      </c>
      <c r="BZ170" s="3">
        <v>0</v>
      </c>
      <c r="CA170" s="3">
        <v>26133.93</v>
      </c>
      <c r="CB170" s="3">
        <v>18000</v>
      </c>
      <c r="CC170" s="3">
        <v>3323.2</v>
      </c>
      <c r="CD170" s="3">
        <v>189833.75</v>
      </c>
      <c r="CE170" s="3" t="s">
        <v>192</v>
      </c>
      <c r="CF170" s="3">
        <v>189833.75</v>
      </c>
      <c r="CG170" s="3">
        <v>0</v>
      </c>
      <c r="CH170" s="3">
        <v>0</v>
      </c>
      <c r="CI170" s="3" t="s">
        <v>112</v>
      </c>
      <c r="CJ170" s="3" t="s">
        <v>112</v>
      </c>
      <c r="CK170" s="3">
        <f>_xlfn.XLOOKUP($B$2,'BASE DE EXCEL'!C:C,'BASE DE EXCEL'!D:D,"NO HAY REFERENCIA")</f>
        <v>470</v>
      </c>
      <c r="CL170" s="5">
        <f>_xlfn.XLOOKUP($B$2,'BASE DE EXCEL'!$C:$C,'BASE DE EXCEL'!F:F,"NO HAY REFERENCIA")</f>
        <v>3</v>
      </c>
      <c r="CM170" s="4">
        <f>_xlfn.XLOOKUP($B$2,'BASE DE EXCEL'!$C:$C,'BASE DE EXCEL'!G:G,"NO HAY REFERENCIA")</f>
        <v>46080</v>
      </c>
      <c r="CN170" s="4">
        <f>_xlfn.XLOOKUP($B$2,'BASE DE EXCEL'!$C:$C,'BASE DE EXCEL'!H:H,"NO HAY REFERENCIA")</f>
        <v>46086</v>
      </c>
      <c r="CO170" s="3">
        <f>_xlfn.XLOOKUP($B$2,'BASE DE EXCEL'!$C:$C,'BASE DE EXCEL'!I:I,"NO HAY REFERENCIA")</f>
        <v>4</v>
      </c>
      <c r="CP170" s="3" t="str">
        <f>_xlfn.XLOOKUP($B$2,'BASE DE EXCEL'!$C:$C,'BASE DE EXCEL'!J:J,"NO HAY REFERENCIA")</f>
        <v>4 a 5 días</v>
      </c>
      <c r="CQ170" s="4">
        <f>_xlfn.XLOOKUP($B$2,'BASE DE EXCEL'!$C:$C,'BASE DE EXCEL'!K:K,"NO HAY REFERENCIA")</f>
        <v>46087</v>
      </c>
      <c r="CR170" s="3">
        <f>_xlfn.XLOOKUP($B$2,'BASE DE EXCEL'!$C:$C,'BASE DE EXCEL'!L:L,"NO HAY REFERENCIA")</f>
        <v>5</v>
      </c>
      <c r="CS170" s="3">
        <f>_xlfn.XLOOKUP($B$2,'BASE DE EXCEL'!$C:$C,'BASE DE EXCEL'!M:M,"NO HAY REFERENCIA")</f>
        <v>6</v>
      </c>
      <c r="CT170" s="3" t="str">
        <f>_xlfn.XLOOKUP($B$2,'BASE DE EXCEL'!$C:$C,'BASE DE EXCEL'!N:N,"NO HAY REFERENCIA")</f>
        <v>6 a 10 días</v>
      </c>
      <c r="CU170" s="3" t="str">
        <f>_xlfn.XLOOKUP($B$2,'BASE DE EXCEL'!$C:$C,'BASE DE EXCEL'!O:O,"NO HAY REFERENCIA")</f>
        <v>On Time</v>
      </c>
      <c r="CV170" s="3" t="str">
        <f>_xlfn.XLOOKUP(B170,'BASE DE EXCEL'!$C:$C,'BASE DE EXCEL'!P:P,"NO HAY REFERENCIA")</f>
        <v>6 a 10 días</v>
      </c>
      <c r="CW170" s="4">
        <f>_xlfn.XLOOKUP(B170,'BASE DE EXCEL'!$C:$C,'BASE DE EXCEL'!Q:Q,"NO HAY REFERENCIA")</f>
        <v>46140</v>
      </c>
      <c r="CX170" s="3">
        <f>_xlfn.XLOOKUP(B170,'BASE DE EXCEL'!$C:$C,'BASE DE EXCEL'!R:R,"NO HAY REFERENCIA")</f>
        <v>6</v>
      </c>
      <c r="CY170" s="3" t="str">
        <f>_xlfn.XLOOKUP(B170,'BASE DE EXCEL'!$C:$C,'BASE DE EXCEL'!S:S,"NO HAY REFERENCIA")</f>
        <v>6 a 10 días</v>
      </c>
      <c r="CZ170" s="3" t="str">
        <f>_xlfn.XLOOKUP(B170,'BASE DE EXCEL'!$C:$C,'BASE DE EXCEL'!T:T,"NO HAY REFERENCIA")</f>
        <v>On Time</v>
      </c>
      <c r="DA170" s="3">
        <f>_xlfn.XLOOKUP(B170,'BASE DE EXCEL'!$C:$C,'BASE DE EXCEL'!U:U,"NO HAY REFERENCIA")</f>
        <v>7</v>
      </c>
      <c r="DB170" s="3" t="str">
        <f>_xlfn.XLOOKUP(B170,'BASE DE EXCEL'!$C:$C,'BASE DE EXCEL'!V:V,"NO HAY REFERENCIA")</f>
        <v>4 a 5 días</v>
      </c>
      <c r="DC170" s="3">
        <f>_xlfn.XLOOKUP(B170,'BASE DE EXCEL'!$C:$C,'BASE DE EXCEL'!W:W,"NO HAY REFERENCIA")</f>
        <v>14</v>
      </c>
      <c r="DD170" s="3" t="str">
        <f>_xlfn.XLOOKUP(B170,'BASE DE EXCEL'!$C:$C,'BASE DE EXCEL'!X:X,"NO HAY REFERENCIA")</f>
        <v>11 a 15 días</v>
      </c>
      <c r="DE170" s="3">
        <f>_xlfn.XLOOKUP(B170,'BASE DE EXCEL'!$C:$C,'BASE DE EXCEL'!Y:Y,"NO HAY REFERENCIA")</f>
        <v>0</v>
      </c>
      <c r="DF170" s="3" t="str">
        <f>_xlfn.XLOOKUP(B170,'BASE DE EXCEL'!$C:$C,'BASE DE EXCEL'!Z:Z,"NO HAY REFERENCIA")</f>
        <v>1 día o menos</v>
      </c>
      <c r="DG170" s="3">
        <f>_xlfn.XLOOKUP(B170,'BASE DE EXCEL'!$C:$C,'BASE DE EXCEL'!AA:AA,"NO HAY REFERENCIA")</f>
        <v>6</v>
      </c>
      <c r="DH170" s="3">
        <f>_xlfn.XLOOKUP(B170,'BASE DE EXCEL'!$C:$C,'BASE DE EXCEL'!AB:AB,"NO HAY REFERENCIA")</f>
        <v>1</v>
      </c>
      <c r="DI170" s="3" t="str">
        <f>_xlfn.XLOOKUP(B170,'BASE DE EXCEL'!$C:$C,'BASE DE EXCEL'!AC:AC,"NO HAY REFERENCIA")</f>
        <v>1 día o menos</v>
      </c>
      <c r="DJ170" s="4">
        <f>_xlfn.XLOOKUP(B170,'BASE DE EXCEL'!$C:$C,'BASE DE EXCEL'!AD:AD,"NO HAY REFERENCIA")</f>
        <v>46153</v>
      </c>
      <c r="DK170" s="3">
        <f>_xlfn.XLOOKUP(B170,'BASE DE EXCEL'!$C:$C,'BASE DE EXCEL'!AE:AE,"NO HAY REFERENCIA")</f>
        <v>13</v>
      </c>
      <c r="DL170" s="3">
        <f>_xlfn.XLOOKUP(B170,'BASE DE EXCEL'!$C:$C,'BASE DE EXCEL'!AF:AF,"NO HAY REFERENCIA")</f>
        <v>9</v>
      </c>
      <c r="DM170" s="4">
        <f>_xlfn.XLOOKUP(B170,'BASE DE EXCEL'!$C:$C,'BASE DE EXCEL'!AG:AG,"NO HAY REFERENCIA")</f>
        <v>46153</v>
      </c>
      <c r="DN170" s="4">
        <f>_xlfn.XLOOKUP(B170,'BASE DE EXCEL'!$C:$C,'BASE DE EXCEL'!AH:AH,"NO HAY REFERENCIA")</f>
        <v>46153</v>
      </c>
      <c r="DO170" s="3">
        <f>_xlfn.XLOOKUP(B170,'BASE DE EXCEL'!$C:$C,'BASE DE EXCEL'!AI:AI,"NO HAY REFERENCIA")</f>
        <v>0</v>
      </c>
      <c r="DP170" s="4" t="str">
        <f>_xlfn.XLOOKUP(B170,'BASE DE EXCEL'!$C:$C,'BASE DE EXCEL'!AJ:AJ,"NO HAY REFERENCIA")</f>
        <v>11 a 15 días</v>
      </c>
      <c r="DQ170" s="4">
        <f>_xlfn.XLOOKUP(B170,'BASE DE EXCEL'!$C:$C,'BASE DE EXCEL'!AK:AK,"NO HAY REFERENCIA")</f>
        <v>46153</v>
      </c>
      <c r="DR170" s="3">
        <f>_xlfn.XLOOKUP(B170,'BASE DE EXCEL'!$C:$C,'BASE DE EXCEL'!AL:AL,"NO HAY REFERENCIA")</f>
        <v>9</v>
      </c>
      <c r="DS170" s="3" t="str">
        <f>_xlfn.XLOOKUP(B170,'BASE DE EXCEL'!$C:$C,'BASE DE EXCEL'!AM:AM,"NO HAY REFERENCIA")</f>
        <v>6 a 10 días</v>
      </c>
      <c r="DT170" s="3" t="str">
        <f>_xlfn.XLOOKUP(B170,'BASE DE EXCEL'!$C:$C,'BASE DE EXCEL'!AN:AN,"NO HAY REFERENCIA")</f>
        <v>Delayed</v>
      </c>
      <c r="DU170" s="3">
        <f>_xlfn.XLOOKUP(B170,'BASE DE EXCEL'!$C:$C,'BASE DE EXCEL'!AO:AO,"NO HAY REFERENCIA")</f>
        <v>1</v>
      </c>
      <c r="DV170" s="3" t="str">
        <f>_xlfn.XLOOKUP(B170,'BASE DE EXCEL'!$C:$C,'BASE DE EXCEL'!AP:AP,"NO HAY REFERENCIA")</f>
        <v>Es anterior</v>
      </c>
      <c r="DW170" s="3" t="str">
        <f>_xlfn.XLOOKUP(B170,'BASE DE EXCEL'!$C:$C,'BASE DE EXCEL'!AQ:AQ,"NO HAY REFERENCIA")</f>
        <v>A1</v>
      </c>
      <c r="DX170" s="3" t="str">
        <f>_xlfn.XLOOKUP(B170,'BASE DE EXCEL'!$C:$C,'BASE DE EXCEL'!AR:AR,"NO HAY REFERENCIA")</f>
        <v>ZULEIMA PEREZ RUIZ</v>
      </c>
      <c r="DY170" s="3" t="str">
        <f>_xlfn.XLOOKUP(B170,'BASE DE EXCEL'!$C:$C,'BASE DE EXCEL'!AS:AS,"NO HAY REFERENCIA")</f>
        <v>HLCURTM260353888</v>
      </c>
      <c r="DZ170" s="3" t="str">
        <f>_xlfn.XLOOKUP(B170,'BASE DE EXCEL'!$C:$C,'BASE DE EXCEL'!AT:AT,"NO HAY REFERENCIA")</f>
        <v>NULL</v>
      </c>
      <c r="EA170" s="3">
        <f>_xlfn.XLOOKUP(B170,'BASE DE EXCEL'!$C:$C,'BASE DE EXCEL'!AU:AU,"NO HAY REFERENCIA")</f>
        <v>6000613</v>
      </c>
      <c r="EB170" s="3" t="str">
        <f>_xlfn.XLOOKUP(B170,'BASE DE EXCEL'!$C:$C,'BASE DE EXCEL'!AV:AV,"NO HAY REFERENCIA")</f>
        <v>Importación</v>
      </c>
      <c r="EC170" s="3" t="str">
        <f>_xlfn.XLOOKUP(B170,'BASE DE EXCEL'!$C:$C,'BASE DE EXCEL'!AW:AW,"NO HAY REFERENCIA")</f>
        <v>PORCILIS PCV M HYO (VACUNA DE USO VETERINARIO)</v>
      </c>
      <c r="ED170" s="3" t="str">
        <f>_xlfn.XLOOKUP(B170,'BASE DE EXCEL'!$C:$C,'BASE DE EXCEL'!AX:AX,"NO HAY REFERENCIA")</f>
        <v>SIN CLASIFICACION</v>
      </c>
      <c r="EE170" s="3">
        <f>_xlfn.XLOOKUP(B170,'BASE DE EXCEL'!$C:$C,'BASE DE EXCEL'!AY:AY,"NO HAY REFERENCIA")</f>
        <v>0</v>
      </c>
      <c r="EF170" s="3" t="str">
        <f>_xlfn.XLOOKUP(B170,'BASE DE EXCEL'!$C:$C,'BASE DE EXCEL'!AZ:AZ,"NO HAY REFERENCIA")</f>
        <v>Cargas de Importación</v>
      </c>
      <c r="EG170" s="3" t="str">
        <f>_xlfn.XLOOKUP(B170,'BASE DE EXCEL'!$C:$C,'BASE DE EXCEL'!BA:BA,"NO HAY REFERENCIA")</f>
        <v>INTERVET MEXICO SA DE CV</v>
      </c>
      <c r="EH170" s="3">
        <f>_xlfn.XLOOKUP(B170,'BASE DE EXCEL'!$C:$C,'BASE DE EXCEL'!BB:BB,"NO HAY REFERENCIA")</f>
        <v>0</v>
      </c>
      <c r="EI170" s="3" t="str">
        <f>_xlfn.XLOOKUP(B170,'BASE DE EXCEL'!$C:$C,'BASE DE EXCEL'!BC:BC,"NO HAY REFERENCIA")</f>
        <v>NINGUNO</v>
      </c>
      <c r="EJ170" s="3">
        <f>_xlfn.XLOOKUP(B170,'BASE DE EXCEL'!$C:$C,'BASE DE EXCEL'!BD:BD,"NO HAY REFERENCIA")</f>
        <v>0</v>
      </c>
      <c r="EK170" s="3" t="str">
        <f>_xlfn.XLOOKUP(B170,'BASE DE EXCEL'!$C:$C,'BASE DE EXCEL'!BE:BE,"NO HAY REFERENCIA")</f>
        <v>NINGUNO</v>
      </c>
      <c r="EL170" s="3" t="str">
        <f>_xlfn.XLOOKUP(B170,'BASE DE EXCEL'!$C:$C,'BASE DE EXCEL'!BF:BF,"NO HAY REFERENCIA")</f>
        <v>PRODUCTO TERMINADO</v>
      </c>
      <c r="EM170" s="3" t="str">
        <f>_xlfn.XLOOKUP(B170,'BASE DE EXCEL'!$C:$C,'BASE DE EXCEL'!BG:BG,"NO HAY REFERENCIA")</f>
        <v>Verde</v>
      </c>
      <c r="EN170" s="3" t="str">
        <f>_xlfn.XLOOKUP(B170,'BASE DE EXCEL'!$C:$C,'BASE DE EXCEL'!BH:BH,"NO HAY REFERENCIA")</f>
        <v xml:space="preserve"> SUPER EXPRESS DE CARGA FEDERAL S.A. DE C.V.</v>
      </c>
      <c r="EO170" s="3">
        <f>_xlfn.XLOOKUP(B170,'BASE DE EXCEL'!$C:$C,'BASE DE EXCEL'!BI:BI,"NO HAY REFERENCIA")</f>
        <v>0</v>
      </c>
      <c r="EP170" s="3" t="str">
        <f>_xlfn.XLOOKUP(B170,'BASE DE EXCEL'!$C:$C,'BASE DE EXCEL'!BJ:BJ,"NO HAY REFERENCIA")</f>
        <v>IME-T006</v>
      </c>
      <c r="EQ170" s="3" t="str">
        <f>_xlfn.XLOOKUP(B170,'BASE DE EXCEL'!$C:$C,'BASE DE EXCEL'!BK:BK,"NO HAY REFERENCIA")</f>
        <v>IME850329RH2</v>
      </c>
      <c r="ER170" s="3">
        <f>_xlfn.XLOOKUP(B170,'BASE DE EXCEL'!$C:$C,'BASE DE EXCEL'!BL:BL,"NO HAY REFERENCIA")</f>
        <v>0</v>
      </c>
      <c r="ES170" s="3">
        <f>_xlfn.XLOOKUP(B170,'BASE DE EXCEL'!$C:$C,'BASE DE EXCEL'!BM:BM,"NO HAY REFERENCIA")</f>
        <v>99</v>
      </c>
      <c r="ET170" s="3" t="str">
        <f>_xlfn.XLOOKUP(B170,'BASE DE EXCEL'!$C:$C,'BASE DE EXCEL'!BN:BN,"NO HAY REFERENCIA")</f>
        <v>LOTE: J654A03,LOTE: J853A01,LOTE: A495A01,LOTE: A494A01,LOTE: 1E076A02,LOTE: A854D01,LOTE: A061A05,LOTE: A463A02,LOTE: A548A01,LOTE: A270B01</v>
      </c>
      <c r="EU170" s="3">
        <f>_xlfn.XLOOKUP(B170,'BASE DE EXCEL'!$C:$C,'BASE DE EXCEL'!BO:BO,"NO HAY REFERENCIA")</f>
        <v>90</v>
      </c>
      <c r="EV170" s="3" t="str">
        <f>_xlfn.XLOOKUP(B170,'BASE DE EXCEL'!$C:$C,'BASE DE EXCEL'!BP:BP,"NO HAY REFERENCIA")</f>
        <v xml:space="preserve"> 1513156.68, 2401836.00, 1768988.52, 1254448.52, 13288734.10, 2977644.74</v>
      </c>
      <c r="EW170" s="3" t="str">
        <f>_xlfn.XLOOKUP(B170,'BASE DE EXCEL'!$C:$C,'BASE DE EXCEL'!BQ:BQ,"NO HAY REFERENCIA")</f>
        <v>KILO,KILO,KILO,KILO,KILO,KILO,KILO,KILO,KILO,KILO</v>
      </c>
      <c r="EX170" s="3">
        <f>_xlfn.XLOOKUP(B170,'BASE DE EXCEL'!$C:$C,'BASE DE EXCEL'!BR:BR,"NO HAY REFERENCIA")</f>
        <v>0</v>
      </c>
      <c r="EY170" s="3" t="str">
        <f>_xlfn.XLOOKUP(B170,'BASE DE EXCEL'!$C:$C,'BASE DE EXCEL'!BS:BS,"NO HAY REFERENCIA")</f>
        <v>PAISES BAJOS (REINO DE LOS) (HOLANDA)</v>
      </c>
      <c r="EZ170" s="3" t="str">
        <f>_xlfn.XLOOKUP(B170,'BASE DE EXCEL'!$C:$C,'BASE DE EXCEL'!BT:BT,"NO HAY REFERENCIA")</f>
        <v>PAISES BAJOS (REINO DE LOS) (HOLANDA)</v>
      </c>
      <c r="FA170" s="3" t="str">
        <f>_xlfn.XLOOKUP(B170,'BASE DE EXCEL'!$C:$C,'BASE DE EXCEL'!BU:BU,"NO HAY REFERENCIA")</f>
        <v>ZYA</v>
      </c>
      <c r="FB170" s="3" t="str">
        <f>_xlfn.XLOOKUP(B170,'BASE DE EXCEL'!$C:$C,'BASE DE EXCEL'!BV:BV,"NO HAY REFERENCIA")</f>
        <v>ZYA</v>
      </c>
      <c r="FC170" s="3">
        <f>_xlfn.XLOOKUP(B170,QUERY!$C:$C,QUERY!D:D)</f>
        <v>430</v>
      </c>
      <c r="FD170" s="4">
        <f>_xlfn.XLOOKUP(B170,QUERY!$C:$C,QUERY!E:E)</f>
        <v>46139</v>
      </c>
      <c r="FE170" s="3">
        <f>_xlfn.XLOOKUP(B170,QUERY!$C:$C,QUERY!F:F)</f>
        <v>4</v>
      </c>
      <c r="FF170" s="4">
        <f>_xlfn.XLOOKUP(B170,QUERY!$C:$C,QUERY!G:G)</f>
        <v>46133</v>
      </c>
      <c r="FG170" s="4">
        <f>_xlfn.XLOOKUP(B170,QUERY!$C:$C,QUERY!H:H)</f>
        <v>46139</v>
      </c>
      <c r="FH170" s="3">
        <f>_xlfn.XLOOKUP(B170,QUERY!$C:$C,QUERY!I:I)</f>
        <v>4</v>
      </c>
      <c r="FI170" s="3" t="str">
        <f>_xlfn.XLOOKUP(B170,QUERY!$C:$C,QUERY!J:J)</f>
        <v>4 a 5 días</v>
      </c>
      <c r="FJ170" s="4">
        <f>_xlfn.XLOOKUP(B170,QUERY!$C:$C,QUERY!K:K)</f>
        <v>46139</v>
      </c>
      <c r="FK170" s="3">
        <f>_xlfn.XLOOKUP(B170,QUERY!$C:$C,QUERY!L:L)</f>
        <v>4</v>
      </c>
      <c r="FL170" s="3" t="str">
        <f>_xlfn.XLOOKUP(B170,QUERY!$C:$C,QUERY!M:M)</f>
        <v>4 a 5 días</v>
      </c>
      <c r="FM170" s="3">
        <f>_xlfn.XLOOKUP(B170,QUERY!$C:$C,QUERY!N:N)</f>
        <v>0</v>
      </c>
      <c r="FN170" s="3" t="str">
        <f>_xlfn.XLOOKUP(B170,QUERY!$C:$C,QUERY!O:O)</f>
        <v>1 día o menos</v>
      </c>
      <c r="FO170" s="3">
        <f>_xlfn.XLOOKUP(B170,QUERY!$C:$C,QUERY!P:P)</f>
        <v>0</v>
      </c>
      <c r="FP170" s="3">
        <f>_xlfn.XLOOKUP(B170,QUERY!$C:$C,QUERY!Q:Q)</f>
        <v>1</v>
      </c>
      <c r="FQ170" s="3" t="str">
        <f>_xlfn.XLOOKUP(B170,QUERY!$C:$C,QUERY!R:R)</f>
        <v>1 día o menos</v>
      </c>
      <c r="FR170" s="4">
        <f>_xlfn.XLOOKUP(B170,QUERY!$C:$C,QUERY!S:S)</f>
        <v>46140</v>
      </c>
      <c r="FS170" s="3">
        <f>_xlfn.XLOOKUP(B170,QUERY!$C:$C,QUERY!T:T)</f>
        <v>5</v>
      </c>
      <c r="FT170" s="3" t="str">
        <f>_xlfn.XLOOKUP(B170,QUERY!$C:$C,QUERY!U:U)</f>
        <v>4 a 5 días</v>
      </c>
      <c r="FU170" s="3">
        <f>_xlfn.XLOOKUP(B170,QUERY!$C:$C,QUERY!V:V)</f>
        <v>14</v>
      </c>
      <c r="FV170" s="3" t="str">
        <f>_xlfn.XLOOKUP(B170,QUERY!$C:$C,QUERY!W:W)</f>
        <v>11 a 15 días</v>
      </c>
      <c r="FW170" s="4">
        <f>_xlfn.XLOOKUP(B170,QUERY!$C:$C,QUERY!X:X)</f>
        <v>46153</v>
      </c>
      <c r="FX170" s="3">
        <f>_xlfn.XLOOKUP(B170,QUERY!$C:$C,QUERY!Y:Y)</f>
        <v>9</v>
      </c>
      <c r="FY170" s="3">
        <f>_xlfn.XLOOKUP(B170,QUERY!$C:$C,QUERY!Z:Z)</f>
        <v>9</v>
      </c>
      <c r="FZ170" s="4" t="str">
        <f>_xlfn.XLOOKUP(B170,QUERY!$C:$C,QUERY!AA:AA)</f>
        <v>11 a 15 días</v>
      </c>
      <c r="GA170" s="4">
        <f>_xlfn.XLOOKUP(B170,QUERY!$C:$C,QUERY!AB:AB)</f>
        <v>46153</v>
      </c>
      <c r="GB170" s="4">
        <f>_xlfn.XLOOKUP(B170,QUERY!$C:$C,QUERY!AC:AC)</f>
        <v>46153</v>
      </c>
      <c r="GC170" s="3">
        <f>_xlfn.XLOOKUP(B170,QUERY!$C:$C,QUERY!AD:AD)</f>
        <v>0</v>
      </c>
      <c r="GD170" s="4">
        <f>_xlfn.XLOOKUP(B170,QUERY!$C:$C,QUERY!AE:AE)</f>
        <v>46153</v>
      </c>
      <c r="GE170" s="3">
        <f>_xlfn.XLOOKUP(B170,QUERY!$C:$C,QUERY!AF:AF)</f>
        <v>1</v>
      </c>
      <c r="GF170" s="4" t="str">
        <f>_xlfn.XLOOKUP(B170,QUERY!$C:$C,QUERY!AG:AG)</f>
        <v>Es anterior</v>
      </c>
      <c r="GG170" s="3" t="str">
        <f>_xlfn.XLOOKUP(B170,QUERY!$C:$C,QUERY!AH:AH)</f>
        <v>A1</v>
      </c>
      <c r="GH170" s="3" t="str">
        <f>_xlfn.XLOOKUP(B170,QUERY!$C:$C,QUERY!AI:AI)</f>
        <v>ZULEIMA PEREZ RUIZ</v>
      </c>
      <c r="GI170" s="3" t="str">
        <f>_xlfn.XLOOKUP(B170,QUERY!$C:$C,QUERY!AJ:AJ)</f>
        <v>HLCURTM260353888</v>
      </c>
      <c r="GJ170" s="3" t="str">
        <f>_xlfn.XLOOKUP(B170,QUERY!$C:$C,QUERY!AK:AK)</f>
        <v>NULL</v>
      </c>
      <c r="GK170" s="3">
        <f>_xlfn.XLOOKUP(B170,QUERY!$C:$C,QUERY!AL:AL)</f>
        <v>6000613</v>
      </c>
      <c r="GL170" s="3" t="str">
        <f>_xlfn.XLOOKUP(B170,QUERY!$C:$C,QUERY!AM:AM)</f>
        <v>Importación</v>
      </c>
      <c r="GM170" s="3" t="str">
        <f>_xlfn.XLOOKUP(B170,QUERY!$C:$C,QUERY!AN:AN)</f>
        <v>PORCILIS PCV M HYO (VACUNA DE USO VETERINARIO)</v>
      </c>
      <c r="GN170" s="3" t="str">
        <f>_xlfn.XLOOKUP(B170,QUERY!$C:$C,QUERY!AO:AO)</f>
        <v>SIN CLASIFICACION</v>
      </c>
      <c r="GO170" s="3">
        <f>_xlfn.XLOOKUP(B170,QUERY!$C:$C,QUERY!AP:AP)</f>
        <v>0</v>
      </c>
      <c r="GP170" s="3" t="str">
        <f>_xlfn.XLOOKUP(B170,QUERY!$C:$C,QUERY!AQ:AQ)</f>
        <v>Cargas de Importación</v>
      </c>
      <c r="GQ170" s="3" t="str">
        <f>_xlfn.XLOOKUP(B170,QUERY!$C:$C,QUERY!AR:AR)</f>
        <v>INTERVET MEXICO SA DE CV</v>
      </c>
      <c r="GR170" s="3">
        <f>_xlfn.XLOOKUP(B170,QUERY!$C:$C,QUERY!AS:AS)</f>
        <v>0</v>
      </c>
      <c r="GS170" s="3" t="str">
        <f>_xlfn.XLOOKUP(B170,QUERY!$C:$C,QUERY!AT:AT)</f>
        <v>NINGUNO</v>
      </c>
      <c r="GT170" s="3">
        <f>_xlfn.XLOOKUP(B170,QUERY!$C:$C,QUERY!AU:AU)</f>
        <v>0</v>
      </c>
      <c r="GU170" s="3" t="str">
        <f>_xlfn.XLOOKUP(B170,QUERY!$C:$C,QUERY!AV:AV)</f>
        <v>NINGUNO</v>
      </c>
      <c r="GV170" s="3" t="str">
        <f>_xlfn.XLOOKUP(B170,QUERY!$C:$C,QUERY!AW:AW)</f>
        <v>PRODUCTO TERMINADO</v>
      </c>
      <c r="GW170" s="3" t="str">
        <f>_xlfn.XLOOKUP(B170,QUERY!$C:$C,QUERY!AX:AX)</f>
        <v>Verde</v>
      </c>
      <c r="GX170" s="3" t="str">
        <f>_xlfn.XLOOKUP(B170,QUERY!$C:$C,QUERY!AY:AY)</f>
        <v xml:space="preserve"> SUPER EXPRESS DE CARGA FEDERAL S.A. DE C.V.</v>
      </c>
      <c r="GY170" s="3">
        <f>_xlfn.XLOOKUP(B170,QUERY!$C:$C,QUERY!AZ:AZ)</f>
        <v>0</v>
      </c>
      <c r="GZ170" s="3" t="str">
        <f>_xlfn.XLOOKUP(B170,QUERY!$C:$C,QUERY!BA:BA)</f>
        <v>IME-T006</v>
      </c>
      <c r="HA170" s="3" t="str">
        <f>_xlfn.XLOOKUP(B170,QUERY!$C:$C,QUERY!BB:BB)</f>
        <v>IME850329RH2</v>
      </c>
      <c r="HB170" s="3">
        <f>_xlfn.XLOOKUP(B170,QUERY!$C:$C,QUERY!BC:BC)</f>
        <v>0</v>
      </c>
      <c r="HC170" s="3">
        <f>_xlfn.XLOOKUP(B170,QUERY!$C:$C,QUERY!BD:BD)</f>
        <v>99</v>
      </c>
      <c r="HD170" s="3" t="str">
        <f>_xlfn.XLOOKUP(B170,QUERY!$C:$C,QUERY!BE:BE)</f>
        <v>LOTE: J654A03,LOTE: J853A01,LOTE: A495A01,LOTE: A494A01,LOTE: 1E076A02,LOTE: A854D01,LOTE: A061A05,LOTE: A463A02,LOTE: A548A01,LOTE: A270B01</v>
      </c>
      <c r="HE170" s="3">
        <f>_xlfn.XLOOKUP(B170,QUERY!$C:$C,QUERY!BF:BF)</f>
        <v>90</v>
      </c>
      <c r="HF170" s="3" t="str">
        <f>_xlfn.XLOOKUP(B170,QUERY!$C:$C,QUERY!BG:BG)</f>
        <v xml:space="preserve"> 1513156.68, 2401836.00, 1768988.52, 1254448.52, 13288734.10, 2977644.74</v>
      </c>
      <c r="HG170" s="3" t="str">
        <f>_xlfn.XLOOKUP(B170,QUERY!$C:$C,QUERY!BH:BH)</f>
        <v>KILO,KILO,KILO,KILO,KILO,KILO,KILO,KILO,KILO,KILO</v>
      </c>
      <c r="HH170" s="3">
        <f>_xlfn.XLOOKUP(B170,QUERY!$C:$C,QUERY!BI:BI)</f>
        <v>0</v>
      </c>
      <c r="HI170" s="3" t="str">
        <f>_xlfn.XLOOKUP(B170,QUERY!$C:$C,QUERY!BJ:BJ)</f>
        <v>PAISES BAJOS (REINO DE LOS) (HOLANDA)</v>
      </c>
      <c r="HJ170" s="3" t="str">
        <f>_xlfn.XLOOKUP(B170,QUERY!$C:$C,QUERY!BK:BK)</f>
        <v>PAISES BAJOS (REINO DE LOS) (HOLANDA)</v>
      </c>
      <c r="HK170" s="3" t="str">
        <f>_xlfn.XLOOKUP(B170,QUERY!$C:$C,QUERY!BL:BL)</f>
        <v>ZYA</v>
      </c>
      <c r="HL170" s="3" t="str">
        <f>_xlfn.XLOOKUP(B170,QUERY!$C:$C,QUERY!BM:BM)</f>
        <v>ZYA</v>
      </c>
      <c r="HM170" s="3">
        <f>_xlfn.XLOOKUP(B170,QUERY!$C:$C,QUERY!BN:BN)</f>
        <v>23204810</v>
      </c>
      <c r="HN170" s="3" t="str">
        <f>_xlfn.XLOOKUP(B170,QUERY!$C:$C,QUERY!BO:BO)</f>
        <v>462.00</v>
      </c>
      <c r="HO170" s="3" t="str">
        <f>_xlfn.XLOOKUP(B170,QUERY!$C:$C,QUERY!BP:BP)</f>
        <v>NULL</v>
      </c>
      <c r="HP170" s="3" t="str">
        <f>_xlfn.XLOOKUP(B170,QUERY!$C:$C,QUERY!BQ:BQ)</f>
        <v>NULL</v>
      </c>
      <c r="HQ170" s="3" t="str">
        <f>_xlfn.XLOOKUP(B170,QUERY!$C:$C,QUERY!BR:BR)</f>
        <v>189833.75</v>
      </c>
      <c r="HR170" s="3">
        <f>_xlfn.XLOOKUP(B170,QUERY!$C:$C,QUERY!BS:BS)</f>
        <v>0</v>
      </c>
      <c r="HS170" s="3">
        <f>_xlfn.XLOOKUP(B170,QUERY!$C:$C,QUERY!BT:BT)</f>
        <v>0</v>
      </c>
      <c r="HT170" s="3" t="str">
        <f>_xlfn.XLOOKUP(B170,QUERY!$C:$C,QUERY!A:A)</f>
        <v>VERACRUZ</v>
      </c>
      <c r="HU170" s="3" t="str">
        <f>_xlfn.XLOOKUP(B170,QUERY!$C:$C,QUERY!B:B)</f>
        <v>MARÍTIMO VERACRUZ</v>
      </c>
    </row>
    <row r="171" spans="1:229" x14ac:dyDescent="0.25">
      <c r="A171" s="3" t="s">
        <v>90</v>
      </c>
      <c r="B171" s="3" t="s">
        <v>450</v>
      </c>
      <c r="C171" s="3">
        <v>3942</v>
      </c>
      <c r="D171" s="3">
        <v>6000613</v>
      </c>
      <c r="E171" s="3"/>
      <c r="F171" s="3" t="s">
        <v>92</v>
      </c>
      <c r="G171" s="3" t="s">
        <v>93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430</v>
      </c>
      <c r="S171" s="3" t="s">
        <v>451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 t="s">
        <v>216</v>
      </c>
      <c r="AB171" s="3"/>
      <c r="AC171" s="3">
        <v>5094814</v>
      </c>
      <c r="AD171" s="3">
        <v>484.39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/>
      <c r="AP171" s="3" t="s">
        <v>98</v>
      </c>
      <c r="AQ171" s="3">
        <v>210370643</v>
      </c>
      <c r="AR171" s="3" t="s">
        <v>99</v>
      </c>
      <c r="AS171" s="3" t="s">
        <v>100</v>
      </c>
      <c r="AT171" s="3">
        <v>0</v>
      </c>
      <c r="AU171" s="3">
        <v>0</v>
      </c>
      <c r="AV171" s="3">
        <v>0</v>
      </c>
      <c r="AW171" s="3">
        <v>30024201</v>
      </c>
      <c r="AX171" s="3">
        <v>99</v>
      </c>
      <c r="AY171" s="3">
        <v>10518</v>
      </c>
      <c r="AZ171" s="3">
        <v>10518</v>
      </c>
      <c r="BA171" s="3" t="s">
        <v>103</v>
      </c>
      <c r="BB171" s="3"/>
      <c r="BC171" s="3" t="s">
        <v>105</v>
      </c>
      <c r="BD171" s="3" t="s">
        <v>105</v>
      </c>
      <c r="BE171" s="3"/>
      <c r="BF171" s="3"/>
      <c r="BG171" s="5"/>
      <c r="BH171" s="3"/>
      <c r="BI171" s="3"/>
      <c r="BJ171" s="3"/>
      <c r="BK171" s="3" t="s">
        <v>458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 t="s">
        <v>192</v>
      </c>
      <c r="CF171" s="3">
        <v>0</v>
      </c>
      <c r="CG171" s="3">
        <v>0</v>
      </c>
      <c r="CH171" s="3">
        <v>0</v>
      </c>
      <c r="CI171" s="3" t="s">
        <v>112</v>
      </c>
      <c r="CJ171" s="3" t="s">
        <v>112</v>
      </c>
      <c r="CK171" s="3">
        <f>_xlfn.XLOOKUP($B$2,'BASE DE EXCEL'!C:C,'BASE DE EXCEL'!D:D,"NO HAY REFERENCIA")</f>
        <v>470</v>
      </c>
      <c r="CL171" s="5">
        <f>_xlfn.XLOOKUP($B$2,'BASE DE EXCEL'!$C:$C,'BASE DE EXCEL'!F:F,"NO HAY REFERENCIA")</f>
        <v>3</v>
      </c>
      <c r="CM171" s="4">
        <f>_xlfn.XLOOKUP($B$2,'BASE DE EXCEL'!$C:$C,'BASE DE EXCEL'!G:G,"NO HAY REFERENCIA")</f>
        <v>46080</v>
      </c>
      <c r="CN171" s="4">
        <f>_xlfn.XLOOKUP($B$2,'BASE DE EXCEL'!$C:$C,'BASE DE EXCEL'!H:H,"NO HAY REFERENCIA")</f>
        <v>46086</v>
      </c>
      <c r="CO171" s="3">
        <f>_xlfn.XLOOKUP($B$2,'BASE DE EXCEL'!$C:$C,'BASE DE EXCEL'!I:I,"NO HAY REFERENCIA")</f>
        <v>4</v>
      </c>
      <c r="CP171" s="3" t="str">
        <f>_xlfn.XLOOKUP($B$2,'BASE DE EXCEL'!$C:$C,'BASE DE EXCEL'!J:J,"NO HAY REFERENCIA")</f>
        <v>4 a 5 días</v>
      </c>
      <c r="CQ171" s="4">
        <f>_xlfn.XLOOKUP($B$2,'BASE DE EXCEL'!$C:$C,'BASE DE EXCEL'!K:K,"NO HAY REFERENCIA")</f>
        <v>46087</v>
      </c>
      <c r="CR171" s="3">
        <f>_xlfn.XLOOKUP($B$2,'BASE DE EXCEL'!$C:$C,'BASE DE EXCEL'!L:L,"NO HAY REFERENCIA")</f>
        <v>5</v>
      </c>
      <c r="CS171" s="3">
        <f>_xlfn.XLOOKUP($B$2,'BASE DE EXCEL'!$C:$C,'BASE DE EXCEL'!M:M,"NO HAY REFERENCIA")</f>
        <v>6</v>
      </c>
      <c r="CT171" s="3" t="str">
        <f>_xlfn.XLOOKUP($B$2,'BASE DE EXCEL'!$C:$C,'BASE DE EXCEL'!N:N,"NO HAY REFERENCIA")</f>
        <v>6 a 10 días</v>
      </c>
      <c r="CU171" s="3" t="str">
        <f>_xlfn.XLOOKUP($B$2,'BASE DE EXCEL'!$C:$C,'BASE DE EXCEL'!O:O,"NO HAY REFERENCIA")</f>
        <v>On Time</v>
      </c>
      <c r="CV171" s="3" t="str">
        <f>_xlfn.XLOOKUP(B171,'BASE DE EXCEL'!$C:$C,'BASE DE EXCEL'!P:P,"NO HAY REFERENCIA")</f>
        <v>6 a 10 días</v>
      </c>
      <c r="CW171" s="4">
        <f>_xlfn.XLOOKUP(B171,'BASE DE EXCEL'!$C:$C,'BASE DE EXCEL'!Q:Q,"NO HAY REFERENCIA")</f>
        <v>46140</v>
      </c>
      <c r="CX171" s="3">
        <f>_xlfn.XLOOKUP(B171,'BASE DE EXCEL'!$C:$C,'BASE DE EXCEL'!R:R,"NO HAY REFERENCIA")</f>
        <v>6</v>
      </c>
      <c r="CY171" s="3" t="str">
        <f>_xlfn.XLOOKUP(B171,'BASE DE EXCEL'!$C:$C,'BASE DE EXCEL'!S:S,"NO HAY REFERENCIA")</f>
        <v>6 a 10 días</v>
      </c>
      <c r="CZ171" s="3" t="str">
        <f>_xlfn.XLOOKUP(B171,'BASE DE EXCEL'!$C:$C,'BASE DE EXCEL'!T:T,"NO HAY REFERENCIA")</f>
        <v>On Time</v>
      </c>
      <c r="DA171" s="3">
        <f>_xlfn.XLOOKUP(B171,'BASE DE EXCEL'!$C:$C,'BASE DE EXCEL'!U:U,"NO HAY REFERENCIA")</f>
        <v>7</v>
      </c>
      <c r="DB171" s="3" t="str">
        <f>_xlfn.XLOOKUP(B171,'BASE DE EXCEL'!$C:$C,'BASE DE EXCEL'!V:V,"NO HAY REFERENCIA")</f>
        <v>4 a 5 días</v>
      </c>
      <c r="DC171" s="3">
        <f>_xlfn.XLOOKUP(B171,'BASE DE EXCEL'!$C:$C,'BASE DE EXCEL'!W:W,"NO HAY REFERENCIA")</f>
        <v>14</v>
      </c>
      <c r="DD171" s="3" t="str">
        <f>_xlfn.XLOOKUP(B171,'BASE DE EXCEL'!$C:$C,'BASE DE EXCEL'!X:X,"NO HAY REFERENCIA")</f>
        <v>11 a 15 días</v>
      </c>
      <c r="DE171" s="3">
        <f>_xlfn.XLOOKUP(B171,'BASE DE EXCEL'!$C:$C,'BASE DE EXCEL'!Y:Y,"NO HAY REFERENCIA")</f>
        <v>0</v>
      </c>
      <c r="DF171" s="3" t="str">
        <f>_xlfn.XLOOKUP(B171,'BASE DE EXCEL'!$C:$C,'BASE DE EXCEL'!Z:Z,"NO HAY REFERENCIA")</f>
        <v>1 día o menos</v>
      </c>
      <c r="DG171" s="3">
        <f>_xlfn.XLOOKUP(B171,'BASE DE EXCEL'!$C:$C,'BASE DE EXCEL'!AA:AA,"NO HAY REFERENCIA")</f>
        <v>6</v>
      </c>
      <c r="DH171" s="3">
        <f>_xlfn.XLOOKUP(B171,'BASE DE EXCEL'!$C:$C,'BASE DE EXCEL'!AB:AB,"NO HAY REFERENCIA")</f>
        <v>1</v>
      </c>
      <c r="DI171" s="3" t="str">
        <f>_xlfn.XLOOKUP(B171,'BASE DE EXCEL'!$C:$C,'BASE DE EXCEL'!AC:AC,"NO HAY REFERENCIA")</f>
        <v>1 día o menos</v>
      </c>
      <c r="DJ171" s="4">
        <f>_xlfn.XLOOKUP(B171,'BASE DE EXCEL'!$C:$C,'BASE DE EXCEL'!AD:AD,"NO HAY REFERENCIA")</f>
        <v>46153</v>
      </c>
      <c r="DK171" s="3">
        <f>_xlfn.XLOOKUP(B171,'BASE DE EXCEL'!$C:$C,'BASE DE EXCEL'!AE:AE,"NO HAY REFERENCIA")</f>
        <v>13</v>
      </c>
      <c r="DL171" s="3">
        <f>_xlfn.XLOOKUP(B171,'BASE DE EXCEL'!$C:$C,'BASE DE EXCEL'!AF:AF,"NO HAY REFERENCIA")</f>
        <v>9</v>
      </c>
      <c r="DM171" s="4">
        <f>_xlfn.XLOOKUP(B171,'BASE DE EXCEL'!$C:$C,'BASE DE EXCEL'!AG:AG,"NO HAY REFERENCIA")</f>
        <v>46153</v>
      </c>
      <c r="DN171" s="4">
        <f>_xlfn.XLOOKUP(B171,'BASE DE EXCEL'!$C:$C,'BASE DE EXCEL'!AH:AH,"NO HAY REFERENCIA")</f>
        <v>46153</v>
      </c>
      <c r="DO171" s="3">
        <f>_xlfn.XLOOKUP(B171,'BASE DE EXCEL'!$C:$C,'BASE DE EXCEL'!AI:AI,"NO HAY REFERENCIA")</f>
        <v>0</v>
      </c>
      <c r="DP171" s="4" t="str">
        <f>_xlfn.XLOOKUP(B171,'BASE DE EXCEL'!$C:$C,'BASE DE EXCEL'!AJ:AJ,"NO HAY REFERENCIA")</f>
        <v>11 a 15 días</v>
      </c>
      <c r="DQ171" s="4">
        <f>_xlfn.XLOOKUP(B171,'BASE DE EXCEL'!$C:$C,'BASE DE EXCEL'!AK:AK,"NO HAY REFERENCIA")</f>
        <v>46153</v>
      </c>
      <c r="DR171" s="3">
        <f>_xlfn.XLOOKUP(B171,'BASE DE EXCEL'!$C:$C,'BASE DE EXCEL'!AL:AL,"NO HAY REFERENCIA")</f>
        <v>9</v>
      </c>
      <c r="DS171" s="3" t="str">
        <f>_xlfn.XLOOKUP(B171,'BASE DE EXCEL'!$C:$C,'BASE DE EXCEL'!AM:AM,"NO HAY REFERENCIA")</f>
        <v>6 a 10 días</v>
      </c>
      <c r="DT171" s="3" t="str">
        <f>_xlfn.XLOOKUP(B171,'BASE DE EXCEL'!$C:$C,'BASE DE EXCEL'!AN:AN,"NO HAY REFERENCIA")</f>
        <v>Delayed</v>
      </c>
      <c r="DU171" s="3">
        <f>_xlfn.XLOOKUP(B171,'BASE DE EXCEL'!$C:$C,'BASE DE EXCEL'!AO:AO,"NO HAY REFERENCIA")</f>
        <v>1</v>
      </c>
      <c r="DV171" s="3" t="str">
        <f>_xlfn.XLOOKUP(B171,'BASE DE EXCEL'!$C:$C,'BASE DE EXCEL'!AP:AP,"NO HAY REFERENCIA")</f>
        <v>Es anterior</v>
      </c>
      <c r="DW171" s="3" t="str">
        <f>_xlfn.XLOOKUP(B171,'BASE DE EXCEL'!$C:$C,'BASE DE EXCEL'!AQ:AQ,"NO HAY REFERENCIA")</f>
        <v>A1</v>
      </c>
      <c r="DX171" s="3" t="str">
        <f>_xlfn.XLOOKUP(B171,'BASE DE EXCEL'!$C:$C,'BASE DE EXCEL'!AR:AR,"NO HAY REFERENCIA")</f>
        <v>ZULEIMA PEREZ RUIZ</v>
      </c>
      <c r="DY171" s="3" t="str">
        <f>_xlfn.XLOOKUP(B171,'BASE DE EXCEL'!$C:$C,'BASE DE EXCEL'!AS:AS,"NO HAY REFERENCIA")</f>
        <v>HLCURTM260353888</v>
      </c>
      <c r="DZ171" s="3" t="str">
        <f>_xlfn.XLOOKUP(B171,'BASE DE EXCEL'!$C:$C,'BASE DE EXCEL'!AT:AT,"NO HAY REFERENCIA")</f>
        <v>NULL</v>
      </c>
      <c r="EA171" s="3">
        <f>_xlfn.XLOOKUP(B171,'BASE DE EXCEL'!$C:$C,'BASE DE EXCEL'!AU:AU,"NO HAY REFERENCIA")</f>
        <v>6000613</v>
      </c>
      <c r="EB171" s="3" t="str">
        <f>_xlfn.XLOOKUP(B171,'BASE DE EXCEL'!$C:$C,'BASE DE EXCEL'!AV:AV,"NO HAY REFERENCIA")</f>
        <v>Importación</v>
      </c>
      <c r="EC171" s="3" t="str">
        <f>_xlfn.XLOOKUP(B171,'BASE DE EXCEL'!$C:$C,'BASE DE EXCEL'!AW:AW,"NO HAY REFERENCIA")</f>
        <v>PORCILIS PCV M HYO (VACUNA DE USO VETERINARIO)</v>
      </c>
      <c r="ED171" s="3" t="str">
        <f>_xlfn.XLOOKUP(B171,'BASE DE EXCEL'!$C:$C,'BASE DE EXCEL'!AX:AX,"NO HAY REFERENCIA")</f>
        <v>SIN CLASIFICACION</v>
      </c>
      <c r="EE171" s="3">
        <f>_xlfn.XLOOKUP(B171,'BASE DE EXCEL'!$C:$C,'BASE DE EXCEL'!AY:AY,"NO HAY REFERENCIA")</f>
        <v>0</v>
      </c>
      <c r="EF171" s="3" t="str">
        <f>_xlfn.XLOOKUP(B171,'BASE DE EXCEL'!$C:$C,'BASE DE EXCEL'!AZ:AZ,"NO HAY REFERENCIA")</f>
        <v>Cargas de Importación</v>
      </c>
      <c r="EG171" s="3" t="str">
        <f>_xlfn.XLOOKUP(B171,'BASE DE EXCEL'!$C:$C,'BASE DE EXCEL'!BA:BA,"NO HAY REFERENCIA")</f>
        <v>INTERVET MEXICO SA DE CV</v>
      </c>
      <c r="EH171" s="3">
        <f>_xlfn.XLOOKUP(B171,'BASE DE EXCEL'!$C:$C,'BASE DE EXCEL'!BB:BB,"NO HAY REFERENCIA")</f>
        <v>0</v>
      </c>
      <c r="EI171" s="3" t="str">
        <f>_xlfn.XLOOKUP(B171,'BASE DE EXCEL'!$C:$C,'BASE DE EXCEL'!BC:BC,"NO HAY REFERENCIA")</f>
        <v>NINGUNO</v>
      </c>
      <c r="EJ171" s="3">
        <f>_xlfn.XLOOKUP(B171,'BASE DE EXCEL'!$C:$C,'BASE DE EXCEL'!BD:BD,"NO HAY REFERENCIA")</f>
        <v>0</v>
      </c>
      <c r="EK171" s="3" t="str">
        <f>_xlfn.XLOOKUP(B171,'BASE DE EXCEL'!$C:$C,'BASE DE EXCEL'!BE:BE,"NO HAY REFERENCIA")</f>
        <v>NINGUNO</v>
      </c>
      <c r="EL171" s="3" t="str">
        <f>_xlfn.XLOOKUP(B171,'BASE DE EXCEL'!$C:$C,'BASE DE EXCEL'!BF:BF,"NO HAY REFERENCIA")</f>
        <v>PRODUCTO TERMINADO</v>
      </c>
      <c r="EM171" s="3" t="str">
        <f>_xlfn.XLOOKUP(B171,'BASE DE EXCEL'!$C:$C,'BASE DE EXCEL'!BG:BG,"NO HAY REFERENCIA")</f>
        <v>Verde</v>
      </c>
      <c r="EN171" s="3" t="str">
        <f>_xlfn.XLOOKUP(B171,'BASE DE EXCEL'!$C:$C,'BASE DE EXCEL'!BH:BH,"NO HAY REFERENCIA")</f>
        <v xml:space="preserve"> SUPER EXPRESS DE CARGA FEDERAL S.A. DE C.V.</v>
      </c>
      <c r="EO171" s="3">
        <f>_xlfn.XLOOKUP(B171,'BASE DE EXCEL'!$C:$C,'BASE DE EXCEL'!BI:BI,"NO HAY REFERENCIA")</f>
        <v>0</v>
      </c>
      <c r="EP171" s="3" t="str">
        <f>_xlfn.XLOOKUP(B171,'BASE DE EXCEL'!$C:$C,'BASE DE EXCEL'!BJ:BJ,"NO HAY REFERENCIA")</f>
        <v>IME-T006</v>
      </c>
      <c r="EQ171" s="3" t="str">
        <f>_xlfn.XLOOKUP(B171,'BASE DE EXCEL'!$C:$C,'BASE DE EXCEL'!BK:BK,"NO HAY REFERENCIA")</f>
        <v>IME850329RH2</v>
      </c>
      <c r="ER171" s="3">
        <f>_xlfn.XLOOKUP(B171,'BASE DE EXCEL'!$C:$C,'BASE DE EXCEL'!BL:BL,"NO HAY REFERENCIA")</f>
        <v>0</v>
      </c>
      <c r="ES171" s="3">
        <f>_xlfn.XLOOKUP(B171,'BASE DE EXCEL'!$C:$C,'BASE DE EXCEL'!BM:BM,"NO HAY REFERENCIA")</f>
        <v>99</v>
      </c>
      <c r="ET171" s="3" t="str">
        <f>_xlfn.XLOOKUP(B171,'BASE DE EXCEL'!$C:$C,'BASE DE EXCEL'!BN:BN,"NO HAY REFERENCIA")</f>
        <v>LOTE: J654A03,LOTE: J853A01,LOTE: A495A01,LOTE: A494A01,LOTE: 1E076A02,LOTE: A854D01,LOTE: A061A05,LOTE: A463A02,LOTE: A548A01,LOTE: A270B01</v>
      </c>
      <c r="EU171" s="3">
        <f>_xlfn.XLOOKUP(B171,'BASE DE EXCEL'!$C:$C,'BASE DE EXCEL'!BO:BO,"NO HAY REFERENCIA")</f>
        <v>90</v>
      </c>
      <c r="EV171" s="3" t="str">
        <f>_xlfn.XLOOKUP(B171,'BASE DE EXCEL'!$C:$C,'BASE DE EXCEL'!BP:BP,"NO HAY REFERENCIA")</f>
        <v xml:space="preserve"> 1513156.68, 2401836.00, 1768988.52, 1254448.52, 13288734.10, 2977644.74</v>
      </c>
      <c r="EW171" s="3" t="str">
        <f>_xlfn.XLOOKUP(B171,'BASE DE EXCEL'!$C:$C,'BASE DE EXCEL'!BQ:BQ,"NO HAY REFERENCIA")</f>
        <v>KILO,KILO,KILO,KILO,KILO,KILO,KILO,KILO,KILO,KILO</v>
      </c>
      <c r="EX171" s="3">
        <f>_xlfn.XLOOKUP(B171,'BASE DE EXCEL'!$C:$C,'BASE DE EXCEL'!BR:BR,"NO HAY REFERENCIA")</f>
        <v>0</v>
      </c>
      <c r="EY171" s="3" t="str">
        <f>_xlfn.XLOOKUP(B171,'BASE DE EXCEL'!$C:$C,'BASE DE EXCEL'!BS:BS,"NO HAY REFERENCIA")</f>
        <v>PAISES BAJOS (REINO DE LOS) (HOLANDA)</v>
      </c>
      <c r="EZ171" s="3" t="str">
        <f>_xlfn.XLOOKUP(B171,'BASE DE EXCEL'!$C:$C,'BASE DE EXCEL'!BT:BT,"NO HAY REFERENCIA")</f>
        <v>PAISES BAJOS (REINO DE LOS) (HOLANDA)</v>
      </c>
      <c r="FA171" s="3" t="str">
        <f>_xlfn.XLOOKUP(B171,'BASE DE EXCEL'!$C:$C,'BASE DE EXCEL'!BU:BU,"NO HAY REFERENCIA")</f>
        <v>ZYA</v>
      </c>
      <c r="FB171" s="3" t="str">
        <f>_xlfn.XLOOKUP(B171,'BASE DE EXCEL'!$C:$C,'BASE DE EXCEL'!BV:BV,"NO HAY REFERENCIA")</f>
        <v>ZYA</v>
      </c>
      <c r="FC171" s="3">
        <f>_xlfn.XLOOKUP(B171,QUERY!$C:$C,QUERY!D:D)</f>
        <v>430</v>
      </c>
      <c r="FD171" s="4">
        <f>_xlfn.XLOOKUP(B171,QUERY!$C:$C,QUERY!E:E)</f>
        <v>46139</v>
      </c>
      <c r="FE171" s="3">
        <f>_xlfn.XLOOKUP(B171,QUERY!$C:$C,QUERY!F:F)</f>
        <v>4</v>
      </c>
      <c r="FF171" s="4">
        <f>_xlfn.XLOOKUP(B171,QUERY!$C:$C,QUERY!G:G)</f>
        <v>46133</v>
      </c>
      <c r="FG171" s="4">
        <f>_xlfn.XLOOKUP(B171,QUERY!$C:$C,QUERY!H:H)</f>
        <v>46139</v>
      </c>
      <c r="FH171" s="3">
        <f>_xlfn.XLOOKUP(B171,QUERY!$C:$C,QUERY!I:I)</f>
        <v>4</v>
      </c>
      <c r="FI171" s="3" t="str">
        <f>_xlfn.XLOOKUP(B171,QUERY!$C:$C,QUERY!J:J)</f>
        <v>4 a 5 días</v>
      </c>
      <c r="FJ171" s="4">
        <f>_xlfn.XLOOKUP(B171,QUERY!$C:$C,QUERY!K:K)</f>
        <v>46139</v>
      </c>
      <c r="FK171" s="3">
        <f>_xlfn.XLOOKUP(B171,QUERY!$C:$C,QUERY!L:L)</f>
        <v>4</v>
      </c>
      <c r="FL171" s="3" t="str">
        <f>_xlfn.XLOOKUP(B171,QUERY!$C:$C,QUERY!M:M)</f>
        <v>4 a 5 días</v>
      </c>
      <c r="FM171" s="3">
        <f>_xlfn.XLOOKUP(B171,QUERY!$C:$C,QUERY!N:N)</f>
        <v>0</v>
      </c>
      <c r="FN171" s="3" t="str">
        <f>_xlfn.XLOOKUP(B171,QUERY!$C:$C,QUERY!O:O)</f>
        <v>1 día o menos</v>
      </c>
      <c r="FO171" s="3">
        <f>_xlfn.XLOOKUP(B171,QUERY!$C:$C,QUERY!P:P)</f>
        <v>0</v>
      </c>
      <c r="FP171" s="3">
        <f>_xlfn.XLOOKUP(B171,QUERY!$C:$C,QUERY!Q:Q)</f>
        <v>1</v>
      </c>
      <c r="FQ171" s="3" t="str">
        <f>_xlfn.XLOOKUP(B171,QUERY!$C:$C,QUERY!R:R)</f>
        <v>1 día o menos</v>
      </c>
      <c r="FR171" s="4">
        <f>_xlfn.XLOOKUP(B171,QUERY!$C:$C,QUERY!S:S)</f>
        <v>46140</v>
      </c>
      <c r="FS171" s="3">
        <f>_xlfn.XLOOKUP(B171,QUERY!$C:$C,QUERY!T:T)</f>
        <v>5</v>
      </c>
      <c r="FT171" s="3" t="str">
        <f>_xlfn.XLOOKUP(B171,QUERY!$C:$C,QUERY!U:U)</f>
        <v>4 a 5 días</v>
      </c>
      <c r="FU171" s="3">
        <f>_xlfn.XLOOKUP(B171,QUERY!$C:$C,QUERY!V:V)</f>
        <v>14</v>
      </c>
      <c r="FV171" s="3" t="str">
        <f>_xlfn.XLOOKUP(B171,QUERY!$C:$C,QUERY!W:W)</f>
        <v>11 a 15 días</v>
      </c>
      <c r="FW171" s="4">
        <f>_xlfn.XLOOKUP(B171,QUERY!$C:$C,QUERY!X:X)</f>
        <v>46153</v>
      </c>
      <c r="FX171" s="3">
        <f>_xlfn.XLOOKUP(B171,QUERY!$C:$C,QUERY!Y:Y)</f>
        <v>9</v>
      </c>
      <c r="FY171" s="3">
        <f>_xlfn.XLOOKUP(B171,QUERY!$C:$C,QUERY!Z:Z)</f>
        <v>9</v>
      </c>
      <c r="FZ171" s="4" t="str">
        <f>_xlfn.XLOOKUP(B171,QUERY!$C:$C,QUERY!AA:AA)</f>
        <v>11 a 15 días</v>
      </c>
      <c r="GA171" s="4">
        <f>_xlfn.XLOOKUP(B171,QUERY!$C:$C,QUERY!AB:AB)</f>
        <v>46153</v>
      </c>
      <c r="GB171" s="4">
        <f>_xlfn.XLOOKUP(B171,QUERY!$C:$C,QUERY!AC:AC)</f>
        <v>46153</v>
      </c>
      <c r="GC171" s="3">
        <f>_xlfn.XLOOKUP(B171,QUERY!$C:$C,QUERY!AD:AD)</f>
        <v>0</v>
      </c>
      <c r="GD171" s="4">
        <f>_xlfn.XLOOKUP(B171,QUERY!$C:$C,QUERY!AE:AE)</f>
        <v>46153</v>
      </c>
      <c r="GE171" s="3">
        <f>_xlfn.XLOOKUP(B171,QUERY!$C:$C,QUERY!AF:AF)</f>
        <v>1</v>
      </c>
      <c r="GF171" s="4" t="str">
        <f>_xlfn.XLOOKUP(B171,QUERY!$C:$C,QUERY!AG:AG)</f>
        <v>Es anterior</v>
      </c>
      <c r="GG171" s="3" t="str">
        <f>_xlfn.XLOOKUP(B171,QUERY!$C:$C,QUERY!AH:AH)</f>
        <v>A1</v>
      </c>
      <c r="GH171" s="3" t="str">
        <f>_xlfn.XLOOKUP(B171,QUERY!$C:$C,QUERY!AI:AI)</f>
        <v>ZULEIMA PEREZ RUIZ</v>
      </c>
      <c r="GI171" s="3" t="str">
        <f>_xlfn.XLOOKUP(B171,QUERY!$C:$C,QUERY!AJ:AJ)</f>
        <v>HLCURTM260353888</v>
      </c>
      <c r="GJ171" s="3" t="str">
        <f>_xlfn.XLOOKUP(B171,QUERY!$C:$C,QUERY!AK:AK)</f>
        <v>NULL</v>
      </c>
      <c r="GK171" s="3">
        <f>_xlfn.XLOOKUP(B171,QUERY!$C:$C,QUERY!AL:AL)</f>
        <v>6000613</v>
      </c>
      <c r="GL171" s="3" t="str">
        <f>_xlfn.XLOOKUP(B171,QUERY!$C:$C,QUERY!AM:AM)</f>
        <v>Importación</v>
      </c>
      <c r="GM171" s="3" t="str">
        <f>_xlfn.XLOOKUP(B171,QUERY!$C:$C,QUERY!AN:AN)</f>
        <v>PORCILIS PCV M HYO (VACUNA DE USO VETERINARIO)</v>
      </c>
      <c r="GN171" s="3" t="str">
        <f>_xlfn.XLOOKUP(B171,QUERY!$C:$C,QUERY!AO:AO)</f>
        <v>SIN CLASIFICACION</v>
      </c>
      <c r="GO171" s="3">
        <f>_xlfn.XLOOKUP(B171,QUERY!$C:$C,QUERY!AP:AP)</f>
        <v>0</v>
      </c>
      <c r="GP171" s="3" t="str">
        <f>_xlfn.XLOOKUP(B171,QUERY!$C:$C,QUERY!AQ:AQ)</f>
        <v>Cargas de Importación</v>
      </c>
      <c r="GQ171" s="3" t="str">
        <f>_xlfn.XLOOKUP(B171,QUERY!$C:$C,QUERY!AR:AR)</f>
        <v>INTERVET MEXICO SA DE CV</v>
      </c>
      <c r="GR171" s="3">
        <f>_xlfn.XLOOKUP(B171,QUERY!$C:$C,QUERY!AS:AS)</f>
        <v>0</v>
      </c>
      <c r="GS171" s="3" t="str">
        <f>_xlfn.XLOOKUP(B171,QUERY!$C:$C,QUERY!AT:AT)</f>
        <v>NINGUNO</v>
      </c>
      <c r="GT171" s="3">
        <f>_xlfn.XLOOKUP(B171,QUERY!$C:$C,QUERY!AU:AU)</f>
        <v>0</v>
      </c>
      <c r="GU171" s="3" t="str">
        <f>_xlfn.XLOOKUP(B171,QUERY!$C:$C,QUERY!AV:AV)</f>
        <v>NINGUNO</v>
      </c>
      <c r="GV171" s="3" t="str">
        <f>_xlfn.XLOOKUP(B171,QUERY!$C:$C,QUERY!AW:AW)</f>
        <v>PRODUCTO TERMINADO</v>
      </c>
      <c r="GW171" s="3" t="str">
        <f>_xlfn.XLOOKUP(B171,QUERY!$C:$C,QUERY!AX:AX)</f>
        <v>Verde</v>
      </c>
      <c r="GX171" s="3" t="str">
        <f>_xlfn.XLOOKUP(B171,QUERY!$C:$C,QUERY!AY:AY)</f>
        <v xml:space="preserve"> SUPER EXPRESS DE CARGA FEDERAL S.A. DE C.V.</v>
      </c>
      <c r="GY171" s="3">
        <f>_xlfn.XLOOKUP(B171,QUERY!$C:$C,QUERY!AZ:AZ)</f>
        <v>0</v>
      </c>
      <c r="GZ171" s="3" t="str">
        <f>_xlfn.XLOOKUP(B171,QUERY!$C:$C,QUERY!BA:BA)</f>
        <v>IME-T006</v>
      </c>
      <c r="HA171" s="3" t="str">
        <f>_xlfn.XLOOKUP(B171,QUERY!$C:$C,QUERY!BB:BB)</f>
        <v>IME850329RH2</v>
      </c>
      <c r="HB171" s="3">
        <f>_xlfn.XLOOKUP(B171,QUERY!$C:$C,QUERY!BC:BC)</f>
        <v>0</v>
      </c>
      <c r="HC171" s="3">
        <f>_xlfn.XLOOKUP(B171,QUERY!$C:$C,QUERY!BD:BD)</f>
        <v>99</v>
      </c>
      <c r="HD171" s="3" t="str">
        <f>_xlfn.XLOOKUP(B171,QUERY!$C:$C,QUERY!BE:BE)</f>
        <v>LOTE: J654A03,LOTE: J853A01,LOTE: A495A01,LOTE: A494A01,LOTE: 1E076A02,LOTE: A854D01,LOTE: A061A05,LOTE: A463A02,LOTE: A548A01,LOTE: A270B01</v>
      </c>
      <c r="HE171" s="3">
        <f>_xlfn.XLOOKUP(B171,QUERY!$C:$C,QUERY!BF:BF)</f>
        <v>90</v>
      </c>
      <c r="HF171" s="3" t="str">
        <f>_xlfn.XLOOKUP(B171,QUERY!$C:$C,QUERY!BG:BG)</f>
        <v xml:space="preserve"> 1513156.68, 2401836.00, 1768988.52, 1254448.52, 13288734.10, 2977644.74</v>
      </c>
      <c r="HG171" s="3" t="str">
        <f>_xlfn.XLOOKUP(B171,QUERY!$C:$C,QUERY!BH:BH)</f>
        <v>KILO,KILO,KILO,KILO,KILO,KILO,KILO,KILO,KILO,KILO</v>
      </c>
      <c r="HH171" s="3">
        <f>_xlfn.XLOOKUP(B171,QUERY!$C:$C,QUERY!BI:BI)</f>
        <v>0</v>
      </c>
      <c r="HI171" s="3" t="str">
        <f>_xlfn.XLOOKUP(B171,QUERY!$C:$C,QUERY!BJ:BJ)</f>
        <v>PAISES BAJOS (REINO DE LOS) (HOLANDA)</v>
      </c>
      <c r="HJ171" s="3" t="str">
        <f>_xlfn.XLOOKUP(B171,QUERY!$C:$C,QUERY!BK:BK)</f>
        <v>PAISES BAJOS (REINO DE LOS) (HOLANDA)</v>
      </c>
      <c r="HK171" s="3" t="str">
        <f>_xlfn.XLOOKUP(B171,QUERY!$C:$C,QUERY!BL:BL)</f>
        <v>ZYA</v>
      </c>
      <c r="HL171" s="3" t="str">
        <f>_xlfn.XLOOKUP(B171,QUERY!$C:$C,QUERY!BM:BM)</f>
        <v>ZYA</v>
      </c>
      <c r="HM171" s="3">
        <f>_xlfn.XLOOKUP(B171,QUERY!$C:$C,QUERY!BN:BN)</f>
        <v>23204810</v>
      </c>
      <c r="HN171" s="3" t="str">
        <f>_xlfn.XLOOKUP(B171,QUERY!$C:$C,QUERY!BO:BO)</f>
        <v>462.00</v>
      </c>
      <c r="HO171" s="3" t="str">
        <f>_xlfn.XLOOKUP(B171,QUERY!$C:$C,QUERY!BP:BP)</f>
        <v>NULL</v>
      </c>
      <c r="HP171" s="3" t="str">
        <f>_xlfn.XLOOKUP(B171,QUERY!$C:$C,QUERY!BQ:BQ)</f>
        <v>NULL</v>
      </c>
      <c r="HQ171" s="3" t="str">
        <f>_xlfn.XLOOKUP(B171,QUERY!$C:$C,QUERY!BR:BR)</f>
        <v>189833.75</v>
      </c>
      <c r="HR171" s="3">
        <f>_xlfn.XLOOKUP(B171,QUERY!$C:$C,QUERY!BS:BS)</f>
        <v>0</v>
      </c>
      <c r="HS171" s="3">
        <f>_xlfn.XLOOKUP(B171,QUERY!$C:$C,QUERY!BT:BT)</f>
        <v>0</v>
      </c>
      <c r="HT171" s="3" t="str">
        <f>_xlfn.XLOOKUP(B171,QUERY!$C:$C,QUERY!A:A)</f>
        <v>VERACRUZ</v>
      </c>
      <c r="HU171" s="3" t="str">
        <f>_xlfn.XLOOKUP(B171,QUERY!$C:$C,QUERY!B:B)</f>
        <v>MARÍTIMO VERACRUZ</v>
      </c>
    </row>
    <row r="172" spans="1:229" x14ac:dyDescent="0.25">
      <c r="A172" s="3" t="s">
        <v>90</v>
      </c>
      <c r="B172" s="3" t="s">
        <v>450</v>
      </c>
      <c r="C172" s="3">
        <v>3942</v>
      </c>
      <c r="D172" s="3">
        <v>6000613</v>
      </c>
      <c r="E172" s="3"/>
      <c r="F172" s="3" t="s">
        <v>92</v>
      </c>
      <c r="G172" s="3" t="s">
        <v>93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430</v>
      </c>
      <c r="S172" s="3" t="s">
        <v>451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 t="s">
        <v>270</v>
      </c>
      <c r="AB172" s="3"/>
      <c r="AC172" s="3">
        <v>4308327</v>
      </c>
      <c r="AD172" s="3">
        <v>825.35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/>
      <c r="AP172" s="3" t="s">
        <v>98</v>
      </c>
      <c r="AQ172" s="3">
        <v>210370643</v>
      </c>
      <c r="AR172" s="3" t="s">
        <v>99</v>
      </c>
      <c r="AS172" s="3" t="s">
        <v>100</v>
      </c>
      <c r="AT172" s="3">
        <v>0</v>
      </c>
      <c r="AU172" s="3">
        <v>0</v>
      </c>
      <c r="AV172" s="3">
        <v>0</v>
      </c>
      <c r="AW172" s="3">
        <v>30024201</v>
      </c>
      <c r="AX172" s="3">
        <v>99</v>
      </c>
      <c r="AY172" s="3">
        <v>5220</v>
      </c>
      <c r="AZ172" s="3">
        <v>5220</v>
      </c>
      <c r="BA172" s="3" t="s">
        <v>103</v>
      </c>
      <c r="BB172" s="3"/>
      <c r="BC172" s="3" t="s">
        <v>105</v>
      </c>
      <c r="BD172" s="3" t="s">
        <v>105</v>
      </c>
      <c r="BE172" s="3"/>
      <c r="BF172" s="3"/>
      <c r="BG172" s="5"/>
      <c r="BH172" s="3"/>
      <c r="BI172" s="3"/>
      <c r="BJ172" s="3"/>
      <c r="BK172" s="3" t="s">
        <v>458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 t="s">
        <v>192</v>
      </c>
      <c r="CF172" s="3">
        <v>0</v>
      </c>
      <c r="CG172" s="3">
        <v>0</v>
      </c>
      <c r="CH172" s="3">
        <v>0</v>
      </c>
      <c r="CI172" s="3" t="s">
        <v>112</v>
      </c>
      <c r="CJ172" s="3" t="s">
        <v>112</v>
      </c>
      <c r="CK172" s="3">
        <f>_xlfn.XLOOKUP($B$2,'BASE DE EXCEL'!C:C,'BASE DE EXCEL'!D:D,"NO HAY REFERENCIA")</f>
        <v>470</v>
      </c>
      <c r="CL172" s="5">
        <f>_xlfn.XLOOKUP($B$2,'BASE DE EXCEL'!$C:$C,'BASE DE EXCEL'!F:F,"NO HAY REFERENCIA")</f>
        <v>3</v>
      </c>
      <c r="CM172" s="4">
        <f>_xlfn.XLOOKUP($B$2,'BASE DE EXCEL'!$C:$C,'BASE DE EXCEL'!G:G,"NO HAY REFERENCIA")</f>
        <v>46080</v>
      </c>
      <c r="CN172" s="4">
        <f>_xlfn.XLOOKUP($B$2,'BASE DE EXCEL'!$C:$C,'BASE DE EXCEL'!H:H,"NO HAY REFERENCIA")</f>
        <v>46086</v>
      </c>
      <c r="CO172" s="3">
        <f>_xlfn.XLOOKUP($B$2,'BASE DE EXCEL'!$C:$C,'BASE DE EXCEL'!I:I,"NO HAY REFERENCIA")</f>
        <v>4</v>
      </c>
      <c r="CP172" s="3" t="str">
        <f>_xlfn.XLOOKUP($B$2,'BASE DE EXCEL'!$C:$C,'BASE DE EXCEL'!J:J,"NO HAY REFERENCIA")</f>
        <v>4 a 5 días</v>
      </c>
      <c r="CQ172" s="4">
        <f>_xlfn.XLOOKUP($B$2,'BASE DE EXCEL'!$C:$C,'BASE DE EXCEL'!K:K,"NO HAY REFERENCIA")</f>
        <v>46087</v>
      </c>
      <c r="CR172" s="3">
        <f>_xlfn.XLOOKUP($B$2,'BASE DE EXCEL'!$C:$C,'BASE DE EXCEL'!L:L,"NO HAY REFERENCIA")</f>
        <v>5</v>
      </c>
      <c r="CS172" s="3">
        <f>_xlfn.XLOOKUP($B$2,'BASE DE EXCEL'!$C:$C,'BASE DE EXCEL'!M:M,"NO HAY REFERENCIA")</f>
        <v>6</v>
      </c>
      <c r="CT172" s="3" t="str">
        <f>_xlfn.XLOOKUP($B$2,'BASE DE EXCEL'!$C:$C,'BASE DE EXCEL'!N:N,"NO HAY REFERENCIA")</f>
        <v>6 a 10 días</v>
      </c>
      <c r="CU172" s="3" t="str">
        <f>_xlfn.XLOOKUP($B$2,'BASE DE EXCEL'!$C:$C,'BASE DE EXCEL'!O:O,"NO HAY REFERENCIA")</f>
        <v>On Time</v>
      </c>
      <c r="CV172" s="3" t="str">
        <f>_xlfn.XLOOKUP(B172,'BASE DE EXCEL'!$C:$C,'BASE DE EXCEL'!P:P,"NO HAY REFERENCIA")</f>
        <v>6 a 10 días</v>
      </c>
      <c r="CW172" s="4">
        <f>_xlfn.XLOOKUP(B172,'BASE DE EXCEL'!$C:$C,'BASE DE EXCEL'!Q:Q,"NO HAY REFERENCIA")</f>
        <v>46140</v>
      </c>
      <c r="CX172" s="3">
        <f>_xlfn.XLOOKUP(B172,'BASE DE EXCEL'!$C:$C,'BASE DE EXCEL'!R:R,"NO HAY REFERENCIA")</f>
        <v>6</v>
      </c>
      <c r="CY172" s="3" t="str">
        <f>_xlfn.XLOOKUP(B172,'BASE DE EXCEL'!$C:$C,'BASE DE EXCEL'!S:S,"NO HAY REFERENCIA")</f>
        <v>6 a 10 días</v>
      </c>
      <c r="CZ172" s="3" t="str">
        <f>_xlfn.XLOOKUP(B172,'BASE DE EXCEL'!$C:$C,'BASE DE EXCEL'!T:T,"NO HAY REFERENCIA")</f>
        <v>On Time</v>
      </c>
      <c r="DA172" s="3">
        <f>_xlfn.XLOOKUP(B172,'BASE DE EXCEL'!$C:$C,'BASE DE EXCEL'!U:U,"NO HAY REFERENCIA")</f>
        <v>7</v>
      </c>
      <c r="DB172" s="3" t="str">
        <f>_xlfn.XLOOKUP(B172,'BASE DE EXCEL'!$C:$C,'BASE DE EXCEL'!V:V,"NO HAY REFERENCIA")</f>
        <v>4 a 5 días</v>
      </c>
      <c r="DC172" s="3">
        <f>_xlfn.XLOOKUP(B172,'BASE DE EXCEL'!$C:$C,'BASE DE EXCEL'!W:W,"NO HAY REFERENCIA")</f>
        <v>14</v>
      </c>
      <c r="DD172" s="3" t="str">
        <f>_xlfn.XLOOKUP(B172,'BASE DE EXCEL'!$C:$C,'BASE DE EXCEL'!X:X,"NO HAY REFERENCIA")</f>
        <v>11 a 15 días</v>
      </c>
      <c r="DE172" s="3">
        <f>_xlfn.XLOOKUP(B172,'BASE DE EXCEL'!$C:$C,'BASE DE EXCEL'!Y:Y,"NO HAY REFERENCIA")</f>
        <v>0</v>
      </c>
      <c r="DF172" s="3" t="str">
        <f>_xlfn.XLOOKUP(B172,'BASE DE EXCEL'!$C:$C,'BASE DE EXCEL'!Z:Z,"NO HAY REFERENCIA")</f>
        <v>1 día o menos</v>
      </c>
      <c r="DG172" s="3">
        <f>_xlfn.XLOOKUP(B172,'BASE DE EXCEL'!$C:$C,'BASE DE EXCEL'!AA:AA,"NO HAY REFERENCIA")</f>
        <v>6</v>
      </c>
      <c r="DH172" s="3">
        <f>_xlfn.XLOOKUP(B172,'BASE DE EXCEL'!$C:$C,'BASE DE EXCEL'!AB:AB,"NO HAY REFERENCIA")</f>
        <v>1</v>
      </c>
      <c r="DI172" s="3" t="str">
        <f>_xlfn.XLOOKUP(B172,'BASE DE EXCEL'!$C:$C,'BASE DE EXCEL'!AC:AC,"NO HAY REFERENCIA")</f>
        <v>1 día o menos</v>
      </c>
      <c r="DJ172" s="4">
        <f>_xlfn.XLOOKUP(B172,'BASE DE EXCEL'!$C:$C,'BASE DE EXCEL'!AD:AD,"NO HAY REFERENCIA")</f>
        <v>46153</v>
      </c>
      <c r="DK172" s="3">
        <f>_xlfn.XLOOKUP(B172,'BASE DE EXCEL'!$C:$C,'BASE DE EXCEL'!AE:AE,"NO HAY REFERENCIA")</f>
        <v>13</v>
      </c>
      <c r="DL172" s="3">
        <f>_xlfn.XLOOKUP(B172,'BASE DE EXCEL'!$C:$C,'BASE DE EXCEL'!AF:AF,"NO HAY REFERENCIA")</f>
        <v>9</v>
      </c>
      <c r="DM172" s="4">
        <f>_xlfn.XLOOKUP(B172,'BASE DE EXCEL'!$C:$C,'BASE DE EXCEL'!AG:AG,"NO HAY REFERENCIA")</f>
        <v>46153</v>
      </c>
      <c r="DN172" s="4">
        <f>_xlfn.XLOOKUP(B172,'BASE DE EXCEL'!$C:$C,'BASE DE EXCEL'!AH:AH,"NO HAY REFERENCIA")</f>
        <v>46153</v>
      </c>
      <c r="DO172" s="3">
        <f>_xlfn.XLOOKUP(B172,'BASE DE EXCEL'!$C:$C,'BASE DE EXCEL'!AI:AI,"NO HAY REFERENCIA")</f>
        <v>0</v>
      </c>
      <c r="DP172" s="4" t="str">
        <f>_xlfn.XLOOKUP(B172,'BASE DE EXCEL'!$C:$C,'BASE DE EXCEL'!AJ:AJ,"NO HAY REFERENCIA")</f>
        <v>11 a 15 días</v>
      </c>
      <c r="DQ172" s="4">
        <f>_xlfn.XLOOKUP(B172,'BASE DE EXCEL'!$C:$C,'BASE DE EXCEL'!AK:AK,"NO HAY REFERENCIA")</f>
        <v>46153</v>
      </c>
      <c r="DR172" s="3">
        <f>_xlfn.XLOOKUP(B172,'BASE DE EXCEL'!$C:$C,'BASE DE EXCEL'!AL:AL,"NO HAY REFERENCIA")</f>
        <v>9</v>
      </c>
      <c r="DS172" s="3" t="str">
        <f>_xlfn.XLOOKUP(B172,'BASE DE EXCEL'!$C:$C,'BASE DE EXCEL'!AM:AM,"NO HAY REFERENCIA")</f>
        <v>6 a 10 días</v>
      </c>
      <c r="DT172" s="3" t="str">
        <f>_xlfn.XLOOKUP(B172,'BASE DE EXCEL'!$C:$C,'BASE DE EXCEL'!AN:AN,"NO HAY REFERENCIA")</f>
        <v>Delayed</v>
      </c>
      <c r="DU172" s="3">
        <f>_xlfn.XLOOKUP(B172,'BASE DE EXCEL'!$C:$C,'BASE DE EXCEL'!AO:AO,"NO HAY REFERENCIA")</f>
        <v>1</v>
      </c>
      <c r="DV172" s="3" t="str">
        <f>_xlfn.XLOOKUP(B172,'BASE DE EXCEL'!$C:$C,'BASE DE EXCEL'!AP:AP,"NO HAY REFERENCIA")</f>
        <v>Es anterior</v>
      </c>
      <c r="DW172" s="3" t="str">
        <f>_xlfn.XLOOKUP(B172,'BASE DE EXCEL'!$C:$C,'BASE DE EXCEL'!AQ:AQ,"NO HAY REFERENCIA")</f>
        <v>A1</v>
      </c>
      <c r="DX172" s="3" t="str">
        <f>_xlfn.XLOOKUP(B172,'BASE DE EXCEL'!$C:$C,'BASE DE EXCEL'!AR:AR,"NO HAY REFERENCIA")</f>
        <v>ZULEIMA PEREZ RUIZ</v>
      </c>
      <c r="DY172" s="3" t="str">
        <f>_xlfn.XLOOKUP(B172,'BASE DE EXCEL'!$C:$C,'BASE DE EXCEL'!AS:AS,"NO HAY REFERENCIA")</f>
        <v>HLCURTM260353888</v>
      </c>
      <c r="DZ172" s="3" t="str">
        <f>_xlfn.XLOOKUP(B172,'BASE DE EXCEL'!$C:$C,'BASE DE EXCEL'!AT:AT,"NO HAY REFERENCIA")</f>
        <v>NULL</v>
      </c>
      <c r="EA172" s="3">
        <f>_xlfn.XLOOKUP(B172,'BASE DE EXCEL'!$C:$C,'BASE DE EXCEL'!AU:AU,"NO HAY REFERENCIA")</f>
        <v>6000613</v>
      </c>
      <c r="EB172" s="3" t="str">
        <f>_xlfn.XLOOKUP(B172,'BASE DE EXCEL'!$C:$C,'BASE DE EXCEL'!AV:AV,"NO HAY REFERENCIA")</f>
        <v>Importación</v>
      </c>
      <c r="EC172" s="3" t="str">
        <f>_xlfn.XLOOKUP(B172,'BASE DE EXCEL'!$C:$C,'BASE DE EXCEL'!AW:AW,"NO HAY REFERENCIA")</f>
        <v>PORCILIS PCV M HYO (VACUNA DE USO VETERINARIO)</v>
      </c>
      <c r="ED172" s="3" t="str">
        <f>_xlfn.XLOOKUP(B172,'BASE DE EXCEL'!$C:$C,'BASE DE EXCEL'!AX:AX,"NO HAY REFERENCIA")</f>
        <v>SIN CLASIFICACION</v>
      </c>
      <c r="EE172" s="3">
        <f>_xlfn.XLOOKUP(B172,'BASE DE EXCEL'!$C:$C,'BASE DE EXCEL'!AY:AY,"NO HAY REFERENCIA")</f>
        <v>0</v>
      </c>
      <c r="EF172" s="3" t="str">
        <f>_xlfn.XLOOKUP(B172,'BASE DE EXCEL'!$C:$C,'BASE DE EXCEL'!AZ:AZ,"NO HAY REFERENCIA")</f>
        <v>Cargas de Importación</v>
      </c>
      <c r="EG172" s="3" t="str">
        <f>_xlfn.XLOOKUP(B172,'BASE DE EXCEL'!$C:$C,'BASE DE EXCEL'!BA:BA,"NO HAY REFERENCIA")</f>
        <v>INTERVET MEXICO SA DE CV</v>
      </c>
      <c r="EH172" s="3">
        <f>_xlfn.XLOOKUP(B172,'BASE DE EXCEL'!$C:$C,'BASE DE EXCEL'!BB:BB,"NO HAY REFERENCIA")</f>
        <v>0</v>
      </c>
      <c r="EI172" s="3" t="str">
        <f>_xlfn.XLOOKUP(B172,'BASE DE EXCEL'!$C:$C,'BASE DE EXCEL'!BC:BC,"NO HAY REFERENCIA")</f>
        <v>NINGUNO</v>
      </c>
      <c r="EJ172" s="3">
        <f>_xlfn.XLOOKUP(B172,'BASE DE EXCEL'!$C:$C,'BASE DE EXCEL'!BD:BD,"NO HAY REFERENCIA")</f>
        <v>0</v>
      </c>
      <c r="EK172" s="3" t="str">
        <f>_xlfn.XLOOKUP(B172,'BASE DE EXCEL'!$C:$C,'BASE DE EXCEL'!BE:BE,"NO HAY REFERENCIA")</f>
        <v>NINGUNO</v>
      </c>
      <c r="EL172" s="3" t="str">
        <f>_xlfn.XLOOKUP(B172,'BASE DE EXCEL'!$C:$C,'BASE DE EXCEL'!BF:BF,"NO HAY REFERENCIA")</f>
        <v>PRODUCTO TERMINADO</v>
      </c>
      <c r="EM172" s="3" t="str">
        <f>_xlfn.XLOOKUP(B172,'BASE DE EXCEL'!$C:$C,'BASE DE EXCEL'!BG:BG,"NO HAY REFERENCIA")</f>
        <v>Verde</v>
      </c>
      <c r="EN172" s="3" t="str">
        <f>_xlfn.XLOOKUP(B172,'BASE DE EXCEL'!$C:$C,'BASE DE EXCEL'!BH:BH,"NO HAY REFERENCIA")</f>
        <v xml:space="preserve"> SUPER EXPRESS DE CARGA FEDERAL S.A. DE C.V.</v>
      </c>
      <c r="EO172" s="3">
        <f>_xlfn.XLOOKUP(B172,'BASE DE EXCEL'!$C:$C,'BASE DE EXCEL'!BI:BI,"NO HAY REFERENCIA")</f>
        <v>0</v>
      </c>
      <c r="EP172" s="3" t="str">
        <f>_xlfn.XLOOKUP(B172,'BASE DE EXCEL'!$C:$C,'BASE DE EXCEL'!BJ:BJ,"NO HAY REFERENCIA")</f>
        <v>IME-T006</v>
      </c>
      <c r="EQ172" s="3" t="str">
        <f>_xlfn.XLOOKUP(B172,'BASE DE EXCEL'!$C:$C,'BASE DE EXCEL'!BK:BK,"NO HAY REFERENCIA")</f>
        <v>IME850329RH2</v>
      </c>
      <c r="ER172" s="3">
        <f>_xlfn.XLOOKUP(B172,'BASE DE EXCEL'!$C:$C,'BASE DE EXCEL'!BL:BL,"NO HAY REFERENCIA")</f>
        <v>0</v>
      </c>
      <c r="ES172" s="3">
        <f>_xlfn.XLOOKUP(B172,'BASE DE EXCEL'!$C:$C,'BASE DE EXCEL'!BM:BM,"NO HAY REFERENCIA")</f>
        <v>99</v>
      </c>
      <c r="ET172" s="3" t="str">
        <f>_xlfn.XLOOKUP(B172,'BASE DE EXCEL'!$C:$C,'BASE DE EXCEL'!BN:BN,"NO HAY REFERENCIA")</f>
        <v>LOTE: J654A03,LOTE: J853A01,LOTE: A495A01,LOTE: A494A01,LOTE: 1E076A02,LOTE: A854D01,LOTE: A061A05,LOTE: A463A02,LOTE: A548A01,LOTE: A270B01</v>
      </c>
      <c r="EU172" s="3">
        <f>_xlfn.XLOOKUP(B172,'BASE DE EXCEL'!$C:$C,'BASE DE EXCEL'!BO:BO,"NO HAY REFERENCIA")</f>
        <v>90</v>
      </c>
      <c r="EV172" s="3" t="str">
        <f>_xlfn.XLOOKUP(B172,'BASE DE EXCEL'!$C:$C,'BASE DE EXCEL'!BP:BP,"NO HAY REFERENCIA")</f>
        <v xml:space="preserve"> 1513156.68, 2401836.00, 1768988.52, 1254448.52, 13288734.10, 2977644.74</v>
      </c>
      <c r="EW172" s="3" t="str">
        <f>_xlfn.XLOOKUP(B172,'BASE DE EXCEL'!$C:$C,'BASE DE EXCEL'!BQ:BQ,"NO HAY REFERENCIA")</f>
        <v>KILO,KILO,KILO,KILO,KILO,KILO,KILO,KILO,KILO,KILO</v>
      </c>
      <c r="EX172" s="3">
        <f>_xlfn.XLOOKUP(B172,'BASE DE EXCEL'!$C:$C,'BASE DE EXCEL'!BR:BR,"NO HAY REFERENCIA")</f>
        <v>0</v>
      </c>
      <c r="EY172" s="3" t="str">
        <f>_xlfn.XLOOKUP(B172,'BASE DE EXCEL'!$C:$C,'BASE DE EXCEL'!BS:BS,"NO HAY REFERENCIA")</f>
        <v>PAISES BAJOS (REINO DE LOS) (HOLANDA)</v>
      </c>
      <c r="EZ172" s="3" t="str">
        <f>_xlfn.XLOOKUP(B172,'BASE DE EXCEL'!$C:$C,'BASE DE EXCEL'!BT:BT,"NO HAY REFERENCIA")</f>
        <v>PAISES BAJOS (REINO DE LOS) (HOLANDA)</v>
      </c>
      <c r="FA172" s="3" t="str">
        <f>_xlfn.XLOOKUP(B172,'BASE DE EXCEL'!$C:$C,'BASE DE EXCEL'!BU:BU,"NO HAY REFERENCIA")</f>
        <v>ZYA</v>
      </c>
      <c r="FB172" s="3" t="str">
        <f>_xlfn.XLOOKUP(B172,'BASE DE EXCEL'!$C:$C,'BASE DE EXCEL'!BV:BV,"NO HAY REFERENCIA")</f>
        <v>ZYA</v>
      </c>
      <c r="FC172" s="3">
        <f>_xlfn.XLOOKUP(B172,QUERY!$C:$C,QUERY!D:D)</f>
        <v>430</v>
      </c>
      <c r="FD172" s="4">
        <f>_xlfn.XLOOKUP(B172,QUERY!$C:$C,QUERY!E:E)</f>
        <v>46139</v>
      </c>
      <c r="FE172" s="3">
        <f>_xlfn.XLOOKUP(B172,QUERY!$C:$C,QUERY!F:F)</f>
        <v>4</v>
      </c>
      <c r="FF172" s="4">
        <f>_xlfn.XLOOKUP(B172,QUERY!$C:$C,QUERY!G:G)</f>
        <v>46133</v>
      </c>
      <c r="FG172" s="4">
        <f>_xlfn.XLOOKUP(B172,QUERY!$C:$C,QUERY!H:H)</f>
        <v>46139</v>
      </c>
      <c r="FH172" s="3">
        <f>_xlfn.XLOOKUP(B172,QUERY!$C:$C,QUERY!I:I)</f>
        <v>4</v>
      </c>
      <c r="FI172" s="3" t="str">
        <f>_xlfn.XLOOKUP(B172,QUERY!$C:$C,QUERY!J:J)</f>
        <v>4 a 5 días</v>
      </c>
      <c r="FJ172" s="4">
        <f>_xlfn.XLOOKUP(B172,QUERY!$C:$C,QUERY!K:K)</f>
        <v>46139</v>
      </c>
      <c r="FK172" s="3">
        <f>_xlfn.XLOOKUP(B172,QUERY!$C:$C,QUERY!L:L)</f>
        <v>4</v>
      </c>
      <c r="FL172" s="3" t="str">
        <f>_xlfn.XLOOKUP(B172,QUERY!$C:$C,QUERY!M:M)</f>
        <v>4 a 5 días</v>
      </c>
      <c r="FM172" s="3">
        <f>_xlfn.XLOOKUP(B172,QUERY!$C:$C,QUERY!N:N)</f>
        <v>0</v>
      </c>
      <c r="FN172" s="3" t="str">
        <f>_xlfn.XLOOKUP(B172,QUERY!$C:$C,QUERY!O:O)</f>
        <v>1 día o menos</v>
      </c>
      <c r="FO172" s="3">
        <f>_xlfn.XLOOKUP(B172,QUERY!$C:$C,QUERY!P:P)</f>
        <v>0</v>
      </c>
      <c r="FP172" s="3">
        <f>_xlfn.XLOOKUP(B172,QUERY!$C:$C,QUERY!Q:Q)</f>
        <v>1</v>
      </c>
      <c r="FQ172" s="3" t="str">
        <f>_xlfn.XLOOKUP(B172,QUERY!$C:$C,QUERY!R:R)</f>
        <v>1 día o menos</v>
      </c>
      <c r="FR172" s="4">
        <f>_xlfn.XLOOKUP(B172,QUERY!$C:$C,QUERY!S:S)</f>
        <v>46140</v>
      </c>
      <c r="FS172" s="3">
        <f>_xlfn.XLOOKUP(B172,QUERY!$C:$C,QUERY!T:T)</f>
        <v>5</v>
      </c>
      <c r="FT172" s="3" t="str">
        <f>_xlfn.XLOOKUP(B172,QUERY!$C:$C,QUERY!U:U)</f>
        <v>4 a 5 días</v>
      </c>
      <c r="FU172" s="3">
        <f>_xlfn.XLOOKUP(B172,QUERY!$C:$C,QUERY!V:V)</f>
        <v>14</v>
      </c>
      <c r="FV172" s="3" t="str">
        <f>_xlfn.XLOOKUP(B172,QUERY!$C:$C,QUERY!W:W)</f>
        <v>11 a 15 días</v>
      </c>
      <c r="FW172" s="4">
        <f>_xlfn.XLOOKUP(B172,QUERY!$C:$C,QUERY!X:X)</f>
        <v>46153</v>
      </c>
      <c r="FX172" s="3">
        <f>_xlfn.XLOOKUP(B172,QUERY!$C:$C,QUERY!Y:Y)</f>
        <v>9</v>
      </c>
      <c r="FY172" s="3">
        <f>_xlfn.XLOOKUP(B172,QUERY!$C:$C,QUERY!Z:Z)</f>
        <v>9</v>
      </c>
      <c r="FZ172" s="4" t="str">
        <f>_xlfn.XLOOKUP(B172,QUERY!$C:$C,QUERY!AA:AA)</f>
        <v>11 a 15 días</v>
      </c>
      <c r="GA172" s="4">
        <f>_xlfn.XLOOKUP(B172,QUERY!$C:$C,QUERY!AB:AB)</f>
        <v>46153</v>
      </c>
      <c r="GB172" s="4">
        <f>_xlfn.XLOOKUP(B172,QUERY!$C:$C,QUERY!AC:AC)</f>
        <v>46153</v>
      </c>
      <c r="GC172" s="3">
        <f>_xlfn.XLOOKUP(B172,QUERY!$C:$C,QUERY!AD:AD)</f>
        <v>0</v>
      </c>
      <c r="GD172" s="4">
        <f>_xlfn.XLOOKUP(B172,QUERY!$C:$C,QUERY!AE:AE)</f>
        <v>46153</v>
      </c>
      <c r="GE172" s="3">
        <f>_xlfn.XLOOKUP(B172,QUERY!$C:$C,QUERY!AF:AF)</f>
        <v>1</v>
      </c>
      <c r="GF172" s="4" t="str">
        <f>_xlfn.XLOOKUP(B172,QUERY!$C:$C,QUERY!AG:AG)</f>
        <v>Es anterior</v>
      </c>
      <c r="GG172" s="3" t="str">
        <f>_xlfn.XLOOKUP(B172,QUERY!$C:$C,QUERY!AH:AH)</f>
        <v>A1</v>
      </c>
      <c r="GH172" s="3" t="str">
        <f>_xlfn.XLOOKUP(B172,QUERY!$C:$C,QUERY!AI:AI)</f>
        <v>ZULEIMA PEREZ RUIZ</v>
      </c>
      <c r="GI172" s="3" t="str">
        <f>_xlfn.XLOOKUP(B172,QUERY!$C:$C,QUERY!AJ:AJ)</f>
        <v>HLCURTM260353888</v>
      </c>
      <c r="GJ172" s="3" t="str">
        <f>_xlfn.XLOOKUP(B172,QUERY!$C:$C,QUERY!AK:AK)</f>
        <v>NULL</v>
      </c>
      <c r="GK172" s="3">
        <f>_xlfn.XLOOKUP(B172,QUERY!$C:$C,QUERY!AL:AL)</f>
        <v>6000613</v>
      </c>
      <c r="GL172" s="3" t="str">
        <f>_xlfn.XLOOKUP(B172,QUERY!$C:$C,QUERY!AM:AM)</f>
        <v>Importación</v>
      </c>
      <c r="GM172" s="3" t="str">
        <f>_xlfn.XLOOKUP(B172,QUERY!$C:$C,QUERY!AN:AN)</f>
        <v>PORCILIS PCV M HYO (VACUNA DE USO VETERINARIO)</v>
      </c>
      <c r="GN172" s="3" t="str">
        <f>_xlfn.XLOOKUP(B172,QUERY!$C:$C,QUERY!AO:AO)</f>
        <v>SIN CLASIFICACION</v>
      </c>
      <c r="GO172" s="3">
        <f>_xlfn.XLOOKUP(B172,QUERY!$C:$C,QUERY!AP:AP)</f>
        <v>0</v>
      </c>
      <c r="GP172" s="3" t="str">
        <f>_xlfn.XLOOKUP(B172,QUERY!$C:$C,QUERY!AQ:AQ)</f>
        <v>Cargas de Importación</v>
      </c>
      <c r="GQ172" s="3" t="str">
        <f>_xlfn.XLOOKUP(B172,QUERY!$C:$C,QUERY!AR:AR)</f>
        <v>INTERVET MEXICO SA DE CV</v>
      </c>
      <c r="GR172" s="3">
        <f>_xlfn.XLOOKUP(B172,QUERY!$C:$C,QUERY!AS:AS)</f>
        <v>0</v>
      </c>
      <c r="GS172" s="3" t="str">
        <f>_xlfn.XLOOKUP(B172,QUERY!$C:$C,QUERY!AT:AT)</f>
        <v>NINGUNO</v>
      </c>
      <c r="GT172" s="3">
        <f>_xlfn.XLOOKUP(B172,QUERY!$C:$C,QUERY!AU:AU)</f>
        <v>0</v>
      </c>
      <c r="GU172" s="3" t="str">
        <f>_xlfn.XLOOKUP(B172,QUERY!$C:$C,QUERY!AV:AV)</f>
        <v>NINGUNO</v>
      </c>
      <c r="GV172" s="3" t="str">
        <f>_xlfn.XLOOKUP(B172,QUERY!$C:$C,QUERY!AW:AW)</f>
        <v>PRODUCTO TERMINADO</v>
      </c>
      <c r="GW172" s="3" t="str">
        <f>_xlfn.XLOOKUP(B172,QUERY!$C:$C,QUERY!AX:AX)</f>
        <v>Verde</v>
      </c>
      <c r="GX172" s="3" t="str">
        <f>_xlfn.XLOOKUP(B172,QUERY!$C:$C,QUERY!AY:AY)</f>
        <v xml:space="preserve"> SUPER EXPRESS DE CARGA FEDERAL S.A. DE C.V.</v>
      </c>
      <c r="GY172" s="3">
        <f>_xlfn.XLOOKUP(B172,QUERY!$C:$C,QUERY!AZ:AZ)</f>
        <v>0</v>
      </c>
      <c r="GZ172" s="3" t="str">
        <f>_xlfn.XLOOKUP(B172,QUERY!$C:$C,QUERY!BA:BA)</f>
        <v>IME-T006</v>
      </c>
      <c r="HA172" s="3" t="str">
        <f>_xlfn.XLOOKUP(B172,QUERY!$C:$C,QUERY!BB:BB)</f>
        <v>IME850329RH2</v>
      </c>
      <c r="HB172" s="3">
        <f>_xlfn.XLOOKUP(B172,QUERY!$C:$C,QUERY!BC:BC)</f>
        <v>0</v>
      </c>
      <c r="HC172" s="3">
        <f>_xlfn.XLOOKUP(B172,QUERY!$C:$C,QUERY!BD:BD)</f>
        <v>99</v>
      </c>
      <c r="HD172" s="3" t="str">
        <f>_xlfn.XLOOKUP(B172,QUERY!$C:$C,QUERY!BE:BE)</f>
        <v>LOTE: J654A03,LOTE: J853A01,LOTE: A495A01,LOTE: A494A01,LOTE: 1E076A02,LOTE: A854D01,LOTE: A061A05,LOTE: A463A02,LOTE: A548A01,LOTE: A270B01</v>
      </c>
      <c r="HE172" s="3">
        <f>_xlfn.XLOOKUP(B172,QUERY!$C:$C,QUERY!BF:BF)</f>
        <v>90</v>
      </c>
      <c r="HF172" s="3" t="str">
        <f>_xlfn.XLOOKUP(B172,QUERY!$C:$C,QUERY!BG:BG)</f>
        <v xml:space="preserve"> 1513156.68, 2401836.00, 1768988.52, 1254448.52, 13288734.10, 2977644.74</v>
      </c>
      <c r="HG172" s="3" t="str">
        <f>_xlfn.XLOOKUP(B172,QUERY!$C:$C,QUERY!BH:BH)</f>
        <v>KILO,KILO,KILO,KILO,KILO,KILO,KILO,KILO,KILO,KILO</v>
      </c>
      <c r="HH172" s="3">
        <f>_xlfn.XLOOKUP(B172,QUERY!$C:$C,QUERY!BI:BI)</f>
        <v>0</v>
      </c>
      <c r="HI172" s="3" t="str">
        <f>_xlfn.XLOOKUP(B172,QUERY!$C:$C,QUERY!BJ:BJ)</f>
        <v>PAISES BAJOS (REINO DE LOS) (HOLANDA)</v>
      </c>
      <c r="HJ172" s="3" t="str">
        <f>_xlfn.XLOOKUP(B172,QUERY!$C:$C,QUERY!BK:BK)</f>
        <v>PAISES BAJOS (REINO DE LOS) (HOLANDA)</v>
      </c>
      <c r="HK172" s="3" t="str">
        <f>_xlfn.XLOOKUP(B172,QUERY!$C:$C,QUERY!BL:BL)</f>
        <v>ZYA</v>
      </c>
      <c r="HL172" s="3" t="str">
        <f>_xlfn.XLOOKUP(B172,QUERY!$C:$C,QUERY!BM:BM)</f>
        <v>ZYA</v>
      </c>
      <c r="HM172" s="3">
        <f>_xlfn.XLOOKUP(B172,QUERY!$C:$C,QUERY!BN:BN)</f>
        <v>23204810</v>
      </c>
      <c r="HN172" s="3" t="str">
        <f>_xlfn.XLOOKUP(B172,QUERY!$C:$C,QUERY!BO:BO)</f>
        <v>462.00</v>
      </c>
      <c r="HO172" s="3" t="str">
        <f>_xlfn.XLOOKUP(B172,QUERY!$C:$C,QUERY!BP:BP)</f>
        <v>NULL</v>
      </c>
      <c r="HP172" s="3" t="str">
        <f>_xlfn.XLOOKUP(B172,QUERY!$C:$C,QUERY!BQ:BQ)</f>
        <v>NULL</v>
      </c>
      <c r="HQ172" s="3" t="str">
        <f>_xlfn.XLOOKUP(B172,QUERY!$C:$C,QUERY!BR:BR)</f>
        <v>189833.75</v>
      </c>
      <c r="HR172" s="3">
        <f>_xlfn.XLOOKUP(B172,QUERY!$C:$C,QUERY!BS:BS)</f>
        <v>0</v>
      </c>
      <c r="HS172" s="3">
        <f>_xlfn.XLOOKUP(B172,QUERY!$C:$C,QUERY!BT:BT)</f>
        <v>0</v>
      </c>
      <c r="HT172" s="3" t="str">
        <f>_xlfn.XLOOKUP(B172,QUERY!$C:$C,QUERY!A:A)</f>
        <v>VERACRUZ</v>
      </c>
      <c r="HU172" s="3" t="str">
        <f>_xlfn.XLOOKUP(B172,QUERY!$C:$C,QUERY!B:B)</f>
        <v>MARÍTIMO VERACRUZ</v>
      </c>
    </row>
    <row r="173" spans="1:229" x14ac:dyDescent="0.25">
      <c r="A173" s="3" t="s">
        <v>90</v>
      </c>
      <c r="B173" s="3" t="s">
        <v>450</v>
      </c>
      <c r="C173" s="3">
        <v>3942</v>
      </c>
      <c r="D173" s="3">
        <v>6000613</v>
      </c>
      <c r="E173" s="3"/>
      <c r="F173" s="3" t="s">
        <v>92</v>
      </c>
      <c r="G173" s="3" t="s">
        <v>93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430</v>
      </c>
      <c r="S173" s="3" t="s">
        <v>451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 t="s">
        <v>164</v>
      </c>
      <c r="AB173" s="3"/>
      <c r="AC173" s="3">
        <v>792087</v>
      </c>
      <c r="AD173" s="3">
        <v>411.26011999999997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/>
      <c r="AP173" s="3" t="s">
        <v>98</v>
      </c>
      <c r="AQ173" s="3">
        <v>210370643</v>
      </c>
      <c r="AR173" s="3" t="s">
        <v>99</v>
      </c>
      <c r="AS173" s="3" t="s">
        <v>100</v>
      </c>
      <c r="AT173" s="3">
        <v>0</v>
      </c>
      <c r="AU173" s="3">
        <v>0</v>
      </c>
      <c r="AV173" s="3">
        <v>0</v>
      </c>
      <c r="AW173" s="3">
        <v>30024201</v>
      </c>
      <c r="AX173" s="3">
        <v>99</v>
      </c>
      <c r="AY173" s="3">
        <v>1926</v>
      </c>
      <c r="AZ173" s="3">
        <v>1926</v>
      </c>
      <c r="BA173" s="3" t="s">
        <v>103</v>
      </c>
      <c r="BB173" s="3"/>
      <c r="BC173" s="3" t="s">
        <v>105</v>
      </c>
      <c r="BD173" s="3" t="s">
        <v>105</v>
      </c>
      <c r="BE173" s="3"/>
      <c r="BF173" s="3"/>
      <c r="BG173" s="5"/>
      <c r="BH173" s="3"/>
      <c r="BI173" s="3"/>
      <c r="BJ173" s="3"/>
      <c r="BK173" s="3" t="s">
        <v>458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 t="s">
        <v>192</v>
      </c>
      <c r="CF173" s="3">
        <v>0</v>
      </c>
      <c r="CG173" s="3">
        <v>0</v>
      </c>
      <c r="CH173" s="3">
        <v>0</v>
      </c>
      <c r="CI173" s="3" t="s">
        <v>112</v>
      </c>
      <c r="CJ173" s="3" t="s">
        <v>112</v>
      </c>
      <c r="CK173" s="3">
        <f>_xlfn.XLOOKUP($B$2,'BASE DE EXCEL'!C:C,'BASE DE EXCEL'!D:D,"NO HAY REFERENCIA")</f>
        <v>470</v>
      </c>
      <c r="CL173" s="5">
        <f>_xlfn.XLOOKUP($B$2,'BASE DE EXCEL'!$C:$C,'BASE DE EXCEL'!F:F,"NO HAY REFERENCIA")</f>
        <v>3</v>
      </c>
      <c r="CM173" s="4">
        <f>_xlfn.XLOOKUP($B$2,'BASE DE EXCEL'!$C:$C,'BASE DE EXCEL'!G:G,"NO HAY REFERENCIA")</f>
        <v>46080</v>
      </c>
      <c r="CN173" s="4">
        <f>_xlfn.XLOOKUP($B$2,'BASE DE EXCEL'!$C:$C,'BASE DE EXCEL'!H:H,"NO HAY REFERENCIA")</f>
        <v>46086</v>
      </c>
      <c r="CO173" s="3">
        <f>_xlfn.XLOOKUP($B$2,'BASE DE EXCEL'!$C:$C,'BASE DE EXCEL'!I:I,"NO HAY REFERENCIA")</f>
        <v>4</v>
      </c>
      <c r="CP173" s="3" t="str">
        <f>_xlfn.XLOOKUP($B$2,'BASE DE EXCEL'!$C:$C,'BASE DE EXCEL'!J:J,"NO HAY REFERENCIA")</f>
        <v>4 a 5 días</v>
      </c>
      <c r="CQ173" s="4">
        <f>_xlfn.XLOOKUP($B$2,'BASE DE EXCEL'!$C:$C,'BASE DE EXCEL'!K:K,"NO HAY REFERENCIA")</f>
        <v>46087</v>
      </c>
      <c r="CR173" s="3">
        <f>_xlfn.XLOOKUP($B$2,'BASE DE EXCEL'!$C:$C,'BASE DE EXCEL'!L:L,"NO HAY REFERENCIA")</f>
        <v>5</v>
      </c>
      <c r="CS173" s="3">
        <f>_xlfn.XLOOKUP($B$2,'BASE DE EXCEL'!$C:$C,'BASE DE EXCEL'!M:M,"NO HAY REFERENCIA")</f>
        <v>6</v>
      </c>
      <c r="CT173" s="3" t="str">
        <f>_xlfn.XLOOKUP($B$2,'BASE DE EXCEL'!$C:$C,'BASE DE EXCEL'!N:N,"NO HAY REFERENCIA")</f>
        <v>6 a 10 días</v>
      </c>
      <c r="CU173" s="3" t="str">
        <f>_xlfn.XLOOKUP($B$2,'BASE DE EXCEL'!$C:$C,'BASE DE EXCEL'!O:O,"NO HAY REFERENCIA")</f>
        <v>On Time</v>
      </c>
      <c r="CV173" s="3" t="str">
        <f>_xlfn.XLOOKUP(B173,'BASE DE EXCEL'!$C:$C,'BASE DE EXCEL'!P:P,"NO HAY REFERENCIA")</f>
        <v>6 a 10 días</v>
      </c>
      <c r="CW173" s="4">
        <f>_xlfn.XLOOKUP(B173,'BASE DE EXCEL'!$C:$C,'BASE DE EXCEL'!Q:Q,"NO HAY REFERENCIA")</f>
        <v>46140</v>
      </c>
      <c r="CX173" s="3">
        <f>_xlfn.XLOOKUP(B173,'BASE DE EXCEL'!$C:$C,'BASE DE EXCEL'!R:R,"NO HAY REFERENCIA")</f>
        <v>6</v>
      </c>
      <c r="CY173" s="3" t="str">
        <f>_xlfn.XLOOKUP(B173,'BASE DE EXCEL'!$C:$C,'BASE DE EXCEL'!S:S,"NO HAY REFERENCIA")</f>
        <v>6 a 10 días</v>
      </c>
      <c r="CZ173" s="3" t="str">
        <f>_xlfn.XLOOKUP(B173,'BASE DE EXCEL'!$C:$C,'BASE DE EXCEL'!T:T,"NO HAY REFERENCIA")</f>
        <v>On Time</v>
      </c>
      <c r="DA173" s="3">
        <f>_xlfn.XLOOKUP(B173,'BASE DE EXCEL'!$C:$C,'BASE DE EXCEL'!U:U,"NO HAY REFERENCIA")</f>
        <v>7</v>
      </c>
      <c r="DB173" s="3" t="str">
        <f>_xlfn.XLOOKUP(B173,'BASE DE EXCEL'!$C:$C,'BASE DE EXCEL'!V:V,"NO HAY REFERENCIA")</f>
        <v>4 a 5 días</v>
      </c>
      <c r="DC173" s="3">
        <f>_xlfn.XLOOKUP(B173,'BASE DE EXCEL'!$C:$C,'BASE DE EXCEL'!W:W,"NO HAY REFERENCIA")</f>
        <v>14</v>
      </c>
      <c r="DD173" s="3" t="str">
        <f>_xlfn.XLOOKUP(B173,'BASE DE EXCEL'!$C:$C,'BASE DE EXCEL'!X:X,"NO HAY REFERENCIA")</f>
        <v>11 a 15 días</v>
      </c>
      <c r="DE173" s="3">
        <f>_xlfn.XLOOKUP(B173,'BASE DE EXCEL'!$C:$C,'BASE DE EXCEL'!Y:Y,"NO HAY REFERENCIA")</f>
        <v>0</v>
      </c>
      <c r="DF173" s="3" t="str">
        <f>_xlfn.XLOOKUP(B173,'BASE DE EXCEL'!$C:$C,'BASE DE EXCEL'!Z:Z,"NO HAY REFERENCIA")</f>
        <v>1 día o menos</v>
      </c>
      <c r="DG173" s="3">
        <f>_xlfn.XLOOKUP(B173,'BASE DE EXCEL'!$C:$C,'BASE DE EXCEL'!AA:AA,"NO HAY REFERENCIA")</f>
        <v>6</v>
      </c>
      <c r="DH173" s="3">
        <f>_xlfn.XLOOKUP(B173,'BASE DE EXCEL'!$C:$C,'BASE DE EXCEL'!AB:AB,"NO HAY REFERENCIA")</f>
        <v>1</v>
      </c>
      <c r="DI173" s="3" t="str">
        <f>_xlfn.XLOOKUP(B173,'BASE DE EXCEL'!$C:$C,'BASE DE EXCEL'!AC:AC,"NO HAY REFERENCIA")</f>
        <v>1 día o menos</v>
      </c>
      <c r="DJ173" s="4">
        <f>_xlfn.XLOOKUP(B173,'BASE DE EXCEL'!$C:$C,'BASE DE EXCEL'!AD:AD,"NO HAY REFERENCIA")</f>
        <v>46153</v>
      </c>
      <c r="DK173" s="3">
        <f>_xlfn.XLOOKUP(B173,'BASE DE EXCEL'!$C:$C,'BASE DE EXCEL'!AE:AE,"NO HAY REFERENCIA")</f>
        <v>13</v>
      </c>
      <c r="DL173" s="3">
        <f>_xlfn.XLOOKUP(B173,'BASE DE EXCEL'!$C:$C,'BASE DE EXCEL'!AF:AF,"NO HAY REFERENCIA")</f>
        <v>9</v>
      </c>
      <c r="DM173" s="4">
        <f>_xlfn.XLOOKUP(B173,'BASE DE EXCEL'!$C:$C,'BASE DE EXCEL'!AG:AG,"NO HAY REFERENCIA")</f>
        <v>46153</v>
      </c>
      <c r="DN173" s="4">
        <f>_xlfn.XLOOKUP(B173,'BASE DE EXCEL'!$C:$C,'BASE DE EXCEL'!AH:AH,"NO HAY REFERENCIA")</f>
        <v>46153</v>
      </c>
      <c r="DO173" s="3">
        <f>_xlfn.XLOOKUP(B173,'BASE DE EXCEL'!$C:$C,'BASE DE EXCEL'!AI:AI,"NO HAY REFERENCIA")</f>
        <v>0</v>
      </c>
      <c r="DP173" s="4" t="str">
        <f>_xlfn.XLOOKUP(B173,'BASE DE EXCEL'!$C:$C,'BASE DE EXCEL'!AJ:AJ,"NO HAY REFERENCIA")</f>
        <v>11 a 15 días</v>
      </c>
      <c r="DQ173" s="4">
        <f>_xlfn.XLOOKUP(B173,'BASE DE EXCEL'!$C:$C,'BASE DE EXCEL'!AK:AK,"NO HAY REFERENCIA")</f>
        <v>46153</v>
      </c>
      <c r="DR173" s="3">
        <f>_xlfn.XLOOKUP(B173,'BASE DE EXCEL'!$C:$C,'BASE DE EXCEL'!AL:AL,"NO HAY REFERENCIA")</f>
        <v>9</v>
      </c>
      <c r="DS173" s="3" t="str">
        <f>_xlfn.XLOOKUP(B173,'BASE DE EXCEL'!$C:$C,'BASE DE EXCEL'!AM:AM,"NO HAY REFERENCIA")</f>
        <v>6 a 10 días</v>
      </c>
      <c r="DT173" s="3" t="str">
        <f>_xlfn.XLOOKUP(B173,'BASE DE EXCEL'!$C:$C,'BASE DE EXCEL'!AN:AN,"NO HAY REFERENCIA")</f>
        <v>Delayed</v>
      </c>
      <c r="DU173" s="3">
        <f>_xlfn.XLOOKUP(B173,'BASE DE EXCEL'!$C:$C,'BASE DE EXCEL'!AO:AO,"NO HAY REFERENCIA")</f>
        <v>1</v>
      </c>
      <c r="DV173" s="3" t="str">
        <f>_xlfn.XLOOKUP(B173,'BASE DE EXCEL'!$C:$C,'BASE DE EXCEL'!AP:AP,"NO HAY REFERENCIA")</f>
        <v>Es anterior</v>
      </c>
      <c r="DW173" s="3" t="str">
        <f>_xlfn.XLOOKUP(B173,'BASE DE EXCEL'!$C:$C,'BASE DE EXCEL'!AQ:AQ,"NO HAY REFERENCIA")</f>
        <v>A1</v>
      </c>
      <c r="DX173" s="3" t="str">
        <f>_xlfn.XLOOKUP(B173,'BASE DE EXCEL'!$C:$C,'BASE DE EXCEL'!AR:AR,"NO HAY REFERENCIA")</f>
        <v>ZULEIMA PEREZ RUIZ</v>
      </c>
      <c r="DY173" s="3" t="str">
        <f>_xlfn.XLOOKUP(B173,'BASE DE EXCEL'!$C:$C,'BASE DE EXCEL'!AS:AS,"NO HAY REFERENCIA")</f>
        <v>HLCURTM260353888</v>
      </c>
      <c r="DZ173" s="3" t="str">
        <f>_xlfn.XLOOKUP(B173,'BASE DE EXCEL'!$C:$C,'BASE DE EXCEL'!AT:AT,"NO HAY REFERENCIA")</f>
        <v>NULL</v>
      </c>
      <c r="EA173" s="3">
        <f>_xlfn.XLOOKUP(B173,'BASE DE EXCEL'!$C:$C,'BASE DE EXCEL'!AU:AU,"NO HAY REFERENCIA")</f>
        <v>6000613</v>
      </c>
      <c r="EB173" s="3" t="str">
        <f>_xlfn.XLOOKUP(B173,'BASE DE EXCEL'!$C:$C,'BASE DE EXCEL'!AV:AV,"NO HAY REFERENCIA")</f>
        <v>Importación</v>
      </c>
      <c r="EC173" s="3" t="str">
        <f>_xlfn.XLOOKUP(B173,'BASE DE EXCEL'!$C:$C,'BASE DE EXCEL'!AW:AW,"NO HAY REFERENCIA")</f>
        <v>PORCILIS PCV M HYO (VACUNA DE USO VETERINARIO)</v>
      </c>
      <c r="ED173" s="3" t="str">
        <f>_xlfn.XLOOKUP(B173,'BASE DE EXCEL'!$C:$C,'BASE DE EXCEL'!AX:AX,"NO HAY REFERENCIA")</f>
        <v>SIN CLASIFICACION</v>
      </c>
      <c r="EE173" s="3">
        <f>_xlfn.XLOOKUP(B173,'BASE DE EXCEL'!$C:$C,'BASE DE EXCEL'!AY:AY,"NO HAY REFERENCIA")</f>
        <v>0</v>
      </c>
      <c r="EF173" s="3" t="str">
        <f>_xlfn.XLOOKUP(B173,'BASE DE EXCEL'!$C:$C,'BASE DE EXCEL'!AZ:AZ,"NO HAY REFERENCIA")</f>
        <v>Cargas de Importación</v>
      </c>
      <c r="EG173" s="3" t="str">
        <f>_xlfn.XLOOKUP(B173,'BASE DE EXCEL'!$C:$C,'BASE DE EXCEL'!BA:BA,"NO HAY REFERENCIA")</f>
        <v>INTERVET MEXICO SA DE CV</v>
      </c>
      <c r="EH173" s="3">
        <f>_xlfn.XLOOKUP(B173,'BASE DE EXCEL'!$C:$C,'BASE DE EXCEL'!BB:BB,"NO HAY REFERENCIA")</f>
        <v>0</v>
      </c>
      <c r="EI173" s="3" t="str">
        <f>_xlfn.XLOOKUP(B173,'BASE DE EXCEL'!$C:$C,'BASE DE EXCEL'!BC:BC,"NO HAY REFERENCIA")</f>
        <v>NINGUNO</v>
      </c>
      <c r="EJ173" s="3">
        <f>_xlfn.XLOOKUP(B173,'BASE DE EXCEL'!$C:$C,'BASE DE EXCEL'!BD:BD,"NO HAY REFERENCIA")</f>
        <v>0</v>
      </c>
      <c r="EK173" s="3" t="str">
        <f>_xlfn.XLOOKUP(B173,'BASE DE EXCEL'!$C:$C,'BASE DE EXCEL'!BE:BE,"NO HAY REFERENCIA")</f>
        <v>NINGUNO</v>
      </c>
      <c r="EL173" s="3" t="str">
        <f>_xlfn.XLOOKUP(B173,'BASE DE EXCEL'!$C:$C,'BASE DE EXCEL'!BF:BF,"NO HAY REFERENCIA")</f>
        <v>PRODUCTO TERMINADO</v>
      </c>
      <c r="EM173" s="3" t="str">
        <f>_xlfn.XLOOKUP(B173,'BASE DE EXCEL'!$C:$C,'BASE DE EXCEL'!BG:BG,"NO HAY REFERENCIA")</f>
        <v>Verde</v>
      </c>
      <c r="EN173" s="3" t="str">
        <f>_xlfn.XLOOKUP(B173,'BASE DE EXCEL'!$C:$C,'BASE DE EXCEL'!BH:BH,"NO HAY REFERENCIA")</f>
        <v xml:space="preserve"> SUPER EXPRESS DE CARGA FEDERAL S.A. DE C.V.</v>
      </c>
      <c r="EO173" s="3">
        <f>_xlfn.XLOOKUP(B173,'BASE DE EXCEL'!$C:$C,'BASE DE EXCEL'!BI:BI,"NO HAY REFERENCIA")</f>
        <v>0</v>
      </c>
      <c r="EP173" s="3" t="str">
        <f>_xlfn.XLOOKUP(B173,'BASE DE EXCEL'!$C:$C,'BASE DE EXCEL'!BJ:BJ,"NO HAY REFERENCIA")</f>
        <v>IME-T006</v>
      </c>
      <c r="EQ173" s="3" t="str">
        <f>_xlfn.XLOOKUP(B173,'BASE DE EXCEL'!$C:$C,'BASE DE EXCEL'!BK:BK,"NO HAY REFERENCIA")</f>
        <v>IME850329RH2</v>
      </c>
      <c r="ER173" s="3">
        <f>_xlfn.XLOOKUP(B173,'BASE DE EXCEL'!$C:$C,'BASE DE EXCEL'!BL:BL,"NO HAY REFERENCIA")</f>
        <v>0</v>
      </c>
      <c r="ES173" s="3">
        <f>_xlfn.XLOOKUP(B173,'BASE DE EXCEL'!$C:$C,'BASE DE EXCEL'!BM:BM,"NO HAY REFERENCIA")</f>
        <v>99</v>
      </c>
      <c r="ET173" s="3" t="str">
        <f>_xlfn.XLOOKUP(B173,'BASE DE EXCEL'!$C:$C,'BASE DE EXCEL'!BN:BN,"NO HAY REFERENCIA")</f>
        <v>LOTE: J654A03,LOTE: J853A01,LOTE: A495A01,LOTE: A494A01,LOTE: 1E076A02,LOTE: A854D01,LOTE: A061A05,LOTE: A463A02,LOTE: A548A01,LOTE: A270B01</v>
      </c>
      <c r="EU173" s="3">
        <f>_xlfn.XLOOKUP(B173,'BASE DE EXCEL'!$C:$C,'BASE DE EXCEL'!BO:BO,"NO HAY REFERENCIA")</f>
        <v>90</v>
      </c>
      <c r="EV173" s="3" t="str">
        <f>_xlfn.XLOOKUP(B173,'BASE DE EXCEL'!$C:$C,'BASE DE EXCEL'!BP:BP,"NO HAY REFERENCIA")</f>
        <v xml:space="preserve"> 1513156.68, 2401836.00, 1768988.52, 1254448.52, 13288734.10, 2977644.74</v>
      </c>
      <c r="EW173" s="3" t="str">
        <f>_xlfn.XLOOKUP(B173,'BASE DE EXCEL'!$C:$C,'BASE DE EXCEL'!BQ:BQ,"NO HAY REFERENCIA")</f>
        <v>KILO,KILO,KILO,KILO,KILO,KILO,KILO,KILO,KILO,KILO</v>
      </c>
      <c r="EX173" s="3">
        <f>_xlfn.XLOOKUP(B173,'BASE DE EXCEL'!$C:$C,'BASE DE EXCEL'!BR:BR,"NO HAY REFERENCIA")</f>
        <v>0</v>
      </c>
      <c r="EY173" s="3" t="str">
        <f>_xlfn.XLOOKUP(B173,'BASE DE EXCEL'!$C:$C,'BASE DE EXCEL'!BS:BS,"NO HAY REFERENCIA")</f>
        <v>PAISES BAJOS (REINO DE LOS) (HOLANDA)</v>
      </c>
      <c r="EZ173" s="3" t="str">
        <f>_xlfn.XLOOKUP(B173,'BASE DE EXCEL'!$C:$C,'BASE DE EXCEL'!BT:BT,"NO HAY REFERENCIA")</f>
        <v>PAISES BAJOS (REINO DE LOS) (HOLANDA)</v>
      </c>
      <c r="FA173" s="3" t="str">
        <f>_xlfn.XLOOKUP(B173,'BASE DE EXCEL'!$C:$C,'BASE DE EXCEL'!BU:BU,"NO HAY REFERENCIA")</f>
        <v>ZYA</v>
      </c>
      <c r="FB173" s="3" t="str">
        <f>_xlfn.XLOOKUP(B173,'BASE DE EXCEL'!$C:$C,'BASE DE EXCEL'!BV:BV,"NO HAY REFERENCIA")</f>
        <v>ZYA</v>
      </c>
      <c r="FC173" s="3">
        <f>_xlfn.XLOOKUP(B173,QUERY!$C:$C,QUERY!D:D)</f>
        <v>430</v>
      </c>
      <c r="FD173" s="4">
        <f>_xlfn.XLOOKUP(B173,QUERY!$C:$C,QUERY!E:E)</f>
        <v>46139</v>
      </c>
      <c r="FE173" s="3">
        <f>_xlfn.XLOOKUP(B173,QUERY!$C:$C,QUERY!F:F)</f>
        <v>4</v>
      </c>
      <c r="FF173" s="4">
        <f>_xlfn.XLOOKUP(B173,QUERY!$C:$C,QUERY!G:G)</f>
        <v>46133</v>
      </c>
      <c r="FG173" s="4">
        <f>_xlfn.XLOOKUP(B173,QUERY!$C:$C,QUERY!H:H)</f>
        <v>46139</v>
      </c>
      <c r="FH173" s="3">
        <f>_xlfn.XLOOKUP(B173,QUERY!$C:$C,QUERY!I:I)</f>
        <v>4</v>
      </c>
      <c r="FI173" s="3" t="str">
        <f>_xlfn.XLOOKUP(B173,QUERY!$C:$C,QUERY!J:J)</f>
        <v>4 a 5 días</v>
      </c>
      <c r="FJ173" s="4">
        <f>_xlfn.XLOOKUP(B173,QUERY!$C:$C,QUERY!K:K)</f>
        <v>46139</v>
      </c>
      <c r="FK173" s="3">
        <f>_xlfn.XLOOKUP(B173,QUERY!$C:$C,QUERY!L:L)</f>
        <v>4</v>
      </c>
      <c r="FL173" s="3" t="str">
        <f>_xlfn.XLOOKUP(B173,QUERY!$C:$C,QUERY!M:M)</f>
        <v>4 a 5 días</v>
      </c>
      <c r="FM173" s="3">
        <f>_xlfn.XLOOKUP(B173,QUERY!$C:$C,QUERY!N:N)</f>
        <v>0</v>
      </c>
      <c r="FN173" s="3" t="str">
        <f>_xlfn.XLOOKUP(B173,QUERY!$C:$C,QUERY!O:O)</f>
        <v>1 día o menos</v>
      </c>
      <c r="FO173" s="3">
        <f>_xlfn.XLOOKUP(B173,QUERY!$C:$C,QUERY!P:P)</f>
        <v>0</v>
      </c>
      <c r="FP173" s="3">
        <f>_xlfn.XLOOKUP(B173,QUERY!$C:$C,QUERY!Q:Q)</f>
        <v>1</v>
      </c>
      <c r="FQ173" s="3" t="str">
        <f>_xlfn.XLOOKUP(B173,QUERY!$C:$C,QUERY!R:R)</f>
        <v>1 día o menos</v>
      </c>
      <c r="FR173" s="4">
        <f>_xlfn.XLOOKUP(B173,QUERY!$C:$C,QUERY!S:S)</f>
        <v>46140</v>
      </c>
      <c r="FS173" s="3">
        <f>_xlfn.XLOOKUP(B173,QUERY!$C:$C,QUERY!T:T)</f>
        <v>5</v>
      </c>
      <c r="FT173" s="3" t="str">
        <f>_xlfn.XLOOKUP(B173,QUERY!$C:$C,QUERY!U:U)</f>
        <v>4 a 5 días</v>
      </c>
      <c r="FU173" s="3">
        <f>_xlfn.XLOOKUP(B173,QUERY!$C:$C,QUERY!V:V)</f>
        <v>14</v>
      </c>
      <c r="FV173" s="3" t="str">
        <f>_xlfn.XLOOKUP(B173,QUERY!$C:$C,QUERY!W:W)</f>
        <v>11 a 15 días</v>
      </c>
      <c r="FW173" s="4">
        <f>_xlfn.XLOOKUP(B173,QUERY!$C:$C,QUERY!X:X)</f>
        <v>46153</v>
      </c>
      <c r="FX173" s="3">
        <f>_xlfn.XLOOKUP(B173,QUERY!$C:$C,QUERY!Y:Y)</f>
        <v>9</v>
      </c>
      <c r="FY173" s="3">
        <f>_xlfn.XLOOKUP(B173,QUERY!$C:$C,QUERY!Z:Z)</f>
        <v>9</v>
      </c>
      <c r="FZ173" s="4" t="str">
        <f>_xlfn.XLOOKUP(B173,QUERY!$C:$C,QUERY!AA:AA)</f>
        <v>11 a 15 días</v>
      </c>
      <c r="GA173" s="4">
        <f>_xlfn.XLOOKUP(B173,QUERY!$C:$C,QUERY!AB:AB)</f>
        <v>46153</v>
      </c>
      <c r="GB173" s="4">
        <f>_xlfn.XLOOKUP(B173,QUERY!$C:$C,QUERY!AC:AC)</f>
        <v>46153</v>
      </c>
      <c r="GC173" s="3">
        <f>_xlfn.XLOOKUP(B173,QUERY!$C:$C,QUERY!AD:AD)</f>
        <v>0</v>
      </c>
      <c r="GD173" s="4">
        <f>_xlfn.XLOOKUP(B173,QUERY!$C:$C,QUERY!AE:AE)</f>
        <v>46153</v>
      </c>
      <c r="GE173" s="3">
        <f>_xlfn.XLOOKUP(B173,QUERY!$C:$C,QUERY!AF:AF)</f>
        <v>1</v>
      </c>
      <c r="GF173" s="4" t="str">
        <f>_xlfn.XLOOKUP(B173,QUERY!$C:$C,QUERY!AG:AG)</f>
        <v>Es anterior</v>
      </c>
      <c r="GG173" s="3" t="str">
        <f>_xlfn.XLOOKUP(B173,QUERY!$C:$C,QUERY!AH:AH)</f>
        <v>A1</v>
      </c>
      <c r="GH173" s="3" t="str">
        <f>_xlfn.XLOOKUP(B173,QUERY!$C:$C,QUERY!AI:AI)</f>
        <v>ZULEIMA PEREZ RUIZ</v>
      </c>
      <c r="GI173" s="3" t="str">
        <f>_xlfn.XLOOKUP(B173,QUERY!$C:$C,QUERY!AJ:AJ)</f>
        <v>HLCURTM260353888</v>
      </c>
      <c r="GJ173" s="3" t="str">
        <f>_xlfn.XLOOKUP(B173,QUERY!$C:$C,QUERY!AK:AK)</f>
        <v>NULL</v>
      </c>
      <c r="GK173" s="3">
        <f>_xlfn.XLOOKUP(B173,QUERY!$C:$C,QUERY!AL:AL)</f>
        <v>6000613</v>
      </c>
      <c r="GL173" s="3" t="str">
        <f>_xlfn.XLOOKUP(B173,QUERY!$C:$C,QUERY!AM:AM)</f>
        <v>Importación</v>
      </c>
      <c r="GM173" s="3" t="str">
        <f>_xlfn.XLOOKUP(B173,QUERY!$C:$C,QUERY!AN:AN)</f>
        <v>PORCILIS PCV M HYO (VACUNA DE USO VETERINARIO)</v>
      </c>
      <c r="GN173" s="3" t="str">
        <f>_xlfn.XLOOKUP(B173,QUERY!$C:$C,QUERY!AO:AO)</f>
        <v>SIN CLASIFICACION</v>
      </c>
      <c r="GO173" s="3">
        <f>_xlfn.XLOOKUP(B173,QUERY!$C:$C,QUERY!AP:AP)</f>
        <v>0</v>
      </c>
      <c r="GP173" s="3" t="str">
        <f>_xlfn.XLOOKUP(B173,QUERY!$C:$C,QUERY!AQ:AQ)</f>
        <v>Cargas de Importación</v>
      </c>
      <c r="GQ173" s="3" t="str">
        <f>_xlfn.XLOOKUP(B173,QUERY!$C:$C,QUERY!AR:AR)</f>
        <v>INTERVET MEXICO SA DE CV</v>
      </c>
      <c r="GR173" s="3">
        <f>_xlfn.XLOOKUP(B173,QUERY!$C:$C,QUERY!AS:AS)</f>
        <v>0</v>
      </c>
      <c r="GS173" s="3" t="str">
        <f>_xlfn.XLOOKUP(B173,QUERY!$C:$C,QUERY!AT:AT)</f>
        <v>NINGUNO</v>
      </c>
      <c r="GT173" s="3">
        <f>_xlfn.XLOOKUP(B173,QUERY!$C:$C,QUERY!AU:AU)</f>
        <v>0</v>
      </c>
      <c r="GU173" s="3" t="str">
        <f>_xlfn.XLOOKUP(B173,QUERY!$C:$C,QUERY!AV:AV)</f>
        <v>NINGUNO</v>
      </c>
      <c r="GV173" s="3" t="str">
        <f>_xlfn.XLOOKUP(B173,QUERY!$C:$C,QUERY!AW:AW)</f>
        <v>PRODUCTO TERMINADO</v>
      </c>
      <c r="GW173" s="3" t="str">
        <f>_xlfn.XLOOKUP(B173,QUERY!$C:$C,QUERY!AX:AX)</f>
        <v>Verde</v>
      </c>
      <c r="GX173" s="3" t="str">
        <f>_xlfn.XLOOKUP(B173,QUERY!$C:$C,QUERY!AY:AY)</f>
        <v xml:space="preserve"> SUPER EXPRESS DE CARGA FEDERAL S.A. DE C.V.</v>
      </c>
      <c r="GY173" s="3">
        <f>_xlfn.XLOOKUP(B173,QUERY!$C:$C,QUERY!AZ:AZ)</f>
        <v>0</v>
      </c>
      <c r="GZ173" s="3" t="str">
        <f>_xlfn.XLOOKUP(B173,QUERY!$C:$C,QUERY!BA:BA)</f>
        <v>IME-T006</v>
      </c>
      <c r="HA173" s="3" t="str">
        <f>_xlfn.XLOOKUP(B173,QUERY!$C:$C,QUERY!BB:BB)</f>
        <v>IME850329RH2</v>
      </c>
      <c r="HB173" s="3">
        <f>_xlfn.XLOOKUP(B173,QUERY!$C:$C,QUERY!BC:BC)</f>
        <v>0</v>
      </c>
      <c r="HC173" s="3">
        <f>_xlfn.XLOOKUP(B173,QUERY!$C:$C,QUERY!BD:BD)</f>
        <v>99</v>
      </c>
      <c r="HD173" s="3" t="str">
        <f>_xlfn.XLOOKUP(B173,QUERY!$C:$C,QUERY!BE:BE)</f>
        <v>LOTE: J654A03,LOTE: J853A01,LOTE: A495A01,LOTE: A494A01,LOTE: 1E076A02,LOTE: A854D01,LOTE: A061A05,LOTE: A463A02,LOTE: A548A01,LOTE: A270B01</v>
      </c>
      <c r="HE173" s="3">
        <f>_xlfn.XLOOKUP(B173,QUERY!$C:$C,QUERY!BF:BF)</f>
        <v>90</v>
      </c>
      <c r="HF173" s="3" t="str">
        <f>_xlfn.XLOOKUP(B173,QUERY!$C:$C,QUERY!BG:BG)</f>
        <v xml:space="preserve"> 1513156.68, 2401836.00, 1768988.52, 1254448.52, 13288734.10, 2977644.74</v>
      </c>
      <c r="HG173" s="3" t="str">
        <f>_xlfn.XLOOKUP(B173,QUERY!$C:$C,QUERY!BH:BH)</f>
        <v>KILO,KILO,KILO,KILO,KILO,KILO,KILO,KILO,KILO,KILO</v>
      </c>
      <c r="HH173" s="3">
        <f>_xlfn.XLOOKUP(B173,QUERY!$C:$C,QUERY!BI:BI)</f>
        <v>0</v>
      </c>
      <c r="HI173" s="3" t="str">
        <f>_xlfn.XLOOKUP(B173,QUERY!$C:$C,QUERY!BJ:BJ)</f>
        <v>PAISES BAJOS (REINO DE LOS) (HOLANDA)</v>
      </c>
      <c r="HJ173" s="3" t="str">
        <f>_xlfn.XLOOKUP(B173,QUERY!$C:$C,QUERY!BK:BK)</f>
        <v>PAISES BAJOS (REINO DE LOS) (HOLANDA)</v>
      </c>
      <c r="HK173" s="3" t="str">
        <f>_xlfn.XLOOKUP(B173,QUERY!$C:$C,QUERY!BL:BL)</f>
        <v>ZYA</v>
      </c>
      <c r="HL173" s="3" t="str">
        <f>_xlfn.XLOOKUP(B173,QUERY!$C:$C,QUERY!BM:BM)</f>
        <v>ZYA</v>
      </c>
      <c r="HM173" s="3">
        <f>_xlfn.XLOOKUP(B173,QUERY!$C:$C,QUERY!BN:BN)</f>
        <v>23204810</v>
      </c>
      <c r="HN173" s="3" t="str">
        <f>_xlfn.XLOOKUP(B173,QUERY!$C:$C,QUERY!BO:BO)</f>
        <v>462.00</v>
      </c>
      <c r="HO173" s="3" t="str">
        <f>_xlfn.XLOOKUP(B173,QUERY!$C:$C,QUERY!BP:BP)</f>
        <v>NULL</v>
      </c>
      <c r="HP173" s="3" t="str">
        <f>_xlfn.XLOOKUP(B173,QUERY!$C:$C,QUERY!BQ:BQ)</f>
        <v>NULL</v>
      </c>
      <c r="HQ173" s="3" t="str">
        <f>_xlfn.XLOOKUP(B173,QUERY!$C:$C,QUERY!BR:BR)</f>
        <v>189833.75</v>
      </c>
      <c r="HR173" s="3">
        <f>_xlfn.XLOOKUP(B173,QUERY!$C:$C,QUERY!BS:BS)</f>
        <v>0</v>
      </c>
      <c r="HS173" s="3">
        <f>_xlfn.XLOOKUP(B173,QUERY!$C:$C,QUERY!BT:BT)</f>
        <v>0</v>
      </c>
      <c r="HT173" s="3" t="str">
        <f>_xlfn.XLOOKUP(B173,QUERY!$C:$C,QUERY!A:A)</f>
        <v>VERACRUZ</v>
      </c>
      <c r="HU173" s="3" t="str">
        <f>_xlfn.XLOOKUP(B173,QUERY!$C:$C,QUERY!B:B)</f>
        <v>MARÍTIMO VERACRUZ</v>
      </c>
    </row>
    <row r="174" spans="1:229" x14ac:dyDescent="0.25">
      <c r="A174" s="3" t="s">
        <v>90</v>
      </c>
      <c r="B174" s="3" t="s">
        <v>450</v>
      </c>
      <c r="C174" s="3">
        <v>3942</v>
      </c>
      <c r="D174" s="3">
        <v>6000613</v>
      </c>
      <c r="E174" s="3"/>
      <c r="F174" s="3" t="s">
        <v>92</v>
      </c>
      <c r="G174" s="3" t="s">
        <v>93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430</v>
      </c>
      <c r="S174" s="3" t="s">
        <v>451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 t="s">
        <v>459</v>
      </c>
      <c r="AB174" s="3"/>
      <c r="AC174" s="3">
        <v>209177</v>
      </c>
      <c r="AD174" s="3">
        <v>249.02024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/>
      <c r="AP174" s="3" t="s">
        <v>98</v>
      </c>
      <c r="AQ174" s="3">
        <v>210370644</v>
      </c>
      <c r="AR174" s="3" t="s">
        <v>99</v>
      </c>
      <c r="AS174" s="3" t="s">
        <v>100</v>
      </c>
      <c r="AT174" s="3">
        <v>0</v>
      </c>
      <c r="AU174" s="3">
        <v>0</v>
      </c>
      <c r="AV174" s="3">
        <v>0</v>
      </c>
      <c r="AW174" s="3">
        <v>30024201</v>
      </c>
      <c r="AX174" s="3">
        <v>99</v>
      </c>
      <c r="AY174" s="3">
        <v>840</v>
      </c>
      <c r="AZ174" s="3">
        <v>840</v>
      </c>
      <c r="BA174" s="3" t="s">
        <v>103</v>
      </c>
      <c r="BB174" s="3"/>
      <c r="BC174" s="3" t="s">
        <v>105</v>
      </c>
      <c r="BD174" s="3" t="s">
        <v>105</v>
      </c>
      <c r="BE174" s="3"/>
      <c r="BF174" s="3"/>
      <c r="BG174" s="5"/>
      <c r="BH174" s="3"/>
      <c r="BI174" s="3"/>
      <c r="BJ174" s="3"/>
      <c r="BK174" s="3" t="s">
        <v>460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 t="s">
        <v>192</v>
      </c>
      <c r="CF174" s="3">
        <v>0</v>
      </c>
      <c r="CG174" s="3">
        <v>0</v>
      </c>
      <c r="CH174" s="3">
        <v>0</v>
      </c>
      <c r="CI174" s="3" t="s">
        <v>112</v>
      </c>
      <c r="CJ174" s="3" t="s">
        <v>112</v>
      </c>
      <c r="CK174" s="3">
        <f>_xlfn.XLOOKUP($B$2,'BASE DE EXCEL'!C:C,'BASE DE EXCEL'!D:D,"NO HAY REFERENCIA")</f>
        <v>470</v>
      </c>
      <c r="CL174" s="5">
        <f>_xlfn.XLOOKUP($B$2,'BASE DE EXCEL'!$C:$C,'BASE DE EXCEL'!F:F,"NO HAY REFERENCIA")</f>
        <v>3</v>
      </c>
      <c r="CM174" s="4">
        <f>_xlfn.XLOOKUP($B$2,'BASE DE EXCEL'!$C:$C,'BASE DE EXCEL'!G:G,"NO HAY REFERENCIA")</f>
        <v>46080</v>
      </c>
      <c r="CN174" s="4">
        <f>_xlfn.XLOOKUP($B$2,'BASE DE EXCEL'!$C:$C,'BASE DE EXCEL'!H:H,"NO HAY REFERENCIA")</f>
        <v>46086</v>
      </c>
      <c r="CO174" s="3">
        <f>_xlfn.XLOOKUP($B$2,'BASE DE EXCEL'!$C:$C,'BASE DE EXCEL'!I:I,"NO HAY REFERENCIA")</f>
        <v>4</v>
      </c>
      <c r="CP174" s="3" t="str">
        <f>_xlfn.XLOOKUP($B$2,'BASE DE EXCEL'!$C:$C,'BASE DE EXCEL'!J:J,"NO HAY REFERENCIA")</f>
        <v>4 a 5 días</v>
      </c>
      <c r="CQ174" s="4">
        <f>_xlfn.XLOOKUP($B$2,'BASE DE EXCEL'!$C:$C,'BASE DE EXCEL'!K:K,"NO HAY REFERENCIA")</f>
        <v>46087</v>
      </c>
      <c r="CR174" s="3">
        <f>_xlfn.XLOOKUP($B$2,'BASE DE EXCEL'!$C:$C,'BASE DE EXCEL'!L:L,"NO HAY REFERENCIA")</f>
        <v>5</v>
      </c>
      <c r="CS174" s="3">
        <f>_xlfn.XLOOKUP($B$2,'BASE DE EXCEL'!$C:$C,'BASE DE EXCEL'!M:M,"NO HAY REFERENCIA")</f>
        <v>6</v>
      </c>
      <c r="CT174" s="3" t="str">
        <f>_xlfn.XLOOKUP($B$2,'BASE DE EXCEL'!$C:$C,'BASE DE EXCEL'!N:N,"NO HAY REFERENCIA")</f>
        <v>6 a 10 días</v>
      </c>
      <c r="CU174" s="3" t="str">
        <f>_xlfn.XLOOKUP($B$2,'BASE DE EXCEL'!$C:$C,'BASE DE EXCEL'!O:O,"NO HAY REFERENCIA")</f>
        <v>On Time</v>
      </c>
      <c r="CV174" s="3" t="str">
        <f>_xlfn.XLOOKUP(B174,'BASE DE EXCEL'!$C:$C,'BASE DE EXCEL'!P:P,"NO HAY REFERENCIA")</f>
        <v>6 a 10 días</v>
      </c>
      <c r="CW174" s="4">
        <f>_xlfn.XLOOKUP(B174,'BASE DE EXCEL'!$C:$C,'BASE DE EXCEL'!Q:Q,"NO HAY REFERENCIA")</f>
        <v>46140</v>
      </c>
      <c r="CX174" s="3">
        <f>_xlfn.XLOOKUP(B174,'BASE DE EXCEL'!$C:$C,'BASE DE EXCEL'!R:R,"NO HAY REFERENCIA")</f>
        <v>6</v>
      </c>
      <c r="CY174" s="3" t="str">
        <f>_xlfn.XLOOKUP(B174,'BASE DE EXCEL'!$C:$C,'BASE DE EXCEL'!S:S,"NO HAY REFERENCIA")</f>
        <v>6 a 10 días</v>
      </c>
      <c r="CZ174" s="3" t="str">
        <f>_xlfn.XLOOKUP(B174,'BASE DE EXCEL'!$C:$C,'BASE DE EXCEL'!T:T,"NO HAY REFERENCIA")</f>
        <v>On Time</v>
      </c>
      <c r="DA174" s="3">
        <f>_xlfn.XLOOKUP(B174,'BASE DE EXCEL'!$C:$C,'BASE DE EXCEL'!U:U,"NO HAY REFERENCIA")</f>
        <v>7</v>
      </c>
      <c r="DB174" s="3" t="str">
        <f>_xlfn.XLOOKUP(B174,'BASE DE EXCEL'!$C:$C,'BASE DE EXCEL'!V:V,"NO HAY REFERENCIA")</f>
        <v>4 a 5 días</v>
      </c>
      <c r="DC174" s="3">
        <f>_xlfn.XLOOKUP(B174,'BASE DE EXCEL'!$C:$C,'BASE DE EXCEL'!W:W,"NO HAY REFERENCIA")</f>
        <v>14</v>
      </c>
      <c r="DD174" s="3" t="str">
        <f>_xlfn.XLOOKUP(B174,'BASE DE EXCEL'!$C:$C,'BASE DE EXCEL'!X:X,"NO HAY REFERENCIA")</f>
        <v>11 a 15 días</v>
      </c>
      <c r="DE174" s="3">
        <f>_xlfn.XLOOKUP(B174,'BASE DE EXCEL'!$C:$C,'BASE DE EXCEL'!Y:Y,"NO HAY REFERENCIA")</f>
        <v>0</v>
      </c>
      <c r="DF174" s="3" t="str">
        <f>_xlfn.XLOOKUP(B174,'BASE DE EXCEL'!$C:$C,'BASE DE EXCEL'!Z:Z,"NO HAY REFERENCIA")</f>
        <v>1 día o menos</v>
      </c>
      <c r="DG174" s="3">
        <f>_xlfn.XLOOKUP(B174,'BASE DE EXCEL'!$C:$C,'BASE DE EXCEL'!AA:AA,"NO HAY REFERENCIA")</f>
        <v>6</v>
      </c>
      <c r="DH174" s="3">
        <f>_xlfn.XLOOKUP(B174,'BASE DE EXCEL'!$C:$C,'BASE DE EXCEL'!AB:AB,"NO HAY REFERENCIA")</f>
        <v>1</v>
      </c>
      <c r="DI174" s="3" t="str">
        <f>_xlfn.XLOOKUP(B174,'BASE DE EXCEL'!$C:$C,'BASE DE EXCEL'!AC:AC,"NO HAY REFERENCIA")</f>
        <v>1 día o menos</v>
      </c>
      <c r="DJ174" s="4">
        <f>_xlfn.XLOOKUP(B174,'BASE DE EXCEL'!$C:$C,'BASE DE EXCEL'!AD:AD,"NO HAY REFERENCIA")</f>
        <v>46153</v>
      </c>
      <c r="DK174" s="3">
        <f>_xlfn.XLOOKUP(B174,'BASE DE EXCEL'!$C:$C,'BASE DE EXCEL'!AE:AE,"NO HAY REFERENCIA")</f>
        <v>13</v>
      </c>
      <c r="DL174" s="3">
        <f>_xlfn.XLOOKUP(B174,'BASE DE EXCEL'!$C:$C,'BASE DE EXCEL'!AF:AF,"NO HAY REFERENCIA")</f>
        <v>9</v>
      </c>
      <c r="DM174" s="4">
        <f>_xlfn.XLOOKUP(B174,'BASE DE EXCEL'!$C:$C,'BASE DE EXCEL'!AG:AG,"NO HAY REFERENCIA")</f>
        <v>46153</v>
      </c>
      <c r="DN174" s="4">
        <f>_xlfn.XLOOKUP(B174,'BASE DE EXCEL'!$C:$C,'BASE DE EXCEL'!AH:AH,"NO HAY REFERENCIA")</f>
        <v>46153</v>
      </c>
      <c r="DO174" s="3">
        <f>_xlfn.XLOOKUP(B174,'BASE DE EXCEL'!$C:$C,'BASE DE EXCEL'!AI:AI,"NO HAY REFERENCIA")</f>
        <v>0</v>
      </c>
      <c r="DP174" s="4" t="str">
        <f>_xlfn.XLOOKUP(B174,'BASE DE EXCEL'!$C:$C,'BASE DE EXCEL'!AJ:AJ,"NO HAY REFERENCIA")</f>
        <v>11 a 15 días</v>
      </c>
      <c r="DQ174" s="4">
        <f>_xlfn.XLOOKUP(B174,'BASE DE EXCEL'!$C:$C,'BASE DE EXCEL'!AK:AK,"NO HAY REFERENCIA")</f>
        <v>46153</v>
      </c>
      <c r="DR174" s="3">
        <f>_xlfn.XLOOKUP(B174,'BASE DE EXCEL'!$C:$C,'BASE DE EXCEL'!AL:AL,"NO HAY REFERENCIA")</f>
        <v>9</v>
      </c>
      <c r="DS174" s="3" t="str">
        <f>_xlfn.XLOOKUP(B174,'BASE DE EXCEL'!$C:$C,'BASE DE EXCEL'!AM:AM,"NO HAY REFERENCIA")</f>
        <v>6 a 10 días</v>
      </c>
      <c r="DT174" s="3" t="str">
        <f>_xlfn.XLOOKUP(B174,'BASE DE EXCEL'!$C:$C,'BASE DE EXCEL'!AN:AN,"NO HAY REFERENCIA")</f>
        <v>Delayed</v>
      </c>
      <c r="DU174" s="3">
        <f>_xlfn.XLOOKUP(B174,'BASE DE EXCEL'!$C:$C,'BASE DE EXCEL'!AO:AO,"NO HAY REFERENCIA")</f>
        <v>1</v>
      </c>
      <c r="DV174" s="3" t="str">
        <f>_xlfn.XLOOKUP(B174,'BASE DE EXCEL'!$C:$C,'BASE DE EXCEL'!AP:AP,"NO HAY REFERENCIA")</f>
        <v>Es anterior</v>
      </c>
      <c r="DW174" s="3" t="str">
        <f>_xlfn.XLOOKUP(B174,'BASE DE EXCEL'!$C:$C,'BASE DE EXCEL'!AQ:AQ,"NO HAY REFERENCIA")</f>
        <v>A1</v>
      </c>
      <c r="DX174" s="3" t="str">
        <f>_xlfn.XLOOKUP(B174,'BASE DE EXCEL'!$C:$C,'BASE DE EXCEL'!AR:AR,"NO HAY REFERENCIA")</f>
        <v>ZULEIMA PEREZ RUIZ</v>
      </c>
      <c r="DY174" s="3" t="str">
        <f>_xlfn.XLOOKUP(B174,'BASE DE EXCEL'!$C:$C,'BASE DE EXCEL'!AS:AS,"NO HAY REFERENCIA")</f>
        <v>HLCURTM260353888</v>
      </c>
      <c r="DZ174" s="3" t="str">
        <f>_xlfn.XLOOKUP(B174,'BASE DE EXCEL'!$C:$C,'BASE DE EXCEL'!AT:AT,"NO HAY REFERENCIA")</f>
        <v>NULL</v>
      </c>
      <c r="EA174" s="3">
        <f>_xlfn.XLOOKUP(B174,'BASE DE EXCEL'!$C:$C,'BASE DE EXCEL'!AU:AU,"NO HAY REFERENCIA")</f>
        <v>6000613</v>
      </c>
      <c r="EB174" s="3" t="str">
        <f>_xlfn.XLOOKUP(B174,'BASE DE EXCEL'!$C:$C,'BASE DE EXCEL'!AV:AV,"NO HAY REFERENCIA")</f>
        <v>Importación</v>
      </c>
      <c r="EC174" s="3" t="str">
        <f>_xlfn.XLOOKUP(B174,'BASE DE EXCEL'!$C:$C,'BASE DE EXCEL'!AW:AW,"NO HAY REFERENCIA")</f>
        <v>PORCILIS PCV M HYO (VACUNA DE USO VETERINARIO)</v>
      </c>
      <c r="ED174" s="3" t="str">
        <f>_xlfn.XLOOKUP(B174,'BASE DE EXCEL'!$C:$C,'BASE DE EXCEL'!AX:AX,"NO HAY REFERENCIA")</f>
        <v>SIN CLASIFICACION</v>
      </c>
      <c r="EE174" s="3">
        <f>_xlfn.XLOOKUP(B174,'BASE DE EXCEL'!$C:$C,'BASE DE EXCEL'!AY:AY,"NO HAY REFERENCIA")</f>
        <v>0</v>
      </c>
      <c r="EF174" s="3" t="str">
        <f>_xlfn.XLOOKUP(B174,'BASE DE EXCEL'!$C:$C,'BASE DE EXCEL'!AZ:AZ,"NO HAY REFERENCIA")</f>
        <v>Cargas de Importación</v>
      </c>
      <c r="EG174" s="3" t="str">
        <f>_xlfn.XLOOKUP(B174,'BASE DE EXCEL'!$C:$C,'BASE DE EXCEL'!BA:BA,"NO HAY REFERENCIA")</f>
        <v>INTERVET MEXICO SA DE CV</v>
      </c>
      <c r="EH174" s="3">
        <f>_xlfn.XLOOKUP(B174,'BASE DE EXCEL'!$C:$C,'BASE DE EXCEL'!BB:BB,"NO HAY REFERENCIA")</f>
        <v>0</v>
      </c>
      <c r="EI174" s="3" t="str">
        <f>_xlfn.XLOOKUP(B174,'BASE DE EXCEL'!$C:$C,'BASE DE EXCEL'!BC:BC,"NO HAY REFERENCIA")</f>
        <v>NINGUNO</v>
      </c>
      <c r="EJ174" s="3">
        <f>_xlfn.XLOOKUP(B174,'BASE DE EXCEL'!$C:$C,'BASE DE EXCEL'!BD:BD,"NO HAY REFERENCIA")</f>
        <v>0</v>
      </c>
      <c r="EK174" s="3" t="str">
        <f>_xlfn.XLOOKUP(B174,'BASE DE EXCEL'!$C:$C,'BASE DE EXCEL'!BE:BE,"NO HAY REFERENCIA")</f>
        <v>NINGUNO</v>
      </c>
      <c r="EL174" s="3" t="str">
        <f>_xlfn.XLOOKUP(B174,'BASE DE EXCEL'!$C:$C,'BASE DE EXCEL'!BF:BF,"NO HAY REFERENCIA")</f>
        <v>PRODUCTO TERMINADO</v>
      </c>
      <c r="EM174" s="3" t="str">
        <f>_xlfn.XLOOKUP(B174,'BASE DE EXCEL'!$C:$C,'BASE DE EXCEL'!BG:BG,"NO HAY REFERENCIA")</f>
        <v>Verde</v>
      </c>
      <c r="EN174" s="3" t="str">
        <f>_xlfn.XLOOKUP(B174,'BASE DE EXCEL'!$C:$C,'BASE DE EXCEL'!BH:BH,"NO HAY REFERENCIA")</f>
        <v xml:space="preserve"> SUPER EXPRESS DE CARGA FEDERAL S.A. DE C.V.</v>
      </c>
      <c r="EO174" s="3">
        <f>_xlfn.XLOOKUP(B174,'BASE DE EXCEL'!$C:$C,'BASE DE EXCEL'!BI:BI,"NO HAY REFERENCIA")</f>
        <v>0</v>
      </c>
      <c r="EP174" s="3" t="str">
        <f>_xlfn.XLOOKUP(B174,'BASE DE EXCEL'!$C:$C,'BASE DE EXCEL'!BJ:BJ,"NO HAY REFERENCIA")</f>
        <v>IME-T006</v>
      </c>
      <c r="EQ174" s="3" t="str">
        <f>_xlfn.XLOOKUP(B174,'BASE DE EXCEL'!$C:$C,'BASE DE EXCEL'!BK:BK,"NO HAY REFERENCIA")</f>
        <v>IME850329RH2</v>
      </c>
      <c r="ER174" s="3">
        <f>_xlfn.XLOOKUP(B174,'BASE DE EXCEL'!$C:$C,'BASE DE EXCEL'!BL:BL,"NO HAY REFERENCIA")</f>
        <v>0</v>
      </c>
      <c r="ES174" s="3">
        <f>_xlfn.XLOOKUP(B174,'BASE DE EXCEL'!$C:$C,'BASE DE EXCEL'!BM:BM,"NO HAY REFERENCIA")</f>
        <v>99</v>
      </c>
      <c r="ET174" s="3" t="str">
        <f>_xlfn.XLOOKUP(B174,'BASE DE EXCEL'!$C:$C,'BASE DE EXCEL'!BN:BN,"NO HAY REFERENCIA")</f>
        <v>LOTE: J654A03,LOTE: J853A01,LOTE: A495A01,LOTE: A494A01,LOTE: 1E076A02,LOTE: A854D01,LOTE: A061A05,LOTE: A463A02,LOTE: A548A01,LOTE: A270B01</v>
      </c>
      <c r="EU174" s="3">
        <f>_xlfn.XLOOKUP(B174,'BASE DE EXCEL'!$C:$C,'BASE DE EXCEL'!BO:BO,"NO HAY REFERENCIA")</f>
        <v>90</v>
      </c>
      <c r="EV174" s="3" t="str">
        <f>_xlfn.XLOOKUP(B174,'BASE DE EXCEL'!$C:$C,'BASE DE EXCEL'!BP:BP,"NO HAY REFERENCIA")</f>
        <v xml:space="preserve"> 1513156.68, 2401836.00, 1768988.52, 1254448.52, 13288734.10, 2977644.74</v>
      </c>
      <c r="EW174" s="3" t="str">
        <f>_xlfn.XLOOKUP(B174,'BASE DE EXCEL'!$C:$C,'BASE DE EXCEL'!BQ:BQ,"NO HAY REFERENCIA")</f>
        <v>KILO,KILO,KILO,KILO,KILO,KILO,KILO,KILO,KILO,KILO</v>
      </c>
      <c r="EX174" s="3">
        <f>_xlfn.XLOOKUP(B174,'BASE DE EXCEL'!$C:$C,'BASE DE EXCEL'!BR:BR,"NO HAY REFERENCIA")</f>
        <v>0</v>
      </c>
      <c r="EY174" s="3" t="str">
        <f>_xlfn.XLOOKUP(B174,'BASE DE EXCEL'!$C:$C,'BASE DE EXCEL'!BS:BS,"NO HAY REFERENCIA")</f>
        <v>PAISES BAJOS (REINO DE LOS) (HOLANDA)</v>
      </c>
      <c r="EZ174" s="3" t="str">
        <f>_xlfn.XLOOKUP(B174,'BASE DE EXCEL'!$C:$C,'BASE DE EXCEL'!BT:BT,"NO HAY REFERENCIA")</f>
        <v>PAISES BAJOS (REINO DE LOS) (HOLANDA)</v>
      </c>
      <c r="FA174" s="3" t="str">
        <f>_xlfn.XLOOKUP(B174,'BASE DE EXCEL'!$C:$C,'BASE DE EXCEL'!BU:BU,"NO HAY REFERENCIA")</f>
        <v>ZYA</v>
      </c>
      <c r="FB174" s="3" t="str">
        <f>_xlfn.XLOOKUP(B174,'BASE DE EXCEL'!$C:$C,'BASE DE EXCEL'!BV:BV,"NO HAY REFERENCIA")</f>
        <v>ZYA</v>
      </c>
      <c r="FC174" s="3">
        <f>_xlfn.XLOOKUP(B174,QUERY!$C:$C,QUERY!D:D)</f>
        <v>430</v>
      </c>
      <c r="FD174" s="4">
        <f>_xlfn.XLOOKUP(B174,QUERY!$C:$C,QUERY!E:E)</f>
        <v>46139</v>
      </c>
      <c r="FE174" s="3">
        <f>_xlfn.XLOOKUP(B174,QUERY!$C:$C,QUERY!F:F)</f>
        <v>4</v>
      </c>
      <c r="FF174" s="4">
        <f>_xlfn.XLOOKUP(B174,QUERY!$C:$C,QUERY!G:G)</f>
        <v>46133</v>
      </c>
      <c r="FG174" s="4">
        <f>_xlfn.XLOOKUP(B174,QUERY!$C:$C,QUERY!H:H)</f>
        <v>46139</v>
      </c>
      <c r="FH174" s="3">
        <f>_xlfn.XLOOKUP(B174,QUERY!$C:$C,QUERY!I:I)</f>
        <v>4</v>
      </c>
      <c r="FI174" s="3" t="str">
        <f>_xlfn.XLOOKUP(B174,QUERY!$C:$C,QUERY!J:J)</f>
        <v>4 a 5 días</v>
      </c>
      <c r="FJ174" s="4">
        <f>_xlfn.XLOOKUP(B174,QUERY!$C:$C,QUERY!K:K)</f>
        <v>46139</v>
      </c>
      <c r="FK174" s="3">
        <f>_xlfn.XLOOKUP(B174,QUERY!$C:$C,QUERY!L:L)</f>
        <v>4</v>
      </c>
      <c r="FL174" s="3" t="str">
        <f>_xlfn.XLOOKUP(B174,QUERY!$C:$C,QUERY!M:M)</f>
        <v>4 a 5 días</v>
      </c>
      <c r="FM174" s="3">
        <f>_xlfn.XLOOKUP(B174,QUERY!$C:$C,QUERY!N:N)</f>
        <v>0</v>
      </c>
      <c r="FN174" s="3" t="str">
        <f>_xlfn.XLOOKUP(B174,QUERY!$C:$C,QUERY!O:O)</f>
        <v>1 día o menos</v>
      </c>
      <c r="FO174" s="3">
        <f>_xlfn.XLOOKUP(B174,QUERY!$C:$C,QUERY!P:P)</f>
        <v>0</v>
      </c>
      <c r="FP174" s="3">
        <f>_xlfn.XLOOKUP(B174,QUERY!$C:$C,QUERY!Q:Q)</f>
        <v>1</v>
      </c>
      <c r="FQ174" s="3" t="str">
        <f>_xlfn.XLOOKUP(B174,QUERY!$C:$C,QUERY!R:R)</f>
        <v>1 día o menos</v>
      </c>
      <c r="FR174" s="4">
        <f>_xlfn.XLOOKUP(B174,QUERY!$C:$C,QUERY!S:S)</f>
        <v>46140</v>
      </c>
      <c r="FS174" s="3">
        <f>_xlfn.XLOOKUP(B174,QUERY!$C:$C,QUERY!T:T)</f>
        <v>5</v>
      </c>
      <c r="FT174" s="3" t="str">
        <f>_xlfn.XLOOKUP(B174,QUERY!$C:$C,QUERY!U:U)</f>
        <v>4 a 5 días</v>
      </c>
      <c r="FU174" s="3">
        <f>_xlfn.XLOOKUP(B174,QUERY!$C:$C,QUERY!V:V)</f>
        <v>14</v>
      </c>
      <c r="FV174" s="3" t="str">
        <f>_xlfn.XLOOKUP(B174,QUERY!$C:$C,QUERY!W:W)</f>
        <v>11 a 15 días</v>
      </c>
      <c r="FW174" s="4">
        <f>_xlfn.XLOOKUP(B174,QUERY!$C:$C,QUERY!X:X)</f>
        <v>46153</v>
      </c>
      <c r="FX174" s="3">
        <f>_xlfn.XLOOKUP(B174,QUERY!$C:$C,QUERY!Y:Y)</f>
        <v>9</v>
      </c>
      <c r="FY174" s="3">
        <f>_xlfn.XLOOKUP(B174,QUERY!$C:$C,QUERY!Z:Z)</f>
        <v>9</v>
      </c>
      <c r="FZ174" s="4" t="str">
        <f>_xlfn.XLOOKUP(B174,QUERY!$C:$C,QUERY!AA:AA)</f>
        <v>11 a 15 días</v>
      </c>
      <c r="GA174" s="4">
        <f>_xlfn.XLOOKUP(B174,QUERY!$C:$C,QUERY!AB:AB)</f>
        <v>46153</v>
      </c>
      <c r="GB174" s="4">
        <f>_xlfn.XLOOKUP(B174,QUERY!$C:$C,QUERY!AC:AC)</f>
        <v>46153</v>
      </c>
      <c r="GC174" s="3">
        <f>_xlfn.XLOOKUP(B174,QUERY!$C:$C,QUERY!AD:AD)</f>
        <v>0</v>
      </c>
      <c r="GD174" s="4">
        <f>_xlfn.XLOOKUP(B174,QUERY!$C:$C,QUERY!AE:AE)</f>
        <v>46153</v>
      </c>
      <c r="GE174" s="3">
        <f>_xlfn.XLOOKUP(B174,QUERY!$C:$C,QUERY!AF:AF)</f>
        <v>1</v>
      </c>
      <c r="GF174" s="4" t="str">
        <f>_xlfn.XLOOKUP(B174,QUERY!$C:$C,QUERY!AG:AG)</f>
        <v>Es anterior</v>
      </c>
      <c r="GG174" s="3" t="str">
        <f>_xlfn.XLOOKUP(B174,QUERY!$C:$C,QUERY!AH:AH)</f>
        <v>A1</v>
      </c>
      <c r="GH174" s="3" t="str">
        <f>_xlfn.XLOOKUP(B174,QUERY!$C:$C,QUERY!AI:AI)</f>
        <v>ZULEIMA PEREZ RUIZ</v>
      </c>
      <c r="GI174" s="3" t="str">
        <f>_xlfn.XLOOKUP(B174,QUERY!$C:$C,QUERY!AJ:AJ)</f>
        <v>HLCURTM260353888</v>
      </c>
      <c r="GJ174" s="3" t="str">
        <f>_xlfn.XLOOKUP(B174,QUERY!$C:$C,QUERY!AK:AK)</f>
        <v>NULL</v>
      </c>
      <c r="GK174" s="3">
        <f>_xlfn.XLOOKUP(B174,QUERY!$C:$C,QUERY!AL:AL)</f>
        <v>6000613</v>
      </c>
      <c r="GL174" s="3" t="str">
        <f>_xlfn.XLOOKUP(B174,QUERY!$C:$C,QUERY!AM:AM)</f>
        <v>Importación</v>
      </c>
      <c r="GM174" s="3" t="str">
        <f>_xlfn.XLOOKUP(B174,QUERY!$C:$C,QUERY!AN:AN)</f>
        <v>PORCILIS PCV M HYO (VACUNA DE USO VETERINARIO)</v>
      </c>
      <c r="GN174" s="3" t="str">
        <f>_xlfn.XLOOKUP(B174,QUERY!$C:$C,QUERY!AO:AO)</f>
        <v>SIN CLASIFICACION</v>
      </c>
      <c r="GO174" s="3">
        <f>_xlfn.XLOOKUP(B174,QUERY!$C:$C,QUERY!AP:AP)</f>
        <v>0</v>
      </c>
      <c r="GP174" s="3" t="str">
        <f>_xlfn.XLOOKUP(B174,QUERY!$C:$C,QUERY!AQ:AQ)</f>
        <v>Cargas de Importación</v>
      </c>
      <c r="GQ174" s="3" t="str">
        <f>_xlfn.XLOOKUP(B174,QUERY!$C:$C,QUERY!AR:AR)</f>
        <v>INTERVET MEXICO SA DE CV</v>
      </c>
      <c r="GR174" s="3">
        <f>_xlfn.XLOOKUP(B174,QUERY!$C:$C,QUERY!AS:AS)</f>
        <v>0</v>
      </c>
      <c r="GS174" s="3" t="str">
        <f>_xlfn.XLOOKUP(B174,QUERY!$C:$C,QUERY!AT:AT)</f>
        <v>NINGUNO</v>
      </c>
      <c r="GT174" s="3">
        <f>_xlfn.XLOOKUP(B174,QUERY!$C:$C,QUERY!AU:AU)</f>
        <v>0</v>
      </c>
      <c r="GU174" s="3" t="str">
        <f>_xlfn.XLOOKUP(B174,QUERY!$C:$C,QUERY!AV:AV)</f>
        <v>NINGUNO</v>
      </c>
      <c r="GV174" s="3" t="str">
        <f>_xlfn.XLOOKUP(B174,QUERY!$C:$C,QUERY!AW:AW)</f>
        <v>PRODUCTO TERMINADO</v>
      </c>
      <c r="GW174" s="3" t="str">
        <f>_xlfn.XLOOKUP(B174,QUERY!$C:$C,QUERY!AX:AX)</f>
        <v>Verde</v>
      </c>
      <c r="GX174" s="3" t="str">
        <f>_xlfn.XLOOKUP(B174,QUERY!$C:$C,QUERY!AY:AY)</f>
        <v xml:space="preserve"> SUPER EXPRESS DE CARGA FEDERAL S.A. DE C.V.</v>
      </c>
      <c r="GY174" s="3">
        <f>_xlfn.XLOOKUP(B174,QUERY!$C:$C,QUERY!AZ:AZ)</f>
        <v>0</v>
      </c>
      <c r="GZ174" s="3" t="str">
        <f>_xlfn.XLOOKUP(B174,QUERY!$C:$C,QUERY!BA:BA)</f>
        <v>IME-T006</v>
      </c>
      <c r="HA174" s="3" t="str">
        <f>_xlfn.XLOOKUP(B174,QUERY!$C:$C,QUERY!BB:BB)</f>
        <v>IME850329RH2</v>
      </c>
      <c r="HB174" s="3">
        <f>_xlfn.XLOOKUP(B174,QUERY!$C:$C,QUERY!BC:BC)</f>
        <v>0</v>
      </c>
      <c r="HC174" s="3">
        <f>_xlfn.XLOOKUP(B174,QUERY!$C:$C,QUERY!BD:BD)</f>
        <v>99</v>
      </c>
      <c r="HD174" s="3" t="str">
        <f>_xlfn.XLOOKUP(B174,QUERY!$C:$C,QUERY!BE:BE)</f>
        <v>LOTE: J654A03,LOTE: J853A01,LOTE: A495A01,LOTE: A494A01,LOTE: 1E076A02,LOTE: A854D01,LOTE: A061A05,LOTE: A463A02,LOTE: A548A01,LOTE: A270B01</v>
      </c>
      <c r="HE174" s="3">
        <f>_xlfn.XLOOKUP(B174,QUERY!$C:$C,QUERY!BF:BF)</f>
        <v>90</v>
      </c>
      <c r="HF174" s="3" t="str">
        <f>_xlfn.XLOOKUP(B174,QUERY!$C:$C,QUERY!BG:BG)</f>
        <v xml:space="preserve"> 1513156.68, 2401836.00, 1768988.52, 1254448.52, 13288734.10, 2977644.74</v>
      </c>
      <c r="HG174" s="3" t="str">
        <f>_xlfn.XLOOKUP(B174,QUERY!$C:$C,QUERY!BH:BH)</f>
        <v>KILO,KILO,KILO,KILO,KILO,KILO,KILO,KILO,KILO,KILO</v>
      </c>
      <c r="HH174" s="3">
        <f>_xlfn.XLOOKUP(B174,QUERY!$C:$C,QUERY!BI:BI)</f>
        <v>0</v>
      </c>
      <c r="HI174" s="3" t="str">
        <f>_xlfn.XLOOKUP(B174,QUERY!$C:$C,QUERY!BJ:BJ)</f>
        <v>PAISES BAJOS (REINO DE LOS) (HOLANDA)</v>
      </c>
      <c r="HJ174" s="3" t="str">
        <f>_xlfn.XLOOKUP(B174,QUERY!$C:$C,QUERY!BK:BK)</f>
        <v>PAISES BAJOS (REINO DE LOS) (HOLANDA)</v>
      </c>
      <c r="HK174" s="3" t="str">
        <f>_xlfn.XLOOKUP(B174,QUERY!$C:$C,QUERY!BL:BL)</f>
        <v>ZYA</v>
      </c>
      <c r="HL174" s="3" t="str">
        <f>_xlfn.XLOOKUP(B174,QUERY!$C:$C,QUERY!BM:BM)</f>
        <v>ZYA</v>
      </c>
      <c r="HM174" s="3">
        <f>_xlfn.XLOOKUP(B174,QUERY!$C:$C,QUERY!BN:BN)</f>
        <v>23204810</v>
      </c>
      <c r="HN174" s="3" t="str">
        <f>_xlfn.XLOOKUP(B174,QUERY!$C:$C,QUERY!BO:BO)</f>
        <v>462.00</v>
      </c>
      <c r="HO174" s="3" t="str">
        <f>_xlfn.XLOOKUP(B174,QUERY!$C:$C,QUERY!BP:BP)</f>
        <v>NULL</v>
      </c>
      <c r="HP174" s="3" t="str">
        <f>_xlfn.XLOOKUP(B174,QUERY!$C:$C,QUERY!BQ:BQ)</f>
        <v>NULL</v>
      </c>
      <c r="HQ174" s="3" t="str">
        <f>_xlfn.XLOOKUP(B174,QUERY!$C:$C,QUERY!BR:BR)</f>
        <v>189833.75</v>
      </c>
      <c r="HR174" s="3">
        <f>_xlfn.XLOOKUP(B174,QUERY!$C:$C,QUERY!BS:BS)</f>
        <v>0</v>
      </c>
      <c r="HS174" s="3">
        <f>_xlfn.XLOOKUP(B174,QUERY!$C:$C,QUERY!BT:BT)</f>
        <v>0</v>
      </c>
      <c r="HT174" s="3" t="str">
        <f>_xlfn.XLOOKUP(B174,QUERY!$C:$C,QUERY!A:A)</f>
        <v>VERACRUZ</v>
      </c>
      <c r="HU174" s="3" t="str">
        <f>_xlfn.XLOOKUP(B174,QUERY!$C:$C,QUERY!B:B)</f>
        <v>MARÍTIMO VERACRUZ</v>
      </c>
    </row>
    <row r="175" spans="1:229" x14ac:dyDescent="0.25">
      <c r="A175" s="3" t="s">
        <v>90</v>
      </c>
      <c r="B175" s="3" t="s">
        <v>450</v>
      </c>
      <c r="C175" s="3">
        <v>3942</v>
      </c>
      <c r="D175" s="3">
        <v>6000613</v>
      </c>
      <c r="E175" s="3"/>
      <c r="F175" s="3" t="s">
        <v>92</v>
      </c>
      <c r="G175" s="3" t="s">
        <v>93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430</v>
      </c>
      <c r="S175" s="3" t="s">
        <v>451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 t="s">
        <v>158</v>
      </c>
      <c r="AB175" s="3"/>
      <c r="AC175" s="3">
        <v>2768468</v>
      </c>
      <c r="AD175" s="3">
        <v>333.47001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/>
      <c r="AP175" s="3" t="s">
        <v>98</v>
      </c>
      <c r="AQ175" s="3">
        <v>210370644</v>
      </c>
      <c r="AR175" s="3" t="s">
        <v>99</v>
      </c>
      <c r="AS175" s="3" t="s">
        <v>100</v>
      </c>
      <c r="AT175" s="3">
        <v>0</v>
      </c>
      <c r="AU175" s="3">
        <v>0</v>
      </c>
      <c r="AV175" s="3">
        <v>0</v>
      </c>
      <c r="AW175" s="3">
        <v>30024201</v>
      </c>
      <c r="AX175" s="3">
        <v>99</v>
      </c>
      <c r="AY175" s="3">
        <v>8302</v>
      </c>
      <c r="AZ175" s="3">
        <v>8302</v>
      </c>
      <c r="BA175" s="3" t="s">
        <v>103</v>
      </c>
      <c r="BB175" s="3"/>
      <c r="BC175" s="3" t="s">
        <v>105</v>
      </c>
      <c r="BD175" s="3" t="s">
        <v>105</v>
      </c>
      <c r="BE175" s="3"/>
      <c r="BF175" s="3"/>
      <c r="BG175" s="5"/>
      <c r="BH175" s="3"/>
      <c r="BI175" s="3"/>
      <c r="BJ175" s="3"/>
      <c r="BK175" s="3" t="s">
        <v>460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 t="s">
        <v>192</v>
      </c>
      <c r="CF175" s="3">
        <v>0</v>
      </c>
      <c r="CG175" s="3">
        <v>0</v>
      </c>
      <c r="CH175" s="3">
        <v>0</v>
      </c>
      <c r="CI175" s="3" t="s">
        <v>112</v>
      </c>
      <c r="CJ175" s="3" t="s">
        <v>112</v>
      </c>
      <c r="CK175" s="3">
        <f>_xlfn.XLOOKUP($B$2,'BASE DE EXCEL'!C:C,'BASE DE EXCEL'!D:D,"NO HAY REFERENCIA")</f>
        <v>470</v>
      </c>
      <c r="CL175" s="5">
        <f>_xlfn.XLOOKUP($B$2,'BASE DE EXCEL'!$C:$C,'BASE DE EXCEL'!F:F,"NO HAY REFERENCIA")</f>
        <v>3</v>
      </c>
      <c r="CM175" s="4">
        <f>_xlfn.XLOOKUP($B$2,'BASE DE EXCEL'!$C:$C,'BASE DE EXCEL'!G:G,"NO HAY REFERENCIA")</f>
        <v>46080</v>
      </c>
      <c r="CN175" s="4">
        <f>_xlfn.XLOOKUP($B$2,'BASE DE EXCEL'!$C:$C,'BASE DE EXCEL'!H:H,"NO HAY REFERENCIA")</f>
        <v>46086</v>
      </c>
      <c r="CO175" s="3">
        <f>_xlfn.XLOOKUP($B$2,'BASE DE EXCEL'!$C:$C,'BASE DE EXCEL'!I:I,"NO HAY REFERENCIA")</f>
        <v>4</v>
      </c>
      <c r="CP175" s="3" t="str">
        <f>_xlfn.XLOOKUP($B$2,'BASE DE EXCEL'!$C:$C,'BASE DE EXCEL'!J:J,"NO HAY REFERENCIA")</f>
        <v>4 a 5 días</v>
      </c>
      <c r="CQ175" s="4">
        <f>_xlfn.XLOOKUP($B$2,'BASE DE EXCEL'!$C:$C,'BASE DE EXCEL'!K:K,"NO HAY REFERENCIA")</f>
        <v>46087</v>
      </c>
      <c r="CR175" s="3">
        <f>_xlfn.XLOOKUP($B$2,'BASE DE EXCEL'!$C:$C,'BASE DE EXCEL'!L:L,"NO HAY REFERENCIA")</f>
        <v>5</v>
      </c>
      <c r="CS175" s="3">
        <f>_xlfn.XLOOKUP($B$2,'BASE DE EXCEL'!$C:$C,'BASE DE EXCEL'!M:M,"NO HAY REFERENCIA")</f>
        <v>6</v>
      </c>
      <c r="CT175" s="3" t="str">
        <f>_xlfn.XLOOKUP($B$2,'BASE DE EXCEL'!$C:$C,'BASE DE EXCEL'!N:N,"NO HAY REFERENCIA")</f>
        <v>6 a 10 días</v>
      </c>
      <c r="CU175" s="3" t="str">
        <f>_xlfn.XLOOKUP($B$2,'BASE DE EXCEL'!$C:$C,'BASE DE EXCEL'!O:O,"NO HAY REFERENCIA")</f>
        <v>On Time</v>
      </c>
      <c r="CV175" s="3" t="str">
        <f>_xlfn.XLOOKUP(B175,'BASE DE EXCEL'!$C:$C,'BASE DE EXCEL'!P:P,"NO HAY REFERENCIA")</f>
        <v>6 a 10 días</v>
      </c>
      <c r="CW175" s="4">
        <f>_xlfn.XLOOKUP(B175,'BASE DE EXCEL'!$C:$C,'BASE DE EXCEL'!Q:Q,"NO HAY REFERENCIA")</f>
        <v>46140</v>
      </c>
      <c r="CX175" s="3">
        <f>_xlfn.XLOOKUP(B175,'BASE DE EXCEL'!$C:$C,'BASE DE EXCEL'!R:R,"NO HAY REFERENCIA")</f>
        <v>6</v>
      </c>
      <c r="CY175" s="3" t="str">
        <f>_xlfn.XLOOKUP(B175,'BASE DE EXCEL'!$C:$C,'BASE DE EXCEL'!S:S,"NO HAY REFERENCIA")</f>
        <v>6 a 10 días</v>
      </c>
      <c r="CZ175" s="3" t="str">
        <f>_xlfn.XLOOKUP(B175,'BASE DE EXCEL'!$C:$C,'BASE DE EXCEL'!T:T,"NO HAY REFERENCIA")</f>
        <v>On Time</v>
      </c>
      <c r="DA175" s="3">
        <f>_xlfn.XLOOKUP(B175,'BASE DE EXCEL'!$C:$C,'BASE DE EXCEL'!U:U,"NO HAY REFERENCIA")</f>
        <v>7</v>
      </c>
      <c r="DB175" s="3" t="str">
        <f>_xlfn.XLOOKUP(B175,'BASE DE EXCEL'!$C:$C,'BASE DE EXCEL'!V:V,"NO HAY REFERENCIA")</f>
        <v>4 a 5 días</v>
      </c>
      <c r="DC175" s="3">
        <f>_xlfn.XLOOKUP(B175,'BASE DE EXCEL'!$C:$C,'BASE DE EXCEL'!W:W,"NO HAY REFERENCIA")</f>
        <v>14</v>
      </c>
      <c r="DD175" s="3" t="str">
        <f>_xlfn.XLOOKUP(B175,'BASE DE EXCEL'!$C:$C,'BASE DE EXCEL'!X:X,"NO HAY REFERENCIA")</f>
        <v>11 a 15 días</v>
      </c>
      <c r="DE175" s="3">
        <f>_xlfn.XLOOKUP(B175,'BASE DE EXCEL'!$C:$C,'BASE DE EXCEL'!Y:Y,"NO HAY REFERENCIA")</f>
        <v>0</v>
      </c>
      <c r="DF175" s="3" t="str">
        <f>_xlfn.XLOOKUP(B175,'BASE DE EXCEL'!$C:$C,'BASE DE EXCEL'!Z:Z,"NO HAY REFERENCIA")</f>
        <v>1 día o menos</v>
      </c>
      <c r="DG175" s="3">
        <f>_xlfn.XLOOKUP(B175,'BASE DE EXCEL'!$C:$C,'BASE DE EXCEL'!AA:AA,"NO HAY REFERENCIA")</f>
        <v>6</v>
      </c>
      <c r="DH175" s="3">
        <f>_xlfn.XLOOKUP(B175,'BASE DE EXCEL'!$C:$C,'BASE DE EXCEL'!AB:AB,"NO HAY REFERENCIA")</f>
        <v>1</v>
      </c>
      <c r="DI175" s="3" t="str">
        <f>_xlfn.XLOOKUP(B175,'BASE DE EXCEL'!$C:$C,'BASE DE EXCEL'!AC:AC,"NO HAY REFERENCIA")</f>
        <v>1 día o menos</v>
      </c>
      <c r="DJ175" s="4">
        <f>_xlfn.XLOOKUP(B175,'BASE DE EXCEL'!$C:$C,'BASE DE EXCEL'!AD:AD,"NO HAY REFERENCIA")</f>
        <v>46153</v>
      </c>
      <c r="DK175" s="3">
        <f>_xlfn.XLOOKUP(B175,'BASE DE EXCEL'!$C:$C,'BASE DE EXCEL'!AE:AE,"NO HAY REFERENCIA")</f>
        <v>13</v>
      </c>
      <c r="DL175" s="3">
        <f>_xlfn.XLOOKUP(B175,'BASE DE EXCEL'!$C:$C,'BASE DE EXCEL'!AF:AF,"NO HAY REFERENCIA")</f>
        <v>9</v>
      </c>
      <c r="DM175" s="4">
        <f>_xlfn.XLOOKUP(B175,'BASE DE EXCEL'!$C:$C,'BASE DE EXCEL'!AG:AG,"NO HAY REFERENCIA")</f>
        <v>46153</v>
      </c>
      <c r="DN175" s="4">
        <f>_xlfn.XLOOKUP(B175,'BASE DE EXCEL'!$C:$C,'BASE DE EXCEL'!AH:AH,"NO HAY REFERENCIA")</f>
        <v>46153</v>
      </c>
      <c r="DO175" s="3">
        <f>_xlfn.XLOOKUP(B175,'BASE DE EXCEL'!$C:$C,'BASE DE EXCEL'!AI:AI,"NO HAY REFERENCIA")</f>
        <v>0</v>
      </c>
      <c r="DP175" s="4" t="str">
        <f>_xlfn.XLOOKUP(B175,'BASE DE EXCEL'!$C:$C,'BASE DE EXCEL'!AJ:AJ,"NO HAY REFERENCIA")</f>
        <v>11 a 15 días</v>
      </c>
      <c r="DQ175" s="4">
        <f>_xlfn.XLOOKUP(B175,'BASE DE EXCEL'!$C:$C,'BASE DE EXCEL'!AK:AK,"NO HAY REFERENCIA")</f>
        <v>46153</v>
      </c>
      <c r="DR175" s="3">
        <f>_xlfn.XLOOKUP(B175,'BASE DE EXCEL'!$C:$C,'BASE DE EXCEL'!AL:AL,"NO HAY REFERENCIA")</f>
        <v>9</v>
      </c>
      <c r="DS175" s="3" t="str">
        <f>_xlfn.XLOOKUP(B175,'BASE DE EXCEL'!$C:$C,'BASE DE EXCEL'!AM:AM,"NO HAY REFERENCIA")</f>
        <v>6 a 10 días</v>
      </c>
      <c r="DT175" s="3" t="str">
        <f>_xlfn.XLOOKUP(B175,'BASE DE EXCEL'!$C:$C,'BASE DE EXCEL'!AN:AN,"NO HAY REFERENCIA")</f>
        <v>Delayed</v>
      </c>
      <c r="DU175" s="3">
        <f>_xlfn.XLOOKUP(B175,'BASE DE EXCEL'!$C:$C,'BASE DE EXCEL'!AO:AO,"NO HAY REFERENCIA")</f>
        <v>1</v>
      </c>
      <c r="DV175" s="3" t="str">
        <f>_xlfn.XLOOKUP(B175,'BASE DE EXCEL'!$C:$C,'BASE DE EXCEL'!AP:AP,"NO HAY REFERENCIA")</f>
        <v>Es anterior</v>
      </c>
      <c r="DW175" s="3" t="str">
        <f>_xlfn.XLOOKUP(B175,'BASE DE EXCEL'!$C:$C,'BASE DE EXCEL'!AQ:AQ,"NO HAY REFERENCIA")</f>
        <v>A1</v>
      </c>
      <c r="DX175" s="3" t="str">
        <f>_xlfn.XLOOKUP(B175,'BASE DE EXCEL'!$C:$C,'BASE DE EXCEL'!AR:AR,"NO HAY REFERENCIA")</f>
        <v>ZULEIMA PEREZ RUIZ</v>
      </c>
      <c r="DY175" s="3" t="str">
        <f>_xlfn.XLOOKUP(B175,'BASE DE EXCEL'!$C:$C,'BASE DE EXCEL'!AS:AS,"NO HAY REFERENCIA")</f>
        <v>HLCURTM260353888</v>
      </c>
      <c r="DZ175" s="3" t="str">
        <f>_xlfn.XLOOKUP(B175,'BASE DE EXCEL'!$C:$C,'BASE DE EXCEL'!AT:AT,"NO HAY REFERENCIA")</f>
        <v>NULL</v>
      </c>
      <c r="EA175" s="3">
        <f>_xlfn.XLOOKUP(B175,'BASE DE EXCEL'!$C:$C,'BASE DE EXCEL'!AU:AU,"NO HAY REFERENCIA")</f>
        <v>6000613</v>
      </c>
      <c r="EB175" s="3" t="str">
        <f>_xlfn.XLOOKUP(B175,'BASE DE EXCEL'!$C:$C,'BASE DE EXCEL'!AV:AV,"NO HAY REFERENCIA")</f>
        <v>Importación</v>
      </c>
      <c r="EC175" s="3" t="str">
        <f>_xlfn.XLOOKUP(B175,'BASE DE EXCEL'!$C:$C,'BASE DE EXCEL'!AW:AW,"NO HAY REFERENCIA")</f>
        <v>PORCILIS PCV M HYO (VACUNA DE USO VETERINARIO)</v>
      </c>
      <c r="ED175" s="3" t="str">
        <f>_xlfn.XLOOKUP(B175,'BASE DE EXCEL'!$C:$C,'BASE DE EXCEL'!AX:AX,"NO HAY REFERENCIA")</f>
        <v>SIN CLASIFICACION</v>
      </c>
      <c r="EE175" s="3">
        <f>_xlfn.XLOOKUP(B175,'BASE DE EXCEL'!$C:$C,'BASE DE EXCEL'!AY:AY,"NO HAY REFERENCIA")</f>
        <v>0</v>
      </c>
      <c r="EF175" s="3" t="str">
        <f>_xlfn.XLOOKUP(B175,'BASE DE EXCEL'!$C:$C,'BASE DE EXCEL'!AZ:AZ,"NO HAY REFERENCIA")</f>
        <v>Cargas de Importación</v>
      </c>
      <c r="EG175" s="3" t="str">
        <f>_xlfn.XLOOKUP(B175,'BASE DE EXCEL'!$C:$C,'BASE DE EXCEL'!BA:BA,"NO HAY REFERENCIA")</f>
        <v>INTERVET MEXICO SA DE CV</v>
      </c>
      <c r="EH175" s="3">
        <f>_xlfn.XLOOKUP(B175,'BASE DE EXCEL'!$C:$C,'BASE DE EXCEL'!BB:BB,"NO HAY REFERENCIA")</f>
        <v>0</v>
      </c>
      <c r="EI175" s="3" t="str">
        <f>_xlfn.XLOOKUP(B175,'BASE DE EXCEL'!$C:$C,'BASE DE EXCEL'!BC:BC,"NO HAY REFERENCIA")</f>
        <v>NINGUNO</v>
      </c>
      <c r="EJ175" s="3">
        <f>_xlfn.XLOOKUP(B175,'BASE DE EXCEL'!$C:$C,'BASE DE EXCEL'!BD:BD,"NO HAY REFERENCIA")</f>
        <v>0</v>
      </c>
      <c r="EK175" s="3" t="str">
        <f>_xlfn.XLOOKUP(B175,'BASE DE EXCEL'!$C:$C,'BASE DE EXCEL'!BE:BE,"NO HAY REFERENCIA")</f>
        <v>NINGUNO</v>
      </c>
      <c r="EL175" s="3" t="str">
        <f>_xlfn.XLOOKUP(B175,'BASE DE EXCEL'!$C:$C,'BASE DE EXCEL'!BF:BF,"NO HAY REFERENCIA")</f>
        <v>PRODUCTO TERMINADO</v>
      </c>
      <c r="EM175" s="3" t="str">
        <f>_xlfn.XLOOKUP(B175,'BASE DE EXCEL'!$C:$C,'BASE DE EXCEL'!BG:BG,"NO HAY REFERENCIA")</f>
        <v>Verde</v>
      </c>
      <c r="EN175" s="3" t="str">
        <f>_xlfn.XLOOKUP(B175,'BASE DE EXCEL'!$C:$C,'BASE DE EXCEL'!BH:BH,"NO HAY REFERENCIA")</f>
        <v xml:space="preserve"> SUPER EXPRESS DE CARGA FEDERAL S.A. DE C.V.</v>
      </c>
      <c r="EO175" s="3">
        <f>_xlfn.XLOOKUP(B175,'BASE DE EXCEL'!$C:$C,'BASE DE EXCEL'!BI:BI,"NO HAY REFERENCIA")</f>
        <v>0</v>
      </c>
      <c r="EP175" s="3" t="str">
        <f>_xlfn.XLOOKUP(B175,'BASE DE EXCEL'!$C:$C,'BASE DE EXCEL'!BJ:BJ,"NO HAY REFERENCIA")</f>
        <v>IME-T006</v>
      </c>
      <c r="EQ175" s="3" t="str">
        <f>_xlfn.XLOOKUP(B175,'BASE DE EXCEL'!$C:$C,'BASE DE EXCEL'!BK:BK,"NO HAY REFERENCIA")</f>
        <v>IME850329RH2</v>
      </c>
      <c r="ER175" s="3">
        <f>_xlfn.XLOOKUP(B175,'BASE DE EXCEL'!$C:$C,'BASE DE EXCEL'!BL:BL,"NO HAY REFERENCIA")</f>
        <v>0</v>
      </c>
      <c r="ES175" s="3">
        <f>_xlfn.XLOOKUP(B175,'BASE DE EXCEL'!$C:$C,'BASE DE EXCEL'!BM:BM,"NO HAY REFERENCIA")</f>
        <v>99</v>
      </c>
      <c r="ET175" s="3" t="str">
        <f>_xlfn.XLOOKUP(B175,'BASE DE EXCEL'!$C:$C,'BASE DE EXCEL'!BN:BN,"NO HAY REFERENCIA")</f>
        <v>LOTE: J654A03,LOTE: J853A01,LOTE: A495A01,LOTE: A494A01,LOTE: 1E076A02,LOTE: A854D01,LOTE: A061A05,LOTE: A463A02,LOTE: A548A01,LOTE: A270B01</v>
      </c>
      <c r="EU175" s="3">
        <f>_xlfn.XLOOKUP(B175,'BASE DE EXCEL'!$C:$C,'BASE DE EXCEL'!BO:BO,"NO HAY REFERENCIA")</f>
        <v>90</v>
      </c>
      <c r="EV175" s="3" t="str">
        <f>_xlfn.XLOOKUP(B175,'BASE DE EXCEL'!$C:$C,'BASE DE EXCEL'!BP:BP,"NO HAY REFERENCIA")</f>
        <v xml:space="preserve"> 1513156.68, 2401836.00, 1768988.52, 1254448.52, 13288734.10, 2977644.74</v>
      </c>
      <c r="EW175" s="3" t="str">
        <f>_xlfn.XLOOKUP(B175,'BASE DE EXCEL'!$C:$C,'BASE DE EXCEL'!BQ:BQ,"NO HAY REFERENCIA")</f>
        <v>KILO,KILO,KILO,KILO,KILO,KILO,KILO,KILO,KILO,KILO</v>
      </c>
      <c r="EX175" s="3">
        <f>_xlfn.XLOOKUP(B175,'BASE DE EXCEL'!$C:$C,'BASE DE EXCEL'!BR:BR,"NO HAY REFERENCIA")</f>
        <v>0</v>
      </c>
      <c r="EY175" s="3" t="str">
        <f>_xlfn.XLOOKUP(B175,'BASE DE EXCEL'!$C:$C,'BASE DE EXCEL'!BS:BS,"NO HAY REFERENCIA")</f>
        <v>PAISES BAJOS (REINO DE LOS) (HOLANDA)</v>
      </c>
      <c r="EZ175" s="3" t="str">
        <f>_xlfn.XLOOKUP(B175,'BASE DE EXCEL'!$C:$C,'BASE DE EXCEL'!BT:BT,"NO HAY REFERENCIA")</f>
        <v>PAISES BAJOS (REINO DE LOS) (HOLANDA)</v>
      </c>
      <c r="FA175" s="3" t="str">
        <f>_xlfn.XLOOKUP(B175,'BASE DE EXCEL'!$C:$C,'BASE DE EXCEL'!BU:BU,"NO HAY REFERENCIA")</f>
        <v>ZYA</v>
      </c>
      <c r="FB175" s="3" t="str">
        <f>_xlfn.XLOOKUP(B175,'BASE DE EXCEL'!$C:$C,'BASE DE EXCEL'!BV:BV,"NO HAY REFERENCIA")</f>
        <v>ZYA</v>
      </c>
      <c r="FC175" s="3">
        <f>_xlfn.XLOOKUP(B175,QUERY!$C:$C,QUERY!D:D)</f>
        <v>430</v>
      </c>
      <c r="FD175" s="4">
        <f>_xlfn.XLOOKUP(B175,QUERY!$C:$C,QUERY!E:E)</f>
        <v>46139</v>
      </c>
      <c r="FE175" s="3">
        <f>_xlfn.XLOOKUP(B175,QUERY!$C:$C,QUERY!F:F)</f>
        <v>4</v>
      </c>
      <c r="FF175" s="4">
        <f>_xlfn.XLOOKUP(B175,QUERY!$C:$C,QUERY!G:G)</f>
        <v>46133</v>
      </c>
      <c r="FG175" s="4">
        <f>_xlfn.XLOOKUP(B175,QUERY!$C:$C,QUERY!H:H)</f>
        <v>46139</v>
      </c>
      <c r="FH175" s="3">
        <f>_xlfn.XLOOKUP(B175,QUERY!$C:$C,QUERY!I:I)</f>
        <v>4</v>
      </c>
      <c r="FI175" s="3" t="str">
        <f>_xlfn.XLOOKUP(B175,QUERY!$C:$C,QUERY!J:J)</f>
        <v>4 a 5 días</v>
      </c>
      <c r="FJ175" s="4">
        <f>_xlfn.XLOOKUP(B175,QUERY!$C:$C,QUERY!K:K)</f>
        <v>46139</v>
      </c>
      <c r="FK175" s="3">
        <f>_xlfn.XLOOKUP(B175,QUERY!$C:$C,QUERY!L:L)</f>
        <v>4</v>
      </c>
      <c r="FL175" s="3" t="str">
        <f>_xlfn.XLOOKUP(B175,QUERY!$C:$C,QUERY!M:M)</f>
        <v>4 a 5 días</v>
      </c>
      <c r="FM175" s="3">
        <f>_xlfn.XLOOKUP(B175,QUERY!$C:$C,QUERY!N:N)</f>
        <v>0</v>
      </c>
      <c r="FN175" s="3" t="str">
        <f>_xlfn.XLOOKUP(B175,QUERY!$C:$C,QUERY!O:O)</f>
        <v>1 día o menos</v>
      </c>
      <c r="FO175" s="3">
        <f>_xlfn.XLOOKUP(B175,QUERY!$C:$C,QUERY!P:P)</f>
        <v>0</v>
      </c>
      <c r="FP175" s="3">
        <f>_xlfn.XLOOKUP(B175,QUERY!$C:$C,QUERY!Q:Q)</f>
        <v>1</v>
      </c>
      <c r="FQ175" s="3" t="str">
        <f>_xlfn.XLOOKUP(B175,QUERY!$C:$C,QUERY!R:R)</f>
        <v>1 día o menos</v>
      </c>
      <c r="FR175" s="4">
        <f>_xlfn.XLOOKUP(B175,QUERY!$C:$C,QUERY!S:S)</f>
        <v>46140</v>
      </c>
      <c r="FS175" s="3">
        <f>_xlfn.XLOOKUP(B175,QUERY!$C:$C,QUERY!T:T)</f>
        <v>5</v>
      </c>
      <c r="FT175" s="3" t="str">
        <f>_xlfn.XLOOKUP(B175,QUERY!$C:$C,QUERY!U:U)</f>
        <v>4 a 5 días</v>
      </c>
      <c r="FU175" s="3">
        <f>_xlfn.XLOOKUP(B175,QUERY!$C:$C,QUERY!V:V)</f>
        <v>14</v>
      </c>
      <c r="FV175" s="3" t="str">
        <f>_xlfn.XLOOKUP(B175,QUERY!$C:$C,QUERY!W:W)</f>
        <v>11 a 15 días</v>
      </c>
      <c r="FW175" s="4">
        <f>_xlfn.XLOOKUP(B175,QUERY!$C:$C,QUERY!X:X)</f>
        <v>46153</v>
      </c>
      <c r="FX175" s="3">
        <f>_xlfn.XLOOKUP(B175,QUERY!$C:$C,QUERY!Y:Y)</f>
        <v>9</v>
      </c>
      <c r="FY175" s="3">
        <f>_xlfn.XLOOKUP(B175,QUERY!$C:$C,QUERY!Z:Z)</f>
        <v>9</v>
      </c>
      <c r="FZ175" s="4" t="str">
        <f>_xlfn.XLOOKUP(B175,QUERY!$C:$C,QUERY!AA:AA)</f>
        <v>11 a 15 días</v>
      </c>
      <c r="GA175" s="4">
        <f>_xlfn.XLOOKUP(B175,QUERY!$C:$C,QUERY!AB:AB)</f>
        <v>46153</v>
      </c>
      <c r="GB175" s="4">
        <f>_xlfn.XLOOKUP(B175,QUERY!$C:$C,QUERY!AC:AC)</f>
        <v>46153</v>
      </c>
      <c r="GC175" s="3">
        <f>_xlfn.XLOOKUP(B175,QUERY!$C:$C,QUERY!AD:AD)</f>
        <v>0</v>
      </c>
      <c r="GD175" s="4">
        <f>_xlfn.XLOOKUP(B175,QUERY!$C:$C,QUERY!AE:AE)</f>
        <v>46153</v>
      </c>
      <c r="GE175" s="3">
        <f>_xlfn.XLOOKUP(B175,QUERY!$C:$C,QUERY!AF:AF)</f>
        <v>1</v>
      </c>
      <c r="GF175" s="4" t="str">
        <f>_xlfn.XLOOKUP(B175,QUERY!$C:$C,QUERY!AG:AG)</f>
        <v>Es anterior</v>
      </c>
      <c r="GG175" s="3" t="str">
        <f>_xlfn.XLOOKUP(B175,QUERY!$C:$C,QUERY!AH:AH)</f>
        <v>A1</v>
      </c>
      <c r="GH175" s="3" t="str">
        <f>_xlfn.XLOOKUP(B175,QUERY!$C:$C,QUERY!AI:AI)</f>
        <v>ZULEIMA PEREZ RUIZ</v>
      </c>
      <c r="GI175" s="3" t="str">
        <f>_xlfn.XLOOKUP(B175,QUERY!$C:$C,QUERY!AJ:AJ)</f>
        <v>HLCURTM260353888</v>
      </c>
      <c r="GJ175" s="3" t="str">
        <f>_xlfn.XLOOKUP(B175,QUERY!$C:$C,QUERY!AK:AK)</f>
        <v>NULL</v>
      </c>
      <c r="GK175" s="3">
        <f>_xlfn.XLOOKUP(B175,QUERY!$C:$C,QUERY!AL:AL)</f>
        <v>6000613</v>
      </c>
      <c r="GL175" s="3" t="str">
        <f>_xlfn.XLOOKUP(B175,QUERY!$C:$C,QUERY!AM:AM)</f>
        <v>Importación</v>
      </c>
      <c r="GM175" s="3" t="str">
        <f>_xlfn.XLOOKUP(B175,QUERY!$C:$C,QUERY!AN:AN)</f>
        <v>PORCILIS PCV M HYO (VACUNA DE USO VETERINARIO)</v>
      </c>
      <c r="GN175" s="3" t="str">
        <f>_xlfn.XLOOKUP(B175,QUERY!$C:$C,QUERY!AO:AO)</f>
        <v>SIN CLASIFICACION</v>
      </c>
      <c r="GO175" s="3">
        <f>_xlfn.XLOOKUP(B175,QUERY!$C:$C,QUERY!AP:AP)</f>
        <v>0</v>
      </c>
      <c r="GP175" s="3" t="str">
        <f>_xlfn.XLOOKUP(B175,QUERY!$C:$C,QUERY!AQ:AQ)</f>
        <v>Cargas de Importación</v>
      </c>
      <c r="GQ175" s="3" t="str">
        <f>_xlfn.XLOOKUP(B175,QUERY!$C:$C,QUERY!AR:AR)</f>
        <v>INTERVET MEXICO SA DE CV</v>
      </c>
      <c r="GR175" s="3">
        <f>_xlfn.XLOOKUP(B175,QUERY!$C:$C,QUERY!AS:AS)</f>
        <v>0</v>
      </c>
      <c r="GS175" s="3" t="str">
        <f>_xlfn.XLOOKUP(B175,QUERY!$C:$C,QUERY!AT:AT)</f>
        <v>NINGUNO</v>
      </c>
      <c r="GT175" s="3">
        <f>_xlfn.XLOOKUP(B175,QUERY!$C:$C,QUERY!AU:AU)</f>
        <v>0</v>
      </c>
      <c r="GU175" s="3" t="str">
        <f>_xlfn.XLOOKUP(B175,QUERY!$C:$C,QUERY!AV:AV)</f>
        <v>NINGUNO</v>
      </c>
      <c r="GV175" s="3" t="str">
        <f>_xlfn.XLOOKUP(B175,QUERY!$C:$C,QUERY!AW:AW)</f>
        <v>PRODUCTO TERMINADO</v>
      </c>
      <c r="GW175" s="3" t="str">
        <f>_xlfn.XLOOKUP(B175,QUERY!$C:$C,QUERY!AX:AX)</f>
        <v>Verde</v>
      </c>
      <c r="GX175" s="3" t="str">
        <f>_xlfn.XLOOKUP(B175,QUERY!$C:$C,QUERY!AY:AY)</f>
        <v xml:space="preserve"> SUPER EXPRESS DE CARGA FEDERAL S.A. DE C.V.</v>
      </c>
      <c r="GY175" s="3">
        <f>_xlfn.XLOOKUP(B175,QUERY!$C:$C,QUERY!AZ:AZ)</f>
        <v>0</v>
      </c>
      <c r="GZ175" s="3" t="str">
        <f>_xlfn.XLOOKUP(B175,QUERY!$C:$C,QUERY!BA:BA)</f>
        <v>IME-T006</v>
      </c>
      <c r="HA175" s="3" t="str">
        <f>_xlfn.XLOOKUP(B175,QUERY!$C:$C,QUERY!BB:BB)</f>
        <v>IME850329RH2</v>
      </c>
      <c r="HB175" s="3">
        <f>_xlfn.XLOOKUP(B175,QUERY!$C:$C,QUERY!BC:BC)</f>
        <v>0</v>
      </c>
      <c r="HC175" s="3">
        <f>_xlfn.XLOOKUP(B175,QUERY!$C:$C,QUERY!BD:BD)</f>
        <v>99</v>
      </c>
      <c r="HD175" s="3" t="str">
        <f>_xlfn.XLOOKUP(B175,QUERY!$C:$C,QUERY!BE:BE)</f>
        <v>LOTE: J654A03,LOTE: J853A01,LOTE: A495A01,LOTE: A494A01,LOTE: 1E076A02,LOTE: A854D01,LOTE: A061A05,LOTE: A463A02,LOTE: A548A01,LOTE: A270B01</v>
      </c>
      <c r="HE175" s="3">
        <f>_xlfn.XLOOKUP(B175,QUERY!$C:$C,QUERY!BF:BF)</f>
        <v>90</v>
      </c>
      <c r="HF175" s="3" t="str">
        <f>_xlfn.XLOOKUP(B175,QUERY!$C:$C,QUERY!BG:BG)</f>
        <v xml:space="preserve"> 1513156.68, 2401836.00, 1768988.52, 1254448.52, 13288734.10, 2977644.74</v>
      </c>
      <c r="HG175" s="3" t="str">
        <f>_xlfn.XLOOKUP(B175,QUERY!$C:$C,QUERY!BH:BH)</f>
        <v>KILO,KILO,KILO,KILO,KILO,KILO,KILO,KILO,KILO,KILO</v>
      </c>
      <c r="HH175" s="3">
        <f>_xlfn.XLOOKUP(B175,QUERY!$C:$C,QUERY!BI:BI)</f>
        <v>0</v>
      </c>
      <c r="HI175" s="3" t="str">
        <f>_xlfn.XLOOKUP(B175,QUERY!$C:$C,QUERY!BJ:BJ)</f>
        <v>PAISES BAJOS (REINO DE LOS) (HOLANDA)</v>
      </c>
      <c r="HJ175" s="3" t="str">
        <f>_xlfn.XLOOKUP(B175,QUERY!$C:$C,QUERY!BK:BK)</f>
        <v>PAISES BAJOS (REINO DE LOS) (HOLANDA)</v>
      </c>
      <c r="HK175" s="3" t="str">
        <f>_xlfn.XLOOKUP(B175,QUERY!$C:$C,QUERY!BL:BL)</f>
        <v>ZYA</v>
      </c>
      <c r="HL175" s="3" t="str">
        <f>_xlfn.XLOOKUP(B175,QUERY!$C:$C,QUERY!BM:BM)</f>
        <v>ZYA</v>
      </c>
      <c r="HM175" s="3">
        <f>_xlfn.XLOOKUP(B175,QUERY!$C:$C,QUERY!BN:BN)</f>
        <v>23204810</v>
      </c>
      <c r="HN175" s="3" t="str">
        <f>_xlfn.XLOOKUP(B175,QUERY!$C:$C,QUERY!BO:BO)</f>
        <v>462.00</v>
      </c>
      <c r="HO175" s="3" t="str">
        <f>_xlfn.XLOOKUP(B175,QUERY!$C:$C,QUERY!BP:BP)</f>
        <v>NULL</v>
      </c>
      <c r="HP175" s="3" t="str">
        <f>_xlfn.XLOOKUP(B175,QUERY!$C:$C,QUERY!BQ:BQ)</f>
        <v>NULL</v>
      </c>
      <c r="HQ175" s="3" t="str">
        <f>_xlfn.XLOOKUP(B175,QUERY!$C:$C,QUERY!BR:BR)</f>
        <v>189833.75</v>
      </c>
      <c r="HR175" s="3">
        <f>_xlfn.XLOOKUP(B175,QUERY!$C:$C,QUERY!BS:BS)</f>
        <v>0</v>
      </c>
      <c r="HS175" s="3">
        <f>_xlfn.XLOOKUP(B175,QUERY!$C:$C,QUERY!BT:BT)</f>
        <v>0</v>
      </c>
      <c r="HT175" s="3" t="str">
        <f>_xlfn.XLOOKUP(B175,QUERY!$C:$C,QUERY!A:A)</f>
        <v>VERACRUZ</v>
      </c>
      <c r="HU175" s="3" t="str">
        <f>_xlfn.XLOOKUP(B175,QUERY!$C:$C,QUERY!B:B)</f>
        <v>MARÍTIMO VERACRUZ</v>
      </c>
    </row>
  </sheetData>
  <conditionalFormatting sqref="CU1">
    <cfRule type="containsText" dxfId="4" priority="2" operator="containsText" text="on time">
      <formula>NOT(ISERROR(SEARCH("on time",CU1)))</formula>
    </cfRule>
  </conditionalFormatting>
  <conditionalFormatting sqref="FN1">
    <cfRule type="containsText" dxfId="3" priority="1" operator="containsText" text="on time">
      <formula>NOT(ISERROR(SEARCH("on time",FN1)))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F43E-20D0-4903-93D4-5E78C9F0E677}">
  <dimension ref="A1:CM219"/>
  <sheetViews>
    <sheetView workbookViewId="0">
      <selection activeCell="E15" sqref="E15"/>
    </sheetView>
  </sheetViews>
  <sheetFormatPr baseColWidth="10" defaultRowHeight="15" x14ac:dyDescent="0.25"/>
  <cols>
    <col min="1" max="1" width="29.28515625" bestFit="1" customWidth="1"/>
    <col min="2" max="2" width="14.7109375" bestFit="1" customWidth="1"/>
    <col min="3" max="3" width="13.42578125" bestFit="1" customWidth="1"/>
    <col min="4" max="4" width="16.28515625" bestFit="1" customWidth="1"/>
    <col min="5" max="5" width="28.85546875" bestFit="1" customWidth="1"/>
    <col min="6" max="6" width="11.7109375" bestFit="1" customWidth="1"/>
    <col min="7" max="7" width="22.42578125" bestFit="1" customWidth="1"/>
    <col min="8" max="8" width="19.7109375" bestFit="1" customWidth="1"/>
    <col min="9" max="9" width="23.140625" bestFit="1" customWidth="1"/>
    <col min="10" max="10" width="18.85546875" bestFit="1" customWidth="1"/>
    <col min="11" max="11" width="22.28515625" bestFit="1" customWidth="1"/>
    <col min="12" max="12" width="20.28515625" bestFit="1" customWidth="1"/>
    <col min="13" max="13" width="23.7109375" bestFit="1" customWidth="1"/>
    <col min="14" max="14" width="23.140625" bestFit="1" customWidth="1"/>
    <col min="15" max="15" width="26.5703125" bestFit="1" customWidth="1"/>
    <col min="16" max="16" width="17.5703125" bestFit="1" customWidth="1"/>
    <col min="17" max="17" width="16.7109375" bestFit="1" customWidth="1"/>
    <col min="18" max="18" width="23.7109375" bestFit="1" customWidth="1"/>
    <col min="19" max="19" width="27" bestFit="1" customWidth="1"/>
    <col min="20" max="20" width="30.42578125" bestFit="1" customWidth="1"/>
    <col min="21" max="21" width="24.28515625" bestFit="1" customWidth="1"/>
    <col min="22" max="22" width="26.28515625" bestFit="1" customWidth="1"/>
    <col min="23" max="23" width="12.5703125" bestFit="1" customWidth="1"/>
    <col min="24" max="24" width="11" bestFit="1" customWidth="1"/>
    <col min="25" max="26" width="15.7109375" bestFit="1" customWidth="1"/>
    <col min="27" max="27" width="106.7109375" bestFit="1" customWidth="1"/>
    <col min="28" max="28" width="27.85546875" bestFit="1" customWidth="1"/>
    <col min="29" max="29" width="29.42578125" bestFit="1" customWidth="1"/>
    <col min="30" max="30" width="21.42578125" bestFit="1" customWidth="1"/>
    <col min="31" max="31" width="22.7109375" bestFit="1" customWidth="1"/>
    <col min="32" max="32" width="25" bestFit="1" customWidth="1"/>
    <col min="33" max="33" width="12.85546875" bestFit="1" customWidth="1"/>
    <col min="34" max="34" width="8.85546875" bestFit="1" customWidth="1"/>
    <col min="35" max="35" width="13.7109375" bestFit="1" customWidth="1"/>
    <col min="36" max="36" width="9.140625" bestFit="1" customWidth="1"/>
    <col min="37" max="37" width="20.28515625" bestFit="1" customWidth="1"/>
    <col min="38" max="38" width="8.7109375" bestFit="1" customWidth="1"/>
    <col min="39" max="39" width="10.140625" bestFit="1" customWidth="1"/>
    <col min="40" max="40" width="16" bestFit="1" customWidth="1"/>
    <col min="41" max="41" width="18.28515625" bestFit="1" customWidth="1"/>
    <col min="42" max="42" width="33.140625" bestFit="1" customWidth="1"/>
    <col min="43" max="43" width="22.140625" bestFit="1" customWidth="1"/>
    <col min="44" max="44" width="15.140625" bestFit="1" customWidth="1"/>
    <col min="45" max="45" width="13.85546875" bestFit="1" customWidth="1"/>
    <col min="46" max="46" width="23.42578125" bestFit="1" customWidth="1"/>
    <col min="47" max="47" width="20.85546875" bestFit="1" customWidth="1"/>
    <col min="48" max="48" width="17" bestFit="1" customWidth="1"/>
    <col min="49" max="49" width="18.140625" bestFit="1" customWidth="1"/>
    <col min="50" max="50" width="10.140625" bestFit="1" customWidth="1"/>
    <col min="51" max="51" width="20.28515625" bestFit="1" customWidth="1"/>
    <col min="52" max="52" width="21.28515625" bestFit="1" customWidth="1"/>
    <col min="53" max="53" width="20.85546875" bestFit="1" customWidth="1"/>
    <col min="54" max="54" width="23.42578125" bestFit="1" customWidth="1"/>
    <col min="55" max="55" width="13.5703125" bestFit="1" customWidth="1"/>
    <col min="56" max="56" width="13.28515625" bestFit="1" customWidth="1"/>
    <col min="57" max="57" width="20.140625" bestFit="1" customWidth="1"/>
    <col min="58" max="58" width="17" bestFit="1" customWidth="1"/>
    <col min="59" max="59" width="20.28515625" bestFit="1" customWidth="1"/>
    <col min="60" max="60" width="28.42578125" bestFit="1" customWidth="1"/>
    <col min="61" max="61" width="29.5703125" bestFit="1" customWidth="1"/>
    <col min="62" max="62" width="31.28515625" bestFit="1" customWidth="1"/>
    <col min="63" max="63" width="27.28515625" bestFit="1" customWidth="1"/>
    <col min="64" max="64" width="28.140625" bestFit="1" customWidth="1"/>
    <col min="65" max="65" width="33.5703125" bestFit="1" customWidth="1"/>
    <col min="66" max="66" width="17" bestFit="1" customWidth="1"/>
    <col min="67" max="67" width="10.85546875" bestFit="1" customWidth="1"/>
    <col min="68" max="68" width="46.85546875" bestFit="1" customWidth="1"/>
    <col min="69" max="69" width="25.5703125" bestFit="1" customWidth="1"/>
    <col min="70" max="70" width="33" bestFit="1" customWidth="1"/>
    <col min="71" max="71" width="41.28515625" bestFit="1" customWidth="1"/>
    <col min="72" max="72" width="33.85546875" bestFit="1" customWidth="1"/>
    <col min="73" max="73" width="42.7109375" bestFit="1" customWidth="1"/>
    <col min="74" max="74" width="28.85546875" bestFit="1" customWidth="1"/>
    <col min="75" max="75" width="24.5703125" bestFit="1" customWidth="1"/>
    <col min="76" max="76" width="31.5703125" bestFit="1" customWidth="1"/>
    <col min="77" max="77" width="32.42578125" bestFit="1" customWidth="1"/>
    <col min="78" max="78" width="28.5703125" bestFit="1" customWidth="1"/>
    <col min="79" max="79" width="35.5703125" bestFit="1" customWidth="1"/>
    <col min="80" max="80" width="19.140625" bestFit="1" customWidth="1"/>
    <col min="81" max="81" width="16.140625" bestFit="1" customWidth="1"/>
    <col min="82" max="82" width="14.5703125" bestFit="1" customWidth="1"/>
    <col min="83" max="83" width="17.7109375" bestFit="1" customWidth="1"/>
    <col min="84" max="84" width="10.42578125" bestFit="1" customWidth="1"/>
    <col min="85" max="85" width="11.42578125" bestFit="1" customWidth="1"/>
    <col min="86" max="86" width="24.28515625" bestFit="1" customWidth="1"/>
    <col min="87" max="87" width="27.7109375" bestFit="1" customWidth="1"/>
    <col min="88" max="88" width="32.140625" bestFit="1" customWidth="1"/>
    <col min="89" max="89" width="11.42578125" bestFit="1" customWidth="1"/>
    <col min="90" max="90" width="29.28515625" bestFit="1" customWidth="1"/>
    <col min="91" max="91" width="19" bestFit="1" customWidth="1"/>
  </cols>
  <sheetData>
    <row r="1" spans="1:9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468</v>
      </c>
      <c r="CL1" s="3" t="s">
        <v>88</v>
      </c>
      <c r="CM1" s="3" t="s">
        <v>89</v>
      </c>
    </row>
    <row r="2" spans="1:91" x14ac:dyDescent="0.25">
      <c r="A2" s="3" t="s">
        <v>90</v>
      </c>
      <c r="B2" s="6" t="s">
        <v>276</v>
      </c>
      <c r="C2" s="3">
        <v>3942</v>
      </c>
      <c r="D2" s="3">
        <v>6001223</v>
      </c>
      <c r="E2" s="3"/>
      <c r="F2" s="3" t="s">
        <v>92</v>
      </c>
      <c r="G2" s="3" t="s">
        <v>93</v>
      </c>
      <c r="H2" s="3">
        <v>16</v>
      </c>
      <c r="I2" s="3">
        <v>93586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17.170000000000002</v>
      </c>
      <c r="Q2" s="3">
        <v>122</v>
      </c>
      <c r="R2" s="3">
        <v>470</v>
      </c>
      <c r="S2" s="3"/>
      <c r="T2" s="3" t="s">
        <v>277</v>
      </c>
      <c r="U2" s="3">
        <v>586895</v>
      </c>
      <c r="V2" s="3">
        <v>586895</v>
      </c>
      <c r="W2" s="3">
        <v>0</v>
      </c>
      <c r="X2" s="3">
        <v>0</v>
      </c>
      <c r="Y2" s="3">
        <v>0</v>
      </c>
      <c r="Z2" s="3">
        <v>0</v>
      </c>
      <c r="AA2" s="3" t="s">
        <v>278</v>
      </c>
      <c r="AB2" s="3"/>
      <c r="AC2" s="3">
        <v>580268</v>
      </c>
      <c r="AD2" s="3">
        <v>13815.904759999999</v>
      </c>
      <c r="AE2" s="3">
        <v>354</v>
      </c>
      <c r="AF2" s="3" t="s">
        <v>279</v>
      </c>
      <c r="AG2" s="3">
        <v>0</v>
      </c>
      <c r="AH2" s="3">
        <v>0</v>
      </c>
      <c r="AI2" s="3">
        <v>53</v>
      </c>
      <c r="AJ2" s="3">
        <v>4695</v>
      </c>
      <c r="AK2" s="3">
        <v>0</v>
      </c>
      <c r="AL2" s="3">
        <v>94655</v>
      </c>
      <c r="AM2" s="3">
        <v>330</v>
      </c>
      <c r="AN2" s="3">
        <v>99733</v>
      </c>
      <c r="AO2" s="3" t="s">
        <v>97</v>
      </c>
      <c r="AP2" s="3" t="s">
        <v>280</v>
      </c>
      <c r="AQ2" s="3">
        <v>210367184</v>
      </c>
      <c r="AR2" s="3" t="s">
        <v>99</v>
      </c>
      <c r="AS2" s="3" t="s">
        <v>100</v>
      </c>
      <c r="AT2" s="3" t="s">
        <v>281</v>
      </c>
      <c r="AU2" s="3"/>
      <c r="AV2" s="3" t="s">
        <v>188</v>
      </c>
      <c r="AW2" s="3">
        <v>85176101</v>
      </c>
      <c r="AX2" s="3">
        <v>0</v>
      </c>
      <c r="AY2" s="3">
        <v>42</v>
      </c>
      <c r="AZ2" s="3">
        <v>42</v>
      </c>
      <c r="BA2" s="3" t="s">
        <v>103</v>
      </c>
      <c r="BB2" s="3"/>
      <c r="BC2" s="3" t="s">
        <v>197</v>
      </c>
      <c r="BD2" s="3" t="s">
        <v>105</v>
      </c>
      <c r="BE2" s="4">
        <v>46080</v>
      </c>
      <c r="BF2" s="4">
        <v>46086</v>
      </c>
      <c r="BG2" s="4">
        <v>46087</v>
      </c>
      <c r="BH2" s="3" t="s">
        <v>106</v>
      </c>
      <c r="BI2" s="3"/>
      <c r="BJ2" s="5"/>
      <c r="BK2" s="3"/>
      <c r="BL2" s="3"/>
      <c r="BM2" s="3" t="s">
        <v>282</v>
      </c>
      <c r="BN2" s="3" t="s">
        <v>283</v>
      </c>
      <c r="BO2" s="3">
        <v>44228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5300</v>
      </c>
      <c r="CF2" s="3">
        <v>952</v>
      </c>
      <c r="CG2" s="3">
        <v>20944.87</v>
      </c>
      <c r="CH2" s="3" t="s">
        <v>192</v>
      </c>
      <c r="CI2" s="3">
        <v>20944.87</v>
      </c>
      <c r="CJ2" s="3">
        <v>0</v>
      </c>
      <c r="CK2" s="3">
        <v>0</v>
      </c>
      <c r="CL2" s="3" t="s">
        <v>284</v>
      </c>
      <c r="CM2" s="3" t="s">
        <v>285</v>
      </c>
    </row>
    <row r="3" spans="1:91" x14ac:dyDescent="0.25">
      <c r="A3" s="3" t="s">
        <v>90</v>
      </c>
      <c r="B3" s="6" t="s">
        <v>276</v>
      </c>
      <c r="C3" s="3">
        <v>3942</v>
      </c>
      <c r="D3" s="3">
        <v>6001223</v>
      </c>
      <c r="E3" s="3"/>
      <c r="F3" s="3" t="s">
        <v>92</v>
      </c>
      <c r="G3" s="3" t="s">
        <v>93</v>
      </c>
      <c r="H3" s="3">
        <v>16</v>
      </c>
      <c r="I3" s="3">
        <v>1069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470</v>
      </c>
      <c r="S3" s="3"/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286</v>
      </c>
      <c r="AB3" s="3"/>
      <c r="AC3" s="3">
        <v>6627</v>
      </c>
      <c r="AD3" s="3">
        <v>265.08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/>
      <c r="AP3" s="3" t="s">
        <v>280</v>
      </c>
      <c r="AQ3" s="3">
        <v>210367184</v>
      </c>
      <c r="AR3" s="3" t="s">
        <v>99</v>
      </c>
      <c r="AS3" s="3" t="s">
        <v>100</v>
      </c>
      <c r="AT3" s="3">
        <v>0</v>
      </c>
      <c r="AU3" s="3">
        <v>0</v>
      </c>
      <c r="AV3" s="3">
        <v>0</v>
      </c>
      <c r="AW3" s="3">
        <v>85389001</v>
      </c>
      <c r="AX3" s="3">
        <v>0</v>
      </c>
      <c r="AY3" s="3">
        <v>25</v>
      </c>
      <c r="AZ3" s="3">
        <v>25</v>
      </c>
      <c r="BA3" s="3" t="s">
        <v>103</v>
      </c>
      <c r="BB3" s="3"/>
      <c r="BC3" s="3" t="s">
        <v>197</v>
      </c>
      <c r="BD3" s="3" t="s">
        <v>105</v>
      </c>
      <c r="BE3" s="3"/>
      <c r="BF3" s="3"/>
      <c r="BG3" s="3"/>
      <c r="BH3" s="3"/>
      <c r="BI3" s="3"/>
      <c r="BJ3" s="5"/>
      <c r="BK3" s="3"/>
      <c r="BL3" s="3"/>
      <c r="BM3" s="3"/>
      <c r="BN3" s="3" t="s">
        <v>283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 t="s">
        <v>192</v>
      </c>
      <c r="CI3" s="3">
        <v>0</v>
      </c>
      <c r="CJ3" s="3">
        <v>0</v>
      </c>
      <c r="CK3" s="3">
        <v>0</v>
      </c>
      <c r="CL3" s="3" t="s">
        <v>284</v>
      </c>
      <c r="CM3" s="3" t="s">
        <v>285</v>
      </c>
    </row>
    <row r="4" spans="1:91" x14ac:dyDescent="0.25">
      <c r="A4" s="3" t="s">
        <v>90</v>
      </c>
      <c r="B4" s="3" t="s">
        <v>91</v>
      </c>
      <c r="C4" s="3">
        <v>3942</v>
      </c>
      <c r="D4" s="3">
        <v>6000083</v>
      </c>
      <c r="E4" s="3"/>
      <c r="F4" s="3" t="s">
        <v>92</v>
      </c>
      <c r="G4" s="3" t="s">
        <v>93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18.208500000000001</v>
      </c>
      <c r="Q4" s="3">
        <v>9260.9599999999991</v>
      </c>
      <c r="R4" s="3">
        <v>430</v>
      </c>
      <c r="S4" s="3" t="s">
        <v>94</v>
      </c>
      <c r="T4" s="3" t="s">
        <v>95</v>
      </c>
      <c r="U4" s="3">
        <v>12581182</v>
      </c>
      <c r="V4" s="3">
        <v>12581182</v>
      </c>
      <c r="W4" s="3">
        <v>0</v>
      </c>
      <c r="X4" s="3">
        <v>0</v>
      </c>
      <c r="Y4" s="3">
        <v>0</v>
      </c>
      <c r="Z4" s="3">
        <v>0</v>
      </c>
      <c r="AA4" s="3" t="s">
        <v>96</v>
      </c>
      <c r="AB4" s="3"/>
      <c r="AC4" s="3">
        <v>12581182</v>
      </c>
      <c r="AD4" s="3">
        <v>14836.29953</v>
      </c>
      <c r="AE4" s="3">
        <v>354</v>
      </c>
      <c r="AF4" s="3">
        <v>0</v>
      </c>
      <c r="AG4" s="3">
        <v>0</v>
      </c>
      <c r="AH4" s="3">
        <v>0</v>
      </c>
      <c r="AI4" s="3">
        <v>53</v>
      </c>
      <c r="AJ4" s="3">
        <v>100649</v>
      </c>
      <c r="AK4" s="3">
        <v>0</v>
      </c>
      <c r="AL4" s="3">
        <v>0</v>
      </c>
      <c r="AM4" s="3">
        <v>330</v>
      </c>
      <c r="AN4" s="3">
        <v>101032</v>
      </c>
      <c r="AO4" s="3" t="s">
        <v>97</v>
      </c>
      <c r="AP4" s="3" t="s">
        <v>98</v>
      </c>
      <c r="AQ4" s="3">
        <v>210358461</v>
      </c>
      <c r="AR4" s="3" t="s">
        <v>99</v>
      </c>
      <c r="AS4" s="3" t="s">
        <v>100</v>
      </c>
      <c r="AT4" s="3" t="s">
        <v>101</v>
      </c>
      <c r="AU4" s="3"/>
      <c r="AV4" s="3" t="s">
        <v>102</v>
      </c>
      <c r="AW4" s="3">
        <v>23099099</v>
      </c>
      <c r="AX4" s="3">
        <v>99</v>
      </c>
      <c r="AY4" s="3">
        <v>848</v>
      </c>
      <c r="AZ4" s="3">
        <v>848</v>
      </c>
      <c r="BA4" s="3" t="s">
        <v>103</v>
      </c>
      <c r="BB4" s="3"/>
      <c r="BC4" s="3" t="s">
        <v>104</v>
      </c>
      <c r="BD4" s="3" t="s">
        <v>105</v>
      </c>
      <c r="BE4" s="4">
        <v>46006</v>
      </c>
      <c r="BF4" s="4">
        <v>46027</v>
      </c>
      <c r="BG4" s="4">
        <v>46028</v>
      </c>
      <c r="BH4" s="3" t="s">
        <v>106</v>
      </c>
      <c r="BI4" s="3" t="s">
        <v>107</v>
      </c>
      <c r="BJ4" s="5">
        <v>4.30640220254354E+16</v>
      </c>
      <c r="BK4" s="3" t="s">
        <v>108</v>
      </c>
      <c r="BL4" s="3"/>
      <c r="BM4" s="3" t="s">
        <v>109</v>
      </c>
      <c r="BN4" s="3" t="s">
        <v>110</v>
      </c>
      <c r="BO4" s="3">
        <v>41521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20545.919999999998</v>
      </c>
      <c r="CB4" s="3">
        <v>0</v>
      </c>
      <c r="CC4" s="3">
        <v>0</v>
      </c>
      <c r="CD4" s="3">
        <v>120130.3</v>
      </c>
      <c r="CE4" s="3">
        <v>18000</v>
      </c>
      <c r="CF4" s="3">
        <v>3323.2</v>
      </c>
      <c r="CG4" s="3">
        <v>375823.69</v>
      </c>
      <c r="CH4" s="3" t="s">
        <v>111</v>
      </c>
      <c r="CI4" s="3">
        <v>375823.69</v>
      </c>
      <c r="CJ4" s="3">
        <v>375823.69</v>
      </c>
      <c r="CK4" s="3">
        <v>0</v>
      </c>
      <c r="CL4" s="3" t="s">
        <v>112</v>
      </c>
      <c r="CM4" s="3" t="s">
        <v>112</v>
      </c>
    </row>
    <row r="5" spans="1:91" x14ac:dyDescent="0.25">
      <c r="A5" s="3" t="s">
        <v>90</v>
      </c>
      <c r="B5" s="7" t="s">
        <v>113</v>
      </c>
      <c r="C5" s="3">
        <v>3942</v>
      </c>
      <c r="D5" s="3">
        <v>6000072</v>
      </c>
      <c r="E5" s="3"/>
      <c r="F5" s="3" t="s">
        <v>92</v>
      </c>
      <c r="G5" s="3" t="s">
        <v>93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18.001200000000001</v>
      </c>
      <c r="Q5" s="3">
        <v>5918</v>
      </c>
      <c r="R5" s="3">
        <v>430</v>
      </c>
      <c r="S5" s="3" t="s">
        <v>114</v>
      </c>
      <c r="T5" s="3" t="s">
        <v>95</v>
      </c>
      <c r="U5" s="3">
        <v>3997122</v>
      </c>
      <c r="V5" s="3">
        <v>3997122</v>
      </c>
      <c r="W5" s="3">
        <v>0</v>
      </c>
      <c r="X5" s="3">
        <v>0</v>
      </c>
      <c r="Y5" s="3">
        <v>0</v>
      </c>
      <c r="Z5" s="3">
        <v>0</v>
      </c>
      <c r="AA5" s="3" t="s">
        <v>115</v>
      </c>
      <c r="AB5" s="3"/>
      <c r="AC5" s="3">
        <v>211379</v>
      </c>
      <c r="AD5" s="3">
        <v>2486.81176</v>
      </c>
      <c r="AE5" s="3">
        <v>808</v>
      </c>
      <c r="AF5" s="3">
        <v>0</v>
      </c>
      <c r="AG5" s="3">
        <v>0</v>
      </c>
      <c r="AH5" s="3">
        <v>0</v>
      </c>
      <c r="AI5" s="3">
        <v>53</v>
      </c>
      <c r="AJ5" s="3">
        <v>462</v>
      </c>
      <c r="AK5" s="3">
        <v>0</v>
      </c>
      <c r="AL5" s="3">
        <v>0</v>
      </c>
      <c r="AM5" s="3">
        <v>330</v>
      </c>
      <c r="AN5" s="3">
        <v>845</v>
      </c>
      <c r="AO5" s="3" t="s">
        <v>97</v>
      </c>
      <c r="AP5" s="3" t="s">
        <v>98</v>
      </c>
      <c r="AQ5" s="3">
        <v>210358508</v>
      </c>
      <c r="AR5" s="3" t="s">
        <v>99</v>
      </c>
      <c r="AS5" s="3" t="s">
        <v>100</v>
      </c>
      <c r="AT5" s="3" t="s">
        <v>116</v>
      </c>
      <c r="AU5" s="3"/>
      <c r="AV5" s="3" t="s">
        <v>102</v>
      </c>
      <c r="AW5" s="3">
        <v>30042099</v>
      </c>
      <c r="AX5" s="3">
        <v>0</v>
      </c>
      <c r="AY5" s="3">
        <v>85</v>
      </c>
      <c r="AZ5" s="3">
        <v>85</v>
      </c>
      <c r="BA5" s="3" t="s">
        <v>103</v>
      </c>
      <c r="BB5" s="3"/>
      <c r="BC5" s="3" t="s">
        <v>105</v>
      </c>
      <c r="BD5" s="3" t="s">
        <v>105</v>
      </c>
      <c r="BE5" s="4">
        <v>46025</v>
      </c>
      <c r="BF5" s="4">
        <v>46029</v>
      </c>
      <c r="BG5" s="4">
        <v>46030</v>
      </c>
      <c r="BH5" s="3" t="s">
        <v>106</v>
      </c>
      <c r="BI5" s="3" t="s">
        <v>117</v>
      </c>
      <c r="BJ5" s="5" t="s">
        <v>118</v>
      </c>
      <c r="BK5" s="3" t="s">
        <v>119</v>
      </c>
      <c r="BL5" s="3"/>
      <c r="BM5" s="3" t="s">
        <v>109</v>
      </c>
      <c r="BN5" s="3" t="s">
        <v>120</v>
      </c>
      <c r="BO5" s="3">
        <v>41647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20545.919999999998</v>
      </c>
      <c r="CB5" s="3">
        <v>0</v>
      </c>
      <c r="CC5" s="3">
        <v>0</v>
      </c>
      <c r="CD5" s="3">
        <v>0</v>
      </c>
      <c r="CE5" s="3">
        <v>5779.19</v>
      </c>
      <c r="CF5" s="3">
        <v>1367.87</v>
      </c>
      <c r="CG5" s="3">
        <v>139939.60999999999</v>
      </c>
      <c r="CH5" s="3" t="s">
        <v>111</v>
      </c>
      <c r="CI5" s="3">
        <v>139939.60999999999</v>
      </c>
      <c r="CJ5" s="3">
        <v>139939.60999999999</v>
      </c>
      <c r="CK5" s="3">
        <v>0</v>
      </c>
      <c r="CL5" s="3" t="s">
        <v>112</v>
      </c>
      <c r="CM5" s="3" t="s">
        <v>112</v>
      </c>
    </row>
    <row r="6" spans="1:91" x14ac:dyDescent="0.25">
      <c r="A6" s="3" t="s">
        <v>90</v>
      </c>
      <c r="B6" s="7" t="s">
        <v>113</v>
      </c>
      <c r="C6" s="3">
        <v>3942</v>
      </c>
      <c r="D6" s="3">
        <v>6000072</v>
      </c>
      <c r="E6" s="3"/>
      <c r="F6" s="3" t="s">
        <v>92</v>
      </c>
      <c r="G6" s="3" t="s">
        <v>93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430</v>
      </c>
      <c r="S6" s="3" t="s">
        <v>114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115</v>
      </c>
      <c r="AB6" s="3"/>
      <c r="AC6" s="3">
        <v>370535</v>
      </c>
      <c r="AD6" s="3">
        <v>2486.8120800000002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/>
      <c r="AP6" s="3" t="s">
        <v>98</v>
      </c>
      <c r="AQ6" s="3">
        <v>210358508</v>
      </c>
      <c r="AR6" s="3" t="s">
        <v>99</v>
      </c>
      <c r="AS6" s="3" t="s">
        <v>100</v>
      </c>
      <c r="AT6" s="3">
        <v>0</v>
      </c>
      <c r="AU6" s="3">
        <v>0</v>
      </c>
      <c r="AV6" s="3">
        <v>0</v>
      </c>
      <c r="AW6" s="3">
        <v>30042099</v>
      </c>
      <c r="AX6" s="3">
        <v>0</v>
      </c>
      <c r="AY6" s="3">
        <v>149</v>
      </c>
      <c r="AZ6" s="3">
        <v>149</v>
      </c>
      <c r="BA6" s="3" t="s">
        <v>121</v>
      </c>
      <c r="BB6" s="3"/>
      <c r="BC6" s="3" t="s">
        <v>105</v>
      </c>
      <c r="BD6" s="3" t="s">
        <v>105</v>
      </c>
      <c r="BE6" s="3"/>
      <c r="BF6" s="3"/>
      <c r="BG6" s="3"/>
      <c r="BH6" s="3"/>
      <c r="BI6" s="3"/>
      <c r="BJ6" s="5"/>
      <c r="BK6" s="3"/>
      <c r="BL6" s="3"/>
      <c r="BM6" s="3"/>
      <c r="BN6" s="3" t="s">
        <v>120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 t="s">
        <v>111</v>
      </c>
      <c r="CI6" s="3">
        <v>0</v>
      </c>
      <c r="CJ6" s="3">
        <v>0</v>
      </c>
      <c r="CK6" s="3">
        <v>0</v>
      </c>
      <c r="CL6" s="3" t="s">
        <v>112</v>
      </c>
      <c r="CM6" s="3" t="s">
        <v>112</v>
      </c>
    </row>
    <row r="7" spans="1:91" x14ac:dyDescent="0.25">
      <c r="A7" s="3" t="s">
        <v>90</v>
      </c>
      <c r="B7" s="7" t="s">
        <v>113</v>
      </c>
      <c r="C7" s="3">
        <v>3942</v>
      </c>
      <c r="D7" s="3">
        <v>6000072</v>
      </c>
      <c r="E7" s="3"/>
      <c r="F7" s="3" t="s">
        <v>92</v>
      </c>
      <c r="G7" s="3" t="s">
        <v>93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430</v>
      </c>
      <c r="S7" s="3" t="s">
        <v>114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115</v>
      </c>
      <c r="AB7" s="3"/>
      <c r="AC7" s="3">
        <v>370535</v>
      </c>
      <c r="AD7" s="3">
        <v>2486.8120800000002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/>
      <c r="AP7" s="3" t="s">
        <v>98</v>
      </c>
      <c r="AQ7" s="3">
        <v>210358508</v>
      </c>
      <c r="AR7" s="3" t="s">
        <v>99</v>
      </c>
      <c r="AS7" s="3" t="s">
        <v>100</v>
      </c>
      <c r="AT7" s="3">
        <v>0</v>
      </c>
      <c r="AU7" s="3">
        <v>0</v>
      </c>
      <c r="AV7" s="3">
        <v>0</v>
      </c>
      <c r="AW7" s="3">
        <v>30042099</v>
      </c>
      <c r="AX7" s="3">
        <v>0</v>
      </c>
      <c r="AY7" s="3">
        <v>149</v>
      </c>
      <c r="AZ7" s="3">
        <v>149</v>
      </c>
      <c r="BA7" s="3" t="s">
        <v>121</v>
      </c>
      <c r="BB7" s="3"/>
      <c r="BC7" s="3" t="s">
        <v>105</v>
      </c>
      <c r="BD7" s="3" t="s">
        <v>105</v>
      </c>
      <c r="BE7" s="3"/>
      <c r="BF7" s="3"/>
      <c r="BG7" s="3"/>
      <c r="BH7" s="3"/>
      <c r="BI7" s="3"/>
      <c r="BJ7" s="5"/>
      <c r="BK7" s="3"/>
      <c r="BL7" s="3"/>
      <c r="BM7" s="3"/>
      <c r="BN7" s="3" t="s">
        <v>120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 t="s">
        <v>111</v>
      </c>
      <c r="CI7" s="3">
        <v>0</v>
      </c>
      <c r="CJ7" s="3">
        <v>0</v>
      </c>
      <c r="CK7" s="3">
        <v>0</v>
      </c>
      <c r="CL7" s="3" t="s">
        <v>112</v>
      </c>
      <c r="CM7" s="3" t="s">
        <v>112</v>
      </c>
    </row>
    <row r="8" spans="1:91" x14ac:dyDescent="0.25">
      <c r="A8" s="3" t="s">
        <v>90</v>
      </c>
      <c r="B8" s="7" t="s">
        <v>113</v>
      </c>
      <c r="C8" s="3">
        <v>3942</v>
      </c>
      <c r="D8" s="3">
        <v>6000072</v>
      </c>
      <c r="E8" s="3"/>
      <c r="F8" s="3" t="s">
        <v>92</v>
      </c>
      <c r="G8" s="3" t="s">
        <v>93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430</v>
      </c>
      <c r="S8" s="3" t="s">
        <v>114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115</v>
      </c>
      <c r="AB8" s="3"/>
      <c r="AC8" s="3">
        <v>181537</v>
      </c>
      <c r="AD8" s="3">
        <v>2486.8082199999999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/>
      <c r="AP8" s="3" t="s">
        <v>98</v>
      </c>
      <c r="AQ8" s="3">
        <v>210358509</v>
      </c>
      <c r="AR8" s="3" t="s">
        <v>99</v>
      </c>
      <c r="AS8" s="3" t="s">
        <v>100</v>
      </c>
      <c r="AT8" s="3">
        <v>0</v>
      </c>
      <c r="AU8" s="3">
        <v>0</v>
      </c>
      <c r="AV8" s="3">
        <v>0</v>
      </c>
      <c r="AW8" s="3">
        <v>30042099</v>
      </c>
      <c r="AX8" s="3">
        <v>0</v>
      </c>
      <c r="AY8" s="3">
        <v>73</v>
      </c>
      <c r="AZ8" s="3">
        <v>73</v>
      </c>
      <c r="BA8" s="3" t="s">
        <v>121</v>
      </c>
      <c r="BB8" s="3"/>
      <c r="BC8" s="3" t="s">
        <v>105</v>
      </c>
      <c r="BD8" s="3" t="s">
        <v>105</v>
      </c>
      <c r="BE8" s="3"/>
      <c r="BF8" s="3"/>
      <c r="BG8" s="3"/>
      <c r="BH8" s="3"/>
      <c r="BI8" s="3"/>
      <c r="BJ8" s="5"/>
      <c r="BK8" s="3"/>
      <c r="BL8" s="3"/>
      <c r="BM8" s="3"/>
      <c r="BN8" s="3" t="s">
        <v>122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 t="s">
        <v>111</v>
      </c>
      <c r="CI8" s="3">
        <v>0</v>
      </c>
      <c r="CJ8" s="3">
        <v>0</v>
      </c>
      <c r="CK8" s="3">
        <v>0</v>
      </c>
      <c r="CL8" s="3" t="s">
        <v>112</v>
      </c>
      <c r="CM8" s="3" t="s">
        <v>112</v>
      </c>
    </row>
    <row r="9" spans="1:91" x14ac:dyDescent="0.25">
      <c r="A9" s="3" t="s">
        <v>90</v>
      </c>
      <c r="B9" s="7" t="s">
        <v>113</v>
      </c>
      <c r="C9" s="3">
        <v>3942</v>
      </c>
      <c r="D9" s="3">
        <v>6000072</v>
      </c>
      <c r="E9" s="3"/>
      <c r="F9" s="3" t="s">
        <v>92</v>
      </c>
      <c r="G9" s="3" t="s">
        <v>93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430</v>
      </c>
      <c r="S9" s="3" t="s">
        <v>114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115</v>
      </c>
      <c r="AB9" s="3"/>
      <c r="AC9" s="3">
        <v>370535</v>
      </c>
      <c r="AD9" s="3">
        <v>2486.8120800000002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/>
      <c r="AP9" s="3" t="s">
        <v>98</v>
      </c>
      <c r="AQ9" s="3">
        <v>210358509</v>
      </c>
      <c r="AR9" s="3" t="s">
        <v>99</v>
      </c>
      <c r="AS9" s="3" t="s">
        <v>100</v>
      </c>
      <c r="AT9" s="3">
        <v>0</v>
      </c>
      <c r="AU9" s="3">
        <v>0</v>
      </c>
      <c r="AV9" s="3">
        <v>0</v>
      </c>
      <c r="AW9" s="3">
        <v>30042099</v>
      </c>
      <c r="AX9" s="3">
        <v>0</v>
      </c>
      <c r="AY9" s="3">
        <v>149</v>
      </c>
      <c r="AZ9" s="3">
        <v>149</v>
      </c>
      <c r="BA9" s="3" t="s">
        <v>121</v>
      </c>
      <c r="BB9" s="3"/>
      <c r="BC9" s="3" t="s">
        <v>105</v>
      </c>
      <c r="BD9" s="3" t="s">
        <v>105</v>
      </c>
      <c r="BE9" s="3"/>
      <c r="BF9" s="3"/>
      <c r="BG9" s="3"/>
      <c r="BH9" s="3"/>
      <c r="BI9" s="3"/>
      <c r="BJ9" s="5"/>
      <c r="BK9" s="3"/>
      <c r="BL9" s="3"/>
      <c r="BM9" s="3"/>
      <c r="BN9" s="3" t="s">
        <v>122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 t="s">
        <v>111</v>
      </c>
      <c r="CI9" s="3">
        <v>0</v>
      </c>
      <c r="CJ9" s="3">
        <v>0</v>
      </c>
      <c r="CK9" s="3">
        <v>0</v>
      </c>
      <c r="CL9" s="3" t="s">
        <v>112</v>
      </c>
      <c r="CM9" s="3" t="s">
        <v>112</v>
      </c>
    </row>
    <row r="10" spans="1:91" x14ac:dyDescent="0.25">
      <c r="A10" s="3" t="s">
        <v>90</v>
      </c>
      <c r="B10" s="7" t="s">
        <v>113</v>
      </c>
      <c r="C10" s="3">
        <v>3942</v>
      </c>
      <c r="D10" s="3">
        <v>6000072</v>
      </c>
      <c r="E10" s="3"/>
      <c r="F10" s="3" t="s">
        <v>92</v>
      </c>
      <c r="G10" s="3" t="s">
        <v>93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430</v>
      </c>
      <c r="S10" s="3" t="s">
        <v>114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123</v>
      </c>
      <c r="AB10" s="3"/>
      <c r="AC10" s="3">
        <v>1425144</v>
      </c>
      <c r="AD10" s="3">
        <v>748.5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/>
      <c r="AP10" s="3" t="s">
        <v>98</v>
      </c>
      <c r="AQ10" s="3">
        <v>210358509</v>
      </c>
      <c r="AR10" s="3" t="s">
        <v>99</v>
      </c>
      <c r="AS10" s="3" t="s">
        <v>100</v>
      </c>
      <c r="AT10" s="3">
        <v>0</v>
      </c>
      <c r="AU10" s="3">
        <v>0</v>
      </c>
      <c r="AV10" s="3">
        <v>0</v>
      </c>
      <c r="AW10" s="3">
        <v>30049099</v>
      </c>
      <c r="AX10" s="3">
        <v>99</v>
      </c>
      <c r="AY10" s="3">
        <v>1904</v>
      </c>
      <c r="AZ10" s="3">
        <v>1904</v>
      </c>
      <c r="BA10" s="3" t="s">
        <v>121</v>
      </c>
      <c r="BB10" s="3"/>
      <c r="BC10" s="3" t="s">
        <v>105</v>
      </c>
      <c r="BD10" s="3" t="s">
        <v>105</v>
      </c>
      <c r="BE10" s="3"/>
      <c r="BF10" s="3"/>
      <c r="BG10" s="3"/>
      <c r="BH10" s="3"/>
      <c r="BI10" s="3"/>
      <c r="BJ10" s="5"/>
      <c r="BK10" s="3"/>
      <c r="BL10" s="3"/>
      <c r="BM10" s="3"/>
      <c r="BN10" s="3" t="s">
        <v>122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 t="s">
        <v>111</v>
      </c>
      <c r="CI10" s="3">
        <v>0</v>
      </c>
      <c r="CJ10" s="3">
        <v>0</v>
      </c>
      <c r="CK10" s="3">
        <v>0</v>
      </c>
      <c r="CL10" s="3" t="s">
        <v>112</v>
      </c>
      <c r="CM10" s="3" t="s">
        <v>112</v>
      </c>
    </row>
    <row r="11" spans="1:91" x14ac:dyDescent="0.25">
      <c r="A11" s="3" t="s">
        <v>90</v>
      </c>
      <c r="B11" s="7" t="s">
        <v>113</v>
      </c>
      <c r="C11" s="3">
        <v>3942</v>
      </c>
      <c r="D11" s="3">
        <v>6000072</v>
      </c>
      <c r="E11" s="3"/>
      <c r="F11" s="3" t="s">
        <v>92</v>
      </c>
      <c r="G11" s="3" t="s">
        <v>93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430</v>
      </c>
      <c r="S11" s="3" t="s">
        <v>114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124</v>
      </c>
      <c r="AB11" s="3"/>
      <c r="AC11" s="3">
        <v>203925</v>
      </c>
      <c r="AD11" s="3">
        <v>325.23923000000002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/>
      <c r="AP11" s="3" t="s">
        <v>98</v>
      </c>
      <c r="AQ11" s="3">
        <v>210358509</v>
      </c>
      <c r="AR11" s="3" t="s">
        <v>99</v>
      </c>
      <c r="AS11" s="3" t="s">
        <v>100</v>
      </c>
      <c r="AT11" s="3">
        <v>0</v>
      </c>
      <c r="AU11" s="3">
        <v>0</v>
      </c>
      <c r="AV11" s="3">
        <v>0</v>
      </c>
      <c r="AW11" s="3">
        <v>30049099</v>
      </c>
      <c r="AX11" s="3">
        <v>99</v>
      </c>
      <c r="AY11" s="3">
        <v>627</v>
      </c>
      <c r="AZ11" s="3">
        <v>627</v>
      </c>
      <c r="BA11" s="3" t="s">
        <v>121</v>
      </c>
      <c r="BB11" s="3"/>
      <c r="BC11" s="3" t="s">
        <v>105</v>
      </c>
      <c r="BD11" s="3" t="s">
        <v>105</v>
      </c>
      <c r="BE11" s="3"/>
      <c r="BF11" s="3"/>
      <c r="BG11" s="3"/>
      <c r="BH11" s="3"/>
      <c r="BI11" s="3"/>
      <c r="BJ11" s="5"/>
      <c r="BK11" s="3"/>
      <c r="BL11" s="3"/>
      <c r="BM11" s="3"/>
      <c r="BN11" s="3" t="s">
        <v>122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 t="s">
        <v>111</v>
      </c>
      <c r="CI11" s="3">
        <v>0</v>
      </c>
      <c r="CJ11" s="3">
        <v>0</v>
      </c>
      <c r="CK11" s="3">
        <v>0</v>
      </c>
      <c r="CL11" s="3" t="s">
        <v>112</v>
      </c>
      <c r="CM11" s="3" t="s">
        <v>112</v>
      </c>
    </row>
    <row r="12" spans="1:91" x14ac:dyDescent="0.25">
      <c r="A12" s="3" t="s">
        <v>90</v>
      </c>
      <c r="B12" s="7" t="s">
        <v>113</v>
      </c>
      <c r="C12" s="3">
        <v>3942</v>
      </c>
      <c r="D12" s="3">
        <v>6000072</v>
      </c>
      <c r="E12" s="3"/>
      <c r="F12" s="3" t="s">
        <v>92</v>
      </c>
      <c r="G12" s="3" t="s">
        <v>93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430</v>
      </c>
      <c r="S12" s="3" t="s">
        <v>114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125</v>
      </c>
      <c r="AB12" s="3"/>
      <c r="AC12" s="3">
        <v>863532</v>
      </c>
      <c r="AD12" s="3">
        <v>479.74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/>
      <c r="AP12" s="3" t="s">
        <v>98</v>
      </c>
      <c r="AQ12" s="3">
        <v>210358711</v>
      </c>
      <c r="AR12" s="3" t="s">
        <v>99</v>
      </c>
      <c r="AS12" s="3" t="s">
        <v>100</v>
      </c>
      <c r="AT12" s="3">
        <v>0</v>
      </c>
      <c r="AU12" s="3">
        <v>0</v>
      </c>
      <c r="AV12" s="3">
        <v>0</v>
      </c>
      <c r="AW12" s="3">
        <v>30043999</v>
      </c>
      <c r="AX12" s="3">
        <v>99</v>
      </c>
      <c r="AY12" s="3">
        <v>1800</v>
      </c>
      <c r="AZ12" s="3">
        <v>1800</v>
      </c>
      <c r="BA12" s="3" t="s">
        <v>103</v>
      </c>
      <c r="BB12" s="3"/>
      <c r="BC12" s="3" t="s">
        <v>126</v>
      </c>
      <c r="BD12" s="3" t="s">
        <v>105</v>
      </c>
      <c r="BE12" s="3"/>
      <c r="BF12" s="3"/>
      <c r="BG12" s="3"/>
      <c r="BH12" s="3"/>
      <c r="BI12" s="3"/>
      <c r="BJ12" s="5"/>
      <c r="BK12" s="3"/>
      <c r="BL12" s="3"/>
      <c r="BM12" s="3"/>
      <c r="BN12" s="3" t="s">
        <v>127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 t="s">
        <v>111</v>
      </c>
      <c r="CI12" s="3">
        <v>0</v>
      </c>
      <c r="CJ12" s="3">
        <v>0</v>
      </c>
      <c r="CK12" s="3">
        <v>0</v>
      </c>
      <c r="CL12" s="3" t="s">
        <v>112</v>
      </c>
      <c r="CM12" s="3" t="s">
        <v>112</v>
      </c>
    </row>
    <row r="13" spans="1:91" x14ac:dyDescent="0.25">
      <c r="A13" s="3" t="s">
        <v>90</v>
      </c>
      <c r="B13" s="3" t="s">
        <v>165</v>
      </c>
      <c r="C13" s="3">
        <v>3942</v>
      </c>
      <c r="D13" s="3">
        <v>6000133</v>
      </c>
      <c r="E13" s="3"/>
      <c r="F13" s="3" t="s">
        <v>92</v>
      </c>
      <c r="G13" s="3" t="s">
        <v>93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18.208500000000001</v>
      </c>
      <c r="Q13" s="3">
        <v>276</v>
      </c>
      <c r="R13" s="3">
        <v>430</v>
      </c>
      <c r="S13" s="3"/>
      <c r="T13" s="3" t="s">
        <v>166</v>
      </c>
      <c r="U13" s="3">
        <v>4939600</v>
      </c>
      <c r="V13" s="3">
        <v>4939600</v>
      </c>
      <c r="W13" s="3">
        <v>0</v>
      </c>
      <c r="X13" s="3">
        <v>0</v>
      </c>
      <c r="Y13" s="3">
        <v>0</v>
      </c>
      <c r="Z13" s="3">
        <v>0</v>
      </c>
      <c r="AA13" s="3" t="s">
        <v>167</v>
      </c>
      <c r="AB13" s="3"/>
      <c r="AC13" s="3">
        <v>4939600</v>
      </c>
      <c r="AD13" s="3">
        <v>1234.9000000000001</v>
      </c>
      <c r="AE13" s="3">
        <v>808</v>
      </c>
      <c r="AF13" s="3">
        <v>0</v>
      </c>
      <c r="AG13" s="3">
        <v>0</v>
      </c>
      <c r="AH13" s="3">
        <v>0</v>
      </c>
      <c r="AI13" s="3">
        <v>53</v>
      </c>
      <c r="AJ13" s="3">
        <v>462</v>
      </c>
      <c r="AK13" s="3">
        <v>0</v>
      </c>
      <c r="AL13" s="3">
        <v>0</v>
      </c>
      <c r="AM13" s="3">
        <v>330</v>
      </c>
      <c r="AN13" s="3">
        <v>845</v>
      </c>
      <c r="AO13" s="3" t="s">
        <v>97</v>
      </c>
      <c r="AP13" s="3" t="s">
        <v>98</v>
      </c>
      <c r="AQ13" s="3">
        <v>210358877</v>
      </c>
      <c r="AR13" s="3" t="s">
        <v>99</v>
      </c>
      <c r="AS13" s="3" t="s">
        <v>100</v>
      </c>
      <c r="AT13" s="3" t="s">
        <v>168</v>
      </c>
      <c r="AU13" s="3"/>
      <c r="AV13" s="3" t="s">
        <v>146</v>
      </c>
      <c r="AW13" s="3">
        <v>30024201</v>
      </c>
      <c r="AX13" s="3">
        <v>99</v>
      </c>
      <c r="AY13" s="3">
        <v>4000</v>
      </c>
      <c r="AZ13" s="3">
        <v>4000</v>
      </c>
      <c r="BA13" s="3" t="s">
        <v>103</v>
      </c>
      <c r="BB13" s="3"/>
      <c r="BC13" s="3" t="s">
        <v>105</v>
      </c>
      <c r="BD13" s="3" t="s">
        <v>105</v>
      </c>
      <c r="BE13" s="4">
        <v>46006</v>
      </c>
      <c r="BF13" s="4">
        <v>46038</v>
      </c>
      <c r="BG13" s="4">
        <v>46041</v>
      </c>
      <c r="BH13" s="3" t="s">
        <v>106</v>
      </c>
      <c r="BI13" s="3" t="s">
        <v>107</v>
      </c>
      <c r="BJ13" s="5">
        <v>4.3064022026014896E+16</v>
      </c>
      <c r="BK13" s="3" t="s">
        <v>108</v>
      </c>
      <c r="BL13" s="3"/>
      <c r="BM13" s="3" t="s">
        <v>109</v>
      </c>
      <c r="BN13" s="3" t="s">
        <v>169</v>
      </c>
      <c r="BO13" s="3">
        <v>41810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22189.59</v>
      </c>
      <c r="CB13" s="3">
        <v>0</v>
      </c>
      <c r="CC13" s="3">
        <v>0</v>
      </c>
      <c r="CD13" s="3">
        <v>0</v>
      </c>
      <c r="CE13" s="3">
        <v>7033.06</v>
      </c>
      <c r="CF13" s="3">
        <v>1587.69</v>
      </c>
      <c r="CG13" s="3">
        <v>94680.66</v>
      </c>
      <c r="CH13" s="3" t="s">
        <v>111</v>
      </c>
      <c r="CI13" s="3">
        <v>94680.66</v>
      </c>
      <c r="CJ13" s="3">
        <v>94680.66</v>
      </c>
      <c r="CK13" s="3">
        <v>0</v>
      </c>
      <c r="CL13" s="3" t="s">
        <v>112</v>
      </c>
      <c r="CM13" s="3" t="s">
        <v>112</v>
      </c>
    </row>
    <row r="14" spans="1:91" x14ac:dyDescent="0.25">
      <c r="A14" s="3" t="s">
        <v>90</v>
      </c>
      <c r="B14" s="9" t="s">
        <v>141</v>
      </c>
      <c r="C14" s="3">
        <v>3942</v>
      </c>
      <c r="D14" s="3">
        <v>6000096</v>
      </c>
      <c r="E14" s="3"/>
      <c r="F14" s="3" t="s">
        <v>92</v>
      </c>
      <c r="G14" s="3" t="s">
        <v>93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17.599</v>
      </c>
      <c r="Q14" s="3">
        <v>10775</v>
      </c>
      <c r="R14" s="3">
        <v>430</v>
      </c>
      <c r="S14" s="3" t="s">
        <v>142</v>
      </c>
      <c r="T14" s="3" t="s">
        <v>143</v>
      </c>
      <c r="U14" s="3">
        <v>22156123</v>
      </c>
      <c r="V14" s="3">
        <v>22156123</v>
      </c>
      <c r="W14" s="3">
        <v>0</v>
      </c>
      <c r="X14" s="3">
        <v>0</v>
      </c>
      <c r="Y14" s="3">
        <v>0</v>
      </c>
      <c r="Z14" s="3">
        <v>0</v>
      </c>
      <c r="AA14" s="3" t="s">
        <v>144</v>
      </c>
      <c r="AB14" s="3"/>
      <c r="AC14" s="3">
        <v>167501</v>
      </c>
      <c r="AD14" s="3">
        <v>485.51013999999998</v>
      </c>
      <c r="AE14" s="3">
        <v>808</v>
      </c>
      <c r="AF14" s="3">
        <v>0</v>
      </c>
      <c r="AG14" s="3">
        <v>0</v>
      </c>
      <c r="AH14" s="3">
        <v>0</v>
      </c>
      <c r="AI14" s="3">
        <v>53</v>
      </c>
      <c r="AJ14" s="3">
        <v>462</v>
      </c>
      <c r="AK14" s="3">
        <v>0</v>
      </c>
      <c r="AL14" s="3">
        <v>0</v>
      </c>
      <c r="AM14" s="3">
        <v>330</v>
      </c>
      <c r="AN14" s="3">
        <v>845</v>
      </c>
      <c r="AO14" s="3" t="s">
        <v>97</v>
      </c>
      <c r="AP14" s="3" t="s">
        <v>98</v>
      </c>
      <c r="AQ14" s="3">
        <v>210359412</v>
      </c>
      <c r="AR14" s="3" t="s">
        <v>99</v>
      </c>
      <c r="AS14" s="3" t="s">
        <v>100</v>
      </c>
      <c r="AT14" s="3" t="s">
        <v>145</v>
      </c>
      <c r="AU14" s="3"/>
      <c r="AV14" s="3" t="s">
        <v>146</v>
      </c>
      <c r="AW14" s="3">
        <v>30024201</v>
      </c>
      <c r="AX14" s="3">
        <v>99</v>
      </c>
      <c r="AY14" s="3">
        <v>345</v>
      </c>
      <c r="AZ14" s="3">
        <v>345</v>
      </c>
      <c r="BA14" s="3" t="s">
        <v>103</v>
      </c>
      <c r="BB14" s="3"/>
      <c r="BC14" s="3" t="s">
        <v>105</v>
      </c>
      <c r="BD14" s="3" t="s">
        <v>105</v>
      </c>
      <c r="BE14" s="4">
        <v>46043</v>
      </c>
      <c r="BF14" s="4">
        <v>46045</v>
      </c>
      <c r="BG14" s="4">
        <v>46048</v>
      </c>
      <c r="BH14" s="3" t="s">
        <v>106</v>
      </c>
      <c r="BI14" s="3" t="s">
        <v>117</v>
      </c>
      <c r="BJ14" s="5" t="s">
        <v>147</v>
      </c>
      <c r="BK14" s="3" t="s">
        <v>148</v>
      </c>
      <c r="BL14" s="3"/>
      <c r="BM14" s="3" t="s">
        <v>109</v>
      </c>
      <c r="BN14" s="3" t="s">
        <v>149</v>
      </c>
      <c r="BO14" s="3">
        <v>42138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44379.18</v>
      </c>
      <c r="CB14" s="3">
        <v>0</v>
      </c>
      <c r="CC14" s="3">
        <v>0</v>
      </c>
      <c r="CD14" s="3">
        <v>51824.160000000003</v>
      </c>
      <c r="CE14" s="3">
        <v>36000</v>
      </c>
      <c r="CF14" s="3">
        <v>6542.4</v>
      </c>
      <c r="CG14" s="3">
        <v>350419.46</v>
      </c>
      <c r="CH14" s="3" t="s">
        <v>111</v>
      </c>
      <c r="CI14" s="3">
        <v>350419.46</v>
      </c>
      <c r="CJ14" s="3">
        <v>350419.46</v>
      </c>
      <c r="CK14" s="3">
        <v>0</v>
      </c>
      <c r="CL14" s="3" t="s">
        <v>112</v>
      </c>
      <c r="CM14" s="3" t="s">
        <v>112</v>
      </c>
    </row>
    <row r="15" spans="1:91" x14ac:dyDescent="0.25">
      <c r="A15" s="3" t="s">
        <v>90</v>
      </c>
      <c r="B15" s="15" t="s">
        <v>209</v>
      </c>
      <c r="C15" s="3">
        <v>3942</v>
      </c>
      <c r="D15" s="3">
        <v>6000222</v>
      </c>
      <c r="E15" s="3"/>
      <c r="F15" s="3" t="s">
        <v>92</v>
      </c>
      <c r="G15" s="3" t="s">
        <v>93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17.215499999999999</v>
      </c>
      <c r="Q15" s="3">
        <v>4027</v>
      </c>
      <c r="R15" s="3">
        <v>430</v>
      </c>
      <c r="S15" s="3" t="s">
        <v>210</v>
      </c>
      <c r="T15" s="3" t="s">
        <v>130</v>
      </c>
      <c r="U15" s="3">
        <v>16399589</v>
      </c>
      <c r="V15" s="3">
        <v>16399589</v>
      </c>
      <c r="W15" s="3">
        <v>0</v>
      </c>
      <c r="X15" s="3">
        <v>0</v>
      </c>
      <c r="Y15" s="3">
        <v>0</v>
      </c>
      <c r="Z15" s="3">
        <v>0</v>
      </c>
      <c r="AA15" s="3" t="s">
        <v>211</v>
      </c>
      <c r="AB15" s="3"/>
      <c r="AC15" s="3">
        <v>1888172</v>
      </c>
      <c r="AD15" s="3">
        <v>265.22994999999997</v>
      </c>
      <c r="AE15" s="3">
        <v>808</v>
      </c>
      <c r="AF15" s="3">
        <v>0</v>
      </c>
      <c r="AG15" s="3">
        <v>0</v>
      </c>
      <c r="AH15" s="3">
        <v>0</v>
      </c>
      <c r="AI15" s="3">
        <v>53</v>
      </c>
      <c r="AJ15" s="3">
        <v>462</v>
      </c>
      <c r="AK15" s="3">
        <v>0</v>
      </c>
      <c r="AL15" s="3">
        <v>0</v>
      </c>
      <c r="AM15" s="3">
        <v>330</v>
      </c>
      <c r="AN15" s="3">
        <v>845</v>
      </c>
      <c r="AO15" s="3" t="s">
        <v>97</v>
      </c>
      <c r="AP15" s="3" t="s">
        <v>98</v>
      </c>
      <c r="AQ15" s="3">
        <v>210363198</v>
      </c>
      <c r="AR15" s="3" t="s">
        <v>99</v>
      </c>
      <c r="AS15" s="3" t="s">
        <v>100</v>
      </c>
      <c r="AT15" s="3" t="s">
        <v>212</v>
      </c>
      <c r="AU15" s="3"/>
      <c r="AV15" s="3" t="s">
        <v>146</v>
      </c>
      <c r="AW15" s="3">
        <v>30024201</v>
      </c>
      <c r="AX15" s="3">
        <v>99</v>
      </c>
      <c r="AY15" s="3">
        <v>7119</v>
      </c>
      <c r="AZ15" s="3">
        <v>7119</v>
      </c>
      <c r="BA15" s="3" t="s">
        <v>103</v>
      </c>
      <c r="BB15" s="3"/>
      <c r="BC15" s="3" t="s">
        <v>105</v>
      </c>
      <c r="BD15" s="3" t="s">
        <v>105</v>
      </c>
      <c r="BE15" s="4">
        <v>46066</v>
      </c>
      <c r="BF15" s="4">
        <v>46070</v>
      </c>
      <c r="BG15" s="4">
        <v>46071</v>
      </c>
      <c r="BH15" s="3" t="s">
        <v>106</v>
      </c>
      <c r="BI15" s="3" t="s">
        <v>117</v>
      </c>
      <c r="BJ15" s="5" t="s">
        <v>213</v>
      </c>
      <c r="BK15" s="3" t="s">
        <v>214</v>
      </c>
      <c r="BL15" s="3"/>
      <c r="BM15" s="3" t="s">
        <v>109</v>
      </c>
      <c r="BN15" s="3" t="s">
        <v>215</v>
      </c>
      <c r="BO15" s="3">
        <v>43065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44379.18</v>
      </c>
      <c r="CB15" s="3">
        <v>0</v>
      </c>
      <c r="CC15" s="3">
        <v>0</v>
      </c>
      <c r="CD15" s="3">
        <v>20788.82</v>
      </c>
      <c r="CE15" s="3">
        <v>18000</v>
      </c>
      <c r="CF15" s="3">
        <v>3323.2</v>
      </c>
      <c r="CG15" s="3">
        <v>218071.21</v>
      </c>
      <c r="CH15" s="3" t="s">
        <v>192</v>
      </c>
      <c r="CI15" s="3">
        <v>218071.21</v>
      </c>
      <c r="CJ15" s="3">
        <v>0</v>
      </c>
      <c r="CK15" s="3">
        <v>0</v>
      </c>
      <c r="CL15" s="3" t="s">
        <v>112</v>
      </c>
      <c r="CM15" s="3" t="s">
        <v>112</v>
      </c>
    </row>
    <row r="16" spans="1:91" x14ac:dyDescent="0.25">
      <c r="A16" s="3" t="s">
        <v>90</v>
      </c>
      <c r="B16" s="8" t="s">
        <v>128</v>
      </c>
      <c r="C16" s="3">
        <v>3942</v>
      </c>
      <c r="D16" s="3">
        <v>6000095</v>
      </c>
      <c r="E16" s="3"/>
      <c r="F16" s="3" t="s">
        <v>92</v>
      </c>
      <c r="G16" s="3" t="s">
        <v>93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10</v>
      </c>
      <c r="O16" s="3">
        <v>339570</v>
      </c>
      <c r="P16" s="3">
        <v>17.599</v>
      </c>
      <c r="Q16" s="3">
        <v>1258</v>
      </c>
      <c r="R16" s="3">
        <v>430</v>
      </c>
      <c r="S16" s="3" t="s">
        <v>129</v>
      </c>
      <c r="T16" s="3" t="s">
        <v>130</v>
      </c>
      <c r="U16" s="3">
        <v>5941983</v>
      </c>
      <c r="V16" s="3">
        <v>5941983</v>
      </c>
      <c r="W16" s="3">
        <v>0</v>
      </c>
      <c r="X16" s="3">
        <v>0</v>
      </c>
      <c r="Y16" s="3">
        <v>0</v>
      </c>
      <c r="Z16" s="3">
        <v>0</v>
      </c>
      <c r="AA16" s="3" t="s">
        <v>131</v>
      </c>
      <c r="AB16" s="3"/>
      <c r="AC16" s="3">
        <v>3395701</v>
      </c>
      <c r="AD16" s="3">
        <v>596.26004999999998</v>
      </c>
      <c r="AE16" s="3">
        <v>354</v>
      </c>
      <c r="AF16" s="3">
        <v>10</v>
      </c>
      <c r="AG16" s="3">
        <v>339570</v>
      </c>
      <c r="AH16" s="3">
        <v>0</v>
      </c>
      <c r="AI16" s="3">
        <v>53</v>
      </c>
      <c r="AJ16" s="3">
        <v>27166</v>
      </c>
      <c r="AK16" s="3">
        <v>0</v>
      </c>
      <c r="AL16" s="3">
        <v>0</v>
      </c>
      <c r="AM16" s="3">
        <v>330</v>
      </c>
      <c r="AN16" s="3">
        <v>367119</v>
      </c>
      <c r="AO16" s="3" t="s">
        <v>97</v>
      </c>
      <c r="AP16" s="3" t="s">
        <v>98</v>
      </c>
      <c r="AQ16" s="3">
        <v>210360279</v>
      </c>
      <c r="AR16" s="3" t="s">
        <v>99</v>
      </c>
      <c r="AS16" s="3" t="s">
        <v>100</v>
      </c>
      <c r="AT16" s="3" t="s">
        <v>132</v>
      </c>
      <c r="AU16" s="3"/>
      <c r="AV16" s="3" t="s">
        <v>102</v>
      </c>
      <c r="AW16" s="3">
        <v>30043999</v>
      </c>
      <c r="AX16" s="3">
        <v>99</v>
      </c>
      <c r="AY16" s="3">
        <v>5695</v>
      </c>
      <c r="AZ16" s="3">
        <v>5695</v>
      </c>
      <c r="BA16" s="3" t="s">
        <v>103</v>
      </c>
      <c r="BB16" s="3"/>
      <c r="BC16" s="3" t="s">
        <v>133</v>
      </c>
      <c r="BD16" s="3" t="s">
        <v>105</v>
      </c>
      <c r="BE16" s="4">
        <v>46043</v>
      </c>
      <c r="BF16" s="4">
        <v>46045</v>
      </c>
      <c r="BG16" s="4">
        <v>46046</v>
      </c>
      <c r="BH16" s="3" t="s">
        <v>106</v>
      </c>
      <c r="BI16" s="3"/>
      <c r="BJ16" s="5"/>
      <c r="BK16" s="3"/>
      <c r="BL16" s="3"/>
      <c r="BM16" s="3" t="s">
        <v>109</v>
      </c>
      <c r="BN16" s="3" t="s">
        <v>134</v>
      </c>
      <c r="BO16" s="3">
        <v>42224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22189.59</v>
      </c>
      <c r="CB16" s="3">
        <v>0</v>
      </c>
      <c r="CC16" s="3">
        <v>0</v>
      </c>
      <c r="CD16" s="3">
        <v>0</v>
      </c>
      <c r="CE16" s="3">
        <v>9000.2000000000007</v>
      </c>
      <c r="CF16" s="3">
        <v>1563.23</v>
      </c>
      <c r="CG16" s="3">
        <v>130942.87</v>
      </c>
      <c r="CH16" s="3" t="s">
        <v>111</v>
      </c>
      <c r="CI16" s="3">
        <v>130942.87</v>
      </c>
      <c r="CJ16" s="3">
        <v>130942.87</v>
      </c>
      <c r="CK16" s="3">
        <v>0</v>
      </c>
      <c r="CL16" s="3" t="s">
        <v>112</v>
      </c>
      <c r="CM16" s="3" t="s">
        <v>112</v>
      </c>
    </row>
    <row r="17" spans="1:91" x14ac:dyDescent="0.25">
      <c r="A17" s="3" t="s">
        <v>90</v>
      </c>
      <c r="B17" s="8" t="s">
        <v>128</v>
      </c>
      <c r="C17" s="3">
        <v>3942</v>
      </c>
      <c r="D17" s="3">
        <v>6000095</v>
      </c>
      <c r="E17" s="3"/>
      <c r="F17" s="3" t="s">
        <v>92</v>
      </c>
      <c r="G17" s="3" t="s">
        <v>93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430</v>
      </c>
      <c r="S17" s="3" t="s">
        <v>129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135</v>
      </c>
      <c r="AB17" s="3"/>
      <c r="AC17" s="3">
        <v>1038496</v>
      </c>
      <c r="AD17" s="3">
        <v>62.56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/>
      <c r="AP17" s="3" t="s">
        <v>98</v>
      </c>
      <c r="AQ17" s="3">
        <v>210360279</v>
      </c>
      <c r="AR17" s="3" t="s">
        <v>99</v>
      </c>
      <c r="AS17" s="3" t="s">
        <v>100</v>
      </c>
      <c r="AT17" s="3">
        <v>0</v>
      </c>
      <c r="AU17" s="3">
        <v>0</v>
      </c>
      <c r="AV17" s="3">
        <v>0</v>
      </c>
      <c r="AW17" s="3">
        <v>30049099</v>
      </c>
      <c r="AX17" s="3">
        <v>99</v>
      </c>
      <c r="AY17" s="3">
        <v>16600</v>
      </c>
      <c r="AZ17" s="3">
        <v>16600</v>
      </c>
      <c r="BA17" s="3" t="s">
        <v>103</v>
      </c>
      <c r="BB17" s="3"/>
      <c r="BC17" s="3" t="s">
        <v>133</v>
      </c>
      <c r="BD17" s="3" t="s">
        <v>105</v>
      </c>
      <c r="BE17" s="3"/>
      <c r="BF17" s="3"/>
      <c r="BG17" s="3"/>
      <c r="BH17" s="3"/>
      <c r="BI17" s="3"/>
      <c r="BJ17" s="5"/>
      <c r="BK17" s="3"/>
      <c r="BL17" s="3"/>
      <c r="BM17" s="3"/>
      <c r="BN17" s="3" t="s">
        <v>134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 t="s">
        <v>111</v>
      </c>
      <c r="CI17" s="3">
        <v>0</v>
      </c>
      <c r="CJ17" s="3">
        <v>0</v>
      </c>
      <c r="CK17" s="3">
        <v>0</v>
      </c>
      <c r="CL17" s="3" t="s">
        <v>112</v>
      </c>
      <c r="CM17" s="3" t="s">
        <v>112</v>
      </c>
    </row>
    <row r="18" spans="1:91" x14ac:dyDescent="0.25">
      <c r="A18" s="3" t="s">
        <v>90</v>
      </c>
      <c r="B18" s="8" t="s">
        <v>128</v>
      </c>
      <c r="C18" s="3">
        <v>3942</v>
      </c>
      <c r="D18" s="3">
        <v>6000095</v>
      </c>
      <c r="E18" s="3"/>
      <c r="F18" s="3" t="s">
        <v>92</v>
      </c>
      <c r="G18" s="3" t="s">
        <v>93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430</v>
      </c>
      <c r="S18" s="3" t="s">
        <v>129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 t="s">
        <v>136</v>
      </c>
      <c r="AB18" s="3"/>
      <c r="AC18" s="3">
        <v>404270</v>
      </c>
      <c r="AD18" s="3">
        <v>721.91070999999999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/>
      <c r="AP18" s="3" t="s">
        <v>98</v>
      </c>
      <c r="AQ18" s="3">
        <v>210360279</v>
      </c>
      <c r="AR18" s="3" t="s">
        <v>99</v>
      </c>
      <c r="AS18" s="3" t="s">
        <v>100</v>
      </c>
      <c r="AT18" s="3">
        <v>0</v>
      </c>
      <c r="AU18" s="3">
        <v>0</v>
      </c>
      <c r="AV18" s="3">
        <v>0</v>
      </c>
      <c r="AW18" s="3">
        <v>30049099</v>
      </c>
      <c r="AX18" s="3">
        <v>99</v>
      </c>
      <c r="AY18" s="3">
        <v>560</v>
      </c>
      <c r="AZ18" s="3">
        <v>560</v>
      </c>
      <c r="BA18" s="3" t="s">
        <v>103</v>
      </c>
      <c r="BB18" s="3"/>
      <c r="BC18" s="3" t="s">
        <v>133</v>
      </c>
      <c r="BD18" s="3" t="s">
        <v>105</v>
      </c>
      <c r="BE18" s="3"/>
      <c r="BF18" s="3"/>
      <c r="BG18" s="3"/>
      <c r="BH18" s="3"/>
      <c r="BI18" s="3"/>
      <c r="BJ18" s="5"/>
      <c r="BK18" s="3"/>
      <c r="BL18" s="3"/>
      <c r="BM18" s="3"/>
      <c r="BN18" s="3" t="s">
        <v>134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 t="s">
        <v>111</v>
      </c>
      <c r="CI18" s="3">
        <v>0</v>
      </c>
      <c r="CJ18" s="3">
        <v>0</v>
      </c>
      <c r="CK18" s="3">
        <v>0</v>
      </c>
      <c r="CL18" s="3" t="s">
        <v>112</v>
      </c>
      <c r="CM18" s="3" t="s">
        <v>112</v>
      </c>
    </row>
    <row r="19" spans="1:91" x14ac:dyDescent="0.25">
      <c r="A19" s="3" t="s">
        <v>90</v>
      </c>
      <c r="B19" s="8" t="s">
        <v>128</v>
      </c>
      <c r="C19" s="3">
        <v>3942</v>
      </c>
      <c r="D19" s="3">
        <v>6000095</v>
      </c>
      <c r="E19" s="3"/>
      <c r="F19" s="3" t="s">
        <v>92</v>
      </c>
      <c r="G19" s="3" t="s">
        <v>93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430</v>
      </c>
      <c r="S19" s="3" t="s">
        <v>129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 t="s">
        <v>137</v>
      </c>
      <c r="AB19" s="3"/>
      <c r="AC19" s="3">
        <v>335035</v>
      </c>
      <c r="AD19" s="3">
        <v>601.4991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/>
      <c r="AP19" s="3" t="s">
        <v>98</v>
      </c>
      <c r="AQ19" s="3">
        <v>210360279</v>
      </c>
      <c r="AR19" s="3" t="s">
        <v>99</v>
      </c>
      <c r="AS19" s="3" t="s">
        <v>100</v>
      </c>
      <c r="AT19" s="3">
        <v>0</v>
      </c>
      <c r="AU19" s="3">
        <v>0</v>
      </c>
      <c r="AV19" s="3">
        <v>0</v>
      </c>
      <c r="AW19" s="3">
        <v>30049099</v>
      </c>
      <c r="AX19" s="3">
        <v>99</v>
      </c>
      <c r="AY19" s="3">
        <v>557</v>
      </c>
      <c r="AZ19" s="3">
        <v>557</v>
      </c>
      <c r="BA19" s="3" t="s">
        <v>103</v>
      </c>
      <c r="BB19" s="3"/>
      <c r="BC19" s="3" t="s">
        <v>133</v>
      </c>
      <c r="BD19" s="3" t="s">
        <v>105</v>
      </c>
      <c r="BE19" s="3"/>
      <c r="BF19" s="3"/>
      <c r="BG19" s="3"/>
      <c r="BH19" s="3"/>
      <c r="BI19" s="3"/>
      <c r="BJ19" s="5"/>
      <c r="BK19" s="3"/>
      <c r="BL19" s="3"/>
      <c r="BM19" s="3"/>
      <c r="BN19" s="3" t="s">
        <v>134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 t="s">
        <v>111</v>
      </c>
      <c r="CI19" s="3">
        <v>0</v>
      </c>
      <c r="CJ19" s="3">
        <v>0</v>
      </c>
      <c r="CK19" s="3">
        <v>0</v>
      </c>
      <c r="CL19" s="3" t="s">
        <v>112</v>
      </c>
      <c r="CM19" s="3" t="s">
        <v>112</v>
      </c>
    </row>
    <row r="20" spans="1:91" x14ac:dyDescent="0.25">
      <c r="A20" s="3" t="s">
        <v>90</v>
      </c>
      <c r="B20" s="8" t="s">
        <v>128</v>
      </c>
      <c r="C20" s="3">
        <v>3942</v>
      </c>
      <c r="D20" s="3">
        <v>6000095</v>
      </c>
      <c r="E20" s="3"/>
      <c r="F20" s="3" t="s">
        <v>92</v>
      </c>
      <c r="G20" s="3" t="s">
        <v>93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430</v>
      </c>
      <c r="S20" s="3" t="s">
        <v>129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138</v>
      </c>
      <c r="AB20" s="3"/>
      <c r="AC20" s="3">
        <v>302355</v>
      </c>
      <c r="AD20" s="3">
        <v>956.81961999999999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/>
      <c r="AP20" s="3" t="s">
        <v>98</v>
      </c>
      <c r="AQ20" s="3">
        <v>210360279</v>
      </c>
      <c r="AR20" s="3" t="s">
        <v>99</v>
      </c>
      <c r="AS20" s="3" t="s">
        <v>100</v>
      </c>
      <c r="AT20" s="3">
        <v>0</v>
      </c>
      <c r="AU20" s="3">
        <v>0</v>
      </c>
      <c r="AV20" s="3">
        <v>0</v>
      </c>
      <c r="AW20" s="3">
        <v>30049099</v>
      </c>
      <c r="AX20" s="3">
        <v>99</v>
      </c>
      <c r="AY20" s="3">
        <v>316</v>
      </c>
      <c r="AZ20" s="3">
        <v>316</v>
      </c>
      <c r="BA20" s="3" t="s">
        <v>103</v>
      </c>
      <c r="BB20" s="3"/>
      <c r="BC20" s="3" t="s">
        <v>133</v>
      </c>
      <c r="BD20" s="3" t="s">
        <v>105</v>
      </c>
      <c r="BE20" s="3"/>
      <c r="BF20" s="3"/>
      <c r="BG20" s="3"/>
      <c r="BH20" s="3"/>
      <c r="BI20" s="3"/>
      <c r="BJ20" s="5"/>
      <c r="BK20" s="3"/>
      <c r="BL20" s="3"/>
      <c r="BM20" s="3"/>
      <c r="BN20" s="3" t="s">
        <v>134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 t="s">
        <v>111</v>
      </c>
      <c r="CI20" s="3">
        <v>0</v>
      </c>
      <c r="CJ20" s="3">
        <v>0</v>
      </c>
      <c r="CK20" s="3">
        <v>0</v>
      </c>
      <c r="CL20" s="3" t="s">
        <v>112</v>
      </c>
      <c r="CM20" s="3" t="s">
        <v>112</v>
      </c>
    </row>
    <row r="21" spans="1:91" x14ac:dyDescent="0.25">
      <c r="A21" s="3" t="s">
        <v>90</v>
      </c>
      <c r="B21" s="8" t="s">
        <v>128</v>
      </c>
      <c r="C21" s="3">
        <v>3942</v>
      </c>
      <c r="D21" s="3">
        <v>6000095</v>
      </c>
      <c r="E21" s="3"/>
      <c r="F21" s="3" t="s">
        <v>92</v>
      </c>
      <c r="G21" s="3" t="s">
        <v>93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430</v>
      </c>
      <c r="S21" s="3" t="s">
        <v>129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 t="s">
        <v>139</v>
      </c>
      <c r="AB21" s="3"/>
      <c r="AC21" s="3">
        <v>64996</v>
      </c>
      <c r="AD21" s="3">
        <v>112.84028000000001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/>
      <c r="AP21" s="3" t="s">
        <v>98</v>
      </c>
      <c r="AQ21" s="3">
        <v>210361015</v>
      </c>
      <c r="AR21" s="3" t="s">
        <v>99</v>
      </c>
      <c r="AS21" s="3" t="s">
        <v>100</v>
      </c>
      <c r="AT21" s="3">
        <v>0</v>
      </c>
      <c r="AU21" s="3">
        <v>0</v>
      </c>
      <c r="AV21" s="3">
        <v>0</v>
      </c>
      <c r="AW21" s="3">
        <v>30043299</v>
      </c>
      <c r="AX21" s="3">
        <v>0</v>
      </c>
      <c r="AY21" s="3">
        <v>576</v>
      </c>
      <c r="AZ21" s="3">
        <v>576</v>
      </c>
      <c r="BA21" s="3" t="s">
        <v>103</v>
      </c>
      <c r="BB21" s="3"/>
      <c r="BC21" s="3" t="s">
        <v>126</v>
      </c>
      <c r="BD21" s="3" t="s">
        <v>105</v>
      </c>
      <c r="BE21" s="3"/>
      <c r="BF21" s="3"/>
      <c r="BG21" s="3"/>
      <c r="BH21" s="3"/>
      <c r="BI21" s="3"/>
      <c r="BJ21" s="5"/>
      <c r="BK21" s="3"/>
      <c r="BL21" s="3"/>
      <c r="BM21" s="3"/>
      <c r="BN21" s="3" t="s">
        <v>140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 t="s">
        <v>111</v>
      </c>
      <c r="CI21" s="3">
        <v>0</v>
      </c>
      <c r="CJ21" s="3">
        <v>0</v>
      </c>
      <c r="CK21" s="3">
        <v>0</v>
      </c>
      <c r="CL21" s="3" t="s">
        <v>112</v>
      </c>
      <c r="CM21" s="3" t="s">
        <v>112</v>
      </c>
    </row>
    <row r="22" spans="1:91" x14ac:dyDescent="0.25">
      <c r="A22" s="3" t="s">
        <v>90</v>
      </c>
      <c r="B22" s="8" t="s">
        <v>128</v>
      </c>
      <c r="C22" s="3">
        <v>3942</v>
      </c>
      <c r="D22" s="3">
        <v>6000095</v>
      </c>
      <c r="E22" s="3"/>
      <c r="F22" s="3" t="s">
        <v>92</v>
      </c>
      <c r="G22" s="3" t="s">
        <v>93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430</v>
      </c>
      <c r="S22" s="3" t="s">
        <v>129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125</v>
      </c>
      <c r="AB22" s="3"/>
      <c r="AC22" s="3">
        <v>401130</v>
      </c>
      <c r="AD22" s="3">
        <v>133.71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/>
      <c r="AP22" s="3" t="s">
        <v>98</v>
      </c>
      <c r="AQ22" s="3">
        <v>210361015</v>
      </c>
      <c r="AR22" s="3" t="s">
        <v>99</v>
      </c>
      <c r="AS22" s="3" t="s">
        <v>100</v>
      </c>
      <c r="AT22" s="3">
        <v>0</v>
      </c>
      <c r="AU22" s="3">
        <v>0</v>
      </c>
      <c r="AV22" s="3">
        <v>0</v>
      </c>
      <c r="AW22" s="3">
        <v>30043999</v>
      </c>
      <c r="AX22" s="3">
        <v>99</v>
      </c>
      <c r="AY22" s="3">
        <v>3000</v>
      </c>
      <c r="AZ22" s="3">
        <v>3000</v>
      </c>
      <c r="BA22" s="3" t="s">
        <v>103</v>
      </c>
      <c r="BB22" s="3"/>
      <c r="BC22" s="3" t="s">
        <v>126</v>
      </c>
      <c r="BD22" s="3" t="s">
        <v>105</v>
      </c>
      <c r="BE22" s="3"/>
      <c r="BF22" s="3"/>
      <c r="BG22" s="3"/>
      <c r="BH22" s="3"/>
      <c r="BI22" s="3"/>
      <c r="BJ22" s="5"/>
      <c r="BK22" s="3"/>
      <c r="BL22" s="3"/>
      <c r="BM22" s="3"/>
      <c r="BN22" s="3" t="s">
        <v>140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 t="s">
        <v>111</v>
      </c>
      <c r="CI22" s="3">
        <v>0</v>
      </c>
      <c r="CJ22" s="3">
        <v>0</v>
      </c>
      <c r="CK22" s="3">
        <v>0</v>
      </c>
      <c r="CL22" s="3" t="s">
        <v>112</v>
      </c>
      <c r="CM22" s="3" t="s">
        <v>112</v>
      </c>
    </row>
    <row r="23" spans="1:91" x14ac:dyDescent="0.25">
      <c r="A23" s="3" t="s">
        <v>90</v>
      </c>
      <c r="B23" s="3" t="s">
        <v>248</v>
      </c>
      <c r="C23" s="3">
        <v>3942</v>
      </c>
      <c r="D23" s="3">
        <v>6000299</v>
      </c>
      <c r="E23" s="3"/>
      <c r="F23" s="3" t="s">
        <v>92</v>
      </c>
      <c r="G23" s="3" t="s">
        <v>93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18.208500000000001</v>
      </c>
      <c r="Q23" s="3">
        <v>546</v>
      </c>
      <c r="R23" s="3">
        <v>430</v>
      </c>
      <c r="S23" s="3"/>
      <c r="T23" s="3" t="s">
        <v>249</v>
      </c>
      <c r="U23" s="3">
        <v>741815</v>
      </c>
      <c r="V23" s="3">
        <v>741815</v>
      </c>
      <c r="W23" s="3">
        <v>0</v>
      </c>
      <c r="X23" s="3">
        <v>0</v>
      </c>
      <c r="Y23" s="3">
        <v>0</v>
      </c>
      <c r="Z23" s="3">
        <v>0</v>
      </c>
      <c r="AA23" s="3" t="s">
        <v>96</v>
      </c>
      <c r="AB23" s="3"/>
      <c r="AC23" s="3">
        <v>741815</v>
      </c>
      <c r="AD23" s="3">
        <v>14836.3</v>
      </c>
      <c r="AE23" s="3">
        <v>354</v>
      </c>
      <c r="AF23" s="3">
        <v>0</v>
      </c>
      <c r="AG23" s="3">
        <v>0</v>
      </c>
      <c r="AH23" s="3">
        <v>0</v>
      </c>
      <c r="AI23" s="3">
        <v>53</v>
      </c>
      <c r="AJ23" s="3">
        <v>5935</v>
      </c>
      <c r="AK23" s="3">
        <v>0</v>
      </c>
      <c r="AL23" s="3">
        <v>0</v>
      </c>
      <c r="AM23" s="3">
        <v>330</v>
      </c>
      <c r="AN23" s="3">
        <v>6318</v>
      </c>
      <c r="AO23" s="3" t="s">
        <v>97</v>
      </c>
      <c r="AP23" s="3" t="s">
        <v>98</v>
      </c>
      <c r="AQ23" s="3">
        <v>210358461</v>
      </c>
      <c r="AR23" s="3" t="s">
        <v>99</v>
      </c>
      <c r="AS23" s="3" t="s">
        <v>100</v>
      </c>
      <c r="AT23" s="3" t="s">
        <v>101</v>
      </c>
      <c r="AU23" s="3"/>
      <c r="AV23" s="3" t="s">
        <v>102</v>
      </c>
      <c r="AW23" s="3">
        <v>23099099</v>
      </c>
      <c r="AX23" s="3">
        <v>99</v>
      </c>
      <c r="AY23" s="3">
        <v>50</v>
      </c>
      <c r="AZ23" s="3">
        <v>50</v>
      </c>
      <c r="BA23" s="3" t="s">
        <v>103</v>
      </c>
      <c r="BB23" s="3"/>
      <c r="BC23" s="3" t="s">
        <v>104</v>
      </c>
      <c r="BD23" s="3" t="s">
        <v>105</v>
      </c>
      <c r="BE23" s="4">
        <v>46006</v>
      </c>
      <c r="BF23" s="4">
        <v>46078</v>
      </c>
      <c r="BG23" s="4">
        <v>46079</v>
      </c>
      <c r="BH23" s="3" t="s">
        <v>106</v>
      </c>
      <c r="BI23" s="3" t="s">
        <v>107</v>
      </c>
      <c r="BJ23" s="5">
        <v>4.3064022026058704E+16</v>
      </c>
      <c r="BK23" s="3" t="s">
        <v>108</v>
      </c>
      <c r="BL23" s="3"/>
      <c r="BM23" s="3" t="s">
        <v>109</v>
      </c>
      <c r="BN23" s="3" t="s">
        <v>110</v>
      </c>
      <c r="BO23" s="3">
        <v>43356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22189.59</v>
      </c>
      <c r="CB23" s="3">
        <v>0</v>
      </c>
      <c r="CC23" s="3">
        <v>0</v>
      </c>
      <c r="CD23" s="3">
        <v>0</v>
      </c>
      <c r="CE23" s="3">
        <v>5600</v>
      </c>
      <c r="CF23" s="3">
        <v>1358.4</v>
      </c>
      <c r="CG23" s="3">
        <v>114307.79</v>
      </c>
      <c r="CH23" s="3" t="s">
        <v>192</v>
      </c>
      <c r="CI23" s="3">
        <v>114307.79</v>
      </c>
      <c r="CJ23" s="3">
        <v>0</v>
      </c>
      <c r="CK23" s="3">
        <v>0</v>
      </c>
      <c r="CL23" s="3" t="s">
        <v>112</v>
      </c>
      <c r="CM23" s="3" t="s">
        <v>112</v>
      </c>
    </row>
    <row r="24" spans="1:91" x14ac:dyDescent="0.25">
      <c r="A24" s="3" t="s">
        <v>90</v>
      </c>
      <c r="B24" s="9" t="s">
        <v>141</v>
      </c>
      <c r="C24" s="3">
        <v>3942</v>
      </c>
      <c r="D24" s="3">
        <v>6000096</v>
      </c>
      <c r="E24" s="3"/>
      <c r="F24" s="3" t="s">
        <v>92</v>
      </c>
      <c r="G24" s="3" t="s">
        <v>93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430</v>
      </c>
      <c r="S24" s="3" t="s">
        <v>142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150</v>
      </c>
      <c r="AB24" s="3"/>
      <c r="AC24" s="3">
        <v>3481450</v>
      </c>
      <c r="AD24" s="3">
        <v>8368.8701899999996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/>
      <c r="AP24" s="3" t="s">
        <v>98</v>
      </c>
      <c r="AQ24" s="3">
        <v>210361195</v>
      </c>
      <c r="AR24" s="3" t="s">
        <v>99</v>
      </c>
      <c r="AS24" s="3" t="s">
        <v>100</v>
      </c>
      <c r="AT24" s="3">
        <v>0</v>
      </c>
      <c r="AU24" s="3">
        <v>0</v>
      </c>
      <c r="AV24" s="3">
        <v>0</v>
      </c>
      <c r="AW24" s="3">
        <v>30024201</v>
      </c>
      <c r="AX24" s="3">
        <v>99</v>
      </c>
      <c r="AY24" s="3">
        <v>416</v>
      </c>
      <c r="AZ24" s="3">
        <v>416</v>
      </c>
      <c r="BA24" s="3" t="s">
        <v>121</v>
      </c>
      <c r="BB24" s="3"/>
      <c r="BC24" s="3" t="s">
        <v>105</v>
      </c>
      <c r="BD24" s="3" t="s">
        <v>105</v>
      </c>
      <c r="BE24" s="3"/>
      <c r="BF24" s="3"/>
      <c r="BG24" s="3"/>
      <c r="BH24" s="3"/>
      <c r="BI24" s="3"/>
      <c r="BJ24" s="5"/>
      <c r="BK24" s="3"/>
      <c r="BL24" s="3"/>
      <c r="BM24" s="3"/>
      <c r="BN24" s="3" t="s">
        <v>151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 t="s">
        <v>111</v>
      </c>
      <c r="CI24" s="3">
        <v>0</v>
      </c>
      <c r="CJ24" s="3">
        <v>0</v>
      </c>
      <c r="CK24" s="3">
        <v>0</v>
      </c>
      <c r="CL24" s="3" t="s">
        <v>112</v>
      </c>
      <c r="CM24" s="3" t="s">
        <v>112</v>
      </c>
    </row>
    <row r="25" spans="1:91" x14ac:dyDescent="0.25">
      <c r="A25" s="3" t="s">
        <v>90</v>
      </c>
      <c r="B25" s="9" t="s">
        <v>141</v>
      </c>
      <c r="C25" s="3">
        <v>3942</v>
      </c>
      <c r="D25" s="3">
        <v>6000096</v>
      </c>
      <c r="E25" s="3"/>
      <c r="F25" s="3" t="s">
        <v>92</v>
      </c>
      <c r="G25" s="3" t="s">
        <v>93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430</v>
      </c>
      <c r="S25" s="3" t="s">
        <v>142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 t="s">
        <v>152</v>
      </c>
      <c r="AB25" s="3"/>
      <c r="AC25" s="3">
        <v>158598</v>
      </c>
      <c r="AD25" s="3">
        <v>247.80938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/>
      <c r="AP25" s="3" t="s">
        <v>98</v>
      </c>
      <c r="AQ25" s="3">
        <v>210361686</v>
      </c>
      <c r="AR25" s="3" t="s">
        <v>99</v>
      </c>
      <c r="AS25" s="3" t="s">
        <v>100</v>
      </c>
      <c r="AT25" s="3">
        <v>0</v>
      </c>
      <c r="AU25" s="3">
        <v>0</v>
      </c>
      <c r="AV25" s="3">
        <v>0</v>
      </c>
      <c r="AW25" s="3">
        <v>30024201</v>
      </c>
      <c r="AX25" s="3">
        <v>99</v>
      </c>
      <c r="AY25" s="3">
        <v>640</v>
      </c>
      <c r="AZ25" s="3">
        <v>640</v>
      </c>
      <c r="BA25" s="3" t="s">
        <v>103</v>
      </c>
      <c r="BB25" s="3"/>
      <c r="BC25" s="3" t="s">
        <v>105</v>
      </c>
      <c r="BD25" s="3" t="s">
        <v>105</v>
      </c>
      <c r="BE25" s="3"/>
      <c r="BF25" s="3"/>
      <c r="BG25" s="3"/>
      <c r="BH25" s="3"/>
      <c r="BI25" s="3"/>
      <c r="BJ25" s="5"/>
      <c r="BK25" s="3"/>
      <c r="BL25" s="3"/>
      <c r="BM25" s="3"/>
      <c r="BN25" s="3" t="s">
        <v>153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 t="s">
        <v>111</v>
      </c>
      <c r="CI25" s="3">
        <v>0</v>
      </c>
      <c r="CJ25" s="3">
        <v>0</v>
      </c>
      <c r="CK25" s="3">
        <v>0</v>
      </c>
      <c r="CL25" s="3" t="s">
        <v>112</v>
      </c>
      <c r="CM25" s="3" t="s">
        <v>112</v>
      </c>
    </row>
    <row r="26" spans="1:91" x14ac:dyDescent="0.25">
      <c r="A26" s="3" t="s">
        <v>90</v>
      </c>
      <c r="B26" s="9" t="s">
        <v>141</v>
      </c>
      <c r="C26" s="3">
        <v>3942</v>
      </c>
      <c r="D26" s="3">
        <v>6000096</v>
      </c>
      <c r="E26" s="3"/>
      <c r="F26" s="3" t="s">
        <v>92</v>
      </c>
      <c r="G26" s="3" t="s">
        <v>93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430</v>
      </c>
      <c r="S26" s="3" t="s">
        <v>142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154</v>
      </c>
      <c r="AB26" s="3"/>
      <c r="AC26" s="3">
        <v>252720</v>
      </c>
      <c r="AD26" s="3">
        <v>702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/>
      <c r="AP26" s="3" t="s">
        <v>98</v>
      </c>
      <c r="AQ26" s="3">
        <v>210361686</v>
      </c>
      <c r="AR26" s="3" t="s">
        <v>99</v>
      </c>
      <c r="AS26" s="3" t="s">
        <v>100</v>
      </c>
      <c r="AT26" s="3">
        <v>0</v>
      </c>
      <c r="AU26" s="3">
        <v>0</v>
      </c>
      <c r="AV26" s="3">
        <v>0</v>
      </c>
      <c r="AW26" s="3">
        <v>30024201</v>
      </c>
      <c r="AX26" s="3">
        <v>99</v>
      </c>
      <c r="AY26" s="3">
        <v>360</v>
      </c>
      <c r="AZ26" s="3">
        <v>360</v>
      </c>
      <c r="BA26" s="3" t="s">
        <v>103</v>
      </c>
      <c r="BB26" s="3"/>
      <c r="BC26" s="3" t="s">
        <v>105</v>
      </c>
      <c r="BD26" s="3" t="s">
        <v>105</v>
      </c>
      <c r="BE26" s="3"/>
      <c r="BF26" s="3"/>
      <c r="BG26" s="3"/>
      <c r="BH26" s="3"/>
      <c r="BI26" s="3"/>
      <c r="BJ26" s="5"/>
      <c r="BK26" s="3"/>
      <c r="BL26" s="3"/>
      <c r="BM26" s="3"/>
      <c r="BN26" s="3" t="s">
        <v>153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 t="s">
        <v>111</v>
      </c>
      <c r="CI26" s="3">
        <v>0</v>
      </c>
      <c r="CJ26" s="3">
        <v>0</v>
      </c>
      <c r="CK26" s="3">
        <v>0</v>
      </c>
      <c r="CL26" s="3" t="s">
        <v>112</v>
      </c>
      <c r="CM26" s="3" t="s">
        <v>112</v>
      </c>
    </row>
    <row r="27" spans="1:91" x14ac:dyDescent="0.25">
      <c r="A27" s="3" t="s">
        <v>90</v>
      </c>
      <c r="B27" s="9" t="s">
        <v>141</v>
      </c>
      <c r="C27" s="3">
        <v>3942</v>
      </c>
      <c r="D27" s="3">
        <v>6000096</v>
      </c>
      <c r="E27" s="3"/>
      <c r="F27" s="3" t="s">
        <v>92</v>
      </c>
      <c r="G27" s="3" t="s">
        <v>93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430</v>
      </c>
      <c r="S27" s="3" t="s">
        <v>142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 t="s">
        <v>155</v>
      </c>
      <c r="AB27" s="3"/>
      <c r="AC27" s="3">
        <v>628784</v>
      </c>
      <c r="AD27" s="3">
        <v>136.98998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/>
      <c r="AP27" s="3" t="s">
        <v>98</v>
      </c>
      <c r="AQ27" s="3">
        <v>210361686</v>
      </c>
      <c r="AR27" s="3" t="s">
        <v>99</v>
      </c>
      <c r="AS27" s="3" t="s">
        <v>100</v>
      </c>
      <c r="AT27" s="3">
        <v>0</v>
      </c>
      <c r="AU27" s="3">
        <v>0</v>
      </c>
      <c r="AV27" s="3">
        <v>0</v>
      </c>
      <c r="AW27" s="3">
        <v>30024201</v>
      </c>
      <c r="AX27" s="3">
        <v>99</v>
      </c>
      <c r="AY27" s="3">
        <v>4590</v>
      </c>
      <c r="AZ27" s="3">
        <v>4590</v>
      </c>
      <c r="BA27" s="3" t="s">
        <v>103</v>
      </c>
      <c r="BB27" s="3"/>
      <c r="BC27" s="3" t="s">
        <v>105</v>
      </c>
      <c r="BD27" s="3" t="s">
        <v>105</v>
      </c>
      <c r="BE27" s="3"/>
      <c r="BF27" s="3"/>
      <c r="BG27" s="3"/>
      <c r="BH27" s="3"/>
      <c r="BI27" s="3"/>
      <c r="BJ27" s="5"/>
      <c r="BK27" s="3"/>
      <c r="BL27" s="3"/>
      <c r="BM27" s="3"/>
      <c r="BN27" s="3" t="s">
        <v>153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 t="s">
        <v>111</v>
      </c>
      <c r="CI27" s="3">
        <v>0</v>
      </c>
      <c r="CJ27" s="3">
        <v>0</v>
      </c>
      <c r="CK27" s="3">
        <v>0</v>
      </c>
      <c r="CL27" s="3" t="s">
        <v>112</v>
      </c>
      <c r="CM27" s="3" t="s">
        <v>112</v>
      </c>
    </row>
    <row r="28" spans="1:91" x14ac:dyDescent="0.25">
      <c r="A28" s="3" t="s">
        <v>90</v>
      </c>
      <c r="B28" s="9" t="s">
        <v>141</v>
      </c>
      <c r="C28" s="3">
        <v>3942</v>
      </c>
      <c r="D28" s="3">
        <v>6000096</v>
      </c>
      <c r="E28" s="3"/>
      <c r="F28" s="3" t="s">
        <v>92</v>
      </c>
      <c r="G28" s="3" t="s">
        <v>93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430</v>
      </c>
      <c r="S28" s="3" t="s">
        <v>142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 t="s">
        <v>156</v>
      </c>
      <c r="AB28" s="3"/>
      <c r="AC28" s="3">
        <v>755468</v>
      </c>
      <c r="AD28" s="3">
        <v>269.81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/>
      <c r="AP28" s="3" t="s">
        <v>98</v>
      </c>
      <c r="AQ28" s="3">
        <v>210361687</v>
      </c>
      <c r="AR28" s="3" t="s">
        <v>99</v>
      </c>
      <c r="AS28" s="3" t="s">
        <v>100</v>
      </c>
      <c r="AT28" s="3">
        <v>0</v>
      </c>
      <c r="AU28" s="3">
        <v>0</v>
      </c>
      <c r="AV28" s="3">
        <v>0</v>
      </c>
      <c r="AW28" s="3">
        <v>30024201</v>
      </c>
      <c r="AX28" s="3">
        <v>99</v>
      </c>
      <c r="AY28" s="3">
        <v>2800</v>
      </c>
      <c r="AZ28" s="3">
        <v>2800</v>
      </c>
      <c r="BA28" s="3" t="s">
        <v>103</v>
      </c>
      <c r="BB28" s="3"/>
      <c r="BC28" s="3" t="s">
        <v>105</v>
      </c>
      <c r="BD28" s="3" t="s">
        <v>105</v>
      </c>
      <c r="BE28" s="3"/>
      <c r="BF28" s="3"/>
      <c r="BG28" s="3"/>
      <c r="BH28" s="3"/>
      <c r="BI28" s="3"/>
      <c r="BJ28" s="5"/>
      <c r="BK28" s="3"/>
      <c r="BL28" s="3"/>
      <c r="BM28" s="3"/>
      <c r="BN28" s="3" t="s">
        <v>157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 t="s">
        <v>111</v>
      </c>
      <c r="CI28" s="3">
        <v>0</v>
      </c>
      <c r="CJ28" s="3">
        <v>0</v>
      </c>
      <c r="CK28" s="3">
        <v>0</v>
      </c>
      <c r="CL28" s="3" t="s">
        <v>112</v>
      </c>
      <c r="CM28" s="3" t="s">
        <v>112</v>
      </c>
    </row>
    <row r="29" spans="1:91" x14ac:dyDescent="0.25">
      <c r="A29" s="3" t="s">
        <v>90</v>
      </c>
      <c r="B29" s="9" t="s">
        <v>141</v>
      </c>
      <c r="C29" s="3">
        <v>3942</v>
      </c>
      <c r="D29" s="3">
        <v>6000096</v>
      </c>
      <c r="E29" s="3"/>
      <c r="F29" s="3" t="s">
        <v>92</v>
      </c>
      <c r="G29" s="3" t="s">
        <v>93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430</v>
      </c>
      <c r="S29" s="3" t="s">
        <v>142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158</v>
      </c>
      <c r="AB29" s="3"/>
      <c r="AC29" s="3">
        <v>3863217</v>
      </c>
      <c r="AD29" s="3">
        <v>306.40998000000002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/>
      <c r="AP29" s="3" t="s">
        <v>98</v>
      </c>
      <c r="AQ29" s="3">
        <v>210361687</v>
      </c>
      <c r="AR29" s="3" t="s">
        <v>99</v>
      </c>
      <c r="AS29" s="3" t="s">
        <v>100</v>
      </c>
      <c r="AT29" s="3">
        <v>0</v>
      </c>
      <c r="AU29" s="3">
        <v>0</v>
      </c>
      <c r="AV29" s="3">
        <v>0</v>
      </c>
      <c r="AW29" s="3">
        <v>30024201</v>
      </c>
      <c r="AX29" s="3">
        <v>99</v>
      </c>
      <c r="AY29" s="3">
        <v>12608</v>
      </c>
      <c r="AZ29" s="3">
        <v>12608</v>
      </c>
      <c r="BA29" s="3" t="s">
        <v>103</v>
      </c>
      <c r="BB29" s="3"/>
      <c r="BC29" s="3" t="s">
        <v>105</v>
      </c>
      <c r="BD29" s="3" t="s">
        <v>105</v>
      </c>
      <c r="BE29" s="3"/>
      <c r="BF29" s="3"/>
      <c r="BG29" s="3"/>
      <c r="BH29" s="3"/>
      <c r="BI29" s="3"/>
      <c r="BJ29" s="5"/>
      <c r="BK29" s="3"/>
      <c r="BL29" s="3"/>
      <c r="BM29" s="3"/>
      <c r="BN29" s="3" t="s">
        <v>157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 t="s">
        <v>111</v>
      </c>
      <c r="CI29" s="3">
        <v>0</v>
      </c>
      <c r="CJ29" s="3">
        <v>0</v>
      </c>
      <c r="CK29" s="3">
        <v>0</v>
      </c>
      <c r="CL29" s="3" t="s">
        <v>112</v>
      </c>
      <c r="CM29" s="3" t="s">
        <v>112</v>
      </c>
    </row>
    <row r="30" spans="1:91" x14ac:dyDescent="0.25">
      <c r="A30" s="3" t="s">
        <v>90</v>
      </c>
      <c r="B30" s="9" t="s">
        <v>141</v>
      </c>
      <c r="C30" s="3">
        <v>3942</v>
      </c>
      <c r="D30" s="3">
        <v>6000096</v>
      </c>
      <c r="E30" s="3"/>
      <c r="F30" s="3" t="s">
        <v>92</v>
      </c>
      <c r="G30" s="3" t="s">
        <v>93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430</v>
      </c>
      <c r="S30" s="3" t="s">
        <v>142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 t="s">
        <v>159</v>
      </c>
      <c r="AB30" s="3"/>
      <c r="AC30" s="3">
        <v>728467</v>
      </c>
      <c r="AD30" s="3">
        <v>505.87986000000001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/>
      <c r="AP30" s="3" t="s">
        <v>98</v>
      </c>
      <c r="AQ30" s="3">
        <v>210361687</v>
      </c>
      <c r="AR30" s="3" t="s">
        <v>99</v>
      </c>
      <c r="AS30" s="3" t="s">
        <v>100</v>
      </c>
      <c r="AT30" s="3">
        <v>0</v>
      </c>
      <c r="AU30" s="3">
        <v>0</v>
      </c>
      <c r="AV30" s="3">
        <v>0</v>
      </c>
      <c r="AW30" s="3">
        <v>30024201</v>
      </c>
      <c r="AX30" s="3">
        <v>99</v>
      </c>
      <c r="AY30" s="3">
        <v>1440</v>
      </c>
      <c r="AZ30" s="3">
        <v>1440</v>
      </c>
      <c r="BA30" s="3" t="s">
        <v>103</v>
      </c>
      <c r="BB30" s="3"/>
      <c r="BC30" s="3" t="s">
        <v>105</v>
      </c>
      <c r="BD30" s="3" t="s">
        <v>105</v>
      </c>
      <c r="BE30" s="3"/>
      <c r="BF30" s="3"/>
      <c r="BG30" s="3"/>
      <c r="BH30" s="3"/>
      <c r="BI30" s="3"/>
      <c r="BJ30" s="5"/>
      <c r="BK30" s="3"/>
      <c r="BL30" s="3"/>
      <c r="BM30" s="3"/>
      <c r="BN30" s="3" t="s">
        <v>157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 t="s">
        <v>111</v>
      </c>
      <c r="CI30" s="3">
        <v>0</v>
      </c>
      <c r="CJ30" s="3">
        <v>0</v>
      </c>
      <c r="CK30" s="3">
        <v>0</v>
      </c>
      <c r="CL30" s="3" t="s">
        <v>112</v>
      </c>
      <c r="CM30" s="3" t="s">
        <v>112</v>
      </c>
    </row>
    <row r="31" spans="1:91" x14ac:dyDescent="0.25">
      <c r="A31" s="3" t="s">
        <v>90</v>
      </c>
      <c r="B31" s="9" t="s">
        <v>141</v>
      </c>
      <c r="C31" s="3">
        <v>3942</v>
      </c>
      <c r="D31" s="3">
        <v>6000096</v>
      </c>
      <c r="E31" s="3"/>
      <c r="F31" s="3" t="s">
        <v>92</v>
      </c>
      <c r="G31" s="3" t="s">
        <v>93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430</v>
      </c>
      <c r="S31" s="3" t="s">
        <v>142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 t="s">
        <v>160</v>
      </c>
      <c r="AB31" s="3"/>
      <c r="AC31" s="3">
        <v>1769021</v>
      </c>
      <c r="AD31" s="3">
        <v>2839.5200599999998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/>
      <c r="AP31" s="3" t="s">
        <v>98</v>
      </c>
      <c r="AQ31" s="3">
        <v>210361687</v>
      </c>
      <c r="AR31" s="3" t="s">
        <v>99</v>
      </c>
      <c r="AS31" s="3" t="s">
        <v>100</v>
      </c>
      <c r="AT31" s="3">
        <v>0</v>
      </c>
      <c r="AU31" s="3">
        <v>0</v>
      </c>
      <c r="AV31" s="3">
        <v>0</v>
      </c>
      <c r="AW31" s="3">
        <v>30042099</v>
      </c>
      <c r="AX31" s="3">
        <v>0</v>
      </c>
      <c r="AY31" s="3">
        <v>623</v>
      </c>
      <c r="AZ31" s="3">
        <v>623</v>
      </c>
      <c r="BA31" s="3" t="s">
        <v>121</v>
      </c>
      <c r="BB31" s="3"/>
      <c r="BC31" s="3" t="s">
        <v>105</v>
      </c>
      <c r="BD31" s="3" t="s">
        <v>105</v>
      </c>
      <c r="BE31" s="3"/>
      <c r="BF31" s="3"/>
      <c r="BG31" s="3"/>
      <c r="BH31" s="3"/>
      <c r="BI31" s="3"/>
      <c r="BJ31" s="5"/>
      <c r="BK31" s="3"/>
      <c r="BL31" s="3"/>
      <c r="BM31" s="3"/>
      <c r="BN31" s="3" t="s">
        <v>157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 t="s">
        <v>111</v>
      </c>
      <c r="CI31" s="3">
        <v>0</v>
      </c>
      <c r="CJ31" s="3">
        <v>0</v>
      </c>
      <c r="CK31" s="3">
        <v>0</v>
      </c>
      <c r="CL31" s="3" t="s">
        <v>112</v>
      </c>
      <c r="CM31" s="3" t="s">
        <v>112</v>
      </c>
    </row>
    <row r="32" spans="1:91" x14ac:dyDescent="0.25">
      <c r="A32" s="3" t="s">
        <v>90</v>
      </c>
      <c r="B32" s="9" t="s">
        <v>141</v>
      </c>
      <c r="C32" s="3">
        <v>3942</v>
      </c>
      <c r="D32" s="3">
        <v>6000096</v>
      </c>
      <c r="E32" s="3"/>
      <c r="F32" s="3" t="s">
        <v>92</v>
      </c>
      <c r="G32" s="3" t="s">
        <v>93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430</v>
      </c>
      <c r="S32" s="3" t="s">
        <v>142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161</v>
      </c>
      <c r="AB32" s="3"/>
      <c r="AC32" s="3">
        <v>2796780</v>
      </c>
      <c r="AD32" s="3">
        <v>420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/>
      <c r="AP32" s="3" t="s">
        <v>98</v>
      </c>
      <c r="AQ32" s="3">
        <v>210361687</v>
      </c>
      <c r="AR32" s="3" t="s">
        <v>99</v>
      </c>
      <c r="AS32" s="3" t="s">
        <v>100</v>
      </c>
      <c r="AT32" s="3">
        <v>0</v>
      </c>
      <c r="AU32" s="3">
        <v>0</v>
      </c>
      <c r="AV32" s="3">
        <v>0</v>
      </c>
      <c r="AW32" s="3">
        <v>30024201</v>
      </c>
      <c r="AX32" s="3">
        <v>99</v>
      </c>
      <c r="AY32" s="3">
        <v>6659</v>
      </c>
      <c r="AZ32" s="3">
        <v>6659</v>
      </c>
      <c r="BA32" s="3" t="s">
        <v>103</v>
      </c>
      <c r="BB32" s="3"/>
      <c r="BC32" s="3" t="s">
        <v>105</v>
      </c>
      <c r="BD32" s="3" t="s">
        <v>105</v>
      </c>
      <c r="BE32" s="3"/>
      <c r="BF32" s="3"/>
      <c r="BG32" s="3"/>
      <c r="BH32" s="3"/>
      <c r="BI32" s="3"/>
      <c r="BJ32" s="5"/>
      <c r="BK32" s="3"/>
      <c r="BL32" s="3"/>
      <c r="BM32" s="3"/>
      <c r="BN32" s="3" t="s">
        <v>157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 t="s">
        <v>111</v>
      </c>
      <c r="CI32" s="3">
        <v>0</v>
      </c>
      <c r="CJ32" s="3">
        <v>0</v>
      </c>
      <c r="CK32" s="3">
        <v>0</v>
      </c>
      <c r="CL32" s="3" t="s">
        <v>112</v>
      </c>
      <c r="CM32" s="3" t="s">
        <v>112</v>
      </c>
    </row>
    <row r="33" spans="1:91" x14ac:dyDescent="0.25">
      <c r="A33" s="3" t="s">
        <v>90</v>
      </c>
      <c r="B33" s="9" t="s">
        <v>141</v>
      </c>
      <c r="C33" s="3">
        <v>3942</v>
      </c>
      <c r="D33" s="3">
        <v>6000096</v>
      </c>
      <c r="E33" s="3"/>
      <c r="F33" s="3" t="s">
        <v>92</v>
      </c>
      <c r="G33" s="3" t="s">
        <v>93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430</v>
      </c>
      <c r="S33" s="3" t="s">
        <v>142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 t="s">
        <v>161</v>
      </c>
      <c r="AB33" s="3"/>
      <c r="AC33" s="3">
        <v>5035380</v>
      </c>
      <c r="AD33" s="3">
        <v>420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/>
      <c r="AP33" s="3" t="s">
        <v>98</v>
      </c>
      <c r="AQ33" s="3">
        <v>210361691</v>
      </c>
      <c r="AR33" s="3" t="s">
        <v>99</v>
      </c>
      <c r="AS33" s="3" t="s">
        <v>100</v>
      </c>
      <c r="AT33" s="3">
        <v>0</v>
      </c>
      <c r="AU33" s="3">
        <v>0</v>
      </c>
      <c r="AV33" s="3">
        <v>0</v>
      </c>
      <c r="AW33" s="3">
        <v>30024201</v>
      </c>
      <c r="AX33" s="3">
        <v>99</v>
      </c>
      <c r="AY33" s="3">
        <v>11989</v>
      </c>
      <c r="AZ33" s="3">
        <v>11989</v>
      </c>
      <c r="BA33" s="3" t="s">
        <v>103</v>
      </c>
      <c r="BB33" s="3"/>
      <c r="BC33" s="3" t="s">
        <v>105</v>
      </c>
      <c r="BD33" s="3" t="s">
        <v>105</v>
      </c>
      <c r="BE33" s="3"/>
      <c r="BF33" s="3"/>
      <c r="BG33" s="3"/>
      <c r="BH33" s="3"/>
      <c r="BI33" s="3"/>
      <c r="BJ33" s="5"/>
      <c r="BK33" s="3"/>
      <c r="BL33" s="3"/>
      <c r="BM33" s="3"/>
      <c r="BN33" s="3" t="s">
        <v>162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 t="s">
        <v>111</v>
      </c>
      <c r="CI33" s="3">
        <v>0</v>
      </c>
      <c r="CJ33" s="3">
        <v>0</v>
      </c>
      <c r="CK33" s="3">
        <v>0</v>
      </c>
      <c r="CL33" s="3" t="s">
        <v>112</v>
      </c>
      <c r="CM33" s="3" t="s">
        <v>112</v>
      </c>
    </row>
    <row r="34" spans="1:91" x14ac:dyDescent="0.25">
      <c r="A34" s="3" t="s">
        <v>90</v>
      </c>
      <c r="B34" s="9" t="s">
        <v>141</v>
      </c>
      <c r="C34" s="3">
        <v>3942</v>
      </c>
      <c r="D34" s="3">
        <v>6000096</v>
      </c>
      <c r="E34" s="3"/>
      <c r="F34" s="3" t="s">
        <v>92</v>
      </c>
      <c r="G34" s="3" t="s">
        <v>93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430</v>
      </c>
      <c r="S34" s="3" t="s">
        <v>142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 t="s">
        <v>163</v>
      </c>
      <c r="AB34" s="3"/>
      <c r="AC34" s="3">
        <v>1573929</v>
      </c>
      <c r="AD34" s="3">
        <v>522.9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/>
      <c r="AP34" s="3" t="s">
        <v>98</v>
      </c>
      <c r="AQ34" s="3">
        <v>210361691</v>
      </c>
      <c r="AR34" s="3" t="s">
        <v>99</v>
      </c>
      <c r="AS34" s="3" t="s">
        <v>100</v>
      </c>
      <c r="AT34" s="3">
        <v>0</v>
      </c>
      <c r="AU34" s="3">
        <v>0</v>
      </c>
      <c r="AV34" s="3">
        <v>0</v>
      </c>
      <c r="AW34" s="3">
        <v>30043999</v>
      </c>
      <c r="AX34" s="3">
        <v>99</v>
      </c>
      <c r="AY34" s="3">
        <v>3010</v>
      </c>
      <c r="AZ34" s="3">
        <v>3010</v>
      </c>
      <c r="BA34" s="3" t="s">
        <v>103</v>
      </c>
      <c r="BB34" s="3"/>
      <c r="BC34" s="3" t="s">
        <v>105</v>
      </c>
      <c r="BD34" s="3" t="s">
        <v>105</v>
      </c>
      <c r="BE34" s="3"/>
      <c r="BF34" s="3"/>
      <c r="BG34" s="3"/>
      <c r="BH34" s="3"/>
      <c r="BI34" s="3"/>
      <c r="BJ34" s="5"/>
      <c r="BK34" s="3"/>
      <c r="BL34" s="3"/>
      <c r="BM34" s="3"/>
      <c r="BN34" s="3" t="s">
        <v>162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 t="s">
        <v>111</v>
      </c>
      <c r="CI34" s="3">
        <v>0</v>
      </c>
      <c r="CJ34" s="3">
        <v>0</v>
      </c>
      <c r="CK34" s="3">
        <v>0</v>
      </c>
      <c r="CL34" s="3" t="s">
        <v>112</v>
      </c>
      <c r="CM34" s="3" t="s">
        <v>112</v>
      </c>
    </row>
    <row r="35" spans="1:91" x14ac:dyDescent="0.25">
      <c r="A35" s="3" t="s">
        <v>90</v>
      </c>
      <c r="B35" s="9" t="s">
        <v>141</v>
      </c>
      <c r="C35" s="3">
        <v>3942</v>
      </c>
      <c r="D35" s="3">
        <v>6000096</v>
      </c>
      <c r="E35" s="3"/>
      <c r="F35" s="3" t="s">
        <v>92</v>
      </c>
      <c r="G35" s="3" t="s">
        <v>93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430</v>
      </c>
      <c r="S35" s="3" t="s">
        <v>142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 t="s">
        <v>164</v>
      </c>
      <c r="AB35" s="3"/>
      <c r="AC35" s="3">
        <v>944808</v>
      </c>
      <c r="AD35" s="3">
        <v>393.67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/>
      <c r="AP35" s="3" t="s">
        <v>98</v>
      </c>
      <c r="AQ35" s="3">
        <v>210361691</v>
      </c>
      <c r="AR35" s="3" t="s">
        <v>99</v>
      </c>
      <c r="AS35" s="3" t="s">
        <v>100</v>
      </c>
      <c r="AT35" s="3">
        <v>0</v>
      </c>
      <c r="AU35" s="3">
        <v>0</v>
      </c>
      <c r="AV35" s="3">
        <v>0</v>
      </c>
      <c r="AW35" s="3">
        <v>30024201</v>
      </c>
      <c r="AX35" s="3">
        <v>99</v>
      </c>
      <c r="AY35" s="3">
        <v>2400</v>
      </c>
      <c r="AZ35" s="3">
        <v>2400</v>
      </c>
      <c r="BA35" s="3" t="s">
        <v>103</v>
      </c>
      <c r="BB35" s="3"/>
      <c r="BC35" s="3" t="s">
        <v>105</v>
      </c>
      <c r="BD35" s="3" t="s">
        <v>105</v>
      </c>
      <c r="BE35" s="3"/>
      <c r="BF35" s="3"/>
      <c r="BG35" s="3"/>
      <c r="BH35" s="3"/>
      <c r="BI35" s="3"/>
      <c r="BJ35" s="5"/>
      <c r="BK35" s="3"/>
      <c r="BL35" s="3"/>
      <c r="BM35" s="3"/>
      <c r="BN35" s="3" t="s">
        <v>162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 t="s">
        <v>111</v>
      </c>
      <c r="CI35" s="3">
        <v>0</v>
      </c>
      <c r="CJ35" s="3">
        <v>0</v>
      </c>
      <c r="CK35" s="3">
        <v>0</v>
      </c>
      <c r="CL35" s="3" t="s">
        <v>112</v>
      </c>
      <c r="CM35" s="3" t="s">
        <v>112</v>
      </c>
    </row>
    <row r="36" spans="1:91" x14ac:dyDescent="0.25">
      <c r="A36" s="3" t="s">
        <v>90</v>
      </c>
      <c r="B36" s="10" t="s">
        <v>170</v>
      </c>
      <c r="C36" s="3">
        <v>3942</v>
      </c>
      <c r="D36" s="3">
        <v>6000136</v>
      </c>
      <c r="E36" s="3"/>
      <c r="F36" s="3" t="s">
        <v>92</v>
      </c>
      <c r="G36" s="3" t="s">
        <v>93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17.482800000000001</v>
      </c>
      <c r="Q36" s="3">
        <v>1251.54</v>
      </c>
      <c r="R36" s="3">
        <v>430</v>
      </c>
      <c r="S36" s="3" t="s">
        <v>171</v>
      </c>
      <c r="T36" s="3" t="s">
        <v>130</v>
      </c>
      <c r="U36" s="3">
        <v>7104469</v>
      </c>
      <c r="V36" s="3">
        <v>7104469</v>
      </c>
      <c r="W36" s="3">
        <v>0</v>
      </c>
      <c r="X36" s="3">
        <v>0</v>
      </c>
      <c r="Y36" s="3">
        <v>0</v>
      </c>
      <c r="Z36" s="3">
        <v>0</v>
      </c>
      <c r="AA36" s="3" t="s">
        <v>172</v>
      </c>
      <c r="AB36" s="3"/>
      <c r="AC36" s="3">
        <v>2562085</v>
      </c>
      <c r="AD36" s="3">
        <v>178.17003</v>
      </c>
      <c r="AE36" s="3">
        <v>808</v>
      </c>
      <c r="AF36" s="3">
        <v>0</v>
      </c>
      <c r="AG36" s="3">
        <v>0</v>
      </c>
      <c r="AH36" s="3">
        <v>0</v>
      </c>
      <c r="AI36" s="3">
        <v>53</v>
      </c>
      <c r="AJ36" s="3">
        <v>462</v>
      </c>
      <c r="AK36" s="3">
        <v>0</v>
      </c>
      <c r="AL36" s="3">
        <v>0</v>
      </c>
      <c r="AM36" s="3">
        <v>330</v>
      </c>
      <c r="AN36" s="3">
        <v>845</v>
      </c>
      <c r="AO36" s="3" t="s">
        <v>97</v>
      </c>
      <c r="AP36" s="3" t="s">
        <v>98</v>
      </c>
      <c r="AQ36" s="3">
        <v>210361306</v>
      </c>
      <c r="AR36" s="3" t="s">
        <v>99</v>
      </c>
      <c r="AS36" s="3" t="s">
        <v>100</v>
      </c>
      <c r="AT36" s="3" t="s">
        <v>173</v>
      </c>
      <c r="AU36" s="3"/>
      <c r="AV36" s="3" t="s">
        <v>102</v>
      </c>
      <c r="AW36" s="3">
        <v>30049099</v>
      </c>
      <c r="AX36" s="3">
        <v>99</v>
      </c>
      <c r="AY36" s="3">
        <v>14380</v>
      </c>
      <c r="AZ36" s="3">
        <v>14380</v>
      </c>
      <c r="BA36" s="3" t="s">
        <v>103</v>
      </c>
      <c r="BB36" s="3"/>
      <c r="BC36" s="3" t="s">
        <v>104</v>
      </c>
      <c r="BD36" s="3" t="s">
        <v>105</v>
      </c>
      <c r="BE36" s="4">
        <v>46046</v>
      </c>
      <c r="BF36" s="4">
        <v>46050</v>
      </c>
      <c r="BG36" s="4">
        <v>46051</v>
      </c>
      <c r="BH36" s="3" t="s">
        <v>106</v>
      </c>
      <c r="BI36" s="3" t="s">
        <v>117</v>
      </c>
      <c r="BJ36" s="5"/>
      <c r="BK36" s="3"/>
      <c r="BL36" s="3"/>
      <c r="BM36" s="3" t="s">
        <v>109</v>
      </c>
      <c r="BN36" s="3" t="s">
        <v>174</v>
      </c>
      <c r="BO36" s="3">
        <v>42514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22189.59</v>
      </c>
      <c r="CB36" s="3">
        <v>0</v>
      </c>
      <c r="CC36" s="3">
        <v>0</v>
      </c>
      <c r="CD36" s="3">
        <v>26222.67</v>
      </c>
      <c r="CE36" s="3">
        <v>10205.02</v>
      </c>
      <c r="CF36" s="3">
        <v>1756</v>
      </c>
      <c r="CG36" s="3">
        <v>196719.85</v>
      </c>
      <c r="CH36" s="3" t="s">
        <v>111</v>
      </c>
      <c r="CI36" s="3">
        <v>196719.85</v>
      </c>
      <c r="CJ36" s="3">
        <v>196719.85</v>
      </c>
      <c r="CK36" s="3">
        <v>0</v>
      </c>
      <c r="CL36" s="3" t="s">
        <v>112</v>
      </c>
      <c r="CM36" s="3" t="s">
        <v>112</v>
      </c>
    </row>
    <row r="37" spans="1:91" x14ac:dyDescent="0.25">
      <c r="A37" s="3" t="s">
        <v>90</v>
      </c>
      <c r="B37" s="10" t="s">
        <v>170</v>
      </c>
      <c r="C37" s="3">
        <v>3942</v>
      </c>
      <c r="D37" s="3">
        <v>6000136</v>
      </c>
      <c r="E37" s="3"/>
      <c r="F37" s="3" t="s">
        <v>92</v>
      </c>
      <c r="G37" s="3" t="s">
        <v>93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430</v>
      </c>
      <c r="S37" s="3" t="s">
        <v>171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 t="s">
        <v>175</v>
      </c>
      <c r="AB37" s="3"/>
      <c r="AC37" s="3">
        <v>4542384</v>
      </c>
      <c r="AD37" s="3">
        <v>172.06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/>
      <c r="AP37" s="3" t="s">
        <v>98</v>
      </c>
      <c r="AQ37" s="3">
        <v>210361307</v>
      </c>
      <c r="AR37" s="3" t="s">
        <v>99</v>
      </c>
      <c r="AS37" s="3" t="s">
        <v>100</v>
      </c>
      <c r="AT37" s="3">
        <v>0</v>
      </c>
      <c r="AU37" s="3">
        <v>0</v>
      </c>
      <c r="AV37" s="3">
        <v>0</v>
      </c>
      <c r="AW37" s="3">
        <v>30049099</v>
      </c>
      <c r="AX37" s="3">
        <v>99</v>
      </c>
      <c r="AY37" s="3">
        <v>26400</v>
      </c>
      <c r="AZ37" s="3">
        <v>26400</v>
      </c>
      <c r="BA37" s="3" t="s">
        <v>103</v>
      </c>
      <c r="BB37" s="3"/>
      <c r="BC37" s="3" t="s">
        <v>104</v>
      </c>
      <c r="BD37" s="3" t="s">
        <v>105</v>
      </c>
      <c r="BE37" s="3"/>
      <c r="BF37" s="3"/>
      <c r="BG37" s="3"/>
      <c r="BH37" s="3"/>
      <c r="BI37" s="3"/>
      <c r="BJ37" s="5"/>
      <c r="BK37" s="3"/>
      <c r="BL37" s="3"/>
      <c r="BM37" s="3"/>
      <c r="BN37" s="3" t="s">
        <v>176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 t="s">
        <v>111</v>
      </c>
      <c r="CI37" s="3">
        <v>0</v>
      </c>
      <c r="CJ37" s="3">
        <v>0</v>
      </c>
      <c r="CK37" s="3">
        <v>0</v>
      </c>
      <c r="CL37" s="3" t="s">
        <v>112</v>
      </c>
      <c r="CM37" s="3" t="s">
        <v>112</v>
      </c>
    </row>
    <row r="38" spans="1:91" x14ac:dyDescent="0.25">
      <c r="A38" s="3" t="s">
        <v>90</v>
      </c>
      <c r="B38" s="11" t="s">
        <v>177</v>
      </c>
      <c r="C38" s="3">
        <v>3942</v>
      </c>
      <c r="D38" s="3">
        <v>6000160</v>
      </c>
      <c r="E38" s="3"/>
      <c r="F38" s="3" t="s">
        <v>92</v>
      </c>
      <c r="G38" s="3" t="s">
        <v>93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10</v>
      </c>
      <c r="O38" s="3">
        <v>557457</v>
      </c>
      <c r="P38" s="3">
        <v>17.407</v>
      </c>
      <c r="Q38" s="3">
        <v>1478</v>
      </c>
      <c r="R38" s="3">
        <v>430</v>
      </c>
      <c r="S38" s="3" t="s">
        <v>178</v>
      </c>
      <c r="T38" s="3" t="s">
        <v>130</v>
      </c>
      <c r="U38" s="3">
        <v>11147127</v>
      </c>
      <c r="V38" s="3">
        <v>11147127</v>
      </c>
      <c r="W38" s="3">
        <v>0</v>
      </c>
      <c r="X38" s="3">
        <v>0</v>
      </c>
      <c r="Y38" s="3">
        <v>0</v>
      </c>
      <c r="Z38" s="3">
        <v>0</v>
      </c>
      <c r="AA38" s="3" t="s">
        <v>179</v>
      </c>
      <c r="AB38" s="3"/>
      <c r="AC38" s="3">
        <v>5574570</v>
      </c>
      <c r="AD38" s="3">
        <v>2012.4801399999999</v>
      </c>
      <c r="AE38" s="3">
        <v>354</v>
      </c>
      <c r="AF38" s="3" t="s">
        <v>180</v>
      </c>
      <c r="AG38" s="3">
        <v>1114713</v>
      </c>
      <c r="AH38" s="3">
        <v>0</v>
      </c>
      <c r="AI38" s="3">
        <v>53</v>
      </c>
      <c r="AJ38" s="3">
        <v>89177</v>
      </c>
      <c r="AK38" s="3">
        <v>0</v>
      </c>
      <c r="AL38" s="3">
        <v>0</v>
      </c>
      <c r="AM38" s="3">
        <v>330</v>
      </c>
      <c r="AN38" s="3">
        <v>1204273</v>
      </c>
      <c r="AO38" s="3" t="s">
        <v>97</v>
      </c>
      <c r="AP38" s="3" t="s">
        <v>98</v>
      </c>
      <c r="AQ38" s="3">
        <v>210361399</v>
      </c>
      <c r="AR38" s="3" t="s">
        <v>99</v>
      </c>
      <c r="AS38" s="3" t="s">
        <v>100</v>
      </c>
      <c r="AT38" s="3" t="s">
        <v>181</v>
      </c>
      <c r="AU38" s="3"/>
      <c r="AV38" s="3" t="s">
        <v>102</v>
      </c>
      <c r="AW38" s="3">
        <v>30043999</v>
      </c>
      <c r="AX38" s="3">
        <v>99</v>
      </c>
      <c r="AY38" s="3">
        <v>2770</v>
      </c>
      <c r="AZ38" s="3">
        <v>2770</v>
      </c>
      <c r="BA38" s="3" t="s">
        <v>103</v>
      </c>
      <c r="BB38" s="3"/>
      <c r="BC38" s="3" t="s">
        <v>133</v>
      </c>
      <c r="BD38" s="3" t="s">
        <v>105</v>
      </c>
      <c r="BE38" s="4">
        <v>46060</v>
      </c>
      <c r="BF38" s="4">
        <v>46063</v>
      </c>
      <c r="BG38" s="4">
        <v>46064</v>
      </c>
      <c r="BH38" s="3" t="s">
        <v>106</v>
      </c>
      <c r="BI38" s="3" t="s">
        <v>117</v>
      </c>
      <c r="BJ38" s="5"/>
      <c r="BK38" s="3"/>
      <c r="BL38" s="3"/>
      <c r="BM38" s="3" t="s">
        <v>109</v>
      </c>
      <c r="BN38" s="3" t="s">
        <v>182</v>
      </c>
      <c r="BO38" s="3">
        <v>42845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22189.59</v>
      </c>
      <c r="CB38" s="3">
        <v>0</v>
      </c>
      <c r="CC38" s="3">
        <v>0</v>
      </c>
      <c r="CD38" s="3">
        <v>0</v>
      </c>
      <c r="CE38" s="3">
        <v>17451.8</v>
      </c>
      <c r="CF38" s="3">
        <v>2915.49</v>
      </c>
      <c r="CG38" s="3">
        <v>135310.03</v>
      </c>
      <c r="CH38" s="3" t="s">
        <v>111</v>
      </c>
      <c r="CI38" s="3">
        <v>135310.03</v>
      </c>
      <c r="CJ38" s="3">
        <v>135310.03</v>
      </c>
      <c r="CK38" s="3">
        <v>0</v>
      </c>
      <c r="CL38" s="3" t="s">
        <v>112</v>
      </c>
      <c r="CM38" s="3" t="s">
        <v>112</v>
      </c>
    </row>
    <row r="39" spans="1:91" x14ac:dyDescent="0.25">
      <c r="A39" s="3" t="s">
        <v>90</v>
      </c>
      <c r="B39" s="11" t="s">
        <v>177</v>
      </c>
      <c r="C39" s="3">
        <v>3942</v>
      </c>
      <c r="D39" s="3">
        <v>6000160</v>
      </c>
      <c r="E39" s="3"/>
      <c r="F39" s="3" t="s">
        <v>92</v>
      </c>
      <c r="G39" s="3" t="s">
        <v>93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10</v>
      </c>
      <c r="O39" s="3">
        <v>557256</v>
      </c>
      <c r="P39" s="3">
        <v>0</v>
      </c>
      <c r="Q39" s="3">
        <v>0</v>
      </c>
      <c r="R39" s="3">
        <v>430</v>
      </c>
      <c r="S39" s="3" t="s">
        <v>178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 t="s">
        <v>179</v>
      </c>
      <c r="AB39" s="3"/>
      <c r="AC39" s="3">
        <v>5572557</v>
      </c>
      <c r="AD39" s="3">
        <v>2012.4799599999999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/>
      <c r="AP39" s="3" t="s">
        <v>98</v>
      </c>
      <c r="AQ39" s="3">
        <v>210361399</v>
      </c>
      <c r="AR39" s="3" t="s">
        <v>99</v>
      </c>
      <c r="AS39" s="3" t="s">
        <v>100</v>
      </c>
      <c r="AT39" s="3">
        <v>0</v>
      </c>
      <c r="AU39" s="3">
        <v>0</v>
      </c>
      <c r="AV39" s="3">
        <v>0</v>
      </c>
      <c r="AW39" s="3">
        <v>30043999</v>
      </c>
      <c r="AX39" s="3">
        <v>99</v>
      </c>
      <c r="AY39" s="3">
        <v>2769</v>
      </c>
      <c r="AZ39" s="3">
        <v>2769</v>
      </c>
      <c r="BA39" s="3" t="s">
        <v>103</v>
      </c>
      <c r="BB39" s="3"/>
      <c r="BC39" s="3" t="s">
        <v>133</v>
      </c>
      <c r="BD39" s="3" t="s">
        <v>105</v>
      </c>
      <c r="BE39" s="3"/>
      <c r="BF39" s="3"/>
      <c r="BG39" s="3"/>
      <c r="BH39" s="3"/>
      <c r="BI39" s="3"/>
      <c r="BJ39" s="5"/>
      <c r="BK39" s="3"/>
      <c r="BL39" s="3"/>
      <c r="BM39" s="3"/>
      <c r="BN39" s="3" t="s">
        <v>182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 t="s">
        <v>111</v>
      </c>
      <c r="CI39" s="3">
        <v>0</v>
      </c>
      <c r="CJ39" s="3">
        <v>0</v>
      </c>
      <c r="CK39" s="3">
        <v>0</v>
      </c>
      <c r="CL39" s="3" t="s">
        <v>112</v>
      </c>
      <c r="CM39" s="3" t="s">
        <v>112</v>
      </c>
    </row>
    <row r="40" spans="1:91" x14ac:dyDescent="0.25">
      <c r="A40" s="3" t="s">
        <v>90</v>
      </c>
      <c r="B40" s="12" t="s">
        <v>193</v>
      </c>
      <c r="C40" s="3">
        <v>3942</v>
      </c>
      <c r="D40" s="3">
        <v>6000168</v>
      </c>
      <c r="E40" s="3"/>
      <c r="F40" s="3" t="s">
        <v>92</v>
      </c>
      <c r="G40" s="3" t="s">
        <v>93</v>
      </c>
      <c r="H40" s="3">
        <v>16</v>
      </c>
      <c r="I40" s="3">
        <v>8414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17.899799999999999</v>
      </c>
      <c r="Q40" s="3">
        <v>73</v>
      </c>
      <c r="R40" s="3">
        <v>430</v>
      </c>
      <c r="S40" s="3"/>
      <c r="T40" s="3" t="s">
        <v>194</v>
      </c>
      <c r="U40" s="3">
        <v>114376</v>
      </c>
      <c r="V40" s="3">
        <v>114376</v>
      </c>
      <c r="W40" s="3">
        <v>0</v>
      </c>
      <c r="X40" s="3">
        <v>0</v>
      </c>
      <c r="Y40" s="3">
        <v>0</v>
      </c>
      <c r="Z40" s="3">
        <v>0</v>
      </c>
      <c r="AA40" s="3" t="s">
        <v>195</v>
      </c>
      <c r="AB40" s="3"/>
      <c r="AC40" s="3">
        <v>52172</v>
      </c>
      <c r="AD40" s="3">
        <v>434.76666999999998</v>
      </c>
      <c r="AE40" s="3">
        <v>354</v>
      </c>
      <c r="AF40" s="3" t="s">
        <v>196</v>
      </c>
      <c r="AG40" s="3">
        <v>0</v>
      </c>
      <c r="AH40" s="3">
        <v>0</v>
      </c>
      <c r="AI40" s="3">
        <v>53</v>
      </c>
      <c r="AJ40" s="3">
        <v>915</v>
      </c>
      <c r="AK40" s="3">
        <v>0</v>
      </c>
      <c r="AL40" s="3">
        <v>18446</v>
      </c>
      <c r="AM40" s="3">
        <v>330</v>
      </c>
      <c r="AN40" s="3">
        <v>19744</v>
      </c>
      <c r="AO40" s="3" t="s">
        <v>97</v>
      </c>
      <c r="AP40" s="3" t="s">
        <v>98</v>
      </c>
      <c r="AQ40" s="3">
        <v>210363787</v>
      </c>
      <c r="AR40" s="3" t="s">
        <v>99</v>
      </c>
      <c r="AS40" s="3" t="s">
        <v>100</v>
      </c>
      <c r="AT40" s="3">
        <v>265457533</v>
      </c>
      <c r="AU40" s="3"/>
      <c r="AV40" s="3" t="s">
        <v>188</v>
      </c>
      <c r="AW40" s="3">
        <v>85365099</v>
      </c>
      <c r="AX40" s="3">
        <v>1</v>
      </c>
      <c r="AY40" s="3">
        <v>120</v>
      </c>
      <c r="AZ40" s="3">
        <v>120</v>
      </c>
      <c r="BA40" s="3" t="s">
        <v>103</v>
      </c>
      <c r="BB40" s="3"/>
      <c r="BC40" s="3" t="s">
        <v>197</v>
      </c>
      <c r="BD40" s="3" t="s">
        <v>105</v>
      </c>
      <c r="BE40" s="4">
        <v>46105</v>
      </c>
      <c r="BF40" s="4">
        <v>46111</v>
      </c>
      <c r="BG40" s="4">
        <v>46112</v>
      </c>
      <c r="BH40" s="3" t="s">
        <v>106</v>
      </c>
      <c r="BI40" s="3" t="s">
        <v>117</v>
      </c>
      <c r="BJ40" s="5"/>
      <c r="BK40" s="3"/>
      <c r="BL40" s="3"/>
      <c r="BM40" s="3" t="s">
        <v>109</v>
      </c>
      <c r="BN40" s="3" t="s">
        <v>198</v>
      </c>
      <c r="BO40" s="3">
        <v>44645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5600</v>
      </c>
      <c r="CF40" s="3">
        <v>1000</v>
      </c>
      <c r="CG40" s="3">
        <v>50747.92</v>
      </c>
      <c r="CH40" s="3" t="s">
        <v>192</v>
      </c>
      <c r="CI40" s="3">
        <v>50747.92</v>
      </c>
      <c r="CJ40" s="3">
        <v>0</v>
      </c>
      <c r="CK40" s="3">
        <v>0</v>
      </c>
      <c r="CL40" s="3" t="s">
        <v>112</v>
      </c>
      <c r="CM40" s="3" t="s">
        <v>112</v>
      </c>
    </row>
    <row r="41" spans="1:91" x14ac:dyDescent="0.25">
      <c r="A41" s="3" t="s">
        <v>90</v>
      </c>
      <c r="B41" s="12" t="s">
        <v>193</v>
      </c>
      <c r="C41" s="3">
        <v>3942</v>
      </c>
      <c r="D41" s="3">
        <v>6000168</v>
      </c>
      <c r="E41" s="3"/>
      <c r="F41" s="3" t="s">
        <v>92</v>
      </c>
      <c r="G41" s="3" t="s">
        <v>93</v>
      </c>
      <c r="H41" s="3">
        <v>16</v>
      </c>
      <c r="I41" s="3">
        <v>3438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430</v>
      </c>
      <c r="S41" s="3"/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199</v>
      </c>
      <c r="AB41" s="3"/>
      <c r="AC41" s="3">
        <v>21317</v>
      </c>
      <c r="AD41" s="3">
        <v>1332.3125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/>
      <c r="AP41" s="3" t="s">
        <v>98</v>
      </c>
      <c r="AQ41" s="3">
        <v>210363787</v>
      </c>
      <c r="AR41" s="3" t="s">
        <v>99</v>
      </c>
      <c r="AS41" s="3" t="s">
        <v>100</v>
      </c>
      <c r="AT41" s="3">
        <v>0</v>
      </c>
      <c r="AU41" s="3">
        <v>0</v>
      </c>
      <c r="AV41" s="3">
        <v>0</v>
      </c>
      <c r="AW41" s="3">
        <v>90189099</v>
      </c>
      <c r="AX41" s="3">
        <v>99</v>
      </c>
      <c r="AY41" s="3">
        <v>16</v>
      </c>
      <c r="AZ41" s="3">
        <v>16</v>
      </c>
      <c r="BA41" s="3" t="s">
        <v>103</v>
      </c>
      <c r="BB41" s="3"/>
      <c r="BC41" s="3" t="s">
        <v>197</v>
      </c>
      <c r="BD41" s="3" t="s">
        <v>105</v>
      </c>
      <c r="BE41" s="3"/>
      <c r="BF41" s="3"/>
      <c r="BG41" s="3"/>
      <c r="BH41" s="3"/>
      <c r="BI41" s="3"/>
      <c r="BJ41" s="5"/>
      <c r="BK41" s="3"/>
      <c r="BL41" s="3"/>
      <c r="BM41" s="3"/>
      <c r="BN41" s="3" t="s">
        <v>198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 t="s">
        <v>192</v>
      </c>
      <c r="CI41" s="3">
        <v>0</v>
      </c>
      <c r="CJ41" s="3">
        <v>0</v>
      </c>
      <c r="CK41" s="3">
        <v>0</v>
      </c>
      <c r="CL41" s="3" t="s">
        <v>112</v>
      </c>
      <c r="CM41" s="3" t="s">
        <v>112</v>
      </c>
    </row>
    <row r="42" spans="1:91" x14ac:dyDescent="0.25">
      <c r="A42" s="3" t="s">
        <v>90</v>
      </c>
      <c r="B42" s="12" t="s">
        <v>193</v>
      </c>
      <c r="C42" s="3">
        <v>3942</v>
      </c>
      <c r="D42" s="3">
        <v>6000168</v>
      </c>
      <c r="E42" s="3"/>
      <c r="F42" s="3" t="s">
        <v>92</v>
      </c>
      <c r="G42" s="3" t="s">
        <v>93</v>
      </c>
      <c r="H42" s="3">
        <v>16</v>
      </c>
      <c r="I42" s="3">
        <v>6594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430</v>
      </c>
      <c r="S42" s="3"/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200</v>
      </c>
      <c r="AB42" s="3"/>
      <c r="AC42" s="3">
        <v>40887</v>
      </c>
      <c r="AD42" s="3">
        <v>6814.5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/>
      <c r="AP42" s="3" t="s">
        <v>98</v>
      </c>
      <c r="AQ42" s="3">
        <v>210363787</v>
      </c>
      <c r="AR42" s="3" t="s">
        <v>99</v>
      </c>
      <c r="AS42" s="3" t="s">
        <v>100</v>
      </c>
      <c r="AT42" s="3">
        <v>0</v>
      </c>
      <c r="AU42" s="3">
        <v>0</v>
      </c>
      <c r="AV42" s="3">
        <v>0</v>
      </c>
      <c r="AW42" s="3">
        <v>85176101</v>
      </c>
      <c r="AX42" s="3">
        <v>0</v>
      </c>
      <c r="AY42" s="3">
        <v>6</v>
      </c>
      <c r="AZ42" s="3">
        <v>6</v>
      </c>
      <c r="BA42" s="3" t="s">
        <v>103</v>
      </c>
      <c r="BB42" s="3"/>
      <c r="BC42" s="3" t="s">
        <v>197</v>
      </c>
      <c r="BD42" s="3" t="s">
        <v>105</v>
      </c>
      <c r="BE42" s="3"/>
      <c r="BF42" s="3"/>
      <c r="BG42" s="3"/>
      <c r="BH42" s="3"/>
      <c r="BI42" s="3"/>
      <c r="BJ42" s="5"/>
      <c r="BK42" s="3"/>
      <c r="BL42" s="3"/>
      <c r="BM42" s="3"/>
      <c r="BN42" s="3" t="s">
        <v>198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 t="s">
        <v>192</v>
      </c>
      <c r="CI42" s="3">
        <v>0</v>
      </c>
      <c r="CJ42" s="3">
        <v>0</v>
      </c>
      <c r="CK42" s="3">
        <v>0</v>
      </c>
      <c r="CL42" s="3" t="s">
        <v>112</v>
      </c>
      <c r="CM42" s="3" t="s">
        <v>112</v>
      </c>
    </row>
    <row r="43" spans="1:91" x14ac:dyDescent="0.25">
      <c r="A43" s="3" t="s">
        <v>90</v>
      </c>
      <c r="B43" s="3" t="s">
        <v>183</v>
      </c>
      <c r="C43" s="3">
        <v>3942</v>
      </c>
      <c r="D43" s="3">
        <v>6000171</v>
      </c>
      <c r="E43" s="3"/>
      <c r="F43" s="3" t="s">
        <v>92</v>
      </c>
      <c r="G43" s="3" t="s">
        <v>93</v>
      </c>
      <c r="H43" s="3">
        <v>16</v>
      </c>
      <c r="I43" s="3">
        <v>209061</v>
      </c>
      <c r="J43" s="3">
        <v>0</v>
      </c>
      <c r="K43" s="3">
        <v>0</v>
      </c>
      <c r="L43" s="3">
        <v>0</v>
      </c>
      <c r="M43" s="3">
        <v>0</v>
      </c>
      <c r="N43" s="3">
        <v>5</v>
      </c>
      <c r="O43" s="3">
        <v>61750</v>
      </c>
      <c r="P43" s="3">
        <v>17.2925</v>
      </c>
      <c r="Q43" s="3">
        <v>10433</v>
      </c>
      <c r="R43" s="3">
        <v>430</v>
      </c>
      <c r="S43" s="3" t="s">
        <v>184</v>
      </c>
      <c r="T43" s="3" t="s">
        <v>185</v>
      </c>
      <c r="U43" s="3">
        <v>1235000</v>
      </c>
      <c r="V43" s="3">
        <v>1235000</v>
      </c>
      <c r="W43" s="3">
        <v>0</v>
      </c>
      <c r="X43" s="3">
        <v>0</v>
      </c>
      <c r="Y43" s="3">
        <v>0</v>
      </c>
      <c r="Z43" s="3">
        <v>0</v>
      </c>
      <c r="AA43" s="3" t="s">
        <v>186</v>
      </c>
      <c r="AB43" s="3"/>
      <c r="AC43" s="3">
        <v>1235000</v>
      </c>
      <c r="AD43" s="3">
        <v>61.75</v>
      </c>
      <c r="AE43" s="3">
        <v>354</v>
      </c>
      <c r="AF43" s="3" t="s">
        <v>187</v>
      </c>
      <c r="AG43" s="3">
        <v>61750</v>
      </c>
      <c r="AH43" s="3">
        <v>0</v>
      </c>
      <c r="AI43" s="3">
        <v>53</v>
      </c>
      <c r="AJ43" s="3">
        <v>9880</v>
      </c>
      <c r="AK43" s="3">
        <v>0</v>
      </c>
      <c r="AL43" s="3">
        <v>209061</v>
      </c>
      <c r="AM43" s="3">
        <v>330</v>
      </c>
      <c r="AN43" s="3">
        <v>281074</v>
      </c>
      <c r="AO43" s="3" t="s">
        <v>97</v>
      </c>
      <c r="AP43" s="3" t="s">
        <v>98</v>
      </c>
      <c r="AQ43" s="3">
        <v>210362870</v>
      </c>
      <c r="AR43" s="3" t="s">
        <v>99</v>
      </c>
      <c r="AS43" s="3" t="s">
        <v>100</v>
      </c>
      <c r="AT43" s="3">
        <v>265002013</v>
      </c>
      <c r="AU43" s="3"/>
      <c r="AV43" s="3" t="s">
        <v>188</v>
      </c>
      <c r="AW43" s="3">
        <v>38249999</v>
      </c>
      <c r="AX43" s="3">
        <v>99</v>
      </c>
      <c r="AY43" s="3">
        <v>20000</v>
      </c>
      <c r="AZ43" s="3">
        <v>20000</v>
      </c>
      <c r="BA43" s="3" t="s">
        <v>103</v>
      </c>
      <c r="BB43" s="3"/>
      <c r="BC43" s="3" t="s">
        <v>189</v>
      </c>
      <c r="BD43" s="3" t="s">
        <v>105</v>
      </c>
      <c r="BE43" s="4">
        <v>46059</v>
      </c>
      <c r="BF43" s="4">
        <v>46063</v>
      </c>
      <c r="BG43" s="4">
        <v>46064</v>
      </c>
      <c r="BH43" s="3" t="s">
        <v>106</v>
      </c>
      <c r="BI43" s="3" t="s">
        <v>117</v>
      </c>
      <c r="BJ43" s="5"/>
      <c r="BK43" s="3"/>
      <c r="BL43" s="3"/>
      <c r="BM43" s="3" t="s">
        <v>190</v>
      </c>
      <c r="BN43" s="3" t="s">
        <v>191</v>
      </c>
      <c r="BO43" s="3">
        <v>42894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5600</v>
      </c>
      <c r="CF43" s="3">
        <v>1019.2</v>
      </c>
      <c r="CG43" s="3">
        <v>87855.8</v>
      </c>
      <c r="CH43" s="3" t="s">
        <v>192</v>
      </c>
      <c r="CI43" s="3">
        <v>87855.8</v>
      </c>
      <c r="CJ43" s="3">
        <v>0</v>
      </c>
      <c r="CK43" s="3">
        <v>0</v>
      </c>
      <c r="CL43" s="3" t="s">
        <v>112</v>
      </c>
      <c r="CM43" s="3" t="s">
        <v>112</v>
      </c>
    </row>
    <row r="44" spans="1:91" x14ac:dyDescent="0.25">
      <c r="A44" s="3" t="s">
        <v>90</v>
      </c>
      <c r="B44" s="13" t="s">
        <v>222</v>
      </c>
      <c r="C44" s="3">
        <v>3942</v>
      </c>
      <c r="D44" s="3">
        <v>6000186</v>
      </c>
      <c r="E44" s="3"/>
      <c r="F44" s="3" t="s">
        <v>92</v>
      </c>
      <c r="G44" s="3" t="s">
        <v>93</v>
      </c>
      <c r="H44" s="3">
        <v>0</v>
      </c>
      <c r="I44" s="3">
        <v>0</v>
      </c>
      <c r="J44" s="3">
        <v>0</v>
      </c>
      <c r="K44" s="3">
        <v>0</v>
      </c>
      <c r="L44" s="3" t="s">
        <v>223</v>
      </c>
      <c r="M44" s="3" t="s">
        <v>223</v>
      </c>
      <c r="N44" s="3">
        <v>0</v>
      </c>
      <c r="O44" s="3">
        <v>0</v>
      </c>
      <c r="P44" s="3">
        <v>17.2315</v>
      </c>
      <c r="Q44" s="3">
        <v>14938.8</v>
      </c>
      <c r="R44" s="3">
        <v>430</v>
      </c>
      <c r="S44" s="3" t="s">
        <v>224</v>
      </c>
      <c r="T44" s="3" t="s">
        <v>225</v>
      </c>
      <c r="U44" s="3">
        <v>3614532</v>
      </c>
      <c r="V44" s="3">
        <v>3614532</v>
      </c>
      <c r="W44" s="3">
        <v>0</v>
      </c>
      <c r="X44" s="3">
        <v>0</v>
      </c>
      <c r="Y44" s="3">
        <v>0</v>
      </c>
      <c r="Z44" s="3">
        <v>0</v>
      </c>
      <c r="AA44" s="3" t="s">
        <v>226</v>
      </c>
      <c r="AB44" s="3"/>
      <c r="AC44" s="3">
        <v>1794721</v>
      </c>
      <c r="AD44" s="3">
        <v>278.76996000000003</v>
      </c>
      <c r="AE44" s="3">
        <v>354</v>
      </c>
      <c r="AF44" s="3" t="s">
        <v>227</v>
      </c>
      <c r="AG44" s="3">
        <v>0</v>
      </c>
      <c r="AH44" s="3">
        <v>0</v>
      </c>
      <c r="AI44" s="3">
        <v>53</v>
      </c>
      <c r="AJ44" s="3">
        <v>28916</v>
      </c>
      <c r="AK44" s="3">
        <v>0</v>
      </c>
      <c r="AL44" s="3">
        <v>0</v>
      </c>
      <c r="AM44" s="3">
        <v>330</v>
      </c>
      <c r="AN44" s="3">
        <v>247906</v>
      </c>
      <c r="AO44" s="3" t="s">
        <v>97</v>
      </c>
      <c r="AP44" s="3" t="s">
        <v>98</v>
      </c>
      <c r="AQ44" s="3">
        <v>210363668</v>
      </c>
      <c r="AR44" s="3" t="s">
        <v>99</v>
      </c>
      <c r="AS44" s="3" t="s">
        <v>100</v>
      </c>
      <c r="AT44" s="3">
        <v>265080842</v>
      </c>
      <c r="AU44" s="3"/>
      <c r="AV44" s="3" t="s">
        <v>188</v>
      </c>
      <c r="AW44" s="3">
        <v>38089199</v>
      </c>
      <c r="AX44" s="3">
        <v>99</v>
      </c>
      <c r="AY44" s="3">
        <v>6438</v>
      </c>
      <c r="AZ44" s="3">
        <v>6438</v>
      </c>
      <c r="BA44" s="3" t="s">
        <v>103</v>
      </c>
      <c r="BB44" s="3"/>
      <c r="BC44" s="3" t="s">
        <v>189</v>
      </c>
      <c r="BD44" s="3" t="s">
        <v>105</v>
      </c>
      <c r="BE44" s="4">
        <v>46065</v>
      </c>
      <c r="BF44" s="4">
        <v>46078</v>
      </c>
      <c r="BG44" s="4">
        <v>46079</v>
      </c>
      <c r="BH44" s="3" t="s">
        <v>228</v>
      </c>
      <c r="BI44" s="3" t="s">
        <v>107</v>
      </c>
      <c r="BJ44" s="5" t="s">
        <v>229</v>
      </c>
      <c r="BK44" s="3" t="s">
        <v>230</v>
      </c>
      <c r="BL44" s="3"/>
      <c r="BM44" s="3" t="s">
        <v>109</v>
      </c>
      <c r="BN44" s="3" t="s">
        <v>231</v>
      </c>
      <c r="BO44" s="3">
        <v>43428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22189.59</v>
      </c>
      <c r="CB44" s="3">
        <v>0</v>
      </c>
      <c r="CC44" s="3">
        <v>0</v>
      </c>
      <c r="CD44" s="3">
        <v>38739.71</v>
      </c>
      <c r="CE44" s="3">
        <v>11650.42</v>
      </c>
      <c r="CF44" s="3">
        <v>2364.87</v>
      </c>
      <c r="CG44" s="3">
        <v>315569.73</v>
      </c>
      <c r="CH44" s="3" t="s">
        <v>192</v>
      </c>
      <c r="CI44" s="3">
        <v>315569.73</v>
      </c>
      <c r="CJ44" s="3">
        <v>0</v>
      </c>
      <c r="CK44" s="3">
        <v>0</v>
      </c>
      <c r="CL44" s="3" t="s">
        <v>112</v>
      </c>
      <c r="CM44" s="3" t="s">
        <v>112</v>
      </c>
    </row>
    <row r="45" spans="1:91" x14ac:dyDescent="0.25">
      <c r="A45" s="3" t="s">
        <v>90</v>
      </c>
      <c r="B45" s="13" t="s">
        <v>222</v>
      </c>
      <c r="C45" s="3">
        <v>3942</v>
      </c>
      <c r="D45" s="3">
        <v>6000186</v>
      </c>
      <c r="E45" s="3"/>
      <c r="F45" s="3" t="s">
        <v>92</v>
      </c>
      <c r="G45" s="3" t="s">
        <v>93</v>
      </c>
      <c r="H45" s="3">
        <v>0</v>
      </c>
      <c r="I45" s="3">
        <v>0</v>
      </c>
      <c r="J45" s="3">
        <v>0</v>
      </c>
      <c r="K45" s="3">
        <v>0</v>
      </c>
      <c r="L45" s="3" t="s">
        <v>223</v>
      </c>
      <c r="M45" s="3" t="s">
        <v>223</v>
      </c>
      <c r="N45" s="3">
        <v>0</v>
      </c>
      <c r="O45" s="3">
        <v>0</v>
      </c>
      <c r="P45" s="3">
        <v>0</v>
      </c>
      <c r="Q45" s="3">
        <v>0</v>
      </c>
      <c r="R45" s="3">
        <v>430</v>
      </c>
      <c r="S45" s="3" t="s">
        <v>224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226</v>
      </c>
      <c r="AB45" s="3"/>
      <c r="AC45" s="3">
        <v>1819811</v>
      </c>
      <c r="AD45" s="3">
        <v>278.77006999999998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/>
      <c r="AP45" s="3" t="s">
        <v>98</v>
      </c>
      <c r="AQ45" s="3">
        <v>210363669</v>
      </c>
      <c r="AR45" s="3" t="s">
        <v>99</v>
      </c>
      <c r="AS45" s="3" t="s">
        <v>100</v>
      </c>
      <c r="AT45" s="3">
        <v>0</v>
      </c>
      <c r="AU45" s="3">
        <v>0</v>
      </c>
      <c r="AV45" s="3">
        <v>0</v>
      </c>
      <c r="AW45" s="3">
        <v>38089199</v>
      </c>
      <c r="AX45" s="3">
        <v>99</v>
      </c>
      <c r="AY45" s="3">
        <v>6528</v>
      </c>
      <c r="AZ45" s="3">
        <v>6528</v>
      </c>
      <c r="BA45" s="3" t="s">
        <v>103</v>
      </c>
      <c r="BB45" s="3"/>
      <c r="BC45" s="3" t="s">
        <v>189</v>
      </c>
      <c r="BD45" s="3" t="s">
        <v>105</v>
      </c>
      <c r="BE45" s="3"/>
      <c r="BF45" s="3"/>
      <c r="BG45" s="3"/>
      <c r="BH45" s="3"/>
      <c r="BI45" s="3"/>
      <c r="BJ45" s="5"/>
      <c r="BK45" s="3"/>
      <c r="BL45" s="3"/>
      <c r="BM45" s="3"/>
      <c r="BN45" s="3" t="s">
        <v>232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 t="s">
        <v>192</v>
      </c>
      <c r="CI45" s="3">
        <v>0</v>
      </c>
      <c r="CJ45" s="3">
        <v>0</v>
      </c>
      <c r="CK45" s="3">
        <v>0</v>
      </c>
      <c r="CL45" s="3" t="s">
        <v>112</v>
      </c>
      <c r="CM45" s="3" t="s">
        <v>112</v>
      </c>
    </row>
    <row r="46" spans="1:91" x14ac:dyDescent="0.25">
      <c r="A46" s="3" t="s">
        <v>90</v>
      </c>
      <c r="B46" s="3" t="s">
        <v>271</v>
      </c>
      <c r="C46" s="3">
        <v>3942</v>
      </c>
      <c r="D46" s="3">
        <v>6000301</v>
      </c>
      <c r="E46" s="3"/>
      <c r="F46" s="3" t="s">
        <v>92</v>
      </c>
      <c r="G46" s="3" t="s">
        <v>93</v>
      </c>
      <c r="H46" s="3">
        <v>0</v>
      </c>
      <c r="I46" s="3">
        <v>0</v>
      </c>
      <c r="J46" s="3">
        <v>0</v>
      </c>
      <c r="K46" s="3">
        <v>0</v>
      </c>
      <c r="L46" s="3" t="s">
        <v>223</v>
      </c>
      <c r="M46" s="3" t="s">
        <v>223</v>
      </c>
      <c r="N46" s="3">
        <v>0</v>
      </c>
      <c r="O46" s="3">
        <v>0</v>
      </c>
      <c r="P46" s="3">
        <v>17.2315</v>
      </c>
      <c r="Q46" s="3">
        <v>7469</v>
      </c>
      <c r="R46" s="3">
        <v>430</v>
      </c>
      <c r="S46" s="3" t="s">
        <v>272</v>
      </c>
      <c r="T46" s="3" t="s">
        <v>185</v>
      </c>
      <c r="U46" s="3">
        <v>1809775</v>
      </c>
      <c r="V46" s="3">
        <v>1809775</v>
      </c>
      <c r="W46" s="3">
        <v>0</v>
      </c>
      <c r="X46" s="3">
        <v>0</v>
      </c>
      <c r="Y46" s="3">
        <v>0</v>
      </c>
      <c r="Z46" s="3">
        <v>0</v>
      </c>
      <c r="AA46" s="3" t="s">
        <v>226</v>
      </c>
      <c r="AB46" s="3"/>
      <c r="AC46" s="3">
        <v>1809775</v>
      </c>
      <c r="AD46" s="3">
        <v>278.77001999999999</v>
      </c>
      <c r="AE46" s="3">
        <v>354</v>
      </c>
      <c r="AF46" s="3">
        <v>6</v>
      </c>
      <c r="AG46" s="3">
        <v>0</v>
      </c>
      <c r="AH46" s="3">
        <v>0</v>
      </c>
      <c r="AI46" s="3">
        <v>53</v>
      </c>
      <c r="AJ46" s="3">
        <v>14478</v>
      </c>
      <c r="AK46" s="3">
        <v>0</v>
      </c>
      <c r="AL46" s="3">
        <v>0</v>
      </c>
      <c r="AM46" s="3">
        <v>330</v>
      </c>
      <c r="AN46" s="3">
        <v>124316</v>
      </c>
      <c r="AO46" s="3" t="s">
        <v>97</v>
      </c>
      <c r="AP46" s="3" t="s">
        <v>98</v>
      </c>
      <c r="AQ46" s="3">
        <v>210363670</v>
      </c>
      <c r="AR46" s="3" t="s">
        <v>99</v>
      </c>
      <c r="AS46" s="3" t="s">
        <v>100</v>
      </c>
      <c r="AT46" s="3">
        <v>265080842</v>
      </c>
      <c r="AU46" s="3"/>
      <c r="AV46" s="3" t="s">
        <v>188</v>
      </c>
      <c r="AW46" s="3">
        <v>38089199</v>
      </c>
      <c r="AX46" s="3">
        <v>99</v>
      </c>
      <c r="AY46" s="3">
        <v>6492</v>
      </c>
      <c r="AZ46" s="3">
        <v>6492</v>
      </c>
      <c r="BA46" s="3" t="s">
        <v>103</v>
      </c>
      <c r="BB46" s="3"/>
      <c r="BC46" s="3" t="s">
        <v>189</v>
      </c>
      <c r="BD46" s="3" t="s">
        <v>105</v>
      </c>
      <c r="BE46" s="4">
        <v>46065</v>
      </c>
      <c r="BF46" s="4">
        <v>46078</v>
      </c>
      <c r="BG46" s="4">
        <v>46079</v>
      </c>
      <c r="BH46" s="3" t="s">
        <v>106</v>
      </c>
      <c r="BI46" s="3" t="s">
        <v>107</v>
      </c>
      <c r="BJ46" s="5" t="s">
        <v>273</v>
      </c>
      <c r="BK46" s="3" t="s">
        <v>274</v>
      </c>
      <c r="BL46" s="3"/>
      <c r="BM46" s="3" t="s">
        <v>109</v>
      </c>
      <c r="BN46" s="3" t="s">
        <v>275</v>
      </c>
      <c r="BO46" s="3">
        <v>43430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5600</v>
      </c>
      <c r="CF46" s="3">
        <v>1339.2</v>
      </c>
      <c r="CG46" s="3">
        <v>106834.03</v>
      </c>
      <c r="CH46" s="3" t="s">
        <v>192</v>
      </c>
      <c r="CI46" s="3">
        <v>106834.03</v>
      </c>
      <c r="CJ46" s="3">
        <v>0</v>
      </c>
      <c r="CK46" s="3">
        <v>0</v>
      </c>
      <c r="CL46" s="3" t="s">
        <v>112</v>
      </c>
      <c r="CM46" s="3" t="s">
        <v>112</v>
      </c>
    </row>
    <row r="47" spans="1:91" x14ac:dyDescent="0.25">
      <c r="A47" s="3" t="s">
        <v>90</v>
      </c>
      <c r="B47" s="14" t="s">
        <v>201</v>
      </c>
      <c r="C47" s="3">
        <v>3942</v>
      </c>
      <c r="D47" s="3">
        <v>6000204</v>
      </c>
      <c r="E47" s="3"/>
      <c r="F47" s="3" t="s">
        <v>92</v>
      </c>
      <c r="G47" s="3" t="s">
        <v>93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17.215499999999999</v>
      </c>
      <c r="Q47" s="3">
        <v>1441</v>
      </c>
      <c r="R47" s="3">
        <v>430</v>
      </c>
      <c r="S47" s="3" t="s">
        <v>202</v>
      </c>
      <c r="T47" s="3" t="s">
        <v>95</v>
      </c>
      <c r="U47" s="3">
        <v>2368554</v>
      </c>
      <c r="V47" s="3">
        <v>2368554</v>
      </c>
      <c r="W47" s="3">
        <v>0</v>
      </c>
      <c r="X47" s="3">
        <v>0</v>
      </c>
      <c r="Y47" s="3">
        <v>0</v>
      </c>
      <c r="Z47" s="3">
        <v>0</v>
      </c>
      <c r="AA47" s="3" t="s">
        <v>203</v>
      </c>
      <c r="AB47" s="3"/>
      <c r="AC47" s="3">
        <v>460074</v>
      </c>
      <c r="AD47" s="3">
        <v>2421.44211</v>
      </c>
      <c r="AE47" s="3">
        <v>808</v>
      </c>
      <c r="AF47" s="3">
        <v>0</v>
      </c>
      <c r="AG47" s="3">
        <v>0</v>
      </c>
      <c r="AH47" s="3">
        <v>0</v>
      </c>
      <c r="AI47" s="3">
        <v>53</v>
      </c>
      <c r="AJ47" s="3">
        <v>462</v>
      </c>
      <c r="AK47" s="3">
        <v>0</v>
      </c>
      <c r="AL47" s="3">
        <v>0</v>
      </c>
      <c r="AM47" s="3">
        <v>330</v>
      </c>
      <c r="AN47" s="3">
        <v>845</v>
      </c>
      <c r="AO47" s="3" t="s">
        <v>97</v>
      </c>
      <c r="AP47" s="3" t="s">
        <v>98</v>
      </c>
      <c r="AQ47" s="3">
        <v>210362396</v>
      </c>
      <c r="AR47" s="3" t="s">
        <v>99</v>
      </c>
      <c r="AS47" s="3" t="s">
        <v>100</v>
      </c>
      <c r="AT47" s="3" t="s">
        <v>204</v>
      </c>
      <c r="AU47" s="3"/>
      <c r="AV47" s="3" t="s">
        <v>146</v>
      </c>
      <c r="AW47" s="3">
        <v>30042099</v>
      </c>
      <c r="AX47" s="3">
        <v>0</v>
      </c>
      <c r="AY47" s="3">
        <v>190</v>
      </c>
      <c r="AZ47" s="3">
        <v>190</v>
      </c>
      <c r="BA47" s="3" t="s">
        <v>103</v>
      </c>
      <c r="BB47" s="3"/>
      <c r="BC47" s="3" t="s">
        <v>126</v>
      </c>
      <c r="BD47" s="3" t="s">
        <v>105</v>
      </c>
      <c r="BE47" s="4">
        <v>46066</v>
      </c>
      <c r="BF47" s="4">
        <v>46078</v>
      </c>
      <c r="BG47" s="4">
        <v>46079</v>
      </c>
      <c r="BH47" s="3" t="s">
        <v>106</v>
      </c>
      <c r="BI47" s="3" t="s">
        <v>107</v>
      </c>
      <c r="BJ47" s="5" t="s">
        <v>205</v>
      </c>
      <c r="BK47" s="3" t="s">
        <v>206</v>
      </c>
      <c r="BL47" s="3"/>
      <c r="BM47" s="3" t="s">
        <v>109</v>
      </c>
      <c r="BN47" s="3" t="s">
        <v>207</v>
      </c>
      <c r="BO47" s="3">
        <v>43635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22189.59</v>
      </c>
      <c r="CB47" s="3">
        <v>0</v>
      </c>
      <c r="CC47" s="3">
        <v>0</v>
      </c>
      <c r="CD47" s="3">
        <v>40398.910000000003</v>
      </c>
      <c r="CE47" s="3">
        <v>5600</v>
      </c>
      <c r="CF47" s="3">
        <v>1659.2</v>
      </c>
      <c r="CG47" s="3">
        <v>230430.01</v>
      </c>
      <c r="CH47" s="3" t="s">
        <v>192</v>
      </c>
      <c r="CI47" s="3">
        <v>230430.01</v>
      </c>
      <c r="CJ47" s="3">
        <v>0</v>
      </c>
      <c r="CK47" s="3">
        <v>0</v>
      </c>
      <c r="CL47" s="3" t="s">
        <v>112</v>
      </c>
      <c r="CM47" s="3" t="s">
        <v>112</v>
      </c>
    </row>
    <row r="48" spans="1:91" x14ac:dyDescent="0.25">
      <c r="A48" s="3" t="s">
        <v>90</v>
      </c>
      <c r="B48" s="14" t="s">
        <v>201</v>
      </c>
      <c r="C48" s="3">
        <v>3942</v>
      </c>
      <c r="D48" s="3">
        <v>6000204</v>
      </c>
      <c r="E48" s="3"/>
      <c r="F48" s="3" t="s">
        <v>92</v>
      </c>
      <c r="G48" s="3" t="s">
        <v>93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430</v>
      </c>
      <c r="S48" s="3" t="s">
        <v>202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208</v>
      </c>
      <c r="AB48" s="3"/>
      <c r="AC48" s="3">
        <v>1908480</v>
      </c>
      <c r="AD48" s="3">
        <v>840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/>
      <c r="AP48" s="3" t="s">
        <v>98</v>
      </c>
      <c r="AQ48" s="3">
        <v>210362396</v>
      </c>
      <c r="AR48" s="3" t="s">
        <v>99</v>
      </c>
      <c r="AS48" s="3" t="s">
        <v>100</v>
      </c>
      <c r="AT48" s="3">
        <v>0</v>
      </c>
      <c r="AU48" s="3">
        <v>0</v>
      </c>
      <c r="AV48" s="3">
        <v>0</v>
      </c>
      <c r="AW48" s="3">
        <v>30042099</v>
      </c>
      <c r="AX48" s="3">
        <v>0</v>
      </c>
      <c r="AY48" s="3">
        <v>2272</v>
      </c>
      <c r="AZ48" s="3">
        <v>2272</v>
      </c>
      <c r="BA48" s="3" t="s">
        <v>103</v>
      </c>
      <c r="BB48" s="3"/>
      <c r="BC48" s="3" t="s">
        <v>126</v>
      </c>
      <c r="BD48" s="3" t="s">
        <v>105</v>
      </c>
      <c r="BE48" s="3"/>
      <c r="BF48" s="3"/>
      <c r="BG48" s="3"/>
      <c r="BH48" s="3"/>
      <c r="BI48" s="3"/>
      <c r="BJ48" s="5"/>
      <c r="BK48" s="3"/>
      <c r="BL48" s="3"/>
      <c r="BM48" s="3"/>
      <c r="BN48" s="3" t="s">
        <v>207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 t="s">
        <v>192</v>
      </c>
      <c r="CI48" s="3">
        <v>0</v>
      </c>
      <c r="CJ48" s="3">
        <v>0</v>
      </c>
      <c r="CK48" s="3">
        <v>0</v>
      </c>
      <c r="CL48" s="3" t="s">
        <v>112</v>
      </c>
      <c r="CM48" s="3" t="s">
        <v>112</v>
      </c>
    </row>
    <row r="49" spans="1:91" x14ac:dyDescent="0.25">
      <c r="A49" s="3" t="s">
        <v>90</v>
      </c>
      <c r="B49" s="16" t="s">
        <v>233</v>
      </c>
      <c r="C49" s="3">
        <v>3942</v>
      </c>
      <c r="D49" s="3">
        <v>6000244</v>
      </c>
      <c r="E49" s="3"/>
      <c r="F49" s="3" t="s">
        <v>92</v>
      </c>
      <c r="G49" s="3" t="s">
        <v>93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17.2</v>
      </c>
      <c r="Q49" s="3">
        <v>708.6</v>
      </c>
      <c r="R49" s="3">
        <v>430</v>
      </c>
      <c r="S49" s="3" t="s">
        <v>234</v>
      </c>
      <c r="T49" s="3" t="s">
        <v>130</v>
      </c>
      <c r="U49" s="3">
        <v>1074755</v>
      </c>
      <c r="V49" s="3">
        <v>1074755</v>
      </c>
      <c r="W49" s="3">
        <v>0</v>
      </c>
      <c r="X49" s="3">
        <v>0</v>
      </c>
      <c r="Y49" s="3">
        <v>0</v>
      </c>
      <c r="Z49" s="3">
        <v>0</v>
      </c>
      <c r="AA49" s="3" t="s">
        <v>235</v>
      </c>
      <c r="AB49" s="3"/>
      <c r="AC49" s="3">
        <v>272000</v>
      </c>
      <c r="AD49" s="3">
        <v>68</v>
      </c>
      <c r="AE49" s="3">
        <v>808</v>
      </c>
      <c r="AF49" s="3">
        <v>16</v>
      </c>
      <c r="AG49" s="3">
        <v>0</v>
      </c>
      <c r="AH49" s="3">
        <v>0</v>
      </c>
      <c r="AI49" s="3">
        <v>53</v>
      </c>
      <c r="AJ49" s="3">
        <v>462</v>
      </c>
      <c r="AK49" s="3">
        <v>0</v>
      </c>
      <c r="AL49" s="3">
        <v>128478</v>
      </c>
      <c r="AM49" s="3">
        <v>330</v>
      </c>
      <c r="AN49" s="3">
        <v>129323</v>
      </c>
      <c r="AO49" s="3" t="s">
        <v>97</v>
      </c>
      <c r="AP49" s="3" t="s">
        <v>98</v>
      </c>
      <c r="AQ49" s="3">
        <v>210363667</v>
      </c>
      <c r="AR49" s="3" t="s">
        <v>99</v>
      </c>
      <c r="AS49" s="3" t="s">
        <v>100</v>
      </c>
      <c r="AT49" s="3" t="s">
        <v>236</v>
      </c>
      <c r="AU49" s="3"/>
      <c r="AV49" s="3" t="s">
        <v>102</v>
      </c>
      <c r="AW49" s="3">
        <v>30049099</v>
      </c>
      <c r="AX49" s="3">
        <v>99</v>
      </c>
      <c r="AY49" s="3">
        <v>4000</v>
      </c>
      <c r="AZ49" s="3">
        <v>4000</v>
      </c>
      <c r="BA49" s="3" t="s">
        <v>103</v>
      </c>
      <c r="BB49" s="3"/>
      <c r="BC49" s="3" t="s">
        <v>126</v>
      </c>
      <c r="BD49" s="3" t="s">
        <v>105</v>
      </c>
      <c r="BE49" s="4">
        <v>46069</v>
      </c>
      <c r="BF49" s="4">
        <v>46084</v>
      </c>
      <c r="BG49" s="4">
        <v>46090</v>
      </c>
      <c r="BH49" s="3" t="s">
        <v>106</v>
      </c>
      <c r="BI49" s="3" t="s">
        <v>107</v>
      </c>
      <c r="BJ49" s="5">
        <v>4.30640220260588E+16</v>
      </c>
      <c r="BK49" s="3" t="s">
        <v>108</v>
      </c>
      <c r="BL49" s="3"/>
      <c r="BM49" s="3" t="s">
        <v>109</v>
      </c>
      <c r="BN49" s="3" t="s">
        <v>237</v>
      </c>
      <c r="BO49" s="3">
        <v>44290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22189.59</v>
      </c>
      <c r="CB49" s="3">
        <v>0</v>
      </c>
      <c r="CC49" s="3">
        <v>0</v>
      </c>
      <c r="CD49" s="3">
        <v>92940.53</v>
      </c>
      <c r="CE49" s="3">
        <v>5600</v>
      </c>
      <c r="CF49" s="3">
        <v>1659.2</v>
      </c>
      <c r="CG49" s="3">
        <v>348588.11</v>
      </c>
      <c r="CH49" s="3" t="s">
        <v>192</v>
      </c>
      <c r="CI49" s="3">
        <v>348588.11</v>
      </c>
      <c r="CJ49" s="3">
        <v>0</v>
      </c>
      <c r="CK49" s="3">
        <v>0</v>
      </c>
      <c r="CL49" s="3" t="s">
        <v>112</v>
      </c>
      <c r="CM49" s="3" t="s">
        <v>112</v>
      </c>
    </row>
    <row r="50" spans="1:91" x14ac:dyDescent="0.25">
      <c r="A50" s="3" t="s">
        <v>90</v>
      </c>
      <c r="B50" s="15" t="s">
        <v>209</v>
      </c>
      <c r="C50" s="3">
        <v>3942</v>
      </c>
      <c r="D50" s="3">
        <v>6000222</v>
      </c>
      <c r="E50" s="3"/>
      <c r="F50" s="3" t="s">
        <v>92</v>
      </c>
      <c r="G50" s="3" t="s">
        <v>93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430</v>
      </c>
      <c r="S50" s="3" t="s">
        <v>210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216</v>
      </c>
      <c r="AB50" s="3"/>
      <c r="AC50" s="3">
        <v>6117361</v>
      </c>
      <c r="AD50" s="3">
        <v>484.38997999999998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/>
      <c r="AP50" s="3" t="s">
        <v>98</v>
      </c>
      <c r="AQ50" s="3">
        <v>210363198</v>
      </c>
      <c r="AR50" s="3" t="s">
        <v>99</v>
      </c>
      <c r="AS50" s="3" t="s">
        <v>100</v>
      </c>
      <c r="AT50" s="3">
        <v>0</v>
      </c>
      <c r="AU50" s="3">
        <v>0</v>
      </c>
      <c r="AV50" s="3">
        <v>0</v>
      </c>
      <c r="AW50" s="3">
        <v>30024201</v>
      </c>
      <c r="AX50" s="3">
        <v>99</v>
      </c>
      <c r="AY50" s="3">
        <v>12629</v>
      </c>
      <c r="AZ50" s="3">
        <v>12629</v>
      </c>
      <c r="BA50" s="3" t="s">
        <v>103</v>
      </c>
      <c r="BB50" s="3"/>
      <c r="BC50" s="3" t="s">
        <v>105</v>
      </c>
      <c r="BD50" s="3" t="s">
        <v>105</v>
      </c>
      <c r="BE50" s="3"/>
      <c r="BF50" s="3"/>
      <c r="BG50" s="3"/>
      <c r="BH50" s="3"/>
      <c r="BI50" s="3"/>
      <c r="BJ50" s="5"/>
      <c r="BK50" s="3"/>
      <c r="BL50" s="3"/>
      <c r="BM50" s="3"/>
      <c r="BN50" s="3" t="s">
        <v>215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 t="s">
        <v>192</v>
      </c>
      <c r="CI50" s="3">
        <v>0</v>
      </c>
      <c r="CJ50" s="3">
        <v>0</v>
      </c>
      <c r="CK50" s="3">
        <v>0</v>
      </c>
      <c r="CL50" s="3" t="s">
        <v>112</v>
      </c>
      <c r="CM50" s="3" t="s">
        <v>112</v>
      </c>
    </row>
    <row r="51" spans="1:91" x14ac:dyDescent="0.25">
      <c r="A51" s="3" t="s">
        <v>90</v>
      </c>
      <c r="B51" s="15" t="s">
        <v>209</v>
      </c>
      <c r="C51" s="3">
        <v>3942</v>
      </c>
      <c r="D51" s="3">
        <v>6000222</v>
      </c>
      <c r="E51" s="3"/>
      <c r="F51" s="3" t="s">
        <v>92</v>
      </c>
      <c r="G51" s="3" t="s">
        <v>93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430</v>
      </c>
      <c r="S51" s="3" t="s">
        <v>210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 t="s">
        <v>217</v>
      </c>
      <c r="AB51" s="3"/>
      <c r="AC51" s="3">
        <v>2312707</v>
      </c>
      <c r="AD51" s="3">
        <v>520.87995000000001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/>
      <c r="AP51" s="3" t="s">
        <v>98</v>
      </c>
      <c r="AQ51" s="3">
        <v>210363198</v>
      </c>
      <c r="AR51" s="3" t="s">
        <v>99</v>
      </c>
      <c r="AS51" s="3" t="s">
        <v>100</v>
      </c>
      <c r="AT51" s="3">
        <v>0</v>
      </c>
      <c r="AU51" s="3">
        <v>0</v>
      </c>
      <c r="AV51" s="3">
        <v>0</v>
      </c>
      <c r="AW51" s="3">
        <v>30024201</v>
      </c>
      <c r="AX51" s="3">
        <v>99</v>
      </c>
      <c r="AY51" s="3">
        <v>4440</v>
      </c>
      <c r="AZ51" s="3">
        <v>4440</v>
      </c>
      <c r="BA51" s="3" t="s">
        <v>103</v>
      </c>
      <c r="BB51" s="3"/>
      <c r="BC51" s="3" t="s">
        <v>105</v>
      </c>
      <c r="BD51" s="3" t="s">
        <v>105</v>
      </c>
      <c r="BE51" s="3"/>
      <c r="BF51" s="3"/>
      <c r="BG51" s="3"/>
      <c r="BH51" s="3"/>
      <c r="BI51" s="3"/>
      <c r="BJ51" s="5"/>
      <c r="BK51" s="3"/>
      <c r="BL51" s="3"/>
      <c r="BM51" s="3"/>
      <c r="BN51" s="3" t="s">
        <v>215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 t="s">
        <v>192</v>
      </c>
      <c r="CI51" s="3">
        <v>0</v>
      </c>
      <c r="CJ51" s="3">
        <v>0</v>
      </c>
      <c r="CK51" s="3">
        <v>0</v>
      </c>
      <c r="CL51" s="3" t="s">
        <v>112</v>
      </c>
      <c r="CM51" s="3" t="s">
        <v>112</v>
      </c>
    </row>
    <row r="52" spans="1:91" x14ac:dyDescent="0.25">
      <c r="A52" s="3" t="s">
        <v>90</v>
      </c>
      <c r="B52" s="15" t="s">
        <v>209</v>
      </c>
      <c r="C52" s="3">
        <v>3942</v>
      </c>
      <c r="D52" s="3">
        <v>6000222</v>
      </c>
      <c r="E52" s="3"/>
      <c r="F52" s="3" t="s">
        <v>92</v>
      </c>
      <c r="G52" s="3" t="s">
        <v>93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430</v>
      </c>
      <c r="S52" s="3" t="s">
        <v>210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217</v>
      </c>
      <c r="AB52" s="3"/>
      <c r="AC52" s="3">
        <v>2217386</v>
      </c>
      <c r="AD52" s="3">
        <v>520.87995999999998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/>
      <c r="AP52" s="3" t="s">
        <v>98</v>
      </c>
      <c r="AQ52" s="3">
        <v>210363198</v>
      </c>
      <c r="AR52" s="3" t="s">
        <v>99</v>
      </c>
      <c r="AS52" s="3" t="s">
        <v>100</v>
      </c>
      <c r="AT52" s="3">
        <v>0</v>
      </c>
      <c r="AU52" s="3">
        <v>0</v>
      </c>
      <c r="AV52" s="3">
        <v>0</v>
      </c>
      <c r="AW52" s="3">
        <v>30024201</v>
      </c>
      <c r="AX52" s="3">
        <v>99</v>
      </c>
      <c r="AY52" s="3">
        <v>4257</v>
      </c>
      <c r="AZ52" s="3">
        <v>4257</v>
      </c>
      <c r="BA52" s="3" t="s">
        <v>103</v>
      </c>
      <c r="BB52" s="3"/>
      <c r="BC52" s="3" t="s">
        <v>105</v>
      </c>
      <c r="BD52" s="3" t="s">
        <v>105</v>
      </c>
      <c r="BE52" s="3"/>
      <c r="BF52" s="3"/>
      <c r="BG52" s="3"/>
      <c r="BH52" s="3"/>
      <c r="BI52" s="3"/>
      <c r="BJ52" s="5"/>
      <c r="BK52" s="3"/>
      <c r="BL52" s="3"/>
      <c r="BM52" s="3"/>
      <c r="BN52" s="3" t="s">
        <v>215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 t="s">
        <v>192</v>
      </c>
      <c r="CI52" s="3">
        <v>0</v>
      </c>
      <c r="CJ52" s="3">
        <v>0</v>
      </c>
      <c r="CK52" s="3">
        <v>0</v>
      </c>
      <c r="CL52" s="3" t="s">
        <v>112</v>
      </c>
      <c r="CM52" s="3" t="s">
        <v>112</v>
      </c>
    </row>
    <row r="53" spans="1:91" x14ac:dyDescent="0.25">
      <c r="A53" s="3" t="s">
        <v>90</v>
      </c>
      <c r="B53" s="15" t="s">
        <v>209</v>
      </c>
      <c r="C53" s="3">
        <v>3942</v>
      </c>
      <c r="D53" s="3">
        <v>6000222</v>
      </c>
      <c r="E53" s="3"/>
      <c r="F53" s="3" t="s">
        <v>92</v>
      </c>
      <c r="G53" s="3" t="s">
        <v>93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430</v>
      </c>
      <c r="S53" s="3" t="s">
        <v>210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 t="s">
        <v>158</v>
      </c>
      <c r="AB53" s="3"/>
      <c r="AC53" s="3">
        <v>2134208</v>
      </c>
      <c r="AD53" s="3">
        <v>333.47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/>
      <c r="AP53" s="3" t="s">
        <v>98</v>
      </c>
      <c r="AQ53" s="3">
        <v>210363198</v>
      </c>
      <c r="AR53" s="3" t="s">
        <v>99</v>
      </c>
      <c r="AS53" s="3" t="s">
        <v>100</v>
      </c>
      <c r="AT53" s="3">
        <v>0</v>
      </c>
      <c r="AU53" s="3">
        <v>0</v>
      </c>
      <c r="AV53" s="3">
        <v>0</v>
      </c>
      <c r="AW53" s="3">
        <v>30024201</v>
      </c>
      <c r="AX53" s="3">
        <v>99</v>
      </c>
      <c r="AY53" s="3">
        <v>6400</v>
      </c>
      <c r="AZ53" s="3">
        <v>6400</v>
      </c>
      <c r="BA53" s="3" t="s">
        <v>103</v>
      </c>
      <c r="BB53" s="3"/>
      <c r="BC53" s="3" t="s">
        <v>105</v>
      </c>
      <c r="BD53" s="3" t="s">
        <v>105</v>
      </c>
      <c r="BE53" s="3"/>
      <c r="BF53" s="3"/>
      <c r="BG53" s="3"/>
      <c r="BH53" s="3"/>
      <c r="BI53" s="3"/>
      <c r="BJ53" s="5"/>
      <c r="BK53" s="3"/>
      <c r="BL53" s="3"/>
      <c r="BM53" s="3"/>
      <c r="BN53" s="3" t="s">
        <v>215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 t="s">
        <v>192</v>
      </c>
      <c r="CI53" s="3">
        <v>0</v>
      </c>
      <c r="CJ53" s="3">
        <v>0</v>
      </c>
      <c r="CK53" s="3">
        <v>0</v>
      </c>
      <c r="CL53" s="3" t="s">
        <v>112</v>
      </c>
      <c r="CM53" s="3" t="s">
        <v>112</v>
      </c>
    </row>
    <row r="54" spans="1:91" x14ac:dyDescent="0.25">
      <c r="A54" s="3" t="s">
        <v>90</v>
      </c>
      <c r="B54" s="15" t="s">
        <v>209</v>
      </c>
      <c r="C54" s="3">
        <v>3942</v>
      </c>
      <c r="D54" s="3">
        <v>6000222</v>
      </c>
      <c r="E54" s="3"/>
      <c r="F54" s="3" t="s">
        <v>92</v>
      </c>
      <c r="G54" s="3" t="s">
        <v>93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430</v>
      </c>
      <c r="S54" s="3" t="s">
        <v>210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 t="s">
        <v>218</v>
      </c>
      <c r="AB54" s="3"/>
      <c r="AC54" s="3">
        <v>1461294</v>
      </c>
      <c r="AD54" s="3">
        <v>1029.0802799999999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/>
      <c r="AP54" s="3" t="s">
        <v>98</v>
      </c>
      <c r="AQ54" s="3">
        <v>210363199</v>
      </c>
      <c r="AR54" s="3" t="s">
        <v>99</v>
      </c>
      <c r="AS54" s="3" t="s">
        <v>100</v>
      </c>
      <c r="AT54" s="3">
        <v>0</v>
      </c>
      <c r="AU54" s="3">
        <v>0</v>
      </c>
      <c r="AV54" s="3">
        <v>0</v>
      </c>
      <c r="AW54" s="3">
        <v>30024201</v>
      </c>
      <c r="AX54" s="3">
        <v>99</v>
      </c>
      <c r="AY54" s="3">
        <v>1420</v>
      </c>
      <c r="AZ54" s="3">
        <v>1420</v>
      </c>
      <c r="BA54" s="3" t="s">
        <v>103</v>
      </c>
      <c r="BB54" s="3"/>
      <c r="BC54" s="3" t="s">
        <v>105</v>
      </c>
      <c r="BD54" s="3" t="s">
        <v>105</v>
      </c>
      <c r="BE54" s="3"/>
      <c r="BF54" s="3"/>
      <c r="BG54" s="3"/>
      <c r="BH54" s="3"/>
      <c r="BI54" s="3"/>
      <c r="BJ54" s="5"/>
      <c r="BK54" s="3"/>
      <c r="BL54" s="3"/>
      <c r="BM54" s="3"/>
      <c r="BN54" s="3" t="s">
        <v>219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 t="s">
        <v>192</v>
      </c>
      <c r="CI54" s="3">
        <v>0</v>
      </c>
      <c r="CJ54" s="3">
        <v>0</v>
      </c>
      <c r="CK54" s="3">
        <v>0</v>
      </c>
      <c r="CL54" s="3" t="s">
        <v>112</v>
      </c>
      <c r="CM54" s="3" t="s">
        <v>112</v>
      </c>
    </row>
    <row r="55" spans="1:91" x14ac:dyDescent="0.25">
      <c r="A55" s="3" t="s">
        <v>90</v>
      </c>
      <c r="B55" s="15" t="s">
        <v>209</v>
      </c>
      <c r="C55" s="3">
        <v>3942</v>
      </c>
      <c r="D55" s="3">
        <v>6000222</v>
      </c>
      <c r="E55" s="3"/>
      <c r="F55" s="3" t="s">
        <v>92</v>
      </c>
      <c r="G55" s="3" t="s">
        <v>93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430</v>
      </c>
      <c r="S55" s="3" t="s">
        <v>210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 t="s">
        <v>220</v>
      </c>
      <c r="AB55" s="3"/>
      <c r="AC55" s="3">
        <v>268461</v>
      </c>
      <c r="AD55" s="3">
        <v>645.33893999999998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/>
      <c r="AP55" s="3" t="s">
        <v>98</v>
      </c>
      <c r="AQ55" s="3">
        <v>210362217</v>
      </c>
      <c r="AR55" s="3" t="s">
        <v>99</v>
      </c>
      <c r="AS55" s="3" t="s">
        <v>100</v>
      </c>
      <c r="AT55" s="3">
        <v>0</v>
      </c>
      <c r="AU55" s="3">
        <v>0</v>
      </c>
      <c r="AV55" s="3">
        <v>0</v>
      </c>
      <c r="AW55" s="3">
        <v>30024201</v>
      </c>
      <c r="AX55" s="3">
        <v>99</v>
      </c>
      <c r="AY55" s="3">
        <v>416</v>
      </c>
      <c r="AZ55" s="3">
        <v>416</v>
      </c>
      <c r="BA55" s="3" t="s">
        <v>103</v>
      </c>
      <c r="BB55" s="3"/>
      <c r="BC55" s="3" t="s">
        <v>105</v>
      </c>
      <c r="BD55" s="3" t="s">
        <v>105</v>
      </c>
      <c r="BE55" s="3"/>
      <c r="BF55" s="3"/>
      <c r="BG55" s="3"/>
      <c r="BH55" s="3"/>
      <c r="BI55" s="3"/>
      <c r="BJ55" s="5"/>
      <c r="BK55" s="3"/>
      <c r="BL55" s="3"/>
      <c r="BM55" s="3"/>
      <c r="BN55" s="3" t="s">
        <v>221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 t="s">
        <v>192</v>
      </c>
      <c r="CI55" s="3">
        <v>0</v>
      </c>
      <c r="CJ55" s="3">
        <v>0</v>
      </c>
      <c r="CK55" s="3">
        <v>0</v>
      </c>
      <c r="CL55" s="3" t="s">
        <v>112</v>
      </c>
      <c r="CM55" s="3" t="s">
        <v>112</v>
      </c>
    </row>
    <row r="56" spans="1:91" x14ac:dyDescent="0.25">
      <c r="A56" s="3" t="s">
        <v>90</v>
      </c>
      <c r="B56" s="3" t="s">
        <v>257</v>
      </c>
      <c r="C56" s="3">
        <v>3942</v>
      </c>
      <c r="D56" s="3">
        <v>6000303</v>
      </c>
      <c r="E56" s="3"/>
      <c r="F56" s="3" t="s">
        <v>92</v>
      </c>
      <c r="G56" s="3" t="s">
        <v>93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17.1722</v>
      </c>
      <c r="Q56" s="3">
        <v>3874</v>
      </c>
      <c r="R56" s="3">
        <v>430</v>
      </c>
      <c r="S56" s="3" t="s">
        <v>258</v>
      </c>
      <c r="T56" s="3" t="s">
        <v>95</v>
      </c>
      <c r="U56" s="3">
        <v>17566160</v>
      </c>
      <c r="V56" s="3">
        <v>17566160</v>
      </c>
      <c r="W56" s="3">
        <v>0</v>
      </c>
      <c r="X56" s="3">
        <v>0</v>
      </c>
      <c r="Y56" s="3">
        <v>0</v>
      </c>
      <c r="Z56" s="3">
        <v>0</v>
      </c>
      <c r="AA56" s="3" t="s">
        <v>220</v>
      </c>
      <c r="AB56" s="3"/>
      <c r="AC56" s="3">
        <v>321379</v>
      </c>
      <c r="AD56" s="3">
        <v>645.33936000000006</v>
      </c>
      <c r="AE56" s="3">
        <v>808</v>
      </c>
      <c r="AF56" s="3">
        <v>0</v>
      </c>
      <c r="AG56" s="3">
        <v>0</v>
      </c>
      <c r="AH56" s="3">
        <v>0</v>
      </c>
      <c r="AI56" s="3">
        <v>53</v>
      </c>
      <c r="AJ56" s="3">
        <v>462</v>
      </c>
      <c r="AK56" s="3">
        <v>0</v>
      </c>
      <c r="AL56" s="3">
        <v>0</v>
      </c>
      <c r="AM56" s="3">
        <v>330</v>
      </c>
      <c r="AN56" s="3">
        <v>845</v>
      </c>
      <c r="AO56" s="3" t="s">
        <v>97</v>
      </c>
      <c r="AP56" s="3" t="s">
        <v>98</v>
      </c>
      <c r="AQ56" s="3">
        <v>210364287</v>
      </c>
      <c r="AR56" s="3" t="s">
        <v>99</v>
      </c>
      <c r="AS56" s="3" t="s">
        <v>100</v>
      </c>
      <c r="AT56" s="3" t="s">
        <v>259</v>
      </c>
      <c r="AU56" s="3"/>
      <c r="AV56" s="3" t="s">
        <v>146</v>
      </c>
      <c r="AW56" s="3">
        <v>30024201</v>
      </c>
      <c r="AX56" s="3">
        <v>99</v>
      </c>
      <c r="AY56" s="3">
        <v>498</v>
      </c>
      <c r="AZ56" s="3">
        <v>498</v>
      </c>
      <c r="BA56" s="3" t="s">
        <v>103</v>
      </c>
      <c r="BB56" s="3"/>
      <c r="BC56" s="3" t="s">
        <v>105</v>
      </c>
      <c r="BD56" s="3" t="s">
        <v>105</v>
      </c>
      <c r="BE56" s="4">
        <v>46077</v>
      </c>
      <c r="BF56" s="4">
        <v>46084</v>
      </c>
      <c r="BG56" s="4">
        <v>46085</v>
      </c>
      <c r="BH56" s="3" t="s">
        <v>106</v>
      </c>
      <c r="BI56" s="3" t="s">
        <v>107</v>
      </c>
      <c r="BJ56" s="5" t="s">
        <v>260</v>
      </c>
      <c r="BK56" s="3" t="s">
        <v>148</v>
      </c>
      <c r="BL56" s="3"/>
      <c r="BM56" s="3" t="s">
        <v>109</v>
      </c>
      <c r="BN56" s="3" t="s">
        <v>261</v>
      </c>
      <c r="BO56" s="3">
        <v>43966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44379.18</v>
      </c>
      <c r="CB56" s="3">
        <v>0</v>
      </c>
      <c r="CC56" s="3">
        <v>0</v>
      </c>
      <c r="CD56" s="3">
        <v>26829.06</v>
      </c>
      <c r="CE56" s="3">
        <v>18000</v>
      </c>
      <c r="CF56" s="3">
        <v>4283.2</v>
      </c>
      <c r="CG56" s="3">
        <v>250436.84</v>
      </c>
      <c r="CH56" s="3" t="s">
        <v>192</v>
      </c>
      <c r="CI56" s="3">
        <v>250436.84</v>
      </c>
      <c r="CJ56" s="3">
        <v>0</v>
      </c>
      <c r="CK56" s="3">
        <v>0</v>
      </c>
      <c r="CL56" s="3" t="s">
        <v>112</v>
      </c>
      <c r="CM56" s="3" t="s">
        <v>112</v>
      </c>
    </row>
    <row r="57" spans="1:91" x14ac:dyDescent="0.25">
      <c r="A57" s="3" t="s">
        <v>90</v>
      </c>
      <c r="B57" s="17" t="s">
        <v>341</v>
      </c>
      <c r="C57" s="3">
        <v>3942</v>
      </c>
      <c r="D57" s="3">
        <v>6000406</v>
      </c>
      <c r="E57" s="3">
        <v>6000244</v>
      </c>
      <c r="F57" s="3" t="s">
        <v>92</v>
      </c>
      <c r="G57" s="3" t="s">
        <v>342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17.2</v>
      </c>
      <c r="Q57" s="3">
        <v>708.6</v>
      </c>
      <c r="R57" s="3">
        <v>430</v>
      </c>
      <c r="S57" s="3" t="s">
        <v>234</v>
      </c>
      <c r="T57" s="3" t="s">
        <v>130</v>
      </c>
      <c r="U57" s="3">
        <v>1074755</v>
      </c>
      <c r="V57" s="3">
        <v>1074755</v>
      </c>
      <c r="W57" s="3">
        <v>0</v>
      </c>
      <c r="X57" s="3">
        <v>0</v>
      </c>
      <c r="Y57" s="3">
        <v>0</v>
      </c>
      <c r="Z57" s="3">
        <v>0</v>
      </c>
      <c r="AA57" s="3" t="s">
        <v>235</v>
      </c>
      <c r="AB57" s="3"/>
      <c r="AC57" s="3">
        <v>272000</v>
      </c>
      <c r="AD57" s="3">
        <v>68</v>
      </c>
      <c r="AE57" s="3">
        <v>808</v>
      </c>
      <c r="AF57" s="3">
        <v>16</v>
      </c>
      <c r="AG57" s="3">
        <v>0</v>
      </c>
      <c r="AH57" s="3">
        <v>0</v>
      </c>
      <c r="AI57" s="3">
        <v>0</v>
      </c>
      <c r="AJ57" s="3">
        <v>444</v>
      </c>
      <c r="AK57" s="3">
        <v>0</v>
      </c>
      <c r="AL57" s="3">
        <v>0</v>
      </c>
      <c r="AM57" s="3">
        <v>330</v>
      </c>
      <c r="AN57" s="3">
        <v>444</v>
      </c>
      <c r="AO57" s="3" t="s">
        <v>97</v>
      </c>
      <c r="AP57" s="3" t="s">
        <v>98</v>
      </c>
      <c r="AQ57" s="3">
        <v>210363667</v>
      </c>
      <c r="AR57" s="3" t="s">
        <v>99</v>
      </c>
      <c r="AS57" s="3" t="s">
        <v>100</v>
      </c>
      <c r="AT57" s="3" t="s">
        <v>236</v>
      </c>
      <c r="AU57" s="3"/>
      <c r="AV57" s="3" t="s">
        <v>102</v>
      </c>
      <c r="AW57" s="3">
        <v>30049099</v>
      </c>
      <c r="AX57" s="3">
        <v>99</v>
      </c>
      <c r="AY57" s="3">
        <v>4000</v>
      </c>
      <c r="AZ57" s="3">
        <v>4000</v>
      </c>
      <c r="BA57" s="3" t="s">
        <v>103</v>
      </c>
      <c r="BB57" s="3"/>
      <c r="BC57" s="3" t="s">
        <v>126</v>
      </c>
      <c r="BD57" s="3" t="s">
        <v>105</v>
      </c>
      <c r="BE57" s="4">
        <v>46069</v>
      </c>
      <c r="BF57" s="4">
        <v>46090</v>
      </c>
      <c r="BG57" s="4">
        <v>46092</v>
      </c>
      <c r="BH57" s="3" t="s">
        <v>106</v>
      </c>
      <c r="BI57" s="3" t="s">
        <v>107</v>
      </c>
      <c r="BJ57" s="5">
        <v>4.30640220260588E+16</v>
      </c>
      <c r="BK57" s="3" t="s">
        <v>108</v>
      </c>
      <c r="BL57" s="3"/>
      <c r="BM57" s="3" t="s">
        <v>109</v>
      </c>
      <c r="BN57" s="3" t="s">
        <v>237</v>
      </c>
      <c r="BO57" s="3">
        <v>44290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22189.59</v>
      </c>
      <c r="CB57" s="3">
        <v>0</v>
      </c>
      <c r="CC57" s="3">
        <v>0</v>
      </c>
      <c r="CD57" s="3">
        <v>92940.53</v>
      </c>
      <c r="CE57" s="3">
        <v>5600</v>
      </c>
      <c r="CF57" s="3">
        <v>1659.2</v>
      </c>
      <c r="CG57" s="3">
        <v>348588.11</v>
      </c>
      <c r="CH57" s="3" t="s">
        <v>192</v>
      </c>
      <c r="CI57" s="3">
        <v>348588.11</v>
      </c>
      <c r="CJ57" s="3">
        <v>0</v>
      </c>
      <c r="CK57" s="3">
        <v>0</v>
      </c>
      <c r="CL57" s="3" t="s">
        <v>112</v>
      </c>
      <c r="CM57" s="3" t="s">
        <v>112</v>
      </c>
    </row>
    <row r="58" spans="1:91" x14ac:dyDescent="0.25">
      <c r="A58" s="3" t="s">
        <v>90</v>
      </c>
      <c r="B58" s="16" t="s">
        <v>233</v>
      </c>
      <c r="C58" s="3">
        <v>3942</v>
      </c>
      <c r="D58" s="3">
        <v>6000244</v>
      </c>
      <c r="E58" s="3"/>
      <c r="F58" s="3" t="s">
        <v>92</v>
      </c>
      <c r="G58" s="3" t="s">
        <v>93</v>
      </c>
      <c r="H58" s="3">
        <v>16</v>
      </c>
      <c r="I58" s="3">
        <v>128478</v>
      </c>
      <c r="J58" s="3">
        <v>0</v>
      </c>
      <c r="K58" s="3">
        <v>0</v>
      </c>
      <c r="L58" s="3" t="s">
        <v>223</v>
      </c>
      <c r="M58" s="3" t="s">
        <v>223</v>
      </c>
      <c r="N58" s="3">
        <v>0</v>
      </c>
      <c r="O58" s="3">
        <v>0</v>
      </c>
      <c r="P58" s="3">
        <v>0</v>
      </c>
      <c r="Q58" s="3">
        <v>0</v>
      </c>
      <c r="R58" s="3">
        <v>430</v>
      </c>
      <c r="S58" s="3" t="s">
        <v>234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238</v>
      </c>
      <c r="AB58" s="3"/>
      <c r="AC58" s="3">
        <v>802755</v>
      </c>
      <c r="AD58" s="3">
        <v>733.77971000000002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/>
      <c r="AP58" s="3" t="s">
        <v>98</v>
      </c>
      <c r="AQ58" s="3">
        <v>210363769</v>
      </c>
      <c r="AR58" s="3" t="s">
        <v>99</v>
      </c>
      <c r="AS58" s="3" t="s">
        <v>100</v>
      </c>
      <c r="AT58" s="3">
        <v>0</v>
      </c>
      <c r="AU58" s="3">
        <v>0</v>
      </c>
      <c r="AV58" s="3">
        <v>0</v>
      </c>
      <c r="AW58" s="3">
        <v>38086201</v>
      </c>
      <c r="AX58" s="3">
        <v>0</v>
      </c>
      <c r="AY58" s="3">
        <v>1094</v>
      </c>
      <c r="AZ58" s="3">
        <v>1094</v>
      </c>
      <c r="BA58" s="3" t="s">
        <v>121</v>
      </c>
      <c r="BB58" s="3"/>
      <c r="BC58" s="3" t="s">
        <v>104</v>
      </c>
      <c r="BD58" s="3" t="s">
        <v>105</v>
      </c>
      <c r="BE58" s="3"/>
      <c r="BF58" s="3"/>
      <c r="BG58" s="3"/>
      <c r="BH58" s="3"/>
      <c r="BI58" s="3"/>
      <c r="BJ58" s="5"/>
      <c r="BK58" s="3"/>
      <c r="BL58" s="3"/>
      <c r="BM58" s="3"/>
      <c r="BN58" s="3" t="s">
        <v>239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 t="s">
        <v>192</v>
      </c>
      <c r="CI58" s="3">
        <v>0</v>
      </c>
      <c r="CJ58" s="3">
        <v>0</v>
      </c>
      <c r="CK58" s="3">
        <v>0</v>
      </c>
      <c r="CL58" s="3" t="s">
        <v>112</v>
      </c>
      <c r="CM58" s="3" t="s">
        <v>112</v>
      </c>
    </row>
    <row r="59" spans="1:91" x14ac:dyDescent="0.25">
      <c r="A59" s="3" t="s">
        <v>90</v>
      </c>
      <c r="B59" s="3" t="s">
        <v>343</v>
      </c>
      <c r="C59" s="3">
        <v>3942</v>
      </c>
      <c r="D59" s="3">
        <v>6000418</v>
      </c>
      <c r="E59" s="3">
        <v>6000303</v>
      </c>
      <c r="F59" s="3" t="s">
        <v>92</v>
      </c>
      <c r="G59" s="3" t="s">
        <v>342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17.1722</v>
      </c>
      <c r="Q59" s="3">
        <v>3874</v>
      </c>
      <c r="R59" s="3">
        <v>430</v>
      </c>
      <c r="S59" s="3" t="s">
        <v>258</v>
      </c>
      <c r="T59" s="3" t="s">
        <v>95</v>
      </c>
      <c r="U59" s="3">
        <v>17566160</v>
      </c>
      <c r="V59" s="3">
        <v>17566160</v>
      </c>
      <c r="W59" s="3">
        <v>0</v>
      </c>
      <c r="X59" s="3">
        <v>0</v>
      </c>
      <c r="Y59" s="3">
        <v>0</v>
      </c>
      <c r="Z59" s="3">
        <v>0</v>
      </c>
      <c r="AA59" s="3" t="s">
        <v>220</v>
      </c>
      <c r="AB59" s="3"/>
      <c r="AC59" s="3">
        <v>321379</v>
      </c>
      <c r="AD59" s="3">
        <v>645.33936000000006</v>
      </c>
      <c r="AE59" s="3">
        <v>808</v>
      </c>
      <c r="AF59" s="3">
        <v>0</v>
      </c>
      <c r="AG59" s="3">
        <v>0</v>
      </c>
      <c r="AH59" s="3">
        <v>0</v>
      </c>
      <c r="AI59" s="3">
        <v>0</v>
      </c>
      <c r="AJ59" s="3">
        <v>444</v>
      </c>
      <c r="AK59" s="3">
        <v>0</v>
      </c>
      <c r="AL59" s="3">
        <v>0</v>
      </c>
      <c r="AM59" s="3">
        <v>330</v>
      </c>
      <c r="AN59" s="3">
        <v>444</v>
      </c>
      <c r="AO59" s="3" t="s">
        <v>97</v>
      </c>
      <c r="AP59" s="3" t="s">
        <v>98</v>
      </c>
      <c r="AQ59" s="3">
        <v>210364287</v>
      </c>
      <c r="AR59" s="3" t="s">
        <v>99</v>
      </c>
      <c r="AS59" s="3" t="s">
        <v>100</v>
      </c>
      <c r="AT59" s="3" t="s">
        <v>259</v>
      </c>
      <c r="AU59" s="3"/>
      <c r="AV59" s="3"/>
      <c r="AW59" s="3">
        <v>30024201</v>
      </c>
      <c r="AX59" s="3">
        <v>99</v>
      </c>
      <c r="AY59" s="3">
        <v>498</v>
      </c>
      <c r="AZ59" s="3">
        <v>498</v>
      </c>
      <c r="BA59" s="3" t="s">
        <v>103</v>
      </c>
      <c r="BB59" s="3"/>
      <c r="BC59" s="3" t="s">
        <v>105</v>
      </c>
      <c r="BD59" s="3" t="s">
        <v>105</v>
      </c>
      <c r="BE59" s="4">
        <v>46077</v>
      </c>
      <c r="BF59" s="4">
        <v>46091</v>
      </c>
      <c r="BG59" s="4">
        <v>46091</v>
      </c>
      <c r="BH59" s="3" t="s">
        <v>106</v>
      </c>
      <c r="BI59" s="3"/>
      <c r="BJ59" s="5" t="s">
        <v>260</v>
      </c>
      <c r="BK59" s="3" t="s">
        <v>148</v>
      </c>
      <c r="BL59" s="3"/>
      <c r="BM59" s="3" t="s">
        <v>109</v>
      </c>
      <c r="BN59" s="3" t="s">
        <v>261</v>
      </c>
      <c r="BO59" s="3">
        <v>43966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44379.18</v>
      </c>
      <c r="CB59" s="3">
        <v>0</v>
      </c>
      <c r="CC59" s="3">
        <v>0</v>
      </c>
      <c r="CD59" s="3">
        <v>26829.06</v>
      </c>
      <c r="CE59" s="3">
        <v>18000</v>
      </c>
      <c r="CF59" s="3">
        <v>4283.2</v>
      </c>
      <c r="CG59" s="3">
        <v>250436.84</v>
      </c>
      <c r="CH59" s="3" t="s">
        <v>192</v>
      </c>
      <c r="CI59" s="3">
        <v>250436.84</v>
      </c>
      <c r="CJ59" s="3">
        <v>0</v>
      </c>
      <c r="CK59" s="3">
        <v>0</v>
      </c>
      <c r="CL59" s="3" t="s">
        <v>112</v>
      </c>
      <c r="CM59" s="3" t="s">
        <v>112</v>
      </c>
    </row>
    <row r="60" spans="1:91" x14ac:dyDescent="0.25">
      <c r="A60" s="3" t="s">
        <v>90</v>
      </c>
      <c r="B60" s="17" t="s">
        <v>341</v>
      </c>
      <c r="C60" s="3">
        <v>3942</v>
      </c>
      <c r="D60" s="3">
        <v>6000406</v>
      </c>
      <c r="E60" s="3">
        <v>6000244</v>
      </c>
      <c r="F60" s="3" t="s">
        <v>92</v>
      </c>
      <c r="G60" s="3" t="s">
        <v>342</v>
      </c>
      <c r="H60" s="3">
        <v>16</v>
      </c>
      <c r="I60" s="3">
        <v>128478</v>
      </c>
      <c r="J60" s="3">
        <v>0</v>
      </c>
      <c r="K60" s="3">
        <v>0</v>
      </c>
      <c r="L60" s="3" t="s">
        <v>223</v>
      </c>
      <c r="M60" s="3" t="s">
        <v>223</v>
      </c>
      <c r="N60" s="3">
        <v>0</v>
      </c>
      <c r="O60" s="3">
        <v>0</v>
      </c>
      <c r="P60" s="3">
        <v>0</v>
      </c>
      <c r="Q60" s="3">
        <v>0</v>
      </c>
      <c r="R60" s="3">
        <v>430</v>
      </c>
      <c r="S60" s="3" t="s">
        <v>234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 t="s">
        <v>238</v>
      </c>
      <c r="AB60" s="3"/>
      <c r="AC60" s="3">
        <v>802755</v>
      </c>
      <c r="AD60" s="3">
        <v>733.77971000000002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/>
      <c r="AP60" s="3" t="s">
        <v>98</v>
      </c>
      <c r="AQ60" s="3">
        <v>210363769</v>
      </c>
      <c r="AR60" s="3" t="s">
        <v>99</v>
      </c>
      <c r="AS60" s="3" t="s">
        <v>100</v>
      </c>
      <c r="AT60" s="3">
        <v>0</v>
      </c>
      <c r="AU60" s="3">
        <v>0</v>
      </c>
      <c r="AV60" s="3">
        <v>0</v>
      </c>
      <c r="AW60" s="3">
        <v>38086201</v>
      </c>
      <c r="AX60" s="3">
        <v>0</v>
      </c>
      <c r="AY60" s="3">
        <v>1094</v>
      </c>
      <c r="AZ60" s="3">
        <v>1094</v>
      </c>
      <c r="BA60" s="3" t="s">
        <v>121</v>
      </c>
      <c r="BB60" s="3"/>
      <c r="BC60" s="3" t="s">
        <v>104</v>
      </c>
      <c r="BD60" s="3" t="s">
        <v>105</v>
      </c>
      <c r="BE60" s="3"/>
      <c r="BF60" s="3"/>
      <c r="BG60" s="3"/>
      <c r="BH60" s="3"/>
      <c r="BI60" s="3"/>
      <c r="BJ60" s="5"/>
      <c r="BK60" s="3"/>
      <c r="BL60" s="3"/>
      <c r="BM60" s="3"/>
      <c r="BN60" s="3" t="s">
        <v>239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 t="s">
        <v>192</v>
      </c>
      <c r="CI60" s="3">
        <v>0</v>
      </c>
      <c r="CJ60" s="3">
        <v>0</v>
      </c>
      <c r="CK60" s="3">
        <v>0</v>
      </c>
      <c r="CL60" s="3" t="s">
        <v>112</v>
      </c>
      <c r="CM60" s="3" t="s">
        <v>112</v>
      </c>
    </row>
    <row r="61" spans="1:91" x14ac:dyDescent="0.25">
      <c r="A61" s="3" t="s">
        <v>90</v>
      </c>
      <c r="B61" s="18" t="s">
        <v>240</v>
      </c>
      <c r="C61" s="3">
        <v>3942</v>
      </c>
      <c r="D61" s="3">
        <v>6000245</v>
      </c>
      <c r="E61" s="3"/>
      <c r="F61" s="3" t="s">
        <v>92</v>
      </c>
      <c r="G61" s="3" t="s">
        <v>93</v>
      </c>
      <c r="H61" s="3">
        <v>0</v>
      </c>
      <c r="I61" s="3">
        <v>0</v>
      </c>
      <c r="J61" s="3">
        <v>0</v>
      </c>
      <c r="K61" s="3">
        <v>0</v>
      </c>
      <c r="L61" s="3" t="s">
        <v>223</v>
      </c>
      <c r="M61" s="3" t="s">
        <v>223</v>
      </c>
      <c r="N61" s="3">
        <v>0</v>
      </c>
      <c r="O61" s="3">
        <v>0</v>
      </c>
      <c r="P61" s="3">
        <v>17.170000000000002</v>
      </c>
      <c r="Q61" s="3">
        <v>8373.2000000000007</v>
      </c>
      <c r="R61" s="3">
        <v>430</v>
      </c>
      <c r="S61" s="3" t="s">
        <v>241</v>
      </c>
      <c r="T61" s="3" t="s">
        <v>225</v>
      </c>
      <c r="U61" s="3">
        <v>3230831</v>
      </c>
      <c r="V61" s="3">
        <v>3230831</v>
      </c>
      <c r="W61" s="3">
        <v>0</v>
      </c>
      <c r="X61" s="3">
        <v>0</v>
      </c>
      <c r="Y61" s="3">
        <v>0</v>
      </c>
      <c r="Z61" s="3">
        <v>0</v>
      </c>
      <c r="AA61" s="3" t="s">
        <v>242</v>
      </c>
      <c r="AB61" s="3"/>
      <c r="AC61" s="3">
        <v>1657908</v>
      </c>
      <c r="AD61" s="3">
        <v>116.1</v>
      </c>
      <c r="AE61" s="3">
        <v>354</v>
      </c>
      <c r="AF61" s="3" t="s">
        <v>227</v>
      </c>
      <c r="AG61" s="3">
        <v>0</v>
      </c>
      <c r="AH61" s="3">
        <v>0</v>
      </c>
      <c r="AI61" s="3">
        <v>53</v>
      </c>
      <c r="AJ61" s="3">
        <v>25847</v>
      </c>
      <c r="AK61" s="3">
        <v>0</v>
      </c>
      <c r="AL61" s="3">
        <v>0</v>
      </c>
      <c r="AM61" s="3">
        <v>330</v>
      </c>
      <c r="AN61" s="3">
        <v>221630</v>
      </c>
      <c r="AO61" s="3" t="s">
        <v>97</v>
      </c>
      <c r="AP61" s="3" t="s">
        <v>98</v>
      </c>
      <c r="AQ61" s="3">
        <v>210364510</v>
      </c>
      <c r="AR61" s="3" t="s">
        <v>99</v>
      </c>
      <c r="AS61" s="3" t="s">
        <v>100</v>
      </c>
      <c r="AT61" s="3">
        <v>265571225</v>
      </c>
      <c r="AU61" s="3"/>
      <c r="AV61" s="3" t="s">
        <v>188</v>
      </c>
      <c r="AW61" s="3">
        <v>38089199</v>
      </c>
      <c r="AX61" s="3">
        <v>99</v>
      </c>
      <c r="AY61" s="3">
        <v>14280</v>
      </c>
      <c r="AZ61" s="3">
        <v>14280</v>
      </c>
      <c r="BA61" s="3" t="s">
        <v>103</v>
      </c>
      <c r="BB61" s="3"/>
      <c r="BC61" s="3" t="s">
        <v>189</v>
      </c>
      <c r="BD61" s="3" t="s">
        <v>105</v>
      </c>
      <c r="BE61" s="4">
        <v>46080</v>
      </c>
      <c r="BF61" s="4">
        <v>46087</v>
      </c>
      <c r="BG61" s="4">
        <v>46088</v>
      </c>
      <c r="BH61" s="3" t="s">
        <v>106</v>
      </c>
      <c r="BI61" s="3" t="s">
        <v>107</v>
      </c>
      <c r="BJ61" s="5" t="s">
        <v>243</v>
      </c>
      <c r="BK61" s="3" t="s">
        <v>230</v>
      </c>
      <c r="BL61" s="3"/>
      <c r="BM61" s="3" t="s">
        <v>190</v>
      </c>
      <c r="BN61" s="3" t="s">
        <v>244</v>
      </c>
      <c r="BO61" s="3">
        <v>43746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22189.59</v>
      </c>
      <c r="CB61" s="3">
        <v>0</v>
      </c>
      <c r="CC61" s="3">
        <v>0</v>
      </c>
      <c r="CD61" s="3">
        <v>39770.14</v>
      </c>
      <c r="CE61" s="3">
        <v>11200</v>
      </c>
      <c r="CF61" s="3">
        <v>2254.4</v>
      </c>
      <c r="CG61" s="3">
        <v>288531.45</v>
      </c>
      <c r="CH61" s="3" t="s">
        <v>192</v>
      </c>
      <c r="CI61" s="3">
        <v>288531.45</v>
      </c>
      <c r="CJ61" s="3">
        <v>0</v>
      </c>
      <c r="CK61" s="3">
        <v>0</v>
      </c>
      <c r="CL61" s="3" t="s">
        <v>112</v>
      </c>
      <c r="CM61" s="3" t="s">
        <v>112</v>
      </c>
    </row>
    <row r="62" spans="1:91" x14ac:dyDescent="0.25">
      <c r="A62" s="3" t="s">
        <v>90</v>
      </c>
      <c r="B62" s="18" t="s">
        <v>240</v>
      </c>
      <c r="C62" s="3">
        <v>3942</v>
      </c>
      <c r="D62" s="3">
        <v>6000245</v>
      </c>
      <c r="E62" s="3"/>
      <c r="F62" s="3" t="s">
        <v>92</v>
      </c>
      <c r="G62" s="3" t="s">
        <v>93</v>
      </c>
      <c r="H62" s="3">
        <v>0</v>
      </c>
      <c r="I62" s="3">
        <v>0</v>
      </c>
      <c r="J62" s="3">
        <v>0</v>
      </c>
      <c r="K62" s="3">
        <v>0</v>
      </c>
      <c r="L62" s="3" t="s">
        <v>223</v>
      </c>
      <c r="M62" s="3" t="s">
        <v>223</v>
      </c>
      <c r="N62" s="3">
        <v>0</v>
      </c>
      <c r="O62" s="3">
        <v>0</v>
      </c>
      <c r="P62" s="3">
        <v>0</v>
      </c>
      <c r="Q62" s="3">
        <v>0</v>
      </c>
      <c r="R62" s="3">
        <v>430</v>
      </c>
      <c r="S62" s="3" t="s">
        <v>241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242</v>
      </c>
      <c r="AB62" s="3"/>
      <c r="AC62" s="3">
        <v>1572923</v>
      </c>
      <c r="AD62" s="3">
        <v>116.10001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/>
      <c r="AP62" s="3" t="s">
        <v>98</v>
      </c>
      <c r="AQ62" s="3">
        <v>210364511</v>
      </c>
      <c r="AR62" s="3" t="s">
        <v>99</v>
      </c>
      <c r="AS62" s="3" t="s">
        <v>100</v>
      </c>
      <c r="AT62" s="3">
        <v>0</v>
      </c>
      <c r="AU62" s="3">
        <v>0</v>
      </c>
      <c r="AV62" s="3">
        <v>0</v>
      </c>
      <c r="AW62" s="3">
        <v>38089199</v>
      </c>
      <c r="AX62" s="3">
        <v>99</v>
      </c>
      <c r="AY62" s="3">
        <v>13548</v>
      </c>
      <c r="AZ62" s="3">
        <v>13548</v>
      </c>
      <c r="BA62" s="3" t="s">
        <v>103</v>
      </c>
      <c r="BB62" s="3"/>
      <c r="BC62" s="3" t="s">
        <v>189</v>
      </c>
      <c r="BD62" s="3" t="s">
        <v>105</v>
      </c>
      <c r="BE62" s="3"/>
      <c r="BF62" s="3"/>
      <c r="BG62" s="3"/>
      <c r="BH62" s="3"/>
      <c r="BI62" s="3"/>
      <c r="BJ62" s="5"/>
      <c r="BK62" s="3"/>
      <c r="BL62" s="3"/>
      <c r="BM62" s="3"/>
      <c r="BN62" s="3" t="s">
        <v>245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 t="s">
        <v>192</v>
      </c>
      <c r="CI62" s="3">
        <v>0</v>
      </c>
      <c r="CJ62" s="3">
        <v>0</v>
      </c>
      <c r="CK62" s="3">
        <v>0</v>
      </c>
      <c r="CL62" s="3" t="s">
        <v>112</v>
      </c>
      <c r="CM62" s="3" t="s">
        <v>112</v>
      </c>
    </row>
    <row r="63" spans="1:91" x14ac:dyDescent="0.25">
      <c r="A63" s="3" t="s">
        <v>90</v>
      </c>
      <c r="B63" s="19" t="s">
        <v>287</v>
      </c>
      <c r="C63" s="3">
        <v>3942</v>
      </c>
      <c r="D63" s="3">
        <v>6000257</v>
      </c>
      <c r="E63" s="3"/>
      <c r="F63" s="3" t="s">
        <v>92</v>
      </c>
      <c r="G63" s="3" t="s">
        <v>93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10</v>
      </c>
      <c r="O63" s="3">
        <v>80718</v>
      </c>
      <c r="P63" s="3">
        <v>17.190999999999999</v>
      </c>
      <c r="Q63" s="3">
        <v>2862</v>
      </c>
      <c r="R63" s="3">
        <v>430</v>
      </c>
      <c r="S63" s="3" t="s">
        <v>288</v>
      </c>
      <c r="T63" s="3" t="s">
        <v>289</v>
      </c>
      <c r="U63" s="3">
        <v>2517252</v>
      </c>
      <c r="V63" s="3">
        <v>2517252</v>
      </c>
      <c r="W63" s="3">
        <v>0</v>
      </c>
      <c r="X63" s="3">
        <v>0</v>
      </c>
      <c r="Y63" s="3">
        <v>0</v>
      </c>
      <c r="Z63" s="3">
        <v>0</v>
      </c>
      <c r="AA63" s="3" t="s">
        <v>290</v>
      </c>
      <c r="AB63" s="3"/>
      <c r="AC63" s="3">
        <v>807176</v>
      </c>
      <c r="AD63" s="3">
        <v>44.620010000000001</v>
      </c>
      <c r="AE63" s="3">
        <v>354</v>
      </c>
      <c r="AF63" s="3" t="s">
        <v>180</v>
      </c>
      <c r="AG63" s="3">
        <v>251726</v>
      </c>
      <c r="AH63" s="3">
        <v>0</v>
      </c>
      <c r="AI63" s="3">
        <v>53</v>
      </c>
      <c r="AJ63" s="3">
        <v>20138</v>
      </c>
      <c r="AK63" s="3">
        <v>0</v>
      </c>
      <c r="AL63" s="3">
        <v>0</v>
      </c>
      <c r="AM63" s="3">
        <v>330</v>
      </c>
      <c r="AN63" s="3">
        <v>272247</v>
      </c>
      <c r="AO63" s="3" t="s">
        <v>97</v>
      </c>
      <c r="AP63" s="3" t="s">
        <v>98</v>
      </c>
      <c r="AQ63" s="3">
        <v>210364512</v>
      </c>
      <c r="AR63" s="3" t="s">
        <v>99</v>
      </c>
      <c r="AS63" s="3" t="s">
        <v>100</v>
      </c>
      <c r="AT63" s="3">
        <v>265571440</v>
      </c>
      <c r="AU63" s="3"/>
      <c r="AV63" s="3" t="s">
        <v>102</v>
      </c>
      <c r="AW63" s="3">
        <v>30049099</v>
      </c>
      <c r="AX63" s="3">
        <v>99</v>
      </c>
      <c r="AY63" s="3">
        <v>18090</v>
      </c>
      <c r="AZ63" s="3">
        <v>18090</v>
      </c>
      <c r="BA63" s="3" t="s">
        <v>103</v>
      </c>
      <c r="BB63" s="3"/>
      <c r="BC63" s="3" t="s">
        <v>189</v>
      </c>
      <c r="BD63" s="3" t="s">
        <v>105</v>
      </c>
      <c r="BE63" s="4">
        <v>46079</v>
      </c>
      <c r="BF63" s="4">
        <v>46087</v>
      </c>
      <c r="BG63" s="4">
        <v>46088</v>
      </c>
      <c r="BH63" s="3" t="s">
        <v>106</v>
      </c>
      <c r="BI63" s="3" t="s">
        <v>117</v>
      </c>
      <c r="BJ63" s="5"/>
      <c r="BK63" s="3"/>
      <c r="BL63" s="3"/>
      <c r="BM63" s="3" t="s">
        <v>190</v>
      </c>
      <c r="BN63" s="3" t="s">
        <v>291</v>
      </c>
      <c r="BO63" s="3">
        <v>43743</v>
      </c>
      <c r="BP63" s="3">
        <v>0</v>
      </c>
      <c r="BQ63" s="3">
        <v>0</v>
      </c>
      <c r="BR63" s="3">
        <v>0</v>
      </c>
      <c r="BS63" s="3">
        <v>1800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22189.59</v>
      </c>
      <c r="CB63" s="3">
        <v>0</v>
      </c>
      <c r="CC63" s="3">
        <v>0</v>
      </c>
      <c r="CD63" s="3">
        <v>0</v>
      </c>
      <c r="CE63" s="3">
        <v>5600</v>
      </c>
      <c r="CF63" s="3">
        <v>1307.2</v>
      </c>
      <c r="CG63" s="3">
        <v>108287.97</v>
      </c>
      <c r="CH63" s="3" t="s">
        <v>192</v>
      </c>
      <c r="CI63" s="3">
        <v>108287.97</v>
      </c>
      <c r="CJ63" s="3">
        <v>0</v>
      </c>
      <c r="CK63" s="3">
        <v>0</v>
      </c>
      <c r="CL63" s="3" t="s">
        <v>112</v>
      </c>
      <c r="CM63" s="3" t="s">
        <v>112</v>
      </c>
    </row>
    <row r="64" spans="1:91" x14ac:dyDescent="0.25">
      <c r="A64" s="3" t="s">
        <v>90</v>
      </c>
      <c r="B64" s="19" t="s">
        <v>287</v>
      </c>
      <c r="C64" s="3">
        <v>3942</v>
      </c>
      <c r="D64" s="3">
        <v>6000257</v>
      </c>
      <c r="E64" s="3"/>
      <c r="F64" s="3" t="s">
        <v>92</v>
      </c>
      <c r="G64" s="3" t="s">
        <v>93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10</v>
      </c>
      <c r="O64" s="3">
        <v>171008</v>
      </c>
      <c r="P64" s="3">
        <v>0</v>
      </c>
      <c r="Q64" s="3">
        <v>0</v>
      </c>
      <c r="R64" s="3">
        <v>430</v>
      </c>
      <c r="S64" s="3" t="s">
        <v>288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 t="s">
        <v>292</v>
      </c>
      <c r="AB64" s="3"/>
      <c r="AC64" s="3">
        <v>1710076</v>
      </c>
      <c r="AD64" s="3">
        <v>883.76021000000003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/>
      <c r="AP64" s="3" t="s">
        <v>98</v>
      </c>
      <c r="AQ64" s="3">
        <v>210364512</v>
      </c>
      <c r="AR64" s="3" t="s">
        <v>99</v>
      </c>
      <c r="AS64" s="3" t="s">
        <v>100</v>
      </c>
      <c r="AT64" s="3">
        <v>0</v>
      </c>
      <c r="AU64" s="3">
        <v>0</v>
      </c>
      <c r="AV64" s="3">
        <v>0</v>
      </c>
      <c r="AW64" s="3">
        <v>30049099</v>
      </c>
      <c r="AX64" s="3">
        <v>99</v>
      </c>
      <c r="AY64" s="3">
        <v>1935</v>
      </c>
      <c r="AZ64" s="3">
        <v>1935</v>
      </c>
      <c r="BA64" s="3" t="s">
        <v>103</v>
      </c>
      <c r="BB64" s="3"/>
      <c r="BC64" s="3" t="s">
        <v>189</v>
      </c>
      <c r="BD64" s="3" t="s">
        <v>105</v>
      </c>
      <c r="BE64" s="3"/>
      <c r="BF64" s="3"/>
      <c r="BG64" s="3"/>
      <c r="BH64" s="3"/>
      <c r="BI64" s="3"/>
      <c r="BJ64" s="5"/>
      <c r="BK64" s="3"/>
      <c r="BL64" s="3"/>
      <c r="BM64" s="3"/>
      <c r="BN64" s="3" t="s">
        <v>291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 t="s">
        <v>192</v>
      </c>
      <c r="CI64" s="3">
        <v>0</v>
      </c>
      <c r="CJ64" s="3">
        <v>0</v>
      </c>
      <c r="CK64" s="3">
        <v>0</v>
      </c>
      <c r="CL64" s="3" t="s">
        <v>112</v>
      </c>
      <c r="CM64" s="3" t="s">
        <v>112</v>
      </c>
    </row>
    <row r="65" spans="1:91" x14ac:dyDescent="0.25">
      <c r="A65" s="3" t="s">
        <v>90</v>
      </c>
      <c r="B65" s="3" t="s">
        <v>305</v>
      </c>
      <c r="C65" s="3">
        <v>3942</v>
      </c>
      <c r="D65" s="3">
        <v>6000273</v>
      </c>
      <c r="E65" s="3"/>
      <c r="F65" s="3" t="s">
        <v>92</v>
      </c>
      <c r="G65" s="3" t="s">
        <v>93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17.677</v>
      </c>
      <c r="Q65" s="3">
        <v>5735</v>
      </c>
      <c r="R65" s="3">
        <v>430</v>
      </c>
      <c r="S65" s="3" t="s">
        <v>306</v>
      </c>
      <c r="T65" s="3" t="s">
        <v>95</v>
      </c>
      <c r="U65" s="3">
        <v>3508360</v>
      </c>
      <c r="V65" s="3">
        <v>3508360</v>
      </c>
      <c r="W65" s="3">
        <v>0</v>
      </c>
      <c r="X65" s="3">
        <v>0</v>
      </c>
      <c r="Y65" s="3">
        <v>0</v>
      </c>
      <c r="Z65" s="3">
        <v>0</v>
      </c>
      <c r="AA65" s="3" t="s">
        <v>124</v>
      </c>
      <c r="AB65" s="3"/>
      <c r="AC65" s="3">
        <v>737868</v>
      </c>
      <c r="AD65" s="3">
        <v>565.84969000000001</v>
      </c>
      <c r="AE65" s="3">
        <v>808</v>
      </c>
      <c r="AF65" s="3">
        <v>0</v>
      </c>
      <c r="AG65" s="3">
        <v>0</v>
      </c>
      <c r="AH65" s="3">
        <v>0</v>
      </c>
      <c r="AI65" s="3">
        <v>53</v>
      </c>
      <c r="AJ65" s="3">
        <v>462</v>
      </c>
      <c r="AK65" s="3">
        <v>0</v>
      </c>
      <c r="AL65" s="3">
        <v>0</v>
      </c>
      <c r="AM65" s="3">
        <v>330</v>
      </c>
      <c r="AN65" s="3">
        <v>845</v>
      </c>
      <c r="AO65" s="3" t="s">
        <v>97</v>
      </c>
      <c r="AP65" s="3" t="s">
        <v>98</v>
      </c>
      <c r="AQ65" s="3">
        <v>210365432</v>
      </c>
      <c r="AR65" s="3" t="s">
        <v>307</v>
      </c>
      <c r="AS65" s="3" t="s">
        <v>100</v>
      </c>
      <c r="AT65" s="3" t="s">
        <v>308</v>
      </c>
      <c r="AU65" s="3"/>
      <c r="AV65" s="3" t="s">
        <v>102</v>
      </c>
      <c r="AW65" s="3">
        <v>30049099</v>
      </c>
      <c r="AX65" s="3">
        <v>99</v>
      </c>
      <c r="AY65" s="3">
        <v>1304</v>
      </c>
      <c r="AZ65" s="3">
        <v>1304</v>
      </c>
      <c r="BA65" s="3" t="s">
        <v>121</v>
      </c>
      <c r="BB65" s="3"/>
      <c r="BC65" s="3" t="s">
        <v>105</v>
      </c>
      <c r="BD65" s="3" t="s">
        <v>105</v>
      </c>
      <c r="BE65" s="4">
        <v>46090</v>
      </c>
      <c r="BF65" s="4">
        <v>46093</v>
      </c>
      <c r="BG65" s="4">
        <v>46094</v>
      </c>
      <c r="BH65" s="3" t="s">
        <v>106</v>
      </c>
      <c r="BI65" s="3"/>
      <c r="BJ65" s="5"/>
      <c r="BK65" s="3"/>
      <c r="BL65" s="3"/>
      <c r="BM65" s="3" t="s">
        <v>109</v>
      </c>
      <c r="BN65" s="3" t="s">
        <v>309</v>
      </c>
      <c r="BO65" s="3">
        <v>44281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5163.37</v>
      </c>
      <c r="CE65" s="3">
        <v>5600</v>
      </c>
      <c r="CF65" s="3">
        <v>1019.2</v>
      </c>
      <c r="CG65" s="3">
        <v>110542.56</v>
      </c>
      <c r="CH65" s="3" t="s">
        <v>192</v>
      </c>
      <c r="CI65" s="3">
        <v>110542.56</v>
      </c>
      <c r="CJ65" s="3">
        <v>0</v>
      </c>
      <c r="CK65" s="3">
        <v>0</v>
      </c>
      <c r="CL65" s="3" t="s">
        <v>112</v>
      </c>
      <c r="CM65" s="3" t="s">
        <v>112</v>
      </c>
    </row>
    <row r="66" spans="1:91" x14ac:dyDescent="0.25">
      <c r="A66" s="3" t="s">
        <v>90</v>
      </c>
      <c r="B66" s="3" t="s">
        <v>305</v>
      </c>
      <c r="C66" s="3">
        <v>3942</v>
      </c>
      <c r="D66" s="3">
        <v>6000273</v>
      </c>
      <c r="E66" s="3"/>
      <c r="F66" s="3" t="s">
        <v>92</v>
      </c>
      <c r="G66" s="3" t="s">
        <v>93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430</v>
      </c>
      <c r="S66" s="3" t="s">
        <v>306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 t="s">
        <v>123</v>
      </c>
      <c r="AB66" s="3"/>
      <c r="AC66" s="3">
        <v>35971</v>
      </c>
      <c r="AD66" s="3">
        <v>49.959719999999997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/>
      <c r="AP66" s="3" t="s">
        <v>98</v>
      </c>
      <c r="AQ66" s="3">
        <v>210365434</v>
      </c>
      <c r="AR66" s="3" t="s">
        <v>307</v>
      </c>
      <c r="AS66" s="3" t="s">
        <v>100</v>
      </c>
      <c r="AT66" s="3">
        <v>0</v>
      </c>
      <c r="AU66" s="3">
        <v>0</v>
      </c>
      <c r="AV66" s="3">
        <v>0</v>
      </c>
      <c r="AW66" s="3">
        <v>30049099</v>
      </c>
      <c r="AX66" s="3">
        <v>99</v>
      </c>
      <c r="AY66" s="3">
        <v>720</v>
      </c>
      <c r="AZ66" s="3">
        <v>720</v>
      </c>
      <c r="BA66" s="3" t="s">
        <v>103</v>
      </c>
      <c r="BB66" s="3"/>
      <c r="BC66" s="3" t="s">
        <v>105</v>
      </c>
      <c r="BD66" s="3" t="s">
        <v>105</v>
      </c>
      <c r="BE66" s="3"/>
      <c r="BF66" s="3"/>
      <c r="BG66" s="3"/>
      <c r="BH66" s="3"/>
      <c r="BI66" s="3"/>
      <c r="BJ66" s="5"/>
      <c r="BK66" s="3"/>
      <c r="BL66" s="3"/>
      <c r="BM66" s="3"/>
      <c r="BN66" s="3" t="s">
        <v>310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 t="s">
        <v>192</v>
      </c>
      <c r="CI66" s="3">
        <v>0</v>
      </c>
      <c r="CJ66" s="3">
        <v>0</v>
      </c>
      <c r="CK66" s="3">
        <v>0</v>
      </c>
      <c r="CL66" s="3" t="s">
        <v>112</v>
      </c>
      <c r="CM66" s="3" t="s">
        <v>112</v>
      </c>
    </row>
    <row r="67" spans="1:91" x14ac:dyDescent="0.25">
      <c r="A67" s="3" t="s">
        <v>90</v>
      </c>
      <c r="B67" s="3" t="s">
        <v>305</v>
      </c>
      <c r="C67" s="3">
        <v>3942</v>
      </c>
      <c r="D67" s="3">
        <v>6000273</v>
      </c>
      <c r="E67" s="3"/>
      <c r="F67" s="3" t="s">
        <v>92</v>
      </c>
      <c r="G67" s="3" t="s">
        <v>93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430</v>
      </c>
      <c r="S67" s="3" t="s">
        <v>306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 t="s">
        <v>123</v>
      </c>
      <c r="AB67" s="3"/>
      <c r="AC67" s="3">
        <v>385689</v>
      </c>
      <c r="AD67" s="3">
        <v>706.39011000000005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/>
      <c r="AP67" s="3" t="s">
        <v>98</v>
      </c>
      <c r="AQ67" s="3">
        <v>210365434</v>
      </c>
      <c r="AR67" s="3" t="s">
        <v>307</v>
      </c>
      <c r="AS67" s="3" t="s">
        <v>100</v>
      </c>
      <c r="AT67" s="3">
        <v>0</v>
      </c>
      <c r="AU67" s="3">
        <v>0</v>
      </c>
      <c r="AV67" s="3">
        <v>0</v>
      </c>
      <c r="AW67" s="3">
        <v>30049099</v>
      </c>
      <c r="AX67" s="3">
        <v>99</v>
      </c>
      <c r="AY67" s="3">
        <v>546</v>
      </c>
      <c r="AZ67" s="3">
        <v>546</v>
      </c>
      <c r="BA67" s="3" t="s">
        <v>121</v>
      </c>
      <c r="BB67" s="3"/>
      <c r="BC67" s="3" t="s">
        <v>105</v>
      </c>
      <c r="BD67" s="3" t="s">
        <v>105</v>
      </c>
      <c r="BE67" s="3"/>
      <c r="BF67" s="3"/>
      <c r="BG67" s="3"/>
      <c r="BH67" s="3"/>
      <c r="BI67" s="3"/>
      <c r="BJ67" s="5"/>
      <c r="BK67" s="3"/>
      <c r="BL67" s="3"/>
      <c r="BM67" s="3"/>
      <c r="BN67" s="3" t="s">
        <v>310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 t="s">
        <v>192</v>
      </c>
      <c r="CI67" s="3">
        <v>0</v>
      </c>
      <c r="CJ67" s="3">
        <v>0</v>
      </c>
      <c r="CK67" s="3">
        <v>0</v>
      </c>
      <c r="CL67" s="3" t="s">
        <v>112</v>
      </c>
      <c r="CM67" s="3" t="s">
        <v>112</v>
      </c>
    </row>
    <row r="68" spans="1:91" x14ac:dyDescent="0.25">
      <c r="A68" s="3" t="s">
        <v>90</v>
      </c>
      <c r="B68" s="3" t="s">
        <v>305</v>
      </c>
      <c r="C68" s="3">
        <v>3942</v>
      </c>
      <c r="D68" s="3">
        <v>6000273</v>
      </c>
      <c r="E68" s="3"/>
      <c r="F68" s="3" t="s">
        <v>92</v>
      </c>
      <c r="G68" s="3" t="s">
        <v>93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430</v>
      </c>
      <c r="S68" s="3" t="s">
        <v>306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 t="s">
        <v>123</v>
      </c>
      <c r="AB68" s="3"/>
      <c r="AC68" s="3">
        <v>2348832</v>
      </c>
      <c r="AD68" s="3">
        <v>728.32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/>
      <c r="AP68" s="3" t="s">
        <v>98</v>
      </c>
      <c r="AQ68" s="3">
        <v>210365440</v>
      </c>
      <c r="AR68" s="3" t="s">
        <v>307</v>
      </c>
      <c r="AS68" s="3" t="s">
        <v>100</v>
      </c>
      <c r="AT68" s="3">
        <v>0</v>
      </c>
      <c r="AU68" s="3">
        <v>0</v>
      </c>
      <c r="AV68" s="3">
        <v>0</v>
      </c>
      <c r="AW68" s="3">
        <v>30049099</v>
      </c>
      <c r="AX68" s="3">
        <v>99</v>
      </c>
      <c r="AY68" s="3">
        <v>3225</v>
      </c>
      <c r="AZ68" s="3">
        <v>3225</v>
      </c>
      <c r="BA68" s="3" t="s">
        <v>121</v>
      </c>
      <c r="BB68" s="3"/>
      <c r="BC68" s="3" t="s">
        <v>105</v>
      </c>
      <c r="BD68" s="3" t="s">
        <v>105</v>
      </c>
      <c r="BE68" s="3"/>
      <c r="BF68" s="3"/>
      <c r="BG68" s="3"/>
      <c r="BH68" s="3"/>
      <c r="BI68" s="3"/>
      <c r="BJ68" s="5"/>
      <c r="BK68" s="3"/>
      <c r="BL68" s="3"/>
      <c r="BM68" s="3"/>
      <c r="BN68" s="3" t="s">
        <v>311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 t="s">
        <v>192</v>
      </c>
      <c r="CI68" s="3">
        <v>0</v>
      </c>
      <c r="CJ68" s="3">
        <v>0</v>
      </c>
      <c r="CK68" s="3">
        <v>0</v>
      </c>
      <c r="CL68" s="3" t="s">
        <v>112</v>
      </c>
      <c r="CM68" s="3" t="s">
        <v>112</v>
      </c>
    </row>
    <row r="69" spans="1:91" x14ac:dyDescent="0.25">
      <c r="A69" s="3" t="s">
        <v>90</v>
      </c>
      <c r="B69" s="3" t="s">
        <v>250</v>
      </c>
      <c r="C69" s="3">
        <v>3942</v>
      </c>
      <c r="D69" s="3">
        <v>6000276</v>
      </c>
      <c r="E69" s="3"/>
      <c r="F69" s="3" t="s">
        <v>92</v>
      </c>
      <c r="G69" s="3" t="s">
        <v>93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10</v>
      </c>
      <c r="O69" s="3">
        <v>1455857</v>
      </c>
      <c r="P69" s="3">
        <v>17.1722</v>
      </c>
      <c r="Q69" s="3">
        <v>2427</v>
      </c>
      <c r="R69" s="3">
        <v>430</v>
      </c>
      <c r="S69" s="3" t="s">
        <v>251</v>
      </c>
      <c r="T69" s="3" t="s">
        <v>252</v>
      </c>
      <c r="U69" s="3">
        <v>17387126</v>
      </c>
      <c r="V69" s="3">
        <v>17387126</v>
      </c>
      <c r="W69" s="3">
        <v>0</v>
      </c>
      <c r="X69" s="3">
        <v>0</v>
      </c>
      <c r="Y69" s="3">
        <v>0</v>
      </c>
      <c r="Z69" s="3">
        <v>0</v>
      </c>
      <c r="AA69" s="3" t="s">
        <v>179</v>
      </c>
      <c r="AB69" s="3"/>
      <c r="AC69" s="3">
        <v>14558569</v>
      </c>
      <c r="AD69" s="3">
        <v>2080.3899700000002</v>
      </c>
      <c r="AE69" s="3">
        <v>354</v>
      </c>
      <c r="AF69" s="3" t="s">
        <v>253</v>
      </c>
      <c r="AG69" s="3">
        <v>1738713</v>
      </c>
      <c r="AH69" s="3">
        <v>0</v>
      </c>
      <c r="AI69" s="3">
        <v>53</v>
      </c>
      <c r="AJ69" s="3">
        <v>139097</v>
      </c>
      <c r="AK69" s="3">
        <v>0</v>
      </c>
      <c r="AL69" s="3">
        <v>0</v>
      </c>
      <c r="AM69" s="3">
        <v>330</v>
      </c>
      <c r="AN69" s="3">
        <v>1878193</v>
      </c>
      <c r="AO69" s="3" t="s">
        <v>97</v>
      </c>
      <c r="AP69" s="3" t="s">
        <v>98</v>
      </c>
      <c r="AQ69" s="3">
        <v>210364127</v>
      </c>
      <c r="AR69" s="3" t="s">
        <v>99</v>
      </c>
      <c r="AS69" s="3" t="s">
        <v>100</v>
      </c>
      <c r="AT69" s="3" t="s">
        <v>254</v>
      </c>
      <c r="AU69" s="3"/>
      <c r="AV69" s="3" t="s">
        <v>146</v>
      </c>
      <c r="AW69" s="3">
        <v>30043999</v>
      </c>
      <c r="AX69" s="3">
        <v>99</v>
      </c>
      <c r="AY69" s="3">
        <v>6998</v>
      </c>
      <c r="AZ69" s="3">
        <v>6998</v>
      </c>
      <c r="BA69" s="3" t="s">
        <v>103</v>
      </c>
      <c r="BB69" s="3"/>
      <c r="BC69" s="3" t="s">
        <v>133</v>
      </c>
      <c r="BD69" s="3" t="s">
        <v>105</v>
      </c>
      <c r="BE69" s="4">
        <v>46077</v>
      </c>
      <c r="BF69" s="4">
        <v>46080</v>
      </c>
      <c r="BG69" s="4">
        <v>46083</v>
      </c>
      <c r="BH69" s="3" t="s">
        <v>106</v>
      </c>
      <c r="BI69" s="3" t="s">
        <v>117</v>
      </c>
      <c r="BJ69" s="5"/>
      <c r="BK69" s="3"/>
      <c r="BL69" s="3"/>
      <c r="BM69" s="3" t="s">
        <v>109</v>
      </c>
      <c r="BN69" s="3" t="s">
        <v>255</v>
      </c>
      <c r="BO69" s="3">
        <v>43852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22189.59</v>
      </c>
      <c r="CB69" s="3">
        <v>0</v>
      </c>
      <c r="CC69" s="3">
        <v>0</v>
      </c>
      <c r="CD69" s="3">
        <v>5172.67</v>
      </c>
      <c r="CE69" s="3">
        <v>18000</v>
      </c>
      <c r="CF69" s="3">
        <v>3003.2</v>
      </c>
      <c r="CG69" s="3">
        <v>157480.93</v>
      </c>
      <c r="CH69" s="3" t="s">
        <v>192</v>
      </c>
      <c r="CI69" s="3">
        <v>157480.93</v>
      </c>
      <c r="CJ69" s="3">
        <v>0</v>
      </c>
      <c r="CK69" s="3">
        <v>0</v>
      </c>
      <c r="CL69" s="3" t="s">
        <v>112</v>
      </c>
      <c r="CM69" s="3" t="s">
        <v>112</v>
      </c>
    </row>
    <row r="70" spans="1:91" x14ac:dyDescent="0.25">
      <c r="A70" s="3" t="s">
        <v>90</v>
      </c>
      <c r="B70" s="3" t="s">
        <v>250</v>
      </c>
      <c r="C70" s="3">
        <v>3942</v>
      </c>
      <c r="D70" s="3">
        <v>6000276</v>
      </c>
      <c r="E70" s="3"/>
      <c r="F70" s="3" t="s">
        <v>92</v>
      </c>
      <c r="G70" s="3" t="s">
        <v>93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</v>
      </c>
      <c r="O70" s="3">
        <v>282856</v>
      </c>
      <c r="P70" s="3">
        <v>0</v>
      </c>
      <c r="Q70" s="3">
        <v>0</v>
      </c>
      <c r="R70" s="3">
        <v>430</v>
      </c>
      <c r="S70" s="3" t="s">
        <v>251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256</v>
      </c>
      <c r="AB70" s="3"/>
      <c r="AC70" s="3">
        <v>2828557</v>
      </c>
      <c r="AD70" s="3">
        <v>164.25998999999999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/>
      <c r="AP70" s="3" t="s">
        <v>98</v>
      </c>
      <c r="AQ70" s="3">
        <v>210364127</v>
      </c>
      <c r="AR70" s="3" t="s">
        <v>99</v>
      </c>
      <c r="AS70" s="3" t="s">
        <v>100</v>
      </c>
      <c r="AT70" s="3">
        <v>0</v>
      </c>
      <c r="AU70" s="3">
        <v>0</v>
      </c>
      <c r="AV70" s="3">
        <v>0</v>
      </c>
      <c r="AW70" s="3">
        <v>30049099</v>
      </c>
      <c r="AX70" s="3">
        <v>99</v>
      </c>
      <c r="AY70" s="3">
        <v>17220</v>
      </c>
      <c r="AZ70" s="3">
        <v>17220</v>
      </c>
      <c r="BA70" s="3" t="s">
        <v>103</v>
      </c>
      <c r="BB70" s="3"/>
      <c r="BC70" s="3" t="s">
        <v>133</v>
      </c>
      <c r="BD70" s="3" t="s">
        <v>105</v>
      </c>
      <c r="BE70" s="3"/>
      <c r="BF70" s="3"/>
      <c r="BG70" s="3"/>
      <c r="BH70" s="3"/>
      <c r="BI70" s="3"/>
      <c r="BJ70" s="5"/>
      <c r="BK70" s="3"/>
      <c r="BL70" s="3"/>
      <c r="BM70" s="3"/>
      <c r="BN70" s="3" t="s">
        <v>255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 t="s">
        <v>192</v>
      </c>
      <c r="CI70" s="3">
        <v>0</v>
      </c>
      <c r="CJ70" s="3">
        <v>0</v>
      </c>
      <c r="CK70" s="3">
        <v>0</v>
      </c>
      <c r="CL70" s="3" t="s">
        <v>112</v>
      </c>
      <c r="CM70" s="3" t="s">
        <v>112</v>
      </c>
    </row>
    <row r="71" spans="1:91" x14ac:dyDescent="0.25">
      <c r="A71" s="3" t="s">
        <v>90</v>
      </c>
      <c r="B71" s="3" t="s">
        <v>293</v>
      </c>
      <c r="C71" s="3">
        <v>3942</v>
      </c>
      <c r="D71" s="3">
        <v>6000375</v>
      </c>
      <c r="E71" s="3"/>
      <c r="F71" s="3" t="s">
        <v>92</v>
      </c>
      <c r="G71" s="3" t="s">
        <v>93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17.1722</v>
      </c>
      <c r="Q71" s="3">
        <v>785</v>
      </c>
      <c r="R71" s="3">
        <v>430</v>
      </c>
      <c r="S71" s="3"/>
      <c r="T71" s="3" t="s">
        <v>294</v>
      </c>
      <c r="U71" s="3">
        <v>36277920</v>
      </c>
      <c r="V71" s="3">
        <v>36277920</v>
      </c>
      <c r="W71" s="3">
        <v>0</v>
      </c>
      <c r="X71" s="3">
        <v>0</v>
      </c>
      <c r="Y71" s="3">
        <v>0</v>
      </c>
      <c r="Z71" s="3">
        <v>0</v>
      </c>
      <c r="AA71" s="3" t="s">
        <v>295</v>
      </c>
      <c r="AB71" s="3"/>
      <c r="AC71" s="3">
        <v>5140800</v>
      </c>
      <c r="AD71" s="3">
        <v>1680</v>
      </c>
      <c r="AE71" s="3">
        <v>808</v>
      </c>
      <c r="AF71" s="3">
        <v>0</v>
      </c>
      <c r="AG71" s="3">
        <v>0</v>
      </c>
      <c r="AH71" s="3">
        <v>0</v>
      </c>
      <c r="AI71" s="3">
        <v>53</v>
      </c>
      <c r="AJ71" s="3">
        <v>462</v>
      </c>
      <c r="AK71" s="3">
        <v>0</v>
      </c>
      <c r="AL71" s="3">
        <v>0</v>
      </c>
      <c r="AM71" s="3">
        <v>330</v>
      </c>
      <c r="AN71" s="3">
        <v>845</v>
      </c>
      <c r="AO71" s="3" t="s">
        <v>97</v>
      </c>
      <c r="AP71" s="3" t="s">
        <v>98</v>
      </c>
      <c r="AQ71" s="3">
        <v>210365021</v>
      </c>
      <c r="AR71" s="3" t="s">
        <v>99</v>
      </c>
      <c r="AS71" s="3" t="s">
        <v>100</v>
      </c>
      <c r="AT71" s="3" t="s">
        <v>259</v>
      </c>
      <c r="AU71" s="3"/>
      <c r="AV71" s="3" t="s">
        <v>146</v>
      </c>
      <c r="AW71" s="3">
        <v>30024201</v>
      </c>
      <c r="AX71" s="3">
        <v>99</v>
      </c>
      <c r="AY71" s="3">
        <v>3060</v>
      </c>
      <c r="AZ71" s="3">
        <v>3060</v>
      </c>
      <c r="BA71" s="3" t="s">
        <v>103</v>
      </c>
      <c r="BB71" s="3"/>
      <c r="BC71" s="3" t="s">
        <v>105</v>
      </c>
      <c r="BD71" s="3" t="s">
        <v>105</v>
      </c>
      <c r="BE71" s="4">
        <v>46077</v>
      </c>
      <c r="BF71" s="4">
        <v>46092</v>
      </c>
      <c r="BG71" s="4">
        <v>46093</v>
      </c>
      <c r="BH71" s="3" t="s">
        <v>106</v>
      </c>
      <c r="BI71" s="3" t="s">
        <v>107</v>
      </c>
      <c r="BJ71" s="5" t="s">
        <v>296</v>
      </c>
      <c r="BK71" s="3" t="s">
        <v>297</v>
      </c>
      <c r="BL71" s="3"/>
      <c r="BM71" s="3" t="s">
        <v>109</v>
      </c>
      <c r="BN71" s="3" t="s">
        <v>298</v>
      </c>
      <c r="BO71" s="3">
        <v>44019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44379.18</v>
      </c>
      <c r="CB71" s="3">
        <v>0</v>
      </c>
      <c r="CC71" s="3">
        <v>0</v>
      </c>
      <c r="CD71" s="3">
        <v>0</v>
      </c>
      <c r="CE71" s="3">
        <v>18000</v>
      </c>
      <c r="CF71" s="3">
        <v>3342.4</v>
      </c>
      <c r="CG71" s="3">
        <v>138155.07999999999</v>
      </c>
      <c r="CH71" s="3" t="s">
        <v>192</v>
      </c>
      <c r="CI71" s="3">
        <v>138155.07999999999</v>
      </c>
      <c r="CJ71" s="3">
        <v>0</v>
      </c>
      <c r="CK71" s="3">
        <v>0</v>
      </c>
      <c r="CL71" s="3" t="s">
        <v>299</v>
      </c>
      <c r="CM71" s="3" t="s">
        <v>112</v>
      </c>
    </row>
    <row r="72" spans="1:91" x14ac:dyDescent="0.25">
      <c r="A72" s="3" t="s">
        <v>90</v>
      </c>
      <c r="B72" s="3" t="s">
        <v>257</v>
      </c>
      <c r="C72" s="3">
        <v>3942</v>
      </c>
      <c r="D72" s="3">
        <v>6000303</v>
      </c>
      <c r="E72" s="3"/>
      <c r="F72" s="3" t="s">
        <v>92</v>
      </c>
      <c r="G72" s="3" t="s">
        <v>93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430</v>
      </c>
      <c r="S72" s="3" t="s">
        <v>258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262</v>
      </c>
      <c r="AB72" s="3"/>
      <c r="AC72" s="3">
        <v>414126</v>
      </c>
      <c r="AD72" s="3">
        <v>690.21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/>
      <c r="AP72" s="3" t="s">
        <v>98</v>
      </c>
      <c r="AQ72" s="3">
        <v>210365020</v>
      </c>
      <c r="AR72" s="3" t="s">
        <v>99</v>
      </c>
      <c r="AS72" s="3" t="s">
        <v>100</v>
      </c>
      <c r="AT72" s="3">
        <v>0</v>
      </c>
      <c r="AU72" s="3">
        <v>0</v>
      </c>
      <c r="AV72" s="3">
        <v>0</v>
      </c>
      <c r="AW72" s="3">
        <v>30024201</v>
      </c>
      <c r="AX72" s="3">
        <v>99</v>
      </c>
      <c r="AY72" s="3">
        <v>600</v>
      </c>
      <c r="AZ72" s="3">
        <v>600</v>
      </c>
      <c r="BA72" s="3" t="s">
        <v>103</v>
      </c>
      <c r="BB72" s="3"/>
      <c r="BC72" s="3" t="s">
        <v>105</v>
      </c>
      <c r="BD72" s="3" t="s">
        <v>105</v>
      </c>
      <c r="BE72" s="3"/>
      <c r="BF72" s="3"/>
      <c r="BG72" s="3"/>
      <c r="BH72" s="3"/>
      <c r="BI72" s="3"/>
      <c r="BJ72" s="5"/>
      <c r="BK72" s="3"/>
      <c r="BL72" s="3"/>
      <c r="BM72" s="3"/>
      <c r="BN72" s="3" t="s">
        <v>263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 t="s">
        <v>192</v>
      </c>
      <c r="CI72" s="3">
        <v>0</v>
      </c>
      <c r="CJ72" s="3">
        <v>0</v>
      </c>
      <c r="CK72" s="3">
        <v>0</v>
      </c>
      <c r="CL72" s="3" t="s">
        <v>112</v>
      </c>
      <c r="CM72" s="3" t="s">
        <v>112</v>
      </c>
    </row>
    <row r="73" spans="1:91" x14ac:dyDescent="0.25">
      <c r="A73" s="3" t="s">
        <v>90</v>
      </c>
      <c r="B73" s="3" t="s">
        <v>257</v>
      </c>
      <c r="C73" s="3">
        <v>3942</v>
      </c>
      <c r="D73" s="3">
        <v>6000303</v>
      </c>
      <c r="E73" s="3"/>
      <c r="F73" s="3" t="s">
        <v>92</v>
      </c>
      <c r="G73" s="3" t="s">
        <v>93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430</v>
      </c>
      <c r="S73" s="3" t="s">
        <v>258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 t="s">
        <v>264</v>
      </c>
      <c r="AB73" s="3"/>
      <c r="AC73" s="3">
        <v>3268642</v>
      </c>
      <c r="AD73" s="3">
        <v>356.10001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/>
      <c r="AP73" s="3" t="s">
        <v>98</v>
      </c>
      <c r="AQ73" s="3">
        <v>210365020</v>
      </c>
      <c r="AR73" s="3" t="s">
        <v>99</v>
      </c>
      <c r="AS73" s="3" t="s">
        <v>100</v>
      </c>
      <c r="AT73" s="3">
        <v>0</v>
      </c>
      <c r="AU73" s="3">
        <v>0</v>
      </c>
      <c r="AV73" s="3">
        <v>0</v>
      </c>
      <c r="AW73" s="3">
        <v>30024201</v>
      </c>
      <c r="AX73" s="3">
        <v>99</v>
      </c>
      <c r="AY73" s="3">
        <v>9179</v>
      </c>
      <c r="AZ73" s="3">
        <v>9179</v>
      </c>
      <c r="BA73" s="3" t="s">
        <v>103</v>
      </c>
      <c r="BB73" s="3"/>
      <c r="BC73" s="3" t="s">
        <v>105</v>
      </c>
      <c r="BD73" s="3" t="s">
        <v>105</v>
      </c>
      <c r="BE73" s="3"/>
      <c r="BF73" s="3"/>
      <c r="BG73" s="3"/>
      <c r="BH73" s="3"/>
      <c r="BI73" s="3"/>
      <c r="BJ73" s="5"/>
      <c r="BK73" s="3"/>
      <c r="BL73" s="3"/>
      <c r="BM73" s="3"/>
      <c r="BN73" s="3" t="s">
        <v>263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 t="s">
        <v>192</v>
      </c>
      <c r="CI73" s="3">
        <v>0</v>
      </c>
      <c r="CJ73" s="3">
        <v>0</v>
      </c>
      <c r="CK73" s="3">
        <v>0</v>
      </c>
      <c r="CL73" s="3" t="s">
        <v>112</v>
      </c>
      <c r="CM73" s="3" t="s">
        <v>112</v>
      </c>
    </row>
    <row r="74" spans="1:91" x14ac:dyDescent="0.25">
      <c r="A74" s="3" t="s">
        <v>90</v>
      </c>
      <c r="B74" s="3" t="s">
        <v>257</v>
      </c>
      <c r="C74" s="3">
        <v>3942</v>
      </c>
      <c r="D74" s="3">
        <v>6000303</v>
      </c>
      <c r="E74" s="3"/>
      <c r="F74" s="3" t="s">
        <v>92</v>
      </c>
      <c r="G74" s="3" t="s">
        <v>93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430</v>
      </c>
      <c r="S74" s="3" t="s">
        <v>258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 t="s">
        <v>265</v>
      </c>
      <c r="AB74" s="3"/>
      <c r="AC74" s="3">
        <v>6402146</v>
      </c>
      <c r="AD74" s="3">
        <v>741.58995000000004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/>
      <c r="AP74" s="3" t="s">
        <v>98</v>
      </c>
      <c r="AQ74" s="3">
        <v>210365020</v>
      </c>
      <c r="AR74" s="3" t="s">
        <v>99</v>
      </c>
      <c r="AS74" s="3" t="s">
        <v>100</v>
      </c>
      <c r="AT74" s="3">
        <v>0</v>
      </c>
      <c r="AU74" s="3">
        <v>0</v>
      </c>
      <c r="AV74" s="3">
        <v>0</v>
      </c>
      <c r="AW74" s="3">
        <v>30024201</v>
      </c>
      <c r="AX74" s="3">
        <v>99</v>
      </c>
      <c r="AY74" s="3">
        <v>8633</v>
      </c>
      <c r="AZ74" s="3">
        <v>8633</v>
      </c>
      <c r="BA74" s="3" t="s">
        <v>103</v>
      </c>
      <c r="BB74" s="3"/>
      <c r="BC74" s="3" t="s">
        <v>105</v>
      </c>
      <c r="BD74" s="3" t="s">
        <v>105</v>
      </c>
      <c r="BE74" s="3"/>
      <c r="BF74" s="3"/>
      <c r="BG74" s="3"/>
      <c r="BH74" s="3"/>
      <c r="BI74" s="3"/>
      <c r="BJ74" s="5"/>
      <c r="BK74" s="3"/>
      <c r="BL74" s="3"/>
      <c r="BM74" s="3"/>
      <c r="BN74" s="3" t="s">
        <v>263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 t="s">
        <v>192</v>
      </c>
      <c r="CI74" s="3">
        <v>0</v>
      </c>
      <c r="CJ74" s="3">
        <v>0</v>
      </c>
      <c r="CK74" s="3">
        <v>0</v>
      </c>
      <c r="CL74" s="3" t="s">
        <v>112</v>
      </c>
      <c r="CM74" s="3" t="s">
        <v>112</v>
      </c>
    </row>
    <row r="75" spans="1:91" x14ac:dyDescent="0.25">
      <c r="A75" s="3" t="s">
        <v>90</v>
      </c>
      <c r="B75" s="3" t="s">
        <v>257</v>
      </c>
      <c r="C75" s="3">
        <v>3942</v>
      </c>
      <c r="D75" s="3">
        <v>6000303</v>
      </c>
      <c r="E75" s="3"/>
      <c r="F75" s="3" t="s">
        <v>92</v>
      </c>
      <c r="G75" s="3" t="s">
        <v>93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430</v>
      </c>
      <c r="S75" s="3" t="s">
        <v>258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 t="s">
        <v>266</v>
      </c>
      <c r="AB75" s="3"/>
      <c r="AC75" s="3">
        <v>730403</v>
      </c>
      <c r="AD75" s="3">
        <v>507.92975999999999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/>
      <c r="AP75" s="3" t="s">
        <v>98</v>
      </c>
      <c r="AQ75" s="3">
        <v>210365020</v>
      </c>
      <c r="AR75" s="3" t="s">
        <v>99</v>
      </c>
      <c r="AS75" s="3" t="s">
        <v>100</v>
      </c>
      <c r="AT75" s="3">
        <v>0</v>
      </c>
      <c r="AU75" s="3">
        <v>0</v>
      </c>
      <c r="AV75" s="3">
        <v>0</v>
      </c>
      <c r="AW75" s="3">
        <v>30024201</v>
      </c>
      <c r="AX75" s="3">
        <v>99</v>
      </c>
      <c r="AY75" s="3">
        <v>1438</v>
      </c>
      <c r="AZ75" s="3">
        <v>1438</v>
      </c>
      <c r="BA75" s="3" t="s">
        <v>103</v>
      </c>
      <c r="BB75" s="3"/>
      <c r="BC75" s="3" t="s">
        <v>105</v>
      </c>
      <c r="BD75" s="3" t="s">
        <v>105</v>
      </c>
      <c r="BE75" s="3"/>
      <c r="BF75" s="3"/>
      <c r="BG75" s="3"/>
      <c r="BH75" s="3"/>
      <c r="BI75" s="3"/>
      <c r="BJ75" s="5"/>
      <c r="BK75" s="3"/>
      <c r="BL75" s="3"/>
      <c r="BM75" s="3"/>
      <c r="BN75" s="3" t="s">
        <v>263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 t="s">
        <v>192</v>
      </c>
      <c r="CI75" s="3">
        <v>0</v>
      </c>
      <c r="CJ75" s="3">
        <v>0</v>
      </c>
      <c r="CK75" s="3">
        <v>0</v>
      </c>
      <c r="CL75" s="3" t="s">
        <v>112</v>
      </c>
      <c r="CM75" s="3" t="s">
        <v>112</v>
      </c>
    </row>
    <row r="76" spans="1:91" x14ac:dyDescent="0.25">
      <c r="A76" s="3" t="s">
        <v>90</v>
      </c>
      <c r="B76" s="3" t="s">
        <v>257</v>
      </c>
      <c r="C76" s="3">
        <v>3942</v>
      </c>
      <c r="D76" s="3">
        <v>6000303</v>
      </c>
      <c r="E76" s="3"/>
      <c r="F76" s="3" t="s">
        <v>92</v>
      </c>
      <c r="G76" s="3" t="s">
        <v>93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430</v>
      </c>
      <c r="S76" s="3" t="s">
        <v>258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 t="s">
        <v>267</v>
      </c>
      <c r="AB76" s="3"/>
      <c r="AC76" s="3">
        <v>2204237</v>
      </c>
      <c r="AD76" s="3">
        <v>416.67995999999999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/>
      <c r="AP76" s="3" t="s">
        <v>98</v>
      </c>
      <c r="AQ76" s="3">
        <v>210365020</v>
      </c>
      <c r="AR76" s="3" t="s">
        <v>99</v>
      </c>
      <c r="AS76" s="3" t="s">
        <v>100</v>
      </c>
      <c r="AT76" s="3">
        <v>0</v>
      </c>
      <c r="AU76" s="3">
        <v>0</v>
      </c>
      <c r="AV76" s="3">
        <v>0</v>
      </c>
      <c r="AW76" s="3">
        <v>30024201</v>
      </c>
      <c r="AX76" s="3">
        <v>99</v>
      </c>
      <c r="AY76" s="3">
        <v>5290</v>
      </c>
      <c r="AZ76" s="3">
        <v>5290</v>
      </c>
      <c r="BA76" s="3" t="s">
        <v>103</v>
      </c>
      <c r="BB76" s="3"/>
      <c r="BC76" s="3" t="s">
        <v>105</v>
      </c>
      <c r="BD76" s="3" t="s">
        <v>105</v>
      </c>
      <c r="BE76" s="3"/>
      <c r="BF76" s="3"/>
      <c r="BG76" s="3"/>
      <c r="BH76" s="3"/>
      <c r="BI76" s="3"/>
      <c r="BJ76" s="5"/>
      <c r="BK76" s="3"/>
      <c r="BL76" s="3"/>
      <c r="BM76" s="3"/>
      <c r="BN76" s="3" t="s">
        <v>263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 t="s">
        <v>192</v>
      </c>
      <c r="CI76" s="3">
        <v>0</v>
      </c>
      <c r="CJ76" s="3">
        <v>0</v>
      </c>
      <c r="CK76" s="3">
        <v>0</v>
      </c>
      <c r="CL76" s="3" t="s">
        <v>112</v>
      </c>
      <c r="CM76" s="3" t="s">
        <v>112</v>
      </c>
    </row>
    <row r="77" spans="1:91" x14ac:dyDescent="0.25">
      <c r="A77" s="3" t="s">
        <v>90</v>
      </c>
      <c r="B77" s="3" t="s">
        <v>257</v>
      </c>
      <c r="C77" s="3">
        <v>3942</v>
      </c>
      <c r="D77" s="3">
        <v>6000303</v>
      </c>
      <c r="E77" s="3"/>
      <c r="F77" s="3" t="s">
        <v>92</v>
      </c>
      <c r="G77" s="3" t="s">
        <v>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430</v>
      </c>
      <c r="S77" s="3" t="s">
        <v>258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 t="s">
        <v>160</v>
      </c>
      <c r="AB77" s="3"/>
      <c r="AC77" s="3">
        <v>1145830</v>
      </c>
      <c r="AD77" s="3">
        <v>3071.9302899999998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/>
      <c r="AP77" s="3" t="s">
        <v>98</v>
      </c>
      <c r="AQ77" s="3">
        <v>210365021</v>
      </c>
      <c r="AR77" s="3" t="s">
        <v>99</v>
      </c>
      <c r="AS77" s="3" t="s">
        <v>100</v>
      </c>
      <c r="AT77" s="3">
        <v>0</v>
      </c>
      <c r="AU77" s="3">
        <v>0</v>
      </c>
      <c r="AV77" s="3">
        <v>0</v>
      </c>
      <c r="AW77" s="3">
        <v>30042099</v>
      </c>
      <c r="AX77" s="3">
        <v>0</v>
      </c>
      <c r="AY77" s="3">
        <v>373</v>
      </c>
      <c r="AZ77" s="3">
        <v>373</v>
      </c>
      <c r="BA77" s="3" t="s">
        <v>121</v>
      </c>
      <c r="BB77" s="3"/>
      <c r="BC77" s="3" t="s">
        <v>105</v>
      </c>
      <c r="BD77" s="3" t="s">
        <v>105</v>
      </c>
      <c r="BE77" s="3"/>
      <c r="BF77" s="3"/>
      <c r="BG77" s="3"/>
      <c r="BH77" s="3"/>
      <c r="BI77" s="3"/>
      <c r="BJ77" s="5"/>
      <c r="BK77" s="3"/>
      <c r="BL77" s="3"/>
      <c r="BM77" s="3"/>
      <c r="BN77" s="3" t="s">
        <v>268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 t="s">
        <v>192</v>
      </c>
      <c r="CI77" s="3">
        <v>0</v>
      </c>
      <c r="CJ77" s="3">
        <v>0</v>
      </c>
      <c r="CK77" s="3">
        <v>0</v>
      </c>
      <c r="CL77" s="3" t="s">
        <v>112</v>
      </c>
      <c r="CM77" s="3" t="s">
        <v>112</v>
      </c>
    </row>
    <row r="78" spans="1:91" x14ac:dyDescent="0.25">
      <c r="A78" s="3" t="s">
        <v>90</v>
      </c>
      <c r="B78" s="3" t="s">
        <v>257</v>
      </c>
      <c r="C78" s="3">
        <v>3942</v>
      </c>
      <c r="D78" s="3">
        <v>6000303</v>
      </c>
      <c r="E78" s="3"/>
      <c r="F78" s="3" t="s">
        <v>92</v>
      </c>
      <c r="G78" s="3" t="s">
        <v>93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430</v>
      </c>
      <c r="S78" s="3" t="s">
        <v>258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 t="s">
        <v>218</v>
      </c>
      <c r="AB78" s="3"/>
      <c r="AC78" s="3">
        <v>1296641</v>
      </c>
      <c r="AD78" s="3">
        <v>1029.08016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/>
      <c r="AP78" s="3" t="s">
        <v>98</v>
      </c>
      <c r="AQ78" s="3">
        <v>210365022</v>
      </c>
      <c r="AR78" s="3" t="s">
        <v>99</v>
      </c>
      <c r="AS78" s="3" t="s">
        <v>100</v>
      </c>
      <c r="AT78" s="3">
        <v>0</v>
      </c>
      <c r="AU78" s="3">
        <v>0</v>
      </c>
      <c r="AV78" s="3">
        <v>0</v>
      </c>
      <c r="AW78" s="3">
        <v>30024201</v>
      </c>
      <c r="AX78" s="3">
        <v>99</v>
      </c>
      <c r="AY78" s="3">
        <v>1260</v>
      </c>
      <c r="AZ78" s="3">
        <v>1260</v>
      </c>
      <c r="BA78" s="3" t="s">
        <v>103</v>
      </c>
      <c r="BB78" s="3"/>
      <c r="BC78" s="3" t="s">
        <v>105</v>
      </c>
      <c r="BD78" s="3" t="s">
        <v>105</v>
      </c>
      <c r="BE78" s="3"/>
      <c r="BF78" s="3"/>
      <c r="BG78" s="3"/>
      <c r="BH78" s="3"/>
      <c r="BI78" s="3"/>
      <c r="BJ78" s="5"/>
      <c r="BK78" s="3"/>
      <c r="BL78" s="3"/>
      <c r="BM78" s="3"/>
      <c r="BN78" s="3" t="s">
        <v>269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 t="s">
        <v>192</v>
      </c>
      <c r="CI78" s="3">
        <v>0</v>
      </c>
      <c r="CJ78" s="3">
        <v>0</v>
      </c>
      <c r="CK78" s="3">
        <v>0</v>
      </c>
      <c r="CL78" s="3" t="s">
        <v>112</v>
      </c>
      <c r="CM78" s="3" t="s">
        <v>112</v>
      </c>
    </row>
    <row r="79" spans="1:91" x14ac:dyDescent="0.25">
      <c r="A79" s="3" t="s">
        <v>90</v>
      </c>
      <c r="B79" s="3" t="s">
        <v>257</v>
      </c>
      <c r="C79" s="3">
        <v>3942</v>
      </c>
      <c r="D79" s="3">
        <v>6000303</v>
      </c>
      <c r="E79" s="3"/>
      <c r="F79" s="3" t="s">
        <v>92</v>
      </c>
      <c r="G79" s="3" t="s">
        <v>93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430</v>
      </c>
      <c r="S79" s="3" t="s">
        <v>258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 t="s">
        <v>270</v>
      </c>
      <c r="AB79" s="3"/>
      <c r="AC79" s="3">
        <v>1782756</v>
      </c>
      <c r="AD79" s="3">
        <v>825.35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/>
      <c r="AP79" s="3" t="s">
        <v>98</v>
      </c>
      <c r="AQ79" s="3">
        <v>210365022</v>
      </c>
      <c r="AR79" s="3" t="s">
        <v>99</v>
      </c>
      <c r="AS79" s="3" t="s">
        <v>100</v>
      </c>
      <c r="AT79" s="3">
        <v>0</v>
      </c>
      <c r="AU79" s="3">
        <v>0</v>
      </c>
      <c r="AV79" s="3">
        <v>0</v>
      </c>
      <c r="AW79" s="3">
        <v>30024201</v>
      </c>
      <c r="AX79" s="3">
        <v>99</v>
      </c>
      <c r="AY79" s="3">
        <v>2160</v>
      </c>
      <c r="AZ79" s="3">
        <v>2160</v>
      </c>
      <c r="BA79" s="3" t="s">
        <v>103</v>
      </c>
      <c r="BB79" s="3"/>
      <c r="BC79" s="3" t="s">
        <v>105</v>
      </c>
      <c r="BD79" s="3" t="s">
        <v>105</v>
      </c>
      <c r="BE79" s="3"/>
      <c r="BF79" s="3"/>
      <c r="BG79" s="3"/>
      <c r="BH79" s="3"/>
      <c r="BI79" s="3"/>
      <c r="BJ79" s="5"/>
      <c r="BK79" s="3"/>
      <c r="BL79" s="3"/>
      <c r="BM79" s="3"/>
      <c r="BN79" s="3" t="s">
        <v>269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 t="s">
        <v>192</v>
      </c>
      <c r="CI79" s="3">
        <v>0</v>
      </c>
      <c r="CJ79" s="3">
        <v>0</v>
      </c>
      <c r="CK79" s="3">
        <v>0</v>
      </c>
      <c r="CL79" s="3" t="s">
        <v>112</v>
      </c>
      <c r="CM79" s="3" t="s">
        <v>112</v>
      </c>
    </row>
    <row r="80" spans="1:91" x14ac:dyDescent="0.25">
      <c r="A80" s="3" t="s">
        <v>90</v>
      </c>
      <c r="B80" s="3" t="s">
        <v>346</v>
      </c>
      <c r="C80" s="3">
        <v>3942</v>
      </c>
      <c r="D80" s="3">
        <v>6000421</v>
      </c>
      <c r="E80" s="3">
        <v>6000418</v>
      </c>
      <c r="F80" s="3" t="s">
        <v>92</v>
      </c>
      <c r="G80" s="3" t="s">
        <v>342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17.1722</v>
      </c>
      <c r="Q80" s="3">
        <v>3874</v>
      </c>
      <c r="R80" s="3">
        <v>430</v>
      </c>
      <c r="S80" s="3" t="s">
        <v>258</v>
      </c>
      <c r="T80" s="3" t="s">
        <v>95</v>
      </c>
      <c r="U80" s="3">
        <v>17566160</v>
      </c>
      <c r="V80" s="3">
        <v>17566160</v>
      </c>
      <c r="W80" s="3">
        <v>0</v>
      </c>
      <c r="X80" s="3">
        <v>0</v>
      </c>
      <c r="Y80" s="3">
        <v>0</v>
      </c>
      <c r="Z80" s="3">
        <v>0</v>
      </c>
      <c r="AA80" s="3" t="s">
        <v>220</v>
      </c>
      <c r="AB80" s="3"/>
      <c r="AC80" s="3">
        <v>321379</v>
      </c>
      <c r="AD80" s="3">
        <v>645.33936000000006</v>
      </c>
      <c r="AE80" s="3">
        <v>808</v>
      </c>
      <c r="AF80" s="3">
        <v>0</v>
      </c>
      <c r="AG80" s="3">
        <v>0</v>
      </c>
      <c r="AH80" s="3">
        <v>0</v>
      </c>
      <c r="AI80" s="3">
        <v>0</v>
      </c>
      <c r="AJ80" s="3">
        <v>444</v>
      </c>
      <c r="AK80" s="3">
        <v>0</v>
      </c>
      <c r="AL80" s="3">
        <v>0</v>
      </c>
      <c r="AM80" s="3">
        <v>330</v>
      </c>
      <c r="AN80" s="3">
        <v>444</v>
      </c>
      <c r="AO80" s="3" t="s">
        <v>97</v>
      </c>
      <c r="AP80" s="3" t="s">
        <v>98</v>
      </c>
      <c r="AQ80" s="3">
        <v>210364287</v>
      </c>
      <c r="AR80" s="3" t="s">
        <v>99</v>
      </c>
      <c r="AS80" s="3" t="s">
        <v>100</v>
      </c>
      <c r="AT80" s="3" t="s">
        <v>259</v>
      </c>
      <c r="AU80" s="3"/>
      <c r="AV80" s="3"/>
      <c r="AW80" s="3">
        <v>30024201</v>
      </c>
      <c r="AX80" s="3">
        <v>99</v>
      </c>
      <c r="AY80" s="3">
        <v>498</v>
      </c>
      <c r="AZ80" s="3">
        <v>498</v>
      </c>
      <c r="BA80" s="3" t="s">
        <v>103</v>
      </c>
      <c r="BB80" s="3"/>
      <c r="BC80" s="3" t="s">
        <v>105</v>
      </c>
      <c r="BD80" s="3" t="s">
        <v>105</v>
      </c>
      <c r="BE80" s="4">
        <v>46077</v>
      </c>
      <c r="BF80" s="4">
        <v>46093</v>
      </c>
      <c r="BG80" s="4">
        <v>46093</v>
      </c>
      <c r="BH80" s="3" t="s">
        <v>106</v>
      </c>
      <c r="BI80" s="3"/>
      <c r="BJ80" s="5" t="s">
        <v>260</v>
      </c>
      <c r="BK80" s="3" t="s">
        <v>148</v>
      </c>
      <c r="BL80" s="3"/>
      <c r="BM80" s="3" t="s">
        <v>109</v>
      </c>
      <c r="BN80" s="3" t="s">
        <v>261</v>
      </c>
      <c r="BO80" s="3">
        <v>43966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44379.18</v>
      </c>
      <c r="CB80" s="3">
        <v>0</v>
      </c>
      <c r="CC80" s="3">
        <v>0</v>
      </c>
      <c r="CD80" s="3">
        <v>26829.06</v>
      </c>
      <c r="CE80" s="3">
        <v>18000</v>
      </c>
      <c r="CF80" s="3">
        <v>4283.2</v>
      </c>
      <c r="CG80" s="3">
        <v>250436.84</v>
      </c>
      <c r="CH80" s="3" t="s">
        <v>192</v>
      </c>
      <c r="CI80" s="3">
        <v>250436.84</v>
      </c>
      <c r="CJ80" s="3">
        <v>0</v>
      </c>
      <c r="CK80" s="3">
        <v>0</v>
      </c>
      <c r="CL80" s="3" t="s">
        <v>112</v>
      </c>
      <c r="CM80" s="3" t="s">
        <v>112</v>
      </c>
    </row>
    <row r="81" spans="1:91" x14ac:dyDescent="0.25">
      <c r="A81" s="3" t="s">
        <v>90</v>
      </c>
      <c r="B81" s="3" t="s">
        <v>293</v>
      </c>
      <c r="C81" s="3">
        <v>3942</v>
      </c>
      <c r="D81" s="3">
        <v>6000375</v>
      </c>
      <c r="E81" s="3"/>
      <c r="F81" s="3" t="s">
        <v>92</v>
      </c>
      <c r="G81" s="3" t="s">
        <v>93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430</v>
      </c>
      <c r="S81" s="3"/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 t="s">
        <v>295</v>
      </c>
      <c r="AB81" s="3"/>
      <c r="AC81" s="3">
        <v>6350400</v>
      </c>
      <c r="AD81" s="3">
        <v>1680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/>
      <c r="AP81" s="3" t="s">
        <v>98</v>
      </c>
      <c r="AQ81" s="3">
        <v>210365021</v>
      </c>
      <c r="AR81" s="3" t="s">
        <v>99</v>
      </c>
      <c r="AS81" s="3" t="s">
        <v>100</v>
      </c>
      <c r="AT81" s="3">
        <v>0</v>
      </c>
      <c r="AU81" s="3">
        <v>0</v>
      </c>
      <c r="AV81" s="3">
        <v>0</v>
      </c>
      <c r="AW81" s="3">
        <v>30024201</v>
      </c>
      <c r="AX81" s="3">
        <v>99</v>
      </c>
      <c r="AY81" s="3">
        <v>3780</v>
      </c>
      <c r="AZ81" s="3">
        <v>3780</v>
      </c>
      <c r="BA81" s="3" t="s">
        <v>103</v>
      </c>
      <c r="BB81" s="3"/>
      <c r="BC81" s="3" t="s">
        <v>105</v>
      </c>
      <c r="BD81" s="3" t="s">
        <v>105</v>
      </c>
      <c r="BE81" s="3"/>
      <c r="BF81" s="3"/>
      <c r="BG81" s="3"/>
      <c r="BH81" s="3"/>
      <c r="BI81" s="3"/>
      <c r="BJ81" s="5"/>
      <c r="BK81" s="3"/>
      <c r="BL81" s="3"/>
      <c r="BM81" s="3"/>
      <c r="BN81" s="3" t="s">
        <v>298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 t="s">
        <v>192</v>
      </c>
      <c r="CI81" s="3">
        <v>0</v>
      </c>
      <c r="CJ81" s="3">
        <v>0</v>
      </c>
      <c r="CK81" s="3">
        <v>0</v>
      </c>
      <c r="CL81" s="3" t="s">
        <v>299</v>
      </c>
      <c r="CM81" s="3" t="s">
        <v>112</v>
      </c>
    </row>
    <row r="82" spans="1:91" x14ac:dyDescent="0.25">
      <c r="A82" s="3" t="s">
        <v>90</v>
      </c>
      <c r="B82" s="3" t="s">
        <v>293</v>
      </c>
      <c r="C82" s="3">
        <v>3942</v>
      </c>
      <c r="D82" s="3">
        <v>6000375</v>
      </c>
      <c r="E82" s="3"/>
      <c r="F82" s="3" t="s">
        <v>92</v>
      </c>
      <c r="G82" s="3" t="s">
        <v>93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430</v>
      </c>
      <c r="S82" s="3"/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 t="s">
        <v>295</v>
      </c>
      <c r="AB82" s="3"/>
      <c r="AC82" s="3">
        <v>24786720</v>
      </c>
      <c r="AD82" s="3">
        <v>1680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/>
      <c r="AP82" s="3" t="s">
        <v>98</v>
      </c>
      <c r="AQ82" s="3">
        <v>210365022</v>
      </c>
      <c r="AR82" s="3" t="s">
        <v>99</v>
      </c>
      <c r="AS82" s="3" t="s">
        <v>100</v>
      </c>
      <c r="AT82" s="3">
        <v>0</v>
      </c>
      <c r="AU82" s="3">
        <v>0</v>
      </c>
      <c r="AV82" s="3">
        <v>0</v>
      </c>
      <c r="AW82" s="3">
        <v>30024201</v>
      </c>
      <c r="AX82" s="3">
        <v>99</v>
      </c>
      <c r="AY82" s="3">
        <v>14754</v>
      </c>
      <c r="AZ82" s="3">
        <v>14754</v>
      </c>
      <c r="BA82" s="3" t="s">
        <v>103</v>
      </c>
      <c r="BB82" s="3"/>
      <c r="BC82" s="3" t="s">
        <v>105</v>
      </c>
      <c r="BD82" s="3" t="s">
        <v>105</v>
      </c>
      <c r="BE82" s="3"/>
      <c r="BF82" s="3"/>
      <c r="BG82" s="3"/>
      <c r="BH82" s="3"/>
      <c r="BI82" s="3"/>
      <c r="BJ82" s="5"/>
      <c r="BK82" s="3"/>
      <c r="BL82" s="3"/>
      <c r="BM82" s="3"/>
      <c r="BN82" s="3" t="s">
        <v>300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 t="s">
        <v>192</v>
      </c>
      <c r="CI82" s="3">
        <v>0</v>
      </c>
      <c r="CJ82" s="3">
        <v>0</v>
      </c>
      <c r="CK82" s="3">
        <v>0</v>
      </c>
      <c r="CL82" s="3" t="s">
        <v>299</v>
      </c>
      <c r="CM82" s="3" t="s">
        <v>112</v>
      </c>
    </row>
    <row r="83" spans="1:91" x14ac:dyDescent="0.25">
      <c r="A83" s="3" t="s">
        <v>90</v>
      </c>
      <c r="B83" s="3" t="s">
        <v>329</v>
      </c>
      <c r="C83" s="3">
        <v>3942</v>
      </c>
      <c r="D83" s="3">
        <v>6000363</v>
      </c>
      <c r="E83" s="3"/>
      <c r="F83" s="3" t="s">
        <v>92</v>
      </c>
      <c r="G83" s="3" t="s">
        <v>93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17.8368</v>
      </c>
      <c r="Q83" s="3">
        <v>6160</v>
      </c>
      <c r="R83" s="3">
        <v>430</v>
      </c>
      <c r="S83" s="3" t="s">
        <v>330</v>
      </c>
      <c r="T83" s="3" t="s">
        <v>130</v>
      </c>
      <c r="U83" s="3">
        <v>32484777</v>
      </c>
      <c r="V83" s="3">
        <v>32484777</v>
      </c>
      <c r="W83" s="3">
        <v>0</v>
      </c>
      <c r="X83" s="3">
        <v>0</v>
      </c>
      <c r="Y83" s="3">
        <v>0</v>
      </c>
      <c r="Z83" s="3">
        <v>0</v>
      </c>
      <c r="AA83" s="3" t="s">
        <v>331</v>
      </c>
      <c r="AB83" s="3"/>
      <c r="AC83" s="3">
        <v>368741</v>
      </c>
      <c r="AD83" s="3">
        <v>884.27098000000001</v>
      </c>
      <c r="AE83" s="3">
        <v>808</v>
      </c>
      <c r="AF83" s="3">
        <v>0</v>
      </c>
      <c r="AG83" s="3">
        <v>0</v>
      </c>
      <c r="AH83" s="3">
        <v>0</v>
      </c>
      <c r="AI83" s="3">
        <v>53</v>
      </c>
      <c r="AJ83" s="3">
        <v>462</v>
      </c>
      <c r="AK83" s="3">
        <v>0</v>
      </c>
      <c r="AL83" s="3">
        <v>0</v>
      </c>
      <c r="AM83" s="3">
        <v>330</v>
      </c>
      <c r="AN83" s="3">
        <v>845</v>
      </c>
      <c r="AO83" s="3" t="s">
        <v>97</v>
      </c>
      <c r="AP83" s="3" t="s">
        <v>98</v>
      </c>
      <c r="AQ83" s="3">
        <v>210365527</v>
      </c>
      <c r="AR83" s="3" t="s">
        <v>99</v>
      </c>
      <c r="AS83" s="3" t="s">
        <v>100</v>
      </c>
      <c r="AT83" s="3" t="s">
        <v>332</v>
      </c>
      <c r="AU83" s="3"/>
      <c r="AV83" s="3" t="s">
        <v>146</v>
      </c>
      <c r="AW83" s="3">
        <v>30024201</v>
      </c>
      <c r="AX83" s="3">
        <v>99</v>
      </c>
      <c r="AY83" s="3">
        <v>417</v>
      </c>
      <c r="AZ83" s="3">
        <v>417</v>
      </c>
      <c r="BA83" s="3" t="s">
        <v>103</v>
      </c>
      <c r="BB83" s="3"/>
      <c r="BC83" s="3" t="s">
        <v>105</v>
      </c>
      <c r="BD83" s="3" t="s">
        <v>105</v>
      </c>
      <c r="BE83" s="4">
        <v>46097</v>
      </c>
      <c r="BF83" s="4">
        <v>46105</v>
      </c>
      <c r="BG83" s="4">
        <v>46105</v>
      </c>
      <c r="BH83" s="3" t="s">
        <v>228</v>
      </c>
      <c r="BI83" s="3" t="s">
        <v>333</v>
      </c>
      <c r="BJ83" s="5" t="s">
        <v>334</v>
      </c>
      <c r="BK83" s="3" t="s">
        <v>148</v>
      </c>
      <c r="BL83" s="3"/>
      <c r="BM83" s="3" t="s">
        <v>109</v>
      </c>
      <c r="BN83" s="3" t="s">
        <v>335</v>
      </c>
      <c r="BO83" s="3">
        <v>44721</v>
      </c>
      <c r="BP83" s="3">
        <v>0</v>
      </c>
      <c r="BQ83" s="3">
        <v>0</v>
      </c>
      <c r="BR83" s="3">
        <v>0</v>
      </c>
      <c r="BS83" s="3">
        <v>1800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22189.59</v>
      </c>
      <c r="CB83" s="3">
        <v>0</v>
      </c>
      <c r="CC83" s="3">
        <v>0</v>
      </c>
      <c r="CD83" s="3">
        <v>38720.22</v>
      </c>
      <c r="CE83" s="3">
        <v>18000</v>
      </c>
      <c r="CF83" s="3">
        <v>3630.4</v>
      </c>
      <c r="CG83" s="3">
        <v>218768.33</v>
      </c>
      <c r="CH83" s="3" t="s">
        <v>192</v>
      </c>
      <c r="CI83" s="3">
        <v>218768.33</v>
      </c>
      <c r="CJ83" s="3">
        <v>0</v>
      </c>
      <c r="CK83" s="3">
        <v>0</v>
      </c>
      <c r="CL83" s="3" t="s">
        <v>112</v>
      </c>
      <c r="CM83" s="3" t="s">
        <v>112</v>
      </c>
    </row>
    <row r="84" spans="1:91" x14ac:dyDescent="0.25">
      <c r="A84" s="3" t="s">
        <v>90</v>
      </c>
      <c r="B84" s="3" t="s">
        <v>343</v>
      </c>
      <c r="C84" s="3">
        <v>3942</v>
      </c>
      <c r="D84" s="3">
        <v>6000418</v>
      </c>
      <c r="E84" s="3">
        <v>6000303</v>
      </c>
      <c r="F84" s="3" t="s">
        <v>92</v>
      </c>
      <c r="G84" s="3" t="s">
        <v>342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430</v>
      </c>
      <c r="S84" s="3" t="s">
        <v>258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 t="s">
        <v>262</v>
      </c>
      <c r="AB84" s="3"/>
      <c r="AC84" s="3">
        <v>414126</v>
      </c>
      <c r="AD84" s="3">
        <v>690.21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/>
      <c r="AP84" s="3" t="s">
        <v>98</v>
      </c>
      <c r="AQ84" s="3">
        <v>210365020</v>
      </c>
      <c r="AR84" s="3" t="s">
        <v>99</v>
      </c>
      <c r="AS84" s="3" t="s">
        <v>100</v>
      </c>
      <c r="AT84" s="3">
        <v>0</v>
      </c>
      <c r="AU84" s="3">
        <v>0</v>
      </c>
      <c r="AV84" s="3">
        <v>0</v>
      </c>
      <c r="AW84" s="3">
        <v>30024201</v>
      </c>
      <c r="AX84" s="3">
        <v>99</v>
      </c>
      <c r="AY84" s="3">
        <v>600</v>
      </c>
      <c r="AZ84" s="3">
        <v>600</v>
      </c>
      <c r="BA84" s="3" t="s">
        <v>103</v>
      </c>
      <c r="BB84" s="3"/>
      <c r="BC84" s="3" t="s">
        <v>105</v>
      </c>
      <c r="BD84" s="3" t="s">
        <v>105</v>
      </c>
      <c r="BE84" s="3"/>
      <c r="BF84" s="3"/>
      <c r="BG84" s="3"/>
      <c r="BH84" s="3"/>
      <c r="BI84" s="3"/>
      <c r="BJ84" s="5"/>
      <c r="BK84" s="3"/>
      <c r="BL84" s="3"/>
      <c r="BM84" s="3"/>
      <c r="BN84" s="3" t="s">
        <v>263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 t="s">
        <v>192</v>
      </c>
      <c r="CI84" s="3">
        <v>0</v>
      </c>
      <c r="CJ84" s="3">
        <v>0</v>
      </c>
      <c r="CK84" s="3">
        <v>0</v>
      </c>
      <c r="CL84" s="3" t="s">
        <v>112</v>
      </c>
      <c r="CM84" s="3" t="s">
        <v>112</v>
      </c>
    </row>
    <row r="85" spans="1:91" x14ac:dyDescent="0.25">
      <c r="A85" s="3" t="s">
        <v>90</v>
      </c>
      <c r="B85" s="3" t="s">
        <v>343</v>
      </c>
      <c r="C85" s="3">
        <v>3942</v>
      </c>
      <c r="D85" s="3">
        <v>6000418</v>
      </c>
      <c r="E85" s="3">
        <v>6000303</v>
      </c>
      <c r="F85" s="3" t="s">
        <v>92</v>
      </c>
      <c r="G85" s="3" t="s">
        <v>342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430</v>
      </c>
      <c r="S85" s="3" t="s">
        <v>258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 t="s">
        <v>264</v>
      </c>
      <c r="AB85" s="3"/>
      <c r="AC85" s="3">
        <v>3268642</v>
      </c>
      <c r="AD85" s="3">
        <v>356.10001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/>
      <c r="AP85" s="3" t="s">
        <v>98</v>
      </c>
      <c r="AQ85" s="3">
        <v>210365020</v>
      </c>
      <c r="AR85" s="3" t="s">
        <v>99</v>
      </c>
      <c r="AS85" s="3" t="s">
        <v>100</v>
      </c>
      <c r="AT85" s="3">
        <v>0</v>
      </c>
      <c r="AU85" s="3">
        <v>0</v>
      </c>
      <c r="AV85" s="3">
        <v>0</v>
      </c>
      <c r="AW85" s="3">
        <v>30024201</v>
      </c>
      <c r="AX85" s="3">
        <v>99</v>
      </c>
      <c r="AY85" s="3">
        <v>9179</v>
      </c>
      <c r="AZ85" s="3">
        <v>9179</v>
      </c>
      <c r="BA85" s="3" t="s">
        <v>103</v>
      </c>
      <c r="BB85" s="3"/>
      <c r="BC85" s="3" t="s">
        <v>105</v>
      </c>
      <c r="BD85" s="3" t="s">
        <v>105</v>
      </c>
      <c r="BE85" s="3"/>
      <c r="BF85" s="3"/>
      <c r="BG85" s="3"/>
      <c r="BH85" s="3"/>
      <c r="BI85" s="3"/>
      <c r="BJ85" s="5"/>
      <c r="BK85" s="3"/>
      <c r="BL85" s="3"/>
      <c r="BM85" s="3"/>
      <c r="BN85" s="3" t="s">
        <v>263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 t="s">
        <v>192</v>
      </c>
      <c r="CI85" s="3">
        <v>0</v>
      </c>
      <c r="CJ85" s="3">
        <v>0</v>
      </c>
      <c r="CK85" s="3">
        <v>0</v>
      </c>
      <c r="CL85" s="3" t="s">
        <v>112</v>
      </c>
      <c r="CM85" s="3" t="s">
        <v>112</v>
      </c>
    </row>
    <row r="86" spans="1:91" x14ac:dyDescent="0.25">
      <c r="A86" s="3" t="s">
        <v>90</v>
      </c>
      <c r="B86" s="3" t="s">
        <v>343</v>
      </c>
      <c r="C86" s="3">
        <v>3942</v>
      </c>
      <c r="D86" s="3">
        <v>6000418</v>
      </c>
      <c r="E86" s="3">
        <v>6000303</v>
      </c>
      <c r="F86" s="3" t="s">
        <v>92</v>
      </c>
      <c r="G86" s="3" t="s">
        <v>342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430</v>
      </c>
      <c r="S86" s="3" t="s">
        <v>258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 t="s">
        <v>265</v>
      </c>
      <c r="AB86" s="3"/>
      <c r="AC86" s="3">
        <v>6402146</v>
      </c>
      <c r="AD86" s="3">
        <v>741.58995000000004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/>
      <c r="AP86" s="3" t="s">
        <v>98</v>
      </c>
      <c r="AQ86" s="3">
        <v>210365020</v>
      </c>
      <c r="AR86" s="3" t="s">
        <v>99</v>
      </c>
      <c r="AS86" s="3" t="s">
        <v>100</v>
      </c>
      <c r="AT86" s="3">
        <v>0</v>
      </c>
      <c r="AU86" s="3">
        <v>0</v>
      </c>
      <c r="AV86" s="3">
        <v>0</v>
      </c>
      <c r="AW86" s="3">
        <v>30024201</v>
      </c>
      <c r="AX86" s="3">
        <v>99</v>
      </c>
      <c r="AY86" s="3">
        <v>8633</v>
      </c>
      <c r="AZ86" s="3">
        <v>8633</v>
      </c>
      <c r="BA86" s="3" t="s">
        <v>103</v>
      </c>
      <c r="BB86" s="3"/>
      <c r="BC86" s="3" t="s">
        <v>105</v>
      </c>
      <c r="BD86" s="3" t="s">
        <v>105</v>
      </c>
      <c r="BE86" s="3"/>
      <c r="BF86" s="3"/>
      <c r="BG86" s="3"/>
      <c r="BH86" s="3"/>
      <c r="BI86" s="3"/>
      <c r="BJ86" s="5"/>
      <c r="BK86" s="3"/>
      <c r="BL86" s="3"/>
      <c r="BM86" s="3"/>
      <c r="BN86" s="3" t="s">
        <v>263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 t="s">
        <v>192</v>
      </c>
      <c r="CI86" s="3">
        <v>0</v>
      </c>
      <c r="CJ86" s="3">
        <v>0</v>
      </c>
      <c r="CK86" s="3">
        <v>0</v>
      </c>
      <c r="CL86" s="3" t="s">
        <v>112</v>
      </c>
      <c r="CM86" s="3" t="s">
        <v>112</v>
      </c>
    </row>
    <row r="87" spans="1:91" x14ac:dyDescent="0.25">
      <c r="A87" s="3" t="s">
        <v>90</v>
      </c>
      <c r="B87" s="3" t="s">
        <v>343</v>
      </c>
      <c r="C87" s="3">
        <v>3942</v>
      </c>
      <c r="D87" s="3">
        <v>6000418</v>
      </c>
      <c r="E87" s="3">
        <v>6000303</v>
      </c>
      <c r="F87" s="3" t="s">
        <v>92</v>
      </c>
      <c r="G87" s="3" t="s">
        <v>342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430</v>
      </c>
      <c r="S87" s="3" t="s">
        <v>258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 t="s">
        <v>266</v>
      </c>
      <c r="AB87" s="3"/>
      <c r="AC87" s="3">
        <v>730403</v>
      </c>
      <c r="AD87" s="3">
        <v>507.92975999999999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/>
      <c r="AP87" s="3" t="s">
        <v>98</v>
      </c>
      <c r="AQ87" s="3">
        <v>210365020</v>
      </c>
      <c r="AR87" s="3" t="s">
        <v>99</v>
      </c>
      <c r="AS87" s="3" t="s">
        <v>100</v>
      </c>
      <c r="AT87" s="3">
        <v>0</v>
      </c>
      <c r="AU87" s="3">
        <v>0</v>
      </c>
      <c r="AV87" s="3">
        <v>0</v>
      </c>
      <c r="AW87" s="3">
        <v>30024201</v>
      </c>
      <c r="AX87" s="3">
        <v>99</v>
      </c>
      <c r="AY87" s="3">
        <v>1438</v>
      </c>
      <c r="AZ87" s="3">
        <v>1438</v>
      </c>
      <c r="BA87" s="3" t="s">
        <v>103</v>
      </c>
      <c r="BB87" s="3"/>
      <c r="BC87" s="3" t="s">
        <v>105</v>
      </c>
      <c r="BD87" s="3" t="s">
        <v>105</v>
      </c>
      <c r="BE87" s="3"/>
      <c r="BF87" s="3"/>
      <c r="BG87" s="3"/>
      <c r="BH87" s="3"/>
      <c r="BI87" s="3"/>
      <c r="BJ87" s="5"/>
      <c r="BK87" s="3"/>
      <c r="BL87" s="3"/>
      <c r="BM87" s="3"/>
      <c r="BN87" s="3" t="s">
        <v>263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 t="s">
        <v>192</v>
      </c>
      <c r="CI87" s="3">
        <v>0</v>
      </c>
      <c r="CJ87" s="3">
        <v>0</v>
      </c>
      <c r="CK87" s="3">
        <v>0</v>
      </c>
      <c r="CL87" s="3" t="s">
        <v>112</v>
      </c>
      <c r="CM87" s="3" t="s">
        <v>112</v>
      </c>
    </row>
    <row r="88" spans="1:91" x14ac:dyDescent="0.25">
      <c r="A88" s="3" t="s">
        <v>90</v>
      </c>
      <c r="B88" s="3" t="s">
        <v>343</v>
      </c>
      <c r="C88" s="3">
        <v>3942</v>
      </c>
      <c r="D88" s="3">
        <v>6000418</v>
      </c>
      <c r="E88" s="3">
        <v>6000303</v>
      </c>
      <c r="F88" s="3" t="s">
        <v>92</v>
      </c>
      <c r="G88" s="3" t="s">
        <v>342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430</v>
      </c>
      <c r="S88" s="3" t="s">
        <v>258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 t="s">
        <v>267</v>
      </c>
      <c r="AB88" s="3"/>
      <c r="AC88" s="3">
        <v>2204237</v>
      </c>
      <c r="AD88" s="3">
        <v>416.67995999999999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/>
      <c r="AP88" s="3" t="s">
        <v>98</v>
      </c>
      <c r="AQ88" s="3">
        <v>210365020</v>
      </c>
      <c r="AR88" s="3" t="s">
        <v>99</v>
      </c>
      <c r="AS88" s="3" t="s">
        <v>100</v>
      </c>
      <c r="AT88" s="3">
        <v>0</v>
      </c>
      <c r="AU88" s="3">
        <v>0</v>
      </c>
      <c r="AV88" s="3">
        <v>0</v>
      </c>
      <c r="AW88" s="3">
        <v>30024201</v>
      </c>
      <c r="AX88" s="3">
        <v>99</v>
      </c>
      <c r="AY88" s="3">
        <v>5290</v>
      </c>
      <c r="AZ88" s="3">
        <v>5290</v>
      </c>
      <c r="BA88" s="3" t="s">
        <v>103</v>
      </c>
      <c r="BB88" s="3"/>
      <c r="BC88" s="3" t="s">
        <v>105</v>
      </c>
      <c r="BD88" s="3" t="s">
        <v>105</v>
      </c>
      <c r="BE88" s="3"/>
      <c r="BF88" s="3"/>
      <c r="BG88" s="3"/>
      <c r="BH88" s="3"/>
      <c r="BI88" s="3"/>
      <c r="BJ88" s="5"/>
      <c r="BK88" s="3"/>
      <c r="BL88" s="3"/>
      <c r="BM88" s="3"/>
      <c r="BN88" s="3" t="s">
        <v>263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 t="s">
        <v>192</v>
      </c>
      <c r="CI88" s="3">
        <v>0</v>
      </c>
      <c r="CJ88" s="3">
        <v>0</v>
      </c>
      <c r="CK88" s="3">
        <v>0</v>
      </c>
      <c r="CL88" s="3" t="s">
        <v>112</v>
      </c>
      <c r="CM88" s="3" t="s">
        <v>112</v>
      </c>
    </row>
    <row r="89" spans="1:91" x14ac:dyDescent="0.25">
      <c r="A89" s="3" t="s">
        <v>90</v>
      </c>
      <c r="B89" s="3" t="s">
        <v>343</v>
      </c>
      <c r="C89" s="3">
        <v>3942</v>
      </c>
      <c r="D89" s="3">
        <v>6000418</v>
      </c>
      <c r="E89" s="3">
        <v>6000303</v>
      </c>
      <c r="F89" s="3" t="s">
        <v>92</v>
      </c>
      <c r="G89" s="3" t="s">
        <v>342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430</v>
      </c>
      <c r="S89" s="3" t="s">
        <v>258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160</v>
      </c>
      <c r="AB89" s="3"/>
      <c r="AC89" s="3">
        <v>1145830</v>
      </c>
      <c r="AD89" s="3">
        <v>3071.9302899999998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/>
      <c r="AP89" s="3" t="s">
        <v>98</v>
      </c>
      <c r="AQ89" s="3">
        <v>210365021</v>
      </c>
      <c r="AR89" s="3" t="s">
        <v>99</v>
      </c>
      <c r="AS89" s="3" t="s">
        <v>100</v>
      </c>
      <c r="AT89" s="3">
        <v>0</v>
      </c>
      <c r="AU89" s="3">
        <v>0</v>
      </c>
      <c r="AV89" s="3">
        <v>0</v>
      </c>
      <c r="AW89" s="3">
        <v>30042099</v>
      </c>
      <c r="AX89" s="3">
        <v>0</v>
      </c>
      <c r="AY89" s="3">
        <v>373</v>
      </c>
      <c r="AZ89" s="3">
        <v>373</v>
      </c>
      <c r="BA89" s="3" t="s">
        <v>121</v>
      </c>
      <c r="BB89" s="3"/>
      <c r="BC89" s="3" t="s">
        <v>105</v>
      </c>
      <c r="BD89" s="3" t="s">
        <v>105</v>
      </c>
      <c r="BE89" s="3"/>
      <c r="BF89" s="3"/>
      <c r="BG89" s="3"/>
      <c r="BH89" s="3"/>
      <c r="BI89" s="3"/>
      <c r="BJ89" s="5"/>
      <c r="BK89" s="3"/>
      <c r="BL89" s="3"/>
      <c r="BM89" s="3"/>
      <c r="BN89" s="3" t="s">
        <v>344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 t="s">
        <v>192</v>
      </c>
      <c r="CI89" s="3">
        <v>0</v>
      </c>
      <c r="CJ89" s="3">
        <v>0</v>
      </c>
      <c r="CK89" s="3">
        <v>0</v>
      </c>
      <c r="CL89" s="3" t="s">
        <v>112</v>
      </c>
      <c r="CM89" s="3" t="s">
        <v>112</v>
      </c>
    </row>
    <row r="90" spans="1:91" x14ac:dyDescent="0.25">
      <c r="A90" s="3" t="s">
        <v>90</v>
      </c>
      <c r="B90" s="3" t="s">
        <v>343</v>
      </c>
      <c r="C90" s="3">
        <v>3942</v>
      </c>
      <c r="D90" s="3">
        <v>6000418</v>
      </c>
      <c r="E90" s="3">
        <v>6000303</v>
      </c>
      <c r="F90" s="3" t="s">
        <v>92</v>
      </c>
      <c r="G90" s="3" t="s">
        <v>342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430</v>
      </c>
      <c r="S90" s="3" t="s">
        <v>258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 t="s">
        <v>218</v>
      </c>
      <c r="AB90" s="3"/>
      <c r="AC90" s="3">
        <v>1296641</v>
      </c>
      <c r="AD90" s="3">
        <v>1029.08016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/>
      <c r="AP90" s="3" t="s">
        <v>98</v>
      </c>
      <c r="AQ90" s="3">
        <v>210365022</v>
      </c>
      <c r="AR90" s="3" t="s">
        <v>99</v>
      </c>
      <c r="AS90" s="3" t="s">
        <v>100</v>
      </c>
      <c r="AT90" s="3">
        <v>0</v>
      </c>
      <c r="AU90" s="3">
        <v>0</v>
      </c>
      <c r="AV90" s="3">
        <v>0</v>
      </c>
      <c r="AW90" s="3">
        <v>30024201</v>
      </c>
      <c r="AX90" s="3">
        <v>99</v>
      </c>
      <c r="AY90" s="3">
        <v>1260</v>
      </c>
      <c r="AZ90" s="3">
        <v>1260</v>
      </c>
      <c r="BA90" s="3" t="s">
        <v>103</v>
      </c>
      <c r="BB90" s="3"/>
      <c r="BC90" s="3" t="s">
        <v>105</v>
      </c>
      <c r="BD90" s="3" t="s">
        <v>105</v>
      </c>
      <c r="BE90" s="3"/>
      <c r="BF90" s="3"/>
      <c r="BG90" s="3"/>
      <c r="BH90" s="3"/>
      <c r="BI90" s="3"/>
      <c r="BJ90" s="5"/>
      <c r="BK90" s="3"/>
      <c r="BL90" s="3"/>
      <c r="BM90" s="3"/>
      <c r="BN90" s="3" t="s">
        <v>345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 t="s">
        <v>192</v>
      </c>
      <c r="CI90" s="3">
        <v>0</v>
      </c>
      <c r="CJ90" s="3">
        <v>0</v>
      </c>
      <c r="CK90" s="3">
        <v>0</v>
      </c>
      <c r="CL90" s="3" t="s">
        <v>112</v>
      </c>
      <c r="CM90" s="3" t="s">
        <v>112</v>
      </c>
    </row>
    <row r="91" spans="1:91" x14ac:dyDescent="0.25">
      <c r="A91" s="3" t="s">
        <v>90</v>
      </c>
      <c r="B91" s="3" t="s">
        <v>343</v>
      </c>
      <c r="C91" s="3">
        <v>3942</v>
      </c>
      <c r="D91" s="3">
        <v>6000418</v>
      </c>
      <c r="E91" s="3">
        <v>6000303</v>
      </c>
      <c r="F91" s="3" t="s">
        <v>92</v>
      </c>
      <c r="G91" s="3" t="s">
        <v>342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430</v>
      </c>
      <c r="S91" s="3" t="s">
        <v>258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270</v>
      </c>
      <c r="AB91" s="3"/>
      <c r="AC91" s="3">
        <v>1782756</v>
      </c>
      <c r="AD91" s="3">
        <v>825.35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/>
      <c r="AP91" s="3" t="s">
        <v>98</v>
      </c>
      <c r="AQ91" s="3">
        <v>210365022</v>
      </c>
      <c r="AR91" s="3" t="s">
        <v>99</v>
      </c>
      <c r="AS91" s="3" t="s">
        <v>100</v>
      </c>
      <c r="AT91" s="3">
        <v>0</v>
      </c>
      <c r="AU91" s="3">
        <v>0</v>
      </c>
      <c r="AV91" s="3">
        <v>0</v>
      </c>
      <c r="AW91" s="3">
        <v>30024201</v>
      </c>
      <c r="AX91" s="3">
        <v>99</v>
      </c>
      <c r="AY91" s="3">
        <v>2160</v>
      </c>
      <c r="AZ91" s="3">
        <v>2160</v>
      </c>
      <c r="BA91" s="3" t="s">
        <v>103</v>
      </c>
      <c r="BB91" s="3"/>
      <c r="BC91" s="3" t="s">
        <v>105</v>
      </c>
      <c r="BD91" s="3" t="s">
        <v>105</v>
      </c>
      <c r="BE91" s="3"/>
      <c r="BF91" s="3"/>
      <c r="BG91" s="3"/>
      <c r="BH91" s="3"/>
      <c r="BI91" s="3"/>
      <c r="BJ91" s="5"/>
      <c r="BK91" s="3"/>
      <c r="BL91" s="3"/>
      <c r="BM91" s="3"/>
      <c r="BN91" s="3" t="s">
        <v>345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 t="s">
        <v>192</v>
      </c>
      <c r="CI91" s="3">
        <v>0</v>
      </c>
      <c r="CJ91" s="3">
        <v>0</v>
      </c>
      <c r="CK91" s="3">
        <v>0</v>
      </c>
      <c r="CL91" s="3" t="s">
        <v>112</v>
      </c>
      <c r="CM91" s="3" t="s">
        <v>112</v>
      </c>
    </row>
    <row r="92" spans="1:91" x14ac:dyDescent="0.25">
      <c r="A92" s="3" t="s">
        <v>90</v>
      </c>
      <c r="B92" s="3" t="s">
        <v>301</v>
      </c>
      <c r="C92" s="3">
        <v>3942</v>
      </c>
      <c r="D92" s="3">
        <v>6000372</v>
      </c>
      <c r="E92" s="3"/>
      <c r="F92" s="3" t="s">
        <v>92</v>
      </c>
      <c r="G92" s="3" t="s">
        <v>93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17.8368</v>
      </c>
      <c r="Q92" s="3">
        <v>9828</v>
      </c>
      <c r="R92" s="3">
        <v>430</v>
      </c>
      <c r="S92" s="3" t="s">
        <v>302</v>
      </c>
      <c r="T92" s="3" t="s">
        <v>130</v>
      </c>
      <c r="U92" s="3">
        <v>12690063</v>
      </c>
      <c r="V92" s="3">
        <v>12690063</v>
      </c>
      <c r="W92" s="3">
        <v>0</v>
      </c>
      <c r="X92" s="3">
        <v>0</v>
      </c>
      <c r="Y92" s="3">
        <v>0</v>
      </c>
      <c r="Z92" s="3">
        <v>0</v>
      </c>
      <c r="AA92" s="3" t="s">
        <v>96</v>
      </c>
      <c r="AB92" s="3"/>
      <c r="AC92" s="3">
        <v>12690063</v>
      </c>
      <c r="AD92" s="3">
        <v>14100.07</v>
      </c>
      <c r="AE92" s="3">
        <v>354</v>
      </c>
      <c r="AF92" s="3">
        <v>0</v>
      </c>
      <c r="AG92" s="3">
        <v>0</v>
      </c>
      <c r="AH92" s="3">
        <v>0</v>
      </c>
      <c r="AI92" s="3">
        <v>53</v>
      </c>
      <c r="AJ92" s="3">
        <v>101520</v>
      </c>
      <c r="AK92" s="3">
        <v>0</v>
      </c>
      <c r="AL92" s="3">
        <v>0</v>
      </c>
      <c r="AM92" s="3">
        <v>330</v>
      </c>
      <c r="AN92" s="3">
        <v>101903</v>
      </c>
      <c r="AO92" s="3" t="s">
        <v>97</v>
      </c>
      <c r="AP92" s="3" t="s">
        <v>98</v>
      </c>
      <c r="AQ92" s="3">
        <v>210366567</v>
      </c>
      <c r="AR92" s="3" t="s">
        <v>99</v>
      </c>
      <c r="AS92" s="3" t="s">
        <v>100</v>
      </c>
      <c r="AT92" s="3" t="s">
        <v>303</v>
      </c>
      <c r="AU92" s="3"/>
      <c r="AV92" s="3" t="s">
        <v>102</v>
      </c>
      <c r="AW92" s="3">
        <v>23099099</v>
      </c>
      <c r="AX92" s="3">
        <v>99</v>
      </c>
      <c r="AY92" s="3">
        <v>900</v>
      </c>
      <c r="AZ92" s="3">
        <v>900</v>
      </c>
      <c r="BA92" s="3" t="s">
        <v>103</v>
      </c>
      <c r="BB92" s="3"/>
      <c r="BC92" s="3" t="s">
        <v>104</v>
      </c>
      <c r="BD92" s="3" t="s">
        <v>105</v>
      </c>
      <c r="BE92" s="4">
        <v>46097</v>
      </c>
      <c r="BF92" s="4">
        <v>46105</v>
      </c>
      <c r="BG92" s="4">
        <v>46105</v>
      </c>
      <c r="BH92" s="3" t="s">
        <v>228</v>
      </c>
      <c r="BI92" s="3" t="s">
        <v>107</v>
      </c>
      <c r="BJ92" s="5">
        <v>4.3064022026090896E+16</v>
      </c>
      <c r="BK92" s="3" t="s">
        <v>108</v>
      </c>
      <c r="BL92" s="3"/>
      <c r="BM92" s="3" t="s">
        <v>109</v>
      </c>
      <c r="BN92" s="3" t="s">
        <v>304</v>
      </c>
      <c r="BO92" s="3">
        <v>44419</v>
      </c>
      <c r="BP92" s="3">
        <v>0</v>
      </c>
      <c r="BQ92" s="3">
        <v>0</v>
      </c>
      <c r="BR92" s="3">
        <v>0</v>
      </c>
      <c r="BS92" s="3">
        <v>1800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22189.59</v>
      </c>
      <c r="CB92" s="3">
        <v>0</v>
      </c>
      <c r="CC92" s="3">
        <v>0</v>
      </c>
      <c r="CD92" s="3">
        <v>44251.68</v>
      </c>
      <c r="CE92" s="3">
        <v>18000</v>
      </c>
      <c r="CF92" s="3">
        <v>3630.4</v>
      </c>
      <c r="CG92" s="3">
        <v>218715.07</v>
      </c>
      <c r="CH92" s="3" t="s">
        <v>192</v>
      </c>
      <c r="CI92" s="3">
        <v>218715.07</v>
      </c>
      <c r="CJ92" s="3">
        <v>0</v>
      </c>
      <c r="CK92" s="3">
        <v>0</v>
      </c>
      <c r="CL92" s="3" t="s">
        <v>112</v>
      </c>
      <c r="CM92" s="3" t="s">
        <v>112</v>
      </c>
    </row>
    <row r="93" spans="1:91" x14ac:dyDescent="0.25">
      <c r="A93" s="3" t="s">
        <v>90</v>
      </c>
      <c r="B93" s="3" t="s">
        <v>346</v>
      </c>
      <c r="C93" s="3">
        <v>3942</v>
      </c>
      <c r="D93" s="3">
        <v>6000421</v>
      </c>
      <c r="E93" s="3">
        <v>6000418</v>
      </c>
      <c r="F93" s="3" t="s">
        <v>92</v>
      </c>
      <c r="G93" s="3" t="s">
        <v>342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430</v>
      </c>
      <c r="S93" s="3" t="s">
        <v>258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 t="s">
        <v>262</v>
      </c>
      <c r="AB93" s="3"/>
      <c r="AC93" s="3">
        <v>414126</v>
      </c>
      <c r="AD93" s="3">
        <v>690.21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/>
      <c r="AP93" s="3" t="s">
        <v>98</v>
      </c>
      <c r="AQ93" s="3">
        <v>210365020</v>
      </c>
      <c r="AR93" s="3" t="s">
        <v>99</v>
      </c>
      <c r="AS93" s="3" t="s">
        <v>100</v>
      </c>
      <c r="AT93" s="3">
        <v>0</v>
      </c>
      <c r="AU93" s="3">
        <v>0</v>
      </c>
      <c r="AV93" s="3">
        <v>0</v>
      </c>
      <c r="AW93" s="3">
        <v>30024201</v>
      </c>
      <c r="AX93" s="3">
        <v>99</v>
      </c>
      <c r="AY93" s="3">
        <v>600</v>
      </c>
      <c r="AZ93" s="3">
        <v>600</v>
      </c>
      <c r="BA93" s="3" t="s">
        <v>103</v>
      </c>
      <c r="BB93" s="3"/>
      <c r="BC93" s="3" t="s">
        <v>105</v>
      </c>
      <c r="BD93" s="3" t="s">
        <v>105</v>
      </c>
      <c r="BE93" s="3"/>
      <c r="BF93" s="3"/>
      <c r="BG93" s="3"/>
      <c r="BH93" s="3"/>
      <c r="BI93" s="3"/>
      <c r="BJ93" s="5"/>
      <c r="BK93" s="3"/>
      <c r="BL93" s="3"/>
      <c r="BM93" s="3"/>
      <c r="BN93" s="3" t="s">
        <v>263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 t="s">
        <v>192</v>
      </c>
      <c r="CI93" s="3">
        <v>0</v>
      </c>
      <c r="CJ93" s="3">
        <v>0</v>
      </c>
      <c r="CK93" s="3">
        <v>0</v>
      </c>
      <c r="CL93" s="3" t="s">
        <v>112</v>
      </c>
      <c r="CM93" s="3" t="s">
        <v>112</v>
      </c>
    </row>
    <row r="94" spans="1:91" x14ac:dyDescent="0.25">
      <c r="A94" s="3" t="s">
        <v>90</v>
      </c>
      <c r="B94" s="3" t="s">
        <v>346</v>
      </c>
      <c r="C94" s="3">
        <v>3942</v>
      </c>
      <c r="D94" s="3">
        <v>6000421</v>
      </c>
      <c r="E94" s="3">
        <v>6000418</v>
      </c>
      <c r="F94" s="3" t="s">
        <v>92</v>
      </c>
      <c r="G94" s="3" t="s">
        <v>342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430</v>
      </c>
      <c r="S94" s="3" t="s">
        <v>258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264</v>
      </c>
      <c r="AB94" s="3"/>
      <c r="AC94" s="3">
        <v>3268642</v>
      </c>
      <c r="AD94" s="3">
        <v>356.10001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/>
      <c r="AP94" s="3" t="s">
        <v>98</v>
      </c>
      <c r="AQ94" s="3">
        <v>210365020</v>
      </c>
      <c r="AR94" s="3" t="s">
        <v>99</v>
      </c>
      <c r="AS94" s="3" t="s">
        <v>100</v>
      </c>
      <c r="AT94" s="3">
        <v>0</v>
      </c>
      <c r="AU94" s="3">
        <v>0</v>
      </c>
      <c r="AV94" s="3">
        <v>0</v>
      </c>
      <c r="AW94" s="3">
        <v>30024201</v>
      </c>
      <c r="AX94" s="3">
        <v>99</v>
      </c>
      <c r="AY94" s="3">
        <v>9179</v>
      </c>
      <c r="AZ94" s="3">
        <v>9179</v>
      </c>
      <c r="BA94" s="3" t="s">
        <v>103</v>
      </c>
      <c r="BB94" s="3"/>
      <c r="BC94" s="3" t="s">
        <v>105</v>
      </c>
      <c r="BD94" s="3" t="s">
        <v>105</v>
      </c>
      <c r="BE94" s="3"/>
      <c r="BF94" s="3"/>
      <c r="BG94" s="3"/>
      <c r="BH94" s="3"/>
      <c r="BI94" s="3"/>
      <c r="BJ94" s="5"/>
      <c r="BK94" s="3"/>
      <c r="BL94" s="3"/>
      <c r="BM94" s="3"/>
      <c r="BN94" s="3" t="s">
        <v>263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 t="s">
        <v>192</v>
      </c>
      <c r="CI94" s="3">
        <v>0</v>
      </c>
      <c r="CJ94" s="3">
        <v>0</v>
      </c>
      <c r="CK94" s="3">
        <v>0</v>
      </c>
      <c r="CL94" s="3" t="s">
        <v>112</v>
      </c>
      <c r="CM94" s="3" t="s">
        <v>112</v>
      </c>
    </row>
    <row r="95" spans="1:91" x14ac:dyDescent="0.25">
      <c r="A95" s="3" t="s">
        <v>90</v>
      </c>
      <c r="B95" s="3" t="s">
        <v>346</v>
      </c>
      <c r="C95" s="3">
        <v>3942</v>
      </c>
      <c r="D95" s="3">
        <v>6000421</v>
      </c>
      <c r="E95" s="3">
        <v>6000418</v>
      </c>
      <c r="F95" s="3" t="s">
        <v>92</v>
      </c>
      <c r="G95" s="3" t="s">
        <v>342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430</v>
      </c>
      <c r="S95" s="3" t="s">
        <v>258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 t="s">
        <v>265</v>
      </c>
      <c r="AB95" s="3"/>
      <c r="AC95" s="3">
        <v>6402146</v>
      </c>
      <c r="AD95" s="3">
        <v>741.58995000000004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/>
      <c r="AP95" s="3" t="s">
        <v>98</v>
      </c>
      <c r="AQ95" s="3">
        <v>210365020</v>
      </c>
      <c r="AR95" s="3" t="s">
        <v>99</v>
      </c>
      <c r="AS95" s="3" t="s">
        <v>100</v>
      </c>
      <c r="AT95" s="3">
        <v>0</v>
      </c>
      <c r="AU95" s="3">
        <v>0</v>
      </c>
      <c r="AV95" s="3">
        <v>0</v>
      </c>
      <c r="AW95" s="3">
        <v>30024201</v>
      </c>
      <c r="AX95" s="3">
        <v>99</v>
      </c>
      <c r="AY95" s="3">
        <v>8633</v>
      </c>
      <c r="AZ95" s="3">
        <v>8633</v>
      </c>
      <c r="BA95" s="3" t="s">
        <v>103</v>
      </c>
      <c r="BB95" s="3"/>
      <c r="BC95" s="3" t="s">
        <v>105</v>
      </c>
      <c r="BD95" s="3" t="s">
        <v>105</v>
      </c>
      <c r="BE95" s="3"/>
      <c r="BF95" s="3"/>
      <c r="BG95" s="3"/>
      <c r="BH95" s="3"/>
      <c r="BI95" s="3"/>
      <c r="BJ95" s="5"/>
      <c r="BK95" s="3"/>
      <c r="BL95" s="3"/>
      <c r="BM95" s="3"/>
      <c r="BN95" s="3" t="s">
        <v>263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 t="s">
        <v>192</v>
      </c>
      <c r="CI95" s="3">
        <v>0</v>
      </c>
      <c r="CJ95" s="3">
        <v>0</v>
      </c>
      <c r="CK95" s="3">
        <v>0</v>
      </c>
      <c r="CL95" s="3" t="s">
        <v>112</v>
      </c>
      <c r="CM95" s="3" t="s">
        <v>112</v>
      </c>
    </row>
    <row r="96" spans="1:91" x14ac:dyDescent="0.25">
      <c r="A96" s="3" t="s">
        <v>90</v>
      </c>
      <c r="B96" s="3" t="s">
        <v>346</v>
      </c>
      <c r="C96" s="3">
        <v>3942</v>
      </c>
      <c r="D96" s="3">
        <v>6000421</v>
      </c>
      <c r="E96" s="3">
        <v>6000418</v>
      </c>
      <c r="F96" s="3" t="s">
        <v>92</v>
      </c>
      <c r="G96" s="3" t="s">
        <v>342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430</v>
      </c>
      <c r="S96" s="3" t="s">
        <v>258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 t="s">
        <v>266</v>
      </c>
      <c r="AB96" s="3"/>
      <c r="AC96" s="3">
        <v>730403</v>
      </c>
      <c r="AD96" s="3">
        <v>507.92975999999999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/>
      <c r="AP96" s="3" t="s">
        <v>98</v>
      </c>
      <c r="AQ96" s="3">
        <v>210365020</v>
      </c>
      <c r="AR96" s="3" t="s">
        <v>99</v>
      </c>
      <c r="AS96" s="3" t="s">
        <v>100</v>
      </c>
      <c r="AT96" s="3">
        <v>0</v>
      </c>
      <c r="AU96" s="3">
        <v>0</v>
      </c>
      <c r="AV96" s="3">
        <v>0</v>
      </c>
      <c r="AW96" s="3">
        <v>30024201</v>
      </c>
      <c r="AX96" s="3">
        <v>99</v>
      </c>
      <c r="AY96" s="3">
        <v>1438</v>
      </c>
      <c r="AZ96" s="3">
        <v>1438</v>
      </c>
      <c r="BA96" s="3" t="s">
        <v>103</v>
      </c>
      <c r="BB96" s="3"/>
      <c r="BC96" s="3" t="s">
        <v>105</v>
      </c>
      <c r="BD96" s="3" t="s">
        <v>105</v>
      </c>
      <c r="BE96" s="3"/>
      <c r="BF96" s="3"/>
      <c r="BG96" s="3"/>
      <c r="BH96" s="3"/>
      <c r="BI96" s="3"/>
      <c r="BJ96" s="5"/>
      <c r="BK96" s="3"/>
      <c r="BL96" s="3"/>
      <c r="BM96" s="3"/>
      <c r="BN96" s="3" t="s">
        <v>263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 t="s">
        <v>192</v>
      </c>
      <c r="CI96" s="3">
        <v>0</v>
      </c>
      <c r="CJ96" s="3">
        <v>0</v>
      </c>
      <c r="CK96" s="3">
        <v>0</v>
      </c>
      <c r="CL96" s="3" t="s">
        <v>112</v>
      </c>
      <c r="CM96" s="3" t="s">
        <v>112</v>
      </c>
    </row>
    <row r="97" spans="1:91" x14ac:dyDescent="0.25">
      <c r="A97" s="3" t="s">
        <v>90</v>
      </c>
      <c r="B97" s="3" t="s">
        <v>346</v>
      </c>
      <c r="C97" s="3">
        <v>3942</v>
      </c>
      <c r="D97" s="3">
        <v>6000421</v>
      </c>
      <c r="E97" s="3">
        <v>6000418</v>
      </c>
      <c r="F97" s="3" t="s">
        <v>92</v>
      </c>
      <c r="G97" s="3" t="s">
        <v>342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430</v>
      </c>
      <c r="S97" s="3" t="s">
        <v>258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 t="s">
        <v>267</v>
      </c>
      <c r="AB97" s="3"/>
      <c r="AC97" s="3">
        <v>2204237</v>
      </c>
      <c r="AD97" s="3">
        <v>416.67995999999999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/>
      <c r="AP97" s="3" t="s">
        <v>98</v>
      </c>
      <c r="AQ97" s="3">
        <v>210365020</v>
      </c>
      <c r="AR97" s="3" t="s">
        <v>99</v>
      </c>
      <c r="AS97" s="3" t="s">
        <v>100</v>
      </c>
      <c r="AT97" s="3">
        <v>0</v>
      </c>
      <c r="AU97" s="3">
        <v>0</v>
      </c>
      <c r="AV97" s="3">
        <v>0</v>
      </c>
      <c r="AW97" s="3">
        <v>30024201</v>
      </c>
      <c r="AX97" s="3">
        <v>99</v>
      </c>
      <c r="AY97" s="3">
        <v>5290</v>
      </c>
      <c r="AZ97" s="3">
        <v>5290</v>
      </c>
      <c r="BA97" s="3" t="s">
        <v>103</v>
      </c>
      <c r="BB97" s="3"/>
      <c r="BC97" s="3" t="s">
        <v>105</v>
      </c>
      <c r="BD97" s="3" t="s">
        <v>105</v>
      </c>
      <c r="BE97" s="3"/>
      <c r="BF97" s="3"/>
      <c r="BG97" s="3"/>
      <c r="BH97" s="3"/>
      <c r="BI97" s="3"/>
      <c r="BJ97" s="5"/>
      <c r="BK97" s="3"/>
      <c r="BL97" s="3"/>
      <c r="BM97" s="3"/>
      <c r="BN97" s="3" t="s">
        <v>263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 t="s">
        <v>192</v>
      </c>
      <c r="CI97" s="3">
        <v>0</v>
      </c>
      <c r="CJ97" s="3">
        <v>0</v>
      </c>
      <c r="CK97" s="3">
        <v>0</v>
      </c>
      <c r="CL97" s="3" t="s">
        <v>112</v>
      </c>
      <c r="CM97" s="3" t="s">
        <v>112</v>
      </c>
    </row>
    <row r="98" spans="1:91" x14ac:dyDescent="0.25">
      <c r="A98" s="3" t="s">
        <v>90</v>
      </c>
      <c r="B98" s="3" t="s">
        <v>346</v>
      </c>
      <c r="C98" s="3">
        <v>3942</v>
      </c>
      <c r="D98" s="3">
        <v>6000421</v>
      </c>
      <c r="E98" s="3">
        <v>6000418</v>
      </c>
      <c r="F98" s="3" t="s">
        <v>92</v>
      </c>
      <c r="G98" s="3" t="s">
        <v>342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430</v>
      </c>
      <c r="S98" s="3" t="s">
        <v>258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 t="s">
        <v>160</v>
      </c>
      <c r="AB98" s="3"/>
      <c r="AC98" s="3">
        <v>1145830</v>
      </c>
      <c r="AD98" s="3">
        <v>3071.9302899999998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/>
      <c r="AP98" s="3" t="s">
        <v>98</v>
      </c>
      <c r="AQ98" s="3">
        <v>210365021</v>
      </c>
      <c r="AR98" s="3" t="s">
        <v>99</v>
      </c>
      <c r="AS98" s="3" t="s">
        <v>100</v>
      </c>
      <c r="AT98" s="3">
        <v>0</v>
      </c>
      <c r="AU98" s="3">
        <v>0</v>
      </c>
      <c r="AV98" s="3">
        <v>0</v>
      </c>
      <c r="AW98" s="3">
        <v>30042099</v>
      </c>
      <c r="AX98" s="3">
        <v>0</v>
      </c>
      <c r="AY98" s="3">
        <v>373</v>
      </c>
      <c r="AZ98" s="3">
        <v>373</v>
      </c>
      <c r="BA98" s="3" t="s">
        <v>121</v>
      </c>
      <c r="BB98" s="3"/>
      <c r="BC98" s="3" t="s">
        <v>105</v>
      </c>
      <c r="BD98" s="3" t="s">
        <v>105</v>
      </c>
      <c r="BE98" s="3"/>
      <c r="BF98" s="3"/>
      <c r="BG98" s="3"/>
      <c r="BH98" s="3"/>
      <c r="BI98" s="3"/>
      <c r="BJ98" s="5"/>
      <c r="BK98" s="3"/>
      <c r="BL98" s="3"/>
      <c r="BM98" s="3"/>
      <c r="BN98" s="3" t="s">
        <v>298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 t="s">
        <v>192</v>
      </c>
      <c r="CI98" s="3">
        <v>0</v>
      </c>
      <c r="CJ98" s="3">
        <v>0</v>
      </c>
      <c r="CK98" s="3">
        <v>0</v>
      </c>
      <c r="CL98" s="3" t="s">
        <v>112</v>
      </c>
      <c r="CM98" s="3" t="s">
        <v>112</v>
      </c>
    </row>
    <row r="99" spans="1:91" x14ac:dyDescent="0.25">
      <c r="A99" s="3" t="s">
        <v>90</v>
      </c>
      <c r="B99" s="3" t="s">
        <v>346</v>
      </c>
      <c r="C99" s="3">
        <v>3942</v>
      </c>
      <c r="D99" s="3">
        <v>6000421</v>
      </c>
      <c r="E99" s="3">
        <v>6000418</v>
      </c>
      <c r="F99" s="3" t="s">
        <v>92</v>
      </c>
      <c r="G99" s="3" t="s">
        <v>342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430</v>
      </c>
      <c r="S99" s="3" t="s">
        <v>258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 t="s">
        <v>218</v>
      </c>
      <c r="AB99" s="3"/>
      <c r="AC99" s="3">
        <v>1296641</v>
      </c>
      <c r="AD99" s="3">
        <v>1029.08016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/>
      <c r="AP99" s="3" t="s">
        <v>98</v>
      </c>
      <c r="AQ99" s="3">
        <v>210365022</v>
      </c>
      <c r="AR99" s="3" t="s">
        <v>99</v>
      </c>
      <c r="AS99" s="3" t="s">
        <v>100</v>
      </c>
      <c r="AT99" s="3">
        <v>0</v>
      </c>
      <c r="AU99" s="3">
        <v>0</v>
      </c>
      <c r="AV99" s="3">
        <v>0</v>
      </c>
      <c r="AW99" s="3">
        <v>30024201</v>
      </c>
      <c r="AX99" s="3">
        <v>99</v>
      </c>
      <c r="AY99" s="3">
        <v>1260</v>
      </c>
      <c r="AZ99" s="3">
        <v>1260</v>
      </c>
      <c r="BA99" s="3" t="s">
        <v>103</v>
      </c>
      <c r="BB99" s="3"/>
      <c r="BC99" s="3" t="s">
        <v>105</v>
      </c>
      <c r="BD99" s="3" t="s">
        <v>105</v>
      </c>
      <c r="BE99" s="3"/>
      <c r="BF99" s="3"/>
      <c r="BG99" s="3"/>
      <c r="BH99" s="3"/>
      <c r="BI99" s="3"/>
      <c r="BJ99" s="5"/>
      <c r="BK99" s="3"/>
      <c r="BL99" s="3"/>
      <c r="BM99" s="3"/>
      <c r="BN99" s="3" t="s">
        <v>300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 t="s">
        <v>192</v>
      </c>
      <c r="CI99" s="3">
        <v>0</v>
      </c>
      <c r="CJ99" s="3">
        <v>0</v>
      </c>
      <c r="CK99" s="3">
        <v>0</v>
      </c>
      <c r="CL99" s="3" t="s">
        <v>112</v>
      </c>
      <c r="CM99" s="3" t="s">
        <v>112</v>
      </c>
    </row>
    <row r="100" spans="1:91" x14ac:dyDescent="0.25">
      <c r="A100" s="3" t="s">
        <v>90</v>
      </c>
      <c r="B100" s="3" t="s">
        <v>346</v>
      </c>
      <c r="C100" s="3">
        <v>3942</v>
      </c>
      <c r="D100" s="3">
        <v>6000421</v>
      </c>
      <c r="E100" s="3">
        <v>6000418</v>
      </c>
      <c r="F100" s="3" t="s">
        <v>92</v>
      </c>
      <c r="G100" s="3" t="s">
        <v>342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430</v>
      </c>
      <c r="S100" s="3" t="s">
        <v>258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270</v>
      </c>
      <c r="AB100" s="3"/>
      <c r="AC100" s="3">
        <v>1782756</v>
      </c>
      <c r="AD100" s="3">
        <v>825.35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/>
      <c r="AP100" s="3" t="s">
        <v>98</v>
      </c>
      <c r="AQ100" s="3">
        <v>210365022</v>
      </c>
      <c r="AR100" s="3" t="s">
        <v>99</v>
      </c>
      <c r="AS100" s="3" t="s">
        <v>100</v>
      </c>
      <c r="AT100" s="3">
        <v>0</v>
      </c>
      <c r="AU100" s="3">
        <v>0</v>
      </c>
      <c r="AV100" s="3">
        <v>0</v>
      </c>
      <c r="AW100" s="3">
        <v>30024201</v>
      </c>
      <c r="AX100" s="3">
        <v>99</v>
      </c>
      <c r="AY100" s="3">
        <v>2160</v>
      </c>
      <c r="AZ100" s="3">
        <v>2160</v>
      </c>
      <c r="BA100" s="3" t="s">
        <v>103</v>
      </c>
      <c r="BB100" s="3"/>
      <c r="BC100" s="3" t="s">
        <v>105</v>
      </c>
      <c r="BD100" s="3" t="s">
        <v>105</v>
      </c>
      <c r="BE100" s="3"/>
      <c r="BF100" s="3"/>
      <c r="BG100" s="3"/>
      <c r="BH100" s="3"/>
      <c r="BI100" s="3"/>
      <c r="BJ100" s="5"/>
      <c r="BK100" s="3"/>
      <c r="BL100" s="3"/>
      <c r="BM100" s="3"/>
      <c r="BN100" s="3" t="s">
        <v>300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 t="s">
        <v>192</v>
      </c>
      <c r="CI100" s="3">
        <v>0</v>
      </c>
      <c r="CJ100" s="3">
        <v>0</v>
      </c>
      <c r="CK100" s="3">
        <v>0</v>
      </c>
      <c r="CL100" s="3" t="s">
        <v>112</v>
      </c>
      <c r="CM100" s="3" t="s">
        <v>112</v>
      </c>
    </row>
    <row r="101" spans="1:91" x14ac:dyDescent="0.25">
      <c r="A101" s="3" t="s">
        <v>90</v>
      </c>
      <c r="B101" s="3" t="s">
        <v>312</v>
      </c>
      <c r="C101" s="3">
        <v>3942</v>
      </c>
      <c r="D101" s="3">
        <v>6000328</v>
      </c>
      <c r="E101" s="3"/>
      <c r="F101" s="3" t="s">
        <v>92</v>
      </c>
      <c r="G101" s="3" t="s">
        <v>93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</v>
      </c>
      <c r="O101" s="3">
        <v>532202</v>
      </c>
      <c r="P101" s="3">
        <v>17.677</v>
      </c>
      <c r="Q101" s="3">
        <v>1980</v>
      </c>
      <c r="R101" s="3">
        <v>430</v>
      </c>
      <c r="S101" s="3" t="s">
        <v>313</v>
      </c>
      <c r="T101" s="3" t="s">
        <v>95</v>
      </c>
      <c r="U101" s="3">
        <v>7747845</v>
      </c>
      <c r="V101" s="3">
        <v>7747845</v>
      </c>
      <c r="W101" s="3">
        <v>0</v>
      </c>
      <c r="X101" s="3">
        <v>0</v>
      </c>
      <c r="Y101" s="3">
        <v>0</v>
      </c>
      <c r="Z101" s="3">
        <v>0</v>
      </c>
      <c r="AA101" s="3" t="s">
        <v>256</v>
      </c>
      <c r="AB101" s="3"/>
      <c r="AC101" s="3">
        <v>5322024</v>
      </c>
      <c r="AD101" s="3">
        <v>164.26</v>
      </c>
      <c r="AE101" s="3">
        <v>354</v>
      </c>
      <c r="AF101" s="3">
        <v>10</v>
      </c>
      <c r="AG101" s="3">
        <v>532202</v>
      </c>
      <c r="AH101" s="3">
        <v>0</v>
      </c>
      <c r="AI101" s="3">
        <v>53</v>
      </c>
      <c r="AJ101" s="3">
        <v>42576</v>
      </c>
      <c r="AK101" s="3">
        <v>0</v>
      </c>
      <c r="AL101" s="3">
        <v>0</v>
      </c>
      <c r="AM101" s="3">
        <v>330</v>
      </c>
      <c r="AN101" s="3">
        <v>575161</v>
      </c>
      <c r="AO101" s="3" t="s">
        <v>97</v>
      </c>
      <c r="AP101" s="3" t="s">
        <v>98</v>
      </c>
      <c r="AQ101" s="3">
        <v>210366707</v>
      </c>
      <c r="AR101" s="3" t="s">
        <v>307</v>
      </c>
      <c r="AS101" s="3" t="s">
        <v>100</v>
      </c>
      <c r="AT101" s="3" t="s">
        <v>314</v>
      </c>
      <c r="AU101" s="3"/>
      <c r="AV101" s="3" t="s">
        <v>102</v>
      </c>
      <c r="AW101" s="3">
        <v>30049099</v>
      </c>
      <c r="AX101" s="3">
        <v>99</v>
      </c>
      <c r="AY101" s="3">
        <v>32400</v>
      </c>
      <c r="AZ101" s="3">
        <v>32400</v>
      </c>
      <c r="BA101" s="3" t="s">
        <v>103</v>
      </c>
      <c r="BB101" s="3"/>
      <c r="BC101" s="3" t="s">
        <v>133</v>
      </c>
      <c r="BD101" s="3" t="s">
        <v>105</v>
      </c>
      <c r="BE101" s="4">
        <v>46090</v>
      </c>
      <c r="BF101" s="4">
        <v>46092</v>
      </c>
      <c r="BG101" s="4">
        <v>46093</v>
      </c>
      <c r="BH101" s="3" t="s">
        <v>106</v>
      </c>
      <c r="BI101" s="3"/>
      <c r="BJ101" s="5"/>
      <c r="BK101" s="3"/>
      <c r="BL101" s="3"/>
      <c r="BM101" s="3" t="s">
        <v>109</v>
      </c>
      <c r="BN101" s="3" t="s">
        <v>315</v>
      </c>
      <c r="BO101" s="3">
        <v>43973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22189.59</v>
      </c>
      <c r="CB101" s="3">
        <v>0</v>
      </c>
      <c r="CC101" s="3">
        <v>0</v>
      </c>
      <c r="CD101" s="3">
        <v>0</v>
      </c>
      <c r="CE101" s="3">
        <v>11812.86</v>
      </c>
      <c r="CF101" s="3">
        <v>2013.26</v>
      </c>
      <c r="CG101" s="3">
        <v>129344.57</v>
      </c>
      <c r="CH101" s="3" t="s">
        <v>192</v>
      </c>
      <c r="CI101" s="3">
        <v>129344.57</v>
      </c>
      <c r="CJ101" s="3">
        <v>0</v>
      </c>
      <c r="CK101" s="3">
        <v>0</v>
      </c>
      <c r="CL101" s="3" t="s">
        <v>112</v>
      </c>
      <c r="CM101" s="3" t="s">
        <v>112</v>
      </c>
    </row>
    <row r="102" spans="1:91" x14ac:dyDescent="0.25">
      <c r="A102" s="3" t="s">
        <v>90</v>
      </c>
      <c r="B102" s="3" t="s">
        <v>312</v>
      </c>
      <c r="C102" s="3">
        <v>3942</v>
      </c>
      <c r="D102" s="3">
        <v>6000328</v>
      </c>
      <c r="E102" s="3"/>
      <c r="F102" s="3" t="s">
        <v>92</v>
      </c>
      <c r="G102" s="3" t="s">
        <v>93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430</v>
      </c>
      <c r="S102" s="3" t="s">
        <v>313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316</v>
      </c>
      <c r="AB102" s="3"/>
      <c r="AC102" s="3">
        <v>2425821</v>
      </c>
      <c r="AD102" s="3">
        <v>81.649979999999999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/>
      <c r="AP102" s="3" t="s">
        <v>98</v>
      </c>
      <c r="AQ102" s="3">
        <v>210366707</v>
      </c>
      <c r="AR102" s="3" t="s">
        <v>307</v>
      </c>
      <c r="AS102" s="3" t="s">
        <v>100</v>
      </c>
      <c r="AT102" s="3">
        <v>0</v>
      </c>
      <c r="AU102" s="3">
        <v>0</v>
      </c>
      <c r="AV102" s="3">
        <v>0</v>
      </c>
      <c r="AW102" s="3">
        <v>30049099</v>
      </c>
      <c r="AX102" s="3">
        <v>99</v>
      </c>
      <c r="AY102" s="3">
        <v>29710</v>
      </c>
      <c r="AZ102" s="3">
        <v>29710</v>
      </c>
      <c r="BA102" s="3" t="s">
        <v>103</v>
      </c>
      <c r="BB102" s="3"/>
      <c r="BC102" s="3" t="s">
        <v>133</v>
      </c>
      <c r="BD102" s="3" t="s">
        <v>105</v>
      </c>
      <c r="BE102" s="3"/>
      <c r="BF102" s="3"/>
      <c r="BG102" s="3"/>
      <c r="BH102" s="3"/>
      <c r="BI102" s="3"/>
      <c r="BJ102" s="5"/>
      <c r="BK102" s="3"/>
      <c r="BL102" s="3"/>
      <c r="BM102" s="3"/>
      <c r="BN102" s="3" t="s">
        <v>315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 t="s">
        <v>192</v>
      </c>
      <c r="CI102" s="3">
        <v>0</v>
      </c>
      <c r="CJ102" s="3">
        <v>0</v>
      </c>
      <c r="CK102" s="3">
        <v>0</v>
      </c>
      <c r="CL102" s="3" t="s">
        <v>112</v>
      </c>
      <c r="CM102" s="3" t="s">
        <v>112</v>
      </c>
    </row>
    <row r="103" spans="1:91" x14ac:dyDescent="0.25">
      <c r="A103" s="3" t="s">
        <v>90</v>
      </c>
      <c r="B103" s="3" t="s">
        <v>317</v>
      </c>
      <c r="C103" s="3">
        <v>3942</v>
      </c>
      <c r="D103" s="3">
        <v>6000329</v>
      </c>
      <c r="E103" s="3"/>
      <c r="F103" s="3" t="s">
        <v>92</v>
      </c>
      <c r="G103" s="3" t="s">
        <v>93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17.677</v>
      </c>
      <c r="Q103" s="3">
        <v>2035</v>
      </c>
      <c r="R103" s="3">
        <v>430</v>
      </c>
      <c r="S103" s="3" t="s">
        <v>318</v>
      </c>
      <c r="T103" s="3" t="s">
        <v>95</v>
      </c>
      <c r="U103" s="3">
        <v>5465054</v>
      </c>
      <c r="V103" s="3">
        <v>5465054</v>
      </c>
      <c r="W103" s="3">
        <v>0</v>
      </c>
      <c r="X103" s="3">
        <v>0</v>
      </c>
      <c r="Y103" s="3">
        <v>0</v>
      </c>
      <c r="Z103" s="3">
        <v>0</v>
      </c>
      <c r="AA103" s="3" t="s">
        <v>319</v>
      </c>
      <c r="AB103" s="3"/>
      <c r="AC103" s="3">
        <v>4192812</v>
      </c>
      <c r="AD103" s="3">
        <v>89.59</v>
      </c>
      <c r="AE103" s="3">
        <v>808</v>
      </c>
      <c r="AF103" s="3">
        <v>0</v>
      </c>
      <c r="AG103" s="3">
        <v>0</v>
      </c>
      <c r="AH103" s="3">
        <v>0</v>
      </c>
      <c r="AI103" s="3">
        <v>53</v>
      </c>
      <c r="AJ103" s="3">
        <v>462</v>
      </c>
      <c r="AK103" s="3">
        <v>0</v>
      </c>
      <c r="AL103" s="3">
        <v>0</v>
      </c>
      <c r="AM103" s="3">
        <v>330</v>
      </c>
      <c r="AN103" s="3">
        <v>845</v>
      </c>
      <c r="AO103" s="3" t="s">
        <v>97</v>
      </c>
      <c r="AP103" s="3" t="s">
        <v>98</v>
      </c>
      <c r="AQ103" s="3">
        <v>210366708</v>
      </c>
      <c r="AR103" s="3" t="s">
        <v>99</v>
      </c>
      <c r="AS103" s="3" t="s">
        <v>100</v>
      </c>
      <c r="AT103" s="3" t="s">
        <v>320</v>
      </c>
      <c r="AU103" s="3"/>
      <c r="AV103" s="3"/>
      <c r="AW103" s="3">
        <v>30049099</v>
      </c>
      <c r="AX103" s="3">
        <v>99</v>
      </c>
      <c r="AY103" s="3">
        <v>46800</v>
      </c>
      <c r="AZ103" s="3">
        <v>46800</v>
      </c>
      <c r="BA103" s="3" t="s">
        <v>103</v>
      </c>
      <c r="BB103" s="3"/>
      <c r="BC103" s="3" t="s">
        <v>133</v>
      </c>
      <c r="BD103" s="3" t="s">
        <v>105</v>
      </c>
      <c r="BE103" s="4">
        <v>46090</v>
      </c>
      <c r="BF103" s="4">
        <v>46092</v>
      </c>
      <c r="BG103" s="4">
        <v>46092</v>
      </c>
      <c r="BH103" s="3" t="s">
        <v>106</v>
      </c>
      <c r="BI103" s="3"/>
      <c r="BJ103" s="5"/>
      <c r="BK103" s="3"/>
      <c r="BL103" s="3"/>
      <c r="BM103" s="3" t="s">
        <v>109</v>
      </c>
      <c r="BN103" s="3" t="s">
        <v>321</v>
      </c>
      <c r="BO103" s="3">
        <v>43967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7782.15</v>
      </c>
      <c r="CF103" s="3">
        <v>1368.34</v>
      </c>
      <c r="CG103" s="3">
        <v>102259.35</v>
      </c>
      <c r="CH103" s="3" t="s">
        <v>192</v>
      </c>
      <c r="CI103" s="3">
        <v>102259.35</v>
      </c>
      <c r="CJ103" s="3">
        <v>0</v>
      </c>
      <c r="CK103" s="3">
        <v>0</v>
      </c>
      <c r="CL103" s="3" t="s">
        <v>112</v>
      </c>
      <c r="CM103" s="3" t="s">
        <v>112</v>
      </c>
    </row>
    <row r="104" spans="1:91" x14ac:dyDescent="0.25">
      <c r="A104" s="3" t="s">
        <v>90</v>
      </c>
      <c r="B104" s="3" t="s">
        <v>317</v>
      </c>
      <c r="C104" s="3">
        <v>3942</v>
      </c>
      <c r="D104" s="3">
        <v>6000329</v>
      </c>
      <c r="E104" s="3"/>
      <c r="F104" s="3" t="s">
        <v>92</v>
      </c>
      <c r="G104" s="3" t="s">
        <v>93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430</v>
      </c>
      <c r="S104" s="3" t="s">
        <v>318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 t="s">
        <v>135</v>
      </c>
      <c r="AB104" s="3"/>
      <c r="AC104" s="3">
        <v>1272242</v>
      </c>
      <c r="AD104" s="3">
        <v>73.540000000000006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/>
      <c r="AP104" s="3" t="s">
        <v>98</v>
      </c>
      <c r="AQ104" s="3">
        <v>210366708</v>
      </c>
      <c r="AR104" s="3" t="s">
        <v>99</v>
      </c>
      <c r="AS104" s="3" t="s">
        <v>100</v>
      </c>
      <c r="AT104" s="3">
        <v>0</v>
      </c>
      <c r="AU104" s="3">
        <v>0</v>
      </c>
      <c r="AV104" s="3">
        <v>0</v>
      </c>
      <c r="AW104" s="3">
        <v>30049099</v>
      </c>
      <c r="AX104" s="3">
        <v>99</v>
      </c>
      <c r="AY104" s="3">
        <v>17300</v>
      </c>
      <c r="AZ104" s="3">
        <v>17300</v>
      </c>
      <c r="BA104" s="3" t="s">
        <v>103</v>
      </c>
      <c r="BB104" s="3"/>
      <c r="BC104" s="3" t="s">
        <v>133</v>
      </c>
      <c r="BD104" s="3" t="s">
        <v>105</v>
      </c>
      <c r="BE104" s="3"/>
      <c r="BF104" s="3"/>
      <c r="BG104" s="3"/>
      <c r="BH104" s="3"/>
      <c r="BI104" s="3"/>
      <c r="BJ104" s="5"/>
      <c r="BK104" s="3"/>
      <c r="BL104" s="3"/>
      <c r="BM104" s="3"/>
      <c r="BN104" s="3" t="s">
        <v>321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 t="s">
        <v>192</v>
      </c>
      <c r="CI104" s="3">
        <v>0</v>
      </c>
      <c r="CJ104" s="3">
        <v>0</v>
      </c>
      <c r="CK104" s="3">
        <v>0</v>
      </c>
      <c r="CL104" s="3" t="s">
        <v>112</v>
      </c>
      <c r="CM104" s="3" t="s">
        <v>112</v>
      </c>
    </row>
    <row r="105" spans="1:91" x14ac:dyDescent="0.25">
      <c r="A105" s="3" t="s">
        <v>90</v>
      </c>
      <c r="B105" s="3" t="s">
        <v>356</v>
      </c>
      <c r="C105" s="3">
        <v>3942</v>
      </c>
      <c r="D105" s="3">
        <v>6000432</v>
      </c>
      <c r="E105" s="3">
        <v>6000329</v>
      </c>
      <c r="F105" s="3" t="s">
        <v>92</v>
      </c>
      <c r="G105" s="3" t="s">
        <v>342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17.677</v>
      </c>
      <c r="Q105" s="3">
        <v>2035</v>
      </c>
      <c r="R105" s="3">
        <v>430</v>
      </c>
      <c r="S105" s="3" t="s">
        <v>318</v>
      </c>
      <c r="T105" s="3" t="s">
        <v>95</v>
      </c>
      <c r="U105" s="3">
        <v>5465054</v>
      </c>
      <c r="V105" s="3">
        <v>5465054</v>
      </c>
      <c r="W105" s="3">
        <v>0</v>
      </c>
      <c r="X105" s="3">
        <v>0</v>
      </c>
      <c r="Y105" s="3">
        <v>0</v>
      </c>
      <c r="Z105" s="3">
        <v>0</v>
      </c>
      <c r="AA105" s="3" t="s">
        <v>319</v>
      </c>
      <c r="AB105" s="3"/>
      <c r="AC105" s="3">
        <v>4192812</v>
      </c>
      <c r="AD105" s="3">
        <v>89.59</v>
      </c>
      <c r="AE105" s="3">
        <v>808</v>
      </c>
      <c r="AF105" s="3">
        <v>0</v>
      </c>
      <c r="AG105" s="3">
        <v>0</v>
      </c>
      <c r="AH105" s="3">
        <v>0</v>
      </c>
      <c r="AI105" s="3">
        <v>0</v>
      </c>
      <c r="AJ105" s="3">
        <v>444</v>
      </c>
      <c r="AK105" s="3">
        <v>0</v>
      </c>
      <c r="AL105" s="3">
        <v>0</v>
      </c>
      <c r="AM105" s="3">
        <v>330</v>
      </c>
      <c r="AN105" s="3">
        <v>444</v>
      </c>
      <c r="AO105" s="3" t="s">
        <v>97</v>
      </c>
      <c r="AP105" s="3" t="s">
        <v>98</v>
      </c>
      <c r="AQ105" s="3">
        <v>210366708</v>
      </c>
      <c r="AR105" s="3" t="s">
        <v>99</v>
      </c>
      <c r="AS105" s="3" t="s">
        <v>100</v>
      </c>
      <c r="AT105" s="3" t="s">
        <v>320</v>
      </c>
      <c r="AU105" s="3"/>
      <c r="AV105" s="3" t="s">
        <v>102</v>
      </c>
      <c r="AW105" s="3">
        <v>30049099</v>
      </c>
      <c r="AX105" s="3">
        <v>99</v>
      </c>
      <c r="AY105" s="3">
        <v>46800</v>
      </c>
      <c r="AZ105" s="3">
        <v>46800</v>
      </c>
      <c r="BA105" s="3" t="s">
        <v>103</v>
      </c>
      <c r="BB105" s="3"/>
      <c r="BC105" s="3" t="s">
        <v>133</v>
      </c>
      <c r="BD105" s="3" t="s">
        <v>105</v>
      </c>
      <c r="BE105" s="4">
        <v>46090</v>
      </c>
      <c r="BF105" s="4">
        <v>46092</v>
      </c>
      <c r="BG105" s="4">
        <v>46093</v>
      </c>
      <c r="BH105" s="3" t="s">
        <v>106</v>
      </c>
      <c r="BI105" s="3"/>
      <c r="BJ105" s="5"/>
      <c r="BK105" s="3"/>
      <c r="BL105" s="3"/>
      <c r="BM105" s="3" t="s">
        <v>109</v>
      </c>
      <c r="BN105" s="3" t="s">
        <v>321</v>
      </c>
      <c r="BO105" s="3">
        <v>43967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7782.15</v>
      </c>
      <c r="CF105" s="3">
        <v>1368.34</v>
      </c>
      <c r="CG105" s="3">
        <v>102259.35</v>
      </c>
      <c r="CH105" s="3" t="s">
        <v>192</v>
      </c>
      <c r="CI105" s="3">
        <v>102259.35</v>
      </c>
      <c r="CJ105" s="3">
        <v>0</v>
      </c>
      <c r="CK105" s="3">
        <v>0</v>
      </c>
      <c r="CL105" s="3" t="s">
        <v>112</v>
      </c>
      <c r="CM105" s="3" t="s">
        <v>112</v>
      </c>
    </row>
    <row r="106" spans="1:91" x14ac:dyDescent="0.25">
      <c r="A106" s="3" t="s">
        <v>90</v>
      </c>
      <c r="B106" s="3" t="s">
        <v>356</v>
      </c>
      <c r="C106" s="3">
        <v>3942</v>
      </c>
      <c r="D106" s="3">
        <v>6000432</v>
      </c>
      <c r="E106" s="3">
        <v>6000329</v>
      </c>
      <c r="F106" s="3" t="s">
        <v>92</v>
      </c>
      <c r="G106" s="3" t="s">
        <v>342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430</v>
      </c>
      <c r="S106" s="3" t="s">
        <v>318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 t="s">
        <v>135</v>
      </c>
      <c r="AB106" s="3"/>
      <c r="AC106" s="3">
        <v>1272242</v>
      </c>
      <c r="AD106" s="3">
        <v>73.540000000000006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/>
      <c r="AP106" s="3" t="s">
        <v>98</v>
      </c>
      <c r="AQ106" s="3">
        <v>210366708</v>
      </c>
      <c r="AR106" s="3" t="s">
        <v>99</v>
      </c>
      <c r="AS106" s="3" t="s">
        <v>100</v>
      </c>
      <c r="AT106" s="3">
        <v>0</v>
      </c>
      <c r="AU106" s="3">
        <v>0</v>
      </c>
      <c r="AV106" s="3">
        <v>0</v>
      </c>
      <c r="AW106" s="3">
        <v>30049099</v>
      </c>
      <c r="AX106" s="3">
        <v>99</v>
      </c>
      <c r="AY106" s="3">
        <v>17300</v>
      </c>
      <c r="AZ106" s="3">
        <v>17300</v>
      </c>
      <c r="BA106" s="3" t="s">
        <v>103</v>
      </c>
      <c r="BB106" s="3"/>
      <c r="BC106" s="3" t="s">
        <v>133</v>
      </c>
      <c r="BD106" s="3" t="s">
        <v>105</v>
      </c>
      <c r="BE106" s="3"/>
      <c r="BF106" s="3"/>
      <c r="BG106" s="3"/>
      <c r="BH106" s="3"/>
      <c r="BI106" s="3"/>
      <c r="BJ106" s="5"/>
      <c r="BK106" s="3"/>
      <c r="BL106" s="3"/>
      <c r="BM106" s="3"/>
      <c r="BN106" s="3" t="s">
        <v>321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 t="s">
        <v>192</v>
      </c>
      <c r="CI106" s="3">
        <v>0</v>
      </c>
      <c r="CJ106" s="3">
        <v>0</v>
      </c>
      <c r="CK106" s="3">
        <v>0</v>
      </c>
      <c r="CL106" s="3" t="s">
        <v>112</v>
      </c>
      <c r="CM106" s="3" t="s">
        <v>112</v>
      </c>
    </row>
    <row r="107" spans="1:91" x14ac:dyDescent="0.25">
      <c r="A107" s="3" t="s">
        <v>90</v>
      </c>
      <c r="B107" s="3" t="s">
        <v>347</v>
      </c>
      <c r="C107" s="3">
        <v>3942</v>
      </c>
      <c r="D107" s="3">
        <v>6000428</v>
      </c>
      <c r="E107" s="3"/>
      <c r="F107" s="3" t="s">
        <v>92</v>
      </c>
      <c r="G107" s="3" t="s">
        <v>93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15</v>
      </c>
      <c r="O107" s="3">
        <v>218461</v>
      </c>
      <c r="P107" s="3">
        <v>17.811699999999998</v>
      </c>
      <c r="Q107" s="3">
        <v>1933.32</v>
      </c>
      <c r="R107" s="3">
        <v>430</v>
      </c>
      <c r="S107" s="3" t="s">
        <v>348</v>
      </c>
      <c r="T107" s="3" t="s">
        <v>349</v>
      </c>
      <c r="U107" s="3">
        <v>1624558</v>
      </c>
      <c r="V107" s="3">
        <v>1624558</v>
      </c>
      <c r="W107" s="3">
        <v>0</v>
      </c>
      <c r="X107" s="3">
        <v>0</v>
      </c>
      <c r="Y107" s="3">
        <v>0</v>
      </c>
      <c r="Z107" s="3">
        <v>0</v>
      </c>
      <c r="AA107" s="3" t="s">
        <v>350</v>
      </c>
      <c r="AB107" s="3"/>
      <c r="AC107" s="3">
        <v>1456409</v>
      </c>
      <c r="AD107" s="3">
        <v>288.97003999999998</v>
      </c>
      <c r="AE107" s="3">
        <v>354</v>
      </c>
      <c r="AF107" s="3">
        <v>15</v>
      </c>
      <c r="AG107" s="3">
        <v>218461</v>
      </c>
      <c r="AH107" s="3">
        <v>0</v>
      </c>
      <c r="AI107" s="3">
        <v>53</v>
      </c>
      <c r="AJ107" s="3">
        <v>11651</v>
      </c>
      <c r="AK107" s="3">
        <v>0</v>
      </c>
      <c r="AL107" s="3">
        <v>0</v>
      </c>
      <c r="AM107" s="3">
        <v>330</v>
      </c>
      <c r="AN107" s="3">
        <v>230495</v>
      </c>
      <c r="AO107" s="3" t="s">
        <v>97</v>
      </c>
      <c r="AP107" s="3" t="s">
        <v>98</v>
      </c>
      <c r="AQ107" s="3">
        <v>210366010</v>
      </c>
      <c r="AR107" s="3" t="s">
        <v>99</v>
      </c>
      <c r="AS107" s="3" t="s">
        <v>100</v>
      </c>
      <c r="AT107" s="3" t="s">
        <v>351</v>
      </c>
      <c r="AU107" s="3"/>
      <c r="AV107" s="3" t="s">
        <v>102</v>
      </c>
      <c r="AW107" s="3">
        <v>30042099</v>
      </c>
      <c r="AX107" s="3">
        <v>0</v>
      </c>
      <c r="AY107" s="3">
        <v>5040</v>
      </c>
      <c r="AZ107" s="3">
        <v>5040</v>
      </c>
      <c r="BA107" s="3" t="s">
        <v>103</v>
      </c>
      <c r="BB107" s="3"/>
      <c r="BC107" s="3" t="s">
        <v>352</v>
      </c>
      <c r="BD107" s="3" t="s">
        <v>105</v>
      </c>
      <c r="BE107" s="4">
        <v>46102</v>
      </c>
      <c r="BF107" s="4">
        <v>46108</v>
      </c>
      <c r="BG107" s="4">
        <v>46109</v>
      </c>
      <c r="BH107" s="3" t="s">
        <v>106</v>
      </c>
      <c r="BI107" s="3"/>
      <c r="BJ107" s="5" t="s">
        <v>353</v>
      </c>
      <c r="BK107" s="3" t="s">
        <v>206</v>
      </c>
      <c r="BL107" s="3"/>
      <c r="BM107" s="3" t="s">
        <v>109</v>
      </c>
      <c r="BN107" s="3" t="s">
        <v>354</v>
      </c>
      <c r="BO107" s="3">
        <v>44724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42808.18</v>
      </c>
      <c r="CE107" s="3">
        <v>5600</v>
      </c>
      <c r="CF107" s="3">
        <v>1339.2</v>
      </c>
      <c r="CG107" s="3">
        <v>181118.11</v>
      </c>
      <c r="CH107" s="3" t="s">
        <v>192</v>
      </c>
      <c r="CI107" s="3">
        <v>181118.11</v>
      </c>
      <c r="CJ107" s="3">
        <v>0</v>
      </c>
      <c r="CK107" s="3">
        <v>0</v>
      </c>
      <c r="CL107" s="3" t="s">
        <v>112</v>
      </c>
      <c r="CM107" s="3" t="s">
        <v>112</v>
      </c>
    </row>
    <row r="108" spans="1:91" x14ac:dyDescent="0.25">
      <c r="A108" s="3" t="s">
        <v>90</v>
      </c>
      <c r="B108" s="3" t="s">
        <v>329</v>
      </c>
      <c r="C108" s="3">
        <v>3942</v>
      </c>
      <c r="D108" s="3">
        <v>6000363</v>
      </c>
      <c r="E108" s="3"/>
      <c r="F108" s="3" t="s">
        <v>92</v>
      </c>
      <c r="G108" s="3" t="s">
        <v>93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430</v>
      </c>
      <c r="S108" s="3" t="s">
        <v>330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 t="s">
        <v>144</v>
      </c>
      <c r="AB108" s="3"/>
      <c r="AC108" s="3">
        <v>12202491</v>
      </c>
      <c r="AD108" s="3">
        <v>1558.0300099999999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/>
      <c r="AP108" s="3" t="s">
        <v>98</v>
      </c>
      <c r="AQ108" s="3">
        <v>210366400</v>
      </c>
      <c r="AR108" s="3" t="s">
        <v>99</v>
      </c>
      <c r="AS108" s="3" t="s">
        <v>100</v>
      </c>
      <c r="AT108" s="3">
        <v>0</v>
      </c>
      <c r="AU108" s="3">
        <v>0</v>
      </c>
      <c r="AV108" s="3">
        <v>0</v>
      </c>
      <c r="AW108" s="3">
        <v>30024201</v>
      </c>
      <c r="AX108" s="3">
        <v>99</v>
      </c>
      <c r="AY108" s="3">
        <v>7832</v>
      </c>
      <c r="AZ108" s="3">
        <v>7832</v>
      </c>
      <c r="BA108" s="3" t="s">
        <v>103</v>
      </c>
      <c r="BB108" s="3"/>
      <c r="BC108" s="3" t="s">
        <v>105</v>
      </c>
      <c r="BD108" s="3" t="s">
        <v>105</v>
      </c>
      <c r="BE108" s="3"/>
      <c r="BF108" s="3"/>
      <c r="BG108" s="3"/>
      <c r="BH108" s="3"/>
      <c r="BI108" s="3"/>
      <c r="BJ108" s="5"/>
      <c r="BK108" s="3"/>
      <c r="BL108" s="3"/>
      <c r="BM108" s="3"/>
      <c r="BN108" s="3" t="s">
        <v>336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 t="s">
        <v>192</v>
      </c>
      <c r="CI108" s="3">
        <v>0</v>
      </c>
      <c r="CJ108" s="3">
        <v>0</v>
      </c>
      <c r="CK108" s="3">
        <v>0</v>
      </c>
      <c r="CL108" s="3" t="s">
        <v>112</v>
      </c>
      <c r="CM108" s="3" t="s">
        <v>112</v>
      </c>
    </row>
    <row r="109" spans="1:91" x14ac:dyDescent="0.25">
      <c r="A109" s="3" t="s">
        <v>90</v>
      </c>
      <c r="B109" s="3" t="s">
        <v>329</v>
      </c>
      <c r="C109" s="3">
        <v>3942</v>
      </c>
      <c r="D109" s="3">
        <v>6000363</v>
      </c>
      <c r="E109" s="3"/>
      <c r="F109" s="3" t="s">
        <v>92</v>
      </c>
      <c r="G109" s="3" t="s">
        <v>93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430</v>
      </c>
      <c r="S109" s="3" t="s">
        <v>330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 t="s">
        <v>211</v>
      </c>
      <c r="AB109" s="3"/>
      <c r="AC109" s="3">
        <v>1951828</v>
      </c>
      <c r="AD109" s="3">
        <v>265.23005999999998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/>
      <c r="AP109" s="3" t="s">
        <v>98</v>
      </c>
      <c r="AQ109" s="3">
        <v>210367105</v>
      </c>
      <c r="AR109" s="3" t="s">
        <v>99</v>
      </c>
      <c r="AS109" s="3" t="s">
        <v>100</v>
      </c>
      <c r="AT109" s="3">
        <v>0</v>
      </c>
      <c r="AU109" s="3">
        <v>0</v>
      </c>
      <c r="AV109" s="3">
        <v>0</v>
      </c>
      <c r="AW109" s="3">
        <v>30024201</v>
      </c>
      <c r="AX109" s="3">
        <v>99</v>
      </c>
      <c r="AY109" s="3">
        <v>7359</v>
      </c>
      <c r="AZ109" s="3">
        <v>7359</v>
      </c>
      <c r="BA109" s="3" t="s">
        <v>103</v>
      </c>
      <c r="BB109" s="3"/>
      <c r="BC109" s="3" t="s">
        <v>105</v>
      </c>
      <c r="BD109" s="3" t="s">
        <v>105</v>
      </c>
      <c r="BE109" s="3"/>
      <c r="BF109" s="3"/>
      <c r="BG109" s="3"/>
      <c r="BH109" s="3"/>
      <c r="BI109" s="3"/>
      <c r="BJ109" s="5"/>
      <c r="BK109" s="3"/>
      <c r="BL109" s="3"/>
      <c r="BM109" s="3"/>
      <c r="BN109" s="3" t="s">
        <v>337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 t="s">
        <v>192</v>
      </c>
      <c r="CI109" s="3">
        <v>0</v>
      </c>
      <c r="CJ109" s="3">
        <v>0</v>
      </c>
      <c r="CK109" s="3">
        <v>0</v>
      </c>
      <c r="CL109" s="3" t="s">
        <v>112</v>
      </c>
      <c r="CM109" s="3" t="s">
        <v>112</v>
      </c>
    </row>
    <row r="110" spans="1:91" x14ac:dyDescent="0.25">
      <c r="A110" s="3" t="s">
        <v>90</v>
      </c>
      <c r="B110" s="3" t="s">
        <v>329</v>
      </c>
      <c r="C110" s="3">
        <v>3942</v>
      </c>
      <c r="D110" s="3">
        <v>6000363</v>
      </c>
      <c r="E110" s="3"/>
      <c r="F110" s="3" t="s">
        <v>92</v>
      </c>
      <c r="G110" s="3" t="s">
        <v>93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430</v>
      </c>
      <c r="S110" s="3" t="s">
        <v>330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 t="s">
        <v>161</v>
      </c>
      <c r="AB110" s="3"/>
      <c r="AC110" s="3">
        <v>4449877</v>
      </c>
      <c r="AD110" s="3">
        <v>371.96999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/>
      <c r="AP110" s="3" t="s">
        <v>98</v>
      </c>
      <c r="AQ110" s="3">
        <v>210367105</v>
      </c>
      <c r="AR110" s="3" t="s">
        <v>99</v>
      </c>
      <c r="AS110" s="3" t="s">
        <v>100</v>
      </c>
      <c r="AT110" s="3">
        <v>0</v>
      </c>
      <c r="AU110" s="3">
        <v>0</v>
      </c>
      <c r="AV110" s="3">
        <v>0</v>
      </c>
      <c r="AW110" s="3">
        <v>30024201</v>
      </c>
      <c r="AX110" s="3">
        <v>99</v>
      </c>
      <c r="AY110" s="3">
        <v>11963</v>
      </c>
      <c r="AZ110" s="3">
        <v>11963</v>
      </c>
      <c r="BA110" s="3" t="s">
        <v>103</v>
      </c>
      <c r="BB110" s="3"/>
      <c r="BC110" s="3" t="s">
        <v>105</v>
      </c>
      <c r="BD110" s="3" t="s">
        <v>105</v>
      </c>
      <c r="BE110" s="3"/>
      <c r="BF110" s="3"/>
      <c r="BG110" s="3"/>
      <c r="BH110" s="3"/>
      <c r="BI110" s="3"/>
      <c r="BJ110" s="5"/>
      <c r="BK110" s="3"/>
      <c r="BL110" s="3"/>
      <c r="BM110" s="3"/>
      <c r="BN110" s="3" t="s">
        <v>337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 t="s">
        <v>192</v>
      </c>
      <c r="CI110" s="3">
        <v>0</v>
      </c>
      <c r="CJ110" s="3">
        <v>0</v>
      </c>
      <c r="CK110" s="3">
        <v>0</v>
      </c>
      <c r="CL110" s="3" t="s">
        <v>112</v>
      </c>
      <c r="CM110" s="3" t="s">
        <v>112</v>
      </c>
    </row>
    <row r="111" spans="1:91" x14ac:dyDescent="0.25">
      <c r="A111" s="3" t="s">
        <v>90</v>
      </c>
      <c r="B111" s="3" t="s">
        <v>329</v>
      </c>
      <c r="C111" s="3">
        <v>3942</v>
      </c>
      <c r="D111" s="3">
        <v>6000363</v>
      </c>
      <c r="E111" s="3"/>
      <c r="F111" s="3" t="s">
        <v>92</v>
      </c>
      <c r="G111" s="3" t="s">
        <v>93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430</v>
      </c>
      <c r="S111" s="3" t="s">
        <v>330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 t="s">
        <v>270</v>
      </c>
      <c r="AB111" s="3"/>
      <c r="AC111" s="3">
        <v>3119823</v>
      </c>
      <c r="AD111" s="3">
        <v>825.35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/>
      <c r="AP111" s="3" t="s">
        <v>98</v>
      </c>
      <c r="AQ111" s="3">
        <v>210367105</v>
      </c>
      <c r="AR111" s="3" t="s">
        <v>99</v>
      </c>
      <c r="AS111" s="3" t="s">
        <v>100</v>
      </c>
      <c r="AT111" s="3">
        <v>0</v>
      </c>
      <c r="AU111" s="3">
        <v>0</v>
      </c>
      <c r="AV111" s="3">
        <v>0</v>
      </c>
      <c r="AW111" s="3">
        <v>30024201</v>
      </c>
      <c r="AX111" s="3">
        <v>99</v>
      </c>
      <c r="AY111" s="3">
        <v>3780</v>
      </c>
      <c r="AZ111" s="3">
        <v>3780</v>
      </c>
      <c r="BA111" s="3" t="s">
        <v>103</v>
      </c>
      <c r="BB111" s="3"/>
      <c r="BC111" s="3" t="s">
        <v>105</v>
      </c>
      <c r="BD111" s="3" t="s">
        <v>105</v>
      </c>
      <c r="BE111" s="3"/>
      <c r="BF111" s="3"/>
      <c r="BG111" s="3"/>
      <c r="BH111" s="3"/>
      <c r="BI111" s="3"/>
      <c r="BJ111" s="5"/>
      <c r="BK111" s="3"/>
      <c r="BL111" s="3"/>
      <c r="BM111" s="3"/>
      <c r="BN111" s="3" t="s">
        <v>337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 t="s">
        <v>192</v>
      </c>
      <c r="CI111" s="3">
        <v>0</v>
      </c>
      <c r="CJ111" s="3">
        <v>0</v>
      </c>
      <c r="CK111" s="3">
        <v>0</v>
      </c>
      <c r="CL111" s="3" t="s">
        <v>112</v>
      </c>
      <c r="CM111" s="3" t="s">
        <v>112</v>
      </c>
    </row>
    <row r="112" spans="1:91" x14ac:dyDescent="0.25">
      <c r="A112" s="3" t="s">
        <v>90</v>
      </c>
      <c r="B112" s="3" t="s">
        <v>329</v>
      </c>
      <c r="C112" s="3">
        <v>3942</v>
      </c>
      <c r="D112" s="3">
        <v>6000363</v>
      </c>
      <c r="E112" s="3"/>
      <c r="F112" s="3" t="s">
        <v>92</v>
      </c>
      <c r="G112" s="3" t="s">
        <v>93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430</v>
      </c>
      <c r="S112" s="3" t="s">
        <v>330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338</v>
      </c>
      <c r="AB112" s="3"/>
      <c r="AC112" s="3">
        <v>938597</v>
      </c>
      <c r="AD112" s="3">
        <v>1305.42003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/>
      <c r="AP112" s="3" t="s">
        <v>98</v>
      </c>
      <c r="AQ112" s="3">
        <v>210367105</v>
      </c>
      <c r="AR112" s="3" t="s">
        <v>99</v>
      </c>
      <c r="AS112" s="3" t="s">
        <v>100</v>
      </c>
      <c r="AT112" s="3">
        <v>0</v>
      </c>
      <c r="AU112" s="3">
        <v>0</v>
      </c>
      <c r="AV112" s="3">
        <v>0</v>
      </c>
      <c r="AW112" s="3">
        <v>30024201</v>
      </c>
      <c r="AX112" s="3">
        <v>99</v>
      </c>
      <c r="AY112" s="3">
        <v>719</v>
      </c>
      <c r="AZ112" s="3">
        <v>719</v>
      </c>
      <c r="BA112" s="3" t="s">
        <v>121</v>
      </c>
      <c r="BB112" s="3"/>
      <c r="BC112" s="3" t="s">
        <v>105</v>
      </c>
      <c r="BD112" s="3" t="s">
        <v>105</v>
      </c>
      <c r="BE112" s="3"/>
      <c r="BF112" s="3"/>
      <c r="BG112" s="3"/>
      <c r="BH112" s="3"/>
      <c r="BI112" s="3"/>
      <c r="BJ112" s="5"/>
      <c r="BK112" s="3"/>
      <c r="BL112" s="3"/>
      <c r="BM112" s="3"/>
      <c r="BN112" s="3" t="s">
        <v>337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 t="s">
        <v>192</v>
      </c>
      <c r="CI112" s="3">
        <v>0</v>
      </c>
      <c r="CJ112" s="3">
        <v>0</v>
      </c>
      <c r="CK112" s="3">
        <v>0</v>
      </c>
      <c r="CL112" s="3" t="s">
        <v>112</v>
      </c>
      <c r="CM112" s="3" t="s">
        <v>112</v>
      </c>
    </row>
    <row r="113" spans="1:91" x14ac:dyDescent="0.25">
      <c r="A113" s="3" t="s">
        <v>90</v>
      </c>
      <c r="B113" s="3" t="s">
        <v>329</v>
      </c>
      <c r="C113" s="3">
        <v>3942</v>
      </c>
      <c r="D113" s="3">
        <v>6000363</v>
      </c>
      <c r="E113" s="3"/>
      <c r="F113" s="3" t="s">
        <v>92</v>
      </c>
      <c r="G113" s="3" t="s">
        <v>93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430</v>
      </c>
      <c r="S113" s="3" t="s">
        <v>330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 t="s">
        <v>339</v>
      </c>
      <c r="AB113" s="3"/>
      <c r="AC113" s="3">
        <v>963972</v>
      </c>
      <c r="AD113" s="3">
        <v>1071.08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/>
      <c r="AP113" s="3" t="s">
        <v>98</v>
      </c>
      <c r="AQ113" s="3">
        <v>210367106</v>
      </c>
      <c r="AR113" s="3" t="s">
        <v>99</v>
      </c>
      <c r="AS113" s="3" t="s">
        <v>100</v>
      </c>
      <c r="AT113" s="3">
        <v>0</v>
      </c>
      <c r="AU113" s="3">
        <v>0</v>
      </c>
      <c r="AV113" s="3">
        <v>0</v>
      </c>
      <c r="AW113" s="3">
        <v>30024201</v>
      </c>
      <c r="AX113" s="3">
        <v>99</v>
      </c>
      <c r="AY113" s="3">
        <v>900</v>
      </c>
      <c r="AZ113" s="3">
        <v>900</v>
      </c>
      <c r="BA113" s="3" t="s">
        <v>121</v>
      </c>
      <c r="BB113" s="3"/>
      <c r="BC113" s="3" t="s">
        <v>105</v>
      </c>
      <c r="BD113" s="3" t="s">
        <v>105</v>
      </c>
      <c r="BE113" s="3"/>
      <c r="BF113" s="3"/>
      <c r="BG113" s="3"/>
      <c r="BH113" s="3"/>
      <c r="BI113" s="3"/>
      <c r="BJ113" s="5"/>
      <c r="BK113" s="3"/>
      <c r="BL113" s="3"/>
      <c r="BM113" s="3"/>
      <c r="BN113" s="3" t="s">
        <v>340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 t="s">
        <v>192</v>
      </c>
      <c r="CI113" s="3">
        <v>0</v>
      </c>
      <c r="CJ113" s="3">
        <v>0</v>
      </c>
      <c r="CK113" s="3">
        <v>0</v>
      </c>
      <c r="CL113" s="3" t="s">
        <v>112</v>
      </c>
      <c r="CM113" s="3" t="s">
        <v>112</v>
      </c>
    </row>
    <row r="114" spans="1:91" x14ac:dyDescent="0.25">
      <c r="A114" s="3" t="s">
        <v>90</v>
      </c>
      <c r="B114" s="3" t="s">
        <v>329</v>
      </c>
      <c r="C114" s="3">
        <v>3942</v>
      </c>
      <c r="D114" s="3">
        <v>6000363</v>
      </c>
      <c r="E114" s="3"/>
      <c r="F114" s="3" t="s">
        <v>92</v>
      </c>
      <c r="G114" s="3" t="s">
        <v>93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430</v>
      </c>
      <c r="S114" s="3" t="s">
        <v>330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 t="s">
        <v>161</v>
      </c>
      <c r="AB114" s="3"/>
      <c r="AC114" s="3">
        <v>4459920</v>
      </c>
      <c r="AD114" s="3">
        <v>371.96996999999999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/>
      <c r="AP114" s="3" t="s">
        <v>98</v>
      </c>
      <c r="AQ114" s="3">
        <v>210367106</v>
      </c>
      <c r="AR114" s="3" t="s">
        <v>99</v>
      </c>
      <c r="AS114" s="3" t="s">
        <v>100</v>
      </c>
      <c r="AT114" s="3">
        <v>0</v>
      </c>
      <c r="AU114" s="3">
        <v>0</v>
      </c>
      <c r="AV114" s="3">
        <v>0</v>
      </c>
      <c r="AW114" s="3">
        <v>30024201</v>
      </c>
      <c r="AX114" s="3">
        <v>99</v>
      </c>
      <c r="AY114" s="3">
        <v>11990</v>
      </c>
      <c r="AZ114" s="3">
        <v>11990</v>
      </c>
      <c r="BA114" s="3" t="s">
        <v>103</v>
      </c>
      <c r="BB114" s="3"/>
      <c r="BC114" s="3" t="s">
        <v>105</v>
      </c>
      <c r="BD114" s="3" t="s">
        <v>105</v>
      </c>
      <c r="BE114" s="3"/>
      <c r="BF114" s="3"/>
      <c r="BG114" s="3"/>
      <c r="BH114" s="3"/>
      <c r="BI114" s="3"/>
      <c r="BJ114" s="5"/>
      <c r="BK114" s="3"/>
      <c r="BL114" s="3"/>
      <c r="BM114" s="3"/>
      <c r="BN114" s="3" t="s">
        <v>340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 t="s">
        <v>192</v>
      </c>
      <c r="CI114" s="3">
        <v>0</v>
      </c>
      <c r="CJ114" s="3">
        <v>0</v>
      </c>
      <c r="CK114" s="3">
        <v>0</v>
      </c>
      <c r="CL114" s="3" t="s">
        <v>112</v>
      </c>
      <c r="CM114" s="3" t="s">
        <v>112</v>
      </c>
    </row>
    <row r="115" spans="1:91" x14ac:dyDescent="0.25">
      <c r="A115" s="3" t="s">
        <v>90</v>
      </c>
      <c r="B115" s="3" t="s">
        <v>329</v>
      </c>
      <c r="C115" s="3">
        <v>3942</v>
      </c>
      <c r="D115" s="3">
        <v>6000363</v>
      </c>
      <c r="E115" s="3"/>
      <c r="F115" s="3" t="s">
        <v>92</v>
      </c>
      <c r="G115" s="3" t="s">
        <v>93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430</v>
      </c>
      <c r="S115" s="3" t="s">
        <v>330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 t="s">
        <v>217</v>
      </c>
      <c r="AB115" s="3"/>
      <c r="AC115" s="3">
        <v>4029528</v>
      </c>
      <c r="AD115" s="3">
        <v>520.88004000000001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/>
      <c r="AP115" s="3" t="s">
        <v>98</v>
      </c>
      <c r="AQ115" s="3">
        <v>210367106</v>
      </c>
      <c r="AR115" s="3" t="s">
        <v>99</v>
      </c>
      <c r="AS115" s="3" t="s">
        <v>100</v>
      </c>
      <c r="AT115" s="3">
        <v>0</v>
      </c>
      <c r="AU115" s="3">
        <v>0</v>
      </c>
      <c r="AV115" s="3">
        <v>0</v>
      </c>
      <c r="AW115" s="3">
        <v>30024201</v>
      </c>
      <c r="AX115" s="3">
        <v>99</v>
      </c>
      <c r="AY115" s="3">
        <v>7736</v>
      </c>
      <c r="AZ115" s="3">
        <v>7736</v>
      </c>
      <c r="BA115" s="3" t="s">
        <v>103</v>
      </c>
      <c r="BB115" s="3"/>
      <c r="BC115" s="3" t="s">
        <v>105</v>
      </c>
      <c r="BD115" s="3" t="s">
        <v>105</v>
      </c>
      <c r="BE115" s="3"/>
      <c r="BF115" s="3"/>
      <c r="BG115" s="3"/>
      <c r="BH115" s="3"/>
      <c r="BI115" s="3"/>
      <c r="BJ115" s="5"/>
      <c r="BK115" s="3"/>
      <c r="BL115" s="3"/>
      <c r="BM115" s="3"/>
      <c r="BN115" s="3" t="s">
        <v>340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 t="s">
        <v>192</v>
      </c>
      <c r="CI115" s="3">
        <v>0</v>
      </c>
      <c r="CJ115" s="3">
        <v>0</v>
      </c>
      <c r="CK115" s="3">
        <v>0</v>
      </c>
      <c r="CL115" s="3" t="s">
        <v>112</v>
      </c>
      <c r="CM115" s="3" t="s">
        <v>112</v>
      </c>
    </row>
    <row r="116" spans="1:91" x14ac:dyDescent="0.25">
      <c r="A116" s="3" t="s">
        <v>90</v>
      </c>
      <c r="B116" s="3" t="s">
        <v>322</v>
      </c>
      <c r="C116" s="3">
        <v>3942</v>
      </c>
      <c r="D116" s="3">
        <v>6000371</v>
      </c>
      <c r="E116" s="3"/>
      <c r="F116" s="3" t="s">
        <v>92</v>
      </c>
      <c r="G116" s="3" t="s">
        <v>93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17.677</v>
      </c>
      <c r="Q116" s="3">
        <v>2252</v>
      </c>
      <c r="R116" s="3">
        <v>430</v>
      </c>
      <c r="S116" s="3" t="s">
        <v>323</v>
      </c>
      <c r="T116" s="3" t="s">
        <v>95</v>
      </c>
      <c r="U116" s="3">
        <v>10515563</v>
      </c>
      <c r="V116" s="3">
        <v>10515563</v>
      </c>
      <c r="W116" s="3">
        <v>0</v>
      </c>
      <c r="X116" s="3">
        <v>0</v>
      </c>
      <c r="Y116" s="3">
        <v>0</v>
      </c>
      <c r="Z116" s="3">
        <v>0</v>
      </c>
      <c r="AA116" s="3" t="s">
        <v>324</v>
      </c>
      <c r="AB116" s="3"/>
      <c r="AC116" s="3">
        <v>3921751</v>
      </c>
      <c r="AD116" s="3">
        <v>145.79</v>
      </c>
      <c r="AE116" s="3">
        <v>354</v>
      </c>
      <c r="AF116" s="3">
        <v>10</v>
      </c>
      <c r="AG116" s="3">
        <v>598513</v>
      </c>
      <c r="AH116" s="3">
        <v>0</v>
      </c>
      <c r="AI116" s="3">
        <v>53</v>
      </c>
      <c r="AJ116" s="3">
        <v>47881</v>
      </c>
      <c r="AK116" s="3">
        <v>0</v>
      </c>
      <c r="AL116" s="3">
        <v>0</v>
      </c>
      <c r="AM116" s="3">
        <v>330</v>
      </c>
      <c r="AN116" s="3">
        <v>646777</v>
      </c>
      <c r="AO116" s="3" t="s">
        <v>97</v>
      </c>
      <c r="AP116" s="3" t="s">
        <v>98</v>
      </c>
      <c r="AQ116" s="3">
        <v>210366709</v>
      </c>
      <c r="AR116" s="3" t="s">
        <v>99</v>
      </c>
      <c r="AS116" s="3" t="s">
        <v>100</v>
      </c>
      <c r="AT116" s="3" t="s">
        <v>325</v>
      </c>
      <c r="AU116" s="3"/>
      <c r="AV116" s="3" t="s">
        <v>102</v>
      </c>
      <c r="AW116" s="3">
        <v>30049099</v>
      </c>
      <c r="AX116" s="3">
        <v>99</v>
      </c>
      <c r="AY116" s="3">
        <v>26900</v>
      </c>
      <c r="AZ116" s="3">
        <v>26900</v>
      </c>
      <c r="BA116" s="3" t="s">
        <v>103</v>
      </c>
      <c r="BB116" s="3"/>
      <c r="BC116" s="3" t="s">
        <v>133</v>
      </c>
      <c r="BD116" s="3" t="s">
        <v>105</v>
      </c>
      <c r="BE116" s="4">
        <v>46090</v>
      </c>
      <c r="BF116" s="4">
        <v>46093</v>
      </c>
      <c r="BG116" s="4">
        <v>46094</v>
      </c>
      <c r="BH116" s="3" t="s">
        <v>106</v>
      </c>
      <c r="BI116" s="3"/>
      <c r="BJ116" s="5"/>
      <c r="BK116" s="3"/>
      <c r="BL116" s="3"/>
      <c r="BM116" s="3" t="s">
        <v>109</v>
      </c>
      <c r="BN116" s="3" t="s">
        <v>326</v>
      </c>
      <c r="BO116" s="3">
        <v>44297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22189.59</v>
      </c>
      <c r="CB116" s="3">
        <v>0</v>
      </c>
      <c r="CC116" s="3">
        <v>0</v>
      </c>
      <c r="CD116" s="3">
        <v>5163.37</v>
      </c>
      <c r="CE116" s="3">
        <v>15799.61</v>
      </c>
      <c r="CF116" s="3">
        <v>2651.14</v>
      </c>
      <c r="CG116" s="3">
        <v>142313.69</v>
      </c>
      <c r="CH116" s="3" t="s">
        <v>192</v>
      </c>
      <c r="CI116" s="3">
        <v>142313.69</v>
      </c>
      <c r="CJ116" s="3">
        <v>0</v>
      </c>
      <c r="CK116" s="3">
        <v>0</v>
      </c>
      <c r="CL116" s="3" t="s">
        <v>112</v>
      </c>
      <c r="CM116" s="3" t="s">
        <v>112</v>
      </c>
    </row>
    <row r="117" spans="1:91" x14ac:dyDescent="0.25">
      <c r="A117" s="3" t="s">
        <v>90</v>
      </c>
      <c r="B117" s="3" t="s">
        <v>322</v>
      </c>
      <c r="C117" s="3">
        <v>3942</v>
      </c>
      <c r="D117" s="3">
        <v>6000371</v>
      </c>
      <c r="E117" s="3"/>
      <c r="F117" s="3" t="s">
        <v>92</v>
      </c>
      <c r="G117" s="3" t="s">
        <v>93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10</v>
      </c>
      <c r="O117" s="3">
        <v>598513</v>
      </c>
      <c r="P117" s="3">
        <v>0</v>
      </c>
      <c r="Q117" s="3">
        <v>0</v>
      </c>
      <c r="R117" s="3">
        <v>430</v>
      </c>
      <c r="S117" s="3" t="s">
        <v>323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 t="s">
        <v>327</v>
      </c>
      <c r="AB117" s="3"/>
      <c r="AC117" s="3">
        <v>5985131</v>
      </c>
      <c r="AD117" s="3">
        <v>236.65997999999999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/>
      <c r="AP117" s="3" t="s">
        <v>98</v>
      </c>
      <c r="AQ117" s="3">
        <v>210366709</v>
      </c>
      <c r="AR117" s="3" t="s">
        <v>99</v>
      </c>
      <c r="AS117" s="3" t="s">
        <v>100</v>
      </c>
      <c r="AT117" s="3">
        <v>0</v>
      </c>
      <c r="AU117" s="3">
        <v>0</v>
      </c>
      <c r="AV117" s="3">
        <v>0</v>
      </c>
      <c r="AW117" s="3">
        <v>30049099</v>
      </c>
      <c r="AX117" s="3">
        <v>99</v>
      </c>
      <c r="AY117" s="3">
        <v>25290</v>
      </c>
      <c r="AZ117" s="3">
        <v>25290</v>
      </c>
      <c r="BA117" s="3" t="s">
        <v>103</v>
      </c>
      <c r="BB117" s="3"/>
      <c r="BC117" s="3" t="s">
        <v>133</v>
      </c>
      <c r="BD117" s="3" t="s">
        <v>105</v>
      </c>
      <c r="BE117" s="3"/>
      <c r="BF117" s="3"/>
      <c r="BG117" s="3"/>
      <c r="BH117" s="3"/>
      <c r="BI117" s="3"/>
      <c r="BJ117" s="5"/>
      <c r="BK117" s="3"/>
      <c r="BL117" s="3"/>
      <c r="BM117" s="3"/>
      <c r="BN117" s="3" t="s">
        <v>326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 t="s">
        <v>192</v>
      </c>
      <c r="CI117" s="3">
        <v>0</v>
      </c>
      <c r="CJ117" s="3">
        <v>0</v>
      </c>
      <c r="CK117" s="3">
        <v>0</v>
      </c>
      <c r="CL117" s="3" t="s">
        <v>112</v>
      </c>
      <c r="CM117" s="3" t="s">
        <v>112</v>
      </c>
    </row>
    <row r="118" spans="1:91" x14ac:dyDescent="0.25">
      <c r="A118" s="3" t="s">
        <v>90</v>
      </c>
      <c r="B118" s="3" t="s">
        <v>322</v>
      </c>
      <c r="C118" s="3">
        <v>3942</v>
      </c>
      <c r="D118" s="3">
        <v>6000371</v>
      </c>
      <c r="E118" s="3"/>
      <c r="F118" s="3" t="s">
        <v>92</v>
      </c>
      <c r="G118" s="3" t="s">
        <v>93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430</v>
      </c>
      <c r="S118" s="3" t="s">
        <v>323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328</v>
      </c>
      <c r="AB118" s="3"/>
      <c r="AC118" s="3">
        <v>608681</v>
      </c>
      <c r="AD118" s="3">
        <v>65.520020000000002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/>
      <c r="AP118" s="3" t="s">
        <v>98</v>
      </c>
      <c r="AQ118" s="3">
        <v>210366709</v>
      </c>
      <c r="AR118" s="3" t="s">
        <v>99</v>
      </c>
      <c r="AS118" s="3" t="s">
        <v>100</v>
      </c>
      <c r="AT118" s="3">
        <v>0</v>
      </c>
      <c r="AU118" s="3">
        <v>0</v>
      </c>
      <c r="AV118" s="3">
        <v>0</v>
      </c>
      <c r="AW118" s="3">
        <v>30049099</v>
      </c>
      <c r="AX118" s="3">
        <v>99</v>
      </c>
      <c r="AY118" s="3">
        <v>9290</v>
      </c>
      <c r="AZ118" s="3">
        <v>9290</v>
      </c>
      <c r="BA118" s="3" t="s">
        <v>103</v>
      </c>
      <c r="BB118" s="3"/>
      <c r="BC118" s="3" t="s">
        <v>133</v>
      </c>
      <c r="BD118" s="3" t="s">
        <v>105</v>
      </c>
      <c r="BE118" s="3"/>
      <c r="BF118" s="3"/>
      <c r="BG118" s="3"/>
      <c r="BH118" s="3"/>
      <c r="BI118" s="3"/>
      <c r="BJ118" s="5"/>
      <c r="BK118" s="3"/>
      <c r="BL118" s="3"/>
      <c r="BM118" s="3"/>
      <c r="BN118" s="3" t="s">
        <v>326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 t="s">
        <v>192</v>
      </c>
      <c r="CI118" s="3">
        <v>0</v>
      </c>
      <c r="CJ118" s="3">
        <v>0</v>
      </c>
      <c r="CK118" s="3">
        <v>0</v>
      </c>
      <c r="CL118" s="3" t="s">
        <v>112</v>
      </c>
      <c r="CM118" s="3" t="s">
        <v>112</v>
      </c>
    </row>
    <row r="119" spans="1:91" x14ac:dyDescent="0.25">
      <c r="A119" s="3" t="s">
        <v>90</v>
      </c>
      <c r="B119" s="3" t="s">
        <v>374</v>
      </c>
      <c r="C119" s="3">
        <v>3942</v>
      </c>
      <c r="D119" s="3">
        <v>6000401</v>
      </c>
      <c r="E119" s="3"/>
      <c r="F119" s="3" t="s">
        <v>92</v>
      </c>
      <c r="G119" s="3" t="s">
        <v>93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17.7957</v>
      </c>
      <c r="Q119" s="3">
        <v>5140.9350000000004</v>
      </c>
      <c r="R119" s="3">
        <v>430</v>
      </c>
      <c r="S119" s="3" t="s">
        <v>375</v>
      </c>
      <c r="T119" s="3" t="s">
        <v>95</v>
      </c>
      <c r="U119" s="3">
        <v>6964896</v>
      </c>
      <c r="V119" s="3">
        <v>6964896</v>
      </c>
      <c r="W119" s="3">
        <v>0</v>
      </c>
      <c r="X119" s="3">
        <v>0</v>
      </c>
      <c r="Y119" s="3">
        <v>0</v>
      </c>
      <c r="Z119" s="3">
        <v>0</v>
      </c>
      <c r="AA119" s="3" t="s">
        <v>376</v>
      </c>
      <c r="AB119" s="3"/>
      <c r="AC119" s="3">
        <v>2162410</v>
      </c>
      <c r="AD119" s="3">
        <v>2926.1299100000001</v>
      </c>
      <c r="AE119" s="3">
        <v>808</v>
      </c>
      <c r="AF119" s="3">
        <v>0</v>
      </c>
      <c r="AG119" s="3">
        <v>0</v>
      </c>
      <c r="AH119" s="3">
        <v>0</v>
      </c>
      <c r="AI119" s="3">
        <v>53</v>
      </c>
      <c r="AJ119" s="3">
        <v>462</v>
      </c>
      <c r="AK119" s="3">
        <v>0</v>
      </c>
      <c r="AL119" s="3">
        <v>0</v>
      </c>
      <c r="AM119" s="3">
        <v>330</v>
      </c>
      <c r="AN119" s="3">
        <v>845</v>
      </c>
      <c r="AO119" s="3" t="s">
        <v>97</v>
      </c>
      <c r="AP119" s="3" t="s">
        <v>98</v>
      </c>
      <c r="AQ119" s="3">
        <v>210366229</v>
      </c>
      <c r="AR119" s="3" t="s">
        <v>99</v>
      </c>
      <c r="AS119" s="3" t="s">
        <v>100</v>
      </c>
      <c r="AT119" s="3" t="s">
        <v>377</v>
      </c>
      <c r="AU119" s="3"/>
      <c r="AV119" s="3" t="s">
        <v>102</v>
      </c>
      <c r="AW119" s="3">
        <v>30049099</v>
      </c>
      <c r="AX119" s="3">
        <v>99</v>
      </c>
      <c r="AY119" s="3">
        <v>739</v>
      </c>
      <c r="AZ119" s="3">
        <v>739</v>
      </c>
      <c r="BA119" s="3" t="s">
        <v>103</v>
      </c>
      <c r="BB119" s="3"/>
      <c r="BC119" s="3" t="s">
        <v>104</v>
      </c>
      <c r="BD119" s="3" t="s">
        <v>105</v>
      </c>
      <c r="BE119" s="4">
        <v>46111</v>
      </c>
      <c r="BF119" s="4">
        <v>46118</v>
      </c>
      <c r="BG119" s="4">
        <v>46118</v>
      </c>
      <c r="BH119" s="3" t="s">
        <v>106</v>
      </c>
      <c r="BI119" s="3"/>
      <c r="BJ119" s="5">
        <v>4.3064022026102896E+16</v>
      </c>
      <c r="BK119" s="3" t="s">
        <v>108</v>
      </c>
      <c r="BL119" s="3"/>
      <c r="BM119" s="3" t="s">
        <v>109</v>
      </c>
      <c r="BN119" s="3" t="s">
        <v>378</v>
      </c>
      <c r="BO119" s="3">
        <v>45350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22189.59</v>
      </c>
      <c r="CB119" s="3">
        <v>0</v>
      </c>
      <c r="CC119" s="3">
        <v>0</v>
      </c>
      <c r="CD119" s="3">
        <v>15002.89</v>
      </c>
      <c r="CE119" s="3">
        <v>9966.59</v>
      </c>
      <c r="CF119" s="3">
        <v>2037.85</v>
      </c>
      <c r="CG119" s="3">
        <v>168023.32</v>
      </c>
      <c r="CH119" s="3" t="s">
        <v>192</v>
      </c>
      <c r="CI119" s="3">
        <v>168023.32</v>
      </c>
      <c r="CJ119" s="3">
        <v>0</v>
      </c>
      <c r="CK119" s="3">
        <v>0</v>
      </c>
      <c r="CL119" s="3" t="s">
        <v>112</v>
      </c>
      <c r="CM119" s="3" t="s">
        <v>112</v>
      </c>
    </row>
    <row r="120" spans="1:91" x14ac:dyDescent="0.25">
      <c r="A120" s="3" t="s">
        <v>90</v>
      </c>
      <c r="B120" s="3" t="s">
        <v>366</v>
      </c>
      <c r="C120" s="3">
        <v>3942</v>
      </c>
      <c r="D120" s="3">
        <v>6000434</v>
      </c>
      <c r="E120" s="3"/>
      <c r="F120" s="3" t="s">
        <v>92</v>
      </c>
      <c r="G120" s="3" t="s">
        <v>93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17.7957</v>
      </c>
      <c r="Q120" s="3">
        <v>5571</v>
      </c>
      <c r="R120" s="3">
        <v>430</v>
      </c>
      <c r="S120" s="3" t="s">
        <v>367</v>
      </c>
      <c r="T120" s="3" t="s">
        <v>130</v>
      </c>
      <c r="U120" s="3">
        <v>41757683</v>
      </c>
      <c r="V120" s="3">
        <v>41757683</v>
      </c>
      <c r="W120" s="3">
        <v>0</v>
      </c>
      <c r="X120" s="3">
        <v>0</v>
      </c>
      <c r="Y120" s="3">
        <v>0</v>
      </c>
      <c r="Z120" s="3">
        <v>0</v>
      </c>
      <c r="AA120" s="3" t="s">
        <v>159</v>
      </c>
      <c r="AB120" s="3"/>
      <c r="AC120" s="3">
        <v>959881</v>
      </c>
      <c r="AD120" s="3">
        <v>532.37991999999997</v>
      </c>
      <c r="AE120" s="3">
        <v>808</v>
      </c>
      <c r="AF120" s="3">
        <v>0</v>
      </c>
      <c r="AG120" s="3">
        <v>0</v>
      </c>
      <c r="AH120" s="3">
        <v>0</v>
      </c>
      <c r="AI120" s="3">
        <v>53</v>
      </c>
      <c r="AJ120" s="3">
        <v>462</v>
      </c>
      <c r="AK120" s="3">
        <v>0</v>
      </c>
      <c r="AL120" s="3">
        <v>0</v>
      </c>
      <c r="AM120" s="3">
        <v>330</v>
      </c>
      <c r="AN120" s="3">
        <v>845</v>
      </c>
      <c r="AO120" s="3" t="s">
        <v>97</v>
      </c>
      <c r="AP120" s="3" t="s">
        <v>98</v>
      </c>
      <c r="AQ120" s="3">
        <v>210368546</v>
      </c>
      <c r="AR120" s="3" t="s">
        <v>99</v>
      </c>
      <c r="AS120" s="3" t="s">
        <v>100</v>
      </c>
      <c r="AT120" s="3" t="s">
        <v>368</v>
      </c>
      <c r="AU120" s="3"/>
      <c r="AV120" s="3" t="s">
        <v>146</v>
      </c>
      <c r="AW120" s="3">
        <v>30024201</v>
      </c>
      <c r="AX120" s="3">
        <v>99</v>
      </c>
      <c r="AY120" s="3">
        <v>1803</v>
      </c>
      <c r="AZ120" s="3">
        <v>1803</v>
      </c>
      <c r="BA120" s="3" t="s">
        <v>103</v>
      </c>
      <c r="BB120" s="3"/>
      <c r="BC120" s="3" t="s">
        <v>105</v>
      </c>
      <c r="BD120" s="3" t="s">
        <v>105</v>
      </c>
      <c r="BE120" s="4">
        <v>46111</v>
      </c>
      <c r="BF120" s="4">
        <v>46118</v>
      </c>
      <c r="BG120" s="4">
        <v>46118</v>
      </c>
      <c r="BH120" s="3" t="s">
        <v>228</v>
      </c>
      <c r="BI120" s="3" t="s">
        <v>117</v>
      </c>
      <c r="BJ120" s="5" t="s">
        <v>369</v>
      </c>
      <c r="BK120" s="3" t="s">
        <v>148</v>
      </c>
      <c r="BL120" s="3"/>
      <c r="BM120" s="3" t="s">
        <v>109</v>
      </c>
      <c r="BN120" s="3" t="s">
        <v>370</v>
      </c>
      <c r="BO120" s="3">
        <v>45086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44379.18</v>
      </c>
      <c r="CB120" s="3">
        <v>0</v>
      </c>
      <c r="CC120" s="3">
        <v>0</v>
      </c>
      <c r="CD120" s="3">
        <v>36525.379999999997</v>
      </c>
      <c r="CE120" s="3">
        <v>18000</v>
      </c>
      <c r="CF120" s="3">
        <v>3342.4</v>
      </c>
      <c r="CG120" s="3">
        <v>248801.02</v>
      </c>
      <c r="CH120" s="3" t="s">
        <v>192</v>
      </c>
      <c r="CI120" s="3">
        <v>248801.02</v>
      </c>
      <c r="CJ120" s="3">
        <v>0</v>
      </c>
      <c r="CK120" s="3">
        <v>0</v>
      </c>
      <c r="CL120" s="3" t="s">
        <v>112</v>
      </c>
      <c r="CM120" s="3" t="s">
        <v>112</v>
      </c>
    </row>
    <row r="121" spans="1:91" x14ac:dyDescent="0.25">
      <c r="A121" s="3" t="s">
        <v>90</v>
      </c>
      <c r="B121" s="3" t="s">
        <v>374</v>
      </c>
      <c r="C121" s="3">
        <v>3942</v>
      </c>
      <c r="D121" s="3">
        <v>6000401</v>
      </c>
      <c r="E121" s="3"/>
      <c r="F121" s="3" t="s">
        <v>92</v>
      </c>
      <c r="G121" s="3" t="s">
        <v>93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430</v>
      </c>
      <c r="S121" s="3" t="s">
        <v>375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 t="s">
        <v>125</v>
      </c>
      <c r="AB121" s="3"/>
      <c r="AC121" s="3">
        <v>1803708</v>
      </c>
      <c r="AD121" s="3">
        <v>501.03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/>
      <c r="AP121" s="3" t="s">
        <v>98</v>
      </c>
      <c r="AQ121" s="3">
        <v>210366938</v>
      </c>
      <c r="AR121" s="3" t="s">
        <v>99</v>
      </c>
      <c r="AS121" s="3" t="s">
        <v>100</v>
      </c>
      <c r="AT121" s="3">
        <v>0</v>
      </c>
      <c r="AU121" s="3">
        <v>0</v>
      </c>
      <c r="AV121" s="3">
        <v>0</v>
      </c>
      <c r="AW121" s="3">
        <v>30043999</v>
      </c>
      <c r="AX121" s="3">
        <v>99</v>
      </c>
      <c r="AY121" s="3">
        <v>3600</v>
      </c>
      <c r="AZ121" s="3">
        <v>3600</v>
      </c>
      <c r="BA121" s="3" t="s">
        <v>103</v>
      </c>
      <c r="BB121" s="3"/>
      <c r="BC121" s="3" t="s">
        <v>126</v>
      </c>
      <c r="BD121" s="3" t="s">
        <v>105</v>
      </c>
      <c r="BE121" s="3"/>
      <c r="BF121" s="3"/>
      <c r="BG121" s="3"/>
      <c r="BH121" s="3"/>
      <c r="BI121" s="3"/>
      <c r="BJ121" s="5"/>
      <c r="BK121" s="3"/>
      <c r="BL121" s="3"/>
      <c r="BM121" s="3"/>
      <c r="BN121" s="3" t="s">
        <v>379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 t="s">
        <v>192</v>
      </c>
      <c r="CI121" s="3">
        <v>0</v>
      </c>
      <c r="CJ121" s="3">
        <v>0</v>
      </c>
      <c r="CK121" s="3">
        <v>0</v>
      </c>
      <c r="CL121" s="3" t="s">
        <v>112</v>
      </c>
      <c r="CM121" s="3" t="s">
        <v>112</v>
      </c>
    </row>
    <row r="122" spans="1:91" x14ac:dyDescent="0.25">
      <c r="A122" s="3" t="s">
        <v>90</v>
      </c>
      <c r="B122" s="3" t="s">
        <v>374</v>
      </c>
      <c r="C122" s="3">
        <v>3942</v>
      </c>
      <c r="D122" s="3">
        <v>6000401</v>
      </c>
      <c r="E122" s="3"/>
      <c r="F122" s="3" t="s">
        <v>92</v>
      </c>
      <c r="G122" s="3" t="s">
        <v>93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430</v>
      </c>
      <c r="S122" s="3" t="s">
        <v>375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 t="s">
        <v>123</v>
      </c>
      <c r="AB122" s="3"/>
      <c r="AC122" s="3">
        <v>1497547</v>
      </c>
      <c r="AD122" s="3">
        <v>706.39008999999999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/>
      <c r="AP122" s="3" t="s">
        <v>98</v>
      </c>
      <c r="AQ122" s="3">
        <v>210367625</v>
      </c>
      <c r="AR122" s="3" t="s">
        <v>99</v>
      </c>
      <c r="AS122" s="3" t="s">
        <v>100</v>
      </c>
      <c r="AT122" s="3">
        <v>0</v>
      </c>
      <c r="AU122" s="3">
        <v>0</v>
      </c>
      <c r="AV122" s="3">
        <v>0</v>
      </c>
      <c r="AW122" s="3">
        <v>30049099</v>
      </c>
      <c r="AX122" s="3">
        <v>99</v>
      </c>
      <c r="AY122" s="3">
        <v>2120</v>
      </c>
      <c r="AZ122" s="3">
        <v>2120</v>
      </c>
      <c r="BA122" s="3" t="s">
        <v>121</v>
      </c>
      <c r="BB122" s="3"/>
      <c r="BC122" s="3" t="s">
        <v>105</v>
      </c>
      <c r="BD122" s="3" t="s">
        <v>105</v>
      </c>
      <c r="BE122" s="3"/>
      <c r="BF122" s="3"/>
      <c r="BG122" s="3"/>
      <c r="BH122" s="3"/>
      <c r="BI122" s="3"/>
      <c r="BJ122" s="5"/>
      <c r="BK122" s="3"/>
      <c r="BL122" s="3"/>
      <c r="BM122" s="3"/>
      <c r="BN122" s="3" t="s">
        <v>380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 t="s">
        <v>192</v>
      </c>
      <c r="CI122" s="3">
        <v>0</v>
      </c>
      <c r="CJ122" s="3">
        <v>0</v>
      </c>
      <c r="CK122" s="3">
        <v>0</v>
      </c>
      <c r="CL122" s="3" t="s">
        <v>112</v>
      </c>
      <c r="CM122" s="3" t="s">
        <v>112</v>
      </c>
    </row>
    <row r="123" spans="1:91" x14ac:dyDescent="0.25">
      <c r="A123" s="3" t="s">
        <v>90</v>
      </c>
      <c r="B123" s="3" t="s">
        <v>374</v>
      </c>
      <c r="C123" s="3">
        <v>3942</v>
      </c>
      <c r="D123" s="3">
        <v>6000401</v>
      </c>
      <c r="E123" s="3"/>
      <c r="F123" s="3" t="s">
        <v>92</v>
      </c>
      <c r="G123" s="3" t="s">
        <v>93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430</v>
      </c>
      <c r="S123" s="3" t="s">
        <v>375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 t="s">
        <v>115</v>
      </c>
      <c r="AB123" s="3"/>
      <c r="AC123" s="3">
        <v>428709</v>
      </c>
      <c r="AD123" s="3">
        <v>2936.36301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/>
      <c r="AP123" s="3" t="s">
        <v>98</v>
      </c>
      <c r="AQ123" s="3">
        <v>210367625</v>
      </c>
      <c r="AR123" s="3" t="s">
        <v>99</v>
      </c>
      <c r="AS123" s="3" t="s">
        <v>100</v>
      </c>
      <c r="AT123" s="3">
        <v>0</v>
      </c>
      <c r="AU123" s="3">
        <v>0</v>
      </c>
      <c r="AV123" s="3">
        <v>0</v>
      </c>
      <c r="AW123" s="3">
        <v>30042099</v>
      </c>
      <c r="AX123" s="3">
        <v>0</v>
      </c>
      <c r="AY123" s="3">
        <v>146</v>
      </c>
      <c r="AZ123" s="3">
        <v>146</v>
      </c>
      <c r="BA123" s="3" t="s">
        <v>121</v>
      </c>
      <c r="BB123" s="3"/>
      <c r="BC123" s="3" t="s">
        <v>105</v>
      </c>
      <c r="BD123" s="3" t="s">
        <v>105</v>
      </c>
      <c r="BE123" s="3"/>
      <c r="BF123" s="3"/>
      <c r="BG123" s="3"/>
      <c r="BH123" s="3"/>
      <c r="BI123" s="3"/>
      <c r="BJ123" s="5"/>
      <c r="BK123" s="3"/>
      <c r="BL123" s="3"/>
      <c r="BM123" s="3"/>
      <c r="BN123" s="3" t="s">
        <v>380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 t="s">
        <v>192</v>
      </c>
      <c r="CI123" s="3">
        <v>0</v>
      </c>
      <c r="CJ123" s="3">
        <v>0</v>
      </c>
      <c r="CK123" s="3">
        <v>0</v>
      </c>
      <c r="CL123" s="3" t="s">
        <v>112</v>
      </c>
      <c r="CM123" s="3" t="s">
        <v>112</v>
      </c>
    </row>
    <row r="124" spans="1:91" x14ac:dyDescent="0.25">
      <c r="A124" s="3" t="s">
        <v>90</v>
      </c>
      <c r="B124" s="3" t="s">
        <v>374</v>
      </c>
      <c r="C124" s="3">
        <v>3942</v>
      </c>
      <c r="D124" s="3">
        <v>6000401</v>
      </c>
      <c r="E124" s="3"/>
      <c r="F124" s="3" t="s">
        <v>92</v>
      </c>
      <c r="G124" s="3" t="s">
        <v>93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430</v>
      </c>
      <c r="S124" s="3" t="s">
        <v>375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 t="s">
        <v>124</v>
      </c>
      <c r="AB124" s="3"/>
      <c r="AC124" s="3">
        <v>464789</v>
      </c>
      <c r="AD124" s="3">
        <v>407.70965000000001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/>
      <c r="AP124" s="3" t="s">
        <v>98</v>
      </c>
      <c r="AQ124" s="3">
        <v>210367626</v>
      </c>
      <c r="AR124" s="3" t="s">
        <v>99</v>
      </c>
      <c r="AS124" s="3" t="s">
        <v>100</v>
      </c>
      <c r="AT124" s="3">
        <v>0</v>
      </c>
      <c r="AU124" s="3">
        <v>0</v>
      </c>
      <c r="AV124" s="3">
        <v>0</v>
      </c>
      <c r="AW124" s="3">
        <v>30049099</v>
      </c>
      <c r="AX124" s="3">
        <v>99</v>
      </c>
      <c r="AY124" s="3">
        <v>1140</v>
      </c>
      <c r="AZ124" s="3">
        <v>1140</v>
      </c>
      <c r="BA124" s="3" t="s">
        <v>121</v>
      </c>
      <c r="BB124" s="3"/>
      <c r="BC124" s="3" t="s">
        <v>105</v>
      </c>
      <c r="BD124" s="3" t="s">
        <v>105</v>
      </c>
      <c r="BE124" s="3"/>
      <c r="BF124" s="3"/>
      <c r="BG124" s="3"/>
      <c r="BH124" s="3"/>
      <c r="BI124" s="3"/>
      <c r="BJ124" s="5"/>
      <c r="BK124" s="3"/>
      <c r="BL124" s="3"/>
      <c r="BM124" s="3"/>
      <c r="BN124" s="3" t="s">
        <v>381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 t="s">
        <v>192</v>
      </c>
      <c r="CI124" s="3">
        <v>0</v>
      </c>
      <c r="CJ124" s="3">
        <v>0</v>
      </c>
      <c r="CK124" s="3">
        <v>0</v>
      </c>
      <c r="CL124" s="3" t="s">
        <v>112</v>
      </c>
      <c r="CM124" s="3" t="s">
        <v>112</v>
      </c>
    </row>
    <row r="125" spans="1:91" x14ac:dyDescent="0.25">
      <c r="A125" s="3" t="s">
        <v>90</v>
      </c>
      <c r="B125" s="3" t="s">
        <v>374</v>
      </c>
      <c r="C125" s="3">
        <v>3942</v>
      </c>
      <c r="D125" s="3">
        <v>6000401</v>
      </c>
      <c r="E125" s="3"/>
      <c r="F125" s="3" t="s">
        <v>92</v>
      </c>
      <c r="G125" s="3" t="s">
        <v>93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430</v>
      </c>
      <c r="S125" s="3" t="s">
        <v>375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 t="s">
        <v>382</v>
      </c>
      <c r="AB125" s="3"/>
      <c r="AC125" s="3">
        <v>392006</v>
      </c>
      <c r="AD125" s="3">
        <v>44.959969999999998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/>
      <c r="AP125" s="3" t="s">
        <v>98</v>
      </c>
      <c r="AQ125" s="3">
        <v>210367626</v>
      </c>
      <c r="AR125" s="3" t="s">
        <v>99</v>
      </c>
      <c r="AS125" s="3" t="s">
        <v>100</v>
      </c>
      <c r="AT125" s="3">
        <v>0</v>
      </c>
      <c r="AU125" s="3">
        <v>0</v>
      </c>
      <c r="AV125" s="3">
        <v>0</v>
      </c>
      <c r="AW125" s="3">
        <v>30049099</v>
      </c>
      <c r="AX125" s="3">
        <v>99</v>
      </c>
      <c r="AY125" s="3">
        <v>8719</v>
      </c>
      <c r="AZ125" s="3">
        <v>8719</v>
      </c>
      <c r="BA125" s="3" t="s">
        <v>121</v>
      </c>
      <c r="BB125" s="3"/>
      <c r="BC125" s="3" t="s">
        <v>105</v>
      </c>
      <c r="BD125" s="3" t="s">
        <v>105</v>
      </c>
      <c r="BE125" s="3"/>
      <c r="BF125" s="3"/>
      <c r="BG125" s="3"/>
      <c r="BH125" s="3"/>
      <c r="BI125" s="3"/>
      <c r="BJ125" s="5"/>
      <c r="BK125" s="3"/>
      <c r="BL125" s="3"/>
      <c r="BM125" s="3"/>
      <c r="BN125" s="3" t="s">
        <v>381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 t="s">
        <v>192</v>
      </c>
      <c r="CI125" s="3">
        <v>0</v>
      </c>
      <c r="CJ125" s="3">
        <v>0</v>
      </c>
      <c r="CK125" s="3">
        <v>0</v>
      </c>
      <c r="CL125" s="3" t="s">
        <v>112</v>
      </c>
      <c r="CM125" s="3" t="s">
        <v>112</v>
      </c>
    </row>
    <row r="126" spans="1:91" x14ac:dyDescent="0.25">
      <c r="A126" s="3" t="s">
        <v>90</v>
      </c>
      <c r="B126" s="3" t="s">
        <v>374</v>
      </c>
      <c r="C126" s="3">
        <v>3942</v>
      </c>
      <c r="D126" s="3">
        <v>6000401</v>
      </c>
      <c r="E126" s="3"/>
      <c r="F126" s="3" t="s">
        <v>92</v>
      </c>
      <c r="G126" s="3" t="s">
        <v>93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430</v>
      </c>
      <c r="S126" s="3" t="s">
        <v>375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 t="s">
        <v>123</v>
      </c>
      <c r="AB126" s="3"/>
      <c r="AC126" s="3">
        <v>215727</v>
      </c>
      <c r="AD126" s="3">
        <v>49.959940000000003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/>
      <c r="AP126" s="3" t="s">
        <v>98</v>
      </c>
      <c r="AQ126" s="3">
        <v>210367626</v>
      </c>
      <c r="AR126" s="3" t="s">
        <v>99</v>
      </c>
      <c r="AS126" s="3" t="s">
        <v>100</v>
      </c>
      <c r="AT126" s="3">
        <v>0</v>
      </c>
      <c r="AU126" s="3">
        <v>0</v>
      </c>
      <c r="AV126" s="3">
        <v>0</v>
      </c>
      <c r="AW126" s="3">
        <v>30049099</v>
      </c>
      <c r="AX126" s="3">
        <v>99</v>
      </c>
      <c r="AY126" s="3">
        <v>4318</v>
      </c>
      <c r="AZ126" s="3">
        <v>4318</v>
      </c>
      <c r="BA126" s="3" t="s">
        <v>103</v>
      </c>
      <c r="BB126" s="3"/>
      <c r="BC126" s="3" t="s">
        <v>105</v>
      </c>
      <c r="BD126" s="3" t="s">
        <v>105</v>
      </c>
      <c r="BE126" s="3"/>
      <c r="BF126" s="3"/>
      <c r="BG126" s="3"/>
      <c r="BH126" s="3"/>
      <c r="BI126" s="3"/>
      <c r="BJ126" s="5"/>
      <c r="BK126" s="3"/>
      <c r="BL126" s="3"/>
      <c r="BM126" s="3"/>
      <c r="BN126" s="3" t="s">
        <v>381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 t="s">
        <v>192</v>
      </c>
      <c r="CI126" s="3">
        <v>0</v>
      </c>
      <c r="CJ126" s="3">
        <v>0</v>
      </c>
      <c r="CK126" s="3">
        <v>0</v>
      </c>
      <c r="CL126" s="3" t="s">
        <v>112</v>
      </c>
      <c r="CM126" s="3" t="s">
        <v>112</v>
      </c>
    </row>
    <row r="127" spans="1:91" x14ac:dyDescent="0.25">
      <c r="A127" s="3" t="s">
        <v>90</v>
      </c>
      <c r="B127" s="3" t="s">
        <v>399</v>
      </c>
      <c r="C127" s="3">
        <v>3942</v>
      </c>
      <c r="D127" s="3">
        <v>6000433</v>
      </c>
      <c r="E127" s="3"/>
      <c r="F127" s="3" t="s">
        <v>92</v>
      </c>
      <c r="G127" s="3" t="s">
        <v>93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10</v>
      </c>
      <c r="O127" s="3">
        <v>493546</v>
      </c>
      <c r="P127" s="3">
        <v>17.793199999999999</v>
      </c>
      <c r="Q127" s="3">
        <v>5547</v>
      </c>
      <c r="R127" s="3">
        <v>430</v>
      </c>
      <c r="S127" s="3" t="s">
        <v>400</v>
      </c>
      <c r="T127" s="3" t="s">
        <v>95</v>
      </c>
      <c r="U127" s="3">
        <v>8920265</v>
      </c>
      <c r="V127" s="3">
        <v>8920265</v>
      </c>
      <c r="W127" s="3">
        <v>0</v>
      </c>
      <c r="X127" s="3">
        <v>0</v>
      </c>
      <c r="Y127" s="3">
        <v>0</v>
      </c>
      <c r="Z127" s="3">
        <v>0</v>
      </c>
      <c r="AA127" s="3" t="s">
        <v>401</v>
      </c>
      <c r="AB127" s="3"/>
      <c r="AC127" s="3">
        <v>4935456</v>
      </c>
      <c r="AD127" s="3">
        <v>171.37</v>
      </c>
      <c r="AE127" s="3">
        <v>354</v>
      </c>
      <c r="AF127" s="3">
        <v>10</v>
      </c>
      <c r="AG127" s="3">
        <v>493546</v>
      </c>
      <c r="AH127" s="3">
        <v>0</v>
      </c>
      <c r="AI127" s="3">
        <v>53</v>
      </c>
      <c r="AJ127" s="3">
        <v>39484</v>
      </c>
      <c r="AK127" s="3">
        <v>0</v>
      </c>
      <c r="AL127" s="3">
        <v>0</v>
      </c>
      <c r="AM127" s="3">
        <v>330</v>
      </c>
      <c r="AN127" s="3">
        <v>533413</v>
      </c>
      <c r="AO127" s="3" t="s">
        <v>97</v>
      </c>
      <c r="AP127" s="3" t="s">
        <v>98</v>
      </c>
      <c r="AQ127" s="3">
        <v>210367645</v>
      </c>
      <c r="AR127" s="3" t="s">
        <v>99</v>
      </c>
      <c r="AS127" s="3" t="s">
        <v>100</v>
      </c>
      <c r="AT127" s="3" t="s">
        <v>402</v>
      </c>
      <c r="AU127" s="3"/>
      <c r="AV127" s="3" t="s">
        <v>102</v>
      </c>
      <c r="AW127" s="3">
        <v>30049099</v>
      </c>
      <c r="AX127" s="3">
        <v>99</v>
      </c>
      <c r="AY127" s="3">
        <v>28800</v>
      </c>
      <c r="AZ127" s="3">
        <v>28800</v>
      </c>
      <c r="BA127" s="3" t="s">
        <v>103</v>
      </c>
      <c r="BB127" s="3"/>
      <c r="BC127" s="3" t="s">
        <v>133</v>
      </c>
      <c r="BD127" s="3" t="s">
        <v>105</v>
      </c>
      <c r="BE127" s="4">
        <v>46120</v>
      </c>
      <c r="BF127" s="4">
        <v>46126</v>
      </c>
      <c r="BG127" s="4">
        <v>46127</v>
      </c>
      <c r="BH127" s="3" t="s">
        <v>228</v>
      </c>
      <c r="BI127" s="3" t="s">
        <v>117</v>
      </c>
      <c r="BJ127" s="5">
        <v>4.3064022026114304E+16</v>
      </c>
      <c r="BK127" s="3" t="s">
        <v>108</v>
      </c>
      <c r="BL127" s="3"/>
      <c r="BM127" s="3" t="s">
        <v>109</v>
      </c>
      <c r="BN127" s="3" t="s">
        <v>403</v>
      </c>
      <c r="BO127" s="3">
        <v>45997</v>
      </c>
      <c r="BP127" s="3">
        <v>0</v>
      </c>
      <c r="BQ127" s="3">
        <v>0</v>
      </c>
      <c r="BR127" s="3">
        <v>0</v>
      </c>
      <c r="BS127" s="3">
        <v>1800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22189.59</v>
      </c>
      <c r="CB127" s="3">
        <v>0</v>
      </c>
      <c r="CC127" s="3">
        <v>0</v>
      </c>
      <c r="CD127" s="3">
        <v>10077.620000000001</v>
      </c>
      <c r="CE127" s="3">
        <v>13448.84</v>
      </c>
      <c r="CF127" s="3">
        <v>2902.21</v>
      </c>
      <c r="CG127" s="3">
        <v>173677.59</v>
      </c>
      <c r="CH127" s="3" t="s">
        <v>192</v>
      </c>
      <c r="CI127" s="3">
        <v>173677.59</v>
      </c>
      <c r="CJ127" s="3">
        <v>0</v>
      </c>
      <c r="CK127" s="3">
        <v>0</v>
      </c>
      <c r="CL127" s="3" t="s">
        <v>112</v>
      </c>
      <c r="CM127" s="3" t="s">
        <v>112</v>
      </c>
    </row>
    <row r="128" spans="1:91" x14ac:dyDescent="0.25">
      <c r="A128" s="3" t="s">
        <v>90</v>
      </c>
      <c r="B128" s="3" t="s">
        <v>347</v>
      </c>
      <c r="C128" s="3">
        <v>3942</v>
      </c>
      <c r="D128" s="3">
        <v>6000428</v>
      </c>
      <c r="E128" s="3"/>
      <c r="F128" s="3" t="s">
        <v>92</v>
      </c>
      <c r="G128" s="3" t="s">
        <v>93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430</v>
      </c>
      <c r="S128" s="3" t="s">
        <v>348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 t="s">
        <v>355</v>
      </c>
      <c r="AB128" s="3"/>
      <c r="AC128" s="3">
        <v>168149</v>
      </c>
      <c r="AD128" s="3">
        <v>233.54028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/>
      <c r="AP128" s="3" t="s">
        <v>98</v>
      </c>
      <c r="AQ128" s="3">
        <v>210366010</v>
      </c>
      <c r="AR128" s="3" t="s">
        <v>99</v>
      </c>
      <c r="AS128" s="3" t="s">
        <v>100</v>
      </c>
      <c r="AT128" s="3">
        <v>0</v>
      </c>
      <c r="AU128" s="3">
        <v>0</v>
      </c>
      <c r="AV128" s="3">
        <v>0</v>
      </c>
      <c r="AW128" s="3">
        <v>30042099</v>
      </c>
      <c r="AX128" s="3">
        <v>0</v>
      </c>
      <c r="AY128" s="3">
        <v>720</v>
      </c>
      <c r="AZ128" s="3">
        <v>720</v>
      </c>
      <c r="BA128" s="3" t="s">
        <v>103</v>
      </c>
      <c r="BB128" s="3"/>
      <c r="BC128" s="3" t="s">
        <v>352</v>
      </c>
      <c r="BD128" s="3" t="s">
        <v>105</v>
      </c>
      <c r="BE128" s="3"/>
      <c r="BF128" s="3"/>
      <c r="BG128" s="3"/>
      <c r="BH128" s="3"/>
      <c r="BI128" s="3"/>
      <c r="BJ128" s="5"/>
      <c r="BK128" s="3"/>
      <c r="BL128" s="3"/>
      <c r="BM128" s="3"/>
      <c r="BN128" s="3" t="s">
        <v>354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 t="s">
        <v>192</v>
      </c>
      <c r="CI128" s="3">
        <v>0</v>
      </c>
      <c r="CJ128" s="3">
        <v>0</v>
      </c>
      <c r="CK128" s="3">
        <v>0</v>
      </c>
      <c r="CL128" s="3" t="s">
        <v>112</v>
      </c>
      <c r="CM128" s="3" t="s">
        <v>112</v>
      </c>
    </row>
    <row r="129" spans="1:91" x14ac:dyDescent="0.25">
      <c r="A129" s="3" t="s">
        <v>90</v>
      </c>
      <c r="B129" s="3" t="s">
        <v>357</v>
      </c>
      <c r="C129" s="3">
        <v>3942</v>
      </c>
      <c r="D129" s="3">
        <v>6000431</v>
      </c>
      <c r="E129" s="3"/>
      <c r="F129" s="3" t="s">
        <v>92</v>
      </c>
      <c r="G129" s="3" t="s">
        <v>93</v>
      </c>
      <c r="H129" s="3">
        <v>0</v>
      </c>
      <c r="I129" s="3">
        <v>0</v>
      </c>
      <c r="J129" s="3">
        <v>0</v>
      </c>
      <c r="K129" s="3">
        <v>0</v>
      </c>
      <c r="L129" s="3" t="s">
        <v>223</v>
      </c>
      <c r="M129" s="3" t="s">
        <v>223</v>
      </c>
      <c r="N129" s="3">
        <v>0</v>
      </c>
      <c r="O129" s="3">
        <v>0</v>
      </c>
      <c r="P129" s="3">
        <v>17.669</v>
      </c>
      <c r="Q129" s="3">
        <v>6471.6</v>
      </c>
      <c r="R129" s="3">
        <v>430</v>
      </c>
      <c r="S129" s="3" t="s">
        <v>358</v>
      </c>
      <c r="T129" s="3" t="s">
        <v>185</v>
      </c>
      <c r="U129" s="3">
        <v>2189088</v>
      </c>
      <c r="V129" s="3">
        <v>2189088</v>
      </c>
      <c r="W129" s="3">
        <v>0</v>
      </c>
      <c r="X129" s="3">
        <v>0</v>
      </c>
      <c r="Y129" s="3">
        <v>0</v>
      </c>
      <c r="Z129" s="3">
        <v>0</v>
      </c>
      <c r="AA129" s="3" t="s">
        <v>359</v>
      </c>
      <c r="AB129" s="3"/>
      <c r="AC129" s="3">
        <v>872300</v>
      </c>
      <c r="AD129" s="3">
        <v>1128.46054</v>
      </c>
      <c r="AE129" s="3">
        <v>354</v>
      </c>
      <c r="AF129" s="3" t="s">
        <v>360</v>
      </c>
      <c r="AG129" s="3">
        <v>26796</v>
      </c>
      <c r="AH129" s="3">
        <v>0</v>
      </c>
      <c r="AI129" s="3">
        <v>53</v>
      </c>
      <c r="AJ129" s="3">
        <v>17513</v>
      </c>
      <c r="AK129" s="3">
        <v>0</v>
      </c>
      <c r="AL129" s="3">
        <v>179305</v>
      </c>
      <c r="AM129" s="3">
        <v>330</v>
      </c>
      <c r="AN129" s="3">
        <v>340187</v>
      </c>
      <c r="AO129" s="3" t="s">
        <v>97</v>
      </c>
      <c r="AP129" s="3" t="s">
        <v>98</v>
      </c>
      <c r="AQ129" s="3">
        <v>210367234</v>
      </c>
      <c r="AR129" s="3" t="s">
        <v>99</v>
      </c>
      <c r="AS129" s="3" t="s">
        <v>100</v>
      </c>
      <c r="AT129" s="3">
        <v>266207695</v>
      </c>
      <c r="AU129" s="3"/>
      <c r="AV129" s="3" t="s">
        <v>188</v>
      </c>
      <c r="AW129" s="3">
        <v>38089199</v>
      </c>
      <c r="AX129" s="3">
        <v>99</v>
      </c>
      <c r="AY129" s="3">
        <v>773</v>
      </c>
      <c r="AZ129" s="3">
        <v>773</v>
      </c>
      <c r="BA129" s="3" t="s">
        <v>103</v>
      </c>
      <c r="BB129" s="3"/>
      <c r="BC129" s="3" t="s">
        <v>189</v>
      </c>
      <c r="BD129" s="3" t="s">
        <v>105</v>
      </c>
      <c r="BE129" s="4">
        <v>46101</v>
      </c>
      <c r="BF129" s="4">
        <v>46108</v>
      </c>
      <c r="BG129" s="4">
        <v>46109</v>
      </c>
      <c r="BH129" s="3" t="s">
        <v>106</v>
      </c>
      <c r="BI129" s="3" t="s">
        <v>107</v>
      </c>
      <c r="BJ129" s="5" t="s">
        <v>361</v>
      </c>
      <c r="BK129" s="3" t="s">
        <v>230</v>
      </c>
      <c r="BL129" s="3"/>
      <c r="BM129" s="3" t="s">
        <v>190</v>
      </c>
      <c r="BN129" s="3" t="s">
        <v>362</v>
      </c>
      <c r="BO129" s="3">
        <v>44556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22189.59</v>
      </c>
      <c r="CB129" s="3">
        <v>0</v>
      </c>
      <c r="CC129" s="3">
        <v>0</v>
      </c>
      <c r="CD129" s="3">
        <v>0</v>
      </c>
      <c r="CE129" s="3">
        <v>5600</v>
      </c>
      <c r="CF129" s="3">
        <v>1659.2</v>
      </c>
      <c r="CG129" s="3">
        <v>142588.21</v>
      </c>
      <c r="CH129" s="3" t="s">
        <v>192</v>
      </c>
      <c r="CI129" s="3">
        <v>142588.21</v>
      </c>
      <c r="CJ129" s="3">
        <v>0</v>
      </c>
      <c r="CK129" s="3">
        <v>0</v>
      </c>
      <c r="CL129" s="3" t="s">
        <v>112</v>
      </c>
      <c r="CM129" s="3" t="s">
        <v>112</v>
      </c>
    </row>
    <row r="130" spans="1:91" x14ac:dyDescent="0.25">
      <c r="A130" s="3" t="s">
        <v>90</v>
      </c>
      <c r="B130" s="3" t="s">
        <v>357</v>
      </c>
      <c r="C130" s="3">
        <v>3942</v>
      </c>
      <c r="D130" s="3">
        <v>6000431</v>
      </c>
      <c r="E130" s="3"/>
      <c r="F130" s="3" t="s">
        <v>92</v>
      </c>
      <c r="G130" s="3" t="s">
        <v>93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10</v>
      </c>
      <c r="O130" s="3">
        <v>17730</v>
      </c>
      <c r="P130" s="3">
        <v>0</v>
      </c>
      <c r="Q130" s="3">
        <v>0</v>
      </c>
      <c r="R130" s="3">
        <v>430</v>
      </c>
      <c r="S130" s="3" t="s">
        <v>358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 t="s">
        <v>363</v>
      </c>
      <c r="AB130" s="3"/>
      <c r="AC130" s="3">
        <v>177301</v>
      </c>
      <c r="AD130" s="3">
        <v>410.41897999999998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/>
      <c r="AP130" s="3" t="s">
        <v>98</v>
      </c>
      <c r="AQ130" s="3">
        <v>210367234</v>
      </c>
      <c r="AR130" s="3" t="s">
        <v>99</v>
      </c>
      <c r="AS130" s="3" t="s">
        <v>100</v>
      </c>
      <c r="AT130" s="3">
        <v>0</v>
      </c>
      <c r="AU130" s="3">
        <v>0</v>
      </c>
      <c r="AV130" s="3">
        <v>0</v>
      </c>
      <c r="AW130" s="3">
        <v>30049099</v>
      </c>
      <c r="AX130" s="3">
        <v>99</v>
      </c>
      <c r="AY130" s="3">
        <v>432</v>
      </c>
      <c r="AZ130" s="3">
        <v>432</v>
      </c>
      <c r="BA130" s="3" t="s">
        <v>103</v>
      </c>
      <c r="BB130" s="3"/>
      <c r="BC130" s="3" t="s">
        <v>189</v>
      </c>
      <c r="BD130" s="3" t="s">
        <v>105</v>
      </c>
      <c r="BE130" s="3"/>
      <c r="BF130" s="3"/>
      <c r="BG130" s="3"/>
      <c r="BH130" s="3"/>
      <c r="BI130" s="3"/>
      <c r="BJ130" s="5"/>
      <c r="BK130" s="3"/>
      <c r="BL130" s="3"/>
      <c r="BM130" s="3"/>
      <c r="BN130" s="3" t="s">
        <v>362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 t="s">
        <v>192</v>
      </c>
      <c r="CI130" s="3">
        <v>0</v>
      </c>
      <c r="CJ130" s="3">
        <v>0</v>
      </c>
      <c r="CK130" s="3">
        <v>0</v>
      </c>
      <c r="CL130" s="3" t="s">
        <v>112</v>
      </c>
      <c r="CM130" s="3" t="s">
        <v>112</v>
      </c>
    </row>
    <row r="131" spans="1:91" x14ac:dyDescent="0.25">
      <c r="A131" s="3" t="s">
        <v>90</v>
      </c>
      <c r="B131" s="3" t="s">
        <v>357</v>
      </c>
      <c r="C131" s="3">
        <v>3942</v>
      </c>
      <c r="D131" s="3">
        <v>6000431</v>
      </c>
      <c r="E131" s="3"/>
      <c r="F131" s="3" t="s">
        <v>92</v>
      </c>
      <c r="G131" s="3" t="s">
        <v>93</v>
      </c>
      <c r="H131" s="3">
        <v>16</v>
      </c>
      <c r="I131" s="3">
        <v>179305</v>
      </c>
      <c r="J131" s="3">
        <v>0</v>
      </c>
      <c r="K131" s="3">
        <v>0</v>
      </c>
      <c r="L131" s="3" t="s">
        <v>223</v>
      </c>
      <c r="M131" s="3" t="s">
        <v>223</v>
      </c>
      <c r="N131" s="3">
        <v>0</v>
      </c>
      <c r="O131" s="3">
        <v>0</v>
      </c>
      <c r="P131" s="3">
        <v>0</v>
      </c>
      <c r="Q131" s="3">
        <v>0</v>
      </c>
      <c r="R131" s="3">
        <v>430</v>
      </c>
      <c r="S131" s="3" t="s">
        <v>358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 t="s">
        <v>364</v>
      </c>
      <c r="AB131" s="3"/>
      <c r="AC131" s="3">
        <v>1048831</v>
      </c>
      <c r="AD131" s="3">
        <v>592.55989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/>
      <c r="AP131" s="3" t="s">
        <v>98</v>
      </c>
      <c r="AQ131" s="3">
        <v>210367234</v>
      </c>
      <c r="AR131" s="3" t="s">
        <v>99</v>
      </c>
      <c r="AS131" s="3" t="s">
        <v>100</v>
      </c>
      <c r="AT131" s="3">
        <v>0</v>
      </c>
      <c r="AU131" s="3">
        <v>0</v>
      </c>
      <c r="AV131" s="3">
        <v>0</v>
      </c>
      <c r="AW131" s="3">
        <v>38086201</v>
      </c>
      <c r="AX131" s="3">
        <v>0</v>
      </c>
      <c r="AY131" s="3">
        <v>1770</v>
      </c>
      <c r="AZ131" s="3">
        <v>1770</v>
      </c>
      <c r="BA131" s="3" t="s">
        <v>103</v>
      </c>
      <c r="BB131" s="3"/>
      <c r="BC131" s="3" t="s">
        <v>189</v>
      </c>
      <c r="BD131" s="3" t="s">
        <v>105</v>
      </c>
      <c r="BE131" s="3"/>
      <c r="BF131" s="3"/>
      <c r="BG131" s="3"/>
      <c r="BH131" s="3"/>
      <c r="BI131" s="3"/>
      <c r="BJ131" s="5"/>
      <c r="BK131" s="3"/>
      <c r="BL131" s="3"/>
      <c r="BM131" s="3"/>
      <c r="BN131" s="3" t="s">
        <v>362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 t="s">
        <v>192</v>
      </c>
      <c r="CI131" s="3">
        <v>0</v>
      </c>
      <c r="CJ131" s="3">
        <v>0</v>
      </c>
      <c r="CK131" s="3">
        <v>0</v>
      </c>
      <c r="CL131" s="3" t="s">
        <v>112</v>
      </c>
      <c r="CM131" s="3" t="s">
        <v>112</v>
      </c>
    </row>
    <row r="132" spans="1:91" x14ac:dyDescent="0.25">
      <c r="A132" s="3" t="s">
        <v>90</v>
      </c>
      <c r="B132" s="3" t="s">
        <v>357</v>
      </c>
      <c r="C132" s="3">
        <v>3942</v>
      </c>
      <c r="D132" s="3">
        <v>6000431</v>
      </c>
      <c r="E132" s="3"/>
      <c r="F132" s="3" t="s">
        <v>92</v>
      </c>
      <c r="G132" s="3" t="s">
        <v>93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10</v>
      </c>
      <c r="O132" s="3">
        <v>9066</v>
      </c>
      <c r="P132" s="3">
        <v>0</v>
      </c>
      <c r="Q132" s="3">
        <v>0</v>
      </c>
      <c r="R132" s="3">
        <v>430</v>
      </c>
      <c r="S132" s="3" t="s">
        <v>358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 t="s">
        <v>365</v>
      </c>
      <c r="AB132" s="3"/>
      <c r="AC132" s="3">
        <v>90656</v>
      </c>
      <c r="AD132" s="3">
        <v>1373.5757599999999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/>
      <c r="AP132" s="3" t="s">
        <v>98</v>
      </c>
      <c r="AQ132" s="3">
        <v>210367234</v>
      </c>
      <c r="AR132" s="3" t="s">
        <v>99</v>
      </c>
      <c r="AS132" s="3" t="s">
        <v>100</v>
      </c>
      <c r="AT132" s="3">
        <v>0</v>
      </c>
      <c r="AU132" s="3">
        <v>0</v>
      </c>
      <c r="AV132" s="3">
        <v>0</v>
      </c>
      <c r="AW132" s="3">
        <v>30049099</v>
      </c>
      <c r="AX132" s="3">
        <v>99</v>
      </c>
      <c r="AY132" s="3">
        <v>66</v>
      </c>
      <c r="AZ132" s="3">
        <v>66</v>
      </c>
      <c r="BA132" s="3" t="s">
        <v>103</v>
      </c>
      <c r="BB132" s="3"/>
      <c r="BC132" s="3" t="s">
        <v>189</v>
      </c>
      <c r="BD132" s="3" t="s">
        <v>105</v>
      </c>
      <c r="BE132" s="3"/>
      <c r="BF132" s="3"/>
      <c r="BG132" s="3"/>
      <c r="BH132" s="3"/>
      <c r="BI132" s="3"/>
      <c r="BJ132" s="5"/>
      <c r="BK132" s="3"/>
      <c r="BL132" s="3"/>
      <c r="BM132" s="3"/>
      <c r="BN132" s="3" t="s">
        <v>362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 t="s">
        <v>192</v>
      </c>
      <c r="CI132" s="3">
        <v>0</v>
      </c>
      <c r="CJ132" s="3">
        <v>0</v>
      </c>
      <c r="CK132" s="3">
        <v>0</v>
      </c>
      <c r="CL132" s="3" t="s">
        <v>112</v>
      </c>
      <c r="CM132" s="3" t="s">
        <v>112</v>
      </c>
    </row>
    <row r="133" spans="1:91" x14ac:dyDescent="0.25">
      <c r="A133" s="3" t="s">
        <v>90</v>
      </c>
      <c r="B133" s="3" t="s">
        <v>246</v>
      </c>
      <c r="C133" s="3">
        <v>3942</v>
      </c>
      <c r="D133" s="3">
        <v>6000300</v>
      </c>
      <c r="E133" s="3"/>
      <c r="F133" s="3" t="s">
        <v>92</v>
      </c>
      <c r="G133" s="3" t="s">
        <v>93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17.215499999999999</v>
      </c>
      <c r="Q133" s="3">
        <v>306</v>
      </c>
      <c r="R133" s="3">
        <v>430</v>
      </c>
      <c r="S133" s="3"/>
      <c r="T133" s="3" t="s">
        <v>247</v>
      </c>
      <c r="U133" s="3">
        <v>5668365</v>
      </c>
      <c r="V133" s="3">
        <v>5668365</v>
      </c>
      <c r="W133" s="3">
        <v>0</v>
      </c>
      <c r="X133" s="3">
        <v>0</v>
      </c>
      <c r="Y133" s="3">
        <v>0</v>
      </c>
      <c r="Z133" s="3">
        <v>0</v>
      </c>
      <c r="AA133" s="3" t="s">
        <v>167</v>
      </c>
      <c r="AB133" s="3"/>
      <c r="AC133" s="3">
        <v>5668365</v>
      </c>
      <c r="AD133" s="3">
        <v>1265.2600399999999</v>
      </c>
      <c r="AE133" s="3">
        <v>808</v>
      </c>
      <c r="AF133" s="3">
        <v>0</v>
      </c>
      <c r="AG133" s="3">
        <v>0</v>
      </c>
      <c r="AH133" s="3">
        <v>0</v>
      </c>
      <c r="AI133" s="3">
        <v>53</v>
      </c>
      <c r="AJ133" s="3">
        <v>462</v>
      </c>
      <c r="AK133" s="3">
        <v>0</v>
      </c>
      <c r="AL133" s="3">
        <v>0</v>
      </c>
      <c r="AM133" s="3">
        <v>330</v>
      </c>
      <c r="AN133" s="3">
        <v>845</v>
      </c>
      <c r="AO133" s="3" t="s">
        <v>97</v>
      </c>
      <c r="AP133" s="3" t="s">
        <v>98</v>
      </c>
      <c r="AQ133" s="3">
        <v>210363198</v>
      </c>
      <c r="AR133" s="3" t="s">
        <v>99</v>
      </c>
      <c r="AS133" s="3" t="s">
        <v>100</v>
      </c>
      <c r="AT133" s="3" t="s">
        <v>212</v>
      </c>
      <c r="AU133" s="3"/>
      <c r="AV133" s="3" t="s">
        <v>146</v>
      </c>
      <c r="AW133" s="3">
        <v>30024201</v>
      </c>
      <c r="AX133" s="3">
        <v>99</v>
      </c>
      <c r="AY133" s="3">
        <v>4480</v>
      </c>
      <c r="AZ133" s="3">
        <v>4480</v>
      </c>
      <c r="BA133" s="3" t="s">
        <v>103</v>
      </c>
      <c r="BB133" s="3"/>
      <c r="BC133" s="3" t="s">
        <v>105</v>
      </c>
      <c r="BD133" s="3" t="s">
        <v>105</v>
      </c>
      <c r="BE133" s="4">
        <v>46066</v>
      </c>
      <c r="BF133" s="4">
        <v>46127</v>
      </c>
      <c r="BG133" s="4">
        <v>46128</v>
      </c>
      <c r="BH133" s="3" t="s">
        <v>106</v>
      </c>
      <c r="BI133" s="3" t="s">
        <v>107</v>
      </c>
      <c r="BJ133" s="5">
        <v>4.3064022026116E+16</v>
      </c>
      <c r="BK133" s="3" t="s">
        <v>108</v>
      </c>
      <c r="BL133" s="3"/>
      <c r="BM133" s="3" t="s">
        <v>109</v>
      </c>
      <c r="BN133" s="3" t="s">
        <v>215</v>
      </c>
      <c r="BO133" s="3">
        <v>45429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22189.59</v>
      </c>
      <c r="CB133" s="3">
        <v>0</v>
      </c>
      <c r="CC133" s="3">
        <v>0</v>
      </c>
      <c r="CD133" s="3">
        <v>0</v>
      </c>
      <c r="CE133" s="3">
        <v>8085.99</v>
      </c>
      <c r="CF133" s="3">
        <v>1717.76</v>
      </c>
      <c r="CG133" s="3">
        <v>118950.16</v>
      </c>
      <c r="CH133" s="3" t="s">
        <v>192</v>
      </c>
      <c r="CI133" s="3">
        <v>118950.16</v>
      </c>
      <c r="CJ133" s="3">
        <v>0</v>
      </c>
      <c r="CK133" s="3">
        <v>0</v>
      </c>
      <c r="CL133" s="3" t="s">
        <v>112</v>
      </c>
      <c r="CM133" s="3" t="s">
        <v>112</v>
      </c>
    </row>
    <row r="134" spans="1:91" x14ac:dyDescent="0.25">
      <c r="A134" s="3" t="s">
        <v>90</v>
      </c>
      <c r="B134" s="3" t="s">
        <v>399</v>
      </c>
      <c r="C134" s="3">
        <v>3942</v>
      </c>
      <c r="D134" s="3">
        <v>6000433</v>
      </c>
      <c r="E134" s="3"/>
      <c r="F134" s="3" t="s">
        <v>92</v>
      </c>
      <c r="G134" s="3" t="s">
        <v>93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430</v>
      </c>
      <c r="S134" s="3" t="s">
        <v>400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 t="s">
        <v>404</v>
      </c>
      <c r="AB134" s="3"/>
      <c r="AC134" s="3">
        <v>983496</v>
      </c>
      <c r="AD134" s="3">
        <v>819.58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/>
      <c r="AP134" s="3" t="s">
        <v>98</v>
      </c>
      <c r="AQ134" s="3">
        <v>210367794</v>
      </c>
      <c r="AR134" s="3" t="s">
        <v>99</v>
      </c>
      <c r="AS134" s="3" t="s">
        <v>100</v>
      </c>
      <c r="AT134" s="3">
        <v>0</v>
      </c>
      <c r="AU134" s="3">
        <v>0</v>
      </c>
      <c r="AV134" s="3">
        <v>0</v>
      </c>
      <c r="AW134" s="3">
        <v>30045099</v>
      </c>
      <c r="AX134" s="3">
        <v>99</v>
      </c>
      <c r="AY134" s="3">
        <v>1200</v>
      </c>
      <c r="AZ134" s="3">
        <v>1200</v>
      </c>
      <c r="BA134" s="3" t="s">
        <v>103</v>
      </c>
      <c r="BB134" s="3"/>
      <c r="BC134" s="3" t="s">
        <v>126</v>
      </c>
      <c r="BD134" s="3" t="s">
        <v>105</v>
      </c>
      <c r="BE134" s="3"/>
      <c r="BF134" s="3"/>
      <c r="BG134" s="3"/>
      <c r="BH134" s="3"/>
      <c r="BI134" s="3"/>
      <c r="BJ134" s="5"/>
      <c r="BK134" s="3"/>
      <c r="BL134" s="3"/>
      <c r="BM134" s="3"/>
      <c r="BN134" s="3" t="s">
        <v>405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 t="s">
        <v>192</v>
      </c>
      <c r="CI134" s="3">
        <v>0</v>
      </c>
      <c r="CJ134" s="3">
        <v>0</v>
      </c>
      <c r="CK134" s="3">
        <v>0</v>
      </c>
      <c r="CL134" s="3" t="s">
        <v>112</v>
      </c>
      <c r="CM134" s="3" t="s">
        <v>112</v>
      </c>
    </row>
    <row r="135" spans="1:91" x14ac:dyDescent="0.25">
      <c r="A135" s="3" t="s">
        <v>90</v>
      </c>
      <c r="B135" s="3" t="s">
        <v>399</v>
      </c>
      <c r="C135" s="3">
        <v>3942</v>
      </c>
      <c r="D135" s="3">
        <v>6000433</v>
      </c>
      <c r="E135" s="3"/>
      <c r="F135" s="3" t="s">
        <v>92</v>
      </c>
      <c r="G135" s="3" t="s">
        <v>93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430</v>
      </c>
      <c r="S135" s="3" t="s">
        <v>400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 t="s">
        <v>123</v>
      </c>
      <c r="AB135" s="3"/>
      <c r="AC135" s="3">
        <v>1527922</v>
      </c>
      <c r="AD135" s="3">
        <v>706.39020000000005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/>
      <c r="AP135" s="3" t="s">
        <v>98</v>
      </c>
      <c r="AQ135" s="3">
        <v>210368335</v>
      </c>
      <c r="AR135" s="3" t="s">
        <v>99</v>
      </c>
      <c r="AS135" s="3" t="s">
        <v>100</v>
      </c>
      <c r="AT135" s="3">
        <v>0</v>
      </c>
      <c r="AU135" s="3">
        <v>0</v>
      </c>
      <c r="AV135" s="3">
        <v>0</v>
      </c>
      <c r="AW135" s="3">
        <v>30049099</v>
      </c>
      <c r="AX135" s="3">
        <v>99</v>
      </c>
      <c r="AY135" s="3">
        <v>2163</v>
      </c>
      <c r="AZ135" s="3">
        <v>2163</v>
      </c>
      <c r="BA135" s="3" t="s">
        <v>121</v>
      </c>
      <c r="BB135" s="3"/>
      <c r="BC135" s="3" t="s">
        <v>105</v>
      </c>
      <c r="BD135" s="3" t="s">
        <v>105</v>
      </c>
      <c r="BE135" s="3"/>
      <c r="BF135" s="3"/>
      <c r="BG135" s="3"/>
      <c r="BH135" s="3"/>
      <c r="BI135" s="3"/>
      <c r="BJ135" s="5"/>
      <c r="BK135" s="3"/>
      <c r="BL135" s="3"/>
      <c r="BM135" s="3"/>
      <c r="BN135" s="3" t="s">
        <v>406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 t="s">
        <v>192</v>
      </c>
      <c r="CI135" s="3">
        <v>0</v>
      </c>
      <c r="CJ135" s="3">
        <v>0</v>
      </c>
      <c r="CK135" s="3">
        <v>0</v>
      </c>
      <c r="CL135" s="3" t="s">
        <v>112</v>
      </c>
      <c r="CM135" s="3" t="s">
        <v>112</v>
      </c>
    </row>
    <row r="136" spans="1:91" x14ac:dyDescent="0.25">
      <c r="A136" s="3" t="s">
        <v>90</v>
      </c>
      <c r="B136" s="3" t="s">
        <v>399</v>
      </c>
      <c r="C136" s="3">
        <v>3942</v>
      </c>
      <c r="D136" s="3">
        <v>6000433</v>
      </c>
      <c r="E136" s="3"/>
      <c r="F136" s="3" t="s">
        <v>92</v>
      </c>
      <c r="G136" s="3" t="s">
        <v>93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430</v>
      </c>
      <c r="S136" s="3" t="s">
        <v>400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 t="s">
        <v>123</v>
      </c>
      <c r="AB136" s="3"/>
      <c r="AC136" s="3">
        <v>1473391</v>
      </c>
      <c r="AD136" s="3">
        <v>728.31982000000005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/>
      <c r="AP136" s="3" t="s">
        <v>98</v>
      </c>
      <c r="AQ136" s="3">
        <v>210368336</v>
      </c>
      <c r="AR136" s="3" t="s">
        <v>99</v>
      </c>
      <c r="AS136" s="3" t="s">
        <v>100</v>
      </c>
      <c r="AT136" s="3">
        <v>0</v>
      </c>
      <c r="AU136" s="3">
        <v>0</v>
      </c>
      <c r="AV136" s="3">
        <v>0</v>
      </c>
      <c r="AW136" s="3">
        <v>30049099</v>
      </c>
      <c r="AX136" s="3">
        <v>99</v>
      </c>
      <c r="AY136" s="3">
        <v>2023</v>
      </c>
      <c r="AZ136" s="3">
        <v>2023</v>
      </c>
      <c r="BA136" s="3" t="s">
        <v>121</v>
      </c>
      <c r="BB136" s="3"/>
      <c r="BC136" s="3" t="s">
        <v>105</v>
      </c>
      <c r="BD136" s="3" t="s">
        <v>105</v>
      </c>
      <c r="BE136" s="3"/>
      <c r="BF136" s="3"/>
      <c r="BG136" s="3"/>
      <c r="BH136" s="3"/>
      <c r="BI136" s="3"/>
      <c r="BJ136" s="5"/>
      <c r="BK136" s="3"/>
      <c r="BL136" s="3"/>
      <c r="BM136" s="3"/>
      <c r="BN136" s="3" t="s">
        <v>407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 t="s">
        <v>192</v>
      </c>
      <c r="CI136" s="3">
        <v>0</v>
      </c>
      <c r="CJ136" s="3">
        <v>0</v>
      </c>
      <c r="CK136" s="3">
        <v>0</v>
      </c>
      <c r="CL136" s="3" t="s">
        <v>112</v>
      </c>
      <c r="CM136" s="3" t="s">
        <v>112</v>
      </c>
    </row>
    <row r="137" spans="1:91" x14ac:dyDescent="0.25">
      <c r="A137" s="3" t="s">
        <v>90</v>
      </c>
      <c r="B137" s="3" t="s">
        <v>422</v>
      </c>
      <c r="C137" s="3">
        <v>3942</v>
      </c>
      <c r="D137" s="3">
        <v>6000580</v>
      </c>
      <c r="E137" s="3"/>
      <c r="F137" s="3" t="s">
        <v>92</v>
      </c>
      <c r="G137" s="3" t="s">
        <v>93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17.347000000000001</v>
      </c>
      <c r="Q137" s="3">
        <v>9828</v>
      </c>
      <c r="R137" s="3">
        <v>430</v>
      </c>
      <c r="S137" s="3" t="s">
        <v>423</v>
      </c>
      <c r="T137" s="3" t="s">
        <v>130</v>
      </c>
      <c r="U137" s="3">
        <v>12690063</v>
      </c>
      <c r="V137" s="3">
        <v>12690063</v>
      </c>
      <c r="W137" s="3">
        <v>0</v>
      </c>
      <c r="X137" s="3">
        <v>0</v>
      </c>
      <c r="Y137" s="3">
        <v>0</v>
      </c>
      <c r="Z137" s="3">
        <v>0</v>
      </c>
      <c r="AA137" s="3" t="s">
        <v>96</v>
      </c>
      <c r="AB137" s="3"/>
      <c r="AC137" s="3">
        <v>12690063</v>
      </c>
      <c r="AD137" s="3">
        <v>14100.07</v>
      </c>
      <c r="AE137" s="3">
        <v>354</v>
      </c>
      <c r="AF137" s="3">
        <v>0</v>
      </c>
      <c r="AG137" s="3">
        <v>0</v>
      </c>
      <c r="AH137" s="3">
        <v>0</v>
      </c>
      <c r="AI137" s="3">
        <v>53</v>
      </c>
      <c r="AJ137" s="3">
        <v>101520</v>
      </c>
      <c r="AK137" s="3">
        <v>0</v>
      </c>
      <c r="AL137" s="3">
        <v>0</v>
      </c>
      <c r="AM137" s="3">
        <v>330</v>
      </c>
      <c r="AN137" s="3">
        <v>101903</v>
      </c>
      <c r="AO137" s="3" t="s">
        <v>97</v>
      </c>
      <c r="AP137" s="3" t="s">
        <v>98</v>
      </c>
      <c r="AQ137" s="3">
        <v>210369653</v>
      </c>
      <c r="AR137" s="3" t="s">
        <v>99</v>
      </c>
      <c r="AS137" s="3" t="s">
        <v>100</v>
      </c>
      <c r="AT137" s="3" t="s">
        <v>424</v>
      </c>
      <c r="AU137" s="3"/>
      <c r="AV137" s="3" t="s">
        <v>102</v>
      </c>
      <c r="AW137" s="3">
        <v>23099099</v>
      </c>
      <c r="AX137" s="3">
        <v>99</v>
      </c>
      <c r="AY137" s="3">
        <v>900</v>
      </c>
      <c r="AZ137" s="3">
        <v>900</v>
      </c>
      <c r="BA137" s="3" t="s">
        <v>103</v>
      </c>
      <c r="BB137" s="3"/>
      <c r="BC137" s="3" t="s">
        <v>104</v>
      </c>
      <c r="BD137" s="3" t="s">
        <v>105</v>
      </c>
      <c r="BE137" s="4">
        <v>46127</v>
      </c>
      <c r="BF137" s="4">
        <v>46136</v>
      </c>
      <c r="BG137" s="4">
        <v>46139</v>
      </c>
      <c r="BH137" s="3" t="s">
        <v>106</v>
      </c>
      <c r="BI137" s="3" t="s">
        <v>107</v>
      </c>
      <c r="BJ137" s="5">
        <v>4.3064022026132E+16</v>
      </c>
      <c r="BK137" s="3" t="s">
        <v>108</v>
      </c>
      <c r="BL137" s="3"/>
      <c r="BM137" s="3" t="s">
        <v>109</v>
      </c>
      <c r="BN137" s="3" t="s">
        <v>425</v>
      </c>
      <c r="BO137" s="3">
        <v>45826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22189.59</v>
      </c>
      <c r="CB137" s="3">
        <v>0</v>
      </c>
      <c r="CC137" s="3">
        <v>0</v>
      </c>
      <c r="CD137" s="3">
        <v>52267.86</v>
      </c>
      <c r="CE137" s="3">
        <v>18000</v>
      </c>
      <c r="CF137" s="3">
        <v>3323.2</v>
      </c>
      <c r="CG137" s="3">
        <v>245152.44</v>
      </c>
      <c r="CH137" s="3" t="s">
        <v>192</v>
      </c>
      <c r="CI137" s="3">
        <v>245152.44</v>
      </c>
      <c r="CJ137" s="3">
        <v>0</v>
      </c>
      <c r="CK137" s="3">
        <v>0</v>
      </c>
      <c r="CL137" s="3" t="s">
        <v>112</v>
      </c>
      <c r="CM137" s="3" t="s">
        <v>112</v>
      </c>
    </row>
    <row r="138" spans="1:91" x14ac:dyDescent="0.25">
      <c r="A138" s="3" t="s">
        <v>90</v>
      </c>
      <c r="B138" s="3" t="s">
        <v>366</v>
      </c>
      <c r="C138" s="3">
        <v>3942</v>
      </c>
      <c r="D138" s="3">
        <v>6000434</v>
      </c>
      <c r="E138" s="3"/>
      <c r="F138" s="3" t="s">
        <v>92</v>
      </c>
      <c r="G138" s="3" t="s">
        <v>93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430</v>
      </c>
      <c r="S138" s="3" t="s">
        <v>367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 t="s">
        <v>216</v>
      </c>
      <c r="AB138" s="3"/>
      <c r="AC138" s="3">
        <v>5509452</v>
      </c>
      <c r="AD138" s="3">
        <v>484.39001000000002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/>
      <c r="AP138" s="3" t="s">
        <v>98</v>
      </c>
      <c r="AQ138" s="3">
        <v>210368546</v>
      </c>
      <c r="AR138" s="3" t="s">
        <v>99</v>
      </c>
      <c r="AS138" s="3" t="s">
        <v>100</v>
      </c>
      <c r="AT138" s="3">
        <v>0</v>
      </c>
      <c r="AU138" s="3">
        <v>0</v>
      </c>
      <c r="AV138" s="3">
        <v>0</v>
      </c>
      <c r="AW138" s="3">
        <v>30024201</v>
      </c>
      <c r="AX138" s="3">
        <v>99</v>
      </c>
      <c r="AY138" s="3">
        <v>11374</v>
      </c>
      <c r="AZ138" s="3">
        <v>11374</v>
      </c>
      <c r="BA138" s="3" t="s">
        <v>103</v>
      </c>
      <c r="BB138" s="3"/>
      <c r="BC138" s="3" t="s">
        <v>105</v>
      </c>
      <c r="BD138" s="3" t="s">
        <v>105</v>
      </c>
      <c r="BE138" s="3"/>
      <c r="BF138" s="3"/>
      <c r="BG138" s="3"/>
      <c r="BH138" s="3"/>
      <c r="BI138" s="3"/>
      <c r="BJ138" s="5"/>
      <c r="BK138" s="3"/>
      <c r="BL138" s="3"/>
      <c r="BM138" s="3"/>
      <c r="BN138" s="3" t="s">
        <v>370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 t="s">
        <v>192</v>
      </c>
      <c r="CI138" s="3">
        <v>0</v>
      </c>
      <c r="CJ138" s="3">
        <v>0</v>
      </c>
      <c r="CK138" s="3">
        <v>0</v>
      </c>
      <c r="CL138" s="3" t="s">
        <v>112</v>
      </c>
      <c r="CM138" s="3" t="s">
        <v>112</v>
      </c>
    </row>
    <row r="139" spans="1:91" x14ac:dyDescent="0.25">
      <c r="A139" s="3" t="s">
        <v>90</v>
      </c>
      <c r="B139" s="3" t="s">
        <v>366</v>
      </c>
      <c r="C139" s="3">
        <v>3942</v>
      </c>
      <c r="D139" s="3">
        <v>6000434</v>
      </c>
      <c r="E139" s="3"/>
      <c r="F139" s="3" t="s">
        <v>92</v>
      </c>
      <c r="G139" s="3" t="s">
        <v>93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430</v>
      </c>
      <c r="S139" s="3" t="s">
        <v>367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 t="s">
        <v>264</v>
      </c>
      <c r="AB139" s="3"/>
      <c r="AC139" s="3">
        <v>1826437</v>
      </c>
      <c r="AD139" s="3">
        <v>356.10001999999997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/>
      <c r="AP139" s="3" t="s">
        <v>98</v>
      </c>
      <c r="AQ139" s="3">
        <v>210368546</v>
      </c>
      <c r="AR139" s="3" t="s">
        <v>99</v>
      </c>
      <c r="AS139" s="3" t="s">
        <v>100</v>
      </c>
      <c r="AT139" s="3">
        <v>0</v>
      </c>
      <c r="AU139" s="3">
        <v>0</v>
      </c>
      <c r="AV139" s="3">
        <v>0</v>
      </c>
      <c r="AW139" s="3">
        <v>30024201</v>
      </c>
      <c r="AX139" s="3">
        <v>99</v>
      </c>
      <c r="AY139" s="3">
        <v>5129</v>
      </c>
      <c r="AZ139" s="3">
        <v>5129</v>
      </c>
      <c r="BA139" s="3" t="s">
        <v>103</v>
      </c>
      <c r="BB139" s="3"/>
      <c r="BC139" s="3" t="s">
        <v>105</v>
      </c>
      <c r="BD139" s="3" t="s">
        <v>105</v>
      </c>
      <c r="BE139" s="3"/>
      <c r="BF139" s="3"/>
      <c r="BG139" s="3"/>
      <c r="BH139" s="3"/>
      <c r="BI139" s="3"/>
      <c r="BJ139" s="5"/>
      <c r="BK139" s="3"/>
      <c r="BL139" s="3"/>
      <c r="BM139" s="3"/>
      <c r="BN139" s="3" t="s">
        <v>370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 t="s">
        <v>192</v>
      </c>
      <c r="CI139" s="3">
        <v>0</v>
      </c>
      <c r="CJ139" s="3">
        <v>0</v>
      </c>
      <c r="CK139" s="3">
        <v>0</v>
      </c>
      <c r="CL139" s="3" t="s">
        <v>112</v>
      </c>
      <c r="CM139" s="3" t="s">
        <v>112</v>
      </c>
    </row>
    <row r="140" spans="1:91" x14ac:dyDescent="0.25">
      <c r="A140" s="3" t="s">
        <v>90</v>
      </c>
      <c r="B140" s="3" t="s">
        <v>366</v>
      </c>
      <c r="C140" s="3">
        <v>3942</v>
      </c>
      <c r="D140" s="3">
        <v>6000434</v>
      </c>
      <c r="E140" s="3"/>
      <c r="F140" s="3" t="s">
        <v>92</v>
      </c>
      <c r="G140" s="3" t="s">
        <v>93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430</v>
      </c>
      <c r="S140" s="3" t="s">
        <v>367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 t="s">
        <v>156</v>
      </c>
      <c r="AB140" s="3"/>
      <c r="AC140" s="3">
        <v>956005</v>
      </c>
      <c r="AD140" s="3">
        <v>260.34994999999998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/>
      <c r="AP140" s="3" t="s">
        <v>98</v>
      </c>
      <c r="AQ140" s="3">
        <v>210368546</v>
      </c>
      <c r="AR140" s="3" t="s">
        <v>99</v>
      </c>
      <c r="AS140" s="3" t="s">
        <v>100</v>
      </c>
      <c r="AT140" s="3">
        <v>0</v>
      </c>
      <c r="AU140" s="3">
        <v>0</v>
      </c>
      <c r="AV140" s="3">
        <v>0</v>
      </c>
      <c r="AW140" s="3">
        <v>30024201</v>
      </c>
      <c r="AX140" s="3">
        <v>99</v>
      </c>
      <c r="AY140" s="3">
        <v>3672</v>
      </c>
      <c r="AZ140" s="3">
        <v>3672</v>
      </c>
      <c r="BA140" s="3" t="s">
        <v>103</v>
      </c>
      <c r="BB140" s="3"/>
      <c r="BC140" s="3" t="s">
        <v>105</v>
      </c>
      <c r="BD140" s="3" t="s">
        <v>105</v>
      </c>
      <c r="BE140" s="3"/>
      <c r="BF140" s="3"/>
      <c r="BG140" s="3"/>
      <c r="BH140" s="3"/>
      <c r="BI140" s="3"/>
      <c r="BJ140" s="5"/>
      <c r="BK140" s="3"/>
      <c r="BL140" s="3"/>
      <c r="BM140" s="3"/>
      <c r="BN140" s="3" t="s">
        <v>370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 t="s">
        <v>192</v>
      </c>
      <c r="CI140" s="3">
        <v>0</v>
      </c>
      <c r="CJ140" s="3">
        <v>0</v>
      </c>
      <c r="CK140" s="3">
        <v>0</v>
      </c>
      <c r="CL140" s="3" t="s">
        <v>112</v>
      </c>
      <c r="CM140" s="3" t="s">
        <v>112</v>
      </c>
    </row>
    <row r="141" spans="1:91" x14ac:dyDescent="0.25">
      <c r="A141" s="3" t="s">
        <v>90</v>
      </c>
      <c r="B141" s="3" t="s">
        <v>366</v>
      </c>
      <c r="C141" s="3">
        <v>3942</v>
      </c>
      <c r="D141" s="3">
        <v>6000434</v>
      </c>
      <c r="E141" s="3"/>
      <c r="F141" s="3" t="s">
        <v>92</v>
      </c>
      <c r="G141" s="3" t="s">
        <v>93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430</v>
      </c>
      <c r="S141" s="3" t="s">
        <v>367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 t="s">
        <v>217</v>
      </c>
      <c r="AB141" s="3"/>
      <c r="AC141" s="3">
        <v>2375213</v>
      </c>
      <c r="AD141" s="3">
        <v>520.88004000000001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/>
      <c r="AP141" s="3" t="s">
        <v>98</v>
      </c>
      <c r="AQ141" s="3">
        <v>210368546</v>
      </c>
      <c r="AR141" s="3" t="s">
        <v>99</v>
      </c>
      <c r="AS141" s="3" t="s">
        <v>100</v>
      </c>
      <c r="AT141" s="3">
        <v>0</v>
      </c>
      <c r="AU141" s="3">
        <v>0</v>
      </c>
      <c r="AV141" s="3">
        <v>0</v>
      </c>
      <c r="AW141" s="3">
        <v>30024201</v>
      </c>
      <c r="AX141" s="3">
        <v>99</v>
      </c>
      <c r="AY141" s="3">
        <v>4560</v>
      </c>
      <c r="AZ141" s="3">
        <v>4560</v>
      </c>
      <c r="BA141" s="3" t="s">
        <v>103</v>
      </c>
      <c r="BB141" s="3"/>
      <c r="BC141" s="3" t="s">
        <v>105</v>
      </c>
      <c r="BD141" s="3" t="s">
        <v>105</v>
      </c>
      <c r="BE141" s="3"/>
      <c r="BF141" s="3"/>
      <c r="BG141" s="3"/>
      <c r="BH141" s="3"/>
      <c r="BI141" s="3"/>
      <c r="BJ141" s="5"/>
      <c r="BK141" s="3"/>
      <c r="BL141" s="3"/>
      <c r="BM141" s="3"/>
      <c r="BN141" s="3" t="s">
        <v>370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 t="s">
        <v>192</v>
      </c>
      <c r="CI141" s="3">
        <v>0</v>
      </c>
      <c r="CJ141" s="3">
        <v>0</v>
      </c>
      <c r="CK141" s="3">
        <v>0</v>
      </c>
      <c r="CL141" s="3" t="s">
        <v>112</v>
      </c>
      <c r="CM141" s="3" t="s">
        <v>112</v>
      </c>
    </row>
    <row r="142" spans="1:91" x14ac:dyDescent="0.25">
      <c r="A142" s="3" t="s">
        <v>90</v>
      </c>
      <c r="B142" s="3" t="s">
        <v>366</v>
      </c>
      <c r="C142" s="3">
        <v>3942</v>
      </c>
      <c r="D142" s="3">
        <v>6000434</v>
      </c>
      <c r="E142" s="3"/>
      <c r="F142" s="3" t="s">
        <v>92</v>
      </c>
      <c r="G142" s="3" t="s">
        <v>93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430</v>
      </c>
      <c r="S142" s="3" t="s">
        <v>367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 t="s">
        <v>265</v>
      </c>
      <c r="AB142" s="3"/>
      <c r="AC142" s="3">
        <v>6407338</v>
      </c>
      <c r="AD142" s="3">
        <v>741.59005000000002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/>
      <c r="AP142" s="3" t="s">
        <v>98</v>
      </c>
      <c r="AQ142" s="3">
        <v>210368547</v>
      </c>
      <c r="AR142" s="3" t="s">
        <v>99</v>
      </c>
      <c r="AS142" s="3" t="s">
        <v>100</v>
      </c>
      <c r="AT142" s="3">
        <v>0</v>
      </c>
      <c r="AU142" s="3">
        <v>0</v>
      </c>
      <c r="AV142" s="3">
        <v>0</v>
      </c>
      <c r="AW142" s="3">
        <v>30024201</v>
      </c>
      <c r="AX142" s="3">
        <v>99</v>
      </c>
      <c r="AY142" s="3">
        <v>8640</v>
      </c>
      <c r="AZ142" s="3">
        <v>8640</v>
      </c>
      <c r="BA142" s="3" t="s">
        <v>103</v>
      </c>
      <c r="BB142" s="3"/>
      <c r="BC142" s="3" t="s">
        <v>105</v>
      </c>
      <c r="BD142" s="3" t="s">
        <v>105</v>
      </c>
      <c r="BE142" s="3"/>
      <c r="BF142" s="3"/>
      <c r="BG142" s="3"/>
      <c r="BH142" s="3"/>
      <c r="BI142" s="3"/>
      <c r="BJ142" s="5"/>
      <c r="BK142" s="3"/>
      <c r="BL142" s="3"/>
      <c r="BM142" s="3"/>
      <c r="BN142" s="3" t="s">
        <v>371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 t="s">
        <v>192</v>
      </c>
      <c r="CI142" s="3">
        <v>0</v>
      </c>
      <c r="CJ142" s="3">
        <v>0</v>
      </c>
      <c r="CK142" s="3">
        <v>0</v>
      </c>
      <c r="CL142" s="3" t="s">
        <v>112</v>
      </c>
      <c r="CM142" s="3" t="s">
        <v>112</v>
      </c>
    </row>
    <row r="143" spans="1:91" x14ac:dyDescent="0.25">
      <c r="A143" s="3" t="s">
        <v>90</v>
      </c>
      <c r="B143" s="3" t="s">
        <v>366</v>
      </c>
      <c r="C143" s="3">
        <v>3942</v>
      </c>
      <c r="D143" s="3">
        <v>6000434</v>
      </c>
      <c r="E143" s="3"/>
      <c r="F143" s="3" t="s">
        <v>92</v>
      </c>
      <c r="G143" s="3" t="s">
        <v>93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430</v>
      </c>
      <c r="S143" s="3" t="s">
        <v>367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 t="s">
        <v>264</v>
      </c>
      <c r="AB143" s="3"/>
      <c r="AC143" s="3">
        <v>3266149</v>
      </c>
      <c r="AD143" s="3">
        <v>356.09998000000002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/>
      <c r="AP143" s="3" t="s">
        <v>98</v>
      </c>
      <c r="AQ143" s="3">
        <v>210368547</v>
      </c>
      <c r="AR143" s="3" t="s">
        <v>99</v>
      </c>
      <c r="AS143" s="3" t="s">
        <v>100</v>
      </c>
      <c r="AT143" s="3">
        <v>0</v>
      </c>
      <c r="AU143" s="3">
        <v>0</v>
      </c>
      <c r="AV143" s="3">
        <v>0</v>
      </c>
      <c r="AW143" s="3">
        <v>30024201</v>
      </c>
      <c r="AX143" s="3">
        <v>99</v>
      </c>
      <c r="AY143" s="3">
        <v>9172</v>
      </c>
      <c r="AZ143" s="3">
        <v>9172</v>
      </c>
      <c r="BA143" s="3" t="s">
        <v>103</v>
      </c>
      <c r="BB143" s="3"/>
      <c r="BC143" s="3" t="s">
        <v>105</v>
      </c>
      <c r="BD143" s="3" t="s">
        <v>105</v>
      </c>
      <c r="BE143" s="3"/>
      <c r="BF143" s="3"/>
      <c r="BG143" s="3"/>
      <c r="BH143" s="3"/>
      <c r="BI143" s="3"/>
      <c r="BJ143" s="5"/>
      <c r="BK143" s="3"/>
      <c r="BL143" s="3"/>
      <c r="BM143" s="3"/>
      <c r="BN143" s="3" t="s">
        <v>371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 t="s">
        <v>192</v>
      </c>
      <c r="CI143" s="3">
        <v>0</v>
      </c>
      <c r="CJ143" s="3">
        <v>0</v>
      </c>
      <c r="CK143" s="3">
        <v>0</v>
      </c>
      <c r="CL143" s="3" t="s">
        <v>112</v>
      </c>
      <c r="CM143" s="3" t="s">
        <v>112</v>
      </c>
    </row>
    <row r="144" spans="1:91" x14ac:dyDescent="0.25">
      <c r="A144" s="3" t="s">
        <v>90</v>
      </c>
      <c r="B144" s="3" t="s">
        <v>366</v>
      </c>
      <c r="C144" s="3">
        <v>3942</v>
      </c>
      <c r="D144" s="3">
        <v>6000434</v>
      </c>
      <c r="E144" s="3"/>
      <c r="F144" s="3" t="s">
        <v>92</v>
      </c>
      <c r="G144" s="3" t="s">
        <v>93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430</v>
      </c>
      <c r="S144" s="3" t="s">
        <v>367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 t="s">
        <v>270</v>
      </c>
      <c r="AB144" s="3"/>
      <c r="AC144" s="3">
        <v>4011201</v>
      </c>
      <c r="AD144" s="3">
        <v>825.35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/>
      <c r="AP144" s="3" t="s">
        <v>98</v>
      </c>
      <c r="AQ144" s="3">
        <v>210368547</v>
      </c>
      <c r="AR144" s="3" t="s">
        <v>99</v>
      </c>
      <c r="AS144" s="3" t="s">
        <v>100</v>
      </c>
      <c r="AT144" s="3">
        <v>0</v>
      </c>
      <c r="AU144" s="3">
        <v>0</v>
      </c>
      <c r="AV144" s="3">
        <v>0</v>
      </c>
      <c r="AW144" s="3">
        <v>30024201</v>
      </c>
      <c r="AX144" s="3">
        <v>99</v>
      </c>
      <c r="AY144" s="3">
        <v>4860</v>
      </c>
      <c r="AZ144" s="3">
        <v>4860</v>
      </c>
      <c r="BA144" s="3" t="s">
        <v>103</v>
      </c>
      <c r="BB144" s="3"/>
      <c r="BC144" s="3" t="s">
        <v>105</v>
      </c>
      <c r="BD144" s="3" t="s">
        <v>105</v>
      </c>
      <c r="BE144" s="3"/>
      <c r="BF144" s="3"/>
      <c r="BG144" s="3"/>
      <c r="BH144" s="3"/>
      <c r="BI144" s="3"/>
      <c r="BJ144" s="5"/>
      <c r="BK144" s="3"/>
      <c r="BL144" s="3"/>
      <c r="BM144" s="3"/>
      <c r="BN144" s="3" t="s">
        <v>371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 t="s">
        <v>192</v>
      </c>
      <c r="CI144" s="3">
        <v>0</v>
      </c>
      <c r="CJ144" s="3">
        <v>0</v>
      </c>
      <c r="CK144" s="3">
        <v>0</v>
      </c>
      <c r="CL144" s="3" t="s">
        <v>112</v>
      </c>
      <c r="CM144" s="3" t="s">
        <v>112</v>
      </c>
    </row>
    <row r="145" spans="1:91" x14ac:dyDescent="0.25">
      <c r="A145" s="3" t="s">
        <v>90</v>
      </c>
      <c r="B145" s="3" t="s">
        <v>366</v>
      </c>
      <c r="C145" s="3">
        <v>3942</v>
      </c>
      <c r="D145" s="3">
        <v>6000434</v>
      </c>
      <c r="E145" s="3"/>
      <c r="F145" s="3" t="s">
        <v>92</v>
      </c>
      <c r="G145" s="3" t="s">
        <v>93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430</v>
      </c>
      <c r="S145" s="3" t="s">
        <v>367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 t="s">
        <v>270</v>
      </c>
      <c r="AB145" s="3"/>
      <c r="AC145" s="3">
        <v>6536772</v>
      </c>
      <c r="AD145" s="3">
        <v>825.35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/>
      <c r="AP145" s="3" t="s">
        <v>98</v>
      </c>
      <c r="AQ145" s="3">
        <v>210368547</v>
      </c>
      <c r="AR145" s="3" t="s">
        <v>99</v>
      </c>
      <c r="AS145" s="3" t="s">
        <v>100</v>
      </c>
      <c r="AT145" s="3">
        <v>0</v>
      </c>
      <c r="AU145" s="3">
        <v>0</v>
      </c>
      <c r="AV145" s="3">
        <v>0</v>
      </c>
      <c r="AW145" s="3">
        <v>30024201</v>
      </c>
      <c r="AX145" s="3">
        <v>99</v>
      </c>
      <c r="AY145" s="3">
        <v>7920</v>
      </c>
      <c r="AZ145" s="3">
        <v>7920</v>
      </c>
      <c r="BA145" s="3" t="s">
        <v>103</v>
      </c>
      <c r="BB145" s="3"/>
      <c r="BC145" s="3" t="s">
        <v>105</v>
      </c>
      <c r="BD145" s="3" t="s">
        <v>105</v>
      </c>
      <c r="BE145" s="3"/>
      <c r="BF145" s="3"/>
      <c r="BG145" s="3"/>
      <c r="BH145" s="3"/>
      <c r="BI145" s="3"/>
      <c r="BJ145" s="5"/>
      <c r="BK145" s="3"/>
      <c r="BL145" s="3"/>
      <c r="BM145" s="3"/>
      <c r="BN145" s="3" t="s">
        <v>371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 t="s">
        <v>192</v>
      </c>
      <c r="CI145" s="3">
        <v>0</v>
      </c>
      <c r="CJ145" s="3">
        <v>0</v>
      </c>
      <c r="CK145" s="3">
        <v>0</v>
      </c>
      <c r="CL145" s="3" t="s">
        <v>112</v>
      </c>
      <c r="CM145" s="3" t="s">
        <v>112</v>
      </c>
    </row>
    <row r="146" spans="1:91" x14ac:dyDescent="0.25">
      <c r="A146" s="3" t="s">
        <v>90</v>
      </c>
      <c r="B146" s="3" t="s">
        <v>366</v>
      </c>
      <c r="C146" s="3">
        <v>3942</v>
      </c>
      <c r="D146" s="3">
        <v>6000434</v>
      </c>
      <c r="E146" s="3"/>
      <c r="F146" s="3" t="s">
        <v>92</v>
      </c>
      <c r="G146" s="3" t="s">
        <v>93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430</v>
      </c>
      <c r="S146" s="3" t="s">
        <v>367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 t="s">
        <v>217</v>
      </c>
      <c r="AB146" s="3"/>
      <c r="AC146" s="3">
        <v>3750336</v>
      </c>
      <c r="AD146" s="3">
        <v>520.88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/>
      <c r="AP146" s="3" t="s">
        <v>98</v>
      </c>
      <c r="AQ146" s="3">
        <v>210368547</v>
      </c>
      <c r="AR146" s="3" t="s">
        <v>99</v>
      </c>
      <c r="AS146" s="3" t="s">
        <v>100</v>
      </c>
      <c r="AT146" s="3">
        <v>0</v>
      </c>
      <c r="AU146" s="3">
        <v>0</v>
      </c>
      <c r="AV146" s="3">
        <v>0</v>
      </c>
      <c r="AW146" s="3">
        <v>30024201</v>
      </c>
      <c r="AX146" s="3">
        <v>99</v>
      </c>
      <c r="AY146" s="3">
        <v>7200</v>
      </c>
      <c r="AZ146" s="3">
        <v>7200</v>
      </c>
      <c r="BA146" s="3" t="s">
        <v>103</v>
      </c>
      <c r="BB146" s="3"/>
      <c r="BC146" s="3" t="s">
        <v>105</v>
      </c>
      <c r="BD146" s="3" t="s">
        <v>105</v>
      </c>
      <c r="BE146" s="3"/>
      <c r="BF146" s="3"/>
      <c r="BG146" s="3"/>
      <c r="BH146" s="3"/>
      <c r="BI146" s="3"/>
      <c r="BJ146" s="5"/>
      <c r="BK146" s="3"/>
      <c r="BL146" s="3"/>
      <c r="BM146" s="3"/>
      <c r="BN146" s="3" t="s">
        <v>371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 t="s">
        <v>192</v>
      </c>
      <c r="CI146" s="3">
        <v>0</v>
      </c>
      <c r="CJ146" s="3">
        <v>0</v>
      </c>
      <c r="CK146" s="3">
        <v>0</v>
      </c>
      <c r="CL146" s="3" t="s">
        <v>112</v>
      </c>
      <c r="CM146" s="3" t="s">
        <v>112</v>
      </c>
    </row>
    <row r="147" spans="1:91" x14ac:dyDescent="0.25">
      <c r="A147" s="3" t="s">
        <v>90</v>
      </c>
      <c r="B147" s="3" t="s">
        <v>366</v>
      </c>
      <c r="C147" s="3">
        <v>3942</v>
      </c>
      <c r="D147" s="3">
        <v>6000434</v>
      </c>
      <c r="E147" s="3"/>
      <c r="F147" s="3" t="s">
        <v>92</v>
      </c>
      <c r="G147" s="3" t="s">
        <v>93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430</v>
      </c>
      <c r="S147" s="3" t="s">
        <v>367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 t="s">
        <v>372</v>
      </c>
      <c r="AB147" s="3"/>
      <c r="AC147" s="3">
        <v>796527</v>
      </c>
      <c r="AD147" s="3">
        <v>181.07002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/>
      <c r="AP147" s="3" t="s">
        <v>98</v>
      </c>
      <c r="AQ147" s="3">
        <v>210368547</v>
      </c>
      <c r="AR147" s="3" t="s">
        <v>99</v>
      </c>
      <c r="AS147" s="3" t="s">
        <v>100</v>
      </c>
      <c r="AT147" s="3">
        <v>0</v>
      </c>
      <c r="AU147" s="3">
        <v>0</v>
      </c>
      <c r="AV147" s="3">
        <v>0</v>
      </c>
      <c r="AW147" s="3">
        <v>30024201</v>
      </c>
      <c r="AX147" s="3">
        <v>99</v>
      </c>
      <c r="AY147" s="3">
        <v>4399</v>
      </c>
      <c r="AZ147" s="3">
        <v>4399</v>
      </c>
      <c r="BA147" s="3" t="s">
        <v>103</v>
      </c>
      <c r="BB147" s="3"/>
      <c r="BC147" s="3" t="s">
        <v>105</v>
      </c>
      <c r="BD147" s="3" t="s">
        <v>105</v>
      </c>
      <c r="BE147" s="3"/>
      <c r="BF147" s="3"/>
      <c r="BG147" s="3"/>
      <c r="BH147" s="3"/>
      <c r="BI147" s="3"/>
      <c r="BJ147" s="5"/>
      <c r="BK147" s="3"/>
      <c r="BL147" s="3"/>
      <c r="BM147" s="3"/>
      <c r="BN147" s="3" t="s">
        <v>371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 t="s">
        <v>192</v>
      </c>
      <c r="CI147" s="3">
        <v>0</v>
      </c>
      <c r="CJ147" s="3">
        <v>0</v>
      </c>
      <c r="CK147" s="3">
        <v>0</v>
      </c>
      <c r="CL147" s="3" t="s">
        <v>112</v>
      </c>
      <c r="CM147" s="3" t="s">
        <v>112</v>
      </c>
    </row>
    <row r="148" spans="1:91" x14ac:dyDescent="0.25">
      <c r="A148" s="3" t="s">
        <v>90</v>
      </c>
      <c r="B148" s="3" t="s">
        <v>366</v>
      </c>
      <c r="C148" s="3">
        <v>3942</v>
      </c>
      <c r="D148" s="3">
        <v>6000434</v>
      </c>
      <c r="E148" s="3"/>
      <c r="F148" s="3" t="s">
        <v>92</v>
      </c>
      <c r="G148" s="3" t="s">
        <v>93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430</v>
      </c>
      <c r="S148" s="3" t="s">
        <v>367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 t="s">
        <v>158</v>
      </c>
      <c r="AB148" s="3"/>
      <c r="AC148" s="3">
        <v>2960880</v>
      </c>
      <c r="AD148" s="3">
        <v>333.46999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/>
      <c r="AP148" s="3" t="s">
        <v>98</v>
      </c>
      <c r="AQ148" s="3">
        <v>210368547</v>
      </c>
      <c r="AR148" s="3" t="s">
        <v>99</v>
      </c>
      <c r="AS148" s="3" t="s">
        <v>100</v>
      </c>
      <c r="AT148" s="3">
        <v>0</v>
      </c>
      <c r="AU148" s="3">
        <v>0</v>
      </c>
      <c r="AV148" s="3">
        <v>0</v>
      </c>
      <c r="AW148" s="3">
        <v>30024201</v>
      </c>
      <c r="AX148" s="3">
        <v>99</v>
      </c>
      <c r="AY148" s="3">
        <v>8879</v>
      </c>
      <c r="AZ148" s="3">
        <v>8879</v>
      </c>
      <c r="BA148" s="3" t="s">
        <v>103</v>
      </c>
      <c r="BB148" s="3"/>
      <c r="BC148" s="3" t="s">
        <v>105</v>
      </c>
      <c r="BD148" s="3" t="s">
        <v>105</v>
      </c>
      <c r="BE148" s="3"/>
      <c r="BF148" s="3"/>
      <c r="BG148" s="3"/>
      <c r="BH148" s="3"/>
      <c r="BI148" s="3"/>
      <c r="BJ148" s="5"/>
      <c r="BK148" s="3"/>
      <c r="BL148" s="3"/>
      <c r="BM148" s="3"/>
      <c r="BN148" s="3" t="s">
        <v>371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 t="s">
        <v>192</v>
      </c>
      <c r="CI148" s="3">
        <v>0</v>
      </c>
      <c r="CJ148" s="3">
        <v>0</v>
      </c>
      <c r="CK148" s="3">
        <v>0</v>
      </c>
      <c r="CL148" s="3" t="s">
        <v>112</v>
      </c>
      <c r="CM148" s="3" t="s">
        <v>112</v>
      </c>
    </row>
    <row r="149" spans="1:91" x14ac:dyDescent="0.25">
      <c r="A149" s="3" t="s">
        <v>90</v>
      </c>
      <c r="B149" s="3" t="s">
        <v>366</v>
      </c>
      <c r="C149" s="3">
        <v>3942</v>
      </c>
      <c r="D149" s="3">
        <v>6000434</v>
      </c>
      <c r="E149" s="3"/>
      <c r="F149" s="3" t="s">
        <v>92</v>
      </c>
      <c r="G149" s="3" t="s">
        <v>93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430</v>
      </c>
      <c r="S149" s="3" t="s">
        <v>367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 t="s">
        <v>373</v>
      </c>
      <c r="AB149" s="3"/>
      <c r="AC149" s="3">
        <v>2401492</v>
      </c>
      <c r="AD149" s="3">
        <v>2425.7494900000002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/>
      <c r="AP149" s="3" t="s">
        <v>98</v>
      </c>
      <c r="AQ149" s="3">
        <v>210368547</v>
      </c>
      <c r="AR149" s="3" t="s">
        <v>99</v>
      </c>
      <c r="AS149" s="3" t="s">
        <v>100</v>
      </c>
      <c r="AT149" s="3">
        <v>0</v>
      </c>
      <c r="AU149" s="3">
        <v>0</v>
      </c>
      <c r="AV149" s="3">
        <v>0</v>
      </c>
      <c r="AW149" s="3">
        <v>30024201</v>
      </c>
      <c r="AX149" s="3">
        <v>99</v>
      </c>
      <c r="AY149" s="3">
        <v>990</v>
      </c>
      <c r="AZ149" s="3">
        <v>990</v>
      </c>
      <c r="BA149" s="3" t="s">
        <v>121</v>
      </c>
      <c r="BB149" s="3"/>
      <c r="BC149" s="3" t="s">
        <v>105</v>
      </c>
      <c r="BD149" s="3" t="s">
        <v>105</v>
      </c>
      <c r="BE149" s="3"/>
      <c r="BF149" s="3"/>
      <c r="BG149" s="3"/>
      <c r="BH149" s="3"/>
      <c r="BI149" s="3"/>
      <c r="BJ149" s="5"/>
      <c r="BK149" s="3"/>
      <c r="BL149" s="3"/>
      <c r="BM149" s="3"/>
      <c r="BN149" s="3" t="s">
        <v>371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 t="s">
        <v>192</v>
      </c>
      <c r="CI149" s="3">
        <v>0</v>
      </c>
      <c r="CJ149" s="3">
        <v>0</v>
      </c>
      <c r="CK149" s="3">
        <v>0</v>
      </c>
      <c r="CL149" s="3" t="s">
        <v>112</v>
      </c>
      <c r="CM149" s="3" t="s">
        <v>112</v>
      </c>
    </row>
    <row r="150" spans="1:91" x14ac:dyDescent="0.25">
      <c r="A150" s="3" t="s">
        <v>90</v>
      </c>
      <c r="B150" s="3" t="s">
        <v>383</v>
      </c>
      <c r="C150" s="3">
        <v>3942</v>
      </c>
      <c r="D150" s="3">
        <v>6000516</v>
      </c>
      <c r="E150" s="3"/>
      <c r="F150" s="3" t="s">
        <v>92</v>
      </c>
      <c r="G150" s="3" t="s">
        <v>93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10</v>
      </c>
      <c r="O150" s="3">
        <v>1005242</v>
      </c>
      <c r="P150" s="3">
        <v>17.7957</v>
      </c>
      <c r="Q150" s="3">
        <v>2034</v>
      </c>
      <c r="R150" s="3">
        <v>430</v>
      </c>
      <c r="S150" s="3" t="s">
        <v>384</v>
      </c>
      <c r="T150" s="3" t="s">
        <v>385</v>
      </c>
      <c r="U150" s="3">
        <v>10052424</v>
      </c>
      <c r="V150" s="3">
        <v>10052424</v>
      </c>
      <c r="W150" s="3">
        <v>0</v>
      </c>
      <c r="X150" s="3">
        <v>0</v>
      </c>
      <c r="Y150" s="3">
        <v>0</v>
      </c>
      <c r="Z150" s="3">
        <v>0</v>
      </c>
      <c r="AA150" s="3" t="s">
        <v>386</v>
      </c>
      <c r="AB150" s="3"/>
      <c r="AC150" s="3">
        <v>10052424</v>
      </c>
      <c r="AD150" s="3">
        <v>155.13</v>
      </c>
      <c r="AE150" s="3">
        <v>354</v>
      </c>
      <c r="AF150" s="3">
        <v>10</v>
      </c>
      <c r="AG150" s="3">
        <v>1005242</v>
      </c>
      <c r="AH150" s="3">
        <v>0</v>
      </c>
      <c r="AI150" s="3">
        <v>53</v>
      </c>
      <c r="AJ150" s="3">
        <v>80419</v>
      </c>
      <c r="AK150" s="3">
        <v>0</v>
      </c>
      <c r="AL150" s="3">
        <v>0</v>
      </c>
      <c r="AM150" s="3">
        <v>330</v>
      </c>
      <c r="AN150" s="3">
        <v>1086044</v>
      </c>
      <c r="AO150" s="3" t="s">
        <v>97</v>
      </c>
      <c r="AP150" s="3" t="s">
        <v>98</v>
      </c>
      <c r="AQ150" s="3">
        <v>210369005</v>
      </c>
      <c r="AR150" s="3" t="s">
        <v>99</v>
      </c>
      <c r="AS150" s="3" t="s">
        <v>100</v>
      </c>
      <c r="AT150" s="3" t="s">
        <v>387</v>
      </c>
      <c r="AU150" s="3"/>
      <c r="AV150" s="3" t="s">
        <v>102</v>
      </c>
      <c r="AW150" s="3">
        <v>30049099</v>
      </c>
      <c r="AX150" s="3">
        <v>99</v>
      </c>
      <c r="AY150" s="3">
        <v>64800</v>
      </c>
      <c r="AZ150" s="3">
        <v>64800</v>
      </c>
      <c r="BA150" s="3" t="s">
        <v>103</v>
      </c>
      <c r="BB150" s="3"/>
      <c r="BC150" s="3" t="s">
        <v>133</v>
      </c>
      <c r="BD150" s="3" t="s">
        <v>105</v>
      </c>
      <c r="BE150" s="4">
        <v>46111</v>
      </c>
      <c r="BF150" s="4">
        <v>46118</v>
      </c>
      <c r="BG150" s="4">
        <v>46118</v>
      </c>
      <c r="BH150" s="3" t="s">
        <v>106</v>
      </c>
      <c r="BI150" s="3" t="s">
        <v>117</v>
      </c>
      <c r="BJ150" s="5"/>
      <c r="BK150" s="3"/>
      <c r="BL150" s="3"/>
      <c r="BM150" s="3" t="s">
        <v>388</v>
      </c>
      <c r="BN150" s="3" t="s">
        <v>389</v>
      </c>
      <c r="BO150" s="3">
        <v>45349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22189.59</v>
      </c>
      <c r="CB150" s="3">
        <v>0</v>
      </c>
      <c r="CC150" s="3">
        <v>0</v>
      </c>
      <c r="CD150" s="3">
        <v>15002.89</v>
      </c>
      <c r="CE150" s="3">
        <v>15812.5</v>
      </c>
      <c r="CF150" s="3">
        <v>2653.2</v>
      </c>
      <c r="CG150" s="3">
        <v>175411.1</v>
      </c>
      <c r="CH150" s="3" t="s">
        <v>192</v>
      </c>
      <c r="CI150" s="3">
        <v>175411.1</v>
      </c>
      <c r="CJ150" s="3">
        <v>0</v>
      </c>
      <c r="CK150" s="3">
        <v>0</v>
      </c>
      <c r="CL150" s="3" t="s">
        <v>112</v>
      </c>
      <c r="CM150" s="3" t="s">
        <v>112</v>
      </c>
    </row>
    <row r="151" spans="1:91" x14ac:dyDescent="0.25">
      <c r="A151" s="3" t="s">
        <v>90</v>
      </c>
      <c r="B151" s="3" t="s">
        <v>390</v>
      </c>
      <c r="C151" s="3">
        <v>3942</v>
      </c>
      <c r="D151" s="3">
        <v>6000517</v>
      </c>
      <c r="E151" s="3"/>
      <c r="F151" s="3" t="s">
        <v>92</v>
      </c>
      <c r="G151" s="3" t="s">
        <v>93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18.003299999999999</v>
      </c>
      <c r="Q151" s="3">
        <v>2941</v>
      </c>
      <c r="R151" s="3">
        <v>430</v>
      </c>
      <c r="S151" s="3" t="s">
        <v>391</v>
      </c>
      <c r="T151" s="3" t="s">
        <v>95</v>
      </c>
      <c r="U151" s="3">
        <v>24498891</v>
      </c>
      <c r="V151" s="3">
        <v>24498891</v>
      </c>
      <c r="W151" s="3">
        <v>0</v>
      </c>
      <c r="X151" s="3">
        <v>0</v>
      </c>
      <c r="Y151" s="3">
        <v>0</v>
      </c>
      <c r="Z151" s="3">
        <v>0</v>
      </c>
      <c r="AA151" s="3" t="s">
        <v>392</v>
      </c>
      <c r="AB151" s="3"/>
      <c r="AC151" s="3">
        <v>24498891</v>
      </c>
      <c r="AD151" s="3">
        <v>1620.29702</v>
      </c>
      <c r="AE151" s="3">
        <v>346</v>
      </c>
      <c r="AF151" s="3">
        <v>0</v>
      </c>
      <c r="AG151" s="3">
        <v>0</v>
      </c>
      <c r="AH151" s="3">
        <v>0</v>
      </c>
      <c r="AI151" s="3">
        <v>53</v>
      </c>
      <c r="AJ151" s="3">
        <v>0</v>
      </c>
      <c r="AK151" s="3">
        <v>0</v>
      </c>
      <c r="AL151" s="3">
        <v>0</v>
      </c>
      <c r="AM151" s="3">
        <v>330</v>
      </c>
      <c r="AN151" s="3">
        <v>383</v>
      </c>
      <c r="AO151" s="3" t="s">
        <v>97</v>
      </c>
      <c r="AP151" s="3" t="s">
        <v>393</v>
      </c>
      <c r="AQ151" s="3">
        <v>97991087</v>
      </c>
      <c r="AR151" s="3" t="s">
        <v>99</v>
      </c>
      <c r="AS151" s="3" t="s">
        <v>394</v>
      </c>
      <c r="AT151" s="3" t="s">
        <v>395</v>
      </c>
      <c r="AU151" s="3"/>
      <c r="AV151" s="3" t="s">
        <v>146</v>
      </c>
      <c r="AW151" s="3">
        <v>30043902</v>
      </c>
      <c r="AX151" s="3">
        <v>0</v>
      </c>
      <c r="AY151" s="3">
        <v>15120</v>
      </c>
      <c r="AZ151" s="3">
        <v>15120</v>
      </c>
      <c r="BA151" s="3" t="s">
        <v>121</v>
      </c>
      <c r="BB151" s="3"/>
      <c r="BC151" s="3" t="s">
        <v>396</v>
      </c>
      <c r="BD151" s="3" t="s">
        <v>396</v>
      </c>
      <c r="BE151" s="4">
        <v>46115</v>
      </c>
      <c r="BF151" s="4">
        <v>46126</v>
      </c>
      <c r="BG151" s="4">
        <v>46127</v>
      </c>
      <c r="BH151" s="3" t="s">
        <v>228</v>
      </c>
      <c r="BI151" s="3" t="s">
        <v>397</v>
      </c>
      <c r="BJ151" s="5"/>
      <c r="BK151" s="3"/>
      <c r="BL151" s="3"/>
      <c r="BM151" s="3" t="s">
        <v>109</v>
      </c>
      <c r="BN151" s="3" t="s">
        <v>398</v>
      </c>
      <c r="BO151" s="3">
        <v>45428</v>
      </c>
      <c r="BP151" s="3">
        <v>0</v>
      </c>
      <c r="BQ151" s="3">
        <v>0</v>
      </c>
      <c r="BR151" s="3">
        <v>0</v>
      </c>
      <c r="BS151" s="3">
        <v>1800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22189.59</v>
      </c>
      <c r="CB151" s="3">
        <v>0</v>
      </c>
      <c r="CC151" s="3">
        <v>0</v>
      </c>
      <c r="CD151" s="3">
        <v>45349.27</v>
      </c>
      <c r="CE151" s="3">
        <v>18000</v>
      </c>
      <c r="CF151" s="3">
        <v>3310.4</v>
      </c>
      <c r="CG151" s="3">
        <v>246933.17</v>
      </c>
      <c r="CH151" s="3" t="s">
        <v>192</v>
      </c>
      <c r="CI151" s="3">
        <v>246933.17</v>
      </c>
      <c r="CJ151" s="3">
        <v>0</v>
      </c>
      <c r="CK151" s="3">
        <v>0</v>
      </c>
      <c r="CL151" s="3" t="s">
        <v>112</v>
      </c>
      <c r="CM151" s="3" t="s">
        <v>112</v>
      </c>
    </row>
    <row r="152" spans="1:91" x14ac:dyDescent="0.25">
      <c r="A152" s="3" t="s">
        <v>90</v>
      </c>
      <c r="B152" s="3" t="s">
        <v>408</v>
      </c>
      <c r="C152" s="3">
        <v>3942</v>
      </c>
      <c r="D152" s="3">
        <v>6000577</v>
      </c>
      <c r="E152" s="3"/>
      <c r="F152" s="3" t="s">
        <v>92</v>
      </c>
      <c r="G152" s="3" t="s">
        <v>93</v>
      </c>
      <c r="H152" s="3">
        <v>16</v>
      </c>
      <c r="I152" s="3">
        <v>85553</v>
      </c>
      <c r="J152" s="3">
        <v>0</v>
      </c>
      <c r="K152" s="3">
        <v>0</v>
      </c>
      <c r="L152" s="3">
        <v>0</v>
      </c>
      <c r="M152" s="3">
        <v>0</v>
      </c>
      <c r="N152" s="3">
        <v>10</v>
      </c>
      <c r="O152" s="3">
        <v>48259</v>
      </c>
      <c r="P152" s="3">
        <v>17.359300000000001</v>
      </c>
      <c r="Q152" s="3">
        <v>1315</v>
      </c>
      <c r="R152" s="3">
        <v>430</v>
      </c>
      <c r="S152" s="3"/>
      <c r="T152" s="3" t="s">
        <v>409</v>
      </c>
      <c r="U152" s="3">
        <v>482589</v>
      </c>
      <c r="V152" s="3">
        <v>482589</v>
      </c>
      <c r="W152" s="3">
        <v>0</v>
      </c>
      <c r="X152" s="3">
        <v>0</v>
      </c>
      <c r="Y152" s="3">
        <v>0</v>
      </c>
      <c r="Z152" s="3">
        <v>0</v>
      </c>
      <c r="AA152" s="3" t="s">
        <v>410</v>
      </c>
      <c r="AB152" s="3"/>
      <c r="AC152" s="3">
        <v>482589</v>
      </c>
      <c r="AD152" s="3">
        <v>4825.8900000000003</v>
      </c>
      <c r="AE152" s="3">
        <v>354</v>
      </c>
      <c r="AF152" s="3" t="s">
        <v>411</v>
      </c>
      <c r="AG152" s="3">
        <v>48259</v>
      </c>
      <c r="AH152" s="3">
        <v>0</v>
      </c>
      <c r="AI152" s="3">
        <v>53</v>
      </c>
      <c r="AJ152" s="3">
        <v>3861</v>
      </c>
      <c r="AK152" s="3">
        <v>0</v>
      </c>
      <c r="AL152" s="3">
        <v>85553</v>
      </c>
      <c r="AM152" s="3">
        <v>330</v>
      </c>
      <c r="AN152" s="3">
        <v>138056</v>
      </c>
      <c r="AO152" s="3" t="s">
        <v>97</v>
      </c>
      <c r="AP152" s="3" t="s">
        <v>412</v>
      </c>
      <c r="AQ152" s="3" t="s">
        <v>413</v>
      </c>
      <c r="AR152" s="3" t="s">
        <v>99</v>
      </c>
      <c r="AS152" s="3" t="s">
        <v>394</v>
      </c>
      <c r="AT152" s="3" t="s">
        <v>414</v>
      </c>
      <c r="AU152" s="3"/>
      <c r="AV152" s="3" t="s">
        <v>188</v>
      </c>
      <c r="AW152" s="3">
        <v>84186999</v>
      </c>
      <c r="AX152" s="3">
        <v>99</v>
      </c>
      <c r="AY152" s="3">
        <v>100</v>
      </c>
      <c r="AZ152" s="3">
        <v>100</v>
      </c>
      <c r="BA152" s="3" t="s">
        <v>103</v>
      </c>
      <c r="BB152" s="3"/>
      <c r="BC152" s="3" t="s">
        <v>415</v>
      </c>
      <c r="BD152" s="3" t="s">
        <v>416</v>
      </c>
      <c r="BE152" s="4">
        <v>46125</v>
      </c>
      <c r="BF152" s="4">
        <v>46136</v>
      </c>
      <c r="BG152" s="4">
        <v>46137</v>
      </c>
      <c r="BH152" s="3" t="s">
        <v>228</v>
      </c>
      <c r="BI152" s="3" t="s">
        <v>397</v>
      </c>
      <c r="BJ152" s="5"/>
      <c r="BK152" s="3"/>
      <c r="BL152" s="3"/>
      <c r="BM152" s="3" t="s">
        <v>190</v>
      </c>
      <c r="BN152" s="3" t="s">
        <v>417</v>
      </c>
      <c r="BO152" s="3">
        <v>46000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5600</v>
      </c>
      <c r="CF152" s="3">
        <v>1000</v>
      </c>
      <c r="CG152" s="3">
        <v>82025.960000000006</v>
      </c>
      <c r="CH152" s="3" t="s">
        <v>192</v>
      </c>
      <c r="CI152" s="3">
        <v>82025.960000000006</v>
      </c>
      <c r="CJ152" s="3">
        <v>0</v>
      </c>
      <c r="CK152" s="3">
        <v>0</v>
      </c>
      <c r="CL152" s="3" t="s">
        <v>112</v>
      </c>
      <c r="CM152" s="3" t="s">
        <v>112</v>
      </c>
    </row>
    <row r="153" spans="1:91" x14ac:dyDescent="0.25">
      <c r="A153" s="3" t="s">
        <v>90</v>
      </c>
      <c r="B153" s="3" t="s">
        <v>418</v>
      </c>
      <c r="C153" s="3">
        <v>3942</v>
      </c>
      <c r="D153" s="3">
        <v>6000578</v>
      </c>
      <c r="E153" s="3"/>
      <c r="F153" s="3" t="s">
        <v>92</v>
      </c>
      <c r="G153" s="3" t="s">
        <v>93</v>
      </c>
      <c r="H153" s="3">
        <v>16</v>
      </c>
      <c r="I153" s="3">
        <v>157255</v>
      </c>
      <c r="J153" s="3">
        <v>0</v>
      </c>
      <c r="K153" s="3">
        <v>0</v>
      </c>
      <c r="L153" s="3">
        <v>0</v>
      </c>
      <c r="M153" s="3">
        <v>0</v>
      </c>
      <c r="N153" s="3">
        <v>5</v>
      </c>
      <c r="O153" s="3">
        <v>46448</v>
      </c>
      <c r="P153" s="3">
        <v>17.268799999999999</v>
      </c>
      <c r="Q153" s="3">
        <v>7891</v>
      </c>
      <c r="R153" s="3">
        <v>430</v>
      </c>
      <c r="S153" s="3" t="s">
        <v>419</v>
      </c>
      <c r="T153" s="3" t="s">
        <v>185</v>
      </c>
      <c r="U153" s="3">
        <v>928967</v>
      </c>
      <c r="V153" s="3">
        <v>928967</v>
      </c>
      <c r="W153" s="3">
        <v>0</v>
      </c>
      <c r="X153" s="3">
        <v>0</v>
      </c>
      <c r="Y153" s="3">
        <v>0</v>
      </c>
      <c r="Z153" s="3">
        <v>0</v>
      </c>
      <c r="AA153" s="3" t="s">
        <v>420</v>
      </c>
      <c r="AB153" s="3"/>
      <c r="AC153" s="3">
        <v>928967</v>
      </c>
      <c r="AD153" s="3">
        <v>61.75</v>
      </c>
      <c r="AE153" s="3">
        <v>354</v>
      </c>
      <c r="AF153" s="3" t="s">
        <v>187</v>
      </c>
      <c r="AG153" s="3">
        <v>46448</v>
      </c>
      <c r="AH153" s="3">
        <v>0</v>
      </c>
      <c r="AI153" s="3">
        <v>53</v>
      </c>
      <c r="AJ153" s="3">
        <v>7432</v>
      </c>
      <c r="AK153" s="3">
        <v>0</v>
      </c>
      <c r="AL153" s="3">
        <v>157255</v>
      </c>
      <c r="AM153" s="3">
        <v>330</v>
      </c>
      <c r="AN153" s="3">
        <v>211518</v>
      </c>
      <c r="AO153" s="3" t="s">
        <v>97</v>
      </c>
      <c r="AP153" s="3" t="s">
        <v>98</v>
      </c>
      <c r="AQ153" s="3">
        <v>210369652</v>
      </c>
      <c r="AR153" s="3" t="s">
        <v>99</v>
      </c>
      <c r="AS153" s="3" t="s">
        <v>100</v>
      </c>
      <c r="AT153" s="3">
        <v>266794386</v>
      </c>
      <c r="AU153" s="3"/>
      <c r="AV153" s="3" t="s">
        <v>188</v>
      </c>
      <c r="AW153" s="3">
        <v>38249999</v>
      </c>
      <c r="AX153" s="3">
        <v>99</v>
      </c>
      <c r="AY153" s="3">
        <v>15044</v>
      </c>
      <c r="AZ153" s="3">
        <v>15044</v>
      </c>
      <c r="BA153" s="3" t="s">
        <v>103</v>
      </c>
      <c r="BB153" s="3"/>
      <c r="BC153" s="3" t="s">
        <v>189</v>
      </c>
      <c r="BD153" s="3" t="s">
        <v>105</v>
      </c>
      <c r="BE153" s="4">
        <v>46128</v>
      </c>
      <c r="BF153" s="4">
        <v>46136</v>
      </c>
      <c r="BG153" s="4">
        <v>46137</v>
      </c>
      <c r="BH153" s="3" t="s">
        <v>106</v>
      </c>
      <c r="BI153" s="3" t="s">
        <v>397</v>
      </c>
      <c r="BJ153" s="5"/>
      <c r="BK153" s="3"/>
      <c r="BL153" s="3"/>
      <c r="BM153" s="3" t="s">
        <v>109</v>
      </c>
      <c r="BN153" s="3" t="s">
        <v>421</v>
      </c>
      <c r="BO153" s="3">
        <v>46001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5600</v>
      </c>
      <c r="CF153" s="3">
        <v>1019.2</v>
      </c>
      <c r="CG153" s="3">
        <v>91291.45</v>
      </c>
      <c r="CH153" s="3" t="s">
        <v>192</v>
      </c>
      <c r="CI153" s="3">
        <v>91291.45</v>
      </c>
      <c r="CJ153" s="3">
        <v>0</v>
      </c>
      <c r="CK153" s="3">
        <v>0</v>
      </c>
      <c r="CL153" s="3" t="s">
        <v>112</v>
      </c>
      <c r="CM153" s="3" t="s">
        <v>112</v>
      </c>
    </row>
    <row r="154" spans="1:91" x14ac:dyDescent="0.25">
      <c r="A154" s="3" t="s">
        <v>90</v>
      </c>
      <c r="B154" s="3" t="s">
        <v>433</v>
      </c>
      <c r="C154" s="3">
        <v>3942</v>
      </c>
      <c r="D154" s="3">
        <v>6000582</v>
      </c>
      <c r="E154" s="3"/>
      <c r="F154" s="3" t="s">
        <v>92</v>
      </c>
      <c r="G154" s="3" t="s">
        <v>93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17.347000000000001</v>
      </c>
      <c r="Q154" s="3">
        <v>2904</v>
      </c>
      <c r="R154" s="3">
        <v>430</v>
      </c>
      <c r="S154" s="3" t="s">
        <v>434</v>
      </c>
      <c r="T154" s="3" t="s">
        <v>95</v>
      </c>
      <c r="U154" s="3">
        <v>15215720</v>
      </c>
      <c r="V154" s="3">
        <v>15215720</v>
      </c>
      <c r="W154" s="3">
        <v>0</v>
      </c>
      <c r="X154" s="3">
        <v>0</v>
      </c>
      <c r="Y154" s="3">
        <v>0</v>
      </c>
      <c r="Z154" s="3">
        <v>0</v>
      </c>
      <c r="AA154" s="3" t="s">
        <v>435</v>
      </c>
      <c r="AB154" s="3"/>
      <c r="AC154" s="3">
        <v>1675479</v>
      </c>
      <c r="AD154" s="3">
        <v>59.329990000000002</v>
      </c>
      <c r="AE154" s="3">
        <v>354</v>
      </c>
      <c r="AF154" s="3">
        <v>10</v>
      </c>
      <c r="AG154" s="3">
        <v>582093</v>
      </c>
      <c r="AH154" s="3">
        <v>0</v>
      </c>
      <c r="AI154" s="3">
        <v>53</v>
      </c>
      <c r="AJ154" s="3">
        <v>46567</v>
      </c>
      <c r="AK154" s="3">
        <v>0</v>
      </c>
      <c r="AL154" s="3">
        <v>0</v>
      </c>
      <c r="AM154" s="3">
        <v>330</v>
      </c>
      <c r="AN154" s="3">
        <v>629043</v>
      </c>
      <c r="AO154" s="3" t="s">
        <v>97</v>
      </c>
      <c r="AP154" s="3" t="s">
        <v>98</v>
      </c>
      <c r="AQ154" s="3">
        <v>210370445</v>
      </c>
      <c r="AR154" s="3" t="s">
        <v>99</v>
      </c>
      <c r="AS154" s="3" t="s">
        <v>100</v>
      </c>
      <c r="AT154" s="3" t="s">
        <v>436</v>
      </c>
      <c r="AU154" s="3"/>
      <c r="AV154" s="3" t="s">
        <v>102</v>
      </c>
      <c r="AW154" s="3">
        <v>30049099</v>
      </c>
      <c r="AX154" s="3">
        <v>99</v>
      </c>
      <c r="AY154" s="3">
        <v>28240</v>
      </c>
      <c r="AZ154" s="3">
        <v>28240</v>
      </c>
      <c r="BA154" s="3" t="s">
        <v>103</v>
      </c>
      <c r="BB154" s="3"/>
      <c r="BC154" s="3" t="s">
        <v>133</v>
      </c>
      <c r="BD154" s="3" t="s">
        <v>105</v>
      </c>
      <c r="BE154" s="4">
        <v>46127</v>
      </c>
      <c r="BF154" s="4">
        <v>46139</v>
      </c>
      <c r="BG154" s="4">
        <v>46139</v>
      </c>
      <c r="BH154" s="3" t="s">
        <v>106</v>
      </c>
      <c r="BI154" s="3" t="s">
        <v>107</v>
      </c>
      <c r="BJ154" s="5">
        <v>4.30640220261306E+16</v>
      </c>
      <c r="BK154" s="3" t="s">
        <v>108</v>
      </c>
      <c r="BL154" s="3"/>
      <c r="BM154" s="3" t="s">
        <v>109</v>
      </c>
      <c r="BN154" s="3" t="s">
        <v>437</v>
      </c>
      <c r="BO154" s="3">
        <v>45990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22189.59</v>
      </c>
      <c r="CB154" s="3">
        <v>0</v>
      </c>
      <c r="CC154" s="3">
        <v>0</v>
      </c>
      <c r="CD154" s="3">
        <v>35271.660000000003</v>
      </c>
      <c r="CE154" s="3">
        <v>18000</v>
      </c>
      <c r="CF154" s="3">
        <v>3323.2</v>
      </c>
      <c r="CG154" s="3">
        <v>216973.64</v>
      </c>
      <c r="CH154" s="3" t="s">
        <v>192</v>
      </c>
      <c r="CI154" s="3">
        <v>216973.64</v>
      </c>
      <c r="CJ154" s="3">
        <v>0</v>
      </c>
      <c r="CK154" s="3">
        <v>0</v>
      </c>
      <c r="CL154" s="3" t="s">
        <v>112</v>
      </c>
      <c r="CM154" s="3" t="s">
        <v>112</v>
      </c>
    </row>
    <row r="155" spans="1:91" x14ac:dyDescent="0.25">
      <c r="A155" s="3" t="s">
        <v>90</v>
      </c>
      <c r="B155" s="3" t="s">
        <v>426</v>
      </c>
      <c r="C155" s="3">
        <v>3942</v>
      </c>
      <c r="D155" s="3">
        <v>6000581</v>
      </c>
      <c r="E155" s="3"/>
      <c r="F155" s="3" t="s">
        <v>92</v>
      </c>
      <c r="G155" s="3" t="s">
        <v>93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10</v>
      </c>
      <c r="O155" s="3">
        <v>407518</v>
      </c>
      <c r="P155" s="3">
        <v>17.347000000000001</v>
      </c>
      <c r="Q155" s="3">
        <v>3942</v>
      </c>
      <c r="R155" s="3">
        <v>430</v>
      </c>
      <c r="S155" s="3" t="s">
        <v>427</v>
      </c>
      <c r="T155" s="3" t="s">
        <v>95</v>
      </c>
      <c r="U155" s="3">
        <v>11116744</v>
      </c>
      <c r="V155" s="3">
        <v>11116744</v>
      </c>
      <c r="W155" s="3">
        <v>0</v>
      </c>
      <c r="X155" s="3">
        <v>0</v>
      </c>
      <c r="Y155" s="3">
        <v>0</v>
      </c>
      <c r="Z155" s="3">
        <v>0</v>
      </c>
      <c r="AA155" s="3" t="s">
        <v>401</v>
      </c>
      <c r="AB155" s="3"/>
      <c r="AC155" s="3">
        <v>4075179</v>
      </c>
      <c r="AD155" s="3">
        <v>171.37002000000001</v>
      </c>
      <c r="AE155" s="3">
        <v>354</v>
      </c>
      <c r="AF155" s="3">
        <v>10</v>
      </c>
      <c r="AG155" s="3">
        <v>407518</v>
      </c>
      <c r="AH155" s="3">
        <v>0</v>
      </c>
      <c r="AI155" s="3">
        <v>53</v>
      </c>
      <c r="AJ155" s="3">
        <v>32601</v>
      </c>
      <c r="AK155" s="3">
        <v>0</v>
      </c>
      <c r="AL155" s="3">
        <v>0</v>
      </c>
      <c r="AM155" s="3">
        <v>330</v>
      </c>
      <c r="AN155" s="3">
        <v>440502</v>
      </c>
      <c r="AO155" s="3" t="s">
        <v>97</v>
      </c>
      <c r="AP155" s="3" t="s">
        <v>98</v>
      </c>
      <c r="AQ155" s="3">
        <v>210370444</v>
      </c>
      <c r="AR155" s="3" t="s">
        <v>99</v>
      </c>
      <c r="AS155" s="3" t="s">
        <v>100</v>
      </c>
      <c r="AT155" s="3" t="s">
        <v>428</v>
      </c>
      <c r="AU155" s="3"/>
      <c r="AV155" s="3" t="s">
        <v>102</v>
      </c>
      <c r="AW155" s="3">
        <v>30049099</v>
      </c>
      <c r="AX155" s="3">
        <v>99</v>
      </c>
      <c r="AY155" s="3">
        <v>23780</v>
      </c>
      <c r="AZ155" s="3">
        <v>23780</v>
      </c>
      <c r="BA155" s="3" t="s">
        <v>103</v>
      </c>
      <c r="BB155" s="3"/>
      <c r="BC155" s="3" t="s">
        <v>133</v>
      </c>
      <c r="BD155" s="3" t="s">
        <v>105</v>
      </c>
      <c r="BE155" s="4">
        <v>46127</v>
      </c>
      <c r="BF155" s="4">
        <v>46132</v>
      </c>
      <c r="BG155" s="4">
        <v>46133</v>
      </c>
      <c r="BH155" s="3" t="s">
        <v>228</v>
      </c>
      <c r="BI155" s="3" t="s">
        <v>107</v>
      </c>
      <c r="BJ155" s="5"/>
      <c r="BK155" s="3"/>
      <c r="BL155" s="3"/>
      <c r="BM155" s="3" t="s">
        <v>109</v>
      </c>
      <c r="BN155" s="3" t="s">
        <v>429</v>
      </c>
      <c r="BO155" s="3">
        <v>46003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22189.59</v>
      </c>
      <c r="CB155" s="3">
        <v>0</v>
      </c>
      <c r="CC155" s="3">
        <v>0</v>
      </c>
      <c r="CD155" s="3">
        <v>5038.8100000000004</v>
      </c>
      <c r="CE155" s="3">
        <v>16369.14</v>
      </c>
      <c r="CF155" s="3">
        <v>2761.46</v>
      </c>
      <c r="CG155" s="3">
        <v>155013.37</v>
      </c>
      <c r="CH155" s="3" t="s">
        <v>192</v>
      </c>
      <c r="CI155" s="3">
        <v>155013.37</v>
      </c>
      <c r="CJ155" s="3">
        <v>0</v>
      </c>
      <c r="CK155" s="3">
        <v>0</v>
      </c>
      <c r="CL155" s="3" t="s">
        <v>112</v>
      </c>
      <c r="CM155" s="3" t="s">
        <v>112</v>
      </c>
    </row>
    <row r="156" spans="1:91" x14ac:dyDescent="0.25">
      <c r="A156" s="3" t="s">
        <v>90</v>
      </c>
      <c r="B156" s="3" t="s">
        <v>426</v>
      </c>
      <c r="C156" s="3">
        <v>3942</v>
      </c>
      <c r="D156" s="3">
        <v>6000581</v>
      </c>
      <c r="E156" s="3"/>
      <c r="F156" s="3" t="s">
        <v>92</v>
      </c>
      <c r="G156" s="3" t="s">
        <v>93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430</v>
      </c>
      <c r="S156" s="3" t="s">
        <v>427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 t="s">
        <v>430</v>
      </c>
      <c r="AB156" s="3"/>
      <c r="AC156" s="3">
        <v>4456382</v>
      </c>
      <c r="AD156" s="3">
        <v>279.65998999999999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/>
      <c r="AP156" s="3" t="s">
        <v>98</v>
      </c>
      <c r="AQ156" s="3">
        <v>210370444</v>
      </c>
      <c r="AR156" s="3" t="s">
        <v>99</v>
      </c>
      <c r="AS156" s="3" t="s">
        <v>100</v>
      </c>
      <c r="AT156" s="3">
        <v>0</v>
      </c>
      <c r="AU156" s="3">
        <v>0</v>
      </c>
      <c r="AV156" s="3">
        <v>0</v>
      </c>
      <c r="AW156" s="3">
        <v>30043999</v>
      </c>
      <c r="AX156" s="3">
        <v>99</v>
      </c>
      <c r="AY156" s="3">
        <v>15935</v>
      </c>
      <c r="AZ156" s="3">
        <v>15935</v>
      </c>
      <c r="BA156" s="3" t="s">
        <v>103</v>
      </c>
      <c r="BB156" s="3"/>
      <c r="BC156" s="3" t="s">
        <v>133</v>
      </c>
      <c r="BD156" s="3" t="s">
        <v>105</v>
      </c>
      <c r="BE156" s="3"/>
      <c r="BF156" s="3"/>
      <c r="BG156" s="3"/>
      <c r="BH156" s="3"/>
      <c r="BI156" s="3"/>
      <c r="BJ156" s="5"/>
      <c r="BK156" s="3"/>
      <c r="BL156" s="3"/>
      <c r="BM156" s="3"/>
      <c r="BN156" s="3" t="s">
        <v>429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 t="s">
        <v>192</v>
      </c>
      <c r="CI156" s="3">
        <v>0</v>
      </c>
      <c r="CJ156" s="3">
        <v>0</v>
      </c>
      <c r="CK156" s="3">
        <v>0</v>
      </c>
      <c r="CL156" s="3" t="s">
        <v>112</v>
      </c>
      <c r="CM156" s="3" t="s">
        <v>112</v>
      </c>
    </row>
    <row r="157" spans="1:91" x14ac:dyDescent="0.25">
      <c r="A157" s="3" t="s">
        <v>90</v>
      </c>
      <c r="B157" s="3" t="s">
        <v>426</v>
      </c>
      <c r="C157" s="3">
        <v>3942</v>
      </c>
      <c r="D157" s="3">
        <v>6000581</v>
      </c>
      <c r="E157" s="3"/>
      <c r="F157" s="3" t="s">
        <v>92</v>
      </c>
      <c r="G157" s="3" t="s">
        <v>93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430</v>
      </c>
      <c r="S157" s="3" t="s">
        <v>427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 t="s">
        <v>431</v>
      </c>
      <c r="AB157" s="3"/>
      <c r="AC157" s="3">
        <v>2585183</v>
      </c>
      <c r="AD157" s="3">
        <v>997.36998000000006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/>
      <c r="AP157" s="3" t="s">
        <v>98</v>
      </c>
      <c r="AQ157" s="3">
        <v>210370444</v>
      </c>
      <c r="AR157" s="3" t="s">
        <v>99</v>
      </c>
      <c r="AS157" s="3" t="s">
        <v>100</v>
      </c>
      <c r="AT157" s="3">
        <v>0</v>
      </c>
      <c r="AU157" s="3">
        <v>0</v>
      </c>
      <c r="AV157" s="3">
        <v>0</v>
      </c>
      <c r="AW157" s="3">
        <v>30049099</v>
      </c>
      <c r="AX157" s="3">
        <v>99</v>
      </c>
      <c r="AY157" s="3">
        <v>2592</v>
      </c>
      <c r="AZ157" s="3">
        <v>2592</v>
      </c>
      <c r="BA157" s="3" t="s">
        <v>432</v>
      </c>
      <c r="BB157" s="3"/>
      <c r="BC157" s="3" t="s">
        <v>133</v>
      </c>
      <c r="BD157" s="3" t="s">
        <v>105</v>
      </c>
      <c r="BE157" s="3"/>
      <c r="BF157" s="3"/>
      <c r="BG157" s="3"/>
      <c r="BH157" s="3"/>
      <c r="BI157" s="3"/>
      <c r="BJ157" s="5"/>
      <c r="BK157" s="3"/>
      <c r="BL157" s="3"/>
      <c r="BM157" s="3"/>
      <c r="BN157" s="3" t="s">
        <v>429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 t="s">
        <v>192</v>
      </c>
      <c r="CI157" s="3">
        <v>0</v>
      </c>
      <c r="CJ157" s="3">
        <v>0</v>
      </c>
      <c r="CK157" s="3">
        <v>0</v>
      </c>
      <c r="CL157" s="3" t="s">
        <v>112</v>
      </c>
      <c r="CM157" s="3" t="s">
        <v>112</v>
      </c>
    </row>
    <row r="158" spans="1:91" x14ac:dyDescent="0.25">
      <c r="A158" s="3" t="s">
        <v>90</v>
      </c>
      <c r="B158" s="3" t="s">
        <v>450</v>
      </c>
      <c r="C158" s="3">
        <v>3942</v>
      </c>
      <c r="D158" s="3">
        <v>6000613</v>
      </c>
      <c r="E158" s="3"/>
      <c r="F158" s="3" t="s">
        <v>92</v>
      </c>
      <c r="G158" s="3" t="s">
        <v>93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17.244700000000002</v>
      </c>
      <c r="Q158" s="3">
        <v>7268</v>
      </c>
      <c r="R158" s="3">
        <v>430</v>
      </c>
      <c r="S158" s="3" t="s">
        <v>451</v>
      </c>
      <c r="T158" s="3" t="s">
        <v>130</v>
      </c>
      <c r="U158" s="3">
        <v>23204810</v>
      </c>
      <c r="V158" s="3">
        <v>23204810</v>
      </c>
      <c r="W158" s="3">
        <v>0</v>
      </c>
      <c r="X158" s="3">
        <v>0</v>
      </c>
      <c r="Y158" s="3">
        <v>0</v>
      </c>
      <c r="Z158" s="3">
        <v>0</v>
      </c>
      <c r="AA158" s="3" t="s">
        <v>217</v>
      </c>
      <c r="AB158" s="3"/>
      <c r="AC158" s="3">
        <v>3093506</v>
      </c>
      <c r="AD158" s="3">
        <v>520.87995000000001</v>
      </c>
      <c r="AE158" s="3">
        <v>808</v>
      </c>
      <c r="AF158" s="3">
        <v>0</v>
      </c>
      <c r="AG158" s="3">
        <v>0</v>
      </c>
      <c r="AH158" s="3">
        <v>0</v>
      </c>
      <c r="AI158" s="3">
        <v>53</v>
      </c>
      <c r="AJ158" s="3">
        <v>462</v>
      </c>
      <c r="AK158" s="3">
        <v>0</v>
      </c>
      <c r="AL158" s="3">
        <v>0</v>
      </c>
      <c r="AM158" s="3">
        <v>330</v>
      </c>
      <c r="AN158" s="3">
        <v>845</v>
      </c>
      <c r="AO158" s="3" t="s">
        <v>97</v>
      </c>
      <c r="AP158" s="3" t="s">
        <v>98</v>
      </c>
      <c r="AQ158" s="3">
        <v>210370643</v>
      </c>
      <c r="AR158" s="3" t="s">
        <v>99</v>
      </c>
      <c r="AS158" s="3" t="s">
        <v>100</v>
      </c>
      <c r="AT158" s="3" t="s">
        <v>456</v>
      </c>
      <c r="AU158" s="3"/>
      <c r="AV158" s="3" t="s">
        <v>146</v>
      </c>
      <c r="AW158" s="3">
        <v>30024201</v>
      </c>
      <c r="AX158" s="3">
        <v>99</v>
      </c>
      <c r="AY158" s="3">
        <v>5939</v>
      </c>
      <c r="AZ158" s="3">
        <v>5939</v>
      </c>
      <c r="BA158" s="3" t="s">
        <v>103</v>
      </c>
      <c r="BB158" s="3"/>
      <c r="BC158" s="3" t="s">
        <v>105</v>
      </c>
      <c r="BD158" s="3" t="s">
        <v>105</v>
      </c>
      <c r="BE158" s="4">
        <v>46133</v>
      </c>
      <c r="BF158" s="4">
        <v>46139</v>
      </c>
      <c r="BG158" s="4">
        <v>46139</v>
      </c>
      <c r="BH158" s="3" t="s">
        <v>106</v>
      </c>
      <c r="BI158" s="3" t="s">
        <v>117</v>
      </c>
      <c r="BJ158" s="5" t="s">
        <v>457</v>
      </c>
      <c r="BK158" s="3" t="s">
        <v>148</v>
      </c>
      <c r="BL158" s="3"/>
      <c r="BM158" s="3" t="s">
        <v>109</v>
      </c>
      <c r="BN158" s="3" t="s">
        <v>458</v>
      </c>
      <c r="BO158" s="3">
        <v>46002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22189.59</v>
      </c>
      <c r="CB158" s="3">
        <v>0</v>
      </c>
      <c r="CC158" s="3">
        <v>0</v>
      </c>
      <c r="CD158" s="3">
        <v>26133.93</v>
      </c>
      <c r="CE158" s="3">
        <v>18000</v>
      </c>
      <c r="CF158" s="3">
        <v>3323.2</v>
      </c>
      <c r="CG158" s="3">
        <v>189833.75</v>
      </c>
      <c r="CH158" s="3" t="s">
        <v>192</v>
      </c>
      <c r="CI158" s="3">
        <v>189833.75</v>
      </c>
      <c r="CJ158" s="3">
        <v>0</v>
      </c>
      <c r="CK158" s="3">
        <v>0</v>
      </c>
      <c r="CL158" s="3" t="s">
        <v>112</v>
      </c>
      <c r="CM158" s="3" t="s">
        <v>112</v>
      </c>
    </row>
    <row r="159" spans="1:91" x14ac:dyDescent="0.25">
      <c r="A159" s="3" t="s">
        <v>90</v>
      </c>
      <c r="B159" s="3" t="s">
        <v>433</v>
      </c>
      <c r="C159" s="3">
        <v>3942</v>
      </c>
      <c r="D159" s="3">
        <v>6000582</v>
      </c>
      <c r="E159" s="3"/>
      <c r="F159" s="3" t="s">
        <v>92</v>
      </c>
      <c r="G159" s="3" t="s">
        <v>93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10</v>
      </c>
      <c r="O159" s="3">
        <v>582093</v>
      </c>
      <c r="P159" s="3">
        <v>0</v>
      </c>
      <c r="Q159" s="3">
        <v>0</v>
      </c>
      <c r="R159" s="3">
        <v>430</v>
      </c>
      <c r="S159" s="3" t="s">
        <v>434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 t="s">
        <v>179</v>
      </c>
      <c r="AB159" s="3"/>
      <c r="AC159" s="3">
        <v>5820931</v>
      </c>
      <c r="AD159" s="3">
        <v>2080.3899200000001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/>
      <c r="AP159" s="3" t="s">
        <v>98</v>
      </c>
      <c r="AQ159" s="3">
        <v>210370445</v>
      </c>
      <c r="AR159" s="3" t="s">
        <v>99</v>
      </c>
      <c r="AS159" s="3" t="s">
        <v>100</v>
      </c>
      <c r="AT159" s="3">
        <v>0</v>
      </c>
      <c r="AU159" s="3">
        <v>0</v>
      </c>
      <c r="AV159" s="3">
        <v>0</v>
      </c>
      <c r="AW159" s="3">
        <v>30043999</v>
      </c>
      <c r="AX159" s="3">
        <v>99</v>
      </c>
      <c r="AY159" s="3">
        <v>2798</v>
      </c>
      <c r="AZ159" s="3">
        <v>2798</v>
      </c>
      <c r="BA159" s="3" t="s">
        <v>103</v>
      </c>
      <c r="BB159" s="3"/>
      <c r="BC159" s="3" t="s">
        <v>133</v>
      </c>
      <c r="BD159" s="3" t="s">
        <v>105</v>
      </c>
      <c r="BE159" s="3"/>
      <c r="BF159" s="3"/>
      <c r="BG159" s="3"/>
      <c r="BH159" s="3"/>
      <c r="BI159" s="3"/>
      <c r="BJ159" s="5"/>
      <c r="BK159" s="3"/>
      <c r="BL159" s="3"/>
      <c r="BM159" s="3"/>
      <c r="BN159" s="3" t="s">
        <v>437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 t="s">
        <v>192</v>
      </c>
      <c r="CI159" s="3">
        <v>0</v>
      </c>
      <c r="CJ159" s="3">
        <v>0</v>
      </c>
      <c r="CK159" s="3">
        <v>0</v>
      </c>
      <c r="CL159" s="3" t="s">
        <v>112</v>
      </c>
      <c r="CM159" s="3" t="s">
        <v>112</v>
      </c>
    </row>
    <row r="160" spans="1:91" x14ac:dyDescent="0.25">
      <c r="A160" s="3" t="s">
        <v>90</v>
      </c>
      <c r="B160" s="3" t="s">
        <v>433</v>
      </c>
      <c r="C160" s="3">
        <v>3942</v>
      </c>
      <c r="D160" s="3">
        <v>6000582</v>
      </c>
      <c r="E160" s="3"/>
      <c r="F160" s="3" t="s">
        <v>92</v>
      </c>
      <c r="G160" s="3" t="s">
        <v>93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430</v>
      </c>
      <c r="S160" s="3" t="s">
        <v>434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 t="s">
        <v>438</v>
      </c>
      <c r="AB160" s="3"/>
      <c r="AC160" s="3">
        <v>7719310</v>
      </c>
      <c r="AD160" s="3">
        <v>7719.31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/>
      <c r="AP160" s="3" t="s">
        <v>98</v>
      </c>
      <c r="AQ160" s="3">
        <v>210370446</v>
      </c>
      <c r="AR160" s="3" t="s">
        <v>99</v>
      </c>
      <c r="AS160" s="3" t="s">
        <v>100</v>
      </c>
      <c r="AT160" s="3">
        <v>0</v>
      </c>
      <c r="AU160" s="3">
        <v>0</v>
      </c>
      <c r="AV160" s="3">
        <v>0</v>
      </c>
      <c r="AW160" s="3">
        <v>30049099</v>
      </c>
      <c r="AX160" s="3">
        <v>99</v>
      </c>
      <c r="AY160" s="3">
        <v>1000</v>
      </c>
      <c r="AZ160" s="3">
        <v>1000</v>
      </c>
      <c r="BA160" s="3" t="s">
        <v>121</v>
      </c>
      <c r="BB160" s="3"/>
      <c r="BC160" s="3" t="s">
        <v>133</v>
      </c>
      <c r="BD160" s="3" t="s">
        <v>105</v>
      </c>
      <c r="BE160" s="3"/>
      <c r="BF160" s="3"/>
      <c r="BG160" s="3"/>
      <c r="BH160" s="3"/>
      <c r="BI160" s="3"/>
      <c r="BJ160" s="5"/>
      <c r="BK160" s="3"/>
      <c r="BL160" s="3"/>
      <c r="BM160" s="3"/>
      <c r="BN160" s="3" t="s">
        <v>439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 t="s">
        <v>192</v>
      </c>
      <c r="CI160" s="3">
        <v>0</v>
      </c>
      <c r="CJ160" s="3">
        <v>0</v>
      </c>
      <c r="CK160" s="3">
        <v>0</v>
      </c>
      <c r="CL160" s="3" t="s">
        <v>112</v>
      </c>
      <c r="CM160" s="3" t="s">
        <v>112</v>
      </c>
    </row>
    <row r="161" spans="1:91" x14ac:dyDescent="0.25">
      <c r="A161" s="3" t="s">
        <v>90</v>
      </c>
      <c r="B161" s="3" t="s">
        <v>440</v>
      </c>
      <c r="C161" s="3">
        <v>3942</v>
      </c>
      <c r="D161" s="3">
        <v>6000583</v>
      </c>
      <c r="E161" s="3"/>
      <c r="F161" s="3" t="s">
        <v>92</v>
      </c>
      <c r="G161" s="3" t="s">
        <v>93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17.347000000000001</v>
      </c>
      <c r="Q161" s="3">
        <v>3195</v>
      </c>
      <c r="R161" s="3">
        <v>430</v>
      </c>
      <c r="S161" s="3" t="s">
        <v>441</v>
      </c>
      <c r="T161" s="3" t="s">
        <v>95</v>
      </c>
      <c r="U161" s="3">
        <v>10797531</v>
      </c>
      <c r="V161" s="3">
        <v>10797531</v>
      </c>
      <c r="W161" s="3">
        <v>0</v>
      </c>
      <c r="X161" s="3">
        <v>0</v>
      </c>
      <c r="Y161" s="3">
        <v>0</v>
      </c>
      <c r="Z161" s="3">
        <v>0</v>
      </c>
      <c r="AA161" s="3" t="s">
        <v>136</v>
      </c>
      <c r="AB161" s="3"/>
      <c r="AC161" s="3">
        <v>732459</v>
      </c>
      <c r="AD161" s="3">
        <v>606.34023000000002</v>
      </c>
      <c r="AE161" s="3">
        <v>354</v>
      </c>
      <c r="AF161" s="3" t="s">
        <v>180</v>
      </c>
      <c r="AG161" s="3">
        <v>752477</v>
      </c>
      <c r="AH161" s="3">
        <v>0</v>
      </c>
      <c r="AI161" s="3">
        <v>53</v>
      </c>
      <c r="AJ161" s="3">
        <v>60198</v>
      </c>
      <c r="AK161" s="3">
        <v>0</v>
      </c>
      <c r="AL161" s="3">
        <v>0</v>
      </c>
      <c r="AM161" s="3">
        <v>330</v>
      </c>
      <c r="AN161" s="3">
        <v>813058</v>
      </c>
      <c r="AO161" s="3" t="s">
        <v>97</v>
      </c>
      <c r="AP161" s="3" t="s">
        <v>98</v>
      </c>
      <c r="AQ161" s="3">
        <v>210370447</v>
      </c>
      <c r="AR161" s="3" t="s">
        <v>99</v>
      </c>
      <c r="AS161" s="3" t="s">
        <v>100</v>
      </c>
      <c r="AT161" s="3" t="s">
        <v>442</v>
      </c>
      <c r="AU161" s="3"/>
      <c r="AV161" s="3" t="s">
        <v>102</v>
      </c>
      <c r="AW161" s="3">
        <v>30049099</v>
      </c>
      <c r="AX161" s="3">
        <v>99</v>
      </c>
      <c r="AY161" s="3">
        <v>1208</v>
      </c>
      <c r="AZ161" s="3">
        <v>1208</v>
      </c>
      <c r="BA161" s="3" t="s">
        <v>103</v>
      </c>
      <c r="BB161" s="3"/>
      <c r="BC161" s="3" t="s">
        <v>133</v>
      </c>
      <c r="BD161" s="3" t="s">
        <v>105</v>
      </c>
      <c r="BE161" s="4">
        <v>46127</v>
      </c>
      <c r="BF161" s="4">
        <v>46132</v>
      </c>
      <c r="BG161" s="4">
        <v>46133</v>
      </c>
      <c r="BH161" s="3" t="s">
        <v>228</v>
      </c>
      <c r="BI161" s="3" t="s">
        <v>117</v>
      </c>
      <c r="BJ161" s="5"/>
      <c r="BK161" s="3"/>
      <c r="BL161" s="3"/>
      <c r="BM161" s="3" t="s">
        <v>109</v>
      </c>
      <c r="BN161" s="3" t="s">
        <v>443</v>
      </c>
      <c r="BO161" s="3">
        <v>45992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22189.59</v>
      </c>
      <c r="CB161" s="3">
        <v>0</v>
      </c>
      <c r="CC161" s="3">
        <v>0</v>
      </c>
      <c r="CD161" s="3">
        <v>5038.8100000000004</v>
      </c>
      <c r="CE161" s="3">
        <v>16446.53</v>
      </c>
      <c r="CF161" s="3">
        <v>2773.84</v>
      </c>
      <c r="CG161" s="3">
        <v>157037.87</v>
      </c>
      <c r="CH161" s="3" t="s">
        <v>192</v>
      </c>
      <c r="CI161" s="3">
        <v>157037.87</v>
      </c>
      <c r="CJ161" s="3">
        <v>0</v>
      </c>
      <c r="CK161" s="3">
        <v>0</v>
      </c>
      <c r="CL161" s="3" t="s">
        <v>112</v>
      </c>
      <c r="CM161" s="3" t="s">
        <v>112</v>
      </c>
    </row>
    <row r="162" spans="1:91" x14ac:dyDescent="0.25">
      <c r="A162" s="3" t="s">
        <v>90</v>
      </c>
      <c r="B162" s="3" t="s">
        <v>440</v>
      </c>
      <c r="C162" s="3">
        <v>3942</v>
      </c>
      <c r="D162" s="3">
        <v>6000583</v>
      </c>
      <c r="E162" s="3"/>
      <c r="F162" s="3" t="s">
        <v>92</v>
      </c>
      <c r="G162" s="3" t="s">
        <v>93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430</v>
      </c>
      <c r="S162" s="3" t="s">
        <v>441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 t="s">
        <v>431</v>
      </c>
      <c r="AB162" s="3"/>
      <c r="AC162" s="3">
        <v>2540301</v>
      </c>
      <c r="AD162" s="3">
        <v>997.36985000000004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/>
      <c r="AP162" s="3" t="s">
        <v>98</v>
      </c>
      <c r="AQ162" s="3">
        <v>210370447</v>
      </c>
      <c r="AR162" s="3" t="s">
        <v>99</v>
      </c>
      <c r="AS162" s="3" t="s">
        <v>100</v>
      </c>
      <c r="AT162" s="3">
        <v>0</v>
      </c>
      <c r="AU162" s="3">
        <v>0</v>
      </c>
      <c r="AV162" s="3">
        <v>0</v>
      </c>
      <c r="AW162" s="3">
        <v>30049099</v>
      </c>
      <c r="AX162" s="3">
        <v>99</v>
      </c>
      <c r="AY162" s="3">
        <v>2547</v>
      </c>
      <c r="AZ162" s="3">
        <v>2547</v>
      </c>
      <c r="BA162" s="3" t="s">
        <v>432</v>
      </c>
      <c r="BB162" s="3"/>
      <c r="BC162" s="3" t="s">
        <v>133</v>
      </c>
      <c r="BD162" s="3" t="s">
        <v>105</v>
      </c>
      <c r="BE162" s="3"/>
      <c r="BF162" s="3"/>
      <c r="BG162" s="3"/>
      <c r="BH162" s="3"/>
      <c r="BI162" s="3"/>
      <c r="BJ162" s="5"/>
      <c r="BK162" s="3"/>
      <c r="BL162" s="3"/>
      <c r="BM162" s="3"/>
      <c r="BN162" s="3" t="s">
        <v>443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 t="s">
        <v>192</v>
      </c>
      <c r="CI162" s="3">
        <v>0</v>
      </c>
      <c r="CJ162" s="3">
        <v>0</v>
      </c>
      <c r="CK162" s="3">
        <v>0</v>
      </c>
      <c r="CL162" s="3" t="s">
        <v>112</v>
      </c>
      <c r="CM162" s="3" t="s">
        <v>112</v>
      </c>
    </row>
    <row r="163" spans="1:91" x14ac:dyDescent="0.25">
      <c r="A163" s="3" t="s">
        <v>90</v>
      </c>
      <c r="B163" s="3" t="s">
        <v>440</v>
      </c>
      <c r="C163" s="3">
        <v>3942</v>
      </c>
      <c r="D163" s="3">
        <v>6000583</v>
      </c>
      <c r="E163" s="3"/>
      <c r="F163" s="3" t="s">
        <v>92</v>
      </c>
      <c r="G163" s="3" t="s">
        <v>93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10</v>
      </c>
      <c r="O163" s="3">
        <v>251103</v>
      </c>
      <c r="P163" s="3">
        <v>0</v>
      </c>
      <c r="Q163" s="3">
        <v>0</v>
      </c>
      <c r="R163" s="3">
        <v>430</v>
      </c>
      <c r="S163" s="3" t="s">
        <v>441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 t="s">
        <v>179</v>
      </c>
      <c r="AB163" s="3"/>
      <c r="AC163" s="3">
        <v>2511031</v>
      </c>
      <c r="AD163" s="3">
        <v>2080.3902200000002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/>
      <c r="AP163" s="3" t="s">
        <v>98</v>
      </c>
      <c r="AQ163" s="3">
        <v>210370447</v>
      </c>
      <c r="AR163" s="3" t="s">
        <v>99</v>
      </c>
      <c r="AS163" s="3" t="s">
        <v>100</v>
      </c>
      <c r="AT163" s="3">
        <v>0</v>
      </c>
      <c r="AU163" s="3">
        <v>0</v>
      </c>
      <c r="AV163" s="3">
        <v>0</v>
      </c>
      <c r="AW163" s="3">
        <v>30043999</v>
      </c>
      <c r="AX163" s="3">
        <v>99</v>
      </c>
      <c r="AY163" s="3">
        <v>1207</v>
      </c>
      <c r="AZ163" s="3">
        <v>1207</v>
      </c>
      <c r="BA163" s="3" t="s">
        <v>103</v>
      </c>
      <c r="BB163" s="3"/>
      <c r="BC163" s="3" t="s">
        <v>133</v>
      </c>
      <c r="BD163" s="3" t="s">
        <v>105</v>
      </c>
      <c r="BE163" s="3"/>
      <c r="BF163" s="3"/>
      <c r="BG163" s="3"/>
      <c r="BH163" s="3"/>
      <c r="BI163" s="3"/>
      <c r="BJ163" s="5"/>
      <c r="BK163" s="3"/>
      <c r="BL163" s="3"/>
      <c r="BM163" s="3"/>
      <c r="BN163" s="3" t="s">
        <v>443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 t="s">
        <v>192</v>
      </c>
      <c r="CI163" s="3">
        <v>0</v>
      </c>
      <c r="CJ163" s="3">
        <v>0</v>
      </c>
      <c r="CK163" s="3">
        <v>0</v>
      </c>
      <c r="CL163" s="3" t="s">
        <v>112</v>
      </c>
      <c r="CM163" s="3" t="s">
        <v>112</v>
      </c>
    </row>
    <row r="164" spans="1:91" x14ac:dyDescent="0.25">
      <c r="A164" s="3" t="s">
        <v>90</v>
      </c>
      <c r="B164" s="3" t="s">
        <v>440</v>
      </c>
      <c r="C164" s="3">
        <v>3942</v>
      </c>
      <c r="D164" s="3">
        <v>6000583</v>
      </c>
      <c r="E164" s="3"/>
      <c r="F164" s="3" t="s">
        <v>92</v>
      </c>
      <c r="G164" s="3" t="s">
        <v>93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10</v>
      </c>
      <c r="O164" s="3">
        <v>501374</v>
      </c>
      <c r="P164" s="3">
        <v>0</v>
      </c>
      <c r="Q164" s="3">
        <v>0</v>
      </c>
      <c r="R164" s="3">
        <v>430</v>
      </c>
      <c r="S164" s="3" t="s">
        <v>441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 t="s">
        <v>179</v>
      </c>
      <c r="AB164" s="3"/>
      <c r="AC164" s="3">
        <v>5013740</v>
      </c>
      <c r="AD164" s="3">
        <v>2080.3900400000002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/>
      <c r="AP164" s="3" t="s">
        <v>98</v>
      </c>
      <c r="AQ164" s="3">
        <v>210370447</v>
      </c>
      <c r="AR164" s="3" t="s">
        <v>99</v>
      </c>
      <c r="AS164" s="3" t="s">
        <v>100</v>
      </c>
      <c r="AT164" s="3">
        <v>0</v>
      </c>
      <c r="AU164" s="3">
        <v>0</v>
      </c>
      <c r="AV164" s="3">
        <v>0</v>
      </c>
      <c r="AW164" s="3">
        <v>30043999</v>
      </c>
      <c r="AX164" s="3">
        <v>99</v>
      </c>
      <c r="AY164" s="3">
        <v>2410</v>
      </c>
      <c r="AZ164" s="3">
        <v>2410</v>
      </c>
      <c r="BA164" s="3" t="s">
        <v>103</v>
      </c>
      <c r="BB164" s="3"/>
      <c r="BC164" s="3" t="s">
        <v>133</v>
      </c>
      <c r="BD164" s="3" t="s">
        <v>105</v>
      </c>
      <c r="BE164" s="3"/>
      <c r="BF164" s="3"/>
      <c r="BG164" s="3"/>
      <c r="BH164" s="3"/>
      <c r="BI164" s="3"/>
      <c r="BJ164" s="5"/>
      <c r="BK164" s="3"/>
      <c r="BL164" s="3"/>
      <c r="BM164" s="3"/>
      <c r="BN164" s="3" t="s">
        <v>443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 t="s">
        <v>192</v>
      </c>
      <c r="CI164" s="3">
        <v>0</v>
      </c>
      <c r="CJ164" s="3">
        <v>0</v>
      </c>
      <c r="CK164" s="3">
        <v>0</v>
      </c>
      <c r="CL164" s="3" t="s">
        <v>112</v>
      </c>
      <c r="CM164" s="3" t="s">
        <v>112</v>
      </c>
    </row>
    <row r="165" spans="1:91" x14ac:dyDescent="0.25">
      <c r="A165" s="3" t="s">
        <v>90</v>
      </c>
      <c r="B165" s="3" t="s">
        <v>444</v>
      </c>
      <c r="C165" s="3">
        <v>3942</v>
      </c>
      <c r="D165" s="3">
        <v>6000612</v>
      </c>
      <c r="E165" s="3"/>
      <c r="F165" s="3" t="s">
        <v>92</v>
      </c>
      <c r="G165" s="3" t="s">
        <v>93</v>
      </c>
      <c r="H165" s="3">
        <v>16</v>
      </c>
      <c r="I165" s="3">
        <v>179305</v>
      </c>
      <c r="J165" s="3">
        <v>0</v>
      </c>
      <c r="K165" s="3">
        <v>0</v>
      </c>
      <c r="L165" s="3" t="s">
        <v>223</v>
      </c>
      <c r="M165" s="3" t="s">
        <v>223</v>
      </c>
      <c r="N165" s="3">
        <v>0</v>
      </c>
      <c r="O165" s="3">
        <v>0</v>
      </c>
      <c r="P165" s="3">
        <v>17.268799999999999</v>
      </c>
      <c r="Q165" s="3">
        <v>2044.2</v>
      </c>
      <c r="R165" s="3">
        <v>430</v>
      </c>
      <c r="S165" s="3" t="s">
        <v>445</v>
      </c>
      <c r="T165" s="3" t="s">
        <v>446</v>
      </c>
      <c r="U165" s="3">
        <v>1048831</v>
      </c>
      <c r="V165" s="3">
        <v>1048831</v>
      </c>
      <c r="W165" s="3">
        <v>0</v>
      </c>
      <c r="X165" s="3">
        <v>0</v>
      </c>
      <c r="Y165" s="3">
        <v>0</v>
      </c>
      <c r="Z165" s="3">
        <v>0</v>
      </c>
      <c r="AA165" s="3" t="s">
        <v>364</v>
      </c>
      <c r="AB165" s="3"/>
      <c r="AC165" s="3">
        <v>1048831</v>
      </c>
      <c r="AD165" s="3">
        <v>592.55989</v>
      </c>
      <c r="AE165" s="3">
        <v>354</v>
      </c>
      <c r="AF165" s="3" t="s">
        <v>447</v>
      </c>
      <c r="AG165" s="3">
        <v>0</v>
      </c>
      <c r="AH165" s="3">
        <v>0</v>
      </c>
      <c r="AI165" s="3">
        <v>53</v>
      </c>
      <c r="AJ165" s="3">
        <v>8391</v>
      </c>
      <c r="AK165" s="3">
        <v>0</v>
      </c>
      <c r="AL165" s="3">
        <v>179305</v>
      </c>
      <c r="AM165" s="3">
        <v>330</v>
      </c>
      <c r="AN165" s="3">
        <v>251512</v>
      </c>
      <c r="AO165" s="3" t="s">
        <v>97</v>
      </c>
      <c r="AP165" s="3" t="s">
        <v>98</v>
      </c>
      <c r="AQ165" s="3">
        <v>210370161</v>
      </c>
      <c r="AR165" s="3" t="s">
        <v>99</v>
      </c>
      <c r="AS165" s="3" t="s">
        <v>100</v>
      </c>
      <c r="AT165" s="3">
        <v>267273161</v>
      </c>
      <c r="AU165" s="3"/>
      <c r="AV165" s="3" t="s">
        <v>188</v>
      </c>
      <c r="AW165" s="3">
        <v>38086201</v>
      </c>
      <c r="AX165" s="3">
        <v>0</v>
      </c>
      <c r="AY165" s="3">
        <v>1770</v>
      </c>
      <c r="AZ165" s="3">
        <v>1770</v>
      </c>
      <c r="BA165" s="3" t="s">
        <v>103</v>
      </c>
      <c r="BB165" s="3"/>
      <c r="BC165" s="3" t="s">
        <v>189</v>
      </c>
      <c r="BD165" s="3" t="s">
        <v>105</v>
      </c>
      <c r="BE165" s="4">
        <v>46128</v>
      </c>
      <c r="BF165" s="4">
        <v>46136</v>
      </c>
      <c r="BG165" s="4">
        <v>46137</v>
      </c>
      <c r="BH165" s="3" t="s">
        <v>106</v>
      </c>
      <c r="BI165" s="3" t="s">
        <v>107</v>
      </c>
      <c r="BJ165" s="5" t="s">
        <v>448</v>
      </c>
      <c r="BK165" s="3" t="s">
        <v>274</v>
      </c>
      <c r="BL165" s="3"/>
      <c r="BM165" s="3" t="s">
        <v>190</v>
      </c>
      <c r="BN165" s="3" t="s">
        <v>449</v>
      </c>
      <c r="BO165" s="3">
        <v>45991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22189.59</v>
      </c>
      <c r="CB165" s="3">
        <v>0</v>
      </c>
      <c r="CC165" s="3">
        <v>0</v>
      </c>
      <c r="CD165" s="3">
        <v>0</v>
      </c>
      <c r="CE165" s="3">
        <v>5600</v>
      </c>
      <c r="CF165" s="3">
        <v>1339.2</v>
      </c>
      <c r="CG165" s="3">
        <v>138283.46</v>
      </c>
      <c r="CH165" s="3" t="s">
        <v>192</v>
      </c>
      <c r="CI165" s="3">
        <v>138283.46</v>
      </c>
      <c r="CJ165" s="3">
        <v>0</v>
      </c>
      <c r="CK165" s="3">
        <v>0</v>
      </c>
      <c r="CL165" s="3" t="s">
        <v>112</v>
      </c>
      <c r="CM165" s="3" t="s">
        <v>112</v>
      </c>
    </row>
    <row r="166" spans="1:91" x14ac:dyDescent="0.25">
      <c r="A166" s="3" t="s">
        <v>90</v>
      </c>
      <c r="B166" s="3" t="s">
        <v>450</v>
      </c>
      <c r="C166" s="3">
        <v>3942</v>
      </c>
      <c r="D166" s="3">
        <v>6000613</v>
      </c>
      <c r="E166" s="3"/>
      <c r="F166" s="3" t="s">
        <v>92</v>
      </c>
      <c r="G166" s="3" t="s">
        <v>93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430</v>
      </c>
      <c r="S166" s="3" t="s">
        <v>451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 t="s">
        <v>150</v>
      </c>
      <c r="AB166" s="3"/>
      <c r="AC166" s="3">
        <v>1513157</v>
      </c>
      <c r="AD166" s="3">
        <v>8006.1216899999999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/>
      <c r="AP166" s="3" t="s">
        <v>98</v>
      </c>
      <c r="AQ166" s="3">
        <v>210368344</v>
      </c>
      <c r="AR166" s="3" t="s">
        <v>99</v>
      </c>
      <c r="AS166" s="3" t="s">
        <v>100</v>
      </c>
      <c r="AT166" s="3">
        <v>0</v>
      </c>
      <c r="AU166" s="3">
        <v>0</v>
      </c>
      <c r="AV166" s="3">
        <v>0</v>
      </c>
      <c r="AW166" s="3">
        <v>30024201</v>
      </c>
      <c r="AX166" s="3">
        <v>99</v>
      </c>
      <c r="AY166" s="3">
        <v>189</v>
      </c>
      <c r="AZ166" s="3">
        <v>189</v>
      </c>
      <c r="BA166" s="3" t="s">
        <v>121</v>
      </c>
      <c r="BB166" s="3"/>
      <c r="BC166" s="3" t="s">
        <v>105</v>
      </c>
      <c r="BD166" s="3" t="s">
        <v>105</v>
      </c>
      <c r="BE166" s="3"/>
      <c r="BF166" s="3"/>
      <c r="BG166" s="3"/>
      <c r="BH166" s="3"/>
      <c r="BI166" s="3"/>
      <c r="BJ166" s="5"/>
      <c r="BK166" s="3"/>
      <c r="BL166" s="3"/>
      <c r="BM166" s="3"/>
      <c r="BN166" s="3" t="s">
        <v>452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 t="s">
        <v>192</v>
      </c>
      <c r="CI166" s="3">
        <v>0</v>
      </c>
      <c r="CJ166" s="3">
        <v>0</v>
      </c>
      <c r="CK166" s="3">
        <v>0</v>
      </c>
      <c r="CL166" s="3" t="s">
        <v>112</v>
      </c>
      <c r="CM166" s="3" t="s">
        <v>112</v>
      </c>
    </row>
    <row r="167" spans="1:91" x14ac:dyDescent="0.25">
      <c r="A167" s="3" t="s">
        <v>90</v>
      </c>
      <c r="B167" s="3" t="s">
        <v>450</v>
      </c>
      <c r="C167" s="3">
        <v>3942</v>
      </c>
      <c r="D167" s="3">
        <v>6000613</v>
      </c>
      <c r="E167" s="3"/>
      <c r="F167" s="3" t="s">
        <v>92</v>
      </c>
      <c r="G167" s="3" t="s">
        <v>93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430</v>
      </c>
      <c r="S167" s="3" t="s">
        <v>451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 t="s">
        <v>150</v>
      </c>
      <c r="AB167" s="3"/>
      <c r="AC167" s="3">
        <v>2401836</v>
      </c>
      <c r="AD167" s="3">
        <v>8006.12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/>
      <c r="AP167" s="3" t="s">
        <v>98</v>
      </c>
      <c r="AQ167" s="3">
        <v>210370044</v>
      </c>
      <c r="AR167" s="3" t="s">
        <v>99</v>
      </c>
      <c r="AS167" s="3" t="s">
        <v>100</v>
      </c>
      <c r="AT167" s="3">
        <v>0</v>
      </c>
      <c r="AU167" s="3">
        <v>0</v>
      </c>
      <c r="AV167" s="3">
        <v>0</v>
      </c>
      <c r="AW167" s="3">
        <v>30024201</v>
      </c>
      <c r="AX167" s="3">
        <v>99</v>
      </c>
      <c r="AY167" s="3">
        <v>300</v>
      </c>
      <c r="AZ167" s="3">
        <v>300</v>
      </c>
      <c r="BA167" s="3" t="s">
        <v>121</v>
      </c>
      <c r="BB167" s="3"/>
      <c r="BC167" s="3" t="s">
        <v>105</v>
      </c>
      <c r="BD167" s="3" t="s">
        <v>105</v>
      </c>
      <c r="BE167" s="3"/>
      <c r="BF167" s="3"/>
      <c r="BG167" s="3"/>
      <c r="BH167" s="3"/>
      <c r="BI167" s="3"/>
      <c r="BJ167" s="5"/>
      <c r="BK167" s="3"/>
      <c r="BL167" s="3"/>
      <c r="BM167" s="3"/>
      <c r="BN167" s="3" t="s">
        <v>453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 t="s">
        <v>192</v>
      </c>
      <c r="CI167" s="3">
        <v>0</v>
      </c>
      <c r="CJ167" s="3">
        <v>0</v>
      </c>
      <c r="CK167" s="3">
        <v>0</v>
      </c>
      <c r="CL167" s="3" t="s">
        <v>112</v>
      </c>
      <c r="CM167" s="3" t="s">
        <v>112</v>
      </c>
    </row>
    <row r="168" spans="1:91" x14ac:dyDescent="0.25">
      <c r="A168" s="3" t="s">
        <v>90</v>
      </c>
      <c r="B168" s="3" t="s">
        <v>450</v>
      </c>
      <c r="C168" s="3">
        <v>3942</v>
      </c>
      <c r="D168" s="3">
        <v>6000613</v>
      </c>
      <c r="E168" s="3"/>
      <c r="F168" s="3" t="s">
        <v>92</v>
      </c>
      <c r="G168" s="3" t="s">
        <v>93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430</v>
      </c>
      <c r="S168" s="3" t="s">
        <v>451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 t="s">
        <v>218</v>
      </c>
      <c r="AB168" s="3"/>
      <c r="AC168" s="3">
        <v>1768989</v>
      </c>
      <c r="AD168" s="3">
        <v>1029.0802799999999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/>
      <c r="AP168" s="3" t="s">
        <v>98</v>
      </c>
      <c r="AQ168" s="3">
        <v>210370641</v>
      </c>
      <c r="AR168" s="3" t="s">
        <v>99</v>
      </c>
      <c r="AS168" s="3" t="s">
        <v>100</v>
      </c>
      <c r="AT168" s="3">
        <v>0</v>
      </c>
      <c r="AU168" s="3">
        <v>0</v>
      </c>
      <c r="AV168" s="3">
        <v>0</v>
      </c>
      <c r="AW168" s="3">
        <v>30024201</v>
      </c>
      <c r="AX168" s="3">
        <v>99</v>
      </c>
      <c r="AY168" s="3">
        <v>1719</v>
      </c>
      <c r="AZ168" s="3">
        <v>1719</v>
      </c>
      <c r="BA168" s="3" t="s">
        <v>103</v>
      </c>
      <c r="BB168" s="3"/>
      <c r="BC168" s="3" t="s">
        <v>105</v>
      </c>
      <c r="BD168" s="3" t="s">
        <v>105</v>
      </c>
      <c r="BE168" s="3"/>
      <c r="BF168" s="3"/>
      <c r="BG168" s="3"/>
      <c r="BH168" s="3"/>
      <c r="BI168" s="3"/>
      <c r="BJ168" s="5"/>
      <c r="BK168" s="3"/>
      <c r="BL168" s="3"/>
      <c r="BM168" s="3"/>
      <c r="BN168" s="3" t="s">
        <v>454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 t="s">
        <v>192</v>
      </c>
      <c r="CI168" s="3">
        <v>0</v>
      </c>
      <c r="CJ168" s="3">
        <v>0</v>
      </c>
      <c r="CK168" s="3">
        <v>0</v>
      </c>
      <c r="CL168" s="3" t="s">
        <v>112</v>
      </c>
      <c r="CM168" s="3" t="s">
        <v>112</v>
      </c>
    </row>
    <row r="169" spans="1:91" x14ac:dyDescent="0.25">
      <c r="A169" s="3" t="s">
        <v>90</v>
      </c>
      <c r="B169" s="3" t="s">
        <v>450</v>
      </c>
      <c r="C169" s="3">
        <v>3942</v>
      </c>
      <c r="D169" s="3">
        <v>6000613</v>
      </c>
      <c r="E169" s="3"/>
      <c r="F169" s="3" t="s">
        <v>92</v>
      </c>
      <c r="G169" s="3" t="s">
        <v>93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430</v>
      </c>
      <c r="S169" s="3" t="s">
        <v>451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 t="s">
        <v>218</v>
      </c>
      <c r="AB169" s="3"/>
      <c r="AC169" s="3">
        <v>1254449</v>
      </c>
      <c r="AD169" s="3">
        <v>1029.0803900000001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/>
      <c r="AP169" s="3" t="s">
        <v>98</v>
      </c>
      <c r="AQ169" s="3">
        <v>210370642</v>
      </c>
      <c r="AR169" s="3" t="s">
        <v>99</v>
      </c>
      <c r="AS169" s="3" t="s">
        <v>100</v>
      </c>
      <c r="AT169" s="3">
        <v>0</v>
      </c>
      <c r="AU169" s="3">
        <v>0</v>
      </c>
      <c r="AV169" s="3">
        <v>0</v>
      </c>
      <c r="AW169" s="3">
        <v>30024201</v>
      </c>
      <c r="AX169" s="3">
        <v>99</v>
      </c>
      <c r="AY169" s="3">
        <v>1219</v>
      </c>
      <c r="AZ169" s="3">
        <v>1219</v>
      </c>
      <c r="BA169" s="3" t="s">
        <v>103</v>
      </c>
      <c r="BB169" s="3"/>
      <c r="BC169" s="3" t="s">
        <v>105</v>
      </c>
      <c r="BD169" s="3" t="s">
        <v>105</v>
      </c>
      <c r="BE169" s="3"/>
      <c r="BF169" s="3"/>
      <c r="BG169" s="3"/>
      <c r="BH169" s="3"/>
      <c r="BI169" s="3"/>
      <c r="BJ169" s="5"/>
      <c r="BK169" s="3"/>
      <c r="BL169" s="3"/>
      <c r="BM169" s="3"/>
      <c r="BN169" s="3" t="s">
        <v>455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 t="s">
        <v>192</v>
      </c>
      <c r="CI169" s="3">
        <v>0</v>
      </c>
      <c r="CJ169" s="3">
        <v>0</v>
      </c>
      <c r="CK169" s="3">
        <v>0</v>
      </c>
      <c r="CL169" s="3" t="s">
        <v>112</v>
      </c>
      <c r="CM169" s="3" t="s">
        <v>112</v>
      </c>
    </row>
    <row r="170" spans="1:91" x14ac:dyDescent="0.25">
      <c r="A170" s="3" t="s">
        <v>90</v>
      </c>
      <c r="B170" s="3" t="s">
        <v>461</v>
      </c>
      <c r="C170" s="3">
        <v>3942</v>
      </c>
      <c r="D170" s="3">
        <v>6002421</v>
      </c>
      <c r="E170" s="3"/>
      <c r="F170" s="3" t="s">
        <v>92</v>
      </c>
      <c r="G170" s="3" t="s">
        <v>93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17.272300000000001</v>
      </c>
      <c r="Q170" s="3">
        <v>128</v>
      </c>
      <c r="R170" s="3">
        <v>470</v>
      </c>
      <c r="S170" s="3"/>
      <c r="T170" s="3" t="s">
        <v>277</v>
      </c>
      <c r="U170" s="3">
        <v>356771</v>
      </c>
      <c r="V170" s="3">
        <v>356771</v>
      </c>
      <c r="W170" s="3">
        <v>0</v>
      </c>
      <c r="X170" s="3">
        <v>0</v>
      </c>
      <c r="Y170" s="3">
        <v>0</v>
      </c>
      <c r="Z170" s="3">
        <v>0</v>
      </c>
      <c r="AA170" s="3" t="s">
        <v>462</v>
      </c>
      <c r="AB170" s="3"/>
      <c r="AC170" s="3">
        <v>356771</v>
      </c>
      <c r="AD170" s="3">
        <v>122.14002000000001</v>
      </c>
      <c r="AE170" s="3">
        <v>808</v>
      </c>
      <c r="AF170" s="3">
        <v>0</v>
      </c>
      <c r="AG170" s="3">
        <v>0</v>
      </c>
      <c r="AH170" s="3">
        <v>0</v>
      </c>
      <c r="AI170" s="3">
        <v>53</v>
      </c>
      <c r="AJ170" s="3">
        <v>462</v>
      </c>
      <c r="AK170" s="3">
        <v>0</v>
      </c>
      <c r="AL170" s="3">
        <v>0</v>
      </c>
      <c r="AM170" s="3">
        <v>330</v>
      </c>
      <c r="AN170" s="3">
        <v>845</v>
      </c>
      <c r="AO170" s="3" t="s">
        <v>97</v>
      </c>
      <c r="AP170" s="3" t="s">
        <v>98</v>
      </c>
      <c r="AQ170" s="3">
        <v>210372466</v>
      </c>
      <c r="AR170" s="3" t="s">
        <v>99</v>
      </c>
      <c r="AS170" s="3" t="s">
        <v>100</v>
      </c>
      <c r="AT170" s="3" t="s">
        <v>463</v>
      </c>
      <c r="AU170" s="3">
        <v>1073938896</v>
      </c>
      <c r="AV170" s="3" t="s">
        <v>102</v>
      </c>
      <c r="AW170" s="3">
        <v>30042099</v>
      </c>
      <c r="AX170" s="3">
        <v>0</v>
      </c>
      <c r="AY170" s="3">
        <v>2921</v>
      </c>
      <c r="AZ170" s="3">
        <v>2921</v>
      </c>
      <c r="BA170" s="3" t="s">
        <v>103</v>
      </c>
      <c r="BB170" s="3"/>
      <c r="BC170" s="3" t="s">
        <v>126</v>
      </c>
      <c r="BD170" s="3" t="s">
        <v>105</v>
      </c>
      <c r="BE170" s="4">
        <v>46132</v>
      </c>
      <c r="BF170" s="4">
        <v>46141</v>
      </c>
      <c r="BG170" s="4">
        <v>46142</v>
      </c>
      <c r="BH170" s="3" t="s">
        <v>106</v>
      </c>
      <c r="BI170" s="3"/>
      <c r="BJ170" s="5">
        <v>4.70020120261368E+16</v>
      </c>
      <c r="BK170" s="3" t="s">
        <v>108</v>
      </c>
      <c r="BL170" s="3" t="s">
        <v>464</v>
      </c>
      <c r="BM170" s="3" t="s">
        <v>465</v>
      </c>
      <c r="BN170" s="3" t="s">
        <v>466</v>
      </c>
      <c r="BO170" s="3">
        <v>45913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5300</v>
      </c>
      <c r="CF170" s="3">
        <v>1272</v>
      </c>
      <c r="CG170" s="3">
        <v>30905.43</v>
      </c>
      <c r="CH170" s="3" t="s">
        <v>192</v>
      </c>
      <c r="CI170" s="3">
        <v>30905.43</v>
      </c>
      <c r="CJ170" s="3">
        <v>0</v>
      </c>
      <c r="CK170" s="3">
        <v>0</v>
      </c>
      <c r="CL170" s="3" t="s">
        <v>467</v>
      </c>
      <c r="CM170" s="3" t="s">
        <v>285</v>
      </c>
    </row>
    <row r="171" spans="1:91" x14ac:dyDescent="0.25">
      <c r="A171" s="3" t="s">
        <v>90</v>
      </c>
      <c r="B171" s="3" t="s">
        <v>450</v>
      </c>
      <c r="C171" s="3">
        <v>3942</v>
      </c>
      <c r="D171" s="3">
        <v>6000613</v>
      </c>
      <c r="E171" s="3"/>
      <c r="F171" s="3" t="s">
        <v>92</v>
      </c>
      <c r="G171" s="3" t="s">
        <v>93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430</v>
      </c>
      <c r="S171" s="3" t="s">
        <v>451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 t="s">
        <v>216</v>
      </c>
      <c r="AB171" s="3"/>
      <c r="AC171" s="3">
        <v>5094814</v>
      </c>
      <c r="AD171" s="3">
        <v>484.39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/>
      <c r="AP171" s="3" t="s">
        <v>98</v>
      </c>
      <c r="AQ171" s="3">
        <v>210370643</v>
      </c>
      <c r="AR171" s="3" t="s">
        <v>99</v>
      </c>
      <c r="AS171" s="3" t="s">
        <v>100</v>
      </c>
      <c r="AT171" s="3">
        <v>0</v>
      </c>
      <c r="AU171" s="3">
        <v>0</v>
      </c>
      <c r="AV171" s="3">
        <v>0</v>
      </c>
      <c r="AW171" s="3">
        <v>30024201</v>
      </c>
      <c r="AX171" s="3">
        <v>99</v>
      </c>
      <c r="AY171" s="3">
        <v>10518</v>
      </c>
      <c r="AZ171" s="3">
        <v>10518</v>
      </c>
      <c r="BA171" s="3" t="s">
        <v>103</v>
      </c>
      <c r="BB171" s="3"/>
      <c r="BC171" s="3" t="s">
        <v>105</v>
      </c>
      <c r="BD171" s="3" t="s">
        <v>105</v>
      </c>
      <c r="BE171" s="3"/>
      <c r="BF171" s="3"/>
      <c r="BG171" s="3"/>
      <c r="BH171" s="3"/>
      <c r="BI171" s="3"/>
      <c r="BJ171" s="5"/>
      <c r="BK171" s="3"/>
      <c r="BL171" s="3"/>
      <c r="BM171" s="3"/>
      <c r="BN171" s="3" t="s">
        <v>458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 t="s">
        <v>192</v>
      </c>
      <c r="CI171" s="3">
        <v>0</v>
      </c>
      <c r="CJ171" s="3">
        <v>0</v>
      </c>
      <c r="CK171" s="3">
        <v>0</v>
      </c>
      <c r="CL171" s="3" t="s">
        <v>112</v>
      </c>
      <c r="CM171" s="3" t="s">
        <v>112</v>
      </c>
    </row>
    <row r="172" spans="1:91" x14ac:dyDescent="0.25">
      <c r="A172" s="3" t="s">
        <v>90</v>
      </c>
      <c r="B172" s="3" t="s">
        <v>450</v>
      </c>
      <c r="C172" s="3">
        <v>3942</v>
      </c>
      <c r="D172" s="3">
        <v>6000613</v>
      </c>
      <c r="E172" s="3"/>
      <c r="F172" s="3" t="s">
        <v>92</v>
      </c>
      <c r="G172" s="3" t="s">
        <v>93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430</v>
      </c>
      <c r="S172" s="3" t="s">
        <v>451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 t="s">
        <v>270</v>
      </c>
      <c r="AB172" s="3"/>
      <c r="AC172" s="3">
        <v>4308327</v>
      </c>
      <c r="AD172" s="3">
        <v>825.35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/>
      <c r="AP172" s="3" t="s">
        <v>98</v>
      </c>
      <c r="AQ172" s="3">
        <v>210370643</v>
      </c>
      <c r="AR172" s="3" t="s">
        <v>99</v>
      </c>
      <c r="AS172" s="3" t="s">
        <v>100</v>
      </c>
      <c r="AT172" s="3">
        <v>0</v>
      </c>
      <c r="AU172" s="3">
        <v>0</v>
      </c>
      <c r="AV172" s="3">
        <v>0</v>
      </c>
      <c r="AW172" s="3">
        <v>30024201</v>
      </c>
      <c r="AX172" s="3">
        <v>99</v>
      </c>
      <c r="AY172" s="3">
        <v>5220</v>
      </c>
      <c r="AZ172" s="3">
        <v>5220</v>
      </c>
      <c r="BA172" s="3" t="s">
        <v>103</v>
      </c>
      <c r="BB172" s="3"/>
      <c r="BC172" s="3" t="s">
        <v>105</v>
      </c>
      <c r="BD172" s="3" t="s">
        <v>105</v>
      </c>
      <c r="BE172" s="3"/>
      <c r="BF172" s="3"/>
      <c r="BG172" s="3"/>
      <c r="BH172" s="3"/>
      <c r="BI172" s="3"/>
      <c r="BJ172" s="5"/>
      <c r="BK172" s="3"/>
      <c r="BL172" s="3"/>
      <c r="BM172" s="3"/>
      <c r="BN172" s="3" t="s">
        <v>458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 t="s">
        <v>192</v>
      </c>
      <c r="CI172" s="3">
        <v>0</v>
      </c>
      <c r="CJ172" s="3">
        <v>0</v>
      </c>
      <c r="CK172" s="3">
        <v>0</v>
      </c>
      <c r="CL172" s="3" t="s">
        <v>112</v>
      </c>
      <c r="CM172" s="3" t="s">
        <v>112</v>
      </c>
    </row>
    <row r="173" spans="1:91" x14ac:dyDescent="0.25">
      <c r="A173" s="3" t="s">
        <v>90</v>
      </c>
      <c r="B173" s="3" t="s">
        <v>450</v>
      </c>
      <c r="C173" s="3">
        <v>3942</v>
      </c>
      <c r="D173" s="3">
        <v>6000613</v>
      </c>
      <c r="E173" s="3"/>
      <c r="F173" s="3" t="s">
        <v>92</v>
      </c>
      <c r="G173" s="3" t="s">
        <v>93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430</v>
      </c>
      <c r="S173" s="3" t="s">
        <v>451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 t="s">
        <v>164</v>
      </c>
      <c r="AB173" s="3"/>
      <c r="AC173" s="3">
        <v>792087</v>
      </c>
      <c r="AD173" s="3">
        <v>411.26011999999997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/>
      <c r="AP173" s="3" t="s">
        <v>98</v>
      </c>
      <c r="AQ173" s="3">
        <v>210370643</v>
      </c>
      <c r="AR173" s="3" t="s">
        <v>99</v>
      </c>
      <c r="AS173" s="3" t="s">
        <v>100</v>
      </c>
      <c r="AT173" s="3">
        <v>0</v>
      </c>
      <c r="AU173" s="3">
        <v>0</v>
      </c>
      <c r="AV173" s="3">
        <v>0</v>
      </c>
      <c r="AW173" s="3">
        <v>30024201</v>
      </c>
      <c r="AX173" s="3">
        <v>99</v>
      </c>
      <c r="AY173" s="3">
        <v>1926</v>
      </c>
      <c r="AZ173" s="3">
        <v>1926</v>
      </c>
      <c r="BA173" s="3" t="s">
        <v>103</v>
      </c>
      <c r="BB173" s="3"/>
      <c r="BC173" s="3" t="s">
        <v>105</v>
      </c>
      <c r="BD173" s="3" t="s">
        <v>105</v>
      </c>
      <c r="BE173" s="3"/>
      <c r="BF173" s="3"/>
      <c r="BG173" s="3"/>
      <c r="BH173" s="3"/>
      <c r="BI173" s="3"/>
      <c r="BJ173" s="5"/>
      <c r="BK173" s="3"/>
      <c r="BL173" s="3"/>
      <c r="BM173" s="3"/>
      <c r="BN173" s="3" t="s">
        <v>458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 t="s">
        <v>192</v>
      </c>
      <c r="CI173" s="3">
        <v>0</v>
      </c>
      <c r="CJ173" s="3">
        <v>0</v>
      </c>
      <c r="CK173" s="3">
        <v>0</v>
      </c>
      <c r="CL173" s="3" t="s">
        <v>112</v>
      </c>
      <c r="CM173" s="3" t="s">
        <v>112</v>
      </c>
    </row>
    <row r="174" spans="1:91" x14ac:dyDescent="0.25">
      <c r="A174" s="3" t="s">
        <v>90</v>
      </c>
      <c r="B174" s="3" t="s">
        <v>450</v>
      </c>
      <c r="C174" s="3">
        <v>3942</v>
      </c>
      <c r="D174" s="3">
        <v>6000613</v>
      </c>
      <c r="E174" s="3"/>
      <c r="F174" s="3" t="s">
        <v>92</v>
      </c>
      <c r="G174" s="3" t="s">
        <v>93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430</v>
      </c>
      <c r="S174" s="3" t="s">
        <v>451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 t="s">
        <v>459</v>
      </c>
      <c r="AB174" s="3"/>
      <c r="AC174" s="3">
        <v>209177</v>
      </c>
      <c r="AD174" s="3">
        <v>249.02024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/>
      <c r="AP174" s="3" t="s">
        <v>98</v>
      </c>
      <c r="AQ174" s="3">
        <v>210370644</v>
      </c>
      <c r="AR174" s="3" t="s">
        <v>99</v>
      </c>
      <c r="AS174" s="3" t="s">
        <v>100</v>
      </c>
      <c r="AT174" s="3">
        <v>0</v>
      </c>
      <c r="AU174" s="3">
        <v>0</v>
      </c>
      <c r="AV174" s="3">
        <v>0</v>
      </c>
      <c r="AW174" s="3">
        <v>30024201</v>
      </c>
      <c r="AX174" s="3">
        <v>99</v>
      </c>
      <c r="AY174" s="3">
        <v>840</v>
      </c>
      <c r="AZ174" s="3">
        <v>840</v>
      </c>
      <c r="BA174" s="3" t="s">
        <v>103</v>
      </c>
      <c r="BB174" s="3"/>
      <c r="BC174" s="3" t="s">
        <v>105</v>
      </c>
      <c r="BD174" s="3" t="s">
        <v>105</v>
      </c>
      <c r="BE174" s="3"/>
      <c r="BF174" s="3"/>
      <c r="BG174" s="3"/>
      <c r="BH174" s="3"/>
      <c r="BI174" s="3"/>
      <c r="BJ174" s="5"/>
      <c r="BK174" s="3"/>
      <c r="BL174" s="3"/>
      <c r="BM174" s="3"/>
      <c r="BN174" s="3" t="s">
        <v>460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 t="s">
        <v>192</v>
      </c>
      <c r="CI174" s="3">
        <v>0</v>
      </c>
      <c r="CJ174" s="3">
        <v>0</v>
      </c>
      <c r="CK174" s="3">
        <v>0</v>
      </c>
      <c r="CL174" s="3" t="s">
        <v>112</v>
      </c>
      <c r="CM174" s="3" t="s">
        <v>112</v>
      </c>
    </row>
    <row r="175" spans="1:91" x14ac:dyDescent="0.25">
      <c r="A175" s="3" t="s">
        <v>90</v>
      </c>
      <c r="B175" s="3" t="s">
        <v>450</v>
      </c>
      <c r="C175" s="3">
        <v>3942</v>
      </c>
      <c r="D175" s="3">
        <v>6000613</v>
      </c>
      <c r="E175" s="3"/>
      <c r="F175" s="3" t="s">
        <v>92</v>
      </c>
      <c r="G175" s="3" t="s">
        <v>93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430</v>
      </c>
      <c r="S175" s="3" t="s">
        <v>451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 t="s">
        <v>158</v>
      </c>
      <c r="AB175" s="3"/>
      <c r="AC175" s="3">
        <v>2768468</v>
      </c>
      <c r="AD175" s="3">
        <v>333.47001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/>
      <c r="AP175" s="3" t="s">
        <v>98</v>
      </c>
      <c r="AQ175" s="3">
        <v>210370644</v>
      </c>
      <c r="AR175" s="3" t="s">
        <v>99</v>
      </c>
      <c r="AS175" s="3" t="s">
        <v>100</v>
      </c>
      <c r="AT175" s="3">
        <v>0</v>
      </c>
      <c r="AU175" s="3">
        <v>0</v>
      </c>
      <c r="AV175" s="3">
        <v>0</v>
      </c>
      <c r="AW175" s="3">
        <v>30024201</v>
      </c>
      <c r="AX175" s="3">
        <v>99</v>
      </c>
      <c r="AY175" s="3">
        <v>8302</v>
      </c>
      <c r="AZ175" s="3">
        <v>8302</v>
      </c>
      <c r="BA175" s="3" t="s">
        <v>103</v>
      </c>
      <c r="BB175" s="3"/>
      <c r="BC175" s="3" t="s">
        <v>105</v>
      </c>
      <c r="BD175" s="3" t="s">
        <v>105</v>
      </c>
      <c r="BE175" s="3"/>
      <c r="BF175" s="3"/>
      <c r="BG175" s="3"/>
      <c r="BH175" s="3"/>
      <c r="BI175" s="3"/>
      <c r="BJ175" s="5"/>
      <c r="BK175" s="3"/>
      <c r="BL175" s="3"/>
      <c r="BM175" s="3"/>
      <c r="BN175" s="3" t="s">
        <v>460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 t="s">
        <v>192</v>
      </c>
      <c r="CI175" s="3">
        <v>0</v>
      </c>
      <c r="CJ175" s="3">
        <v>0</v>
      </c>
      <c r="CK175" s="3">
        <v>0</v>
      </c>
      <c r="CL175" s="3" t="s">
        <v>112</v>
      </c>
      <c r="CM175" s="3" t="s">
        <v>112</v>
      </c>
    </row>
    <row r="176" spans="1:91" x14ac:dyDescent="0.25">
      <c r="B176">
        <f>COUNTA(_xlfn.UNIQUE(B2:B175))</f>
        <v>48</v>
      </c>
      <c r="C176">
        <f>B176+6</f>
        <v>54</v>
      </c>
      <c r="BJ176" s="2"/>
    </row>
    <row r="177" spans="62:62" x14ac:dyDescent="0.25">
      <c r="BJ177" s="2"/>
    </row>
    <row r="178" spans="62:62" x14ac:dyDescent="0.25">
      <c r="BJ178" s="2"/>
    </row>
    <row r="179" spans="62:62" x14ac:dyDescent="0.25">
      <c r="BJ179" s="2"/>
    </row>
    <row r="180" spans="62:62" x14ac:dyDescent="0.25">
      <c r="BJ180" s="2"/>
    </row>
    <row r="181" spans="62:62" x14ac:dyDescent="0.25">
      <c r="BJ181" s="2"/>
    </row>
    <row r="182" spans="62:62" x14ac:dyDescent="0.25">
      <c r="BJ182" s="2"/>
    </row>
    <row r="183" spans="62:62" x14ac:dyDescent="0.25">
      <c r="BJ183" s="2"/>
    </row>
    <row r="184" spans="62:62" x14ac:dyDescent="0.25">
      <c r="BJ184" s="2"/>
    </row>
    <row r="185" spans="62:62" x14ac:dyDescent="0.25">
      <c r="BJ185" s="2"/>
    </row>
    <row r="186" spans="62:62" x14ac:dyDescent="0.25">
      <c r="BJ186" s="2"/>
    </row>
    <row r="187" spans="62:62" x14ac:dyDescent="0.25">
      <c r="BJ187" s="2"/>
    </row>
    <row r="188" spans="62:62" x14ac:dyDescent="0.25">
      <c r="BJ188" s="2"/>
    </row>
    <row r="189" spans="62:62" x14ac:dyDescent="0.25">
      <c r="BJ189" s="2"/>
    </row>
    <row r="190" spans="62:62" x14ac:dyDescent="0.25">
      <c r="BJ190" s="2"/>
    </row>
    <row r="191" spans="62:62" x14ac:dyDescent="0.25">
      <c r="BJ191" s="2"/>
    </row>
    <row r="192" spans="62:62" x14ac:dyDescent="0.25">
      <c r="BJ192" s="2"/>
    </row>
    <row r="193" spans="62:62" x14ac:dyDescent="0.25">
      <c r="BJ193" s="2"/>
    </row>
    <row r="194" spans="62:62" x14ac:dyDescent="0.25">
      <c r="BJ194" s="2"/>
    </row>
    <row r="195" spans="62:62" x14ac:dyDescent="0.25">
      <c r="BJ195" s="2"/>
    </row>
    <row r="196" spans="62:62" x14ac:dyDescent="0.25">
      <c r="BJ196" s="2"/>
    </row>
    <row r="197" spans="62:62" x14ac:dyDescent="0.25">
      <c r="BJ197" s="2"/>
    </row>
    <row r="198" spans="62:62" x14ac:dyDescent="0.25">
      <c r="BJ198" s="2"/>
    </row>
    <row r="199" spans="62:62" x14ac:dyDescent="0.25">
      <c r="BJ199" s="2"/>
    </row>
    <row r="200" spans="62:62" x14ac:dyDescent="0.25">
      <c r="BJ200" s="2"/>
    </row>
    <row r="201" spans="62:62" x14ac:dyDescent="0.25">
      <c r="BJ201" s="2"/>
    </row>
    <row r="202" spans="62:62" x14ac:dyDescent="0.25">
      <c r="BJ202" s="2"/>
    </row>
    <row r="203" spans="62:62" x14ac:dyDescent="0.25">
      <c r="BJ203" s="2"/>
    </row>
    <row r="204" spans="62:62" x14ac:dyDescent="0.25">
      <c r="BJ204" s="2"/>
    </row>
    <row r="205" spans="62:62" x14ac:dyDescent="0.25">
      <c r="BJ205" s="2"/>
    </row>
    <row r="206" spans="62:62" x14ac:dyDescent="0.25">
      <c r="BJ206" s="2"/>
    </row>
    <row r="207" spans="62:62" x14ac:dyDescent="0.25">
      <c r="BJ207" s="2"/>
    </row>
    <row r="208" spans="62:62" x14ac:dyDescent="0.25">
      <c r="BJ208" s="2"/>
    </row>
    <row r="209" spans="62:62" x14ac:dyDescent="0.25">
      <c r="BJ209" s="2"/>
    </row>
    <row r="210" spans="62:62" x14ac:dyDescent="0.25">
      <c r="BJ210" s="2"/>
    </row>
    <row r="211" spans="62:62" x14ac:dyDescent="0.25">
      <c r="BJ211" s="2"/>
    </row>
    <row r="212" spans="62:62" x14ac:dyDescent="0.25">
      <c r="BJ212" s="2"/>
    </row>
    <row r="213" spans="62:62" x14ac:dyDescent="0.25">
      <c r="BJ213" s="2"/>
    </row>
    <row r="214" spans="62:62" x14ac:dyDescent="0.25">
      <c r="BJ214" s="2"/>
    </row>
    <row r="215" spans="62:62" x14ac:dyDescent="0.25">
      <c r="BJ215" s="2"/>
    </row>
    <row r="216" spans="62:62" x14ac:dyDescent="0.25">
      <c r="BJ216" s="2"/>
    </row>
    <row r="217" spans="62:62" x14ac:dyDescent="0.25">
      <c r="BJ217" s="2"/>
    </row>
    <row r="218" spans="62:62" x14ac:dyDescent="0.25">
      <c r="BJ218" s="2"/>
    </row>
    <row r="219" spans="62:62" x14ac:dyDescent="0.25">
      <c r="BJ219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8960-CD9C-4CEC-B674-54C0320AE85E}">
  <dimension ref="A1:CA121"/>
  <sheetViews>
    <sheetView tabSelected="1" workbookViewId="0">
      <pane ySplit="1" topLeftCell="A101" activePane="bottomLeft" state="frozen"/>
      <selection pane="bottomLeft" activeCell="D67" sqref="D67"/>
    </sheetView>
  </sheetViews>
  <sheetFormatPr baseColWidth="10" defaultRowHeight="15" x14ac:dyDescent="0.25"/>
  <cols>
    <col min="1" max="1" width="18.140625" bestFit="1" customWidth="1"/>
    <col min="2" max="2" width="20.28515625" bestFit="1" customWidth="1"/>
    <col min="3" max="3" width="15.7109375" bestFit="1" customWidth="1"/>
    <col min="4" max="4" width="29.140625" bestFit="1" customWidth="1"/>
    <col min="5" max="5" width="18.5703125" bestFit="1" customWidth="1"/>
    <col min="6" max="6" width="9.42578125" bestFit="1" customWidth="1"/>
    <col min="7" max="7" width="30.5703125" bestFit="1" customWidth="1"/>
    <col min="8" max="8" width="25.42578125" bestFit="1" customWidth="1"/>
    <col min="9" max="9" width="19.7109375" bestFit="1" customWidth="1"/>
    <col min="10" max="10" width="26.5703125" bestFit="1" customWidth="1"/>
    <col min="11" max="11" width="27.28515625" bestFit="1" customWidth="1"/>
    <col min="12" max="12" width="19.140625" bestFit="1" customWidth="1"/>
    <col min="13" max="13" width="24.140625" bestFit="1" customWidth="1"/>
    <col min="14" max="14" width="36.85546875" bestFit="1" customWidth="1"/>
    <col min="15" max="15" width="25.42578125" bestFit="1" customWidth="1"/>
    <col min="16" max="16" width="28.42578125" bestFit="1" customWidth="1"/>
    <col min="17" max="17" width="34.85546875" bestFit="1" customWidth="1"/>
    <col min="18" max="18" width="26.42578125" bestFit="1" customWidth="1"/>
    <col min="19" max="19" width="39.28515625" bestFit="1" customWidth="1"/>
    <col min="20" max="20" width="30.7109375" bestFit="1" customWidth="1"/>
    <col min="21" max="21" width="21" bestFit="1" customWidth="1"/>
    <col min="22" max="22" width="29" bestFit="1" customWidth="1"/>
    <col min="23" max="23" width="20.7109375" bestFit="1" customWidth="1"/>
    <col min="24" max="24" width="28.7109375" bestFit="1" customWidth="1"/>
    <col min="25" max="25" width="27.28515625" bestFit="1" customWidth="1"/>
    <col min="26" max="26" width="35.28515625" bestFit="1" customWidth="1"/>
    <col min="27" max="27" width="16.7109375" bestFit="1" customWidth="1"/>
    <col min="28" max="28" width="22" bestFit="1" customWidth="1"/>
    <col min="29" max="29" width="31.42578125" bestFit="1" customWidth="1"/>
    <col min="30" max="30" width="27.5703125" bestFit="1" customWidth="1"/>
    <col min="31" max="31" width="36.7109375" bestFit="1" customWidth="1"/>
    <col min="32" max="32" width="24.42578125" bestFit="1" customWidth="1"/>
    <col min="33" max="33" width="22.7109375" bestFit="1" customWidth="1"/>
    <col min="34" max="34" width="21.5703125" bestFit="1" customWidth="1"/>
    <col min="35" max="35" width="28.85546875" bestFit="1" customWidth="1"/>
    <col min="36" max="36" width="33.85546875" bestFit="1" customWidth="1"/>
    <col min="37" max="37" width="26.140625" bestFit="1" customWidth="1"/>
    <col min="38" max="38" width="38.140625" bestFit="1" customWidth="1"/>
    <col min="39" max="39" width="39.140625" bestFit="1" customWidth="1"/>
    <col min="40" max="40" width="23.85546875" bestFit="1" customWidth="1"/>
    <col min="41" max="41" width="24" style="2" bestFit="1" customWidth="1"/>
    <col min="42" max="42" width="17.140625" bestFit="1" customWidth="1"/>
    <col min="43" max="43" width="20.85546875" bestFit="1" customWidth="1"/>
    <col min="44" max="44" width="19" bestFit="1" customWidth="1"/>
    <col min="45" max="45" width="20" bestFit="1" customWidth="1"/>
    <col min="46" max="46" width="19" bestFit="1" customWidth="1"/>
    <col min="47" max="47" width="20.42578125" style="2" bestFit="1" customWidth="1"/>
    <col min="48" max="48" width="23.7109375" bestFit="1" customWidth="1"/>
    <col min="49" max="49" width="83.7109375" bestFit="1" customWidth="1"/>
    <col min="50" max="50" width="24.140625" bestFit="1" customWidth="1"/>
    <col min="51" max="51" width="106.7109375" bestFit="1" customWidth="1"/>
    <col min="52" max="52" width="23.85546875" bestFit="1" customWidth="1"/>
    <col min="53" max="53" width="28.7109375" bestFit="1" customWidth="1"/>
    <col min="54" max="54" width="22.28515625" bestFit="1" customWidth="1"/>
    <col min="55" max="55" width="25.42578125" bestFit="1" customWidth="1"/>
    <col min="56" max="57" width="65.42578125" bestFit="1" customWidth="1"/>
    <col min="58" max="58" width="255.7109375" bestFit="1" customWidth="1"/>
    <col min="59" max="59" width="191.140625" bestFit="1" customWidth="1"/>
    <col min="60" max="60" width="43.5703125" bestFit="1" customWidth="1"/>
    <col min="61" max="61" width="31.140625" bestFit="1" customWidth="1"/>
    <col min="62" max="62" width="43.5703125" bestFit="1" customWidth="1"/>
    <col min="63" max="63" width="19.85546875" bestFit="1" customWidth="1"/>
    <col min="64" max="64" width="22.28515625" bestFit="1" customWidth="1"/>
    <col min="65" max="65" width="15.28515625" bestFit="1" customWidth="1"/>
    <col min="66" max="66" width="223.7109375" bestFit="1" customWidth="1"/>
    <col min="67" max="67" width="16.28515625" bestFit="1" customWidth="1"/>
    <col min="68" max="68" width="198.140625" bestFit="1" customWidth="1"/>
    <col min="69" max="69" width="61.140625" bestFit="1" customWidth="1"/>
    <col min="70" max="70" width="55.42578125" bestFit="1" customWidth="1"/>
    <col min="71" max="71" width="101.7109375" bestFit="1" customWidth="1"/>
    <col min="72" max="72" width="53.42578125" bestFit="1" customWidth="1"/>
    <col min="73" max="73" width="121.42578125" bestFit="1" customWidth="1"/>
    <col min="74" max="74" width="53.42578125" bestFit="1" customWidth="1"/>
    <col min="75" max="75" width="27" bestFit="1" customWidth="1"/>
    <col min="76" max="76" width="33" bestFit="1" customWidth="1"/>
    <col min="77" max="77" width="12.85546875" bestFit="1" customWidth="1"/>
    <col min="78" max="78" width="15.7109375" bestFit="1" customWidth="1"/>
    <col min="79" max="79" width="13.140625" bestFit="1" customWidth="1"/>
    <col min="80" max="80" width="10.5703125" bestFit="1" customWidth="1"/>
    <col min="81" max="81" width="20" bestFit="1" customWidth="1"/>
  </cols>
  <sheetData>
    <row r="1" spans="1:79" x14ac:dyDescent="0.25">
      <c r="A1" s="3" t="s">
        <v>469</v>
      </c>
      <c r="B1" s="3" t="s">
        <v>470</v>
      </c>
      <c r="C1" s="3" t="s">
        <v>471</v>
      </c>
      <c r="D1" s="3" t="s">
        <v>472</v>
      </c>
      <c r="E1" s="3" t="s">
        <v>473</v>
      </c>
      <c r="F1" s="3" t="s">
        <v>474</v>
      </c>
      <c r="G1" s="3" t="s">
        <v>475</v>
      </c>
      <c r="H1" s="3" t="s">
        <v>476</v>
      </c>
      <c r="I1" s="3" t="s">
        <v>477</v>
      </c>
      <c r="J1" s="3" t="s">
        <v>478</v>
      </c>
      <c r="K1" s="3" t="s">
        <v>479</v>
      </c>
      <c r="L1" s="3" t="s">
        <v>480</v>
      </c>
      <c r="M1" s="20" t="s">
        <v>481</v>
      </c>
      <c r="N1" s="20" t="s">
        <v>482</v>
      </c>
      <c r="O1" s="20" t="s">
        <v>483</v>
      </c>
      <c r="P1" s="3" t="s">
        <v>484</v>
      </c>
      <c r="Q1" s="3" t="s">
        <v>485</v>
      </c>
      <c r="R1" s="21" t="s">
        <v>486</v>
      </c>
      <c r="S1" s="20" t="s">
        <v>487</v>
      </c>
      <c r="T1" s="20" t="s">
        <v>488</v>
      </c>
      <c r="U1" s="3" t="s">
        <v>489</v>
      </c>
      <c r="V1" s="3" t="s">
        <v>490</v>
      </c>
      <c r="W1" s="3" t="s">
        <v>491</v>
      </c>
      <c r="X1" s="3" t="s">
        <v>492</v>
      </c>
      <c r="Y1" s="3" t="s">
        <v>493</v>
      </c>
      <c r="Z1" s="3" t="s">
        <v>494</v>
      </c>
      <c r="AA1" s="3" t="s">
        <v>495</v>
      </c>
      <c r="AB1" s="3" t="s">
        <v>496</v>
      </c>
      <c r="AC1" s="3" t="s">
        <v>497</v>
      </c>
      <c r="AD1" s="3" t="s">
        <v>498</v>
      </c>
      <c r="AE1" s="3" t="s">
        <v>499</v>
      </c>
      <c r="AF1" s="3" t="s">
        <v>500</v>
      </c>
      <c r="AG1" s="3" t="s">
        <v>501</v>
      </c>
      <c r="AH1" s="3" t="s">
        <v>502</v>
      </c>
      <c r="AI1" s="3" t="s">
        <v>503</v>
      </c>
      <c r="AJ1" s="3" t="s">
        <v>504</v>
      </c>
      <c r="AK1" s="3" t="s">
        <v>505</v>
      </c>
      <c r="AL1" s="21" t="s">
        <v>506</v>
      </c>
      <c r="AM1" s="20" t="s">
        <v>507</v>
      </c>
      <c r="AN1" s="20" t="s">
        <v>508</v>
      </c>
      <c r="AO1" s="5" t="s">
        <v>509</v>
      </c>
      <c r="AP1" s="3" t="s">
        <v>510</v>
      </c>
      <c r="AQ1" s="3" t="s">
        <v>511</v>
      </c>
      <c r="AR1" s="3" t="s">
        <v>89</v>
      </c>
      <c r="AS1" s="3" t="s">
        <v>512</v>
      </c>
      <c r="AT1" s="3" t="s">
        <v>513</v>
      </c>
      <c r="AU1" s="5" t="s">
        <v>514</v>
      </c>
      <c r="AV1" s="3" t="s">
        <v>515</v>
      </c>
      <c r="AW1" s="3" t="s">
        <v>516</v>
      </c>
      <c r="AX1" s="3" t="s">
        <v>517</v>
      </c>
      <c r="AY1" s="3" t="s">
        <v>518</v>
      </c>
      <c r="AZ1" s="3" t="s">
        <v>519</v>
      </c>
      <c r="BA1" s="3" t="s">
        <v>97</v>
      </c>
      <c r="BB1" s="3" t="s">
        <v>520</v>
      </c>
      <c r="BC1" s="3" t="s">
        <v>521</v>
      </c>
      <c r="BD1" s="3" t="s">
        <v>522</v>
      </c>
      <c r="BE1" s="3" t="s">
        <v>523</v>
      </c>
      <c r="BF1" s="3" t="s">
        <v>524</v>
      </c>
      <c r="BG1" s="3" t="s">
        <v>525</v>
      </c>
      <c r="BH1" s="3" t="s">
        <v>526</v>
      </c>
      <c r="BI1" s="3" t="s">
        <v>527</v>
      </c>
      <c r="BJ1" s="3" t="s">
        <v>528</v>
      </c>
      <c r="BK1" s="3" t="s">
        <v>529</v>
      </c>
      <c r="BL1" s="3" t="s">
        <v>530</v>
      </c>
      <c r="BM1" s="3" t="s">
        <v>531</v>
      </c>
      <c r="BN1" s="3" t="s">
        <v>532</v>
      </c>
      <c r="BO1" s="3" t="s">
        <v>533</v>
      </c>
      <c r="BP1" s="3" t="s">
        <v>534</v>
      </c>
      <c r="BQ1" s="3" t="s">
        <v>535</v>
      </c>
      <c r="BR1" s="3" t="s">
        <v>536</v>
      </c>
      <c r="BS1" s="3" t="s">
        <v>537</v>
      </c>
      <c r="BT1" s="3" t="s">
        <v>538</v>
      </c>
      <c r="BU1" s="3" t="s">
        <v>539</v>
      </c>
      <c r="BV1" s="3" t="s">
        <v>540</v>
      </c>
      <c r="BW1" s="3" t="s">
        <v>1325</v>
      </c>
      <c r="BX1" s="3" t="s">
        <v>1326</v>
      </c>
      <c r="BY1" s="3" t="s">
        <v>1327</v>
      </c>
      <c r="BZ1" s="3" t="s">
        <v>1328</v>
      </c>
      <c r="CA1" s="3" t="s">
        <v>1329</v>
      </c>
    </row>
    <row r="2" spans="1:79" x14ac:dyDescent="0.25">
      <c r="A2" s="3" t="s">
        <v>565</v>
      </c>
      <c r="B2" s="3" t="s">
        <v>566</v>
      </c>
      <c r="C2" s="3" t="s">
        <v>567</v>
      </c>
      <c r="D2" s="3">
        <v>240</v>
      </c>
      <c r="E2" s="4">
        <v>46024</v>
      </c>
      <c r="F2" s="3">
        <v>1</v>
      </c>
      <c r="G2" s="22">
        <v>46024</v>
      </c>
      <c r="H2" s="4">
        <v>46024</v>
      </c>
      <c r="I2" s="3" t="s">
        <v>223</v>
      </c>
      <c r="J2" s="3" t="s">
        <v>568</v>
      </c>
      <c r="K2" s="22">
        <v>46027</v>
      </c>
      <c r="L2" s="3" t="s">
        <v>223</v>
      </c>
      <c r="M2" s="3">
        <f>IFERROR(IF(G2=K2,0,NETWORKDAYS(G2,K2,{"01/01/2026";"02/02/2026";"16/03/2026";"02/04/2026";"03/04/2026";"01/05/2026"})),"Faltan Fechas")</f>
        <v>2</v>
      </c>
      <c r="N2" s="23" t="str">
        <f>IFERROR(IF(OR(G2="",K2=""),"SIN DATO",IF(NETWORKDAYS(G2,K2,{"01/01/2026";"02/02/2026";"16/03/2026";"02/04/2026";"03/04/2026";"01/05/2026"})&lt;=1,"1 día o menos",IF(NETWORKDAYS(G2,K2,{"01/01/2026";"02/02/2026";"16/03/2026";"02/04/2026";"03/04/2026";"01/05/2026"})&lt;=3,"2 a 3 días",IF(NETWORKDAYS(G2,K2,{"01/01/2026";"02/02/2026";"16/03/2026";"02/04/2026";"03/04/2026";"01/05/2026"})&lt;=5,"4 a 5 días",IF(NETWORKDAYS(G2,K2,{"01/01/2026";"02/02/2026";"16/03/2026";"02/04/2026";"03/04/2026";"01/05/2026"})&lt;=10,"6 a 10 días",IF(NETWORKDAYS(G2,K2,{"01/01/2026";"02/02/2026";"16/03/2026";"02/04/2026";"03/04/2026";"01/05/2026"})&lt;=16,"11 a 15 días","más de 16 días")))))),"Aun no se entrega")</f>
        <v>2 a 3 días</v>
      </c>
      <c r="O2" s="3" t="str" cm="1">
        <f t="array" ref="O2">IFERROR(
  IF(
    NETWORKDAYS(G2,K2,{"01/01/2026";"02/02/2026";"16/03/2026";"02/04/2026";"03/04/2026";"01/05/2026"}) &lt;=
    _xlfn.IFS(
      OR(TRIM(A2)="AICM", TRIM(A2)="AÉREO AICM"), 5,
      OR(TRIM(A2)="VERACRUZ", TRIM(A2)="MARÍTIMO VERACRUZ"), 6,
      OR(TRIM(A2)="AIFA", TRIM(A2)="AÉREO AIFA"), 7,
      AND(TRIM(A2)="CORRESPONSALIAS", TRIM(B2)="NUEVO LAREDO"), 6,
      TRIM(A2)="MANZANILLO", 10,
      TRIM(A2)="TOLUCA", 6,
      TRUE, 999
    ),
    "On Time",
    "Delayed"
  ),
  "Faltan fechas"
)</f>
        <v>On Time</v>
      </c>
      <c r="P2" s="24" t="s">
        <v>545</v>
      </c>
      <c r="Q2" s="4">
        <v>46027</v>
      </c>
      <c r="R2" s="5">
        <f>IFERROR(IF(G2=Q2,0,NETWORKDAYS(G2,Q2,{"01/01/2026";"02/02/2026";"16/03/2026";"02/04/2026";"03/04/2026";"01/05/2026"})),"Faltan Fechas")</f>
        <v>2</v>
      </c>
      <c r="S2" s="4" t="str">
        <f>IFERROR(IF(OR(G2="",Q2=""),"SIN DATO",IF(NETWORKDAYS(G2,Q2,{"01/01/2026";"02/02/2026";"16/03/2026";"02/04/2026";"03/04/2026";"01/05/2026"})&lt;=1,"1 día o menos",IF(NETWORKDAYS(G2,Q2,{"01/01/2026";"02/02/2026";"16/03/2026";"02/04/2026";"03/04/2026";"01/05/2026"})&lt;=3,"2 a 3 días",IF(NETWORKDAYS(G2,Q2,{"01/01/2026";"02/02/2026";"16/03/2026";"02/04/2026";"03/04/2026";"01/05/2026"})&lt;=5,"4 a 5 días",IF(NETWORKDAYS(G2,Q2,{"01/01/2026";"02/02/2026";"16/03/2026";"02/04/2026";"03/04/2026";"01/05/2026"})&lt;=10,"6 a 10 días",IF(NETWORKDAYS(G2,Q2,{"01/01/2026";"02/02/2026";"16/03/2026";"02/04/2026";"03/04/2026";"01/05/2026"})&lt;=16,"11 a 15 días","más de 16 días")))))),"Aun no se entrega")</f>
        <v>2 a 3 días</v>
      </c>
      <c r="T2" s="4" t="str" cm="1">
        <f t="array" ref="T2">IFERROR(
  IF(
    NETWORKDAYS(G2,Q2,{"01/01/2026";"02/02/2026";"16/03/2026";"02/04/2026";"03/04/2026";"01/05/2026"}) &lt;=
    _xlfn.IFS(
      OR(TRIM(A2)="AICM", TRIM(A2)="AÉREO AICM"), 5,
      OR(TRIM(A2)="VERACRUZ", TRIM(A2)="MARÍTIMO VERACRUZ"), 6,
      OR(TRIM(A2)="AIFA", TRIM(A2)="AÉREO AIFA"), 7,
      AND(TRIM(A2)="CORRESPONSALIAS", TRIM(B2)="NUEVO LAREDO"), 6,
      TRIM(A2)="MANZANILLO", 10,
      TRIM(A2)="TOLUCA", 6,
      TRUE, 999
    ),
    "On Time",
    "Delayed"
  ),
  "Faltan fechas"
)</f>
        <v>On Time</v>
      </c>
      <c r="U2" s="3">
        <v>0</v>
      </c>
      <c r="V2" s="3" t="s">
        <v>569</v>
      </c>
      <c r="W2" s="3">
        <v>0</v>
      </c>
      <c r="X2" s="3" t="s">
        <v>569</v>
      </c>
      <c r="Y2" s="3">
        <v>0</v>
      </c>
      <c r="Z2" s="3" t="s">
        <v>569</v>
      </c>
      <c r="AA2" s="3" t="s">
        <v>223</v>
      </c>
      <c r="AB2" s="3">
        <v>-46025</v>
      </c>
      <c r="AC2" s="3" t="s">
        <v>545</v>
      </c>
      <c r="AD2" s="4">
        <v>46050</v>
      </c>
      <c r="AE2" s="3">
        <v>46042</v>
      </c>
      <c r="AF2" s="3">
        <v>0</v>
      </c>
      <c r="AG2" s="4">
        <v>46044</v>
      </c>
      <c r="AH2" s="4">
        <v>46050</v>
      </c>
      <c r="AI2" s="3">
        <v>6</v>
      </c>
      <c r="AJ2" s="3" t="s">
        <v>545</v>
      </c>
      <c r="AK2" s="4">
        <v>46050</v>
      </c>
      <c r="AL2" s="5">
        <f>IFERROR(IF(Q2=AK2,0,NETWORKDAYS(Q2,AK2,{"01/01/2026";"02/02/2026";"16/03/2026";"02/04/2026";"03/04/2026";"01/05/2026"})),"aun no se factura")</f>
        <v>18</v>
      </c>
      <c r="AM2" s="4" t="str">
        <f>IFERROR(IF(OR(Q2="",AK2=""),"SIN DATO",IF(NETWORKDAYS(Q2,AK2,{"01/01/2026";"02/02/2026";"16/03/2026";"02/04/2026";"03/04/2026";"01/05/2026"})&lt;=1,"1 día o menos",IF(NETWORKDAYS(Q2,AK2,{"01/01/2026";"02/02/2026";"16/03/2026";"02/04/2026";"03/04/2026";"01/05/2026"})&lt;=3,"2 a 3 días",IF(NETWORKDAYS(Q2,AK2,{"01/01/2026";"02/02/2026";"16/03/2026";"02/04/2026";"03/04/2026";"01/05/2026"})&lt;=5,"4 a 5 días",IF(NETWORKDAYS(Q2,AK2,{"01/01/2026";"02/02/2026";"16/03/2026";"02/04/2026";"03/04/2026";"01/05/2026"})&lt;=10,"6 a 10 días",IF(NETWORKDAYS(Q2,AK2,{"01/01/2026";"02/02/2026";"16/03/2026";"02/04/2026";"03/04/2026";"01/05/2026"})&lt;=16,"11 a 15 días","más de 16 días")))))),"aun no se factura")</f>
        <v>más de 16 días</v>
      </c>
      <c r="AN2" s="4" t="str" cm="1">
        <f t="array" ref="AN2">IFERROR(
  IF(
    NETWORKDAYS(Q2,AK2,{"01/01/2026";"02/02/2026";"16/03/2026";"02/04/2026";"03/04/2026";"01/05/2026"}) &lt;=
    _xlfn.IFS(
      OR(TRIM(A2)="AICM", TRIM(A2)="AÉREO AICM"), 5,
      OR(TRIM(A2)="VERACRUZ", TRIM(A2)="MARÍTIMO VERACRUZ"), 6,
      OR(TRIM(A2)="AIFA", TRIM(A2)="AÉREO AIFA"), 7,
      AND(TRIM(A2)="CORRESPONSALIAS", TRIM(B2)="NUEVO LAREDO"), 6,
      TRIM(A2)="MANZANILLO", 10,
      TRIM(A2)="TOLUCA", 6,
      TRUE, 999
    ),
    "On Time",
    "Delayed"
  ),
  "Faltan fechas"
)</f>
        <v>Delayed</v>
      </c>
      <c r="AO2" s="5">
        <v>0</v>
      </c>
      <c r="AP2" s="3" t="s">
        <v>548</v>
      </c>
      <c r="AQ2" s="3" t="s">
        <v>93</v>
      </c>
      <c r="AR2" s="3" t="s">
        <v>285</v>
      </c>
      <c r="AS2" s="3" t="s">
        <v>223</v>
      </c>
      <c r="AT2" s="3" t="s">
        <v>223</v>
      </c>
      <c r="AU2" s="5">
        <v>6014299</v>
      </c>
      <c r="AV2" s="3" t="s">
        <v>92</v>
      </c>
      <c r="AW2" s="3" t="s">
        <v>570</v>
      </c>
      <c r="AX2" s="3" t="s">
        <v>549</v>
      </c>
      <c r="AY2" s="3"/>
      <c r="AZ2" s="3" t="s">
        <v>550</v>
      </c>
      <c r="BA2" s="3" t="s">
        <v>90</v>
      </c>
      <c r="BB2" s="3"/>
      <c r="BC2" s="3"/>
      <c r="BD2" s="3"/>
      <c r="BE2" s="3"/>
      <c r="BF2" s="3"/>
      <c r="BG2" s="3" t="s">
        <v>552</v>
      </c>
      <c r="BH2" s="3" t="s">
        <v>223</v>
      </c>
      <c r="BI2" s="3"/>
      <c r="BJ2" s="3"/>
      <c r="BK2" s="3" t="s">
        <v>554</v>
      </c>
      <c r="BL2" s="3" t="s">
        <v>223</v>
      </c>
      <c r="BM2" s="3" t="s">
        <v>223</v>
      </c>
      <c r="BN2" s="3" t="s">
        <v>223</v>
      </c>
      <c r="BO2" s="3">
        <v>90</v>
      </c>
      <c r="BP2" s="3" t="s">
        <v>223</v>
      </c>
      <c r="BQ2" s="3" t="s">
        <v>223</v>
      </c>
      <c r="BR2" s="3"/>
      <c r="BS2" s="3" t="s">
        <v>223</v>
      </c>
      <c r="BT2" s="3" t="s">
        <v>223</v>
      </c>
      <c r="BU2" s="3" t="s">
        <v>223</v>
      </c>
      <c r="BV2" s="3" t="s">
        <v>223</v>
      </c>
      <c r="BW2" s="3"/>
      <c r="BX2" s="3"/>
      <c r="BY2" s="3"/>
      <c r="BZ2" s="3"/>
      <c r="CA2" s="3"/>
    </row>
    <row r="3" spans="1:79" x14ac:dyDescent="0.25">
      <c r="A3" s="3" t="s">
        <v>565</v>
      </c>
      <c r="B3" s="3" t="s">
        <v>566</v>
      </c>
      <c r="C3" s="3" t="s">
        <v>571</v>
      </c>
      <c r="D3" s="3">
        <v>240</v>
      </c>
      <c r="E3" s="4">
        <v>46050</v>
      </c>
      <c r="F3" s="3">
        <v>1</v>
      </c>
      <c r="G3" s="22">
        <v>46050</v>
      </c>
      <c r="H3" s="4">
        <v>46050</v>
      </c>
      <c r="I3" s="3">
        <v>0</v>
      </c>
      <c r="J3" s="3" t="s">
        <v>546</v>
      </c>
      <c r="K3" s="22">
        <v>46050</v>
      </c>
      <c r="L3" s="3">
        <v>0</v>
      </c>
      <c r="M3" s="3">
        <f>IFERROR(IF(G3=K3,0,NETWORKDAYS(G3,K3,{"01/01/2026";"02/02/2026";"16/03/2026";"02/04/2026";"03/04/2026";"01/05/2026"})),"Faltan Fechas")</f>
        <v>0</v>
      </c>
      <c r="N3" s="23" t="str">
        <f>IFERROR(IF(OR(G3="",K3=""),"SIN DATO",IF(NETWORKDAYS(G3,K3,{"01/01/2026";"02/02/2026";"16/03/2026";"02/04/2026";"03/04/2026";"01/05/2026"})&lt;=1,"1 día o menos",IF(NETWORKDAYS(G3,K3,{"01/01/2026";"02/02/2026";"16/03/2026";"02/04/2026";"03/04/2026";"01/05/2026"})&lt;=3,"2 a 3 días",IF(NETWORKDAYS(G3,K3,{"01/01/2026";"02/02/2026";"16/03/2026";"02/04/2026";"03/04/2026";"01/05/2026"})&lt;=5,"4 a 5 días",IF(NETWORKDAYS(G3,K3,{"01/01/2026";"02/02/2026";"16/03/2026";"02/04/2026";"03/04/2026";"01/05/2026"})&lt;=10,"6 a 10 días",IF(NETWORKDAYS(G3,K3,{"01/01/2026";"02/02/2026";"16/03/2026";"02/04/2026";"03/04/2026";"01/05/2026"})&lt;=16,"11 a 15 días","más de 16 días")))))),"Aun no se entrega")</f>
        <v>1 día o menos</v>
      </c>
      <c r="O3" s="3" t="str" cm="1">
        <f t="array" ref="O3">IFERROR(
  IF(
    NETWORKDAYS(G3,K3,{"01/01/2026";"02/02/2026";"16/03/2026";"02/04/2026";"03/04/2026";"01/05/2026"}) &lt;=
    _xlfn.IFS(
      OR(TRIM(A3)="AICM", TRIM(A3)="AÉREO AICM"), 5,
      OR(TRIM(A3)="VERACRUZ", TRIM(A3)="MARÍTIMO VERACRUZ"), 6,
      OR(TRIM(A3)="AIFA", TRIM(A3)="AÉREO AIFA"), 7,
      AND(TRIM(A3)="CORRESPONSALIAS", TRIM(B3)="NUEVO LAREDO"), 6,
      TRIM(A3)="MANZANILLO", 10,
      TRIM(A3)="TOLUCA", 6,
      TRUE, 999
    ),
    "On Time",
    "Delayed"
  ),
  "Faltan fechas"
)</f>
        <v>On Time</v>
      </c>
      <c r="P3" s="24" t="s">
        <v>546</v>
      </c>
      <c r="Q3" s="4">
        <v>46052</v>
      </c>
      <c r="R3" s="5">
        <f>IFERROR(IF(G3=Q3,0,NETWORKDAYS(G3,Q3,{"01/01/2026";"02/02/2026";"16/03/2026";"02/04/2026";"03/04/2026";"01/05/2026"})),"Faltan Fechas")</f>
        <v>3</v>
      </c>
      <c r="S3" s="4" t="str">
        <f>IFERROR(IF(OR(G3="",Q3=""),"SIN DATO",IF(NETWORKDAYS(G3,Q3,{"01/01/2026";"02/02/2026";"16/03/2026";"02/04/2026";"03/04/2026";"01/05/2026"})&lt;=1,"1 día o menos",IF(NETWORKDAYS(G3,Q3,{"01/01/2026";"02/02/2026";"16/03/2026";"02/04/2026";"03/04/2026";"01/05/2026"})&lt;=3,"2 a 3 días",IF(NETWORKDAYS(G3,Q3,{"01/01/2026";"02/02/2026";"16/03/2026";"02/04/2026";"03/04/2026";"01/05/2026"})&lt;=5,"4 a 5 días",IF(NETWORKDAYS(G3,Q3,{"01/01/2026";"02/02/2026";"16/03/2026";"02/04/2026";"03/04/2026";"01/05/2026"})&lt;=10,"6 a 10 días",IF(NETWORKDAYS(G3,Q3,{"01/01/2026";"02/02/2026";"16/03/2026";"02/04/2026";"03/04/2026";"01/05/2026"})&lt;=16,"11 a 15 días","más de 16 días")))))),"Aun no se entrega")</f>
        <v>2 a 3 días</v>
      </c>
      <c r="T3" s="4" t="str" cm="1">
        <f t="array" ref="T3">IFERROR(
  IF(
    NETWORKDAYS(G3,Q3,{"01/01/2026";"02/02/2026";"16/03/2026";"02/04/2026";"03/04/2026";"01/05/2026"}) &lt;=
    _xlfn.IFS(
      OR(TRIM(A3)="AICM", TRIM(A3)="AÉREO AICM"), 5,
      OR(TRIM(A3)="VERACRUZ", TRIM(A3)="MARÍTIMO VERACRUZ"), 6,
      OR(TRIM(A3)="AIFA", TRIM(A3)="AÉREO AIFA"), 7,
      AND(TRIM(A3)="CORRESPONSALIAS", TRIM(B3)="NUEVO LAREDO"), 6,
      TRIM(A3)="MANZANILLO", 10,
      TRIM(A3)="TOLUCA", 6,
      TRUE, 999
    ),
    "On Time",
    "Delayed"
  ),
  "Faltan fechas"
)</f>
        <v>On Time</v>
      </c>
      <c r="U3" s="3">
        <v>0</v>
      </c>
      <c r="V3" s="3" t="s">
        <v>569</v>
      </c>
      <c r="W3" s="3">
        <v>14</v>
      </c>
      <c r="X3" s="3" t="s">
        <v>559</v>
      </c>
      <c r="Y3" s="3">
        <v>0</v>
      </c>
      <c r="Z3" s="3" t="s">
        <v>569</v>
      </c>
      <c r="AA3" s="3">
        <v>0</v>
      </c>
      <c r="AB3" s="3">
        <v>-46063</v>
      </c>
      <c r="AC3" s="3" t="s">
        <v>545</v>
      </c>
      <c r="AD3" s="4">
        <v>46070</v>
      </c>
      <c r="AE3" s="3">
        <v>46068</v>
      </c>
      <c r="AF3" s="3">
        <v>0</v>
      </c>
      <c r="AG3" s="4">
        <v>46070</v>
      </c>
      <c r="AH3" s="4">
        <v>46070</v>
      </c>
      <c r="AI3" s="3">
        <v>0</v>
      </c>
      <c r="AJ3" s="3" t="s">
        <v>545</v>
      </c>
      <c r="AK3" s="4">
        <v>46070</v>
      </c>
      <c r="AL3" s="5">
        <f>IFERROR(IF(Q3=AK3,0,NETWORKDAYS(Q3,AK3,{"01/01/2026";"02/02/2026";"16/03/2026";"02/04/2026";"03/04/2026";"01/05/2026"})),"aun no se factura")</f>
        <v>12</v>
      </c>
      <c r="AM3" s="4" t="str">
        <f>IFERROR(IF(OR(Q3="",AK3=""),"SIN DATO",IF(NETWORKDAYS(Q3,AK3,{"01/01/2026";"02/02/2026";"16/03/2026";"02/04/2026";"03/04/2026";"01/05/2026"})&lt;=1,"1 día o menos",IF(NETWORKDAYS(Q3,AK3,{"01/01/2026";"02/02/2026";"16/03/2026";"02/04/2026";"03/04/2026";"01/05/2026"})&lt;=3,"2 a 3 días",IF(NETWORKDAYS(Q3,AK3,{"01/01/2026";"02/02/2026";"16/03/2026";"02/04/2026";"03/04/2026";"01/05/2026"})&lt;=5,"4 a 5 días",IF(NETWORKDAYS(Q3,AK3,{"01/01/2026";"02/02/2026";"16/03/2026";"02/04/2026";"03/04/2026";"01/05/2026"})&lt;=10,"6 a 10 días",IF(NETWORKDAYS(Q3,AK3,{"01/01/2026";"02/02/2026";"16/03/2026";"02/04/2026";"03/04/2026";"01/05/2026"})&lt;=16,"11 a 15 días","más de 16 días")))))),"aun no se factura")</f>
        <v>11 a 15 días</v>
      </c>
      <c r="AN3" s="4" t="str" cm="1">
        <f t="array" ref="AN3">IFERROR(
  IF(
    NETWORKDAYS(Q3,AK3,{"01/01/2026";"02/02/2026";"16/03/2026";"02/04/2026";"03/04/2026";"01/05/2026"}) &lt;=
    _xlfn.IFS(
      OR(TRIM(A3)="AICM", TRIM(A3)="AÉREO AICM"), 5,
      OR(TRIM(A3)="VERACRUZ", TRIM(A3)="MARÍTIMO VERACRUZ"), 6,
      OR(TRIM(A3)="AIFA", TRIM(A3)="AÉREO AIFA"), 7,
      AND(TRIM(A3)="CORRESPONSALIAS", TRIM(B3)="NUEVO LAREDO"), 6,
      TRIM(A3)="MANZANILLO", 10,
      TRIM(A3)="TOLUCA", 6,
      TRUE, 999
    ),
    "On Time",
    "Delayed"
  ),
  "Faltan fechas"
)</f>
        <v>Delayed</v>
      </c>
      <c r="AO3" s="5">
        <v>0</v>
      </c>
      <c r="AP3" s="3" t="s">
        <v>548</v>
      </c>
      <c r="AQ3" s="3" t="s">
        <v>93</v>
      </c>
      <c r="AR3" s="3" t="s">
        <v>285</v>
      </c>
      <c r="AS3" s="3" t="s">
        <v>223</v>
      </c>
      <c r="AT3" s="3" t="s">
        <v>223</v>
      </c>
      <c r="AU3" s="5">
        <v>6015396</v>
      </c>
      <c r="AV3" s="3" t="s">
        <v>92</v>
      </c>
      <c r="AW3" s="3" t="s">
        <v>572</v>
      </c>
      <c r="AX3" s="3" t="s">
        <v>549</v>
      </c>
      <c r="AY3" s="3"/>
      <c r="AZ3" s="3" t="s">
        <v>550</v>
      </c>
      <c r="BA3" s="3" t="s">
        <v>90</v>
      </c>
      <c r="BB3" s="3"/>
      <c r="BC3" s="3"/>
      <c r="BD3" s="3"/>
      <c r="BE3" s="3"/>
      <c r="BF3" s="3" t="s">
        <v>397</v>
      </c>
      <c r="BG3" s="3" t="s">
        <v>552</v>
      </c>
      <c r="BH3" s="3" t="s">
        <v>223</v>
      </c>
      <c r="BI3" s="3"/>
      <c r="BJ3" s="3"/>
      <c r="BK3" s="3" t="s">
        <v>554</v>
      </c>
      <c r="BL3" s="3" t="s">
        <v>223</v>
      </c>
      <c r="BM3" s="3" t="s">
        <v>223</v>
      </c>
      <c r="BN3" s="3" t="s">
        <v>223</v>
      </c>
      <c r="BO3" s="3">
        <v>90</v>
      </c>
      <c r="BP3" s="3" t="s">
        <v>223</v>
      </c>
      <c r="BQ3" s="3" t="s">
        <v>223</v>
      </c>
      <c r="BR3" s="3"/>
      <c r="BS3" s="3" t="s">
        <v>223</v>
      </c>
      <c r="BT3" s="3" t="s">
        <v>223</v>
      </c>
      <c r="BU3" s="3" t="s">
        <v>223</v>
      </c>
      <c r="BV3" s="3" t="s">
        <v>223</v>
      </c>
      <c r="BW3" s="3"/>
      <c r="BX3" s="3"/>
      <c r="BY3" s="3"/>
      <c r="BZ3" s="3"/>
      <c r="CA3" s="3"/>
    </row>
    <row r="4" spans="1:79" x14ac:dyDescent="0.25">
      <c r="A4" s="3" t="s">
        <v>577</v>
      </c>
      <c r="B4" s="3" t="s">
        <v>578</v>
      </c>
      <c r="C4" s="3" t="s">
        <v>113</v>
      </c>
      <c r="D4" s="3">
        <v>430</v>
      </c>
      <c r="E4" s="4">
        <v>46029</v>
      </c>
      <c r="F4" s="3">
        <v>1</v>
      </c>
      <c r="G4" s="22">
        <v>46025</v>
      </c>
      <c r="H4" s="4">
        <v>46029</v>
      </c>
      <c r="I4" s="3">
        <v>2</v>
      </c>
      <c r="J4" s="3" t="s">
        <v>579</v>
      </c>
      <c r="K4" s="22">
        <v>46030</v>
      </c>
      <c r="L4" s="3">
        <v>3</v>
      </c>
      <c r="M4" s="3">
        <f>IFERROR(IF(G4=K4,0,NETWORKDAYS(G4,K4,{"01/01/2026";"02/02/2026";"16/03/2026";"02/04/2026";"03/04/2026";"01/05/2026"})),"Faltan Fechas")</f>
        <v>4</v>
      </c>
      <c r="N4" s="23" t="str">
        <f>IFERROR(IF(OR(G4="",K4=""),"SIN DATO",IF(NETWORKDAYS(G4,K4,{"01/01/2026";"02/02/2026";"16/03/2026";"02/04/2026";"03/04/2026";"01/05/2026"})&lt;=1,"1 día o menos",IF(NETWORKDAYS(G4,K4,{"01/01/2026";"02/02/2026";"16/03/2026";"02/04/2026";"03/04/2026";"01/05/2026"})&lt;=3,"2 a 3 días",IF(NETWORKDAYS(G4,K4,{"01/01/2026";"02/02/2026";"16/03/2026";"02/04/2026";"03/04/2026";"01/05/2026"})&lt;=5,"4 a 5 días",IF(NETWORKDAYS(G4,K4,{"01/01/2026";"02/02/2026";"16/03/2026";"02/04/2026";"03/04/2026";"01/05/2026"})&lt;=10,"6 a 10 días",IF(NETWORKDAYS(G4,K4,{"01/01/2026";"02/02/2026";"16/03/2026";"02/04/2026";"03/04/2026";"01/05/2026"})&lt;=16,"11 a 15 días","más de 16 días")))))),"Aun no se entrega")</f>
        <v>4 a 5 días</v>
      </c>
      <c r="O4" s="3" t="str" cm="1">
        <f t="array" ref="O4">IFERROR(
  IF(
    NETWORKDAYS(G4,K4,{"01/01/2026";"02/02/2026";"16/03/2026";"02/04/2026";"03/04/2026";"01/05/2026"}) &lt;=
    _xlfn.IFS(
      OR(TRIM(A4)="AICM", TRIM(A4)="AÉREO AICM"), 5,
      OR(TRIM(A4)="VERACRUZ", TRIM(A4)="MARÍTIMO VERACRUZ"), 6,
      OR(TRIM(A4)="AIFA", TRIM(A4)="AÉREO AIFA"), 7,
      AND(TRIM(A4)="CORRESPONSALIAS", TRIM(B4)="NUEVO LAREDO"), 6,
      TRIM(A4)="MANZANILLO", 10,
      TRIM(A4)="TOLUCA", 6,
      TRUE, 999
    ),
    "On Time",
    "Delayed"
  ),
  "Faltan fechas"
)</f>
        <v>On Time</v>
      </c>
      <c r="P4" s="24" t="s">
        <v>543</v>
      </c>
      <c r="Q4" s="4">
        <v>46031</v>
      </c>
      <c r="R4" s="5">
        <f>IFERROR(IF(G4=Q4,0,NETWORKDAYS(G4,Q4,{"01/01/2026";"02/02/2026";"16/03/2026";"02/04/2026";"03/04/2026";"01/05/2026"})),"Faltan Fechas")</f>
        <v>5</v>
      </c>
      <c r="S4" s="4" t="str">
        <f>IFERROR(IF(OR(G4="",Q4=""),"SIN DATO",IF(NETWORKDAYS(G4,Q4,{"01/01/2026";"02/02/2026";"16/03/2026";"02/04/2026";"03/04/2026";"01/05/2026"})&lt;=1,"1 día o menos",IF(NETWORKDAYS(G4,Q4,{"01/01/2026";"02/02/2026";"16/03/2026";"02/04/2026";"03/04/2026";"01/05/2026"})&lt;=3,"2 a 3 días",IF(NETWORKDAYS(G4,Q4,{"01/01/2026";"02/02/2026";"16/03/2026";"02/04/2026";"03/04/2026";"01/05/2026"})&lt;=5,"4 a 5 días",IF(NETWORKDAYS(G4,Q4,{"01/01/2026";"02/02/2026";"16/03/2026";"02/04/2026";"03/04/2026";"01/05/2026"})&lt;=10,"6 a 10 días",IF(NETWORKDAYS(G4,Q4,{"01/01/2026";"02/02/2026";"16/03/2026";"02/04/2026";"03/04/2026";"01/05/2026"})&lt;=16,"11 a 15 días","más de 16 días")))))),"Aun no se entrega")</f>
        <v>4 a 5 días</v>
      </c>
      <c r="T4" s="4" t="str" cm="1">
        <f t="array" ref="T4">IFERROR(
  IF(
    NETWORKDAYS(G4,Q4,{"01/01/2026";"02/02/2026";"16/03/2026";"02/04/2026";"03/04/2026";"01/05/2026"}) &lt;=
    _xlfn.IFS(
      OR(TRIM(A4)="AICM", TRIM(A4)="AÉREO AICM"), 5,
      OR(TRIM(A4)="VERACRUZ", TRIM(A4)="MARÍTIMO VERACRUZ"), 6,
      OR(TRIM(A4)="AIFA", TRIM(A4)="AÉREO AIFA"), 7,
      AND(TRIM(A4)="CORRESPONSALIAS", TRIM(B4)="NUEVO LAREDO"), 6,
      TRIM(A4)="MANZANILLO", 10,
      TRIM(A4)="TOLUCA", 6,
      TRUE, 999
    ),
    "On Time",
    "Delayed"
  ),
  "Faltan fechas"
)</f>
        <v>On Time</v>
      </c>
      <c r="U4" s="3">
        <v>6</v>
      </c>
      <c r="V4" s="3" t="s">
        <v>543</v>
      </c>
      <c r="W4" s="3">
        <v>9</v>
      </c>
      <c r="X4" s="3" t="s">
        <v>544</v>
      </c>
      <c r="Y4" s="3">
        <v>1</v>
      </c>
      <c r="Z4" s="3" t="s">
        <v>546</v>
      </c>
      <c r="AA4" s="3">
        <v>4</v>
      </c>
      <c r="AB4" s="3">
        <v>1</v>
      </c>
      <c r="AC4" s="3" t="s">
        <v>546</v>
      </c>
      <c r="AD4" s="4">
        <v>46038</v>
      </c>
      <c r="AE4" s="3">
        <v>7</v>
      </c>
      <c r="AF4" s="3">
        <v>5</v>
      </c>
      <c r="AG4" s="4">
        <v>46038</v>
      </c>
      <c r="AH4" s="4">
        <v>46038</v>
      </c>
      <c r="AI4" s="3">
        <v>0</v>
      </c>
      <c r="AJ4" s="3" t="s">
        <v>544</v>
      </c>
      <c r="AK4" s="4">
        <v>46038</v>
      </c>
      <c r="AL4" s="5">
        <f>IFERROR(IF(Q4=AK4,0,NETWORKDAYS(Q4,AK4,{"01/01/2026";"02/02/2026";"16/03/2026";"02/04/2026";"03/04/2026";"01/05/2026"})),"aun no se factura")</f>
        <v>6</v>
      </c>
      <c r="AM4" s="4" t="str">
        <f>IFERROR(IF(OR(Q4="",AK4=""),"SIN DATO",IF(NETWORKDAYS(Q4,AK4,{"01/01/2026";"02/02/2026";"16/03/2026";"02/04/2026";"03/04/2026";"01/05/2026"})&lt;=1,"1 día o menos",IF(NETWORKDAYS(Q4,AK4,{"01/01/2026";"02/02/2026";"16/03/2026";"02/04/2026";"03/04/2026";"01/05/2026"})&lt;=3,"2 a 3 días",IF(NETWORKDAYS(Q4,AK4,{"01/01/2026";"02/02/2026";"16/03/2026";"02/04/2026";"03/04/2026";"01/05/2026"})&lt;=5,"4 a 5 días",IF(NETWORKDAYS(Q4,AK4,{"01/01/2026";"02/02/2026";"16/03/2026";"02/04/2026";"03/04/2026";"01/05/2026"})&lt;=10,"6 a 10 días",IF(NETWORKDAYS(Q4,AK4,{"01/01/2026";"02/02/2026";"16/03/2026";"02/04/2026";"03/04/2026";"01/05/2026"})&lt;=16,"11 a 15 días","más de 16 días")))))),"aun no se factura")</f>
        <v>6 a 10 días</v>
      </c>
      <c r="AN4" s="4" t="str" cm="1">
        <f t="array" ref="AN4">IFERROR(
  IF(
    NETWORKDAYS(Q4,AK4,{"01/01/2026";"02/02/2026";"16/03/2026";"02/04/2026";"03/04/2026";"01/05/2026"}) &lt;=
    _xlfn.IFS(
      OR(TRIM(A4)="AICM", TRIM(A4)="AÉREO AICM"), 5,
      OR(TRIM(A4)="VERACRUZ", TRIM(A4)="MARÍTIMO VERACRUZ"), 6,
      OR(TRIM(A4)="AIFA", TRIM(A4)="AÉREO AIFA"), 7,
      AND(TRIM(A4)="CORRESPONSALIAS", TRIM(B4)="NUEVO LAREDO"), 6,
      TRIM(A4)="MANZANILLO", 10,
      TRIM(A4)="TOLUCA", 6,
      TRUE, 999
    ),
    "On Time",
    "Delayed"
  ),
  "Faltan fechas"
)</f>
        <v>On Time</v>
      </c>
      <c r="AO4" s="5">
        <v>1</v>
      </c>
      <c r="AP4" s="3" t="s">
        <v>548</v>
      </c>
      <c r="AQ4" s="3" t="s">
        <v>93</v>
      </c>
      <c r="AR4" s="3" t="s">
        <v>112</v>
      </c>
      <c r="AS4" s="3" t="s">
        <v>116</v>
      </c>
      <c r="AT4" s="3" t="s">
        <v>223</v>
      </c>
      <c r="AU4" s="5">
        <v>6000072</v>
      </c>
      <c r="AV4" s="3" t="s">
        <v>92</v>
      </c>
      <c r="AW4" s="3" t="s">
        <v>115</v>
      </c>
      <c r="AX4" s="3" t="s">
        <v>549</v>
      </c>
      <c r="AY4" s="3"/>
      <c r="AZ4" s="3" t="s">
        <v>550</v>
      </c>
      <c r="BA4" s="3" t="s">
        <v>90</v>
      </c>
      <c r="BB4" s="3"/>
      <c r="BC4" s="3" t="s">
        <v>117</v>
      </c>
      <c r="BD4" s="3"/>
      <c r="BE4" s="3" t="s">
        <v>117</v>
      </c>
      <c r="BF4" s="3" t="s">
        <v>576</v>
      </c>
      <c r="BG4" s="3" t="s">
        <v>552</v>
      </c>
      <c r="BH4" s="3" t="s">
        <v>580</v>
      </c>
      <c r="BI4" s="3"/>
      <c r="BJ4" s="3" t="s">
        <v>581</v>
      </c>
      <c r="BK4" s="3" t="s">
        <v>554</v>
      </c>
      <c r="BL4" s="3">
        <v>0</v>
      </c>
      <c r="BM4" s="3" t="s">
        <v>582</v>
      </c>
      <c r="BN4" s="3" t="s">
        <v>583</v>
      </c>
      <c r="BO4" s="3">
        <v>90</v>
      </c>
      <c r="BP4" s="3" t="s">
        <v>584</v>
      </c>
      <c r="BQ4" s="3" t="s">
        <v>585</v>
      </c>
      <c r="BR4" s="3"/>
      <c r="BS4" s="3" t="s">
        <v>586</v>
      </c>
      <c r="BT4" s="3" t="s">
        <v>558</v>
      </c>
      <c r="BU4" s="3" t="s">
        <v>587</v>
      </c>
      <c r="BV4" s="3" t="s">
        <v>105</v>
      </c>
      <c r="BW4" s="3"/>
      <c r="BX4" s="3"/>
      <c r="BY4" s="3"/>
      <c r="BZ4" s="3"/>
      <c r="CA4" s="3"/>
    </row>
    <row r="5" spans="1:79" x14ac:dyDescent="0.25">
      <c r="A5" s="3" t="s">
        <v>577</v>
      </c>
      <c r="B5" s="3" t="s">
        <v>578</v>
      </c>
      <c r="C5" s="3" t="s">
        <v>91</v>
      </c>
      <c r="D5" s="3">
        <v>430</v>
      </c>
      <c r="E5" s="4">
        <v>46027</v>
      </c>
      <c r="F5" s="3">
        <v>1</v>
      </c>
      <c r="G5" s="22">
        <v>46006</v>
      </c>
      <c r="H5" s="4">
        <v>46027</v>
      </c>
      <c r="I5" s="3">
        <v>15</v>
      </c>
      <c r="J5" s="3" t="s">
        <v>559</v>
      </c>
      <c r="K5" s="22">
        <v>46028</v>
      </c>
      <c r="L5" s="3">
        <v>16</v>
      </c>
      <c r="M5" s="3">
        <f>IFERROR(IF(G5=K5,0,NETWORKDAYS(G5,K5,{"01/01/2026";"02/02/2026";"16/03/2026";"02/04/2026";"03/04/2026";"01/05/2026"})),"Faltan Fechas")</f>
        <v>16</v>
      </c>
      <c r="N5" s="23" t="str">
        <f>IFERROR(IF(OR(G5="",K5=""),"SIN DATO",IF(NETWORKDAYS(G5,K5,{"01/01/2026";"02/02/2026";"16/03/2026";"02/04/2026";"03/04/2026";"01/05/2026"})&lt;=1,"1 día o menos",IF(NETWORKDAYS(G5,K5,{"01/01/2026";"02/02/2026";"16/03/2026";"02/04/2026";"03/04/2026";"01/05/2026"})&lt;=3,"2 a 3 días",IF(NETWORKDAYS(G5,K5,{"01/01/2026";"02/02/2026";"16/03/2026";"02/04/2026";"03/04/2026";"01/05/2026"})&lt;=5,"4 a 5 días",IF(NETWORKDAYS(G5,K5,{"01/01/2026";"02/02/2026";"16/03/2026";"02/04/2026";"03/04/2026";"01/05/2026"})&lt;=10,"6 a 10 días",IF(NETWORKDAYS(G5,K5,{"01/01/2026";"02/02/2026";"16/03/2026";"02/04/2026";"03/04/2026";"01/05/2026"})&lt;=16,"11 a 15 días","más de 16 días")))))),"Aun no se entrega")</f>
        <v>11 a 15 días</v>
      </c>
      <c r="O5" s="3" t="str" cm="1">
        <f t="array" ref="O5">IFERROR(
  IF(
    NETWORKDAYS(G5,K5,{"01/01/2026";"02/02/2026";"16/03/2026";"02/04/2026";"03/04/2026";"01/05/2026"}) &lt;=
    _xlfn.IFS(
      OR(TRIM(A5)="AICM", TRIM(A5)="AÉREO AICM"), 5,
      OR(TRIM(A5)="VERACRUZ", TRIM(A5)="MARÍTIMO VERACRUZ"), 6,
      OR(TRIM(A5)="AIFA", TRIM(A5)="AÉREO AIFA"), 7,
      AND(TRIM(A5)="CORRESPONSALIAS", TRIM(B5)="NUEVO LAREDO"), 6,
      TRIM(A5)="MANZANILLO", 10,
      TRIM(A5)="TOLUCA", 6,
      TRUE, 999
    ),
    "On Time",
    "Delayed"
  ),
  "Faltan fechas"
)</f>
        <v>Delayed</v>
      </c>
      <c r="P5" s="24" t="s">
        <v>568</v>
      </c>
      <c r="Q5" s="4">
        <v>46029</v>
      </c>
      <c r="R5" s="5">
        <f>IFERROR(IF(G5=Q5,0,NETWORKDAYS(G5,Q5,{"01/01/2026";"02/02/2026";"16/03/2026";"02/04/2026";"03/04/2026";"01/05/2026"})),"Faltan Fechas")</f>
        <v>17</v>
      </c>
      <c r="S5" s="4" t="str">
        <f>IFERROR(IF(OR(G5="",Q5=""),"SIN DATO",IF(NETWORKDAYS(G5,Q5,{"01/01/2026";"02/02/2026";"16/03/2026";"02/04/2026";"03/04/2026";"01/05/2026"})&lt;=1,"1 día o menos",IF(NETWORKDAYS(G5,Q5,{"01/01/2026";"02/02/2026";"16/03/2026";"02/04/2026";"03/04/2026";"01/05/2026"})&lt;=3,"2 a 3 días",IF(NETWORKDAYS(G5,Q5,{"01/01/2026";"02/02/2026";"16/03/2026";"02/04/2026";"03/04/2026";"01/05/2026"})&lt;=5,"4 a 5 días",IF(NETWORKDAYS(G5,Q5,{"01/01/2026";"02/02/2026";"16/03/2026";"02/04/2026";"03/04/2026";"01/05/2026"})&lt;=10,"6 a 10 días",IF(NETWORKDAYS(G5,Q5,{"01/01/2026";"02/02/2026";"16/03/2026";"02/04/2026";"03/04/2026";"01/05/2026"})&lt;=16,"11 a 15 días","más de 16 días")))))),"Aun no se entrega")</f>
        <v>más de 16 días</v>
      </c>
      <c r="T5" s="4" t="str" cm="1">
        <f t="array" ref="T5">IFERROR(
  IF(
    NETWORKDAYS(G5,Q5,{"01/01/2026";"02/02/2026";"16/03/2026";"02/04/2026";"03/04/2026";"01/05/2026"}) &lt;=
    _xlfn.IFS(
      OR(TRIM(A5)="AICM", TRIM(A5)="AÉREO AICM"), 5,
      OR(TRIM(A5)="VERACRUZ", TRIM(A5)="MARÍTIMO VERACRUZ"), 6,
      OR(TRIM(A5)="AIFA", TRIM(A5)="AÉREO AIFA"), 7,
      AND(TRIM(A5)="CORRESPONSALIAS", TRIM(B5)="NUEVO LAREDO"), 6,
      TRIM(A5)="MANZANILLO", 10,
      TRIM(A5)="TOLUCA", 6,
      TRUE, 999
    ),
    "On Time",
    "Delayed"
  ),
  "Faltan fechas"
)</f>
        <v>Delayed</v>
      </c>
      <c r="U5" s="3">
        <v>23</v>
      </c>
      <c r="V5" s="3" t="s">
        <v>588</v>
      </c>
      <c r="W5" s="3">
        <v>21</v>
      </c>
      <c r="X5" s="3" t="s">
        <v>547</v>
      </c>
      <c r="Y5" s="3">
        <v>1</v>
      </c>
      <c r="Z5" s="3" t="s">
        <v>546</v>
      </c>
      <c r="AA5" s="3">
        <v>21</v>
      </c>
      <c r="AB5" s="3">
        <v>1</v>
      </c>
      <c r="AC5" s="3" t="s">
        <v>546</v>
      </c>
      <c r="AD5" s="4">
        <v>46035</v>
      </c>
      <c r="AE5" s="3">
        <v>6</v>
      </c>
      <c r="AF5" s="3">
        <v>4</v>
      </c>
      <c r="AG5" s="4">
        <v>46035</v>
      </c>
      <c r="AH5" s="4">
        <v>46035</v>
      </c>
      <c r="AI5" s="3">
        <v>0</v>
      </c>
      <c r="AJ5" s="3" t="s">
        <v>544</v>
      </c>
      <c r="AK5" s="4">
        <v>46035</v>
      </c>
      <c r="AL5" s="5">
        <f>IFERROR(IF(Q5=AK5,0,NETWORKDAYS(Q5,AK5,{"01/01/2026";"02/02/2026";"16/03/2026";"02/04/2026";"03/04/2026";"01/05/2026"})),"aun no se factura")</f>
        <v>5</v>
      </c>
      <c r="AM5" s="4" t="str">
        <f>IFERROR(IF(OR(Q5="",AK5=""),"SIN DATO",IF(NETWORKDAYS(Q5,AK5,{"01/01/2026";"02/02/2026";"16/03/2026";"02/04/2026";"03/04/2026";"01/05/2026"})&lt;=1,"1 día o menos",IF(NETWORKDAYS(Q5,AK5,{"01/01/2026";"02/02/2026";"16/03/2026";"02/04/2026";"03/04/2026";"01/05/2026"})&lt;=3,"2 a 3 días",IF(NETWORKDAYS(Q5,AK5,{"01/01/2026";"02/02/2026";"16/03/2026";"02/04/2026";"03/04/2026";"01/05/2026"})&lt;=5,"4 a 5 días",IF(NETWORKDAYS(Q5,AK5,{"01/01/2026";"02/02/2026";"16/03/2026";"02/04/2026";"03/04/2026";"01/05/2026"})&lt;=10,"6 a 10 días",IF(NETWORKDAYS(Q5,AK5,{"01/01/2026";"02/02/2026";"16/03/2026";"02/04/2026";"03/04/2026";"01/05/2026"})&lt;=16,"11 a 15 días","más de 16 días")))))),"aun no se factura")</f>
        <v>4 a 5 días</v>
      </c>
      <c r="AN5" s="4" t="str" cm="1">
        <f t="array" ref="AN5">IFERROR(
  IF(
    NETWORKDAYS(Q5,AK5,{"01/01/2026";"02/02/2026";"16/03/2026";"02/04/2026";"03/04/2026";"01/05/2026"}) &lt;=
    _xlfn.IFS(
      OR(TRIM(A5)="AICM", TRIM(A5)="AÉREO AICM"), 5,
      OR(TRIM(A5)="VERACRUZ", TRIM(A5)="MARÍTIMO VERACRUZ"), 6,
      OR(TRIM(A5)="AIFA", TRIM(A5)="AÉREO AIFA"), 7,
      AND(TRIM(A5)="CORRESPONSALIAS", TRIM(B5)="NUEVO LAREDO"), 6,
      TRIM(A5)="MANZANILLO", 10,
      TRIM(A5)="TOLUCA", 6,
      TRUE, 999
    ),
    "On Time",
    "Delayed"
  ),
  "Faltan fechas"
)</f>
        <v>On Time</v>
      </c>
      <c r="AO5" s="5">
        <v>1</v>
      </c>
      <c r="AP5" s="3" t="s">
        <v>548</v>
      </c>
      <c r="AQ5" s="3" t="s">
        <v>93</v>
      </c>
      <c r="AR5" s="3" t="s">
        <v>112</v>
      </c>
      <c r="AS5" s="3" t="s">
        <v>101</v>
      </c>
      <c r="AT5" s="3" t="s">
        <v>223</v>
      </c>
      <c r="AU5" s="5">
        <v>6000083</v>
      </c>
      <c r="AV5" s="3" t="s">
        <v>92</v>
      </c>
      <c r="AW5" s="3" t="s">
        <v>96</v>
      </c>
      <c r="AX5" s="3" t="s">
        <v>549</v>
      </c>
      <c r="AY5" s="3"/>
      <c r="AZ5" s="3" t="s">
        <v>550</v>
      </c>
      <c r="BA5" s="3" t="s">
        <v>90</v>
      </c>
      <c r="BB5" s="3"/>
      <c r="BC5" s="3" t="s">
        <v>107</v>
      </c>
      <c r="BD5" s="3"/>
      <c r="BE5" s="3" t="s">
        <v>107</v>
      </c>
      <c r="BF5" s="3" t="s">
        <v>576</v>
      </c>
      <c r="BG5" s="3" t="s">
        <v>552</v>
      </c>
      <c r="BH5" s="3" t="s">
        <v>580</v>
      </c>
      <c r="BI5" s="3"/>
      <c r="BJ5" s="3" t="s">
        <v>589</v>
      </c>
      <c r="BK5" s="3" t="s">
        <v>554</v>
      </c>
      <c r="BL5" s="3">
        <v>0</v>
      </c>
      <c r="BM5" s="3">
        <v>99</v>
      </c>
      <c r="BN5" s="3" t="s">
        <v>590</v>
      </c>
      <c r="BO5" s="3">
        <v>90</v>
      </c>
      <c r="BP5" s="3">
        <v>12581182.4</v>
      </c>
      <c r="BQ5" s="3" t="s">
        <v>563</v>
      </c>
      <c r="BR5" s="3"/>
      <c r="BS5" s="3" t="s">
        <v>591</v>
      </c>
      <c r="BT5" s="3" t="s">
        <v>558</v>
      </c>
      <c r="BU5" s="3" t="s">
        <v>104</v>
      </c>
      <c r="BV5" s="3" t="s">
        <v>105</v>
      </c>
      <c r="BW5" s="3"/>
      <c r="BX5" s="3"/>
      <c r="BY5" s="3"/>
      <c r="BZ5" s="3"/>
      <c r="CA5" s="3"/>
    </row>
    <row r="6" spans="1:79" x14ac:dyDescent="0.25">
      <c r="A6" s="3" t="s">
        <v>577</v>
      </c>
      <c r="B6" s="3" t="s">
        <v>578</v>
      </c>
      <c r="C6" s="3" t="s">
        <v>165</v>
      </c>
      <c r="D6" s="3">
        <v>430</v>
      </c>
      <c r="E6" s="4">
        <v>46038</v>
      </c>
      <c r="F6" s="3">
        <v>1</v>
      </c>
      <c r="G6" s="22">
        <v>46006</v>
      </c>
      <c r="H6" s="4">
        <v>46038</v>
      </c>
      <c r="I6" s="3">
        <v>24</v>
      </c>
      <c r="J6" s="3" t="s">
        <v>568</v>
      </c>
      <c r="K6" s="22">
        <v>46041</v>
      </c>
      <c r="L6" s="3">
        <v>25</v>
      </c>
      <c r="M6" s="3">
        <f>IFERROR(IF(G6=K6,0,NETWORKDAYS(G6,K6,{"01/01/2026";"02/02/2026";"16/03/2026";"02/04/2026";"03/04/2026";"01/05/2026"})),"Faltan Fechas")</f>
        <v>25</v>
      </c>
      <c r="N6" s="23" t="str">
        <f>IFERROR(IF(OR(G6="",K6=""),"SIN DATO",IF(NETWORKDAYS(G6,K6,{"01/01/2026";"02/02/2026";"16/03/2026";"02/04/2026";"03/04/2026";"01/05/2026"})&lt;=1,"1 día o menos",IF(NETWORKDAYS(G6,K6,{"01/01/2026";"02/02/2026";"16/03/2026";"02/04/2026";"03/04/2026";"01/05/2026"})&lt;=3,"2 a 3 días",IF(NETWORKDAYS(G6,K6,{"01/01/2026";"02/02/2026";"16/03/2026";"02/04/2026";"03/04/2026";"01/05/2026"})&lt;=5,"4 a 5 días",IF(NETWORKDAYS(G6,K6,{"01/01/2026";"02/02/2026";"16/03/2026";"02/04/2026";"03/04/2026";"01/05/2026"})&lt;=10,"6 a 10 días",IF(NETWORKDAYS(G6,K6,{"01/01/2026";"02/02/2026";"16/03/2026";"02/04/2026";"03/04/2026";"01/05/2026"})&lt;=16,"11 a 15 días","más de 16 días")))))),"Aun no se entrega")</f>
        <v>más de 16 días</v>
      </c>
      <c r="O6" s="3" t="str" cm="1">
        <f t="array" ref="O6">IFERROR(
  IF(
    NETWORKDAYS(G6,K6,{"01/01/2026";"02/02/2026";"16/03/2026";"02/04/2026";"03/04/2026";"01/05/2026"}) &lt;=
    _xlfn.IFS(
      OR(TRIM(A6)="AICM", TRIM(A6)="AÉREO AICM"), 5,
      OR(TRIM(A6)="VERACRUZ", TRIM(A6)="MARÍTIMO VERACRUZ"), 6,
      OR(TRIM(A6)="AIFA", TRIM(A6)="AÉREO AIFA"), 7,
      AND(TRIM(A6)="CORRESPONSALIAS", TRIM(B6)="NUEVO LAREDO"), 6,
      TRIM(A6)="MANZANILLO", 10,
      TRIM(A6)="TOLUCA", 6,
      TRUE, 999
    ),
    "On Time",
    "Delayed"
  ),
  "Faltan fechas"
)</f>
        <v>Delayed</v>
      </c>
      <c r="P6" s="24" t="s">
        <v>568</v>
      </c>
      <c r="Q6" s="4">
        <v>46042</v>
      </c>
      <c r="R6" s="5">
        <f>IFERROR(IF(G6=Q6,0,NETWORKDAYS(G6,Q6,{"01/01/2026";"02/02/2026";"16/03/2026";"02/04/2026";"03/04/2026";"01/05/2026"})),"Faltan Fechas")</f>
        <v>26</v>
      </c>
      <c r="S6" s="4" t="str">
        <f>IFERROR(IF(OR(G6="",Q6=""),"SIN DATO",IF(NETWORKDAYS(G6,Q6,{"01/01/2026";"02/02/2026";"16/03/2026";"02/04/2026";"03/04/2026";"01/05/2026"})&lt;=1,"1 día o menos",IF(NETWORKDAYS(G6,Q6,{"01/01/2026";"02/02/2026";"16/03/2026";"02/04/2026";"03/04/2026";"01/05/2026"})&lt;=3,"2 a 3 días",IF(NETWORKDAYS(G6,Q6,{"01/01/2026";"02/02/2026";"16/03/2026";"02/04/2026";"03/04/2026";"01/05/2026"})&lt;=5,"4 a 5 días",IF(NETWORKDAYS(G6,Q6,{"01/01/2026";"02/02/2026";"16/03/2026";"02/04/2026";"03/04/2026";"01/05/2026"})&lt;=10,"6 a 10 días",IF(NETWORKDAYS(G6,Q6,{"01/01/2026";"02/02/2026";"16/03/2026";"02/04/2026";"03/04/2026";"01/05/2026"})&lt;=16,"11 a 15 días","más de 16 días")))))),"Aun no se entrega")</f>
        <v>más de 16 días</v>
      </c>
      <c r="T6" s="4" t="str" cm="1">
        <f t="array" ref="T6">IFERROR(
  IF(
    NETWORKDAYS(G6,Q6,{"01/01/2026";"02/02/2026";"16/03/2026";"02/04/2026";"03/04/2026";"01/05/2026"}) &lt;=
    _xlfn.IFS(
      OR(TRIM(A6)="AICM", TRIM(A6)="AÉREO AICM"), 5,
      OR(TRIM(A6)="VERACRUZ", TRIM(A6)="MARÍTIMO VERACRUZ"), 6,
      OR(TRIM(A6)="AIFA", TRIM(A6)="AÉREO AIFA"), 7,
      AND(TRIM(A6)="CORRESPONSALIAS", TRIM(B6)="NUEVO LAREDO"), 6,
      TRIM(A6)="MANZANILLO", 10,
      TRIM(A6)="TOLUCA", 6,
      TRUE, 999
    ),
    "On Time",
    "Delayed"
  ),
  "Faltan fechas"
)</f>
        <v>Delayed</v>
      </c>
      <c r="U6" s="3">
        <v>36</v>
      </c>
      <c r="V6" s="3" t="s">
        <v>588</v>
      </c>
      <c r="W6" s="3">
        <v>28</v>
      </c>
      <c r="X6" s="3" t="s">
        <v>547</v>
      </c>
      <c r="Y6" s="3">
        <v>1</v>
      </c>
      <c r="Z6" s="3" t="s">
        <v>546</v>
      </c>
      <c r="AA6" s="3">
        <v>32</v>
      </c>
      <c r="AB6" s="3">
        <v>1</v>
      </c>
      <c r="AC6" s="3" t="s">
        <v>546</v>
      </c>
      <c r="AD6" s="4">
        <v>46044</v>
      </c>
      <c r="AE6" s="3">
        <v>2</v>
      </c>
      <c r="AF6" s="3">
        <v>2</v>
      </c>
      <c r="AG6" s="4">
        <v>46044</v>
      </c>
      <c r="AH6" s="4">
        <v>46044</v>
      </c>
      <c r="AI6" s="3">
        <v>0</v>
      </c>
      <c r="AJ6" s="3" t="s">
        <v>579</v>
      </c>
      <c r="AK6" s="4">
        <v>46044</v>
      </c>
      <c r="AL6" s="5">
        <f>IFERROR(IF(Q6=AK6,0,NETWORKDAYS(Q6,AK6,{"01/01/2026";"02/02/2026";"16/03/2026";"02/04/2026";"03/04/2026";"01/05/2026"})),"aun no se factura")</f>
        <v>3</v>
      </c>
      <c r="AM6" s="4" t="str">
        <f>IFERROR(IF(OR(Q6="",AK6=""),"SIN DATO",IF(NETWORKDAYS(Q6,AK6,{"01/01/2026";"02/02/2026";"16/03/2026";"02/04/2026";"03/04/2026";"01/05/2026"})&lt;=1,"1 día o menos",IF(NETWORKDAYS(Q6,AK6,{"01/01/2026";"02/02/2026";"16/03/2026";"02/04/2026";"03/04/2026";"01/05/2026"})&lt;=3,"2 a 3 días",IF(NETWORKDAYS(Q6,AK6,{"01/01/2026";"02/02/2026";"16/03/2026";"02/04/2026";"03/04/2026";"01/05/2026"})&lt;=5,"4 a 5 días",IF(NETWORKDAYS(Q6,AK6,{"01/01/2026";"02/02/2026";"16/03/2026";"02/04/2026";"03/04/2026";"01/05/2026"})&lt;=10,"6 a 10 días",IF(NETWORKDAYS(Q6,AK6,{"01/01/2026";"02/02/2026";"16/03/2026";"02/04/2026";"03/04/2026";"01/05/2026"})&lt;=16,"11 a 15 días","más de 16 días")))))),"aun no se factura")</f>
        <v>2 a 3 días</v>
      </c>
      <c r="AN6" s="4" t="str" cm="1">
        <f t="array" ref="AN6">IFERROR(
  IF(
    NETWORKDAYS(Q6,AK6,{"01/01/2026";"02/02/2026";"16/03/2026";"02/04/2026";"03/04/2026";"01/05/2026"}) &lt;=
    _xlfn.IFS(
      OR(TRIM(A6)="AICM", TRIM(A6)="AÉREO AICM"), 5,
      OR(TRIM(A6)="VERACRUZ", TRIM(A6)="MARÍTIMO VERACRUZ"), 6,
      OR(TRIM(A6)="AIFA", TRIM(A6)="AÉREO AIFA"), 7,
      AND(TRIM(A6)="CORRESPONSALIAS", TRIM(B6)="NUEVO LAREDO"), 6,
      TRIM(A6)="MANZANILLO", 10,
      TRIM(A6)="TOLUCA", 6,
      TRUE, 999
    ),
    "On Time",
    "Delayed"
  ),
  "Faltan fechas"
)</f>
        <v>On Time</v>
      </c>
      <c r="AO6" s="5">
        <v>1</v>
      </c>
      <c r="AP6" s="3" t="s">
        <v>548</v>
      </c>
      <c r="AQ6" s="3" t="s">
        <v>93</v>
      </c>
      <c r="AR6" s="3" t="s">
        <v>112</v>
      </c>
      <c r="AS6" s="3" t="s">
        <v>168</v>
      </c>
      <c r="AT6" s="3" t="s">
        <v>223</v>
      </c>
      <c r="AU6" s="5">
        <v>6000133</v>
      </c>
      <c r="AV6" s="3" t="s">
        <v>92</v>
      </c>
      <c r="AW6" s="3" t="s">
        <v>167</v>
      </c>
      <c r="AX6" s="3" t="s">
        <v>549</v>
      </c>
      <c r="AY6" s="3"/>
      <c r="AZ6" s="3" t="s">
        <v>550</v>
      </c>
      <c r="BA6" s="3" t="s">
        <v>90</v>
      </c>
      <c r="BB6" s="3"/>
      <c r="BC6" s="3" t="s">
        <v>107</v>
      </c>
      <c r="BD6" s="3" t="s">
        <v>594</v>
      </c>
      <c r="BE6" s="3" t="s">
        <v>107</v>
      </c>
      <c r="BF6" s="3" t="s">
        <v>576</v>
      </c>
      <c r="BG6" s="3" t="s">
        <v>552</v>
      </c>
      <c r="BH6" s="3" t="s">
        <v>592</v>
      </c>
      <c r="BI6" s="3" t="s">
        <v>595</v>
      </c>
      <c r="BJ6" s="3"/>
      <c r="BK6" s="3" t="s">
        <v>554</v>
      </c>
      <c r="BL6" s="3">
        <v>0</v>
      </c>
      <c r="BM6" s="3">
        <v>99</v>
      </c>
      <c r="BN6" s="3" t="s">
        <v>596</v>
      </c>
      <c r="BO6" s="3">
        <v>90</v>
      </c>
      <c r="BP6" s="3">
        <v>4939600</v>
      </c>
      <c r="BQ6" s="3" t="s">
        <v>563</v>
      </c>
      <c r="BR6" s="3"/>
      <c r="BS6" s="3" t="s">
        <v>558</v>
      </c>
      <c r="BT6" s="3" t="s">
        <v>558</v>
      </c>
      <c r="BU6" s="3" t="s">
        <v>105</v>
      </c>
      <c r="BV6" s="3" t="s">
        <v>105</v>
      </c>
      <c r="BW6" s="3"/>
      <c r="BX6" s="3"/>
      <c r="BY6" s="3"/>
      <c r="BZ6" s="3"/>
      <c r="CA6" s="3"/>
    </row>
    <row r="7" spans="1:79" x14ac:dyDescent="0.25">
      <c r="A7" s="3" t="s">
        <v>577</v>
      </c>
      <c r="B7" s="3" t="s">
        <v>578</v>
      </c>
      <c r="C7" s="3" t="s">
        <v>128</v>
      </c>
      <c r="D7" s="3">
        <v>430</v>
      </c>
      <c r="E7" s="4">
        <v>46045</v>
      </c>
      <c r="F7" s="3">
        <v>1</v>
      </c>
      <c r="G7" s="22">
        <v>46043</v>
      </c>
      <c r="H7" s="4">
        <v>46045</v>
      </c>
      <c r="I7" s="3">
        <v>2</v>
      </c>
      <c r="J7" s="3" t="s">
        <v>579</v>
      </c>
      <c r="K7" s="22">
        <v>46046</v>
      </c>
      <c r="L7" s="3">
        <v>3</v>
      </c>
      <c r="M7" s="3">
        <f>IFERROR(IF(G7=K7,0,NETWORKDAYS(G7,K7,{"01/01/2026";"02/02/2026";"16/03/2026";"02/04/2026";"03/04/2026";"01/05/2026"})),"Faltan Fechas")</f>
        <v>3</v>
      </c>
      <c r="N7" s="23" t="str">
        <f>IFERROR(IF(OR(G7="",K7=""),"SIN DATO",IF(NETWORKDAYS(G7,K7,{"01/01/2026";"02/02/2026";"16/03/2026";"02/04/2026";"03/04/2026";"01/05/2026"})&lt;=1,"1 día o menos",IF(NETWORKDAYS(G7,K7,{"01/01/2026";"02/02/2026";"16/03/2026";"02/04/2026";"03/04/2026";"01/05/2026"})&lt;=3,"2 a 3 días",IF(NETWORKDAYS(G7,K7,{"01/01/2026";"02/02/2026";"16/03/2026";"02/04/2026";"03/04/2026";"01/05/2026"})&lt;=5,"4 a 5 días",IF(NETWORKDAYS(G7,K7,{"01/01/2026";"02/02/2026";"16/03/2026";"02/04/2026";"03/04/2026";"01/05/2026"})&lt;=10,"6 a 10 días",IF(NETWORKDAYS(G7,K7,{"01/01/2026";"02/02/2026";"16/03/2026";"02/04/2026";"03/04/2026";"01/05/2026"})&lt;=16,"11 a 15 días","más de 16 días")))))),"Aun no se entrega")</f>
        <v>2 a 3 días</v>
      </c>
      <c r="O7" s="3" t="str" cm="1">
        <f t="array" ref="O7">IFERROR(
  IF(
    NETWORKDAYS(G7,K7,{"01/01/2026";"02/02/2026";"16/03/2026";"02/04/2026";"03/04/2026";"01/05/2026"}) &lt;=
    _xlfn.IFS(
      OR(TRIM(A7)="AICM", TRIM(A7)="AÉREO AICM"), 5,
      OR(TRIM(A7)="VERACRUZ", TRIM(A7)="MARÍTIMO VERACRUZ"), 6,
      OR(TRIM(A7)="AIFA", TRIM(A7)="AÉREO AIFA"), 7,
      AND(TRIM(A7)="CORRESPONSALIAS", TRIM(B7)="NUEVO LAREDO"), 6,
      TRIM(A7)="MANZANILLO", 10,
      TRIM(A7)="TOLUCA", 6,
      TRUE, 999
    ),
    "On Time",
    "Delayed"
  ),
  "Faltan fechas"
)</f>
        <v>On Time</v>
      </c>
      <c r="P7" s="24" t="s">
        <v>579</v>
      </c>
      <c r="Q7" s="4">
        <v>46048</v>
      </c>
      <c r="R7" s="5">
        <f>IFERROR(IF(G7=Q7,0,NETWORKDAYS(G7,Q7,{"01/01/2026";"02/02/2026";"16/03/2026";"02/04/2026";"03/04/2026";"01/05/2026"})),"Faltan Fechas")</f>
        <v>4</v>
      </c>
      <c r="S7" s="4" t="str">
        <f>IFERROR(IF(OR(G7="",Q7=""),"SIN DATO",IF(NETWORKDAYS(G7,Q7,{"01/01/2026";"02/02/2026";"16/03/2026";"02/04/2026";"03/04/2026";"01/05/2026"})&lt;=1,"1 día o menos",IF(NETWORKDAYS(G7,Q7,{"01/01/2026";"02/02/2026";"16/03/2026";"02/04/2026";"03/04/2026";"01/05/2026"})&lt;=3,"2 a 3 días",IF(NETWORKDAYS(G7,Q7,{"01/01/2026";"02/02/2026";"16/03/2026";"02/04/2026";"03/04/2026";"01/05/2026"})&lt;=5,"4 a 5 días",IF(NETWORKDAYS(G7,Q7,{"01/01/2026";"02/02/2026";"16/03/2026";"02/04/2026";"03/04/2026";"01/05/2026"})&lt;=10,"6 a 10 días",IF(NETWORKDAYS(G7,Q7,{"01/01/2026";"02/02/2026";"16/03/2026";"02/04/2026";"03/04/2026";"01/05/2026"})&lt;=16,"11 a 15 días","más de 16 días")))))),"Aun no se entrega")</f>
        <v>4 a 5 días</v>
      </c>
      <c r="T7" s="4" t="str" cm="1">
        <f t="array" ref="T7">IFERROR(
  IF(
    NETWORKDAYS(G7,Q7,{"01/01/2026";"02/02/2026";"16/03/2026";"02/04/2026";"03/04/2026";"01/05/2026"}) &lt;=
    _xlfn.IFS(
      OR(TRIM(A7)="AICM", TRIM(A7)="AÉREO AICM"), 5,
      OR(TRIM(A7)="VERACRUZ", TRIM(A7)="MARÍTIMO VERACRUZ"), 6,
      OR(TRIM(A7)="AIFA", TRIM(A7)="AÉREO AIFA"), 7,
      AND(TRIM(A7)="CORRESPONSALIAS", TRIM(B7)="NUEVO LAREDO"), 6,
      TRIM(A7)="MANZANILLO", 10,
      TRIM(A7)="TOLUCA", 6,
      TRUE, 999
    ),
    "On Time",
    "Delayed"
  ),
  "Faltan fechas"
)</f>
        <v>On Time</v>
      </c>
      <c r="U7" s="3">
        <v>5</v>
      </c>
      <c r="V7" s="3" t="s">
        <v>579</v>
      </c>
      <c r="W7" s="3">
        <v>9</v>
      </c>
      <c r="X7" s="3" t="s">
        <v>544</v>
      </c>
      <c r="Y7" s="3">
        <v>1</v>
      </c>
      <c r="Z7" s="3" t="s">
        <v>546</v>
      </c>
      <c r="AA7" s="3">
        <v>2</v>
      </c>
      <c r="AB7" s="3">
        <v>2</v>
      </c>
      <c r="AC7" s="3" t="s">
        <v>579</v>
      </c>
      <c r="AD7" s="4">
        <v>46056</v>
      </c>
      <c r="AE7" s="3">
        <v>8</v>
      </c>
      <c r="AF7" s="3">
        <v>6</v>
      </c>
      <c r="AG7" s="4">
        <v>46056</v>
      </c>
      <c r="AH7" s="4">
        <v>46056</v>
      </c>
      <c r="AI7" s="3">
        <v>0</v>
      </c>
      <c r="AJ7" s="3" t="s">
        <v>544</v>
      </c>
      <c r="AK7" s="4">
        <v>46056</v>
      </c>
      <c r="AL7" s="5">
        <f>IFERROR(IF(Q7=AK7,0,NETWORKDAYS(Q7,AK7,{"01/01/2026";"02/02/2026";"16/03/2026";"02/04/2026";"03/04/2026";"01/05/2026"})),"aun no se factura")</f>
        <v>6</v>
      </c>
      <c r="AM7" s="4" t="str">
        <f>IFERROR(IF(OR(Q7="",AK7=""),"SIN DATO",IF(NETWORKDAYS(Q7,AK7,{"01/01/2026";"02/02/2026";"16/03/2026";"02/04/2026";"03/04/2026";"01/05/2026"})&lt;=1,"1 día o menos",IF(NETWORKDAYS(Q7,AK7,{"01/01/2026";"02/02/2026";"16/03/2026";"02/04/2026";"03/04/2026";"01/05/2026"})&lt;=3,"2 a 3 días",IF(NETWORKDAYS(Q7,AK7,{"01/01/2026";"02/02/2026";"16/03/2026";"02/04/2026";"03/04/2026";"01/05/2026"})&lt;=5,"4 a 5 días",IF(NETWORKDAYS(Q7,AK7,{"01/01/2026";"02/02/2026";"16/03/2026";"02/04/2026";"03/04/2026";"01/05/2026"})&lt;=10,"6 a 10 días",IF(NETWORKDAYS(Q7,AK7,{"01/01/2026";"02/02/2026";"16/03/2026";"02/04/2026";"03/04/2026";"01/05/2026"})&lt;=16,"11 a 15 días","más de 16 días")))))),"aun no se factura")</f>
        <v>6 a 10 días</v>
      </c>
      <c r="AN7" s="4" t="str" cm="1">
        <f t="array" ref="AN7">IFERROR(
  IF(
    NETWORKDAYS(Q7,AK7,{"01/01/2026";"02/02/2026";"16/03/2026";"02/04/2026";"03/04/2026";"01/05/2026"}) &lt;=
    _xlfn.IFS(
      OR(TRIM(A7)="AICM", TRIM(A7)="AÉREO AICM"), 5,
      OR(TRIM(A7)="VERACRUZ", TRIM(A7)="MARÍTIMO VERACRUZ"), 6,
      OR(TRIM(A7)="AIFA", TRIM(A7)="AÉREO AIFA"), 7,
      AND(TRIM(A7)="CORRESPONSALIAS", TRIM(B7)="NUEVO LAREDO"), 6,
      TRIM(A7)="MANZANILLO", 10,
      TRIM(A7)="TOLUCA", 6,
      TRUE, 999
    ),
    "On Time",
    "Delayed"
  ),
  "Faltan fechas"
)</f>
        <v>On Time</v>
      </c>
      <c r="AO7" s="5">
        <v>1</v>
      </c>
      <c r="AP7" s="3" t="s">
        <v>548</v>
      </c>
      <c r="AQ7" s="3" t="s">
        <v>93</v>
      </c>
      <c r="AR7" s="3" t="s">
        <v>112</v>
      </c>
      <c r="AS7" s="3" t="s">
        <v>132</v>
      </c>
      <c r="AT7" s="3" t="s">
        <v>223</v>
      </c>
      <c r="AU7" s="5">
        <v>6000095</v>
      </c>
      <c r="AV7" s="3" t="s">
        <v>92</v>
      </c>
      <c r="AW7" s="3" t="s">
        <v>131</v>
      </c>
      <c r="AX7" s="3" t="s">
        <v>549</v>
      </c>
      <c r="AY7" s="3"/>
      <c r="AZ7" s="3" t="s">
        <v>550</v>
      </c>
      <c r="BA7" s="3" t="s">
        <v>90</v>
      </c>
      <c r="BB7" s="3"/>
      <c r="BC7" s="3"/>
      <c r="BD7" s="3"/>
      <c r="BE7" s="3"/>
      <c r="BF7" s="3" t="s">
        <v>576</v>
      </c>
      <c r="BG7" s="3" t="s">
        <v>552</v>
      </c>
      <c r="BH7" s="3" t="s">
        <v>580</v>
      </c>
      <c r="BI7" s="3"/>
      <c r="BJ7" s="3" t="s">
        <v>597</v>
      </c>
      <c r="BK7" s="3" t="s">
        <v>554</v>
      </c>
      <c r="BL7" s="3">
        <v>0</v>
      </c>
      <c r="BM7" s="3" t="s">
        <v>582</v>
      </c>
      <c r="BN7" s="3" t="s">
        <v>598</v>
      </c>
      <c r="BO7" s="3">
        <v>90</v>
      </c>
      <c r="BP7" s="3" t="s">
        <v>599</v>
      </c>
      <c r="BQ7" s="3" t="s">
        <v>600</v>
      </c>
      <c r="BR7" s="3"/>
      <c r="BS7" s="3" t="s">
        <v>601</v>
      </c>
      <c r="BT7" s="3" t="s">
        <v>558</v>
      </c>
      <c r="BU7" s="3" t="s">
        <v>602</v>
      </c>
      <c r="BV7" s="3" t="s">
        <v>105</v>
      </c>
      <c r="BW7" s="3"/>
      <c r="BX7" s="3"/>
      <c r="BY7" s="3"/>
      <c r="BZ7" s="3"/>
      <c r="CA7" s="3"/>
    </row>
    <row r="8" spans="1:79" x14ac:dyDescent="0.25">
      <c r="A8" s="3" t="s">
        <v>577</v>
      </c>
      <c r="B8" s="3" t="s">
        <v>578</v>
      </c>
      <c r="C8" s="3" t="s">
        <v>141</v>
      </c>
      <c r="D8" s="3">
        <v>430</v>
      </c>
      <c r="E8" s="4">
        <v>46045</v>
      </c>
      <c r="F8" s="3">
        <v>1</v>
      </c>
      <c r="G8" s="22">
        <v>46043</v>
      </c>
      <c r="H8" s="4">
        <v>46045</v>
      </c>
      <c r="I8" s="3">
        <v>2</v>
      </c>
      <c r="J8" s="3" t="s">
        <v>579</v>
      </c>
      <c r="K8" s="22">
        <v>46048</v>
      </c>
      <c r="L8" s="3">
        <v>3</v>
      </c>
      <c r="M8" s="3">
        <f>IFERROR(IF(G8=K8,0,NETWORKDAYS(G8,K8,{"01/01/2026";"02/02/2026";"16/03/2026";"02/04/2026";"03/04/2026";"01/05/2026"})),"Faltan Fechas")</f>
        <v>4</v>
      </c>
      <c r="N8" s="23" t="str">
        <f>IFERROR(IF(OR(G8="",K8=""),"SIN DATO",IF(NETWORKDAYS(G8,K8,{"01/01/2026";"02/02/2026";"16/03/2026";"02/04/2026";"03/04/2026";"01/05/2026"})&lt;=1,"1 día o menos",IF(NETWORKDAYS(G8,K8,{"01/01/2026";"02/02/2026";"16/03/2026";"02/04/2026";"03/04/2026";"01/05/2026"})&lt;=3,"2 a 3 días",IF(NETWORKDAYS(G8,K8,{"01/01/2026";"02/02/2026";"16/03/2026";"02/04/2026";"03/04/2026";"01/05/2026"})&lt;=5,"4 a 5 días",IF(NETWORKDAYS(G8,K8,{"01/01/2026";"02/02/2026";"16/03/2026";"02/04/2026";"03/04/2026";"01/05/2026"})&lt;=10,"6 a 10 días",IF(NETWORKDAYS(G8,K8,{"01/01/2026";"02/02/2026";"16/03/2026";"02/04/2026";"03/04/2026";"01/05/2026"})&lt;=16,"11 a 15 días","más de 16 días")))))),"Aun no se entrega")</f>
        <v>4 a 5 días</v>
      </c>
      <c r="O8" s="3" t="str" cm="1">
        <f t="array" ref="O8">IFERROR(
  IF(
    NETWORKDAYS(G8,K8,{"01/01/2026";"02/02/2026";"16/03/2026";"02/04/2026";"03/04/2026";"01/05/2026"}) &lt;=
    _xlfn.IFS(
      OR(TRIM(A8)="AICM", TRIM(A8)="AÉREO AICM"), 5,
      OR(TRIM(A8)="VERACRUZ", TRIM(A8)="MARÍTIMO VERACRUZ"), 6,
      OR(TRIM(A8)="AIFA", TRIM(A8)="AÉREO AIFA"), 7,
      AND(TRIM(A8)="CORRESPONSALIAS", TRIM(B8)="NUEVO LAREDO"), 6,
      TRIM(A8)="MANZANILLO", 10,
      TRIM(A8)="TOLUCA", 6,
      TRUE, 999
    ),
    "On Time",
    "Delayed"
  ),
  "Faltan fechas"
)</f>
        <v>On Time</v>
      </c>
      <c r="P8" s="24" t="s">
        <v>543</v>
      </c>
      <c r="Q8" s="4">
        <v>46049</v>
      </c>
      <c r="R8" s="5">
        <f>IFERROR(IF(G8=Q8,0,NETWORKDAYS(G8,Q8,{"01/01/2026";"02/02/2026";"16/03/2026";"02/04/2026";"03/04/2026";"01/05/2026"})),"Faltan Fechas")</f>
        <v>5</v>
      </c>
      <c r="S8" s="4" t="str">
        <f>IFERROR(IF(OR(G8="",Q8=""),"SIN DATO",IF(NETWORKDAYS(G8,Q8,{"01/01/2026";"02/02/2026";"16/03/2026";"02/04/2026";"03/04/2026";"01/05/2026"})&lt;=1,"1 día o menos",IF(NETWORKDAYS(G8,Q8,{"01/01/2026";"02/02/2026";"16/03/2026";"02/04/2026";"03/04/2026";"01/05/2026"})&lt;=3,"2 a 3 días",IF(NETWORKDAYS(G8,Q8,{"01/01/2026";"02/02/2026";"16/03/2026";"02/04/2026";"03/04/2026";"01/05/2026"})&lt;=5,"4 a 5 días",IF(NETWORKDAYS(G8,Q8,{"01/01/2026";"02/02/2026";"16/03/2026";"02/04/2026";"03/04/2026";"01/05/2026"})&lt;=10,"6 a 10 días",IF(NETWORKDAYS(G8,Q8,{"01/01/2026";"02/02/2026";"16/03/2026";"02/04/2026";"03/04/2026";"01/05/2026"})&lt;=16,"11 a 15 días","más de 16 días")))))),"Aun no se entrega")</f>
        <v>4 a 5 días</v>
      </c>
      <c r="T8" s="4" t="str" cm="1">
        <f t="array" ref="T8">IFERROR(
  IF(
    NETWORKDAYS(G8,Q8,{"01/01/2026";"02/02/2026";"16/03/2026";"02/04/2026";"03/04/2026";"01/05/2026"}) &lt;=
    _xlfn.IFS(
      OR(TRIM(A8)="AICM", TRIM(A8)="AÉREO AICM"), 5,
      OR(TRIM(A8)="VERACRUZ", TRIM(A8)="MARÍTIMO VERACRUZ"), 6,
      OR(TRIM(A8)="AIFA", TRIM(A8)="AÉREO AIFA"), 7,
      AND(TRIM(A8)="CORRESPONSALIAS", TRIM(B8)="NUEVO LAREDO"), 6,
      TRIM(A8)="MANZANILLO", 10,
      TRIM(A8)="TOLUCA", 6,
      TRUE, 999
    ),
    "On Time",
    "Delayed"
  ),
  "Faltan fechas"
)</f>
        <v>On Time</v>
      </c>
      <c r="U8" s="3">
        <v>6</v>
      </c>
      <c r="V8" s="3" t="s">
        <v>543</v>
      </c>
      <c r="W8" s="3">
        <v>7</v>
      </c>
      <c r="X8" s="3" t="s">
        <v>544</v>
      </c>
      <c r="Y8" s="3">
        <v>1</v>
      </c>
      <c r="Z8" s="3" t="s">
        <v>546</v>
      </c>
      <c r="AA8" s="3">
        <v>2</v>
      </c>
      <c r="AB8" s="3">
        <v>1</v>
      </c>
      <c r="AC8" s="3" t="s">
        <v>546</v>
      </c>
      <c r="AD8" s="4">
        <v>46052</v>
      </c>
      <c r="AE8" s="3">
        <v>3</v>
      </c>
      <c r="AF8" s="3">
        <v>3</v>
      </c>
      <c r="AG8" s="4">
        <v>46052</v>
      </c>
      <c r="AH8" s="4">
        <v>46052</v>
      </c>
      <c r="AI8" s="3">
        <v>0</v>
      </c>
      <c r="AJ8" s="3" t="s">
        <v>579</v>
      </c>
      <c r="AK8" s="4">
        <v>46052</v>
      </c>
      <c r="AL8" s="5">
        <f>IFERROR(IF(Q8=AK8,0,NETWORKDAYS(Q8,AK8,{"01/01/2026";"02/02/2026";"16/03/2026";"02/04/2026";"03/04/2026";"01/05/2026"})),"aun no se factura")</f>
        <v>4</v>
      </c>
      <c r="AM8" s="4" t="str">
        <f>IFERROR(IF(OR(Q8="",AK8=""),"SIN DATO",IF(NETWORKDAYS(Q8,AK8,{"01/01/2026";"02/02/2026";"16/03/2026";"02/04/2026";"03/04/2026";"01/05/2026"})&lt;=1,"1 día o menos",IF(NETWORKDAYS(Q8,AK8,{"01/01/2026";"02/02/2026";"16/03/2026";"02/04/2026";"03/04/2026";"01/05/2026"})&lt;=3,"2 a 3 días",IF(NETWORKDAYS(Q8,AK8,{"01/01/2026";"02/02/2026";"16/03/2026";"02/04/2026";"03/04/2026";"01/05/2026"})&lt;=5,"4 a 5 días",IF(NETWORKDAYS(Q8,AK8,{"01/01/2026";"02/02/2026";"16/03/2026";"02/04/2026";"03/04/2026";"01/05/2026"})&lt;=10,"6 a 10 días",IF(NETWORKDAYS(Q8,AK8,{"01/01/2026";"02/02/2026";"16/03/2026";"02/04/2026";"03/04/2026";"01/05/2026"})&lt;=16,"11 a 15 días","más de 16 días")))))),"aun no se factura")</f>
        <v>4 a 5 días</v>
      </c>
      <c r="AN8" s="4" t="str" cm="1">
        <f t="array" ref="AN8">IFERROR(
  IF(
    NETWORKDAYS(Q8,AK8,{"01/01/2026";"02/02/2026";"16/03/2026";"02/04/2026";"03/04/2026";"01/05/2026"}) &lt;=
    _xlfn.IFS(
      OR(TRIM(A8)="AICM", TRIM(A8)="AÉREO AICM"), 5,
      OR(TRIM(A8)="VERACRUZ", TRIM(A8)="MARÍTIMO VERACRUZ"), 6,
      OR(TRIM(A8)="AIFA", TRIM(A8)="AÉREO AIFA"), 7,
      AND(TRIM(A8)="CORRESPONSALIAS", TRIM(B8)="NUEVO LAREDO"), 6,
      TRIM(A8)="MANZANILLO", 10,
      TRIM(A8)="TOLUCA", 6,
      TRUE, 999
    ),
    "On Time",
    "Delayed"
  ),
  "Faltan fechas"
)</f>
        <v>On Time</v>
      </c>
      <c r="AO8" s="5">
        <v>1</v>
      </c>
      <c r="AP8" s="3" t="s">
        <v>548</v>
      </c>
      <c r="AQ8" s="3" t="s">
        <v>93</v>
      </c>
      <c r="AR8" s="3" t="s">
        <v>112</v>
      </c>
      <c r="AS8" s="3" t="s">
        <v>145</v>
      </c>
      <c r="AT8" s="3" t="s">
        <v>223</v>
      </c>
      <c r="AU8" s="5">
        <v>6000096</v>
      </c>
      <c r="AV8" s="3" t="s">
        <v>92</v>
      </c>
      <c r="AW8" s="3" t="s">
        <v>144</v>
      </c>
      <c r="AX8" s="3" t="s">
        <v>549</v>
      </c>
      <c r="AY8" s="3"/>
      <c r="AZ8" s="3" t="s">
        <v>550</v>
      </c>
      <c r="BA8" s="3" t="s">
        <v>90</v>
      </c>
      <c r="BB8" s="3"/>
      <c r="BC8" s="3" t="s">
        <v>117</v>
      </c>
      <c r="BD8" s="3"/>
      <c r="BE8" s="3" t="s">
        <v>117</v>
      </c>
      <c r="BF8" s="3" t="s">
        <v>576</v>
      </c>
      <c r="BG8" s="3" t="s">
        <v>552</v>
      </c>
      <c r="BH8" s="3" t="s">
        <v>580</v>
      </c>
      <c r="BI8" s="3"/>
      <c r="BJ8" s="3" t="s">
        <v>603</v>
      </c>
      <c r="BK8" s="3" t="s">
        <v>554</v>
      </c>
      <c r="BL8" s="3">
        <v>0</v>
      </c>
      <c r="BM8" s="3" t="s">
        <v>582</v>
      </c>
      <c r="BN8" s="3" t="s">
        <v>604</v>
      </c>
      <c r="BO8" s="3">
        <v>90</v>
      </c>
      <c r="BP8" s="3" t="s">
        <v>605</v>
      </c>
      <c r="BQ8" s="3" t="s">
        <v>606</v>
      </c>
      <c r="BR8" s="3"/>
      <c r="BS8" s="3" t="s">
        <v>558</v>
      </c>
      <c r="BT8" s="3" t="s">
        <v>558</v>
      </c>
      <c r="BU8" s="3" t="s">
        <v>105</v>
      </c>
      <c r="BV8" s="3" t="s">
        <v>105</v>
      </c>
      <c r="BW8" s="3"/>
      <c r="BX8" s="3"/>
      <c r="BY8" s="3"/>
      <c r="BZ8" s="3"/>
      <c r="CA8" s="3"/>
    </row>
    <row r="9" spans="1:79" x14ac:dyDescent="0.25">
      <c r="A9" s="3" t="s">
        <v>577</v>
      </c>
      <c r="B9" s="3" t="s">
        <v>578</v>
      </c>
      <c r="C9" s="3" t="s">
        <v>170</v>
      </c>
      <c r="D9" s="3">
        <v>430</v>
      </c>
      <c r="E9" s="4">
        <v>46050</v>
      </c>
      <c r="F9" s="3">
        <v>1</v>
      </c>
      <c r="G9" s="22">
        <v>46046</v>
      </c>
      <c r="H9" s="4">
        <v>46050</v>
      </c>
      <c r="I9" s="3">
        <v>2</v>
      </c>
      <c r="J9" s="3" t="s">
        <v>579</v>
      </c>
      <c r="K9" s="22">
        <v>46051</v>
      </c>
      <c r="L9" s="3">
        <v>3</v>
      </c>
      <c r="M9" s="3">
        <f>IFERROR(IF(G9=K9,0,NETWORKDAYS(G9,K9,{"01/01/2026";"02/02/2026";"16/03/2026";"02/04/2026";"03/04/2026";"01/05/2026"})),"Faltan Fechas")</f>
        <v>4</v>
      </c>
      <c r="N9" s="23" t="str">
        <f>IFERROR(IF(OR(G9="",K9=""),"SIN DATO",IF(NETWORKDAYS(G9,K9,{"01/01/2026";"02/02/2026";"16/03/2026";"02/04/2026";"03/04/2026";"01/05/2026"})&lt;=1,"1 día o menos",IF(NETWORKDAYS(G9,K9,{"01/01/2026";"02/02/2026";"16/03/2026";"02/04/2026";"03/04/2026";"01/05/2026"})&lt;=3,"2 a 3 días",IF(NETWORKDAYS(G9,K9,{"01/01/2026";"02/02/2026";"16/03/2026";"02/04/2026";"03/04/2026";"01/05/2026"})&lt;=5,"4 a 5 días",IF(NETWORKDAYS(G9,K9,{"01/01/2026";"02/02/2026";"16/03/2026";"02/04/2026";"03/04/2026";"01/05/2026"})&lt;=10,"6 a 10 días",IF(NETWORKDAYS(G9,K9,{"01/01/2026";"02/02/2026";"16/03/2026";"02/04/2026";"03/04/2026";"01/05/2026"})&lt;=16,"11 a 15 días","más de 16 días")))))),"Aun no se entrega")</f>
        <v>4 a 5 días</v>
      </c>
      <c r="O9" s="3" t="str" cm="1">
        <f t="array" ref="O9">IFERROR(
  IF(
    NETWORKDAYS(G9,K9,{"01/01/2026";"02/02/2026";"16/03/2026";"02/04/2026";"03/04/2026";"01/05/2026"}) &lt;=
    _xlfn.IFS(
      OR(TRIM(A9)="AICM", TRIM(A9)="AÉREO AICM"), 5,
      OR(TRIM(A9)="VERACRUZ", TRIM(A9)="MARÍTIMO VERACRUZ"), 6,
      OR(TRIM(A9)="AIFA", TRIM(A9)="AÉREO AIFA"), 7,
      AND(TRIM(A9)="CORRESPONSALIAS", TRIM(B9)="NUEVO LAREDO"), 6,
      TRIM(A9)="MANZANILLO", 10,
      TRIM(A9)="TOLUCA", 6,
      TRUE, 999
    ),
    "On Time",
    "Delayed"
  ),
  "Faltan fechas"
)</f>
        <v>On Time</v>
      </c>
      <c r="P9" s="24" t="s">
        <v>543</v>
      </c>
      <c r="Q9" s="4">
        <v>46052</v>
      </c>
      <c r="R9" s="5">
        <f>IFERROR(IF(G9=Q9,0,NETWORKDAYS(G9,Q9,{"01/01/2026";"02/02/2026";"16/03/2026";"02/04/2026";"03/04/2026";"01/05/2026"})),"Faltan Fechas")</f>
        <v>5</v>
      </c>
      <c r="S9" s="4" t="str">
        <f>IFERROR(IF(OR(G9="",Q9=""),"SIN DATO",IF(NETWORKDAYS(G9,Q9,{"01/01/2026";"02/02/2026";"16/03/2026";"02/04/2026";"03/04/2026";"01/05/2026"})&lt;=1,"1 día o menos",IF(NETWORKDAYS(G9,Q9,{"01/01/2026";"02/02/2026";"16/03/2026";"02/04/2026";"03/04/2026";"01/05/2026"})&lt;=3,"2 a 3 días",IF(NETWORKDAYS(G9,Q9,{"01/01/2026";"02/02/2026";"16/03/2026";"02/04/2026";"03/04/2026";"01/05/2026"})&lt;=5,"4 a 5 días",IF(NETWORKDAYS(G9,Q9,{"01/01/2026";"02/02/2026";"16/03/2026";"02/04/2026";"03/04/2026";"01/05/2026"})&lt;=10,"6 a 10 días",IF(NETWORKDAYS(G9,Q9,{"01/01/2026";"02/02/2026";"16/03/2026";"02/04/2026";"03/04/2026";"01/05/2026"})&lt;=16,"11 a 15 días","más de 16 días")))))),"Aun no se entrega")</f>
        <v>4 a 5 días</v>
      </c>
      <c r="T9" s="4" t="str" cm="1">
        <f t="array" ref="T9">IFERROR(
  IF(
    NETWORKDAYS(G9,Q9,{"01/01/2026";"02/02/2026";"16/03/2026";"02/04/2026";"03/04/2026";"01/05/2026"}) &lt;=
    _xlfn.IFS(
      OR(TRIM(A9)="AICM", TRIM(A9)="AÉREO AICM"), 5,
      OR(TRIM(A9)="VERACRUZ", TRIM(A9)="MARÍTIMO VERACRUZ"), 6,
      OR(TRIM(A9)="AIFA", TRIM(A9)="AÉREO AIFA"), 7,
      AND(TRIM(A9)="CORRESPONSALIAS", TRIM(B9)="NUEVO LAREDO"), 6,
      TRIM(A9)="MANZANILLO", 10,
      TRIM(A9)="TOLUCA", 6,
      TRUE, 999
    ),
    "On Time",
    "Delayed"
  ),
  "Faltan fechas"
)</f>
        <v>On Time</v>
      </c>
      <c r="U9" s="3">
        <v>6</v>
      </c>
      <c r="V9" s="3" t="s">
        <v>543</v>
      </c>
      <c r="W9" s="3">
        <v>12</v>
      </c>
      <c r="X9" s="3" t="s">
        <v>559</v>
      </c>
      <c r="Y9" s="3">
        <v>1</v>
      </c>
      <c r="Z9" s="3" t="s">
        <v>546</v>
      </c>
      <c r="AA9" s="3">
        <v>4</v>
      </c>
      <c r="AB9" s="3">
        <v>1</v>
      </c>
      <c r="AC9" s="3" t="s">
        <v>546</v>
      </c>
      <c r="AD9" s="4">
        <v>46064</v>
      </c>
      <c r="AE9" s="3">
        <v>12</v>
      </c>
      <c r="AF9" s="3">
        <v>8</v>
      </c>
      <c r="AG9" s="4">
        <v>46064</v>
      </c>
      <c r="AH9" s="4">
        <v>46064</v>
      </c>
      <c r="AI9" s="3">
        <v>0</v>
      </c>
      <c r="AJ9" s="3" t="s">
        <v>559</v>
      </c>
      <c r="AK9" s="4">
        <v>46064</v>
      </c>
      <c r="AL9" s="5">
        <f>IFERROR(IF(Q9=AK9,0,NETWORKDAYS(Q9,AK9,{"01/01/2026";"02/02/2026";"16/03/2026";"02/04/2026";"03/04/2026";"01/05/2026"})),"aun no se factura")</f>
        <v>8</v>
      </c>
      <c r="AM9" s="4" t="str">
        <f>IFERROR(IF(OR(Q9="",AK9=""),"SIN DATO",IF(NETWORKDAYS(Q9,AK9,{"01/01/2026";"02/02/2026";"16/03/2026";"02/04/2026";"03/04/2026";"01/05/2026"})&lt;=1,"1 día o menos",IF(NETWORKDAYS(Q9,AK9,{"01/01/2026";"02/02/2026";"16/03/2026";"02/04/2026";"03/04/2026";"01/05/2026"})&lt;=3,"2 a 3 días",IF(NETWORKDAYS(Q9,AK9,{"01/01/2026";"02/02/2026";"16/03/2026";"02/04/2026";"03/04/2026";"01/05/2026"})&lt;=5,"4 a 5 días",IF(NETWORKDAYS(Q9,AK9,{"01/01/2026";"02/02/2026";"16/03/2026";"02/04/2026";"03/04/2026";"01/05/2026"})&lt;=10,"6 a 10 días",IF(NETWORKDAYS(Q9,AK9,{"01/01/2026";"02/02/2026";"16/03/2026";"02/04/2026";"03/04/2026";"01/05/2026"})&lt;=16,"11 a 15 días","más de 16 días")))))),"aun no se factura")</f>
        <v>6 a 10 días</v>
      </c>
      <c r="AN9" s="4" t="str" cm="1">
        <f t="array" ref="AN9">IFERROR(
  IF(
    NETWORKDAYS(Q9,AK9,{"01/01/2026";"02/02/2026";"16/03/2026";"02/04/2026";"03/04/2026";"01/05/2026"}) &lt;=
    _xlfn.IFS(
      OR(TRIM(A9)="AICM", TRIM(A9)="AÉREO AICM"), 5,
      OR(TRIM(A9)="VERACRUZ", TRIM(A9)="MARÍTIMO VERACRUZ"), 6,
      OR(TRIM(A9)="AIFA", TRIM(A9)="AÉREO AIFA"), 7,
      AND(TRIM(A9)="CORRESPONSALIAS", TRIM(B9)="NUEVO LAREDO"), 6,
      TRIM(A9)="MANZANILLO", 10,
      TRIM(A9)="TOLUCA", 6,
      TRUE, 999
    ),
    "On Time",
    "Delayed"
  ),
  "Faltan fechas"
)</f>
        <v>Delayed</v>
      </c>
      <c r="AO9" s="5">
        <v>1</v>
      </c>
      <c r="AP9" s="3" t="s">
        <v>548</v>
      </c>
      <c r="AQ9" s="3" t="s">
        <v>93</v>
      </c>
      <c r="AR9" s="3" t="s">
        <v>112</v>
      </c>
      <c r="AS9" s="3" t="s">
        <v>173</v>
      </c>
      <c r="AT9" s="3" t="s">
        <v>223</v>
      </c>
      <c r="AU9" s="5">
        <v>6000136</v>
      </c>
      <c r="AV9" s="3" t="s">
        <v>92</v>
      </c>
      <c r="AW9" s="3" t="s">
        <v>172</v>
      </c>
      <c r="AX9" s="3" t="s">
        <v>549</v>
      </c>
      <c r="AY9" s="3"/>
      <c r="AZ9" s="3" t="s">
        <v>550</v>
      </c>
      <c r="BA9" s="3" t="s">
        <v>90</v>
      </c>
      <c r="BB9" s="3"/>
      <c r="BC9" s="3" t="s">
        <v>117</v>
      </c>
      <c r="BD9" s="3"/>
      <c r="BE9" s="3" t="s">
        <v>117</v>
      </c>
      <c r="BF9" s="3" t="s">
        <v>576</v>
      </c>
      <c r="BG9" s="3" t="s">
        <v>552</v>
      </c>
      <c r="BH9" s="3" t="s">
        <v>607</v>
      </c>
      <c r="BI9" s="3" t="s">
        <v>608</v>
      </c>
      <c r="BJ9" s="3"/>
      <c r="BK9" s="3" t="s">
        <v>554</v>
      </c>
      <c r="BL9" s="3">
        <v>0</v>
      </c>
      <c r="BM9" s="3">
        <v>99</v>
      </c>
      <c r="BN9" s="3" t="s">
        <v>609</v>
      </c>
      <c r="BO9" s="3">
        <v>90</v>
      </c>
      <c r="BP9" s="3" t="s">
        <v>610</v>
      </c>
      <c r="BQ9" s="3" t="s">
        <v>611</v>
      </c>
      <c r="BR9" s="3"/>
      <c r="BS9" s="3" t="s">
        <v>591</v>
      </c>
      <c r="BT9" s="3" t="s">
        <v>558</v>
      </c>
      <c r="BU9" s="3" t="s">
        <v>104</v>
      </c>
      <c r="BV9" s="3" t="s">
        <v>105</v>
      </c>
      <c r="BW9" s="3"/>
      <c r="BX9" s="3"/>
      <c r="BY9" s="3"/>
      <c r="BZ9" s="3"/>
      <c r="CA9" s="3"/>
    </row>
    <row r="10" spans="1:79" x14ac:dyDescent="0.25">
      <c r="A10" s="3" t="s">
        <v>565</v>
      </c>
      <c r="B10" s="3" t="s">
        <v>566</v>
      </c>
      <c r="C10" s="3" t="s">
        <v>573</v>
      </c>
      <c r="D10" s="3">
        <v>240</v>
      </c>
      <c r="E10" s="4">
        <v>46071</v>
      </c>
      <c r="F10" s="3">
        <v>2</v>
      </c>
      <c r="G10" s="22">
        <v>46071</v>
      </c>
      <c r="H10" s="4">
        <v>46071</v>
      </c>
      <c r="I10" s="3">
        <v>0</v>
      </c>
      <c r="J10" s="3" t="s">
        <v>546</v>
      </c>
      <c r="K10" s="22">
        <v>46072</v>
      </c>
      <c r="L10" s="3">
        <v>0</v>
      </c>
      <c r="M10" s="3">
        <f>IFERROR(IF(G10=K10,0,NETWORKDAYS(G10,K10,{"01/01/2026";"02/02/2026";"16/03/2026";"02/04/2026";"03/04/2026";"01/05/2026"})),"Faltan Fechas")</f>
        <v>2</v>
      </c>
      <c r="N10" s="23" t="str">
        <f>IFERROR(IF(OR(G10="",K10=""),"SIN DATO",IF(NETWORKDAYS(G10,K10,{"01/01/2026";"02/02/2026";"16/03/2026";"02/04/2026";"03/04/2026";"01/05/2026"})&lt;=1,"1 día o menos",IF(NETWORKDAYS(G10,K10,{"01/01/2026";"02/02/2026";"16/03/2026";"02/04/2026";"03/04/2026";"01/05/2026"})&lt;=3,"2 a 3 días",IF(NETWORKDAYS(G10,K10,{"01/01/2026";"02/02/2026";"16/03/2026";"02/04/2026";"03/04/2026";"01/05/2026"})&lt;=5,"4 a 5 días",IF(NETWORKDAYS(G10,K10,{"01/01/2026";"02/02/2026";"16/03/2026";"02/04/2026";"03/04/2026";"01/05/2026"})&lt;=10,"6 a 10 días",IF(NETWORKDAYS(G10,K10,{"01/01/2026";"02/02/2026";"16/03/2026";"02/04/2026";"03/04/2026";"01/05/2026"})&lt;=16,"11 a 15 días","más de 16 días")))))),"Aun no se entrega")</f>
        <v>2 a 3 días</v>
      </c>
      <c r="O10" s="3" t="str" cm="1">
        <f t="array" ref="O10">IFERROR(
  IF(
    NETWORKDAYS(G10,K10,{"01/01/2026";"02/02/2026";"16/03/2026";"02/04/2026";"03/04/2026";"01/05/2026"}) &lt;=
    _xlfn.IFS(
      OR(TRIM(A10)="AICM", TRIM(A10)="AÉREO AICM"), 5,
      OR(TRIM(A10)="VERACRUZ", TRIM(A10)="MARÍTIMO VERACRUZ"), 6,
      OR(TRIM(A10)="AIFA", TRIM(A10)="AÉREO AIFA"), 7,
      AND(TRIM(A10)="CORRESPONSALIAS", TRIM(B10)="NUEVO LAREDO"), 6,
      TRIM(A10)="MANZANILLO", 10,
      TRIM(A10)="TOLUCA", 6,
      TRUE, 999
    ),
    "On Time",
    "Delayed"
  ),
  "Faltan fechas"
)</f>
        <v>On Time</v>
      </c>
      <c r="P10" s="24" t="s">
        <v>546</v>
      </c>
      <c r="Q10" s="4">
        <v>46073</v>
      </c>
      <c r="R10" s="5">
        <f>IFERROR(IF(G10=Q10,0,NETWORKDAYS(G10,Q10,{"01/01/2026";"02/02/2026";"16/03/2026";"02/04/2026";"03/04/2026";"01/05/2026"})),"Faltan Fechas")</f>
        <v>3</v>
      </c>
      <c r="S10" s="4" t="str">
        <f>IFERROR(IF(OR(G10="",Q10=""),"SIN DATO",IF(NETWORKDAYS(G10,Q10,{"01/01/2026";"02/02/2026";"16/03/2026";"02/04/2026";"03/04/2026";"01/05/2026"})&lt;=1,"1 día o menos",IF(NETWORKDAYS(G10,Q10,{"01/01/2026";"02/02/2026";"16/03/2026";"02/04/2026";"03/04/2026";"01/05/2026"})&lt;=3,"2 a 3 días",IF(NETWORKDAYS(G10,Q10,{"01/01/2026";"02/02/2026";"16/03/2026";"02/04/2026";"03/04/2026";"01/05/2026"})&lt;=5,"4 a 5 días",IF(NETWORKDAYS(G10,Q10,{"01/01/2026";"02/02/2026";"16/03/2026";"02/04/2026";"03/04/2026";"01/05/2026"})&lt;=10,"6 a 10 días",IF(NETWORKDAYS(G10,Q10,{"01/01/2026";"02/02/2026";"16/03/2026";"02/04/2026";"03/04/2026";"01/05/2026"})&lt;=16,"11 a 15 días","más de 16 días")))))),"Aun no se entrega")</f>
        <v>2 a 3 días</v>
      </c>
      <c r="T10" s="4" t="str" cm="1">
        <f t="array" ref="T10">IFERROR(
  IF(
    NETWORKDAYS(G10,Q10,{"01/01/2026";"02/02/2026";"16/03/2026";"02/04/2026";"03/04/2026";"01/05/2026"}) &lt;=
    _xlfn.IFS(
      OR(TRIM(A10)="AICM", TRIM(A10)="AÉREO AICM"), 5,
      OR(TRIM(A10)="VERACRUZ", TRIM(A10)="MARÍTIMO VERACRUZ"), 6,
      OR(TRIM(A10)="AIFA", TRIM(A10)="AÉREO AIFA"), 7,
      AND(TRIM(A10)="CORRESPONSALIAS", TRIM(B10)="NUEVO LAREDO"), 6,
      TRIM(A10)="MANZANILLO", 10,
      TRIM(A10)="TOLUCA", 6,
      TRUE, 999
    ),
    "On Time",
    "Delayed"
  ),
  "Faltan fechas"
)</f>
        <v>On Time</v>
      </c>
      <c r="U10" s="3">
        <v>0</v>
      </c>
      <c r="V10" s="3" t="s">
        <v>569</v>
      </c>
      <c r="W10" s="3">
        <v>17</v>
      </c>
      <c r="X10" s="3" t="s">
        <v>547</v>
      </c>
      <c r="Y10" s="3">
        <v>0</v>
      </c>
      <c r="Z10" s="3" t="s">
        <v>569</v>
      </c>
      <c r="AA10" s="3">
        <v>0</v>
      </c>
      <c r="AB10" s="3">
        <v>-46070</v>
      </c>
      <c r="AC10" s="3" t="s">
        <v>545</v>
      </c>
      <c r="AD10" s="4">
        <v>46094</v>
      </c>
      <c r="AE10" s="3">
        <v>46092</v>
      </c>
      <c r="AF10" s="3">
        <v>0</v>
      </c>
      <c r="AG10" s="4">
        <v>46094</v>
      </c>
      <c r="AH10" s="4">
        <v>46094</v>
      </c>
      <c r="AI10" s="3">
        <v>0</v>
      </c>
      <c r="AJ10" s="3" t="s">
        <v>545</v>
      </c>
      <c r="AK10" s="4">
        <v>46094</v>
      </c>
      <c r="AL10" s="5">
        <f>IFERROR(IF(Q10=AK10,0,NETWORKDAYS(Q10,AK10,{"01/01/2026";"02/02/2026";"16/03/2026";"02/04/2026";"03/04/2026";"01/05/2026"})),"aun no se factura")</f>
        <v>16</v>
      </c>
      <c r="AM10" s="4" t="str">
        <f>IFERROR(IF(OR(Q10="",AK10=""),"SIN DATO",IF(NETWORKDAYS(Q10,AK10,{"01/01/2026";"02/02/2026";"16/03/2026";"02/04/2026";"03/04/2026";"01/05/2026"})&lt;=1,"1 día o menos",IF(NETWORKDAYS(Q10,AK10,{"01/01/2026";"02/02/2026";"16/03/2026";"02/04/2026";"03/04/2026";"01/05/2026"})&lt;=3,"2 a 3 días",IF(NETWORKDAYS(Q10,AK10,{"01/01/2026";"02/02/2026";"16/03/2026";"02/04/2026";"03/04/2026";"01/05/2026"})&lt;=5,"4 a 5 días",IF(NETWORKDAYS(Q10,AK10,{"01/01/2026";"02/02/2026";"16/03/2026";"02/04/2026";"03/04/2026";"01/05/2026"})&lt;=10,"6 a 10 días",IF(NETWORKDAYS(Q10,AK10,{"01/01/2026";"02/02/2026";"16/03/2026";"02/04/2026";"03/04/2026";"01/05/2026"})&lt;=16,"11 a 15 días","más de 16 días")))))),"aun no se factura")</f>
        <v>11 a 15 días</v>
      </c>
      <c r="AN10" s="4" t="str" cm="1">
        <f t="array" ref="AN10">IFERROR(
  IF(
    NETWORKDAYS(Q10,AK10,{"01/01/2026";"02/02/2026";"16/03/2026";"02/04/2026";"03/04/2026";"01/05/2026"}) &lt;=
    _xlfn.IFS(
      OR(TRIM(A10)="AICM", TRIM(A10)="AÉREO AICM"), 5,
      OR(TRIM(A10)="VERACRUZ", TRIM(A10)="MARÍTIMO VERACRUZ"), 6,
      OR(TRIM(A10)="AIFA", TRIM(A10)="AÉREO AIFA"), 7,
      AND(TRIM(A10)="CORRESPONSALIAS", TRIM(B10)="NUEVO LAREDO"), 6,
      TRIM(A10)="MANZANILLO", 10,
      TRIM(A10)="TOLUCA", 6,
      TRUE, 999
    ),
    "On Time",
    "Delayed"
  ),
  "Faltan fechas"
)</f>
        <v>Delayed</v>
      </c>
      <c r="AO10" s="5">
        <v>0</v>
      </c>
      <c r="AP10" s="3" t="s">
        <v>548</v>
      </c>
      <c r="AQ10" s="3" t="s">
        <v>93</v>
      </c>
      <c r="AR10" s="3" t="s">
        <v>285</v>
      </c>
      <c r="AS10" s="3" t="s">
        <v>223</v>
      </c>
      <c r="AT10" s="3" t="s">
        <v>223</v>
      </c>
      <c r="AU10" s="5">
        <v>6016928</v>
      </c>
      <c r="AV10" s="3" t="s">
        <v>92</v>
      </c>
      <c r="AW10" s="3" t="s">
        <v>570</v>
      </c>
      <c r="AX10" s="3" t="s">
        <v>549</v>
      </c>
      <c r="AY10" s="3"/>
      <c r="AZ10" s="3" t="s">
        <v>550</v>
      </c>
      <c r="BA10" s="3" t="s">
        <v>90</v>
      </c>
      <c r="BB10" s="3"/>
      <c r="BC10" s="3"/>
      <c r="BD10" s="3"/>
      <c r="BE10" s="3"/>
      <c r="BF10" s="3"/>
      <c r="BG10" s="3" t="s">
        <v>552</v>
      </c>
      <c r="BH10" s="3" t="s">
        <v>223</v>
      </c>
      <c r="BI10" s="3"/>
      <c r="BJ10" s="3"/>
      <c r="BK10" s="3" t="s">
        <v>554</v>
      </c>
      <c r="BL10" s="3" t="s">
        <v>223</v>
      </c>
      <c r="BM10" s="3" t="s">
        <v>223</v>
      </c>
      <c r="BN10" s="3" t="s">
        <v>223</v>
      </c>
      <c r="BO10" s="3">
        <v>90</v>
      </c>
      <c r="BP10" s="3" t="s">
        <v>223</v>
      </c>
      <c r="BQ10" s="3" t="s">
        <v>223</v>
      </c>
      <c r="BR10" s="3"/>
      <c r="BS10" s="3" t="s">
        <v>223</v>
      </c>
      <c r="BT10" s="3" t="s">
        <v>223</v>
      </c>
      <c r="BU10" s="3" t="s">
        <v>223</v>
      </c>
      <c r="BV10" s="3" t="s">
        <v>223</v>
      </c>
      <c r="BW10" s="3"/>
      <c r="BX10" s="3"/>
      <c r="BY10" s="3"/>
      <c r="BZ10" s="3"/>
      <c r="CA10" s="3"/>
    </row>
    <row r="11" spans="1:79" x14ac:dyDescent="0.25">
      <c r="A11" s="3" t="s">
        <v>577</v>
      </c>
      <c r="B11" s="3" t="s">
        <v>578</v>
      </c>
      <c r="C11" s="3" t="s">
        <v>248</v>
      </c>
      <c r="D11" s="3">
        <v>430</v>
      </c>
      <c r="E11" s="4">
        <v>46078</v>
      </c>
      <c r="F11" s="3">
        <v>2</v>
      </c>
      <c r="G11" s="22">
        <v>46006</v>
      </c>
      <c r="H11" s="4">
        <v>46078</v>
      </c>
      <c r="I11" s="3">
        <v>52</v>
      </c>
      <c r="J11" s="3" t="s">
        <v>568</v>
      </c>
      <c r="K11" s="22">
        <v>46079</v>
      </c>
      <c r="L11" s="3">
        <v>53</v>
      </c>
      <c r="M11" s="3">
        <f>IFERROR(IF(G11=K11,0,NETWORKDAYS(G11,K11,{"01/01/2026";"02/02/2026";"16/03/2026";"02/04/2026";"03/04/2026";"01/05/2026"})),"Faltan Fechas")</f>
        <v>52</v>
      </c>
      <c r="N11" s="23" t="str">
        <f>IFERROR(IF(OR(G11="",K11=""),"SIN DATO",IF(NETWORKDAYS(G11,K11,{"01/01/2026";"02/02/2026";"16/03/2026";"02/04/2026";"03/04/2026";"01/05/2026"})&lt;=1,"1 día o menos",IF(NETWORKDAYS(G11,K11,{"01/01/2026";"02/02/2026";"16/03/2026";"02/04/2026";"03/04/2026";"01/05/2026"})&lt;=3,"2 a 3 días",IF(NETWORKDAYS(G11,K11,{"01/01/2026";"02/02/2026";"16/03/2026";"02/04/2026";"03/04/2026";"01/05/2026"})&lt;=5,"4 a 5 días",IF(NETWORKDAYS(G11,K11,{"01/01/2026";"02/02/2026";"16/03/2026";"02/04/2026";"03/04/2026";"01/05/2026"})&lt;=10,"6 a 10 días",IF(NETWORKDAYS(G11,K11,{"01/01/2026";"02/02/2026";"16/03/2026";"02/04/2026";"03/04/2026";"01/05/2026"})&lt;=16,"11 a 15 días","más de 16 días")))))),"Aun no se entrega")</f>
        <v>más de 16 días</v>
      </c>
      <c r="O11" s="3" t="str" cm="1">
        <f t="array" ref="O11">IFERROR(
  IF(
    NETWORKDAYS(G11,K11,{"01/01/2026";"02/02/2026";"16/03/2026";"02/04/2026";"03/04/2026";"01/05/2026"}) &lt;=
    _xlfn.IFS(
      OR(TRIM(A11)="AICM", TRIM(A11)="AÉREO AICM"), 5,
      OR(TRIM(A11)="VERACRUZ", TRIM(A11)="MARÍTIMO VERACRUZ"), 6,
      OR(TRIM(A11)="AIFA", TRIM(A11)="AÉREO AIFA"), 7,
      AND(TRIM(A11)="CORRESPONSALIAS", TRIM(B11)="NUEVO LAREDO"), 6,
      TRIM(A11)="MANZANILLO", 10,
      TRIM(A11)="TOLUCA", 6,
      TRUE, 999
    ),
    "On Time",
    "Delayed"
  ),
  "Faltan fechas"
)</f>
        <v>Delayed</v>
      </c>
      <c r="P11" s="24" t="s">
        <v>568</v>
      </c>
      <c r="Q11" s="4">
        <v>46080</v>
      </c>
      <c r="R11" s="5">
        <f>IFERROR(IF(G11=Q11,0,NETWORKDAYS(G11,Q11,{"01/01/2026";"02/02/2026";"16/03/2026";"02/04/2026";"03/04/2026";"01/05/2026"})),"Faltan Fechas")</f>
        <v>53</v>
      </c>
      <c r="S11" s="4" t="str">
        <f>IFERROR(IF(OR(G11="",Q11=""),"SIN DATO",IF(NETWORKDAYS(G11,Q11,{"01/01/2026";"02/02/2026";"16/03/2026";"02/04/2026";"03/04/2026";"01/05/2026"})&lt;=1,"1 día o menos",IF(NETWORKDAYS(G11,Q11,{"01/01/2026";"02/02/2026";"16/03/2026";"02/04/2026";"03/04/2026";"01/05/2026"})&lt;=3,"2 a 3 días",IF(NETWORKDAYS(G11,Q11,{"01/01/2026";"02/02/2026";"16/03/2026";"02/04/2026";"03/04/2026";"01/05/2026"})&lt;=5,"4 a 5 días",IF(NETWORKDAYS(G11,Q11,{"01/01/2026";"02/02/2026";"16/03/2026";"02/04/2026";"03/04/2026";"01/05/2026"})&lt;=10,"6 a 10 días",IF(NETWORKDAYS(G11,Q11,{"01/01/2026";"02/02/2026";"16/03/2026";"02/04/2026";"03/04/2026";"01/05/2026"})&lt;=16,"11 a 15 días","más de 16 días")))))),"Aun no se entrega")</f>
        <v>más de 16 días</v>
      </c>
      <c r="T11" s="4" t="str" cm="1">
        <f t="array" ref="T11">IFERROR(
  IF(
    NETWORKDAYS(G11,Q11,{"01/01/2026";"02/02/2026";"16/03/2026";"02/04/2026";"03/04/2026";"01/05/2026"}) &lt;=
    _xlfn.IFS(
      OR(TRIM(A11)="AICM", TRIM(A11)="AÉREO AICM"), 5,
      OR(TRIM(A11)="VERACRUZ", TRIM(A11)="MARÍTIMO VERACRUZ"), 6,
      OR(TRIM(A11)="AIFA", TRIM(A11)="AÉREO AIFA"), 7,
      AND(TRIM(A11)="CORRESPONSALIAS", TRIM(B11)="NUEVO LAREDO"), 6,
      TRIM(A11)="MANZANILLO", 10,
      TRIM(A11)="TOLUCA", 6,
      TRUE, 999
    ),
    "On Time",
    "Delayed"
  ),
  "Faltan fechas"
)</f>
        <v>Delayed</v>
      </c>
      <c r="U11" s="3">
        <v>74</v>
      </c>
      <c r="V11" s="3" t="s">
        <v>588</v>
      </c>
      <c r="W11" s="3">
        <v>58</v>
      </c>
      <c r="X11" s="3" t="s">
        <v>547</v>
      </c>
      <c r="Y11" s="3">
        <v>1</v>
      </c>
      <c r="Z11" s="3" t="s">
        <v>546</v>
      </c>
      <c r="AA11" s="3">
        <v>72</v>
      </c>
      <c r="AB11" s="3">
        <v>1</v>
      </c>
      <c r="AC11" s="3" t="s">
        <v>546</v>
      </c>
      <c r="AD11" s="4">
        <v>46086</v>
      </c>
      <c r="AE11" s="3">
        <v>6</v>
      </c>
      <c r="AF11" s="3">
        <v>4</v>
      </c>
      <c r="AG11" s="4">
        <v>46086</v>
      </c>
      <c r="AH11" s="4">
        <v>46086</v>
      </c>
      <c r="AI11" s="3">
        <v>0</v>
      </c>
      <c r="AJ11" s="3" t="s">
        <v>544</v>
      </c>
      <c r="AK11" s="4">
        <v>46086</v>
      </c>
      <c r="AL11" s="5">
        <f>IFERROR(IF(Q11=AK11,0,NETWORKDAYS(Q11,AK11,{"01/01/2026";"02/02/2026";"16/03/2026";"02/04/2026";"03/04/2026";"01/05/2026"})),"aun no se factura")</f>
        <v>5</v>
      </c>
      <c r="AM11" s="4" t="str">
        <f>IFERROR(IF(OR(Q11="",AK11=""),"SIN DATO",IF(NETWORKDAYS(Q11,AK11,{"01/01/2026";"02/02/2026";"16/03/2026";"02/04/2026";"03/04/2026";"01/05/2026"})&lt;=1,"1 día o menos",IF(NETWORKDAYS(Q11,AK11,{"01/01/2026";"02/02/2026";"16/03/2026";"02/04/2026";"03/04/2026";"01/05/2026"})&lt;=3,"2 a 3 días",IF(NETWORKDAYS(Q11,AK11,{"01/01/2026";"02/02/2026";"16/03/2026";"02/04/2026";"03/04/2026";"01/05/2026"})&lt;=5,"4 a 5 días",IF(NETWORKDAYS(Q11,AK11,{"01/01/2026";"02/02/2026";"16/03/2026";"02/04/2026";"03/04/2026";"01/05/2026"})&lt;=10,"6 a 10 días",IF(NETWORKDAYS(Q11,AK11,{"01/01/2026";"02/02/2026";"16/03/2026";"02/04/2026";"03/04/2026";"01/05/2026"})&lt;=16,"11 a 15 días","más de 16 días")))))),"aun no se factura")</f>
        <v>4 a 5 días</v>
      </c>
      <c r="AN11" s="4" t="str" cm="1">
        <f t="array" ref="AN11">IFERROR(
  IF(
    NETWORKDAYS(Q11,AK11,{"01/01/2026";"02/02/2026";"16/03/2026";"02/04/2026";"03/04/2026";"01/05/2026"}) &lt;=
    _xlfn.IFS(
      OR(TRIM(A11)="AICM", TRIM(A11)="AÉREO AICM"), 5,
      OR(TRIM(A11)="VERACRUZ", TRIM(A11)="MARÍTIMO VERACRUZ"), 6,
      OR(TRIM(A11)="AIFA", TRIM(A11)="AÉREO AIFA"), 7,
      AND(TRIM(A11)="CORRESPONSALIAS", TRIM(B11)="NUEVO LAREDO"), 6,
      TRIM(A11)="MANZANILLO", 10,
      TRIM(A11)="TOLUCA", 6,
      TRUE, 999
    ),
    "On Time",
    "Delayed"
  ),
  "Faltan fechas"
)</f>
        <v>On Time</v>
      </c>
      <c r="AO11" s="5">
        <v>1</v>
      </c>
      <c r="AP11" s="3" t="s">
        <v>548</v>
      </c>
      <c r="AQ11" s="3" t="s">
        <v>93</v>
      </c>
      <c r="AR11" s="3" t="s">
        <v>112</v>
      </c>
      <c r="AS11" s="3" t="s">
        <v>101</v>
      </c>
      <c r="AT11" s="3" t="s">
        <v>223</v>
      </c>
      <c r="AU11" s="5">
        <v>6000299</v>
      </c>
      <c r="AV11" s="3" t="s">
        <v>92</v>
      </c>
      <c r="AW11" s="3" t="s">
        <v>96</v>
      </c>
      <c r="AX11" s="3" t="s">
        <v>549</v>
      </c>
      <c r="AY11" s="3"/>
      <c r="AZ11" s="3" t="s">
        <v>550</v>
      </c>
      <c r="BA11" s="3" t="s">
        <v>90</v>
      </c>
      <c r="BB11" s="3"/>
      <c r="BC11" s="3" t="s">
        <v>107</v>
      </c>
      <c r="BD11" s="3"/>
      <c r="BE11" s="3" t="s">
        <v>107</v>
      </c>
      <c r="BF11" s="3" t="s">
        <v>576</v>
      </c>
      <c r="BG11" s="3" t="s">
        <v>552</v>
      </c>
      <c r="BH11" s="3" t="s">
        <v>592</v>
      </c>
      <c r="BI11" s="3" t="s">
        <v>593</v>
      </c>
      <c r="BJ11" s="3"/>
      <c r="BK11" s="3" t="s">
        <v>554</v>
      </c>
      <c r="BL11" s="3">
        <v>0</v>
      </c>
      <c r="BM11" s="3">
        <v>99</v>
      </c>
      <c r="BN11" s="3" t="s">
        <v>590</v>
      </c>
      <c r="BO11" s="3">
        <v>90</v>
      </c>
      <c r="BP11" s="3">
        <v>741815</v>
      </c>
      <c r="BQ11" s="3" t="s">
        <v>563</v>
      </c>
      <c r="BR11" s="3"/>
      <c r="BS11" s="3" t="s">
        <v>591</v>
      </c>
      <c r="BT11" s="3" t="s">
        <v>558</v>
      </c>
      <c r="BU11" s="3" t="s">
        <v>104</v>
      </c>
      <c r="BV11" s="3" t="s">
        <v>105</v>
      </c>
      <c r="BW11" s="3"/>
      <c r="BX11" s="3"/>
      <c r="BY11" s="3"/>
      <c r="BZ11" s="3"/>
      <c r="CA11" s="3"/>
    </row>
    <row r="12" spans="1:79" x14ac:dyDescent="0.25">
      <c r="A12" s="3" t="s">
        <v>577</v>
      </c>
      <c r="B12" s="3" t="s">
        <v>578</v>
      </c>
      <c r="C12" s="3" t="s">
        <v>177</v>
      </c>
      <c r="D12" s="3">
        <v>430</v>
      </c>
      <c r="E12" s="4">
        <v>46063</v>
      </c>
      <c r="F12" s="3">
        <v>2</v>
      </c>
      <c r="G12" s="22">
        <v>46060</v>
      </c>
      <c r="H12" s="4">
        <v>46063</v>
      </c>
      <c r="I12" s="3">
        <v>1</v>
      </c>
      <c r="J12" s="3" t="s">
        <v>546</v>
      </c>
      <c r="K12" s="22">
        <v>46064</v>
      </c>
      <c r="L12" s="3">
        <v>2</v>
      </c>
      <c r="M12" s="3">
        <f>IFERROR(IF(G12=K12,0,NETWORKDAYS(G12,K12,{"01/01/2026";"02/02/2026";"16/03/2026";"02/04/2026";"03/04/2026";"01/05/2026"})),"Faltan Fechas")</f>
        <v>3</v>
      </c>
      <c r="N12" s="23" t="str">
        <f>IFERROR(IF(OR(G12="",K12=""),"SIN DATO",IF(NETWORKDAYS(G12,K12,{"01/01/2026";"02/02/2026";"16/03/2026";"02/04/2026";"03/04/2026";"01/05/2026"})&lt;=1,"1 día o menos",IF(NETWORKDAYS(G12,K12,{"01/01/2026";"02/02/2026";"16/03/2026";"02/04/2026";"03/04/2026";"01/05/2026"})&lt;=3,"2 a 3 días",IF(NETWORKDAYS(G12,K12,{"01/01/2026";"02/02/2026";"16/03/2026";"02/04/2026";"03/04/2026";"01/05/2026"})&lt;=5,"4 a 5 días",IF(NETWORKDAYS(G12,K12,{"01/01/2026";"02/02/2026";"16/03/2026";"02/04/2026";"03/04/2026";"01/05/2026"})&lt;=10,"6 a 10 días",IF(NETWORKDAYS(G12,K12,{"01/01/2026";"02/02/2026";"16/03/2026";"02/04/2026";"03/04/2026";"01/05/2026"})&lt;=16,"11 a 15 días","más de 16 días")))))),"Aun no se entrega")</f>
        <v>2 a 3 días</v>
      </c>
      <c r="O12" s="3" t="str" cm="1">
        <f t="array" ref="O12">IFERROR(
  IF(
    NETWORKDAYS(G12,K12,{"01/01/2026";"02/02/2026";"16/03/2026";"02/04/2026";"03/04/2026";"01/05/2026"}) &lt;=
    _xlfn.IFS(
      OR(TRIM(A12)="AICM", TRIM(A12)="AÉREO AICM"), 5,
      OR(TRIM(A12)="VERACRUZ", TRIM(A12)="MARÍTIMO VERACRUZ"), 6,
      OR(TRIM(A12)="AIFA", TRIM(A12)="AÉREO AIFA"), 7,
      AND(TRIM(A12)="CORRESPONSALIAS", TRIM(B12)="NUEVO LAREDO"), 6,
      TRIM(A12)="MANZANILLO", 10,
      TRIM(A12)="TOLUCA", 6,
      TRUE, 999
    ),
    "On Time",
    "Delayed"
  ),
  "Faltan fechas"
)</f>
        <v>On Time</v>
      </c>
      <c r="P12" s="24" t="s">
        <v>543</v>
      </c>
      <c r="Q12" s="4">
        <v>46065</v>
      </c>
      <c r="R12" s="5">
        <f>IFERROR(IF(G12=Q12,0,NETWORKDAYS(G12,Q12,{"01/01/2026";"02/02/2026";"16/03/2026";"02/04/2026";"03/04/2026";"01/05/2026"})),"Faltan Fechas")</f>
        <v>4</v>
      </c>
      <c r="S12" s="4" t="str">
        <f>IFERROR(IF(OR(G12="",Q12=""),"SIN DATO",IF(NETWORKDAYS(G12,Q12,{"01/01/2026";"02/02/2026";"16/03/2026";"02/04/2026";"03/04/2026";"01/05/2026"})&lt;=1,"1 día o menos",IF(NETWORKDAYS(G12,Q12,{"01/01/2026";"02/02/2026";"16/03/2026";"02/04/2026";"03/04/2026";"01/05/2026"})&lt;=3,"2 a 3 días",IF(NETWORKDAYS(G12,Q12,{"01/01/2026";"02/02/2026";"16/03/2026";"02/04/2026";"03/04/2026";"01/05/2026"})&lt;=5,"4 a 5 días",IF(NETWORKDAYS(G12,Q12,{"01/01/2026";"02/02/2026";"16/03/2026";"02/04/2026";"03/04/2026";"01/05/2026"})&lt;=10,"6 a 10 días",IF(NETWORKDAYS(G12,Q12,{"01/01/2026";"02/02/2026";"16/03/2026";"02/04/2026";"03/04/2026";"01/05/2026"})&lt;=16,"11 a 15 días","más de 16 días")))))),"Aun no se entrega")</f>
        <v>4 a 5 días</v>
      </c>
      <c r="T12" s="4" t="str" cm="1">
        <f t="array" ref="T12">IFERROR(
  IF(
    NETWORKDAYS(G12,Q12,{"01/01/2026";"02/02/2026";"16/03/2026";"02/04/2026";"03/04/2026";"01/05/2026"}) &lt;=
    _xlfn.IFS(
      OR(TRIM(A12)="AICM", TRIM(A12)="AÉREO AICM"), 5,
      OR(TRIM(A12)="VERACRUZ", TRIM(A12)="MARÍTIMO VERACRUZ"), 6,
      OR(TRIM(A12)="AIFA", TRIM(A12)="AÉREO AIFA"), 7,
      AND(TRIM(A12)="CORRESPONSALIAS", TRIM(B12)="NUEVO LAREDO"), 6,
      TRIM(A12)="MANZANILLO", 10,
      TRIM(A12)="TOLUCA", 6,
      TRUE, 999
    ),
    "On Time",
    "Delayed"
  ),
  "Faltan fechas"
)</f>
        <v>On Time</v>
      </c>
      <c r="U12" s="3">
        <v>0</v>
      </c>
      <c r="V12" s="3" t="s">
        <v>569</v>
      </c>
      <c r="W12" s="3">
        <v>9</v>
      </c>
      <c r="X12" s="3" t="s">
        <v>544</v>
      </c>
      <c r="Y12" s="3">
        <v>1</v>
      </c>
      <c r="Z12" s="3" t="s">
        <v>546</v>
      </c>
      <c r="AA12" s="3">
        <v>3</v>
      </c>
      <c r="AB12" s="3">
        <v>-46062</v>
      </c>
      <c r="AC12" s="3" t="s">
        <v>545</v>
      </c>
      <c r="AD12" s="4">
        <v>46073</v>
      </c>
      <c r="AE12" s="3">
        <v>46071</v>
      </c>
      <c r="AF12" s="3">
        <v>32909</v>
      </c>
      <c r="AG12" s="4">
        <v>46073</v>
      </c>
      <c r="AH12" s="4">
        <v>46073</v>
      </c>
      <c r="AI12" s="3">
        <v>0</v>
      </c>
      <c r="AJ12" s="3" t="s">
        <v>545</v>
      </c>
      <c r="AK12" s="4">
        <v>46073</v>
      </c>
      <c r="AL12" s="5">
        <f>IFERROR(IF(Q12=AK12,0,NETWORKDAYS(Q12,AK12,{"01/01/2026";"02/02/2026";"16/03/2026";"02/04/2026";"03/04/2026";"01/05/2026"})),"aun no se factura")</f>
        <v>7</v>
      </c>
      <c r="AM12" s="4" t="str">
        <f>IFERROR(IF(OR(Q12="",AK12=""),"SIN DATO",IF(NETWORKDAYS(Q12,AK12,{"01/01/2026";"02/02/2026";"16/03/2026";"02/04/2026";"03/04/2026";"01/05/2026"})&lt;=1,"1 día o menos",IF(NETWORKDAYS(Q12,AK12,{"01/01/2026";"02/02/2026";"16/03/2026";"02/04/2026";"03/04/2026";"01/05/2026"})&lt;=3,"2 a 3 días",IF(NETWORKDAYS(Q12,AK12,{"01/01/2026";"02/02/2026";"16/03/2026";"02/04/2026";"03/04/2026";"01/05/2026"})&lt;=5,"4 a 5 días",IF(NETWORKDAYS(Q12,AK12,{"01/01/2026";"02/02/2026";"16/03/2026";"02/04/2026";"03/04/2026";"01/05/2026"})&lt;=10,"6 a 10 días",IF(NETWORKDAYS(Q12,AK12,{"01/01/2026";"02/02/2026";"16/03/2026";"02/04/2026";"03/04/2026";"01/05/2026"})&lt;=16,"11 a 15 días","más de 16 días")))))),"aun no se factura")</f>
        <v>6 a 10 días</v>
      </c>
      <c r="AN12" s="4" t="str" cm="1">
        <f t="array" ref="AN12">IFERROR(
  IF(
    NETWORKDAYS(Q12,AK12,{"01/01/2026";"02/02/2026";"16/03/2026";"02/04/2026";"03/04/2026";"01/05/2026"}) &lt;=
    _xlfn.IFS(
      OR(TRIM(A12)="AICM", TRIM(A12)="AÉREO AICM"), 5,
      OR(TRIM(A12)="VERACRUZ", TRIM(A12)="MARÍTIMO VERACRUZ"), 6,
      OR(TRIM(A12)="AIFA", TRIM(A12)="AÉREO AIFA"), 7,
      AND(TRIM(A12)="CORRESPONSALIAS", TRIM(B12)="NUEVO LAREDO"), 6,
      TRIM(A12)="MANZANILLO", 10,
      TRIM(A12)="TOLUCA", 6,
      TRUE, 999
    ),
    "On Time",
    "Delayed"
  ),
  "Faltan fechas"
)</f>
        <v>Delayed</v>
      </c>
      <c r="AO12" s="5">
        <v>0</v>
      </c>
      <c r="AP12" s="3" t="s">
        <v>548</v>
      </c>
      <c r="AQ12" s="3" t="s">
        <v>93</v>
      </c>
      <c r="AR12" s="3" t="s">
        <v>112</v>
      </c>
      <c r="AS12" s="3" t="s">
        <v>181</v>
      </c>
      <c r="AT12" s="3" t="s">
        <v>223</v>
      </c>
      <c r="AU12" s="5">
        <v>6000160</v>
      </c>
      <c r="AV12" s="3" t="s">
        <v>92</v>
      </c>
      <c r="AW12" s="3" t="s">
        <v>179</v>
      </c>
      <c r="AX12" s="3" t="s">
        <v>549</v>
      </c>
      <c r="AY12" s="3"/>
      <c r="AZ12" s="3" t="s">
        <v>550</v>
      </c>
      <c r="BA12" s="3" t="s">
        <v>90</v>
      </c>
      <c r="BB12" s="3"/>
      <c r="BC12" s="3" t="s">
        <v>117</v>
      </c>
      <c r="BD12" s="3"/>
      <c r="BE12" s="3" t="s">
        <v>117</v>
      </c>
      <c r="BF12" s="3" t="s">
        <v>576</v>
      </c>
      <c r="BG12" s="3" t="s">
        <v>552</v>
      </c>
      <c r="BH12" s="3" t="s">
        <v>580</v>
      </c>
      <c r="BI12" s="3"/>
      <c r="BJ12" s="3" t="s">
        <v>589</v>
      </c>
      <c r="BK12" s="3" t="s">
        <v>554</v>
      </c>
      <c r="BL12" s="3">
        <v>0</v>
      </c>
      <c r="BM12" s="3">
        <v>99</v>
      </c>
      <c r="BN12" s="3" t="s">
        <v>612</v>
      </c>
      <c r="BO12" s="3">
        <v>90</v>
      </c>
      <c r="BP12" s="3">
        <v>11147126.720000001</v>
      </c>
      <c r="BQ12" s="3" t="s">
        <v>611</v>
      </c>
      <c r="BR12" s="3"/>
      <c r="BS12" s="3" t="s">
        <v>613</v>
      </c>
      <c r="BT12" s="3" t="s">
        <v>558</v>
      </c>
      <c r="BU12" s="3" t="s">
        <v>133</v>
      </c>
      <c r="BV12" s="3" t="s">
        <v>105</v>
      </c>
      <c r="BW12" s="3"/>
      <c r="BX12" s="3"/>
      <c r="BY12" s="3"/>
      <c r="BZ12" s="3"/>
      <c r="CA12" s="3"/>
    </row>
    <row r="13" spans="1:79" x14ac:dyDescent="0.25">
      <c r="A13" s="3" t="s">
        <v>577</v>
      </c>
      <c r="B13" s="3" t="s">
        <v>578</v>
      </c>
      <c r="C13" s="3" t="s">
        <v>183</v>
      </c>
      <c r="D13" s="3">
        <v>430</v>
      </c>
      <c r="E13" s="4">
        <v>46063</v>
      </c>
      <c r="F13" s="3">
        <v>2</v>
      </c>
      <c r="G13" s="22">
        <v>46059</v>
      </c>
      <c r="H13" s="4">
        <v>46063</v>
      </c>
      <c r="I13" s="3">
        <v>2</v>
      </c>
      <c r="J13" s="3" t="s">
        <v>579</v>
      </c>
      <c r="K13" s="22">
        <v>46064</v>
      </c>
      <c r="L13" s="3">
        <v>3</v>
      </c>
      <c r="M13" s="3">
        <f>IFERROR(IF(G13=K13,0,NETWORKDAYS(G13,K13,{"01/01/2026";"02/02/2026";"16/03/2026";"02/04/2026";"03/04/2026";"01/05/2026"})),"Faltan Fechas")</f>
        <v>4</v>
      </c>
      <c r="N13" s="23" t="str">
        <f>IFERROR(IF(OR(G13="",K13=""),"SIN DATO",IF(NETWORKDAYS(G13,K13,{"01/01/2026";"02/02/2026";"16/03/2026";"02/04/2026";"03/04/2026";"01/05/2026"})&lt;=1,"1 día o menos",IF(NETWORKDAYS(G13,K13,{"01/01/2026";"02/02/2026";"16/03/2026";"02/04/2026";"03/04/2026";"01/05/2026"})&lt;=3,"2 a 3 días",IF(NETWORKDAYS(G13,K13,{"01/01/2026";"02/02/2026";"16/03/2026";"02/04/2026";"03/04/2026";"01/05/2026"})&lt;=5,"4 a 5 días",IF(NETWORKDAYS(G13,K13,{"01/01/2026";"02/02/2026";"16/03/2026";"02/04/2026";"03/04/2026";"01/05/2026"})&lt;=10,"6 a 10 días",IF(NETWORKDAYS(G13,K13,{"01/01/2026";"02/02/2026";"16/03/2026";"02/04/2026";"03/04/2026";"01/05/2026"})&lt;=16,"11 a 15 días","más de 16 días")))))),"Aun no se entrega")</f>
        <v>4 a 5 días</v>
      </c>
      <c r="O13" s="3" t="str" cm="1">
        <f t="array" ref="O13">IFERROR(
  IF(
    NETWORKDAYS(G13,K13,{"01/01/2026";"02/02/2026";"16/03/2026";"02/04/2026";"03/04/2026";"01/05/2026"}) &lt;=
    _xlfn.IFS(
      OR(TRIM(A13)="AICM", TRIM(A13)="AÉREO AICM"), 5,
      OR(TRIM(A13)="VERACRUZ", TRIM(A13)="MARÍTIMO VERACRUZ"), 6,
      OR(TRIM(A13)="AIFA", TRIM(A13)="AÉREO AIFA"), 7,
      AND(TRIM(A13)="CORRESPONSALIAS", TRIM(B13)="NUEVO LAREDO"), 6,
      TRIM(A13)="MANZANILLO", 10,
      TRIM(A13)="TOLUCA", 6,
      TRUE, 999
    ),
    "On Time",
    "Delayed"
  ),
  "Faltan fechas"
)</f>
        <v>On Time</v>
      </c>
      <c r="P13" s="24" t="s">
        <v>543</v>
      </c>
      <c r="Q13" s="4">
        <v>46065</v>
      </c>
      <c r="R13" s="5">
        <f>IFERROR(IF(G13=Q13,0,NETWORKDAYS(G13,Q13,{"01/01/2026";"02/02/2026";"16/03/2026";"02/04/2026";"03/04/2026";"01/05/2026"})),"Faltan Fechas")</f>
        <v>5</v>
      </c>
      <c r="S13" s="4" t="str">
        <f>IFERROR(IF(OR(G13="",Q13=""),"SIN DATO",IF(NETWORKDAYS(G13,Q13,{"01/01/2026";"02/02/2026";"16/03/2026";"02/04/2026";"03/04/2026";"01/05/2026"})&lt;=1,"1 día o menos",IF(NETWORKDAYS(G13,Q13,{"01/01/2026";"02/02/2026";"16/03/2026";"02/04/2026";"03/04/2026";"01/05/2026"})&lt;=3,"2 a 3 días",IF(NETWORKDAYS(G13,Q13,{"01/01/2026";"02/02/2026";"16/03/2026";"02/04/2026";"03/04/2026";"01/05/2026"})&lt;=5,"4 a 5 días",IF(NETWORKDAYS(G13,Q13,{"01/01/2026";"02/02/2026";"16/03/2026";"02/04/2026";"03/04/2026";"01/05/2026"})&lt;=10,"6 a 10 días",IF(NETWORKDAYS(G13,Q13,{"01/01/2026";"02/02/2026";"16/03/2026";"02/04/2026";"03/04/2026";"01/05/2026"})&lt;=16,"11 a 15 días","más de 16 días")))))),"Aun no se entrega")</f>
        <v>4 a 5 días</v>
      </c>
      <c r="T13" s="4" t="str" cm="1">
        <f t="array" ref="T13">IFERROR(
  IF(
    NETWORKDAYS(G13,Q13,{"01/01/2026";"02/02/2026";"16/03/2026";"02/04/2026";"03/04/2026";"01/05/2026"}) &lt;=
    _xlfn.IFS(
      OR(TRIM(A13)="AICM", TRIM(A13)="AÉREO AICM"), 5,
      OR(TRIM(A13)="VERACRUZ", TRIM(A13)="MARÍTIMO VERACRUZ"), 6,
      OR(TRIM(A13)="AIFA", TRIM(A13)="AÉREO AIFA"), 7,
      AND(TRIM(A13)="CORRESPONSALIAS", TRIM(B13)="NUEVO LAREDO"), 6,
      TRIM(A13)="MANZANILLO", 10,
      TRIM(A13)="TOLUCA", 6,
      TRUE, 999
    ),
    "On Time",
    "Delayed"
  ),
  "Faltan fechas"
)</f>
        <v>On Time</v>
      </c>
      <c r="U13" s="3">
        <v>6</v>
      </c>
      <c r="V13" s="3" t="s">
        <v>543</v>
      </c>
      <c r="W13" s="3">
        <v>11</v>
      </c>
      <c r="X13" s="3" t="s">
        <v>559</v>
      </c>
      <c r="Y13" s="3">
        <v>1</v>
      </c>
      <c r="Z13" s="3" t="s">
        <v>546</v>
      </c>
      <c r="AA13" s="3">
        <v>4</v>
      </c>
      <c r="AB13" s="3">
        <v>1</v>
      </c>
      <c r="AC13" s="3" t="s">
        <v>546</v>
      </c>
      <c r="AD13" s="4">
        <v>46076</v>
      </c>
      <c r="AE13" s="3">
        <v>11</v>
      </c>
      <c r="AF13" s="3">
        <v>7</v>
      </c>
      <c r="AG13" s="4">
        <v>46076</v>
      </c>
      <c r="AH13" s="4">
        <v>46076</v>
      </c>
      <c r="AI13" s="3">
        <v>0</v>
      </c>
      <c r="AJ13" s="3" t="s">
        <v>559</v>
      </c>
      <c r="AK13" s="4">
        <v>46076</v>
      </c>
      <c r="AL13" s="5">
        <f>IFERROR(IF(Q13=AK13,0,NETWORKDAYS(Q13,AK13,{"01/01/2026";"02/02/2026";"16/03/2026";"02/04/2026";"03/04/2026";"01/05/2026"})),"aun no se factura")</f>
        <v>8</v>
      </c>
      <c r="AM13" s="4" t="str">
        <f>IFERROR(IF(OR(Q13="",AK13=""),"SIN DATO",IF(NETWORKDAYS(Q13,AK13,{"01/01/2026";"02/02/2026";"16/03/2026";"02/04/2026";"03/04/2026";"01/05/2026"})&lt;=1,"1 día o menos",IF(NETWORKDAYS(Q13,AK13,{"01/01/2026";"02/02/2026";"16/03/2026";"02/04/2026";"03/04/2026";"01/05/2026"})&lt;=3,"2 a 3 días",IF(NETWORKDAYS(Q13,AK13,{"01/01/2026";"02/02/2026";"16/03/2026";"02/04/2026";"03/04/2026";"01/05/2026"})&lt;=5,"4 a 5 días",IF(NETWORKDAYS(Q13,AK13,{"01/01/2026";"02/02/2026";"16/03/2026";"02/04/2026";"03/04/2026";"01/05/2026"})&lt;=10,"6 a 10 días",IF(NETWORKDAYS(Q13,AK13,{"01/01/2026";"02/02/2026";"16/03/2026";"02/04/2026";"03/04/2026";"01/05/2026"})&lt;=16,"11 a 15 días","más de 16 días")))))),"aun no se factura")</f>
        <v>6 a 10 días</v>
      </c>
      <c r="AN13" s="4" t="str" cm="1">
        <f t="array" ref="AN13">IFERROR(
  IF(
    NETWORKDAYS(Q13,AK13,{"01/01/2026";"02/02/2026";"16/03/2026";"02/04/2026";"03/04/2026";"01/05/2026"}) &lt;=
    _xlfn.IFS(
      OR(TRIM(A13)="AICM", TRIM(A13)="AÉREO AICM"), 5,
      OR(TRIM(A13)="VERACRUZ", TRIM(A13)="MARÍTIMO VERACRUZ"), 6,
      OR(TRIM(A13)="AIFA", TRIM(A13)="AÉREO AIFA"), 7,
      AND(TRIM(A13)="CORRESPONSALIAS", TRIM(B13)="NUEVO LAREDO"), 6,
      TRIM(A13)="MANZANILLO", 10,
      TRIM(A13)="TOLUCA", 6,
      TRUE, 999
    ),
    "On Time",
    "Delayed"
  ),
  "Faltan fechas"
)</f>
        <v>Delayed</v>
      </c>
      <c r="AO13" s="5">
        <v>1</v>
      </c>
      <c r="AP13" s="3" t="s">
        <v>548</v>
      </c>
      <c r="AQ13" s="3" t="s">
        <v>93</v>
      </c>
      <c r="AR13" s="3" t="s">
        <v>112</v>
      </c>
      <c r="AS13" s="3">
        <v>265002013</v>
      </c>
      <c r="AT13" s="3" t="s">
        <v>223</v>
      </c>
      <c r="AU13" s="5">
        <v>6000171</v>
      </c>
      <c r="AV13" s="3" t="s">
        <v>92</v>
      </c>
      <c r="AW13" s="3" t="s">
        <v>186</v>
      </c>
      <c r="AX13" s="3" t="s">
        <v>549</v>
      </c>
      <c r="AY13" s="3"/>
      <c r="AZ13" s="3" t="s">
        <v>550</v>
      </c>
      <c r="BA13" s="3" t="s">
        <v>90</v>
      </c>
      <c r="BB13" s="3"/>
      <c r="BC13" s="3" t="s">
        <v>117</v>
      </c>
      <c r="BD13" s="3"/>
      <c r="BE13" s="3" t="s">
        <v>117</v>
      </c>
      <c r="BF13" s="3" t="s">
        <v>576</v>
      </c>
      <c r="BG13" s="3" t="s">
        <v>552</v>
      </c>
      <c r="BH13" s="3" t="s">
        <v>580</v>
      </c>
      <c r="BI13" s="3"/>
      <c r="BJ13" s="3" t="s">
        <v>589</v>
      </c>
      <c r="BK13" s="3" t="s">
        <v>554</v>
      </c>
      <c r="BL13" s="3">
        <v>0</v>
      </c>
      <c r="BM13" s="3">
        <v>99</v>
      </c>
      <c r="BN13" s="3" t="s">
        <v>618</v>
      </c>
      <c r="BO13" s="3">
        <v>90</v>
      </c>
      <c r="BP13" s="3">
        <v>1235000</v>
      </c>
      <c r="BQ13" s="3" t="s">
        <v>563</v>
      </c>
      <c r="BR13" s="3"/>
      <c r="BS13" s="3" t="s">
        <v>619</v>
      </c>
      <c r="BT13" s="3" t="s">
        <v>558</v>
      </c>
      <c r="BU13" s="3" t="s">
        <v>189</v>
      </c>
      <c r="BV13" s="3" t="s">
        <v>105</v>
      </c>
      <c r="BW13" s="3"/>
      <c r="BX13" s="3"/>
      <c r="BY13" s="3"/>
      <c r="BZ13" s="3"/>
      <c r="CA13" s="3"/>
    </row>
    <row r="14" spans="1:79" x14ac:dyDescent="0.25">
      <c r="A14" s="3" t="s">
        <v>577</v>
      </c>
      <c r="B14" s="3" t="s">
        <v>578</v>
      </c>
      <c r="C14" s="3" t="s">
        <v>222</v>
      </c>
      <c r="D14" s="3">
        <v>430</v>
      </c>
      <c r="E14" s="4">
        <v>46078</v>
      </c>
      <c r="F14" s="3">
        <v>2</v>
      </c>
      <c r="G14" s="22">
        <v>46065</v>
      </c>
      <c r="H14" s="4">
        <v>46078</v>
      </c>
      <c r="I14" s="3">
        <v>9</v>
      </c>
      <c r="J14" s="3" t="s">
        <v>544</v>
      </c>
      <c r="K14" s="22">
        <v>46079</v>
      </c>
      <c r="L14" s="3">
        <v>10</v>
      </c>
      <c r="M14" s="3">
        <f>IFERROR(IF(G14=K14,0,NETWORKDAYS(G14,K14,{"01/01/2026";"02/02/2026";"16/03/2026";"02/04/2026";"03/04/2026";"01/05/2026"})),"Faltan Fechas")</f>
        <v>11</v>
      </c>
      <c r="N14" s="23" t="str">
        <f>IFERROR(IF(OR(G14="",K14=""),"SIN DATO",IF(NETWORKDAYS(G14,K14,{"01/01/2026";"02/02/2026";"16/03/2026";"02/04/2026";"03/04/2026";"01/05/2026"})&lt;=1,"1 día o menos",IF(NETWORKDAYS(G14,K14,{"01/01/2026";"02/02/2026";"16/03/2026";"02/04/2026";"03/04/2026";"01/05/2026"})&lt;=3,"2 a 3 días",IF(NETWORKDAYS(G14,K14,{"01/01/2026";"02/02/2026";"16/03/2026";"02/04/2026";"03/04/2026";"01/05/2026"})&lt;=5,"4 a 5 días",IF(NETWORKDAYS(G14,K14,{"01/01/2026";"02/02/2026";"16/03/2026";"02/04/2026";"03/04/2026";"01/05/2026"})&lt;=10,"6 a 10 días",IF(NETWORKDAYS(G14,K14,{"01/01/2026";"02/02/2026";"16/03/2026";"02/04/2026";"03/04/2026";"01/05/2026"})&lt;=16,"11 a 15 días","más de 16 días")))))),"Aun no se entrega")</f>
        <v>11 a 15 días</v>
      </c>
      <c r="O14" s="3" t="str" cm="1">
        <f t="array" ref="O14">IFERROR(
  IF(
    NETWORKDAYS(G14,K14,{"01/01/2026";"02/02/2026";"16/03/2026";"02/04/2026";"03/04/2026";"01/05/2026"}) &lt;=
    _xlfn.IFS(
      OR(TRIM(A14)="AICM", TRIM(A14)="AÉREO AICM"), 5,
      OR(TRIM(A14)="VERACRUZ", TRIM(A14)="MARÍTIMO VERACRUZ"), 6,
      OR(TRIM(A14)="AIFA", TRIM(A14)="AÉREO AIFA"), 7,
      AND(TRIM(A14)="CORRESPONSALIAS", TRIM(B14)="NUEVO LAREDO"), 6,
      TRIM(A14)="MANZANILLO", 10,
      TRIM(A14)="TOLUCA", 6,
      TRUE, 999
    ),
    "On Time",
    "Delayed"
  ),
  "Faltan fechas"
)</f>
        <v>Delayed</v>
      </c>
      <c r="P14" s="24" t="s">
        <v>559</v>
      </c>
      <c r="Q14" s="4">
        <v>46080</v>
      </c>
      <c r="R14" s="5">
        <f>IFERROR(IF(G14=Q14,0,NETWORKDAYS(G14,Q14,{"01/01/2026";"02/02/2026";"16/03/2026";"02/04/2026";"03/04/2026";"01/05/2026"})),"Faltan Fechas")</f>
        <v>12</v>
      </c>
      <c r="S14" s="4" t="str">
        <f>IFERROR(IF(OR(G14="",Q14=""),"SIN DATO",IF(NETWORKDAYS(G14,Q14,{"01/01/2026";"02/02/2026";"16/03/2026";"02/04/2026";"03/04/2026";"01/05/2026"})&lt;=1,"1 día o menos",IF(NETWORKDAYS(G14,Q14,{"01/01/2026";"02/02/2026";"16/03/2026";"02/04/2026";"03/04/2026";"01/05/2026"})&lt;=3,"2 a 3 días",IF(NETWORKDAYS(G14,Q14,{"01/01/2026";"02/02/2026";"16/03/2026";"02/04/2026";"03/04/2026";"01/05/2026"})&lt;=5,"4 a 5 días",IF(NETWORKDAYS(G14,Q14,{"01/01/2026";"02/02/2026";"16/03/2026";"02/04/2026";"03/04/2026";"01/05/2026"})&lt;=10,"6 a 10 días",IF(NETWORKDAYS(G14,Q14,{"01/01/2026";"02/02/2026";"16/03/2026";"02/04/2026";"03/04/2026";"01/05/2026"})&lt;=16,"11 a 15 días","más de 16 días")))))),"Aun no se entrega")</f>
        <v>11 a 15 días</v>
      </c>
      <c r="T14" s="4" t="str" cm="1">
        <f t="array" ref="T14">IFERROR(
  IF(
    NETWORKDAYS(G14,Q14,{"01/01/2026";"02/02/2026";"16/03/2026";"02/04/2026";"03/04/2026";"01/05/2026"}) &lt;=
    _xlfn.IFS(
      OR(TRIM(A14)="AICM", TRIM(A14)="AÉREO AICM"), 5,
      OR(TRIM(A14)="VERACRUZ", TRIM(A14)="MARÍTIMO VERACRUZ"), 6,
      OR(TRIM(A14)="AIFA", TRIM(A14)="AÉREO AIFA"), 7,
      AND(TRIM(A14)="CORRESPONSALIAS", TRIM(B14)="NUEVO LAREDO"), 6,
      TRIM(A14)="MANZANILLO", 10,
      TRIM(A14)="TOLUCA", 6,
      TRUE, 999
    ),
    "On Time",
    "Delayed"
  ),
  "Faltan fechas"
)</f>
        <v>Delayed</v>
      </c>
      <c r="U14" s="3">
        <v>15</v>
      </c>
      <c r="V14" s="3" t="s">
        <v>559</v>
      </c>
      <c r="W14" s="3">
        <v>17</v>
      </c>
      <c r="X14" s="3" t="s">
        <v>547</v>
      </c>
      <c r="Y14" s="3">
        <v>1</v>
      </c>
      <c r="Z14" s="3" t="s">
        <v>546</v>
      </c>
      <c r="AA14" s="3">
        <v>13</v>
      </c>
      <c r="AB14" s="3">
        <v>1</v>
      </c>
      <c r="AC14" s="3" t="s">
        <v>546</v>
      </c>
      <c r="AD14" s="4">
        <v>46090</v>
      </c>
      <c r="AE14" s="3">
        <v>7</v>
      </c>
      <c r="AF14" s="3">
        <v>6</v>
      </c>
      <c r="AG14" s="4">
        <v>46087</v>
      </c>
      <c r="AH14" s="4">
        <v>46090</v>
      </c>
      <c r="AI14" s="3">
        <v>3</v>
      </c>
      <c r="AJ14" s="3" t="s">
        <v>544</v>
      </c>
      <c r="AK14" s="4">
        <v>46090</v>
      </c>
      <c r="AL14" s="5">
        <f>IFERROR(IF(Q14=AK14,0,NETWORKDAYS(Q14,AK14,{"01/01/2026";"02/02/2026";"16/03/2026";"02/04/2026";"03/04/2026";"01/05/2026"})),"aun no se factura")</f>
        <v>7</v>
      </c>
      <c r="AM14" s="4" t="str">
        <f>IFERROR(IF(OR(Q14="",AK14=""),"SIN DATO",IF(NETWORKDAYS(Q14,AK14,{"01/01/2026";"02/02/2026";"16/03/2026";"02/04/2026";"03/04/2026";"01/05/2026"})&lt;=1,"1 día o menos",IF(NETWORKDAYS(Q14,AK14,{"01/01/2026";"02/02/2026";"16/03/2026";"02/04/2026";"03/04/2026";"01/05/2026"})&lt;=3,"2 a 3 días",IF(NETWORKDAYS(Q14,AK14,{"01/01/2026";"02/02/2026";"16/03/2026";"02/04/2026";"03/04/2026";"01/05/2026"})&lt;=5,"4 a 5 días",IF(NETWORKDAYS(Q14,AK14,{"01/01/2026";"02/02/2026";"16/03/2026";"02/04/2026";"03/04/2026";"01/05/2026"})&lt;=10,"6 a 10 días",IF(NETWORKDAYS(Q14,AK14,{"01/01/2026";"02/02/2026";"16/03/2026";"02/04/2026";"03/04/2026";"01/05/2026"})&lt;=16,"11 a 15 días","más de 16 días")))))),"aun no se factura")</f>
        <v>6 a 10 días</v>
      </c>
      <c r="AN14" s="4" t="str" cm="1">
        <f t="array" ref="AN14">IFERROR(
  IF(
    NETWORKDAYS(Q14,AK14,{"01/01/2026";"02/02/2026";"16/03/2026";"02/04/2026";"03/04/2026";"01/05/2026"}) &lt;=
    _xlfn.IFS(
      OR(TRIM(A14)="AICM", TRIM(A14)="AÉREO AICM"), 5,
      OR(TRIM(A14)="VERACRUZ", TRIM(A14)="MARÍTIMO VERACRUZ"), 6,
      OR(TRIM(A14)="AIFA", TRIM(A14)="AÉREO AIFA"), 7,
      AND(TRIM(A14)="CORRESPONSALIAS", TRIM(B14)="NUEVO LAREDO"), 6,
      TRIM(A14)="MANZANILLO", 10,
      TRIM(A14)="TOLUCA", 6,
      TRUE, 999
    ),
    "On Time",
    "Delayed"
  ),
  "Faltan fechas"
)</f>
        <v>Delayed</v>
      </c>
      <c r="AO14" s="5">
        <v>1</v>
      </c>
      <c r="AP14" s="3" t="s">
        <v>548</v>
      </c>
      <c r="AQ14" s="3" t="s">
        <v>93</v>
      </c>
      <c r="AR14" s="3" t="s">
        <v>112</v>
      </c>
      <c r="AS14" s="3">
        <v>265080842</v>
      </c>
      <c r="AT14" s="3" t="s">
        <v>223</v>
      </c>
      <c r="AU14" s="5">
        <v>6000186</v>
      </c>
      <c r="AV14" s="3" t="s">
        <v>92</v>
      </c>
      <c r="AW14" s="3" t="s">
        <v>226</v>
      </c>
      <c r="AX14" s="3" t="s">
        <v>549</v>
      </c>
      <c r="AY14" s="3"/>
      <c r="AZ14" s="3" t="s">
        <v>550</v>
      </c>
      <c r="BA14" s="3" t="s">
        <v>90</v>
      </c>
      <c r="BB14" s="3"/>
      <c r="BC14" s="3" t="s">
        <v>107</v>
      </c>
      <c r="BD14" s="3"/>
      <c r="BE14" s="3" t="s">
        <v>107</v>
      </c>
      <c r="BF14" s="3" t="s">
        <v>576</v>
      </c>
      <c r="BG14" s="3" t="s">
        <v>620</v>
      </c>
      <c r="BH14" s="3" t="s">
        <v>607</v>
      </c>
      <c r="BI14" s="3" t="s">
        <v>621</v>
      </c>
      <c r="BJ14" s="3"/>
      <c r="BK14" s="3" t="s">
        <v>554</v>
      </c>
      <c r="BL14" s="3">
        <v>0</v>
      </c>
      <c r="BM14" s="3">
        <v>99</v>
      </c>
      <c r="BN14" s="3" t="s">
        <v>622</v>
      </c>
      <c r="BO14" s="3">
        <v>90</v>
      </c>
      <c r="BP14" s="3" t="s">
        <v>623</v>
      </c>
      <c r="BQ14" s="3" t="s">
        <v>611</v>
      </c>
      <c r="BR14" s="3"/>
      <c r="BS14" s="3" t="s">
        <v>619</v>
      </c>
      <c r="BT14" s="3" t="s">
        <v>558</v>
      </c>
      <c r="BU14" s="3" t="s">
        <v>189</v>
      </c>
      <c r="BV14" s="3" t="s">
        <v>105</v>
      </c>
      <c r="BW14" s="3"/>
      <c r="BX14" s="3"/>
      <c r="BY14" s="3"/>
      <c r="BZ14" s="3"/>
      <c r="CA14" s="3"/>
    </row>
    <row r="15" spans="1:79" x14ac:dyDescent="0.25">
      <c r="A15" s="3" t="s">
        <v>577</v>
      </c>
      <c r="B15" s="3" t="s">
        <v>578</v>
      </c>
      <c r="C15" s="3" t="s">
        <v>271</v>
      </c>
      <c r="D15" s="3">
        <v>430</v>
      </c>
      <c r="E15" s="4">
        <v>46078</v>
      </c>
      <c r="F15" s="3">
        <v>2</v>
      </c>
      <c r="G15" s="22">
        <v>46065</v>
      </c>
      <c r="H15" s="4">
        <v>46078</v>
      </c>
      <c r="I15" s="3">
        <v>9</v>
      </c>
      <c r="J15" s="3" t="s">
        <v>544</v>
      </c>
      <c r="K15" s="22">
        <v>46079</v>
      </c>
      <c r="L15" s="3">
        <v>10</v>
      </c>
      <c r="M15" s="3">
        <f>IFERROR(IF(G15=K15,0,NETWORKDAYS(G15,K15,{"01/01/2026";"02/02/2026";"16/03/2026";"02/04/2026";"03/04/2026";"01/05/2026"})),"Faltan Fechas")</f>
        <v>11</v>
      </c>
      <c r="N15" s="23" t="str">
        <f>IFERROR(IF(OR(G15="",K15=""),"SIN DATO",IF(NETWORKDAYS(G15,K15,{"01/01/2026";"02/02/2026";"16/03/2026";"02/04/2026";"03/04/2026";"01/05/2026"})&lt;=1,"1 día o menos",IF(NETWORKDAYS(G15,K15,{"01/01/2026";"02/02/2026";"16/03/2026";"02/04/2026";"03/04/2026";"01/05/2026"})&lt;=3,"2 a 3 días",IF(NETWORKDAYS(G15,K15,{"01/01/2026";"02/02/2026";"16/03/2026";"02/04/2026";"03/04/2026";"01/05/2026"})&lt;=5,"4 a 5 días",IF(NETWORKDAYS(G15,K15,{"01/01/2026";"02/02/2026";"16/03/2026";"02/04/2026";"03/04/2026";"01/05/2026"})&lt;=10,"6 a 10 días",IF(NETWORKDAYS(G15,K15,{"01/01/2026";"02/02/2026";"16/03/2026";"02/04/2026";"03/04/2026";"01/05/2026"})&lt;=16,"11 a 15 días","más de 16 días")))))),"Aun no se entrega")</f>
        <v>11 a 15 días</v>
      </c>
      <c r="O15" s="3" t="str" cm="1">
        <f t="array" ref="O15">IFERROR(
  IF(
    NETWORKDAYS(G15,K15,{"01/01/2026";"02/02/2026";"16/03/2026";"02/04/2026";"03/04/2026";"01/05/2026"}) &lt;=
    _xlfn.IFS(
      OR(TRIM(A15)="AICM", TRIM(A15)="AÉREO AICM"), 5,
      OR(TRIM(A15)="VERACRUZ", TRIM(A15)="MARÍTIMO VERACRUZ"), 6,
      OR(TRIM(A15)="AIFA", TRIM(A15)="AÉREO AIFA"), 7,
      AND(TRIM(A15)="CORRESPONSALIAS", TRIM(B15)="NUEVO LAREDO"), 6,
      TRIM(A15)="MANZANILLO", 10,
      TRIM(A15)="TOLUCA", 6,
      TRUE, 999
    ),
    "On Time",
    "Delayed"
  ),
  "Faltan fechas"
)</f>
        <v>Delayed</v>
      </c>
      <c r="P15" s="24" t="s">
        <v>559</v>
      </c>
      <c r="Q15" s="4">
        <v>46080</v>
      </c>
      <c r="R15" s="5">
        <f>IFERROR(IF(G15=Q15,0,NETWORKDAYS(G15,Q15,{"01/01/2026";"02/02/2026";"16/03/2026";"02/04/2026";"03/04/2026";"01/05/2026"})),"Faltan Fechas")</f>
        <v>12</v>
      </c>
      <c r="S15" s="4" t="str">
        <f>IFERROR(IF(OR(G15="",Q15=""),"SIN DATO",IF(NETWORKDAYS(G15,Q15,{"01/01/2026";"02/02/2026";"16/03/2026";"02/04/2026";"03/04/2026";"01/05/2026"})&lt;=1,"1 día o menos",IF(NETWORKDAYS(G15,Q15,{"01/01/2026";"02/02/2026";"16/03/2026";"02/04/2026";"03/04/2026";"01/05/2026"})&lt;=3,"2 a 3 días",IF(NETWORKDAYS(G15,Q15,{"01/01/2026";"02/02/2026";"16/03/2026";"02/04/2026";"03/04/2026";"01/05/2026"})&lt;=5,"4 a 5 días",IF(NETWORKDAYS(G15,Q15,{"01/01/2026";"02/02/2026";"16/03/2026";"02/04/2026";"03/04/2026";"01/05/2026"})&lt;=10,"6 a 10 días",IF(NETWORKDAYS(G15,Q15,{"01/01/2026";"02/02/2026";"16/03/2026";"02/04/2026";"03/04/2026";"01/05/2026"})&lt;=16,"11 a 15 días","más de 16 días")))))),"Aun no se entrega")</f>
        <v>11 a 15 días</v>
      </c>
      <c r="T15" s="4" t="str" cm="1">
        <f t="array" ref="T15">IFERROR(
  IF(
    NETWORKDAYS(G15,Q15,{"01/01/2026";"02/02/2026";"16/03/2026";"02/04/2026";"03/04/2026";"01/05/2026"}) &lt;=
    _xlfn.IFS(
      OR(TRIM(A15)="AICM", TRIM(A15)="AÉREO AICM"), 5,
      OR(TRIM(A15)="VERACRUZ", TRIM(A15)="MARÍTIMO VERACRUZ"), 6,
      OR(TRIM(A15)="AIFA", TRIM(A15)="AÉREO AIFA"), 7,
      AND(TRIM(A15)="CORRESPONSALIAS", TRIM(B15)="NUEVO LAREDO"), 6,
      TRIM(A15)="MANZANILLO", 10,
      TRIM(A15)="TOLUCA", 6,
      TRUE, 999
    ),
    "On Time",
    "Delayed"
  ),
  "Faltan fechas"
)</f>
        <v>Delayed</v>
      </c>
      <c r="U15" s="3">
        <v>15</v>
      </c>
      <c r="V15" s="3" t="s">
        <v>559</v>
      </c>
      <c r="W15" s="3">
        <v>17</v>
      </c>
      <c r="X15" s="3" t="s">
        <v>547</v>
      </c>
      <c r="Y15" s="3">
        <v>1</v>
      </c>
      <c r="Z15" s="3" t="s">
        <v>546</v>
      </c>
      <c r="AA15" s="3">
        <v>13</v>
      </c>
      <c r="AB15" s="3">
        <v>1</v>
      </c>
      <c r="AC15" s="3" t="s">
        <v>546</v>
      </c>
      <c r="AD15" s="4">
        <v>46090</v>
      </c>
      <c r="AE15" s="3">
        <v>7</v>
      </c>
      <c r="AF15" s="3">
        <v>6</v>
      </c>
      <c r="AG15" s="4">
        <v>46087</v>
      </c>
      <c r="AH15" s="4">
        <v>46090</v>
      </c>
      <c r="AI15" s="3">
        <v>3</v>
      </c>
      <c r="AJ15" s="3" t="s">
        <v>544</v>
      </c>
      <c r="AK15" s="4">
        <v>46090</v>
      </c>
      <c r="AL15" s="5">
        <f>IFERROR(IF(Q15=AK15,0,NETWORKDAYS(Q15,AK15,{"01/01/2026";"02/02/2026";"16/03/2026";"02/04/2026";"03/04/2026";"01/05/2026"})),"aun no se factura")</f>
        <v>7</v>
      </c>
      <c r="AM15" s="4" t="str">
        <f>IFERROR(IF(OR(Q15="",AK15=""),"SIN DATO",IF(NETWORKDAYS(Q15,AK15,{"01/01/2026";"02/02/2026";"16/03/2026";"02/04/2026";"03/04/2026";"01/05/2026"})&lt;=1,"1 día o menos",IF(NETWORKDAYS(Q15,AK15,{"01/01/2026";"02/02/2026";"16/03/2026";"02/04/2026";"03/04/2026";"01/05/2026"})&lt;=3,"2 a 3 días",IF(NETWORKDAYS(Q15,AK15,{"01/01/2026";"02/02/2026";"16/03/2026";"02/04/2026";"03/04/2026";"01/05/2026"})&lt;=5,"4 a 5 días",IF(NETWORKDAYS(Q15,AK15,{"01/01/2026";"02/02/2026";"16/03/2026";"02/04/2026";"03/04/2026";"01/05/2026"})&lt;=10,"6 a 10 días",IF(NETWORKDAYS(Q15,AK15,{"01/01/2026";"02/02/2026";"16/03/2026";"02/04/2026";"03/04/2026";"01/05/2026"})&lt;=16,"11 a 15 días","más de 16 días")))))),"aun no se factura")</f>
        <v>6 a 10 días</v>
      </c>
      <c r="AN15" s="4" t="str" cm="1">
        <f t="array" ref="AN15">IFERROR(
  IF(
    NETWORKDAYS(Q15,AK15,{"01/01/2026";"02/02/2026";"16/03/2026";"02/04/2026";"03/04/2026";"01/05/2026"}) &lt;=
    _xlfn.IFS(
      OR(TRIM(A15)="AICM", TRIM(A15)="AÉREO AICM"), 5,
      OR(TRIM(A15)="VERACRUZ", TRIM(A15)="MARÍTIMO VERACRUZ"), 6,
      OR(TRIM(A15)="AIFA", TRIM(A15)="AÉREO AIFA"), 7,
      AND(TRIM(A15)="CORRESPONSALIAS", TRIM(B15)="NUEVO LAREDO"), 6,
      TRIM(A15)="MANZANILLO", 10,
      TRIM(A15)="TOLUCA", 6,
      TRUE, 999
    ),
    "On Time",
    "Delayed"
  ),
  "Faltan fechas"
)</f>
        <v>Delayed</v>
      </c>
      <c r="AO15" s="5">
        <v>1</v>
      </c>
      <c r="AP15" s="3" t="s">
        <v>548</v>
      </c>
      <c r="AQ15" s="3" t="s">
        <v>93</v>
      </c>
      <c r="AR15" s="3" t="s">
        <v>112</v>
      </c>
      <c r="AS15" s="3">
        <v>265080842</v>
      </c>
      <c r="AT15" s="3" t="s">
        <v>223</v>
      </c>
      <c r="AU15" s="5">
        <v>6000301</v>
      </c>
      <c r="AV15" s="3" t="s">
        <v>92</v>
      </c>
      <c r="AW15" s="3" t="s">
        <v>226</v>
      </c>
      <c r="AX15" s="3" t="s">
        <v>549</v>
      </c>
      <c r="AY15" s="3"/>
      <c r="AZ15" s="3" t="s">
        <v>550</v>
      </c>
      <c r="BA15" s="3" t="s">
        <v>90</v>
      </c>
      <c r="BB15" s="3"/>
      <c r="BC15" s="3" t="s">
        <v>107</v>
      </c>
      <c r="BD15" s="3"/>
      <c r="BE15" s="3" t="s">
        <v>107</v>
      </c>
      <c r="BF15" s="3" t="s">
        <v>576</v>
      </c>
      <c r="BG15" s="3" t="s">
        <v>552</v>
      </c>
      <c r="BH15" s="3" t="s">
        <v>607</v>
      </c>
      <c r="BI15" s="3" t="s">
        <v>624</v>
      </c>
      <c r="BJ15" s="3"/>
      <c r="BK15" s="3" t="s">
        <v>554</v>
      </c>
      <c r="BL15" s="3">
        <v>0</v>
      </c>
      <c r="BM15" s="3">
        <v>99</v>
      </c>
      <c r="BN15" s="3" t="s">
        <v>625</v>
      </c>
      <c r="BO15" s="3">
        <v>90</v>
      </c>
      <c r="BP15" s="3">
        <v>1809774.84</v>
      </c>
      <c r="BQ15" s="3" t="s">
        <v>563</v>
      </c>
      <c r="BR15" s="3"/>
      <c r="BS15" s="3" t="s">
        <v>619</v>
      </c>
      <c r="BT15" s="3" t="s">
        <v>558</v>
      </c>
      <c r="BU15" s="3" t="s">
        <v>189</v>
      </c>
      <c r="BV15" s="3" t="s">
        <v>105</v>
      </c>
      <c r="BW15" s="3"/>
      <c r="BX15" s="3"/>
      <c r="BY15" s="3"/>
      <c r="BZ15" s="3"/>
      <c r="CA15" s="3"/>
    </row>
    <row r="16" spans="1:79" x14ac:dyDescent="0.25">
      <c r="A16" s="3" t="s">
        <v>577</v>
      </c>
      <c r="B16" s="3" t="s">
        <v>578</v>
      </c>
      <c r="C16" s="3" t="s">
        <v>201</v>
      </c>
      <c r="D16" s="3">
        <v>430</v>
      </c>
      <c r="E16" s="4">
        <v>46078</v>
      </c>
      <c r="F16" s="3">
        <v>2</v>
      </c>
      <c r="G16" s="22">
        <v>46066</v>
      </c>
      <c r="H16" s="4">
        <v>46078</v>
      </c>
      <c r="I16" s="3">
        <v>8</v>
      </c>
      <c r="J16" s="3" t="s">
        <v>544</v>
      </c>
      <c r="K16" s="22">
        <v>46079</v>
      </c>
      <c r="L16" s="3">
        <v>9</v>
      </c>
      <c r="M16" s="3">
        <f>IFERROR(IF(G16=K16,0,NETWORKDAYS(G16,K16,{"01/01/2026";"02/02/2026";"16/03/2026";"02/04/2026";"03/04/2026";"01/05/2026"})),"Faltan Fechas")</f>
        <v>10</v>
      </c>
      <c r="N16" s="23" t="str">
        <f>IFERROR(IF(OR(G16="",K16=""),"SIN DATO",IF(NETWORKDAYS(G16,K16,{"01/01/2026";"02/02/2026";"16/03/2026";"02/04/2026";"03/04/2026";"01/05/2026"})&lt;=1,"1 día o menos",IF(NETWORKDAYS(G16,K16,{"01/01/2026";"02/02/2026";"16/03/2026";"02/04/2026";"03/04/2026";"01/05/2026"})&lt;=3,"2 a 3 días",IF(NETWORKDAYS(G16,K16,{"01/01/2026";"02/02/2026";"16/03/2026";"02/04/2026";"03/04/2026";"01/05/2026"})&lt;=5,"4 a 5 días",IF(NETWORKDAYS(G16,K16,{"01/01/2026";"02/02/2026";"16/03/2026";"02/04/2026";"03/04/2026";"01/05/2026"})&lt;=10,"6 a 10 días",IF(NETWORKDAYS(G16,K16,{"01/01/2026";"02/02/2026";"16/03/2026";"02/04/2026";"03/04/2026";"01/05/2026"})&lt;=16,"11 a 15 días","más de 16 días")))))),"Aun no se entrega")</f>
        <v>6 a 10 días</v>
      </c>
      <c r="O16" s="3" t="str" cm="1">
        <f t="array" ref="O16">IFERROR(
  IF(
    NETWORKDAYS(G16,K16,{"01/01/2026";"02/02/2026";"16/03/2026";"02/04/2026";"03/04/2026";"01/05/2026"}) &lt;=
    _xlfn.IFS(
      OR(TRIM(A16)="AICM", TRIM(A16)="AÉREO AICM"), 5,
      OR(TRIM(A16)="VERACRUZ", TRIM(A16)="MARÍTIMO VERACRUZ"), 6,
      OR(TRIM(A16)="AIFA", TRIM(A16)="AÉREO AIFA"), 7,
      AND(TRIM(A16)="CORRESPONSALIAS", TRIM(B16)="NUEVO LAREDO"), 6,
      TRIM(A16)="MANZANILLO", 10,
      TRIM(A16)="TOLUCA", 6,
      TRUE, 999
    ),
    "On Time",
    "Delayed"
  ),
  "Faltan fechas"
)</f>
        <v>Delayed</v>
      </c>
      <c r="P16" s="24" t="s">
        <v>559</v>
      </c>
      <c r="Q16" s="4">
        <v>46080</v>
      </c>
      <c r="R16" s="5">
        <f>IFERROR(IF(G16=Q16,0,NETWORKDAYS(G16,Q16,{"01/01/2026";"02/02/2026";"16/03/2026";"02/04/2026";"03/04/2026";"01/05/2026"})),"Faltan Fechas")</f>
        <v>11</v>
      </c>
      <c r="S16" s="4" t="str">
        <f>IFERROR(IF(OR(G16="",Q16=""),"SIN DATO",IF(NETWORKDAYS(G16,Q16,{"01/01/2026";"02/02/2026";"16/03/2026";"02/04/2026";"03/04/2026";"01/05/2026"})&lt;=1,"1 día o menos",IF(NETWORKDAYS(G16,Q16,{"01/01/2026";"02/02/2026";"16/03/2026";"02/04/2026";"03/04/2026";"01/05/2026"})&lt;=3,"2 a 3 días",IF(NETWORKDAYS(G16,Q16,{"01/01/2026";"02/02/2026";"16/03/2026";"02/04/2026";"03/04/2026";"01/05/2026"})&lt;=5,"4 a 5 días",IF(NETWORKDAYS(G16,Q16,{"01/01/2026";"02/02/2026";"16/03/2026";"02/04/2026";"03/04/2026";"01/05/2026"})&lt;=10,"6 a 10 días",IF(NETWORKDAYS(G16,Q16,{"01/01/2026";"02/02/2026";"16/03/2026";"02/04/2026";"03/04/2026";"01/05/2026"})&lt;=16,"11 a 15 días","más de 16 días")))))),"Aun no se entrega")</f>
        <v>11 a 15 días</v>
      </c>
      <c r="T16" s="4" t="str" cm="1">
        <f t="array" ref="T16">IFERROR(
  IF(
    NETWORKDAYS(G16,Q16,{"01/01/2026";"02/02/2026";"16/03/2026";"02/04/2026";"03/04/2026";"01/05/2026"}) &lt;=
    _xlfn.IFS(
      OR(TRIM(A16)="AICM", TRIM(A16)="AÉREO AICM"), 5,
      OR(TRIM(A16)="VERACRUZ", TRIM(A16)="MARÍTIMO VERACRUZ"), 6,
      OR(TRIM(A16)="AIFA", TRIM(A16)="AÉREO AIFA"), 7,
      AND(TRIM(A16)="CORRESPONSALIAS", TRIM(B16)="NUEVO LAREDO"), 6,
      TRIM(A16)="MANZANILLO", 10,
      TRIM(A16)="TOLUCA", 6,
      TRUE, 999
    ),
    "On Time",
    "Delayed"
  ),
  "Faltan fechas"
)</f>
        <v>Delayed</v>
      </c>
      <c r="U16" s="3">
        <v>14</v>
      </c>
      <c r="V16" s="3" t="s">
        <v>544</v>
      </c>
      <c r="W16" s="3">
        <v>19</v>
      </c>
      <c r="X16" s="3" t="s">
        <v>547</v>
      </c>
      <c r="Y16" s="3">
        <v>1</v>
      </c>
      <c r="Z16" s="3" t="s">
        <v>546</v>
      </c>
      <c r="AA16" s="3">
        <v>12</v>
      </c>
      <c r="AB16" s="3">
        <v>1</v>
      </c>
      <c r="AC16" s="3" t="s">
        <v>546</v>
      </c>
      <c r="AD16" s="4">
        <v>46093</v>
      </c>
      <c r="AE16" s="3">
        <v>13</v>
      </c>
      <c r="AF16" s="3">
        <v>9</v>
      </c>
      <c r="AG16" s="4">
        <v>46093</v>
      </c>
      <c r="AH16" s="4">
        <v>46093</v>
      </c>
      <c r="AI16" s="3">
        <v>0</v>
      </c>
      <c r="AJ16" s="3" t="s">
        <v>559</v>
      </c>
      <c r="AK16" s="4">
        <v>46093</v>
      </c>
      <c r="AL16" s="5">
        <f>IFERROR(IF(Q16=AK16,0,NETWORKDAYS(Q16,AK16,{"01/01/2026";"02/02/2026";"16/03/2026";"02/04/2026";"03/04/2026";"01/05/2026"})),"aun no se factura")</f>
        <v>10</v>
      </c>
      <c r="AM16" s="4" t="str">
        <f>IFERROR(IF(OR(Q16="",AK16=""),"SIN DATO",IF(NETWORKDAYS(Q16,AK16,{"01/01/2026";"02/02/2026";"16/03/2026";"02/04/2026";"03/04/2026";"01/05/2026"})&lt;=1,"1 día o menos",IF(NETWORKDAYS(Q16,AK16,{"01/01/2026";"02/02/2026";"16/03/2026";"02/04/2026";"03/04/2026";"01/05/2026"})&lt;=3,"2 a 3 días",IF(NETWORKDAYS(Q16,AK16,{"01/01/2026";"02/02/2026";"16/03/2026";"02/04/2026";"03/04/2026";"01/05/2026"})&lt;=5,"4 a 5 días",IF(NETWORKDAYS(Q16,AK16,{"01/01/2026";"02/02/2026";"16/03/2026";"02/04/2026";"03/04/2026";"01/05/2026"})&lt;=10,"6 a 10 días",IF(NETWORKDAYS(Q16,AK16,{"01/01/2026";"02/02/2026";"16/03/2026";"02/04/2026";"03/04/2026";"01/05/2026"})&lt;=16,"11 a 15 días","más de 16 días")))))),"aun no se factura")</f>
        <v>6 a 10 días</v>
      </c>
      <c r="AN16" s="4" t="str" cm="1">
        <f t="array" ref="AN16">IFERROR(
  IF(
    NETWORKDAYS(Q16,AK16,{"01/01/2026";"02/02/2026";"16/03/2026";"02/04/2026";"03/04/2026";"01/05/2026"}) &lt;=
    _xlfn.IFS(
      OR(TRIM(A16)="AICM", TRIM(A16)="AÉREO AICM"), 5,
      OR(TRIM(A16)="VERACRUZ", TRIM(A16)="MARÍTIMO VERACRUZ"), 6,
      OR(TRIM(A16)="AIFA", TRIM(A16)="AÉREO AIFA"), 7,
      AND(TRIM(A16)="CORRESPONSALIAS", TRIM(B16)="NUEVO LAREDO"), 6,
      TRIM(A16)="MANZANILLO", 10,
      TRIM(A16)="TOLUCA", 6,
      TRUE, 999
    ),
    "On Time",
    "Delayed"
  ),
  "Faltan fechas"
)</f>
        <v>Delayed</v>
      </c>
      <c r="AO16" s="5">
        <v>1</v>
      </c>
      <c r="AP16" s="3" t="s">
        <v>548</v>
      </c>
      <c r="AQ16" s="3" t="s">
        <v>93</v>
      </c>
      <c r="AR16" s="3" t="s">
        <v>112</v>
      </c>
      <c r="AS16" s="3" t="s">
        <v>204</v>
      </c>
      <c r="AT16" s="3" t="s">
        <v>223</v>
      </c>
      <c r="AU16" s="5">
        <v>6000204</v>
      </c>
      <c r="AV16" s="3" t="s">
        <v>92</v>
      </c>
      <c r="AW16" s="3" t="s">
        <v>203</v>
      </c>
      <c r="AX16" s="3" t="s">
        <v>549</v>
      </c>
      <c r="AY16" s="3"/>
      <c r="AZ16" s="3" t="s">
        <v>550</v>
      </c>
      <c r="BA16" s="3" t="s">
        <v>90</v>
      </c>
      <c r="BB16" s="3"/>
      <c r="BC16" s="3" t="s">
        <v>107</v>
      </c>
      <c r="BD16" s="3"/>
      <c r="BE16" s="3" t="s">
        <v>107</v>
      </c>
      <c r="BF16" s="3" t="s">
        <v>576</v>
      </c>
      <c r="BG16" s="3" t="s">
        <v>552</v>
      </c>
      <c r="BH16" s="3" t="s">
        <v>607</v>
      </c>
      <c r="BI16" s="3" t="s">
        <v>626</v>
      </c>
      <c r="BJ16" s="3"/>
      <c r="BK16" s="3" t="s">
        <v>554</v>
      </c>
      <c r="BL16" s="3">
        <v>0</v>
      </c>
      <c r="BM16" s="3">
        <v>0</v>
      </c>
      <c r="BN16" s="3" t="s">
        <v>627</v>
      </c>
      <c r="BO16" s="3">
        <v>90</v>
      </c>
      <c r="BP16" s="3">
        <v>2368553.6</v>
      </c>
      <c r="BQ16" s="3" t="s">
        <v>611</v>
      </c>
      <c r="BR16" s="3"/>
      <c r="BS16" s="3" t="s">
        <v>564</v>
      </c>
      <c r="BT16" s="3" t="s">
        <v>558</v>
      </c>
      <c r="BU16" s="3" t="s">
        <v>126</v>
      </c>
      <c r="BV16" s="3" t="s">
        <v>105</v>
      </c>
      <c r="BW16" s="3"/>
      <c r="BX16" s="3"/>
      <c r="BY16" s="3"/>
      <c r="BZ16" s="3"/>
      <c r="CA16" s="3"/>
    </row>
    <row r="17" spans="1:79" x14ac:dyDescent="0.25">
      <c r="A17" s="3" t="s">
        <v>577</v>
      </c>
      <c r="B17" s="3" t="s">
        <v>578</v>
      </c>
      <c r="C17" s="3" t="s">
        <v>209</v>
      </c>
      <c r="D17" s="3">
        <v>430</v>
      </c>
      <c r="E17" s="4">
        <v>46070</v>
      </c>
      <c r="F17" s="3">
        <v>2</v>
      </c>
      <c r="G17" s="22">
        <v>46066</v>
      </c>
      <c r="H17" s="4">
        <v>46070</v>
      </c>
      <c r="I17" s="3">
        <v>2</v>
      </c>
      <c r="J17" s="3" t="s">
        <v>579</v>
      </c>
      <c r="K17" s="22">
        <v>46071</v>
      </c>
      <c r="L17" s="3">
        <v>3</v>
      </c>
      <c r="M17" s="3">
        <f>IFERROR(IF(G17=K17,0,NETWORKDAYS(G17,K17,{"01/01/2026";"02/02/2026";"16/03/2026";"02/04/2026";"03/04/2026";"01/05/2026"})),"Faltan Fechas")</f>
        <v>4</v>
      </c>
      <c r="N17" s="23" t="str">
        <f>IFERROR(IF(OR(G17="",K17=""),"SIN DATO",IF(NETWORKDAYS(G17,K17,{"01/01/2026";"02/02/2026";"16/03/2026";"02/04/2026";"03/04/2026";"01/05/2026"})&lt;=1,"1 día o menos",IF(NETWORKDAYS(G17,K17,{"01/01/2026";"02/02/2026";"16/03/2026";"02/04/2026";"03/04/2026";"01/05/2026"})&lt;=3,"2 a 3 días",IF(NETWORKDAYS(G17,K17,{"01/01/2026";"02/02/2026";"16/03/2026";"02/04/2026";"03/04/2026";"01/05/2026"})&lt;=5,"4 a 5 días",IF(NETWORKDAYS(G17,K17,{"01/01/2026";"02/02/2026";"16/03/2026";"02/04/2026";"03/04/2026";"01/05/2026"})&lt;=10,"6 a 10 días",IF(NETWORKDAYS(G17,K17,{"01/01/2026";"02/02/2026";"16/03/2026";"02/04/2026";"03/04/2026";"01/05/2026"})&lt;=16,"11 a 15 días","más de 16 días")))))),"Aun no se entrega")</f>
        <v>4 a 5 días</v>
      </c>
      <c r="O17" s="3" t="str" cm="1">
        <f t="array" ref="O17">IFERROR(
  IF(
    NETWORKDAYS(G17,K17,{"01/01/2026";"02/02/2026";"16/03/2026";"02/04/2026";"03/04/2026";"01/05/2026"}) &lt;=
    _xlfn.IFS(
      OR(TRIM(A17)="AICM", TRIM(A17)="AÉREO AICM"), 5,
      OR(TRIM(A17)="VERACRUZ", TRIM(A17)="MARÍTIMO VERACRUZ"), 6,
      OR(TRIM(A17)="AIFA", TRIM(A17)="AÉREO AIFA"), 7,
      AND(TRIM(A17)="CORRESPONSALIAS", TRIM(B17)="NUEVO LAREDO"), 6,
      TRIM(A17)="MANZANILLO", 10,
      TRIM(A17)="TOLUCA", 6,
      TRUE, 999
    ),
    "On Time",
    "Delayed"
  ),
  "Faltan fechas"
)</f>
        <v>On Time</v>
      </c>
      <c r="P17" s="24" t="s">
        <v>543</v>
      </c>
      <c r="Q17" s="4">
        <v>46072</v>
      </c>
      <c r="R17" s="5">
        <f>IFERROR(IF(G17=Q17,0,NETWORKDAYS(G17,Q17,{"01/01/2026";"02/02/2026";"16/03/2026";"02/04/2026";"03/04/2026";"01/05/2026"})),"Faltan Fechas")</f>
        <v>5</v>
      </c>
      <c r="S17" s="4" t="str">
        <f>IFERROR(IF(OR(G17="",Q17=""),"SIN DATO",IF(NETWORKDAYS(G17,Q17,{"01/01/2026";"02/02/2026";"16/03/2026";"02/04/2026";"03/04/2026";"01/05/2026"})&lt;=1,"1 día o menos",IF(NETWORKDAYS(G17,Q17,{"01/01/2026";"02/02/2026";"16/03/2026";"02/04/2026";"03/04/2026";"01/05/2026"})&lt;=3,"2 a 3 días",IF(NETWORKDAYS(G17,Q17,{"01/01/2026";"02/02/2026";"16/03/2026";"02/04/2026";"03/04/2026";"01/05/2026"})&lt;=5,"4 a 5 días",IF(NETWORKDAYS(G17,Q17,{"01/01/2026";"02/02/2026";"16/03/2026";"02/04/2026";"03/04/2026";"01/05/2026"})&lt;=10,"6 a 10 días",IF(NETWORKDAYS(G17,Q17,{"01/01/2026";"02/02/2026";"16/03/2026";"02/04/2026";"03/04/2026";"01/05/2026"})&lt;=16,"11 a 15 días","más de 16 días")))))),"Aun no se entrega")</f>
        <v>4 a 5 días</v>
      </c>
      <c r="T17" s="4" t="str" cm="1">
        <f t="array" ref="T17">IFERROR(
  IF(
    NETWORKDAYS(G17,Q17,{"01/01/2026";"02/02/2026";"16/03/2026";"02/04/2026";"03/04/2026";"01/05/2026"}) &lt;=
    _xlfn.IFS(
      OR(TRIM(A17)="AICM", TRIM(A17)="AÉREO AICM"), 5,
      OR(TRIM(A17)="VERACRUZ", TRIM(A17)="MARÍTIMO VERACRUZ"), 6,
      OR(TRIM(A17)="AIFA", TRIM(A17)="AÉREO AIFA"), 7,
      AND(TRIM(A17)="CORRESPONSALIAS", TRIM(B17)="NUEVO LAREDO"), 6,
      TRIM(A17)="MANZANILLO", 10,
      TRIM(A17)="TOLUCA", 6,
      TRUE, 999
    ),
    "On Time",
    "Delayed"
  ),
  "Faltan fechas"
)</f>
        <v>On Time</v>
      </c>
      <c r="U17" s="3">
        <v>6</v>
      </c>
      <c r="V17" s="3" t="s">
        <v>543</v>
      </c>
      <c r="W17" s="3">
        <v>9</v>
      </c>
      <c r="X17" s="3" t="s">
        <v>544</v>
      </c>
      <c r="Y17" s="3">
        <v>1</v>
      </c>
      <c r="Z17" s="3" t="s">
        <v>546</v>
      </c>
      <c r="AA17" s="3">
        <v>4</v>
      </c>
      <c r="AB17" s="3">
        <v>1</v>
      </c>
      <c r="AC17" s="3" t="s">
        <v>546</v>
      </c>
      <c r="AD17" s="4">
        <v>46079</v>
      </c>
      <c r="AE17" s="3">
        <v>6</v>
      </c>
      <c r="AF17" s="3">
        <v>5</v>
      </c>
      <c r="AG17" s="4">
        <v>46078</v>
      </c>
      <c r="AH17" s="4">
        <v>46079</v>
      </c>
      <c r="AI17" s="3">
        <v>1</v>
      </c>
      <c r="AJ17" s="3" t="s">
        <v>544</v>
      </c>
      <c r="AK17" s="4">
        <v>46079</v>
      </c>
      <c r="AL17" s="5">
        <f>IFERROR(IF(Q17=AK17,0,NETWORKDAYS(Q17,AK17,{"01/01/2026";"02/02/2026";"16/03/2026";"02/04/2026";"03/04/2026";"01/05/2026"})),"aun no se factura")</f>
        <v>6</v>
      </c>
      <c r="AM17" s="4" t="str">
        <f>IFERROR(IF(OR(Q17="",AK17=""),"SIN DATO",IF(NETWORKDAYS(Q17,AK17,{"01/01/2026";"02/02/2026";"16/03/2026";"02/04/2026";"03/04/2026";"01/05/2026"})&lt;=1,"1 día o menos",IF(NETWORKDAYS(Q17,AK17,{"01/01/2026";"02/02/2026";"16/03/2026";"02/04/2026";"03/04/2026";"01/05/2026"})&lt;=3,"2 a 3 días",IF(NETWORKDAYS(Q17,AK17,{"01/01/2026";"02/02/2026";"16/03/2026";"02/04/2026";"03/04/2026";"01/05/2026"})&lt;=5,"4 a 5 días",IF(NETWORKDAYS(Q17,AK17,{"01/01/2026";"02/02/2026";"16/03/2026";"02/04/2026";"03/04/2026";"01/05/2026"})&lt;=10,"6 a 10 días",IF(NETWORKDAYS(Q17,AK17,{"01/01/2026";"02/02/2026";"16/03/2026";"02/04/2026";"03/04/2026";"01/05/2026"})&lt;=16,"11 a 15 días","más de 16 días")))))),"aun no se factura")</f>
        <v>6 a 10 días</v>
      </c>
      <c r="AN17" s="4" t="str" cm="1">
        <f t="array" ref="AN17">IFERROR(
  IF(
    NETWORKDAYS(Q17,AK17,{"01/01/2026";"02/02/2026";"16/03/2026";"02/04/2026";"03/04/2026";"01/05/2026"}) &lt;=
    _xlfn.IFS(
      OR(TRIM(A17)="AICM", TRIM(A17)="AÉREO AICM"), 5,
      OR(TRIM(A17)="VERACRUZ", TRIM(A17)="MARÍTIMO VERACRUZ"), 6,
      OR(TRIM(A17)="AIFA", TRIM(A17)="AÉREO AIFA"), 7,
      AND(TRIM(A17)="CORRESPONSALIAS", TRIM(B17)="NUEVO LAREDO"), 6,
      TRIM(A17)="MANZANILLO", 10,
      TRIM(A17)="TOLUCA", 6,
      TRUE, 999
    ),
    "On Time",
    "Delayed"
  ),
  "Faltan fechas"
)</f>
        <v>On Time</v>
      </c>
      <c r="AO17" s="5">
        <v>1</v>
      </c>
      <c r="AP17" s="3" t="s">
        <v>548</v>
      </c>
      <c r="AQ17" s="3" t="s">
        <v>93</v>
      </c>
      <c r="AR17" s="3" t="s">
        <v>112</v>
      </c>
      <c r="AS17" s="3" t="s">
        <v>212</v>
      </c>
      <c r="AT17" s="3" t="s">
        <v>223</v>
      </c>
      <c r="AU17" s="5">
        <v>6000222</v>
      </c>
      <c r="AV17" s="3" t="s">
        <v>92</v>
      </c>
      <c r="AW17" s="3" t="s">
        <v>211</v>
      </c>
      <c r="AX17" s="3" t="s">
        <v>549</v>
      </c>
      <c r="AY17" s="3"/>
      <c r="AZ17" s="3" t="s">
        <v>550</v>
      </c>
      <c r="BA17" s="3" t="s">
        <v>90</v>
      </c>
      <c r="BB17" s="3"/>
      <c r="BC17" s="3" t="s">
        <v>117</v>
      </c>
      <c r="BD17" s="3"/>
      <c r="BE17" s="3" t="s">
        <v>117</v>
      </c>
      <c r="BF17" s="3" t="s">
        <v>576</v>
      </c>
      <c r="BG17" s="3" t="s">
        <v>552</v>
      </c>
      <c r="BH17" s="3" t="s">
        <v>580</v>
      </c>
      <c r="BI17" s="3"/>
      <c r="BJ17" s="3" t="s">
        <v>589</v>
      </c>
      <c r="BK17" s="3" t="s">
        <v>554</v>
      </c>
      <c r="BL17" s="3">
        <v>0</v>
      </c>
      <c r="BM17" s="3">
        <v>99</v>
      </c>
      <c r="BN17" s="3" t="s">
        <v>628</v>
      </c>
      <c r="BO17" s="3">
        <v>90</v>
      </c>
      <c r="BP17" s="3" t="s">
        <v>629</v>
      </c>
      <c r="BQ17" s="3" t="s">
        <v>600</v>
      </c>
      <c r="BR17" s="3"/>
      <c r="BS17" s="3" t="s">
        <v>558</v>
      </c>
      <c r="BT17" s="3" t="s">
        <v>558</v>
      </c>
      <c r="BU17" s="3" t="s">
        <v>105</v>
      </c>
      <c r="BV17" s="3" t="s">
        <v>105</v>
      </c>
      <c r="BW17" s="3"/>
      <c r="BX17" s="3"/>
      <c r="BY17" s="3"/>
      <c r="BZ17" s="3"/>
      <c r="CA17" s="3"/>
    </row>
    <row r="18" spans="1:79" x14ac:dyDescent="0.25">
      <c r="A18" s="3" t="s">
        <v>577</v>
      </c>
      <c r="B18" s="3" t="s">
        <v>578</v>
      </c>
      <c r="C18" s="3" t="s">
        <v>250</v>
      </c>
      <c r="D18" s="3">
        <v>430</v>
      </c>
      <c r="E18" s="4">
        <v>46080</v>
      </c>
      <c r="F18" s="3">
        <v>2</v>
      </c>
      <c r="G18" s="22">
        <v>46077</v>
      </c>
      <c r="H18" s="4">
        <v>46080</v>
      </c>
      <c r="I18" s="3">
        <v>3</v>
      </c>
      <c r="J18" s="3" t="s">
        <v>579</v>
      </c>
      <c r="K18" s="22">
        <v>46083</v>
      </c>
      <c r="L18" s="3">
        <v>4</v>
      </c>
      <c r="M18" s="3">
        <f>IFERROR(IF(G18=K18,0,NETWORKDAYS(G18,K18,{"01/01/2026";"02/02/2026";"16/03/2026";"02/04/2026";"03/04/2026";"01/05/2026"})),"Faltan Fechas")</f>
        <v>5</v>
      </c>
      <c r="N18" s="23" t="str">
        <f>IFERROR(IF(OR(G18="",K18=""),"SIN DATO",IF(NETWORKDAYS(G18,K18,{"01/01/2026";"02/02/2026";"16/03/2026";"02/04/2026";"03/04/2026";"01/05/2026"})&lt;=1,"1 día o menos",IF(NETWORKDAYS(G18,K18,{"01/01/2026";"02/02/2026";"16/03/2026";"02/04/2026";"03/04/2026";"01/05/2026"})&lt;=3,"2 a 3 días",IF(NETWORKDAYS(G18,K18,{"01/01/2026";"02/02/2026";"16/03/2026";"02/04/2026";"03/04/2026";"01/05/2026"})&lt;=5,"4 a 5 días",IF(NETWORKDAYS(G18,K18,{"01/01/2026";"02/02/2026";"16/03/2026";"02/04/2026";"03/04/2026";"01/05/2026"})&lt;=10,"6 a 10 días",IF(NETWORKDAYS(G18,K18,{"01/01/2026";"02/02/2026";"16/03/2026";"02/04/2026";"03/04/2026";"01/05/2026"})&lt;=16,"11 a 15 días","más de 16 días")))))),"Aun no se entrega")</f>
        <v>4 a 5 días</v>
      </c>
      <c r="O18" s="3" t="str" cm="1">
        <f t="array" ref="O18">IFERROR(
  IF(
    NETWORKDAYS(G18,K18,{"01/01/2026";"02/02/2026";"16/03/2026";"02/04/2026";"03/04/2026";"01/05/2026"}) &lt;=
    _xlfn.IFS(
      OR(TRIM(A18)="AICM", TRIM(A18)="AÉREO AICM"), 5,
      OR(TRIM(A18)="VERACRUZ", TRIM(A18)="MARÍTIMO VERACRUZ"), 6,
      OR(TRIM(A18)="AIFA", TRIM(A18)="AÉREO AIFA"), 7,
      AND(TRIM(A18)="CORRESPONSALIAS", TRIM(B18)="NUEVO LAREDO"), 6,
      TRIM(A18)="MANZANILLO", 10,
      TRIM(A18)="TOLUCA", 6,
      TRUE, 999
    ),
    "On Time",
    "Delayed"
  ),
  "Faltan fechas"
)</f>
        <v>On Time</v>
      </c>
      <c r="P18" s="24" t="s">
        <v>544</v>
      </c>
      <c r="Q18" s="4">
        <v>46084</v>
      </c>
      <c r="R18" s="5">
        <f>IFERROR(IF(G18=Q18,0,NETWORKDAYS(G18,Q18,{"01/01/2026";"02/02/2026";"16/03/2026";"02/04/2026";"03/04/2026";"01/05/2026"})),"Faltan Fechas")</f>
        <v>6</v>
      </c>
      <c r="S18" s="4" t="str">
        <f>IFERROR(IF(OR(G18="",Q18=""),"SIN DATO",IF(NETWORKDAYS(G18,Q18,{"01/01/2026";"02/02/2026";"16/03/2026";"02/04/2026";"03/04/2026";"01/05/2026"})&lt;=1,"1 día o menos",IF(NETWORKDAYS(G18,Q18,{"01/01/2026";"02/02/2026";"16/03/2026";"02/04/2026";"03/04/2026";"01/05/2026"})&lt;=3,"2 a 3 días",IF(NETWORKDAYS(G18,Q18,{"01/01/2026";"02/02/2026";"16/03/2026";"02/04/2026";"03/04/2026";"01/05/2026"})&lt;=5,"4 a 5 días",IF(NETWORKDAYS(G18,Q18,{"01/01/2026";"02/02/2026";"16/03/2026";"02/04/2026";"03/04/2026";"01/05/2026"})&lt;=10,"6 a 10 días",IF(NETWORKDAYS(G18,Q18,{"01/01/2026";"02/02/2026";"16/03/2026";"02/04/2026";"03/04/2026";"01/05/2026"})&lt;=16,"11 a 15 días","más de 16 días")))))),"Aun no se entrega")</f>
        <v>6 a 10 días</v>
      </c>
      <c r="T18" s="4" t="str" cm="1">
        <f t="array" ref="T18">IFERROR(
  IF(
    NETWORKDAYS(G18,Q18,{"01/01/2026";"02/02/2026";"16/03/2026";"02/04/2026";"03/04/2026";"01/05/2026"}) &lt;=
    _xlfn.IFS(
      OR(TRIM(A18)="AICM", TRIM(A18)="AÉREO AICM"), 5,
      OR(TRIM(A18)="VERACRUZ", TRIM(A18)="MARÍTIMO VERACRUZ"), 6,
      OR(TRIM(A18)="AIFA", TRIM(A18)="AÉREO AIFA"), 7,
      AND(TRIM(A18)="CORRESPONSALIAS", TRIM(B18)="NUEVO LAREDO"), 6,
      TRIM(A18)="MANZANILLO", 10,
      TRIM(A18)="TOLUCA", 6,
      TRUE, 999
    ),
    "On Time",
    "Delayed"
  ),
  "Faltan fechas"
)</f>
        <v>On Time</v>
      </c>
      <c r="U18" s="3">
        <v>7</v>
      </c>
      <c r="V18" s="3" t="s">
        <v>543</v>
      </c>
      <c r="W18" s="3">
        <v>18</v>
      </c>
      <c r="X18" s="3" t="s">
        <v>547</v>
      </c>
      <c r="Y18" s="3">
        <v>1</v>
      </c>
      <c r="Z18" s="3" t="s">
        <v>546</v>
      </c>
      <c r="AA18" s="3">
        <v>3</v>
      </c>
      <c r="AB18" s="3">
        <v>1</v>
      </c>
      <c r="AC18" s="3" t="s">
        <v>546</v>
      </c>
      <c r="AD18" s="4">
        <v>46101</v>
      </c>
      <c r="AE18" s="3">
        <v>16</v>
      </c>
      <c r="AF18" s="3">
        <v>13</v>
      </c>
      <c r="AG18" s="4">
        <v>46100</v>
      </c>
      <c r="AH18" s="4">
        <v>46101</v>
      </c>
      <c r="AI18" s="3">
        <v>1</v>
      </c>
      <c r="AJ18" s="3" t="s">
        <v>547</v>
      </c>
      <c r="AK18" s="4">
        <v>46101</v>
      </c>
      <c r="AL18" s="5">
        <f>IFERROR(IF(Q18=AK18,0,NETWORKDAYS(Q18,AK18,{"01/01/2026";"02/02/2026";"16/03/2026";"02/04/2026";"03/04/2026";"01/05/2026"})),"aun no se factura")</f>
        <v>13</v>
      </c>
      <c r="AM18" s="4" t="str">
        <f>IFERROR(IF(OR(Q18="",AK18=""),"SIN DATO",IF(NETWORKDAYS(Q18,AK18,{"01/01/2026";"02/02/2026";"16/03/2026";"02/04/2026";"03/04/2026";"01/05/2026"})&lt;=1,"1 día o menos",IF(NETWORKDAYS(Q18,AK18,{"01/01/2026";"02/02/2026";"16/03/2026";"02/04/2026";"03/04/2026";"01/05/2026"})&lt;=3,"2 a 3 días",IF(NETWORKDAYS(Q18,AK18,{"01/01/2026";"02/02/2026";"16/03/2026";"02/04/2026";"03/04/2026";"01/05/2026"})&lt;=5,"4 a 5 días",IF(NETWORKDAYS(Q18,AK18,{"01/01/2026";"02/02/2026";"16/03/2026";"02/04/2026";"03/04/2026";"01/05/2026"})&lt;=10,"6 a 10 días",IF(NETWORKDAYS(Q18,AK18,{"01/01/2026";"02/02/2026";"16/03/2026";"02/04/2026";"03/04/2026";"01/05/2026"})&lt;=16,"11 a 15 días","más de 16 días")))))),"aun no se factura")</f>
        <v>11 a 15 días</v>
      </c>
      <c r="AN18" s="4" t="str" cm="1">
        <f t="array" ref="AN18">IFERROR(
  IF(
    NETWORKDAYS(Q18,AK18,{"01/01/2026";"02/02/2026";"16/03/2026";"02/04/2026";"03/04/2026";"01/05/2026"}) &lt;=
    _xlfn.IFS(
      OR(TRIM(A18)="AICM", TRIM(A18)="AÉREO AICM"), 5,
      OR(TRIM(A18)="VERACRUZ", TRIM(A18)="MARÍTIMO VERACRUZ"), 6,
      OR(TRIM(A18)="AIFA", TRIM(A18)="AÉREO AIFA"), 7,
      AND(TRIM(A18)="CORRESPONSALIAS", TRIM(B18)="NUEVO LAREDO"), 6,
      TRIM(A18)="MANZANILLO", 10,
      TRIM(A18)="TOLUCA", 6,
      TRUE, 999
    ),
    "On Time",
    "Delayed"
  ),
  "Faltan fechas"
)</f>
        <v>Delayed</v>
      </c>
      <c r="AO18" s="5">
        <v>1</v>
      </c>
      <c r="AP18" s="3" t="s">
        <v>548</v>
      </c>
      <c r="AQ18" s="3" t="s">
        <v>93</v>
      </c>
      <c r="AR18" s="3" t="s">
        <v>112</v>
      </c>
      <c r="AS18" s="3" t="s">
        <v>254</v>
      </c>
      <c r="AT18" s="3" t="s">
        <v>223</v>
      </c>
      <c r="AU18" s="5">
        <v>6000276</v>
      </c>
      <c r="AV18" s="3" t="s">
        <v>92</v>
      </c>
      <c r="AW18" s="3" t="s">
        <v>179</v>
      </c>
      <c r="AX18" s="3" t="s">
        <v>549</v>
      </c>
      <c r="AY18" s="3"/>
      <c r="AZ18" s="3" t="s">
        <v>550</v>
      </c>
      <c r="BA18" s="3" t="s">
        <v>90</v>
      </c>
      <c r="BB18" s="3"/>
      <c r="BC18" s="3" t="s">
        <v>117</v>
      </c>
      <c r="BD18" s="3"/>
      <c r="BE18" s="3" t="s">
        <v>117</v>
      </c>
      <c r="BF18" s="3" t="s">
        <v>576</v>
      </c>
      <c r="BG18" s="3" t="s">
        <v>552</v>
      </c>
      <c r="BH18" s="3" t="s">
        <v>607</v>
      </c>
      <c r="BI18" s="3" t="s">
        <v>647</v>
      </c>
      <c r="BJ18" s="3"/>
      <c r="BK18" s="3" t="s">
        <v>554</v>
      </c>
      <c r="BL18" s="3">
        <v>0</v>
      </c>
      <c r="BM18" s="3">
        <v>99</v>
      </c>
      <c r="BN18" s="3" t="s">
        <v>648</v>
      </c>
      <c r="BO18" s="3">
        <v>90</v>
      </c>
      <c r="BP18" s="3">
        <v>17387126.420000002</v>
      </c>
      <c r="BQ18" s="3" t="s">
        <v>611</v>
      </c>
      <c r="BR18" s="3"/>
      <c r="BS18" s="3" t="s">
        <v>613</v>
      </c>
      <c r="BT18" s="3" t="s">
        <v>558</v>
      </c>
      <c r="BU18" s="3" t="s">
        <v>133</v>
      </c>
      <c r="BV18" s="3" t="s">
        <v>105</v>
      </c>
      <c r="BW18" s="3"/>
      <c r="BX18" s="3"/>
      <c r="BY18" s="3"/>
      <c r="BZ18" s="3"/>
      <c r="CA18" s="3"/>
    </row>
    <row r="19" spans="1:79" x14ac:dyDescent="0.25">
      <c r="A19" s="3" t="s">
        <v>541</v>
      </c>
      <c r="B19" s="3" t="s">
        <v>542</v>
      </c>
      <c r="C19" s="3" t="s">
        <v>276</v>
      </c>
      <c r="D19" s="3">
        <v>470</v>
      </c>
      <c r="E19" s="4">
        <v>46086</v>
      </c>
      <c r="F19" s="3">
        <v>3</v>
      </c>
      <c r="G19" s="22">
        <v>46080</v>
      </c>
      <c r="H19" s="4">
        <v>46086</v>
      </c>
      <c r="I19" s="3">
        <v>4</v>
      </c>
      <c r="J19" s="3" t="s">
        <v>543</v>
      </c>
      <c r="K19" s="22">
        <v>46087</v>
      </c>
      <c r="L19" s="3">
        <v>5</v>
      </c>
      <c r="M19" s="3">
        <f>IFERROR(IF(G19=K19,0,NETWORKDAYS(G19,K19,{"01/01/2026";"02/02/2026";"16/03/2026";"02/04/2026";"03/04/2026";"01/05/2026"})),"Faltan Fechas")</f>
        <v>6</v>
      </c>
      <c r="N19" s="23" t="str">
        <f>IFERROR(IF(OR(G19="",K19=""),"SIN DATO",IF(NETWORKDAYS(G19,K19,{"01/01/2026";"02/02/2026";"16/03/2026";"02/04/2026";"03/04/2026";"01/05/2026"})&lt;=1,"1 día o menos",IF(NETWORKDAYS(G19,K19,{"01/01/2026";"02/02/2026";"16/03/2026";"02/04/2026";"03/04/2026";"01/05/2026"})&lt;=3,"2 a 3 días",IF(NETWORKDAYS(G19,K19,{"01/01/2026";"02/02/2026";"16/03/2026";"02/04/2026";"03/04/2026";"01/05/2026"})&lt;=5,"4 a 5 días",IF(NETWORKDAYS(G19,K19,{"01/01/2026";"02/02/2026";"16/03/2026";"02/04/2026";"03/04/2026";"01/05/2026"})&lt;=10,"6 a 10 días",IF(NETWORKDAYS(G19,K19,{"01/01/2026";"02/02/2026";"16/03/2026";"02/04/2026";"03/04/2026";"01/05/2026"})&lt;=16,"11 a 15 días","más de 16 días")))))),"Aun no se entrega")</f>
        <v>6 a 10 días</v>
      </c>
      <c r="O19" s="3" t="str" cm="1">
        <f t="array" ref="O19">IFERROR(
  IF(
    NETWORKDAYS(G19,K19,{"01/01/2026";"02/02/2026";"16/03/2026";"02/04/2026";"03/04/2026";"01/05/2026"}) &lt;=
    _xlfn.IFS(
      OR(TRIM(A19)="AICM", TRIM(A19)="AÉREO AICM"), 5,
      OR(TRIM(A19)="VERACRUZ", TRIM(A19)="MARÍTIMO VERACRUZ"), 6,
      OR(TRIM(A19)="AIFA", TRIM(A19)="AÉREO AIFA"), 7,
      AND(TRIM(A19)="CORRESPONSALIAS", TRIM(B19)="NUEVO LAREDO"), 6,
      TRIM(A19)="MANZANILLO", 10,
      TRIM(A19)="TOLUCA", 6,
      TRUE, 999
    ),
    "On Time",
    "Delayed"
  ),
  "Faltan fechas"
)</f>
        <v>On Time</v>
      </c>
      <c r="P19" s="24" t="s">
        <v>544</v>
      </c>
      <c r="Q19" s="4">
        <v>46087</v>
      </c>
      <c r="R19" s="5">
        <f>IFERROR(IF(G19=Q19,0,NETWORKDAYS(G19,Q19,{"01/01/2026";"02/02/2026";"16/03/2026";"02/04/2026";"03/04/2026";"01/05/2026"})),"Faltan Fechas")</f>
        <v>6</v>
      </c>
      <c r="S19" s="4" t="str">
        <f>IFERROR(IF(OR(G19="",Q19=""),"SIN DATO",IF(NETWORKDAYS(G19,Q19,{"01/01/2026";"02/02/2026";"16/03/2026";"02/04/2026";"03/04/2026";"01/05/2026"})&lt;=1,"1 día o menos",IF(NETWORKDAYS(G19,Q19,{"01/01/2026";"02/02/2026";"16/03/2026";"02/04/2026";"03/04/2026";"01/05/2026"})&lt;=3,"2 a 3 días",IF(NETWORKDAYS(G19,Q19,{"01/01/2026";"02/02/2026";"16/03/2026";"02/04/2026";"03/04/2026";"01/05/2026"})&lt;=5,"4 a 5 días",IF(NETWORKDAYS(G19,Q19,{"01/01/2026";"02/02/2026";"16/03/2026";"02/04/2026";"03/04/2026";"01/05/2026"})&lt;=10,"6 a 10 días",IF(NETWORKDAYS(G19,Q19,{"01/01/2026";"02/02/2026";"16/03/2026";"02/04/2026";"03/04/2026";"01/05/2026"})&lt;=16,"11 a 15 días","más de 16 días")))))),"Aun no se entrega")</f>
        <v>6 a 10 días</v>
      </c>
      <c r="T19" s="4" t="str" cm="1">
        <f t="array" ref="T19">IFERROR(
  IF(
    NETWORKDAYS(G19,Q19,{"01/01/2026";"02/02/2026";"16/03/2026";"02/04/2026";"03/04/2026";"01/05/2026"}) &lt;=
    _xlfn.IFS(
      OR(TRIM(A19)="AICM", TRIM(A19)="AÉREO AICM"), 5,
      OR(TRIM(A19)="VERACRUZ", TRIM(A19)="MARÍTIMO VERACRUZ"), 6,
      OR(TRIM(A19)="AIFA", TRIM(A19)="AÉREO AIFA"), 7,
      AND(TRIM(A19)="CORRESPONSALIAS", TRIM(B19)="NUEVO LAREDO"), 6,
      TRIM(A19)="MANZANILLO", 10,
      TRIM(A19)="TOLUCA", 6,
      TRUE, 999
    ),
    "On Time",
    "Delayed"
  ),
  "Faltan fechas"
)</f>
        <v>On Time</v>
      </c>
      <c r="U19" s="3">
        <v>7</v>
      </c>
      <c r="V19" s="3" t="s">
        <v>543</v>
      </c>
      <c r="W19" s="3" t="s">
        <v>223</v>
      </c>
      <c r="X19" s="3" t="s">
        <v>545</v>
      </c>
      <c r="Y19" s="3">
        <v>1</v>
      </c>
      <c r="Z19" s="3" t="s">
        <v>546</v>
      </c>
      <c r="AA19" s="3">
        <v>6</v>
      </c>
      <c r="AB19" s="3">
        <v>0</v>
      </c>
      <c r="AC19" s="3" t="s">
        <v>546</v>
      </c>
      <c r="AD19" s="4">
        <v>46113</v>
      </c>
      <c r="AE19" s="3">
        <v>5</v>
      </c>
      <c r="AF19" s="3">
        <v>18</v>
      </c>
      <c r="AG19" s="4">
        <v>46092</v>
      </c>
      <c r="AH19" s="4">
        <v>46093</v>
      </c>
      <c r="AI19" s="3" t="s">
        <v>223</v>
      </c>
      <c r="AJ19" s="3" t="s">
        <v>547</v>
      </c>
      <c r="AK19" s="4">
        <v>46113</v>
      </c>
      <c r="AL19" s="5">
        <f>IFERROR(IF(Q19=AK19,0,NETWORKDAYS(Q19,AK19,{"01/01/2026";"02/02/2026";"16/03/2026";"02/04/2026";"03/04/2026";"01/05/2026"})),"aun no se factura")</f>
        <v>18</v>
      </c>
      <c r="AM19" s="4" t="str">
        <f>IFERROR(IF(OR(Q19="",AK19=""),"SIN DATO",IF(NETWORKDAYS(Q19,AK19,{"01/01/2026";"02/02/2026";"16/03/2026";"02/04/2026";"03/04/2026";"01/05/2026"})&lt;=1,"1 día o menos",IF(NETWORKDAYS(Q19,AK19,{"01/01/2026";"02/02/2026";"16/03/2026";"02/04/2026";"03/04/2026";"01/05/2026"})&lt;=3,"2 a 3 días",IF(NETWORKDAYS(Q19,AK19,{"01/01/2026";"02/02/2026";"16/03/2026";"02/04/2026";"03/04/2026";"01/05/2026"})&lt;=5,"4 a 5 días",IF(NETWORKDAYS(Q19,AK19,{"01/01/2026";"02/02/2026";"16/03/2026";"02/04/2026";"03/04/2026";"01/05/2026"})&lt;=10,"6 a 10 días",IF(NETWORKDAYS(Q19,AK19,{"01/01/2026";"02/02/2026";"16/03/2026";"02/04/2026";"03/04/2026";"01/05/2026"})&lt;=16,"11 a 15 días","más de 16 días")))))),"aun no se factura")</f>
        <v>más de 16 días</v>
      </c>
      <c r="AN19" s="4" t="str" cm="1">
        <f t="array" ref="AN19">IFERROR(
  IF(
    NETWORKDAYS(Q19,AK19,{"01/01/2026";"02/02/2026";"16/03/2026";"02/04/2026";"03/04/2026";"01/05/2026"}) &lt;=
    _xlfn.IFS(
      OR(TRIM(A19)="AICM", TRIM(A19)="AÉREO AICM"), 5,
      OR(TRIM(A19)="VERACRUZ", TRIM(A19)="MARÍTIMO VERACRUZ"), 6,
      OR(TRIM(A19)="AIFA", TRIM(A19)="AÉREO AIFA"), 7,
      AND(TRIM(A19)="CORRESPONSALIAS", TRIM(B19)="NUEVO LAREDO"), 6,
      TRIM(A19)="MANZANILLO", 10,
      TRIM(A19)="TOLUCA", 6,
      TRUE, 999
    ),
    "On Time",
    "Delayed"
  ),
  "Faltan fechas"
)</f>
        <v>On Time</v>
      </c>
      <c r="AO19" s="5">
        <v>1</v>
      </c>
      <c r="AP19" s="3" t="s">
        <v>548</v>
      </c>
      <c r="AQ19" s="3" t="s">
        <v>93</v>
      </c>
      <c r="AR19" s="3" t="s">
        <v>285</v>
      </c>
      <c r="AS19" s="3" t="s">
        <v>281</v>
      </c>
      <c r="AT19" s="3" t="s">
        <v>223</v>
      </c>
      <c r="AU19" s="5">
        <v>6001223</v>
      </c>
      <c r="AV19" s="3" t="s">
        <v>92</v>
      </c>
      <c r="AW19" s="3" t="s">
        <v>278</v>
      </c>
      <c r="AX19" s="3" t="s">
        <v>549</v>
      </c>
      <c r="AY19" s="3"/>
      <c r="AZ19" s="3" t="s">
        <v>550</v>
      </c>
      <c r="BA19" s="3" t="s">
        <v>90</v>
      </c>
      <c r="BB19" s="3"/>
      <c r="BC19" s="3"/>
      <c r="BD19" s="3"/>
      <c r="BE19" s="3"/>
      <c r="BF19" s="3" t="s">
        <v>551</v>
      </c>
      <c r="BG19" s="3" t="s">
        <v>552</v>
      </c>
      <c r="BH19" s="3" t="s">
        <v>223</v>
      </c>
      <c r="BI19" s="3"/>
      <c r="BJ19" s="3" t="s">
        <v>553</v>
      </c>
      <c r="BK19" s="3" t="s">
        <v>554</v>
      </c>
      <c r="BL19" s="3">
        <v>0</v>
      </c>
      <c r="BM19" s="3">
        <v>0</v>
      </c>
      <c r="BN19" s="3" t="s">
        <v>555</v>
      </c>
      <c r="BO19" s="3">
        <v>90</v>
      </c>
      <c r="BP19" s="3">
        <v>586894.97</v>
      </c>
      <c r="BQ19" s="3" t="s">
        <v>556</v>
      </c>
      <c r="BR19" s="3"/>
      <c r="BS19" s="3" t="s">
        <v>557</v>
      </c>
      <c r="BT19" s="3" t="s">
        <v>558</v>
      </c>
      <c r="BU19" s="3" t="s">
        <v>197</v>
      </c>
      <c r="BV19" s="3" t="s">
        <v>105</v>
      </c>
      <c r="BW19" s="3"/>
      <c r="BX19" s="3"/>
      <c r="BY19" s="3"/>
      <c r="BZ19" s="3"/>
      <c r="CA19" s="3"/>
    </row>
    <row r="20" spans="1:79" x14ac:dyDescent="0.25">
      <c r="A20" s="3" t="s">
        <v>565</v>
      </c>
      <c r="B20" s="3" t="s">
        <v>566</v>
      </c>
      <c r="C20" s="3" t="s">
        <v>574</v>
      </c>
      <c r="D20" s="3">
        <v>240</v>
      </c>
      <c r="E20" s="4">
        <v>46093</v>
      </c>
      <c r="F20" s="3">
        <v>3</v>
      </c>
      <c r="G20" s="22">
        <v>46093</v>
      </c>
      <c r="H20" s="4">
        <v>46093</v>
      </c>
      <c r="I20" s="3">
        <v>0</v>
      </c>
      <c r="J20" s="3" t="s">
        <v>546</v>
      </c>
      <c r="K20" s="25">
        <v>46093</v>
      </c>
      <c r="L20" s="3">
        <v>0</v>
      </c>
      <c r="M20" s="3">
        <f>IFERROR(IF(G20=K20,0,NETWORKDAYS(G20,K20,{"01/01/2026";"02/02/2026";"16/03/2026";"02/04/2026";"03/04/2026";"01/05/2026"})),"Faltan Fechas")</f>
        <v>0</v>
      </c>
      <c r="N20" s="23" t="str">
        <f>IFERROR(IF(OR(G20="",K20=""),"SIN DATO",IF(NETWORKDAYS(G20,K20,{"01/01/2026";"02/02/2026";"16/03/2026";"02/04/2026";"03/04/2026";"01/05/2026"})&lt;=1,"1 día o menos",IF(NETWORKDAYS(G20,K20,{"01/01/2026";"02/02/2026";"16/03/2026";"02/04/2026";"03/04/2026";"01/05/2026"})&lt;=3,"2 a 3 días",IF(NETWORKDAYS(G20,K20,{"01/01/2026";"02/02/2026";"16/03/2026";"02/04/2026";"03/04/2026";"01/05/2026"})&lt;=5,"4 a 5 días",IF(NETWORKDAYS(G20,K20,{"01/01/2026";"02/02/2026";"16/03/2026";"02/04/2026";"03/04/2026";"01/05/2026"})&lt;=10,"6 a 10 días",IF(NETWORKDAYS(G20,K20,{"01/01/2026";"02/02/2026";"16/03/2026";"02/04/2026";"03/04/2026";"01/05/2026"})&lt;=16,"11 a 15 días","más de 16 días")))))),"Aun no se entrega")</f>
        <v>1 día o menos</v>
      </c>
      <c r="O20" s="3" t="str" cm="1">
        <f t="array" ref="O20">IFERROR(
  IF(
    NETWORKDAYS(G20,K20,{"01/01/2026";"02/02/2026";"16/03/2026";"02/04/2026";"03/04/2026";"01/05/2026"}) &lt;=
    _xlfn.IFS(
      OR(TRIM(A20)="AICM", TRIM(A20)="AÉREO AICM"), 5,
      OR(TRIM(A20)="VERACRUZ", TRIM(A20)="MARÍTIMO VERACRUZ"), 6,
      OR(TRIM(A20)="AIFA", TRIM(A20)="AÉREO AIFA"), 7,
      AND(TRIM(A20)="CORRESPONSALIAS", TRIM(B20)="NUEVO LAREDO"), 6,
      TRIM(A20)="MANZANILLO", 10,
      TRIM(A20)="TOLUCA", 6,
      TRUE, 999
    ),
    "On Time",
    "Delayed"
  ),
  "Faltan fechas"
)</f>
        <v>On Time</v>
      </c>
      <c r="P20" s="24" t="s">
        <v>546</v>
      </c>
      <c r="Q20" s="4">
        <v>46095</v>
      </c>
      <c r="R20" s="5">
        <f>IFERROR(IF(G20=Q20,0,NETWORKDAYS(G20,Q20,{"01/01/2026";"02/02/2026";"16/03/2026";"02/04/2026";"03/04/2026";"01/05/2026"})),"Faltan Fechas")</f>
        <v>2</v>
      </c>
      <c r="S20" s="4" t="str">
        <f>IFERROR(IF(OR(G20="",Q20=""),"SIN DATO",IF(NETWORKDAYS(G20,Q20,{"01/01/2026";"02/02/2026";"16/03/2026";"02/04/2026";"03/04/2026";"01/05/2026"})&lt;=1,"1 día o menos",IF(NETWORKDAYS(G20,Q20,{"01/01/2026";"02/02/2026";"16/03/2026";"02/04/2026";"03/04/2026";"01/05/2026"})&lt;=3,"2 a 3 días",IF(NETWORKDAYS(G20,Q20,{"01/01/2026";"02/02/2026";"16/03/2026";"02/04/2026";"03/04/2026";"01/05/2026"})&lt;=5,"4 a 5 días",IF(NETWORKDAYS(G20,Q20,{"01/01/2026";"02/02/2026";"16/03/2026";"02/04/2026";"03/04/2026";"01/05/2026"})&lt;=10,"6 a 10 días",IF(NETWORKDAYS(G20,Q20,{"01/01/2026";"02/02/2026";"16/03/2026";"02/04/2026";"03/04/2026";"01/05/2026"})&lt;=16,"11 a 15 días","más de 16 días")))))),"Aun no se entrega")</f>
        <v>2 a 3 días</v>
      </c>
      <c r="T20" s="4" t="str" cm="1">
        <f t="array" ref="T20">IFERROR(
  IF(
    NETWORKDAYS(G20,Q20,{"01/01/2026";"02/02/2026";"16/03/2026";"02/04/2026";"03/04/2026";"01/05/2026"}) &lt;=
    _xlfn.IFS(
      OR(TRIM(A20)="AICM", TRIM(A20)="AÉREO AICM"), 5,
      OR(TRIM(A20)="VERACRUZ", TRIM(A20)="MARÍTIMO VERACRUZ"), 6,
      OR(TRIM(A20)="AIFA", TRIM(A20)="AÉREO AIFA"), 7,
      AND(TRIM(A20)="CORRESPONSALIAS", TRIM(B20)="NUEVO LAREDO"), 6,
      TRIM(A20)="MANZANILLO", 10,
      TRIM(A20)="TOLUCA", 6,
      TRUE, 999
    ),
    "On Time",
    "Delayed"
  ),
  "Faltan fechas"
)</f>
        <v>On Time</v>
      </c>
      <c r="U20" s="3">
        <v>0</v>
      </c>
      <c r="V20" s="3" t="s">
        <v>569</v>
      </c>
      <c r="W20" s="3">
        <v>12</v>
      </c>
      <c r="X20" s="3" t="s">
        <v>559</v>
      </c>
      <c r="Y20" s="3">
        <v>0</v>
      </c>
      <c r="Z20" s="3" t="s">
        <v>569</v>
      </c>
      <c r="AA20" s="3">
        <v>0</v>
      </c>
      <c r="AB20" s="3">
        <v>-46105</v>
      </c>
      <c r="AC20" s="3" t="s">
        <v>545</v>
      </c>
      <c r="AD20" s="4">
        <v>46111</v>
      </c>
      <c r="AE20" s="3">
        <v>0</v>
      </c>
      <c r="AF20" s="3">
        <v>0</v>
      </c>
      <c r="AG20" s="3"/>
      <c r="AH20" s="4">
        <v>46111</v>
      </c>
      <c r="AI20" s="3">
        <v>46109</v>
      </c>
      <c r="AJ20" s="3" t="s">
        <v>545</v>
      </c>
      <c r="AK20" s="4">
        <v>46111</v>
      </c>
      <c r="AL20" s="5">
        <f>IFERROR(IF(Q20=AK20,0,NETWORKDAYS(Q20,AK20,{"01/01/2026";"02/02/2026";"16/03/2026";"02/04/2026";"03/04/2026";"01/05/2026"})),"aun no se factura")</f>
        <v>10</v>
      </c>
      <c r="AM20" s="4" t="str">
        <f>IFERROR(IF(OR(Q20="",AK20=""),"SIN DATO",IF(NETWORKDAYS(Q20,AK20,{"01/01/2026";"02/02/2026";"16/03/2026";"02/04/2026";"03/04/2026";"01/05/2026"})&lt;=1,"1 día o menos",IF(NETWORKDAYS(Q20,AK20,{"01/01/2026";"02/02/2026";"16/03/2026";"02/04/2026";"03/04/2026";"01/05/2026"})&lt;=3,"2 a 3 días",IF(NETWORKDAYS(Q20,AK20,{"01/01/2026";"02/02/2026";"16/03/2026";"02/04/2026";"03/04/2026";"01/05/2026"})&lt;=5,"4 a 5 días",IF(NETWORKDAYS(Q20,AK20,{"01/01/2026";"02/02/2026";"16/03/2026";"02/04/2026";"03/04/2026";"01/05/2026"})&lt;=10,"6 a 10 días",IF(NETWORKDAYS(Q20,AK20,{"01/01/2026";"02/02/2026";"16/03/2026";"02/04/2026";"03/04/2026";"01/05/2026"})&lt;=16,"11 a 15 días","más de 16 días")))))),"aun no se factura")</f>
        <v>6 a 10 días</v>
      </c>
      <c r="AN20" s="4" t="str" cm="1">
        <f t="array" ref="AN20">IFERROR(
  IF(
    NETWORKDAYS(Q20,AK20,{"01/01/2026";"02/02/2026";"16/03/2026";"02/04/2026";"03/04/2026";"01/05/2026"}) &lt;=
    _xlfn.IFS(
      OR(TRIM(A20)="AICM", TRIM(A20)="AÉREO AICM"), 5,
      OR(TRIM(A20)="VERACRUZ", TRIM(A20)="MARÍTIMO VERACRUZ"), 6,
      OR(TRIM(A20)="AIFA", TRIM(A20)="AÉREO AIFA"), 7,
      AND(TRIM(A20)="CORRESPONSALIAS", TRIM(B20)="NUEVO LAREDO"), 6,
      TRIM(A20)="MANZANILLO", 10,
      TRIM(A20)="TOLUCA", 6,
      TRUE, 999
    ),
    "On Time",
    "Delayed"
  ),
  "Faltan fechas"
)</f>
        <v>Delayed</v>
      </c>
      <c r="AO20" s="5">
        <v>0</v>
      </c>
      <c r="AP20" s="3" t="s">
        <v>548</v>
      </c>
      <c r="AQ20" s="3" t="s">
        <v>93</v>
      </c>
      <c r="AR20" s="3" t="s">
        <v>285</v>
      </c>
      <c r="AS20" s="3" t="s">
        <v>223</v>
      </c>
      <c r="AT20" s="3" t="s">
        <v>223</v>
      </c>
      <c r="AU20" s="5">
        <v>6018215</v>
      </c>
      <c r="AV20" s="3" t="s">
        <v>92</v>
      </c>
      <c r="AW20" s="3" t="s">
        <v>572</v>
      </c>
      <c r="AX20" s="3" t="s">
        <v>549</v>
      </c>
      <c r="AY20" s="3"/>
      <c r="AZ20" s="3" t="s">
        <v>550</v>
      </c>
      <c r="BA20" s="3" t="s">
        <v>90</v>
      </c>
      <c r="BB20" s="3"/>
      <c r="BC20" s="3"/>
      <c r="BD20" s="3"/>
      <c r="BE20" s="3"/>
      <c r="BF20" s="3"/>
      <c r="BG20" s="3" t="s">
        <v>552</v>
      </c>
      <c r="BH20" s="3" t="s">
        <v>223</v>
      </c>
      <c r="BI20" s="3"/>
      <c r="BJ20" s="3"/>
      <c r="BK20" s="3" t="s">
        <v>554</v>
      </c>
      <c r="BL20" s="3" t="s">
        <v>223</v>
      </c>
      <c r="BM20" s="3" t="s">
        <v>223</v>
      </c>
      <c r="BN20" s="3" t="s">
        <v>223</v>
      </c>
      <c r="BO20" s="3">
        <v>90</v>
      </c>
      <c r="BP20" s="3" t="s">
        <v>223</v>
      </c>
      <c r="BQ20" s="3" t="s">
        <v>223</v>
      </c>
      <c r="BR20" s="3"/>
      <c r="BS20" s="3" t="s">
        <v>223</v>
      </c>
      <c r="BT20" s="3" t="s">
        <v>223</v>
      </c>
      <c r="BU20" s="3" t="s">
        <v>223</v>
      </c>
      <c r="BV20" s="3" t="s">
        <v>223</v>
      </c>
      <c r="BW20" s="3"/>
      <c r="BX20" s="3"/>
      <c r="BY20" s="3"/>
      <c r="BZ20" s="3"/>
      <c r="CA20" s="3"/>
    </row>
    <row r="21" spans="1:79" x14ac:dyDescent="0.25">
      <c r="A21" s="3" t="s">
        <v>577</v>
      </c>
      <c r="B21" s="3" t="s">
        <v>578</v>
      </c>
      <c r="C21" s="3" t="s">
        <v>193</v>
      </c>
      <c r="D21" s="3">
        <v>430</v>
      </c>
      <c r="E21" s="4">
        <v>46111</v>
      </c>
      <c r="F21" s="3">
        <v>3</v>
      </c>
      <c r="G21" s="22">
        <v>46105</v>
      </c>
      <c r="H21" s="4">
        <v>46111</v>
      </c>
      <c r="I21" s="3">
        <v>4</v>
      </c>
      <c r="J21" s="3" t="s">
        <v>543</v>
      </c>
      <c r="K21" s="22">
        <v>46112</v>
      </c>
      <c r="L21" s="3">
        <v>5</v>
      </c>
      <c r="M21" s="3">
        <f>IFERROR(IF(G21=K21,0,NETWORKDAYS(G21,K21,{"01/01/2026";"02/02/2026";"16/03/2026";"02/04/2026";"03/04/2026";"01/05/2026"})),"Faltan Fechas")</f>
        <v>6</v>
      </c>
      <c r="N21" s="23" t="str">
        <f>IFERROR(IF(OR(G21="",K21=""),"SIN DATO",IF(NETWORKDAYS(G21,K21,{"01/01/2026";"02/02/2026";"16/03/2026";"02/04/2026";"03/04/2026";"01/05/2026"})&lt;=1,"1 día o menos",IF(NETWORKDAYS(G21,K21,{"01/01/2026";"02/02/2026";"16/03/2026";"02/04/2026";"03/04/2026";"01/05/2026"})&lt;=3,"2 a 3 días",IF(NETWORKDAYS(G21,K21,{"01/01/2026";"02/02/2026";"16/03/2026";"02/04/2026";"03/04/2026";"01/05/2026"})&lt;=5,"4 a 5 días",IF(NETWORKDAYS(G21,K21,{"01/01/2026";"02/02/2026";"16/03/2026";"02/04/2026";"03/04/2026";"01/05/2026"})&lt;=10,"6 a 10 días",IF(NETWORKDAYS(G21,K21,{"01/01/2026";"02/02/2026";"16/03/2026";"02/04/2026";"03/04/2026";"01/05/2026"})&lt;=16,"11 a 15 días","más de 16 días")))))),"Aun no se entrega")</f>
        <v>6 a 10 días</v>
      </c>
      <c r="O21" s="3" t="str" cm="1">
        <f t="array" ref="O21">IFERROR(
  IF(
    NETWORKDAYS(G21,K21,{"01/01/2026";"02/02/2026";"16/03/2026";"02/04/2026";"03/04/2026";"01/05/2026"}) &lt;=
    _xlfn.IFS(
      OR(TRIM(A21)="AICM", TRIM(A21)="AÉREO AICM"), 5,
      OR(TRIM(A21)="VERACRUZ", TRIM(A21)="MARÍTIMO VERACRUZ"), 6,
      OR(TRIM(A21)="AIFA", TRIM(A21)="AÉREO AIFA"), 7,
      AND(TRIM(A21)="CORRESPONSALIAS", TRIM(B21)="NUEVO LAREDO"), 6,
      TRIM(A21)="MANZANILLO", 10,
      TRIM(A21)="TOLUCA", 6,
      TRUE, 999
    ),
    "On Time",
    "Delayed"
  ),
  "Faltan fechas"
)</f>
        <v>On Time</v>
      </c>
      <c r="P21" s="24" t="s">
        <v>544</v>
      </c>
      <c r="Q21" s="4">
        <v>46113</v>
      </c>
      <c r="R21" s="5">
        <f>IFERROR(IF(G21=Q21,0,NETWORKDAYS(G21,Q21,{"01/01/2026";"02/02/2026";"16/03/2026";"02/04/2026";"03/04/2026";"01/05/2026"})),"Faltan Fechas")</f>
        <v>7</v>
      </c>
      <c r="S21" s="4" t="str">
        <f>IFERROR(IF(OR(G21="",Q21=""),"SIN DATO",IF(NETWORKDAYS(G21,Q21,{"01/01/2026";"02/02/2026";"16/03/2026";"02/04/2026";"03/04/2026";"01/05/2026"})&lt;=1,"1 día o menos",IF(NETWORKDAYS(G21,Q21,{"01/01/2026";"02/02/2026";"16/03/2026";"02/04/2026";"03/04/2026";"01/05/2026"})&lt;=3,"2 a 3 días",IF(NETWORKDAYS(G21,Q21,{"01/01/2026";"02/02/2026";"16/03/2026";"02/04/2026";"03/04/2026";"01/05/2026"})&lt;=5,"4 a 5 días",IF(NETWORKDAYS(G21,Q21,{"01/01/2026";"02/02/2026";"16/03/2026";"02/04/2026";"03/04/2026";"01/05/2026"})&lt;=10,"6 a 10 días",IF(NETWORKDAYS(G21,Q21,{"01/01/2026";"02/02/2026";"16/03/2026";"02/04/2026";"03/04/2026";"01/05/2026"})&lt;=16,"11 a 15 días","más de 16 días")))))),"Aun no se entrega")</f>
        <v>6 a 10 días</v>
      </c>
      <c r="T21" s="4" t="str" cm="1">
        <f t="array" ref="T21">IFERROR(
  IF(
    NETWORKDAYS(G21,Q21,{"01/01/2026";"02/02/2026";"16/03/2026";"02/04/2026";"03/04/2026";"01/05/2026"}) &lt;=
    _xlfn.IFS(
      OR(TRIM(A21)="AICM", TRIM(A21)="AÉREO AICM"), 5,
      OR(TRIM(A21)="VERACRUZ", TRIM(A21)="MARÍTIMO VERACRUZ"), 6,
      OR(TRIM(A21)="AIFA", TRIM(A21)="AÉREO AIFA"), 7,
      AND(TRIM(A21)="CORRESPONSALIAS", TRIM(B21)="NUEVO LAREDO"), 6,
      TRIM(A21)="MANZANILLO", 10,
      TRIM(A21)="TOLUCA", 6,
      TRUE, 999
    ),
    "On Time",
    "Delayed"
  ),
  "Faltan fechas"
)</f>
        <v>Delayed</v>
      </c>
      <c r="U21" s="3">
        <v>8</v>
      </c>
      <c r="V21" s="3" t="s">
        <v>544</v>
      </c>
      <c r="W21" s="3">
        <v>11</v>
      </c>
      <c r="X21" s="3" t="s">
        <v>559</v>
      </c>
      <c r="Y21" s="3">
        <v>1</v>
      </c>
      <c r="Z21" s="3" t="s">
        <v>546</v>
      </c>
      <c r="AA21" s="3">
        <v>6</v>
      </c>
      <c r="AB21" s="3">
        <v>1</v>
      </c>
      <c r="AC21" s="3" t="s">
        <v>546</v>
      </c>
      <c r="AD21" s="4">
        <v>46120</v>
      </c>
      <c r="AE21" s="3">
        <v>7</v>
      </c>
      <c r="AF21" s="3">
        <v>5</v>
      </c>
      <c r="AG21" s="4">
        <v>46120</v>
      </c>
      <c r="AH21" s="4">
        <v>46120</v>
      </c>
      <c r="AI21" s="3">
        <v>0</v>
      </c>
      <c r="AJ21" s="3" t="s">
        <v>544</v>
      </c>
      <c r="AK21" s="4">
        <v>46120</v>
      </c>
      <c r="AL21" s="5">
        <f>IFERROR(IF(Q21=AK21,0,NETWORKDAYS(Q21,AK21,{"01/01/2026";"02/02/2026";"16/03/2026";"02/04/2026";"03/04/2026";"01/05/2026"})),"aun no se factura")</f>
        <v>4</v>
      </c>
      <c r="AM21" s="4" t="str">
        <f>IFERROR(IF(OR(Q21="",AK21=""),"SIN DATO",IF(NETWORKDAYS(Q21,AK21,{"01/01/2026";"02/02/2026";"16/03/2026";"02/04/2026";"03/04/2026";"01/05/2026"})&lt;=1,"1 día o menos",IF(NETWORKDAYS(Q21,AK21,{"01/01/2026";"02/02/2026";"16/03/2026";"02/04/2026";"03/04/2026";"01/05/2026"})&lt;=3,"2 a 3 días",IF(NETWORKDAYS(Q21,AK21,{"01/01/2026";"02/02/2026";"16/03/2026";"02/04/2026";"03/04/2026";"01/05/2026"})&lt;=5,"4 a 5 días",IF(NETWORKDAYS(Q21,AK21,{"01/01/2026";"02/02/2026";"16/03/2026";"02/04/2026";"03/04/2026";"01/05/2026"})&lt;=10,"6 a 10 días",IF(NETWORKDAYS(Q21,AK21,{"01/01/2026";"02/02/2026";"16/03/2026";"02/04/2026";"03/04/2026";"01/05/2026"})&lt;=16,"11 a 15 días","más de 16 días")))))),"aun no se factura")</f>
        <v>4 a 5 días</v>
      </c>
      <c r="AN21" s="4" t="str" cm="1">
        <f t="array" ref="AN21">IFERROR(
  IF(
    NETWORKDAYS(Q21,AK21,{"01/01/2026";"02/02/2026";"16/03/2026";"02/04/2026";"03/04/2026";"01/05/2026"}) &lt;=
    _xlfn.IFS(
      OR(TRIM(A21)="AICM", TRIM(A21)="AÉREO AICM"), 5,
      OR(TRIM(A21)="VERACRUZ", TRIM(A21)="MARÍTIMO VERACRUZ"), 6,
      OR(TRIM(A21)="AIFA", TRIM(A21)="AÉREO AIFA"), 7,
      AND(TRIM(A21)="CORRESPONSALIAS", TRIM(B21)="NUEVO LAREDO"), 6,
      TRIM(A21)="MANZANILLO", 10,
      TRIM(A21)="TOLUCA", 6,
      TRUE, 999
    ),
    "On Time",
    "Delayed"
  ),
  "Faltan fechas"
)</f>
        <v>On Time</v>
      </c>
      <c r="AO21" s="5">
        <v>1</v>
      </c>
      <c r="AP21" s="3" t="s">
        <v>548</v>
      </c>
      <c r="AQ21" s="3" t="s">
        <v>93</v>
      </c>
      <c r="AR21" s="3" t="s">
        <v>112</v>
      </c>
      <c r="AS21" s="3">
        <v>265457533</v>
      </c>
      <c r="AT21" s="3" t="s">
        <v>223</v>
      </c>
      <c r="AU21" s="5">
        <v>6000168</v>
      </c>
      <c r="AV21" s="3" t="s">
        <v>92</v>
      </c>
      <c r="AW21" s="3" t="s">
        <v>195</v>
      </c>
      <c r="AX21" s="3" t="s">
        <v>549</v>
      </c>
      <c r="AY21" s="3"/>
      <c r="AZ21" s="3" t="s">
        <v>550</v>
      </c>
      <c r="BA21" s="3" t="s">
        <v>90</v>
      </c>
      <c r="BB21" s="3"/>
      <c r="BC21" s="3" t="s">
        <v>117</v>
      </c>
      <c r="BD21" s="3"/>
      <c r="BE21" s="3" t="s">
        <v>117</v>
      </c>
      <c r="BF21" s="3" t="s">
        <v>397</v>
      </c>
      <c r="BG21" s="3" t="s">
        <v>552</v>
      </c>
      <c r="BH21" s="3" t="s">
        <v>607</v>
      </c>
      <c r="BI21" s="3" t="s">
        <v>614</v>
      </c>
      <c r="BJ21" s="3"/>
      <c r="BK21" s="3" t="s">
        <v>554</v>
      </c>
      <c r="BL21" s="3">
        <v>0</v>
      </c>
      <c r="BM21" s="3" t="s">
        <v>615</v>
      </c>
      <c r="BN21" s="3" t="s">
        <v>616</v>
      </c>
      <c r="BO21" s="3">
        <v>90</v>
      </c>
      <c r="BP21" s="3">
        <v>114377.32</v>
      </c>
      <c r="BQ21" s="3" t="s">
        <v>617</v>
      </c>
      <c r="BR21" s="3"/>
      <c r="BS21" s="3" t="s">
        <v>557</v>
      </c>
      <c r="BT21" s="3" t="s">
        <v>558</v>
      </c>
      <c r="BU21" s="3" t="s">
        <v>197</v>
      </c>
      <c r="BV21" s="3" t="s">
        <v>105</v>
      </c>
      <c r="BW21" s="3"/>
      <c r="BX21" s="3"/>
      <c r="BY21" s="3"/>
      <c r="BZ21" s="3"/>
      <c r="CA21" s="3"/>
    </row>
    <row r="22" spans="1:79" x14ac:dyDescent="0.25">
      <c r="A22" s="3" t="s">
        <v>577</v>
      </c>
      <c r="B22" s="3" t="s">
        <v>578</v>
      </c>
      <c r="C22" s="3" t="s">
        <v>233</v>
      </c>
      <c r="D22" s="3">
        <v>430</v>
      </c>
      <c r="E22" s="4">
        <v>46084</v>
      </c>
      <c r="F22" s="3">
        <v>3</v>
      </c>
      <c r="G22" s="22">
        <v>46069</v>
      </c>
      <c r="H22" s="4">
        <v>46084</v>
      </c>
      <c r="I22" s="3">
        <v>11</v>
      </c>
      <c r="J22" s="3" t="s">
        <v>559</v>
      </c>
      <c r="K22" s="22">
        <v>46090</v>
      </c>
      <c r="L22" s="3">
        <v>15</v>
      </c>
      <c r="M22" s="3">
        <f>IFERROR(IF(G22=K22,0,NETWORKDAYS(G22,K22,{"01/01/2026";"02/02/2026";"16/03/2026";"02/04/2026";"03/04/2026";"01/05/2026"})),"Faltan Fechas")</f>
        <v>16</v>
      </c>
      <c r="N22" s="23" t="str">
        <f>IFERROR(IF(OR(G22="",K22=""),"SIN DATO",IF(NETWORKDAYS(G22,K22,{"01/01/2026";"02/02/2026";"16/03/2026";"02/04/2026";"03/04/2026";"01/05/2026"})&lt;=1,"1 día o menos",IF(NETWORKDAYS(G22,K22,{"01/01/2026";"02/02/2026";"16/03/2026";"02/04/2026";"03/04/2026";"01/05/2026"})&lt;=3,"2 a 3 días",IF(NETWORKDAYS(G22,K22,{"01/01/2026";"02/02/2026";"16/03/2026";"02/04/2026";"03/04/2026";"01/05/2026"})&lt;=5,"4 a 5 días",IF(NETWORKDAYS(G22,K22,{"01/01/2026";"02/02/2026";"16/03/2026";"02/04/2026";"03/04/2026";"01/05/2026"})&lt;=10,"6 a 10 días",IF(NETWORKDAYS(G22,K22,{"01/01/2026";"02/02/2026";"16/03/2026";"02/04/2026";"03/04/2026";"01/05/2026"})&lt;=16,"11 a 15 días","más de 16 días")))))),"Aun no se entrega")</f>
        <v>11 a 15 días</v>
      </c>
      <c r="O22" s="3" t="str" cm="1">
        <f t="array" ref="O22">IFERROR(
  IF(
    NETWORKDAYS(G22,K22,{"01/01/2026";"02/02/2026";"16/03/2026";"02/04/2026";"03/04/2026";"01/05/2026"}) &lt;=
    _xlfn.IFS(
      OR(TRIM(A22)="AICM", TRIM(A22)="AÉREO AICM"), 5,
      OR(TRIM(A22)="VERACRUZ", TRIM(A22)="MARÍTIMO VERACRUZ"), 6,
      OR(TRIM(A22)="AIFA", TRIM(A22)="AÉREO AIFA"), 7,
      AND(TRIM(A22)="CORRESPONSALIAS", TRIM(B22)="NUEVO LAREDO"), 6,
      TRIM(A22)="MANZANILLO", 10,
      TRIM(A22)="TOLUCA", 6,
      TRUE, 999
    ),
    "On Time",
    "Delayed"
  ),
  "Faltan fechas"
)</f>
        <v>Delayed</v>
      </c>
      <c r="P22" s="24" t="s">
        <v>568</v>
      </c>
      <c r="Q22" s="4">
        <v>46093</v>
      </c>
      <c r="R22" s="5">
        <f>IFERROR(IF(G22=Q22,0,NETWORKDAYS(G22,Q22,{"01/01/2026";"02/02/2026";"16/03/2026";"02/04/2026";"03/04/2026";"01/05/2026"})),"Faltan Fechas")</f>
        <v>19</v>
      </c>
      <c r="S22" s="4" t="str">
        <f>IFERROR(IF(OR(G22="",Q22=""),"SIN DATO",IF(NETWORKDAYS(G22,Q22,{"01/01/2026";"02/02/2026";"16/03/2026";"02/04/2026";"03/04/2026";"01/05/2026"})&lt;=1,"1 día o menos",IF(NETWORKDAYS(G22,Q22,{"01/01/2026";"02/02/2026";"16/03/2026";"02/04/2026";"03/04/2026";"01/05/2026"})&lt;=3,"2 a 3 días",IF(NETWORKDAYS(G22,Q22,{"01/01/2026";"02/02/2026";"16/03/2026";"02/04/2026";"03/04/2026";"01/05/2026"})&lt;=5,"4 a 5 días",IF(NETWORKDAYS(G22,Q22,{"01/01/2026";"02/02/2026";"16/03/2026";"02/04/2026";"03/04/2026";"01/05/2026"})&lt;=10,"6 a 10 días",IF(NETWORKDAYS(G22,Q22,{"01/01/2026";"02/02/2026";"16/03/2026";"02/04/2026";"03/04/2026";"01/05/2026"})&lt;=16,"11 a 15 días","más de 16 días")))))),"Aun no se entrega")</f>
        <v>más de 16 días</v>
      </c>
      <c r="T22" s="4" t="str" cm="1">
        <f t="array" ref="T22">IFERROR(
  IF(
    NETWORKDAYS(G22,Q22,{"01/01/2026";"02/02/2026";"16/03/2026";"02/04/2026";"03/04/2026";"01/05/2026"}) &lt;=
    _xlfn.IFS(
      OR(TRIM(A22)="AICM", TRIM(A22)="AÉREO AICM"), 5,
      OR(TRIM(A22)="VERACRUZ", TRIM(A22)="MARÍTIMO VERACRUZ"), 6,
      OR(TRIM(A22)="AIFA", TRIM(A22)="AÉREO AIFA"), 7,
      AND(TRIM(A22)="CORRESPONSALIAS", TRIM(B22)="NUEVO LAREDO"), 6,
      TRIM(A22)="MANZANILLO", 10,
      TRIM(A22)="TOLUCA", 6,
      TRUE, 999
    ),
    "On Time",
    "Delayed"
  ),
  "Faltan fechas"
)</f>
        <v>Delayed</v>
      </c>
      <c r="U22" s="3">
        <v>24</v>
      </c>
      <c r="V22" s="3" t="s">
        <v>588</v>
      </c>
      <c r="W22" s="3">
        <v>31</v>
      </c>
      <c r="X22" s="3" t="s">
        <v>547</v>
      </c>
      <c r="Y22" s="3">
        <v>4</v>
      </c>
      <c r="Z22" s="3" t="s">
        <v>543</v>
      </c>
      <c r="AA22" s="3">
        <v>15</v>
      </c>
      <c r="AB22" s="3">
        <v>3</v>
      </c>
      <c r="AC22" s="3" t="s">
        <v>579</v>
      </c>
      <c r="AD22" s="4">
        <v>46112</v>
      </c>
      <c r="AE22" s="3">
        <v>-46091</v>
      </c>
      <c r="AF22" s="3">
        <v>13</v>
      </c>
      <c r="AG22" s="3"/>
      <c r="AH22" s="4">
        <v>46112</v>
      </c>
      <c r="AI22" s="3">
        <v>46110</v>
      </c>
      <c r="AJ22" s="3" t="s">
        <v>547</v>
      </c>
      <c r="AK22" s="4">
        <v>46112</v>
      </c>
      <c r="AL22" s="5">
        <f>IFERROR(IF(Q22=AK22,0,NETWORKDAYS(Q22,AK22,{"01/01/2026";"02/02/2026";"16/03/2026";"02/04/2026";"03/04/2026";"01/05/2026"})),"aun no se factura")</f>
        <v>13</v>
      </c>
      <c r="AM22" s="4" t="str">
        <f>IFERROR(IF(OR(Q22="",AK22=""),"SIN DATO",IF(NETWORKDAYS(Q22,AK22,{"01/01/2026";"02/02/2026";"16/03/2026";"02/04/2026";"03/04/2026";"01/05/2026"})&lt;=1,"1 día o menos",IF(NETWORKDAYS(Q22,AK22,{"01/01/2026";"02/02/2026";"16/03/2026";"02/04/2026";"03/04/2026";"01/05/2026"})&lt;=3,"2 a 3 días",IF(NETWORKDAYS(Q22,AK22,{"01/01/2026";"02/02/2026";"16/03/2026";"02/04/2026";"03/04/2026";"01/05/2026"})&lt;=5,"4 a 5 días",IF(NETWORKDAYS(Q22,AK22,{"01/01/2026";"02/02/2026";"16/03/2026";"02/04/2026";"03/04/2026";"01/05/2026"})&lt;=10,"6 a 10 días",IF(NETWORKDAYS(Q22,AK22,{"01/01/2026";"02/02/2026";"16/03/2026";"02/04/2026";"03/04/2026";"01/05/2026"})&lt;=16,"11 a 15 días","más de 16 días")))))),"aun no se factura")</f>
        <v>11 a 15 días</v>
      </c>
      <c r="AN22" s="4" t="str" cm="1">
        <f t="array" ref="AN22">IFERROR(
  IF(
    NETWORKDAYS(Q22,AK22,{"01/01/2026";"02/02/2026";"16/03/2026";"02/04/2026";"03/04/2026";"01/05/2026"}) &lt;=
    _xlfn.IFS(
      OR(TRIM(A22)="AICM", TRIM(A22)="AÉREO AICM"), 5,
      OR(TRIM(A22)="VERACRUZ", TRIM(A22)="MARÍTIMO VERACRUZ"), 6,
      OR(TRIM(A22)="AIFA", TRIM(A22)="AÉREO AIFA"), 7,
      AND(TRIM(A22)="CORRESPONSALIAS", TRIM(B22)="NUEVO LAREDO"), 6,
      TRIM(A22)="MANZANILLO", 10,
      TRIM(A22)="TOLUCA", 6,
      TRUE, 999
    ),
    "On Time",
    "Delayed"
  ),
  "Faltan fechas"
)</f>
        <v>Delayed</v>
      </c>
      <c r="AO22" s="5">
        <v>1</v>
      </c>
      <c r="AP22" s="3" t="s">
        <v>548</v>
      </c>
      <c r="AQ22" s="3" t="s">
        <v>93</v>
      </c>
      <c r="AR22" s="3" t="s">
        <v>112</v>
      </c>
      <c r="AS22" s="3" t="s">
        <v>236</v>
      </c>
      <c r="AT22" s="3" t="s">
        <v>223</v>
      </c>
      <c r="AU22" s="5">
        <v>6000244</v>
      </c>
      <c r="AV22" s="3" t="s">
        <v>92</v>
      </c>
      <c r="AW22" s="3" t="s">
        <v>235</v>
      </c>
      <c r="AX22" s="3" t="s">
        <v>549</v>
      </c>
      <c r="AY22" s="3"/>
      <c r="AZ22" s="3" t="s">
        <v>550</v>
      </c>
      <c r="BA22" s="3" t="s">
        <v>90</v>
      </c>
      <c r="BB22" s="3"/>
      <c r="BC22" s="3" t="s">
        <v>107</v>
      </c>
      <c r="BD22" s="3"/>
      <c r="BE22" s="3" t="s">
        <v>107</v>
      </c>
      <c r="BF22" s="3" t="s">
        <v>576</v>
      </c>
      <c r="BG22" s="3" t="s">
        <v>552</v>
      </c>
      <c r="BH22" s="3" t="s">
        <v>607</v>
      </c>
      <c r="BI22" s="3" t="s">
        <v>632</v>
      </c>
      <c r="BJ22" s="3"/>
      <c r="BK22" s="3" t="s">
        <v>554</v>
      </c>
      <c r="BL22" s="3">
        <v>0</v>
      </c>
      <c r="BM22" s="3" t="s">
        <v>582</v>
      </c>
      <c r="BN22" s="3" t="s">
        <v>633</v>
      </c>
      <c r="BO22" s="3">
        <v>90</v>
      </c>
      <c r="BP22" s="3" t="s">
        <v>634</v>
      </c>
      <c r="BQ22" s="3" t="s">
        <v>611</v>
      </c>
      <c r="BR22" s="3"/>
      <c r="BS22" s="3" t="s">
        <v>635</v>
      </c>
      <c r="BT22" s="3" t="s">
        <v>558</v>
      </c>
      <c r="BU22" s="3" t="s">
        <v>636</v>
      </c>
      <c r="BV22" s="3" t="s">
        <v>105</v>
      </c>
      <c r="BW22" s="3"/>
      <c r="BX22" s="3"/>
      <c r="BY22" s="3"/>
      <c r="BZ22" s="3"/>
      <c r="CA22" s="3"/>
    </row>
    <row r="23" spans="1:79" x14ac:dyDescent="0.25">
      <c r="A23" s="3" t="s">
        <v>577</v>
      </c>
      <c r="B23" s="3" t="s">
        <v>578</v>
      </c>
      <c r="C23" s="3" t="s">
        <v>341</v>
      </c>
      <c r="D23" s="3">
        <v>430</v>
      </c>
      <c r="E23" s="4">
        <v>46090</v>
      </c>
      <c r="F23" s="3">
        <v>3</v>
      </c>
      <c r="G23" s="22">
        <v>46069</v>
      </c>
      <c r="H23" s="4">
        <v>46090</v>
      </c>
      <c r="I23" s="3">
        <v>15</v>
      </c>
      <c r="J23" s="3" t="s">
        <v>559</v>
      </c>
      <c r="K23" s="22">
        <v>46092</v>
      </c>
      <c r="L23" s="3">
        <v>17</v>
      </c>
      <c r="M23" s="3">
        <f>IFERROR(IF(G23=K23,0,NETWORKDAYS(G23,K23,{"01/01/2026";"02/02/2026";"16/03/2026";"02/04/2026";"03/04/2026";"01/05/2026"})),"Faltan Fechas")</f>
        <v>18</v>
      </c>
      <c r="N23" s="23" t="str">
        <f>IFERROR(IF(OR(G23="",K23=""),"SIN DATO",IF(NETWORKDAYS(G23,K23,{"01/01/2026";"02/02/2026";"16/03/2026";"02/04/2026";"03/04/2026";"01/05/2026"})&lt;=1,"1 día o menos",IF(NETWORKDAYS(G23,K23,{"01/01/2026";"02/02/2026";"16/03/2026";"02/04/2026";"03/04/2026";"01/05/2026"})&lt;=3,"2 a 3 días",IF(NETWORKDAYS(G23,K23,{"01/01/2026";"02/02/2026";"16/03/2026";"02/04/2026";"03/04/2026";"01/05/2026"})&lt;=5,"4 a 5 días",IF(NETWORKDAYS(G23,K23,{"01/01/2026";"02/02/2026";"16/03/2026";"02/04/2026";"03/04/2026";"01/05/2026"})&lt;=10,"6 a 10 días",IF(NETWORKDAYS(G23,K23,{"01/01/2026";"02/02/2026";"16/03/2026";"02/04/2026";"03/04/2026";"01/05/2026"})&lt;=16,"11 a 15 días","más de 16 días")))))),"Aun no se entrega")</f>
        <v>más de 16 días</v>
      </c>
      <c r="O23" s="3" t="str" cm="1">
        <f t="array" ref="O23">IFERROR(
  IF(
    NETWORKDAYS(G23,K23,{"01/01/2026";"02/02/2026";"16/03/2026";"02/04/2026";"03/04/2026";"01/05/2026"}) &lt;=
    _xlfn.IFS(
      OR(TRIM(A23)="AICM", TRIM(A23)="AÉREO AICM"), 5,
      OR(TRIM(A23)="VERACRUZ", TRIM(A23)="MARÍTIMO VERACRUZ"), 6,
      OR(TRIM(A23)="AIFA", TRIM(A23)="AÉREO AIFA"), 7,
      AND(TRIM(A23)="CORRESPONSALIAS", TRIM(B23)="NUEVO LAREDO"), 6,
      TRIM(A23)="MANZANILLO", 10,
      TRIM(A23)="TOLUCA", 6,
      TRUE, 999
    ),
    "On Time",
    "Delayed"
  ),
  "Faltan fechas"
)</f>
        <v>Delayed</v>
      </c>
      <c r="P23" s="24" t="s">
        <v>568</v>
      </c>
      <c r="Q23" s="4">
        <v>46093</v>
      </c>
      <c r="R23" s="5">
        <f>IFERROR(IF(G23=Q23,0,NETWORKDAYS(G23,Q23,{"01/01/2026";"02/02/2026";"16/03/2026";"02/04/2026";"03/04/2026";"01/05/2026"})),"Faltan Fechas")</f>
        <v>19</v>
      </c>
      <c r="S23" s="4" t="str">
        <f>IFERROR(IF(OR(G23="",Q23=""),"SIN DATO",IF(NETWORKDAYS(G23,Q23,{"01/01/2026";"02/02/2026";"16/03/2026";"02/04/2026";"03/04/2026";"01/05/2026"})&lt;=1,"1 día o menos",IF(NETWORKDAYS(G23,Q23,{"01/01/2026";"02/02/2026";"16/03/2026";"02/04/2026";"03/04/2026";"01/05/2026"})&lt;=3,"2 a 3 días",IF(NETWORKDAYS(G23,Q23,{"01/01/2026";"02/02/2026";"16/03/2026";"02/04/2026";"03/04/2026";"01/05/2026"})&lt;=5,"4 a 5 días",IF(NETWORKDAYS(G23,Q23,{"01/01/2026";"02/02/2026";"16/03/2026";"02/04/2026";"03/04/2026";"01/05/2026"})&lt;=10,"6 a 10 días",IF(NETWORKDAYS(G23,Q23,{"01/01/2026";"02/02/2026";"16/03/2026";"02/04/2026";"03/04/2026";"01/05/2026"})&lt;=16,"11 a 15 días","más de 16 días")))))),"Aun no se entrega")</f>
        <v>más de 16 días</v>
      </c>
      <c r="T23" s="4" t="str" cm="1">
        <f t="array" ref="T23">IFERROR(
  IF(
    NETWORKDAYS(G23,Q23,{"01/01/2026";"02/02/2026";"16/03/2026";"02/04/2026";"03/04/2026";"01/05/2026"}) &lt;=
    _xlfn.IFS(
      OR(TRIM(A23)="AICM", TRIM(A23)="AÉREO AICM"), 5,
      OR(TRIM(A23)="VERACRUZ", TRIM(A23)="MARÍTIMO VERACRUZ"), 6,
      OR(TRIM(A23)="AIFA", TRIM(A23)="AÉREO AIFA"), 7,
      AND(TRIM(A23)="CORRESPONSALIAS", TRIM(B23)="NUEVO LAREDO"), 6,
      TRIM(A23)="MANZANILLO", 10,
      TRIM(A23)="TOLUCA", 6,
      TRUE, 999
    ),
    "On Time",
    "Delayed"
  ),
  "Faltan fechas"
)</f>
        <v>Delayed</v>
      </c>
      <c r="U23" s="3">
        <v>24</v>
      </c>
      <c r="V23" s="3" t="s">
        <v>588</v>
      </c>
      <c r="W23" s="3">
        <v>31</v>
      </c>
      <c r="X23" s="3" t="s">
        <v>547</v>
      </c>
      <c r="Y23" s="3">
        <v>2</v>
      </c>
      <c r="Z23" s="3" t="s">
        <v>579</v>
      </c>
      <c r="AA23" s="3">
        <v>21</v>
      </c>
      <c r="AB23" s="3">
        <v>1</v>
      </c>
      <c r="AC23" s="3" t="s">
        <v>546</v>
      </c>
      <c r="AD23" s="4">
        <v>46112</v>
      </c>
      <c r="AE23" s="3">
        <v>18</v>
      </c>
      <c r="AF23" s="3">
        <v>13</v>
      </c>
      <c r="AG23" s="4">
        <v>46111</v>
      </c>
      <c r="AH23" s="4">
        <v>46112</v>
      </c>
      <c r="AI23" s="3">
        <v>1</v>
      </c>
      <c r="AJ23" s="3" t="s">
        <v>547</v>
      </c>
      <c r="AK23" s="4">
        <v>46112</v>
      </c>
      <c r="AL23" s="5">
        <f>IFERROR(IF(Q23=AK23,0,NETWORKDAYS(Q23,AK23,{"01/01/2026";"02/02/2026";"16/03/2026";"02/04/2026";"03/04/2026";"01/05/2026"})),"aun no se factura")</f>
        <v>13</v>
      </c>
      <c r="AM23" s="4" t="str">
        <f>IFERROR(IF(OR(Q23="",AK23=""),"SIN DATO",IF(NETWORKDAYS(Q23,AK23,{"01/01/2026";"02/02/2026";"16/03/2026";"02/04/2026";"03/04/2026";"01/05/2026"})&lt;=1,"1 día o menos",IF(NETWORKDAYS(Q23,AK23,{"01/01/2026";"02/02/2026";"16/03/2026";"02/04/2026";"03/04/2026";"01/05/2026"})&lt;=3,"2 a 3 días",IF(NETWORKDAYS(Q23,AK23,{"01/01/2026";"02/02/2026";"16/03/2026";"02/04/2026";"03/04/2026";"01/05/2026"})&lt;=5,"4 a 5 días",IF(NETWORKDAYS(Q23,AK23,{"01/01/2026";"02/02/2026";"16/03/2026";"02/04/2026";"03/04/2026";"01/05/2026"})&lt;=10,"6 a 10 días",IF(NETWORKDAYS(Q23,AK23,{"01/01/2026";"02/02/2026";"16/03/2026";"02/04/2026";"03/04/2026";"01/05/2026"})&lt;=16,"11 a 15 días","más de 16 días")))))),"aun no se factura")</f>
        <v>11 a 15 días</v>
      </c>
      <c r="AN23" s="4" t="str" cm="1">
        <f t="array" ref="AN23">IFERROR(
  IF(
    NETWORKDAYS(Q23,AK23,{"01/01/2026";"02/02/2026";"16/03/2026";"02/04/2026";"03/04/2026";"01/05/2026"}) &lt;=
    _xlfn.IFS(
      OR(TRIM(A23)="AICM", TRIM(A23)="AÉREO AICM"), 5,
      OR(TRIM(A23)="VERACRUZ", TRIM(A23)="MARÍTIMO VERACRUZ"), 6,
      OR(TRIM(A23)="AIFA", TRIM(A23)="AÉREO AIFA"), 7,
      AND(TRIM(A23)="CORRESPONSALIAS", TRIM(B23)="NUEVO LAREDO"), 6,
      TRIM(A23)="MANZANILLO", 10,
      TRIM(A23)="TOLUCA", 6,
      TRUE, 999
    ),
    "On Time",
    "Delayed"
  ),
  "Faltan fechas"
)</f>
        <v>Delayed</v>
      </c>
      <c r="AO23" s="5">
        <v>1</v>
      </c>
      <c r="AP23" s="3" t="s">
        <v>548</v>
      </c>
      <c r="AQ23" s="3" t="s">
        <v>342</v>
      </c>
      <c r="AR23" s="3" t="s">
        <v>112</v>
      </c>
      <c r="AS23" s="3" t="s">
        <v>236</v>
      </c>
      <c r="AT23" s="3" t="s">
        <v>223</v>
      </c>
      <c r="AU23" s="5">
        <v>6000406</v>
      </c>
      <c r="AV23" s="3" t="s">
        <v>92</v>
      </c>
      <c r="AW23" s="3" t="s">
        <v>235</v>
      </c>
      <c r="AX23" s="3" t="s">
        <v>549</v>
      </c>
      <c r="AY23" s="3"/>
      <c r="AZ23" s="3" t="s">
        <v>550</v>
      </c>
      <c r="BA23" s="3" t="s">
        <v>90</v>
      </c>
      <c r="BB23" s="3"/>
      <c r="BC23" s="3" t="s">
        <v>107</v>
      </c>
      <c r="BD23" s="3"/>
      <c r="BE23" s="3" t="s">
        <v>107</v>
      </c>
      <c r="BF23" s="3" t="s">
        <v>576</v>
      </c>
      <c r="BG23" s="3" t="s">
        <v>552</v>
      </c>
      <c r="BH23" s="3" t="s">
        <v>607</v>
      </c>
      <c r="BI23" s="3" t="s">
        <v>637</v>
      </c>
      <c r="BJ23" s="3"/>
      <c r="BK23" s="3" t="s">
        <v>554</v>
      </c>
      <c r="BL23" s="3">
        <v>0</v>
      </c>
      <c r="BM23" s="3" t="s">
        <v>582</v>
      </c>
      <c r="BN23" s="3" t="s">
        <v>633</v>
      </c>
      <c r="BO23" s="3">
        <v>90</v>
      </c>
      <c r="BP23" s="3" t="s">
        <v>634</v>
      </c>
      <c r="BQ23" s="3" t="s">
        <v>611</v>
      </c>
      <c r="BR23" s="3"/>
      <c r="BS23" s="3" t="s">
        <v>635</v>
      </c>
      <c r="BT23" s="3" t="s">
        <v>558</v>
      </c>
      <c r="BU23" s="3" t="s">
        <v>636</v>
      </c>
      <c r="BV23" s="3" t="s">
        <v>105</v>
      </c>
      <c r="BW23" s="3"/>
      <c r="BX23" s="3"/>
      <c r="BY23" s="3"/>
      <c r="BZ23" s="3"/>
      <c r="CA23" s="3"/>
    </row>
    <row r="24" spans="1:79" x14ac:dyDescent="0.25">
      <c r="A24" s="3" t="s">
        <v>577</v>
      </c>
      <c r="B24" s="3" t="s">
        <v>578</v>
      </c>
      <c r="C24" s="3" t="s">
        <v>240</v>
      </c>
      <c r="D24" s="3">
        <v>430</v>
      </c>
      <c r="E24" s="4">
        <v>46087</v>
      </c>
      <c r="F24" s="3">
        <v>3</v>
      </c>
      <c r="G24" s="22">
        <v>46080</v>
      </c>
      <c r="H24" s="4">
        <v>46087</v>
      </c>
      <c r="I24" s="3">
        <v>5</v>
      </c>
      <c r="J24" s="3" t="s">
        <v>543</v>
      </c>
      <c r="K24" s="22">
        <v>46088</v>
      </c>
      <c r="L24" s="3">
        <v>6</v>
      </c>
      <c r="M24" s="3">
        <f>IFERROR(IF(G24=K24,0,NETWORKDAYS(G24,K24,{"01/01/2026";"02/02/2026";"16/03/2026";"02/04/2026";"03/04/2026";"01/05/2026"})),"Faltan Fechas")</f>
        <v>6</v>
      </c>
      <c r="N24" s="23" t="str">
        <f>IFERROR(IF(OR(G24="",K24=""),"SIN DATO",IF(NETWORKDAYS(G24,K24,{"01/01/2026";"02/02/2026";"16/03/2026";"02/04/2026";"03/04/2026";"01/05/2026"})&lt;=1,"1 día o menos",IF(NETWORKDAYS(G24,K24,{"01/01/2026";"02/02/2026";"16/03/2026";"02/04/2026";"03/04/2026";"01/05/2026"})&lt;=3,"2 a 3 días",IF(NETWORKDAYS(G24,K24,{"01/01/2026";"02/02/2026";"16/03/2026";"02/04/2026";"03/04/2026";"01/05/2026"})&lt;=5,"4 a 5 días",IF(NETWORKDAYS(G24,K24,{"01/01/2026";"02/02/2026";"16/03/2026";"02/04/2026";"03/04/2026";"01/05/2026"})&lt;=10,"6 a 10 días",IF(NETWORKDAYS(G24,K24,{"01/01/2026";"02/02/2026";"16/03/2026";"02/04/2026";"03/04/2026";"01/05/2026"})&lt;=16,"11 a 15 días","más de 16 días")))))),"Aun no se entrega")</f>
        <v>6 a 10 días</v>
      </c>
      <c r="O24" s="3" t="str" cm="1">
        <f t="array" ref="O24">IFERROR(
  IF(
    NETWORKDAYS(G24,K24,{"01/01/2026";"02/02/2026";"16/03/2026";"02/04/2026";"03/04/2026";"01/05/2026"}) &lt;=
    _xlfn.IFS(
      OR(TRIM(A24)="AICM", TRIM(A24)="AÉREO AICM"), 5,
      OR(TRIM(A24)="VERACRUZ", TRIM(A24)="MARÍTIMO VERACRUZ"), 6,
      OR(TRIM(A24)="AIFA", TRIM(A24)="AÉREO AIFA"), 7,
      AND(TRIM(A24)="CORRESPONSALIAS", TRIM(B24)="NUEVO LAREDO"), 6,
      TRIM(A24)="MANZANILLO", 10,
      TRIM(A24)="TOLUCA", 6,
      TRUE, 999
    ),
    "On Time",
    "Delayed"
  ),
  "Faltan fechas"
)</f>
        <v>On Time</v>
      </c>
      <c r="P24" s="24" t="s">
        <v>544</v>
      </c>
      <c r="Q24" s="4">
        <v>46090</v>
      </c>
      <c r="R24" s="5">
        <f>IFERROR(IF(G24=Q24,0,NETWORKDAYS(G24,Q24,{"01/01/2026";"02/02/2026";"16/03/2026";"02/04/2026";"03/04/2026";"01/05/2026"})),"Faltan Fechas")</f>
        <v>7</v>
      </c>
      <c r="S24" s="4" t="str">
        <f>IFERROR(IF(OR(G24="",Q24=""),"SIN DATO",IF(NETWORKDAYS(G24,Q24,{"01/01/2026";"02/02/2026";"16/03/2026";"02/04/2026";"03/04/2026";"01/05/2026"})&lt;=1,"1 día o menos",IF(NETWORKDAYS(G24,Q24,{"01/01/2026";"02/02/2026";"16/03/2026";"02/04/2026";"03/04/2026";"01/05/2026"})&lt;=3,"2 a 3 días",IF(NETWORKDAYS(G24,Q24,{"01/01/2026";"02/02/2026";"16/03/2026";"02/04/2026";"03/04/2026";"01/05/2026"})&lt;=5,"4 a 5 días",IF(NETWORKDAYS(G24,Q24,{"01/01/2026";"02/02/2026";"16/03/2026";"02/04/2026";"03/04/2026";"01/05/2026"})&lt;=10,"6 a 10 días",IF(NETWORKDAYS(G24,Q24,{"01/01/2026";"02/02/2026";"16/03/2026";"02/04/2026";"03/04/2026";"01/05/2026"})&lt;=16,"11 a 15 días","más de 16 días")))))),"Aun no se entrega")</f>
        <v>6 a 10 días</v>
      </c>
      <c r="T24" s="4" t="str" cm="1">
        <f t="array" ref="T24">IFERROR(
  IF(
    NETWORKDAYS(G24,Q24,{"01/01/2026";"02/02/2026";"16/03/2026";"02/04/2026";"03/04/2026";"01/05/2026"}) &lt;=
    _xlfn.IFS(
      OR(TRIM(A24)="AICM", TRIM(A24)="AÉREO AICM"), 5,
      OR(TRIM(A24)="VERACRUZ", TRIM(A24)="MARÍTIMO VERACRUZ"), 6,
      OR(TRIM(A24)="AIFA", TRIM(A24)="AÉREO AIFA"), 7,
      AND(TRIM(A24)="CORRESPONSALIAS", TRIM(B24)="NUEVO LAREDO"), 6,
      TRIM(A24)="MANZANILLO", 10,
      TRIM(A24)="TOLUCA", 6,
      TRUE, 999
    ),
    "On Time",
    "Delayed"
  ),
  "Faltan fechas"
)</f>
        <v>Delayed</v>
      </c>
      <c r="U24" s="3">
        <v>10</v>
      </c>
      <c r="V24" s="3" t="s">
        <v>544</v>
      </c>
      <c r="W24" s="3">
        <v>12</v>
      </c>
      <c r="X24" s="3" t="s">
        <v>559</v>
      </c>
      <c r="Y24" s="3">
        <v>1</v>
      </c>
      <c r="Z24" s="3" t="s">
        <v>546</v>
      </c>
      <c r="AA24" s="3">
        <v>7</v>
      </c>
      <c r="AB24" s="3">
        <v>2</v>
      </c>
      <c r="AC24" s="3" t="s">
        <v>579</v>
      </c>
      <c r="AD24" s="4">
        <v>46098</v>
      </c>
      <c r="AE24" s="3">
        <v>8</v>
      </c>
      <c r="AF24" s="3">
        <v>6</v>
      </c>
      <c r="AG24" s="4">
        <v>46098</v>
      </c>
      <c r="AH24" s="4">
        <v>46098</v>
      </c>
      <c r="AI24" s="3">
        <v>0</v>
      </c>
      <c r="AJ24" s="3" t="s">
        <v>544</v>
      </c>
      <c r="AK24" s="4">
        <v>46098</v>
      </c>
      <c r="AL24" s="5">
        <f>IFERROR(IF(Q24=AK24,0,NETWORKDAYS(Q24,AK24,{"01/01/2026";"02/02/2026";"16/03/2026";"02/04/2026";"03/04/2026";"01/05/2026"})),"aun no se factura")</f>
        <v>6</v>
      </c>
      <c r="AM24" s="4" t="str">
        <f>IFERROR(IF(OR(Q24="",AK24=""),"SIN DATO",IF(NETWORKDAYS(Q24,AK24,{"01/01/2026";"02/02/2026";"16/03/2026";"02/04/2026";"03/04/2026";"01/05/2026"})&lt;=1,"1 día o menos",IF(NETWORKDAYS(Q24,AK24,{"01/01/2026";"02/02/2026";"16/03/2026";"02/04/2026";"03/04/2026";"01/05/2026"})&lt;=3,"2 a 3 días",IF(NETWORKDAYS(Q24,AK24,{"01/01/2026";"02/02/2026";"16/03/2026";"02/04/2026";"03/04/2026";"01/05/2026"})&lt;=5,"4 a 5 días",IF(NETWORKDAYS(Q24,AK24,{"01/01/2026";"02/02/2026";"16/03/2026";"02/04/2026";"03/04/2026";"01/05/2026"})&lt;=10,"6 a 10 días",IF(NETWORKDAYS(Q24,AK24,{"01/01/2026";"02/02/2026";"16/03/2026";"02/04/2026";"03/04/2026";"01/05/2026"})&lt;=16,"11 a 15 días","más de 16 días")))))),"aun no se factura")</f>
        <v>6 a 10 días</v>
      </c>
      <c r="AN24" s="4" t="str" cm="1">
        <f t="array" ref="AN24">IFERROR(
  IF(
    NETWORKDAYS(Q24,AK24,{"01/01/2026";"02/02/2026";"16/03/2026";"02/04/2026";"03/04/2026";"01/05/2026"}) &lt;=
    _xlfn.IFS(
      OR(TRIM(A24)="AICM", TRIM(A24)="AÉREO AICM"), 5,
      OR(TRIM(A24)="VERACRUZ", TRIM(A24)="MARÍTIMO VERACRUZ"), 6,
      OR(TRIM(A24)="AIFA", TRIM(A24)="AÉREO AIFA"), 7,
      AND(TRIM(A24)="CORRESPONSALIAS", TRIM(B24)="NUEVO LAREDO"), 6,
      TRIM(A24)="MANZANILLO", 10,
      TRIM(A24)="TOLUCA", 6,
      TRUE, 999
    ),
    "On Time",
    "Delayed"
  ),
  "Faltan fechas"
)</f>
        <v>On Time</v>
      </c>
      <c r="AO24" s="5">
        <v>1</v>
      </c>
      <c r="AP24" s="3" t="s">
        <v>548</v>
      </c>
      <c r="AQ24" s="3" t="s">
        <v>93</v>
      </c>
      <c r="AR24" s="3" t="s">
        <v>112</v>
      </c>
      <c r="AS24" s="3">
        <v>265571225</v>
      </c>
      <c r="AT24" s="3" t="s">
        <v>223</v>
      </c>
      <c r="AU24" s="5">
        <v>6000245</v>
      </c>
      <c r="AV24" s="3" t="s">
        <v>92</v>
      </c>
      <c r="AW24" s="3" t="s">
        <v>242</v>
      </c>
      <c r="AX24" s="3" t="s">
        <v>549</v>
      </c>
      <c r="AY24" s="3"/>
      <c r="AZ24" s="3" t="s">
        <v>550</v>
      </c>
      <c r="BA24" s="3" t="s">
        <v>90</v>
      </c>
      <c r="BB24" s="3"/>
      <c r="BC24" s="3" t="s">
        <v>107</v>
      </c>
      <c r="BD24" s="3"/>
      <c r="BE24" s="3" t="s">
        <v>107</v>
      </c>
      <c r="BF24" s="3" t="s">
        <v>576</v>
      </c>
      <c r="BG24" s="3" t="s">
        <v>552</v>
      </c>
      <c r="BH24" s="3" t="s">
        <v>607</v>
      </c>
      <c r="BI24" s="3" t="s">
        <v>638</v>
      </c>
      <c r="BJ24" s="3"/>
      <c r="BK24" s="3" t="s">
        <v>554</v>
      </c>
      <c r="BL24" s="3">
        <v>0</v>
      </c>
      <c r="BM24" s="3">
        <v>99</v>
      </c>
      <c r="BN24" s="3" t="s">
        <v>639</v>
      </c>
      <c r="BO24" s="3">
        <v>90</v>
      </c>
      <c r="BP24" s="3" t="s">
        <v>640</v>
      </c>
      <c r="BQ24" s="3" t="s">
        <v>611</v>
      </c>
      <c r="BR24" s="3"/>
      <c r="BS24" s="3" t="s">
        <v>619</v>
      </c>
      <c r="BT24" s="3" t="s">
        <v>558</v>
      </c>
      <c r="BU24" s="3" t="s">
        <v>189</v>
      </c>
      <c r="BV24" s="3" t="s">
        <v>105</v>
      </c>
      <c r="BW24" s="3"/>
      <c r="BX24" s="3"/>
      <c r="BY24" s="3"/>
      <c r="BZ24" s="3"/>
      <c r="CA24" s="3"/>
    </row>
    <row r="25" spans="1:79" x14ac:dyDescent="0.25">
      <c r="A25" s="3" t="s">
        <v>577</v>
      </c>
      <c r="B25" s="3" t="s">
        <v>578</v>
      </c>
      <c r="C25" s="3" t="s">
        <v>287</v>
      </c>
      <c r="D25" s="3">
        <v>430</v>
      </c>
      <c r="E25" s="4">
        <v>46087</v>
      </c>
      <c r="F25" s="3">
        <v>3</v>
      </c>
      <c r="G25" s="22">
        <v>46079</v>
      </c>
      <c r="H25" s="4">
        <v>46087</v>
      </c>
      <c r="I25" s="3">
        <v>6</v>
      </c>
      <c r="J25" s="3" t="s">
        <v>544</v>
      </c>
      <c r="K25" s="22">
        <v>46088</v>
      </c>
      <c r="L25" s="3">
        <v>7</v>
      </c>
      <c r="M25" s="3">
        <f>IFERROR(IF(G25=K25,0,NETWORKDAYS(G25,K25,{"01/01/2026";"02/02/2026";"16/03/2026";"02/04/2026";"03/04/2026";"01/05/2026"})),"Faltan Fechas")</f>
        <v>7</v>
      </c>
      <c r="N25" s="23" t="str">
        <f>IFERROR(IF(OR(G25="",K25=""),"SIN DATO",IF(NETWORKDAYS(G25,K25,{"01/01/2026";"02/02/2026";"16/03/2026";"02/04/2026";"03/04/2026";"01/05/2026"})&lt;=1,"1 día o menos",IF(NETWORKDAYS(G25,K25,{"01/01/2026";"02/02/2026";"16/03/2026";"02/04/2026";"03/04/2026";"01/05/2026"})&lt;=3,"2 a 3 días",IF(NETWORKDAYS(G25,K25,{"01/01/2026";"02/02/2026";"16/03/2026";"02/04/2026";"03/04/2026";"01/05/2026"})&lt;=5,"4 a 5 días",IF(NETWORKDAYS(G25,K25,{"01/01/2026";"02/02/2026";"16/03/2026";"02/04/2026";"03/04/2026";"01/05/2026"})&lt;=10,"6 a 10 días",IF(NETWORKDAYS(G25,K25,{"01/01/2026";"02/02/2026";"16/03/2026";"02/04/2026";"03/04/2026";"01/05/2026"})&lt;=16,"11 a 15 días","más de 16 días")))))),"Aun no se entrega")</f>
        <v>6 a 10 días</v>
      </c>
      <c r="O25" s="3" t="str" cm="1">
        <f t="array" ref="O25">IFERROR(
  IF(
    NETWORKDAYS(G25,K25,{"01/01/2026";"02/02/2026";"16/03/2026";"02/04/2026";"03/04/2026";"01/05/2026"}) &lt;=
    _xlfn.IFS(
      OR(TRIM(A25)="AICM", TRIM(A25)="AÉREO AICM"), 5,
      OR(TRIM(A25)="VERACRUZ", TRIM(A25)="MARÍTIMO VERACRUZ"), 6,
      OR(TRIM(A25)="AIFA", TRIM(A25)="AÉREO AIFA"), 7,
      AND(TRIM(A25)="CORRESPONSALIAS", TRIM(B25)="NUEVO LAREDO"), 6,
      TRIM(A25)="MANZANILLO", 10,
      TRIM(A25)="TOLUCA", 6,
      TRUE, 999
    ),
    "On Time",
    "Delayed"
  ),
  "Faltan fechas"
)</f>
        <v>Delayed</v>
      </c>
      <c r="P25" s="24" t="s">
        <v>544</v>
      </c>
      <c r="Q25" s="4">
        <v>46090</v>
      </c>
      <c r="R25" s="5">
        <f>IFERROR(IF(G25=Q25,0,NETWORKDAYS(G25,Q25,{"01/01/2026";"02/02/2026";"16/03/2026";"02/04/2026";"03/04/2026";"01/05/2026"})),"Faltan Fechas")</f>
        <v>8</v>
      </c>
      <c r="S25" s="4" t="str">
        <f>IFERROR(IF(OR(G25="",Q25=""),"SIN DATO",IF(NETWORKDAYS(G25,Q25,{"01/01/2026";"02/02/2026";"16/03/2026";"02/04/2026";"03/04/2026";"01/05/2026"})&lt;=1,"1 día o menos",IF(NETWORKDAYS(G25,Q25,{"01/01/2026";"02/02/2026";"16/03/2026";"02/04/2026";"03/04/2026";"01/05/2026"})&lt;=3,"2 a 3 días",IF(NETWORKDAYS(G25,Q25,{"01/01/2026";"02/02/2026";"16/03/2026";"02/04/2026";"03/04/2026";"01/05/2026"})&lt;=5,"4 a 5 días",IF(NETWORKDAYS(G25,Q25,{"01/01/2026";"02/02/2026";"16/03/2026";"02/04/2026";"03/04/2026";"01/05/2026"})&lt;=10,"6 a 10 días",IF(NETWORKDAYS(G25,Q25,{"01/01/2026";"02/02/2026";"16/03/2026";"02/04/2026";"03/04/2026";"01/05/2026"})&lt;=16,"11 a 15 días","más de 16 días")))))),"Aun no se entrega")</f>
        <v>6 a 10 días</v>
      </c>
      <c r="T25" s="4" t="str" cm="1">
        <f t="array" ref="T25">IFERROR(
  IF(
    NETWORKDAYS(G25,Q25,{"01/01/2026";"02/02/2026";"16/03/2026";"02/04/2026";"03/04/2026";"01/05/2026"}) &lt;=
    _xlfn.IFS(
      OR(TRIM(A25)="AICM", TRIM(A25)="AÉREO AICM"), 5,
      OR(TRIM(A25)="VERACRUZ", TRIM(A25)="MARÍTIMO VERACRUZ"), 6,
      OR(TRIM(A25)="AIFA", TRIM(A25)="AÉREO AIFA"), 7,
      AND(TRIM(A25)="CORRESPONSALIAS", TRIM(B25)="NUEVO LAREDO"), 6,
      TRIM(A25)="MANZANILLO", 10,
      TRIM(A25)="TOLUCA", 6,
      TRUE, 999
    ),
    "On Time",
    "Delayed"
  ),
  "Faltan fechas"
)</f>
        <v>Delayed</v>
      </c>
      <c r="U25" s="3">
        <v>11</v>
      </c>
      <c r="V25" s="3" t="s">
        <v>544</v>
      </c>
      <c r="W25" s="3">
        <v>13</v>
      </c>
      <c r="X25" s="3" t="s">
        <v>559</v>
      </c>
      <c r="Y25" s="3">
        <v>1</v>
      </c>
      <c r="Z25" s="3" t="s">
        <v>546</v>
      </c>
      <c r="AA25" s="3">
        <v>8</v>
      </c>
      <c r="AB25" s="3">
        <v>2</v>
      </c>
      <c r="AC25" s="3" t="s">
        <v>579</v>
      </c>
      <c r="AD25" s="4">
        <v>46098</v>
      </c>
      <c r="AE25" s="3">
        <v>8</v>
      </c>
      <c r="AF25" s="3">
        <v>6</v>
      </c>
      <c r="AG25" s="4">
        <v>46098</v>
      </c>
      <c r="AH25" s="4">
        <v>46098</v>
      </c>
      <c r="AI25" s="3">
        <v>0</v>
      </c>
      <c r="AJ25" s="3" t="s">
        <v>544</v>
      </c>
      <c r="AK25" s="4">
        <v>46098</v>
      </c>
      <c r="AL25" s="5">
        <f>IFERROR(IF(Q25=AK25,0,NETWORKDAYS(Q25,AK25,{"01/01/2026";"02/02/2026";"16/03/2026";"02/04/2026";"03/04/2026";"01/05/2026"})),"aun no se factura")</f>
        <v>6</v>
      </c>
      <c r="AM25" s="4" t="str">
        <f>IFERROR(IF(OR(Q25="",AK25=""),"SIN DATO",IF(NETWORKDAYS(Q25,AK25,{"01/01/2026";"02/02/2026";"16/03/2026";"02/04/2026";"03/04/2026";"01/05/2026"})&lt;=1,"1 día o menos",IF(NETWORKDAYS(Q25,AK25,{"01/01/2026";"02/02/2026";"16/03/2026";"02/04/2026";"03/04/2026";"01/05/2026"})&lt;=3,"2 a 3 días",IF(NETWORKDAYS(Q25,AK25,{"01/01/2026";"02/02/2026";"16/03/2026";"02/04/2026";"03/04/2026";"01/05/2026"})&lt;=5,"4 a 5 días",IF(NETWORKDAYS(Q25,AK25,{"01/01/2026";"02/02/2026";"16/03/2026";"02/04/2026";"03/04/2026";"01/05/2026"})&lt;=10,"6 a 10 días",IF(NETWORKDAYS(Q25,AK25,{"01/01/2026";"02/02/2026";"16/03/2026";"02/04/2026";"03/04/2026";"01/05/2026"})&lt;=16,"11 a 15 días","más de 16 días")))))),"aun no se factura")</f>
        <v>6 a 10 días</v>
      </c>
      <c r="AN25" s="4" t="str" cm="1">
        <f t="array" ref="AN25">IFERROR(
  IF(
    NETWORKDAYS(Q25,AK25,{"01/01/2026";"02/02/2026";"16/03/2026";"02/04/2026";"03/04/2026";"01/05/2026"}) &lt;=
    _xlfn.IFS(
      OR(TRIM(A25)="AICM", TRIM(A25)="AÉREO AICM"), 5,
      OR(TRIM(A25)="VERACRUZ", TRIM(A25)="MARÍTIMO VERACRUZ"), 6,
      OR(TRIM(A25)="AIFA", TRIM(A25)="AÉREO AIFA"), 7,
      AND(TRIM(A25)="CORRESPONSALIAS", TRIM(B25)="NUEVO LAREDO"), 6,
      TRIM(A25)="MANZANILLO", 10,
      TRIM(A25)="TOLUCA", 6,
      TRUE, 999
    ),
    "On Time",
    "Delayed"
  ),
  "Faltan fechas"
)</f>
        <v>On Time</v>
      </c>
      <c r="AO25" s="5">
        <v>1</v>
      </c>
      <c r="AP25" s="3" t="s">
        <v>548</v>
      </c>
      <c r="AQ25" s="3" t="s">
        <v>93</v>
      </c>
      <c r="AR25" s="3" t="s">
        <v>112</v>
      </c>
      <c r="AS25" s="3">
        <v>265571440</v>
      </c>
      <c r="AT25" s="3" t="s">
        <v>223</v>
      </c>
      <c r="AU25" s="5">
        <v>6000257</v>
      </c>
      <c r="AV25" s="3" t="s">
        <v>92</v>
      </c>
      <c r="AW25" s="3" t="s">
        <v>290</v>
      </c>
      <c r="AX25" s="3" t="s">
        <v>549</v>
      </c>
      <c r="AY25" s="3"/>
      <c r="AZ25" s="3" t="s">
        <v>550</v>
      </c>
      <c r="BA25" s="3" t="s">
        <v>90</v>
      </c>
      <c r="BB25" s="3"/>
      <c r="BC25" s="3"/>
      <c r="BD25" s="3"/>
      <c r="BE25" s="3"/>
      <c r="BF25" s="3" t="s">
        <v>576</v>
      </c>
      <c r="BG25" s="3" t="s">
        <v>552</v>
      </c>
      <c r="BH25" s="3" t="s">
        <v>607</v>
      </c>
      <c r="BI25" s="3" t="s">
        <v>641</v>
      </c>
      <c r="BJ25" s="3"/>
      <c r="BK25" s="3" t="s">
        <v>554</v>
      </c>
      <c r="BL25" s="3">
        <v>0</v>
      </c>
      <c r="BM25" s="3">
        <v>99</v>
      </c>
      <c r="BN25" s="3" t="s">
        <v>642</v>
      </c>
      <c r="BO25" s="3">
        <v>90</v>
      </c>
      <c r="BP25" s="3">
        <v>2517251.4</v>
      </c>
      <c r="BQ25" s="3" t="s">
        <v>611</v>
      </c>
      <c r="BR25" s="3"/>
      <c r="BS25" s="3" t="s">
        <v>619</v>
      </c>
      <c r="BT25" s="3" t="s">
        <v>558</v>
      </c>
      <c r="BU25" s="3" t="s">
        <v>189</v>
      </c>
      <c r="BV25" s="3" t="s">
        <v>105</v>
      </c>
      <c r="BW25" s="3"/>
      <c r="BX25" s="3"/>
      <c r="BY25" s="3"/>
      <c r="BZ25" s="3"/>
      <c r="CA25" s="3"/>
    </row>
    <row r="26" spans="1:79" x14ac:dyDescent="0.25">
      <c r="A26" s="3" t="s">
        <v>577</v>
      </c>
      <c r="B26" s="3" t="s">
        <v>578</v>
      </c>
      <c r="C26" s="3" t="s">
        <v>305</v>
      </c>
      <c r="D26" s="3">
        <v>430</v>
      </c>
      <c r="E26" s="4">
        <v>46093</v>
      </c>
      <c r="F26" s="3">
        <v>3</v>
      </c>
      <c r="G26" s="22">
        <v>46090</v>
      </c>
      <c r="H26" s="4">
        <v>46093</v>
      </c>
      <c r="I26" s="3">
        <v>3</v>
      </c>
      <c r="J26" s="3" t="s">
        <v>579</v>
      </c>
      <c r="K26" s="22">
        <v>46094</v>
      </c>
      <c r="L26" s="3">
        <v>4</v>
      </c>
      <c r="M26" s="3">
        <f>IFERROR(IF(G26=K26,0,NETWORKDAYS(G26,K26,{"01/01/2026";"02/02/2026";"16/03/2026";"02/04/2026";"03/04/2026";"01/05/2026"})),"Faltan Fechas")</f>
        <v>5</v>
      </c>
      <c r="N26" s="23" t="str">
        <f>IFERROR(IF(OR(G26="",K26=""),"SIN DATO",IF(NETWORKDAYS(G26,K26,{"01/01/2026";"02/02/2026";"16/03/2026";"02/04/2026";"03/04/2026";"01/05/2026"})&lt;=1,"1 día o menos",IF(NETWORKDAYS(G26,K26,{"01/01/2026";"02/02/2026";"16/03/2026";"02/04/2026";"03/04/2026";"01/05/2026"})&lt;=3,"2 a 3 días",IF(NETWORKDAYS(G26,K26,{"01/01/2026";"02/02/2026";"16/03/2026";"02/04/2026";"03/04/2026";"01/05/2026"})&lt;=5,"4 a 5 días",IF(NETWORKDAYS(G26,K26,{"01/01/2026";"02/02/2026";"16/03/2026";"02/04/2026";"03/04/2026";"01/05/2026"})&lt;=10,"6 a 10 días",IF(NETWORKDAYS(G26,K26,{"01/01/2026";"02/02/2026";"16/03/2026";"02/04/2026";"03/04/2026";"01/05/2026"})&lt;=16,"11 a 15 días","más de 16 días")))))),"Aun no se entrega")</f>
        <v>4 a 5 días</v>
      </c>
      <c r="O26" s="3" t="str" cm="1">
        <f t="array" ref="O26">IFERROR(
  IF(
    NETWORKDAYS(G26,K26,{"01/01/2026";"02/02/2026";"16/03/2026";"02/04/2026";"03/04/2026";"01/05/2026"}) &lt;=
    _xlfn.IFS(
      OR(TRIM(A26)="AICM", TRIM(A26)="AÉREO AICM"), 5,
      OR(TRIM(A26)="VERACRUZ", TRIM(A26)="MARÍTIMO VERACRUZ"), 6,
      OR(TRIM(A26)="AIFA", TRIM(A26)="AÉREO AIFA"), 7,
      AND(TRIM(A26)="CORRESPONSALIAS", TRIM(B26)="NUEVO LAREDO"), 6,
      TRIM(A26)="MANZANILLO", 10,
      TRIM(A26)="TOLUCA", 6,
      TRUE, 999
    ),
    "On Time",
    "Delayed"
  ),
  "Faltan fechas"
)</f>
        <v>On Time</v>
      </c>
      <c r="P26" s="24" t="s">
        <v>543</v>
      </c>
      <c r="Q26" s="4">
        <v>46095</v>
      </c>
      <c r="R26" s="5">
        <f>IFERROR(IF(G26=Q26,0,NETWORKDAYS(G26,Q26,{"01/01/2026";"02/02/2026";"16/03/2026";"02/04/2026";"03/04/2026";"01/05/2026"})),"Faltan Fechas")</f>
        <v>5</v>
      </c>
      <c r="S26" s="4" t="str">
        <f>IFERROR(IF(OR(G26="",Q26=""),"SIN DATO",IF(NETWORKDAYS(G26,Q26,{"01/01/2026";"02/02/2026";"16/03/2026";"02/04/2026";"03/04/2026";"01/05/2026"})&lt;=1,"1 día o menos",IF(NETWORKDAYS(G26,Q26,{"01/01/2026";"02/02/2026";"16/03/2026";"02/04/2026";"03/04/2026";"01/05/2026"})&lt;=3,"2 a 3 días",IF(NETWORKDAYS(G26,Q26,{"01/01/2026";"02/02/2026";"16/03/2026";"02/04/2026";"03/04/2026";"01/05/2026"})&lt;=5,"4 a 5 días",IF(NETWORKDAYS(G26,Q26,{"01/01/2026";"02/02/2026";"16/03/2026";"02/04/2026";"03/04/2026";"01/05/2026"})&lt;=10,"6 a 10 días",IF(NETWORKDAYS(G26,Q26,{"01/01/2026";"02/02/2026";"16/03/2026";"02/04/2026";"03/04/2026";"01/05/2026"})&lt;=16,"11 a 15 días","más de 16 días")))))),"Aun no se entrega")</f>
        <v>4 a 5 días</v>
      </c>
      <c r="T26" s="4" t="str" cm="1">
        <f t="array" ref="T26">IFERROR(
  IF(
    NETWORKDAYS(G26,Q26,{"01/01/2026";"02/02/2026";"16/03/2026";"02/04/2026";"03/04/2026";"01/05/2026"}) &lt;=
    _xlfn.IFS(
      OR(TRIM(A26)="AICM", TRIM(A26)="AÉREO AICM"), 5,
      OR(TRIM(A26)="VERACRUZ", TRIM(A26)="MARÍTIMO VERACRUZ"), 6,
      OR(TRIM(A26)="AIFA", TRIM(A26)="AÉREO AIFA"), 7,
      AND(TRIM(A26)="CORRESPONSALIAS", TRIM(B26)="NUEVO LAREDO"), 6,
      TRIM(A26)="MANZANILLO", 10,
      TRIM(A26)="TOLUCA", 6,
      TRUE, 999
    ),
    "On Time",
    "Delayed"
  ),
  "Faltan fechas"
)</f>
        <v>On Time</v>
      </c>
      <c r="U26" s="3">
        <v>5</v>
      </c>
      <c r="V26" s="3" t="s">
        <v>543</v>
      </c>
      <c r="W26" s="3">
        <v>16</v>
      </c>
      <c r="X26" s="3" t="s">
        <v>547</v>
      </c>
      <c r="Y26" s="3">
        <v>1</v>
      </c>
      <c r="Z26" s="3" t="s">
        <v>546</v>
      </c>
      <c r="AA26" s="3">
        <v>3</v>
      </c>
      <c r="AB26" s="3">
        <v>1</v>
      </c>
      <c r="AC26" s="3" t="s">
        <v>546</v>
      </c>
      <c r="AD26" s="4">
        <v>46112</v>
      </c>
      <c r="AE26" s="3">
        <v>16</v>
      </c>
      <c r="AF26" s="3">
        <v>11</v>
      </c>
      <c r="AG26" s="4">
        <v>46111</v>
      </c>
      <c r="AH26" s="4">
        <v>46112</v>
      </c>
      <c r="AI26" s="3">
        <v>1</v>
      </c>
      <c r="AJ26" s="3" t="s">
        <v>547</v>
      </c>
      <c r="AK26" s="4">
        <v>46112</v>
      </c>
      <c r="AL26" s="5">
        <f>IFERROR(IF(Q26=AK26,0,NETWORKDAYS(Q26,AK26,{"01/01/2026";"02/02/2026";"16/03/2026";"02/04/2026";"03/04/2026";"01/05/2026"})),"aun no se factura")</f>
        <v>11</v>
      </c>
      <c r="AM26" s="4" t="str">
        <f>IFERROR(IF(OR(Q26="",AK26=""),"SIN DATO",IF(NETWORKDAYS(Q26,AK26,{"01/01/2026";"02/02/2026";"16/03/2026";"02/04/2026";"03/04/2026";"01/05/2026"})&lt;=1,"1 día o menos",IF(NETWORKDAYS(Q26,AK26,{"01/01/2026";"02/02/2026";"16/03/2026";"02/04/2026";"03/04/2026";"01/05/2026"})&lt;=3,"2 a 3 días",IF(NETWORKDAYS(Q26,AK26,{"01/01/2026";"02/02/2026";"16/03/2026";"02/04/2026";"03/04/2026";"01/05/2026"})&lt;=5,"4 a 5 días",IF(NETWORKDAYS(Q26,AK26,{"01/01/2026";"02/02/2026";"16/03/2026";"02/04/2026";"03/04/2026";"01/05/2026"})&lt;=10,"6 a 10 días",IF(NETWORKDAYS(Q26,AK26,{"01/01/2026";"02/02/2026";"16/03/2026";"02/04/2026";"03/04/2026";"01/05/2026"})&lt;=16,"11 a 15 días","más de 16 días")))))),"aun no se factura")</f>
        <v>11 a 15 días</v>
      </c>
      <c r="AN26" s="4" t="str" cm="1">
        <f t="array" ref="AN26">IFERROR(
  IF(
    NETWORKDAYS(Q26,AK26,{"01/01/2026";"02/02/2026";"16/03/2026";"02/04/2026";"03/04/2026";"01/05/2026"}) &lt;=
    _xlfn.IFS(
      OR(TRIM(A26)="AICM", TRIM(A26)="AÉREO AICM"), 5,
      OR(TRIM(A26)="VERACRUZ", TRIM(A26)="MARÍTIMO VERACRUZ"), 6,
      OR(TRIM(A26)="AIFA", TRIM(A26)="AÉREO AIFA"), 7,
      AND(TRIM(A26)="CORRESPONSALIAS", TRIM(B26)="NUEVO LAREDO"), 6,
      TRIM(A26)="MANZANILLO", 10,
      TRIM(A26)="TOLUCA", 6,
      TRUE, 999
    ),
    "On Time",
    "Delayed"
  ),
  "Faltan fechas"
)</f>
        <v>Delayed</v>
      </c>
      <c r="AO26" s="5">
        <v>1</v>
      </c>
      <c r="AP26" s="3" t="s">
        <v>548</v>
      </c>
      <c r="AQ26" s="3" t="s">
        <v>93</v>
      </c>
      <c r="AR26" s="3" t="s">
        <v>112</v>
      </c>
      <c r="AS26" s="3" t="s">
        <v>308</v>
      </c>
      <c r="AT26" s="3" t="s">
        <v>223</v>
      </c>
      <c r="AU26" s="5">
        <v>6000273</v>
      </c>
      <c r="AV26" s="3" t="s">
        <v>92</v>
      </c>
      <c r="AW26" s="3" t="s">
        <v>124</v>
      </c>
      <c r="AX26" s="3" t="s">
        <v>549</v>
      </c>
      <c r="AY26" s="3"/>
      <c r="AZ26" s="3" t="s">
        <v>550</v>
      </c>
      <c r="BA26" s="3" t="s">
        <v>90</v>
      </c>
      <c r="BB26" s="3"/>
      <c r="BC26" s="3"/>
      <c r="BD26" s="3"/>
      <c r="BE26" s="3"/>
      <c r="BF26" s="3" t="s">
        <v>576</v>
      </c>
      <c r="BG26" s="3" t="s">
        <v>552</v>
      </c>
      <c r="BH26" s="3" t="s">
        <v>580</v>
      </c>
      <c r="BI26" s="3"/>
      <c r="BJ26" s="3" t="s">
        <v>643</v>
      </c>
      <c r="BK26" s="3" t="s">
        <v>554</v>
      </c>
      <c r="BL26" s="3">
        <v>0</v>
      </c>
      <c r="BM26" s="3">
        <v>99</v>
      </c>
      <c r="BN26" s="3" t="s">
        <v>644</v>
      </c>
      <c r="BO26" s="3">
        <v>90</v>
      </c>
      <c r="BP26" s="3" t="s">
        <v>645</v>
      </c>
      <c r="BQ26" s="3" t="s">
        <v>646</v>
      </c>
      <c r="BR26" s="3"/>
      <c r="BS26" s="3" t="s">
        <v>558</v>
      </c>
      <c r="BT26" s="3" t="s">
        <v>558</v>
      </c>
      <c r="BU26" s="3" t="s">
        <v>105</v>
      </c>
      <c r="BV26" s="3" t="s">
        <v>105</v>
      </c>
      <c r="BW26" s="3"/>
      <c r="BX26" s="3"/>
      <c r="BY26" s="3"/>
      <c r="BZ26" s="3"/>
      <c r="CA26" s="3"/>
    </row>
    <row r="27" spans="1:79" x14ac:dyDescent="0.25">
      <c r="A27" s="3" t="s">
        <v>577</v>
      </c>
      <c r="B27" s="3" t="s">
        <v>578</v>
      </c>
      <c r="C27" s="3" t="s">
        <v>257</v>
      </c>
      <c r="D27" s="3">
        <v>430</v>
      </c>
      <c r="E27" s="4">
        <v>46084</v>
      </c>
      <c r="F27" s="3">
        <v>3</v>
      </c>
      <c r="G27" s="22">
        <v>46077</v>
      </c>
      <c r="H27" s="4">
        <v>46084</v>
      </c>
      <c r="I27" s="3">
        <v>5</v>
      </c>
      <c r="J27" s="3" t="s">
        <v>543</v>
      </c>
      <c r="K27" s="22">
        <v>46085</v>
      </c>
      <c r="L27" s="3">
        <v>6</v>
      </c>
      <c r="M27" s="3">
        <f>IFERROR(IF(G27=K27,0,NETWORKDAYS(G27,K27,{"01/01/2026";"02/02/2026";"16/03/2026";"02/04/2026";"03/04/2026";"01/05/2026"})),"Faltan Fechas")</f>
        <v>7</v>
      </c>
      <c r="N27" s="23" t="str">
        <f>IFERROR(IF(OR(G27="",K27=""),"SIN DATO",IF(NETWORKDAYS(G27,K27,{"01/01/2026";"02/02/2026";"16/03/2026";"02/04/2026";"03/04/2026";"01/05/2026"})&lt;=1,"1 día o menos",IF(NETWORKDAYS(G27,K27,{"01/01/2026";"02/02/2026";"16/03/2026";"02/04/2026";"03/04/2026";"01/05/2026"})&lt;=3,"2 a 3 días",IF(NETWORKDAYS(G27,K27,{"01/01/2026";"02/02/2026";"16/03/2026";"02/04/2026";"03/04/2026";"01/05/2026"})&lt;=5,"4 a 5 días",IF(NETWORKDAYS(G27,K27,{"01/01/2026";"02/02/2026";"16/03/2026";"02/04/2026";"03/04/2026";"01/05/2026"})&lt;=10,"6 a 10 días",IF(NETWORKDAYS(G27,K27,{"01/01/2026";"02/02/2026";"16/03/2026";"02/04/2026";"03/04/2026";"01/05/2026"})&lt;=16,"11 a 15 días","más de 16 días")))))),"Aun no se entrega")</f>
        <v>6 a 10 días</v>
      </c>
      <c r="O27" s="3" t="str" cm="1">
        <f t="array" ref="O27">IFERROR(
  IF(
    NETWORKDAYS(G27,K27,{"01/01/2026";"02/02/2026";"16/03/2026";"02/04/2026";"03/04/2026";"01/05/2026"}) &lt;=
    _xlfn.IFS(
      OR(TRIM(A27)="AICM", TRIM(A27)="AÉREO AICM"), 5,
      OR(TRIM(A27)="VERACRUZ", TRIM(A27)="MARÍTIMO VERACRUZ"), 6,
      OR(TRIM(A27)="AIFA", TRIM(A27)="AÉREO AIFA"), 7,
      AND(TRIM(A27)="CORRESPONSALIAS", TRIM(B27)="NUEVO LAREDO"), 6,
      TRIM(A27)="MANZANILLO", 10,
      TRIM(A27)="TOLUCA", 6,
      TRUE, 999
    ),
    "On Time",
    "Delayed"
  ),
  "Faltan fechas"
)</f>
        <v>Delayed</v>
      </c>
      <c r="P27" s="24" t="s">
        <v>544</v>
      </c>
      <c r="Q27" s="4">
        <v>46086</v>
      </c>
      <c r="R27" s="5">
        <f>IFERROR(IF(G27=Q27,0,NETWORKDAYS(G27,Q27,{"01/01/2026";"02/02/2026";"16/03/2026";"02/04/2026";"03/04/2026";"01/05/2026"})),"Faltan Fechas")</f>
        <v>8</v>
      </c>
      <c r="S27" s="4" t="str">
        <f>IFERROR(IF(OR(G27="",Q27=""),"SIN DATO",IF(NETWORKDAYS(G27,Q27,{"01/01/2026";"02/02/2026";"16/03/2026";"02/04/2026";"03/04/2026";"01/05/2026"})&lt;=1,"1 día o menos",IF(NETWORKDAYS(G27,Q27,{"01/01/2026";"02/02/2026";"16/03/2026";"02/04/2026";"03/04/2026";"01/05/2026"})&lt;=3,"2 a 3 días",IF(NETWORKDAYS(G27,Q27,{"01/01/2026";"02/02/2026";"16/03/2026";"02/04/2026";"03/04/2026";"01/05/2026"})&lt;=5,"4 a 5 días",IF(NETWORKDAYS(G27,Q27,{"01/01/2026";"02/02/2026";"16/03/2026";"02/04/2026";"03/04/2026";"01/05/2026"})&lt;=10,"6 a 10 días",IF(NETWORKDAYS(G27,Q27,{"01/01/2026";"02/02/2026";"16/03/2026";"02/04/2026";"03/04/2026";"01/05/2026"})&lt;=16,"11 a 15 días","más de 16 días")))))),"Aun no se entrega")</f>
        <v>6 a 10 días</v>
      </c>
      <c r="T27" s="4" t="str" cm="1">
        <f t="array" ref="T27">IFERROR(
  IF(
    NETWORKDAYS(G27,Q27,{"01/01/2026";"02/02/2026";"16/03/2026";"02/04/2026";"03/04/2026";"01/05/2026"}) &lt;=
    _xlfn.IFS(
      OR(TRIM(A27)="AICM", TRIM(A27)="AÉREO AICM"), 5,
      OR(TRIM(A27)="VERACRUZ", TRIM(A27)="MARÍTIMO VERACRUZ"), 6,
      OR(TRIM(A27)="AIFA", TRIM(A27)="AÉREO AIFA"), 7,
      AND(TRIM(A27)="CORRESPONSALIAS", TRIM(B27)="NUEVO LAREDO"), 6,
      TRIM(A27)="MANZANILLO", 10,
      TRIM(A27)="TOLUCA", 6,
      TRUE, 999
    ),
    "On Time",
    "Delayed"
  ),
  "Faltan fechas"
)</f>
        <v>Delayed</v>
      </c>
      <c r="U27" s="3">
        <v>9</v>
      </c>
      <c r="V27" s="3" t="s">
        <v>544</v>
      </c>
      <c r="W27" s="3">
        <v>20</v>
      </c>
      <c r="X27" s="3" t="s">
        <v>547</v>
      </c>
      <c r="Y27" s="3">
        <v>1</v>
      </c>
      <c r="Z27" s="3" t="s">
        <v>546</v>
      </c>
      <c r="AA27" s="3">
        <v>7</v>
      </c>
      <c r="AB27" s="3">
        <v>1</v>
      </c>
      <c r="AC27" s="3" t="s">
        <v>546</v>
      </c>
      <c r="AD27" s="4">
        <v>46105</v>
      </c>
      <c r="AE27" s="3">
        <v>18</v>
      </c>
      <c r="AF27" s="3">
        <v>13</v>
      </c>
      <c r="AG27" s="4">
        <v>46104</v>
      </c>
      <c r="AH27" s="4">
        <v>46105</v>
      </c>
      <c r="AI27" s="3">
        <v>1</v>
      </c>
      <c r="AJ27" s="3" t="s">
        <v>547</v>
      </c>
      <c r="AK27" s="4">
        <v>46105</v>
      </c>
      <c r="AL27" s="5">
        <f>IFERROR(IF(Q27=AK27,0,NETWORKDAYS(Q27,AK27,{"01/01/2026";"02/02/2026";"16/03/2026";"02/04/2026";"03/04/2026";"01/05/2026"})),"aun no se factura")</f>
        <v>13</v>
      </c>
      <c r="AM27" s="4" t="str">
        <f>IFERROR(IF(OR(Q27="",AK27=""),"SIN DATO",IF(NETWORKDAYS(Q27,AK27,{"01/01/2026";"02/02/2026";"16/03/2026";"02/04/2026";"03/04/2026";"01/05/2026"})&lt;=1,"1 día o menos",IF(NETWORKDAYS(Q27,AK27,{"01/01/2026";"02/02/2026";"16/03/2026";"02/04/2026";"03/04/2026";"01/05/2026"})&lt;=3,"2 a 3 días",IF(NETWORKDAYS(Q27,AK27,{"01/01/2026";"02/02/2026";"16/03/2026";"02/04/2026";"03/04/2026";"01/05/2026"})&lt;=5,"4 a 5 días",IF(NETWORKDAYS(Q27,AK27,{"01/01/2026";"02/02/2026";"16/03/2026";"02/04/2026";"03/04/2026";"01/05/2026"})&lt;=10,"6 a 10 días",IF(NETWORKDAYS(Q27,AK27,{"01/01/2026";"02/02/2026";"16/03/2026";"02/04/2026";"03/04/2026";"01/05/2026"})&lt;=16,"11 a 15 días","más de 16 días")))))),"aun no se factura")</f>
        <v>11 a 15 días</v>
      </c>
      <c r="AN27" s="4" t="str" cm="1">
        <f t="array" ref="AN27">IFERROR(
  IF(
    NETWORKDAYS(Q27,AK27,{"01/01/2026";"02/02/2026";"16/03/2026";"02/04/2026";"03/04/2026";"01/05/2026"}) &lt;=
    _xlfn.IFS(
      OR(TRIM(A27)="AICM", TRIM(A27)="AÉREO AICM"), 5,
      OR(TRIM(A27)="VERACRUZ", TRIM(A27)="MARÍTIMO VERACRUZ"), 6,
      OR(TRIM(A27)="AIFA", TRIM(A27)="AÉREO AIFA"), 7,
      AND(TRIM(A27)="CORRESPONSALIAS", TRIM(B27)="NUEVO LAREDO"), 6,
      TRIM(A27)="MANZANILLO", 10,
      TRIM(A27)="TOLUCA", 6,
      TRUE, 999
    ),
    "On Time",
    "Delayed"
  ),
  "Faltan fechas"
)</f>
        <v>Delayed</v>
      </c>
      <c r="AO27" s="5">
        <v>1</v>
      </c>
      <c r="AP27" s="3" t="s">
        <v>548</v>
      </c>
      <c r="AQ27" s="3" t="s">
        <v>93</v>
      </c>
      <c r="AR27" s="3" t="s">
        <v>112</v>
      </c>
      <c r="AS27" s="3" t="s">
        <v>259</v>
      </c>
      <c r="AT27" s="3" t="s">
        <v>223</v>
      </c>
      <c r="AU27" s="5">
        <v>6000303</v>
      </c>
      <c r="AV27" s="3" t="s">
        <v>92</v>
      </c>
      <c r="AW27" s="3" t="s">
        <v>220</v>
      </c>
      <c r="AX27" s="3" t="s">
        <v>549</v>
      </c>
      <c r="AY27" s="3"/>
      <c r="AZ27" s="3" t="s">
        <v>550</v>
      </c>
      <c r="BA27" s="3" t="s">
        <v>90</v>
      </c>
      <c r="BB27" s="3"/>
      <c r="BC27" s="3" t="s">
        <v>107</v>
      </c>
      <c r="BD27" s="3"/>
      <c r="BE27" s="3" t="s">
        <v>107</v>
      </c>
      <c r="BF27" s="3" t="s">
        <v>576</v>
      </c>
      <c r="BG27" s="3" t="s">
        <v>552</v>
      </c>
      <c r="BH27" s="3" t="s">
        <v>607</v>
      </c>
      <c r="BI27" s="3" t="s">
        <v>649</v>
      </c>
      <c r="BJ27" s="3"/>
      <c r="BK27" s="3" t="s">
        <v>554</v>
      </c>
      <c r="BL27" s="3">
        <v>0</v>
      </c>
      <c r="BM27" s="3" t="s">
        <v>582</v>
      </c>
      <c r="BN27" s="3" t="s">
        <v>650</v>
      </c>
      <c r="BO27" s="3">
        <v>90</v>
      </c>
      <c r="BP27" s="3" t="s">
        <v>651</v>
      </c>
      <c r="BQ27" s="3" t="s">
        <v>652</v>
      </c>
      <c r="BR27" s="3"/>
      <c r="BS27" s="3" t="s">
        <v>558</v>
      </c>
      <c r="BT27" s="3" t="s">
        <v>558</v>
      </c>
      <c r="BU27" s="3" t="s">
        <v>105</v>
      </c>
      <c r="BV27" s="3" t="s">
        <v>105</v>
      </c>
      <c r="BW27" s="3"/>
      <c r="BX27" s="3"/>
      <c r="BY27" s="3"/>
      <c r="BZ27" s="3"/>
      <c r="CA27" s="3"/>
    </row>
    <row r="28" spans="1:79" x14ac:dyDescent="0.25">
      <c r="A28" s="3" t="s">
        <v>577</v>
      </c>
      <c r="B28" s="3" t="s">
        <v>578</v>
      </c>
      <c r="C28" s="3" t="s">
        <v>293</v>
      </c>
      <c r="D28" s="3">
        <v>430</v>
      </c>
      <c r="E28" s="4">
        <v>46092</v>
      </c>
      <c r="F28" s="3">
        <v>3</v>
      </c>
      <c r="G28" s="22">
        <v>46077</v>
      </c>
      <c r="H28" s="4">
        <v>46092</v>
      </c>
      <c r="I28" s="3">
        <v>11</v>
      </c>
      <c r="J28" s="3" t="s">
        <v>559</v>
      </c>
      <c r="K28" s="22">
        <v>46093</v>
      </c>
      <c r="L28" s="3">
        <v>12</v>
      </c>
      <c r="M28" s="3">
        <f>IFERROR(IF(G28=K28,0,NETWORKDAYS(G28,K28,{"01/01/2026";"02/02/2026";"16/03/2026";"02/04/2026";"03/04/2026";"01/05/2026"})),"Faltan Fechas")</f>
        <v>13</v>
      </c>
      <c r="N28" s="23" t="str">
        <f>IFERROR(IF(OR(G28="",K28=""),"SIN DATO",IF(NETWORKDAYS(G28,K28,{"01/01/2026";"02/02/2026";"16/03/2026";"02/04/2026";"03/04/2026";"01/05/2026"})&lt;=1,"1 día o menos",IF(NETWORKDAYS(G28,K28,{"01/01/2026";"02/02/2026";"16/03/2026";"02/04/2026";"03/04/2026";"01/05/2026"})&lt;=3,"2 a 3 días",IF(NETWORKDAYS(G28,K28,{"01/01/2026";"02/02/2026";"16/03/2026";"02/04/2026";"03/04/2026";"01/05/2026"})&lt;=5,"4 a 5 días",IF(NETWORKDAYS(G28,K28,{"01/01/2026";"02/02/2026";"16/03/2026";"02/04/2026";"03/04/2026";"01/05/2026"})&lt;=10,"6 a 10 días",IF(NETWORKDAYS(G28,K28,{"01/01/2026";"02/02/2026";"16/03/2026";"02/04/2026";"03/04/2026";"01/05/2026"})&lt;=16,"11 a 15 días","más de 16 días")))))),"Aun no se entrega")</f>
        <v>11 a 15 días</v>
      </c>
      <c r="O28" s="3" t="str" cm="1">
        <f t="array" ref="O28">IFERROR(
  IF(
    NETWORKDAYS(G28,K28,{"01/01/2026";"02/02/2026";"16/03/2026";"02/04/2026";"03/04/2026";"01/05/2026"}) &lt;=
    _xlfn.IFS(
      OR(TRIM(A28)="AICM", TRIM(A28)="AÉREO AICM"), 5,
      OR(TRIM(A28)="VERACRUZ", TRIM(A28)="MARÍTIMO VERACRUZ"), 6,
      OR(TRIM(A28)="AIFA", TRIM(A28)="AÉREO AIFA"), 7,
      AND(TRIM(A28)="CORRESPONSALIAS", TRIM(B28)="NUEVO LAREDO"), 6,
      TRIM(A28)="MANZANILLO", 10,
      TRIM(A28)="TOLUCA", 6,
      TRUE, 999
    ),
    "On Time",
    "Delayed"
  ),
  "Faltan fechas"
)</f>
        <v>Delayed</v>
      </c>
      <c r="P28" s="24" t="s">
        <v>568</v>
      </c>
      <c r="Q28" s="4">
        <v>46094</v>
      </c>
      <c r="R28" s="5">
        <f>IFERROR(IF(G28=Q28,0,NETWORKDAYS(G28,Q28,{"01/01/2026";"02/02/2026";"16/03/2026";"02/04/2026";"03/04/2026";"01/05/2026"})),"Faltan Fechas")</f>
        <v>14</v>
      </c>
      <c r="S28" s="4" t="str">
        <f>IFERROR(IF(OR(G28="",Q28=""),"SIN DATO",IF(NETWORKDAYS(G28,Q28,{"01/01/2026";"02/02/2026";"16/03/2026";"02/04/2026";"03/04/2026";"01/05/2026"})&lt;=1,"1 día o menos",IF(NETWORKDAYS(G28,Q28,{"01/01/2026";"02/02/2026";"16/03/2026";"02/04/2026";"03/04/2026";"01/05/2026"})&lt;=3,"2 a 3 días",IF(NETWORKDAYS(G28,Q28,{"01/01/2026";"02/02/2026";"16/03/2026";"02/04/2026";"03/04/2026";"01/05/2026"})&lt;=5,"4 a 5 días",IF(NETWORKDAYS(G28,Q28,{"01/01/2026";"02/02/2026";"16/03/2026";"02/04/2026";"03/04/2026";"01/05/2026"})&lt;=10,"6 a 10 días",IF(NETWORKDAYS(G28,Q28,{"01/01/2026";"02/02/2026";"16/03/2026";"02/04/2026";"03/04/2026";"01/05/2026"})&lt;=16,"11 a 15 días","más de 16 días")))))),"Aun no se entrega")</f>
        <v>11 a 15 días</v>
      </c>
      <c r="T28" s="4" t="str" cm="1">
        <f t="array" ref="T28">IFERROR(
  IF(
    NETWORKDAYS(G28,Q28,{"01/01/2026";"02/02/2026";"16/03/2026";"02/04/2026";"03/04/2026";"01/05/2026"}) &lt;=
    _xlfn.IFS(
      OR(TRIM(A28)="AICM", TRIM(A28)="AÉREO AICM"), 5,
      OR(TRIM(A28)="VERACRUZ", TRIM(A28)="MARÍTIMO VERACRUZ"), 6,
      OR(TRIM(A28)="AIFA", TRIM(A28)="AÉREO AIFA"), 7,
      AND(TRIM(A28)="CORRESPONSALIAS", TRIM(B28)="NUEVO LAREDO"), 6,
      TRIM(A28)="MANZANILLO", 10,
      TRIM(A28)="TOLUCA", 6,
      TRUE, 999
    ),
    "On Time",
    "Delayed"
  ),
  "Faltan fechas"
)</f>
        <v>Delayed</v>
      </c>
      <c r="U28" s="3">
        <v>0</v>
      </c>
      <c r="V28" s="3" t="s">
        <v>569</v>
      </c>
      <c r="W28" s="3">
        <v>20</v>
      </c>
      <c r="X28" s="3" t="s">
        <v>547</v>
      </c>
      <c r="Y28" s="3">
        <v>1</v>
      </c>
      <c r="Z28" s="3" t="s">
        <v>546</v>
      </c>
      <c r="AA28" s="3">
        <v>15</v>
      </c>
      <c r="AB28" s="3">
        <v>-46091</v>
      </c>
      <c r="AC28" s="3" t="s">
        <v>545</v>
      </c>
      <c r="AD28" s="4">
        <v>46105</v>
      </c>
      <c r="AE28" s="3">
        <v>46105</v>
      </c>
      <c r="AF28" s="3">
        <v>32931</v>
      </c>
      <c r="AG28" s="4">
        <v>46107</v>
      </c>
      <c r="AH28" s="4">
        <v>46105</v>
      </c>
      <c r="AI28" s="3">
        <v>-2</v>
      </c>
      <c r="AJ28" s="3" t="s">
        <v>545</v>
      </c>
      <c r="AK28" s="4">
        <v>46105</v>
      </c>
      <c r="AL28" s="5">
        <f>IFERROR(IF(Q28=AK28,0,NETWORKDAYS(Q28,AK28,{"01/01/2026";"02/02/2026";"16/03/2026";"02/04/2026";"03/04/2026";"01/05/2026"})),"aun no se factura")</f>
        <v>7</v>
      </c>
      <c r="AM28" s="4" t="str">
        <f>IFERROR(IF(OR(Q28="",AK28=""),"SIN DATO",IF(NETWORKDAYS(Q28,AK28,{"01/01/2026";"02/02/2026";"16/03/2026";"02/04/2026";"03/04/2026";"01/05/2026"})&lt;=1,"1 día o menos",IF(NETWORKDAYS(Q28,AK28,{"01/01/2026";"02/02/2026";"16/03/2026";"02/04/2026";"03/04/2026";"01/05/2026"})&lt;=3,"2 a 3 días",IF(NETWORKDAYS(Q28,AK28,{"01/01/2026";"02/02/2026";"16/03/2026";"02/04/2026";"03/04/2026";"01/05/2026"})&lt;=5,"4 a 5 días",IF(NETWORKDAYS(Q28,AK28,{"01/01/2026";"02/02/2026";"16/03/2026";"02/04/2026";"03/04/2026";"01/05/2026"})&lt;=10,"6 a 10 días",IF(NETWORKDAYS(Q28,AK28,{"01/01/2026";"02/02/2026";"16/03/2026";"02/04/2026";"03/04/2026";"01/05/2026"})&lt;=16,"11 a 15 días","más de 16 días")))))),"aun no se factura")</f>
        <v>6 a 10 días</v>
      </c>
      <c r="AN28" s="4" t="str" cm="1">
        <f t="array" ref="AN28">IFERROR(
  IF(
    NETWORKDAYS(Q28,AK28,{"01/01/2026";"02/02/2026";"16/03/2026";"02/04/2026";"03/04/2026";"01/05/2026"}) &lt;=
    _xlfn.IFS(
      OR(TRIM(A28)="AICM", TRIM(A28)="AÉREO AICM"), 5,
      OR(TRIM(A28)="VERACRUZ", TRIM(A28)="MARÍTIMO VERACRUZ"), 6,
      OR(TRIM(A28)="AIFA", TRIM(A28)="AÉREO AIFA"), 7,
      AND(TRIM(A28)="CORRESPONSALIAS", TRIM(B28)="NUEVO LAREDO"), 6,
      TRIM(A28)="MANZANILLO", 10,
      TRIM(A28)="TOLUCA", 6,
      TRUE, 999
    ),
    "On Time",
    "Delayed"
  ),
  "Faltan fechas"
)</f>
        <v>Delayed</v>
      </c>
      <c r="AO28" s="5">
        <v>0</v>
      </c>
      <c r="AP28" s="3" t="s">
        <v>548</v>
      </c>
      <c r="AQ28" s="3" t="s">
        <v>93</v>
      </c>
      <c r="AR28" s="3" t="s">
        <v>112</v>
      </c>
      <c r="AS28" s="3" t="s">
        <v>259</v>
      </c>
      <c r="AT28" s="3" t="s">
        <v>223</v>
      </c>
      <c r="AU28" s="5">
        <v>6000375</v>
      </c>
      <c r="AV28" s="3" t="s">
        <v>92</v>
      </c>
      <c r="AW28" s="3" t="s">
        <v>295</v>
      </c>
      <c r="AX28" s="3" t="s">
        <v>549</v>
      </c>
      <c r="AY28" s="3"/>
      <c r="AZ28" s="3" t="s">
        <v>550</v>
      </c>
      <c r="BA28" s="3" t="s">
        <v>90</v>
      </c>
      <c r="BB28" s="3"/>
      <c r="BC28" s="3" t="s">
        <v>107</v>
      </c>
      <c r="BD28" s="3" t="s">
        <v>653</v>
      </c>
      <c r="BE28" s="3" t="s">
        <v>107</v>
      </c>
      <c r="BF28" s="3" t="s">
        <v>576</v>
      </c>
      <c r="BG28" s="3" t="s">
        <v>552</v>
      </c>
      <c r="BH28" s="3" t="s">
        <v>592</v>
      </c>
      <c r="BI28" s="3" t="s">
        <v>654</v>
      </c>
      <c r="BJ28" s="3"/>
      <c r="BK28" s="3" t="s">
        <v>554</v>
      </c>
      <c r="BL28" s="3">
        <v>0</v>
      </c>
      <c r="BM28" s="3">
        <v>99</v>
      </c>
      <c r="BN28" s="3" t="s">
        <v>655</v>
      </c>
      <c r="BO28" s="3">
        <v>90</v>
      </c>
      <c r="BP28" s="3" t="s">
        <v>656</v>
      </c>
      <c r="BQ28" s="3" t="s">
        <v>657</v>
      </c>
      <c r="BR28" s="3"/>
      <c r="BS28" s="3" t="s">
        <v>558</v>
      </c>
      <c r="BT28" s="3" t="s">
        <v>558</v>
      </c>
      <c r="BU28" s="3" t="s">
        <v>105</v>
      </c>
      <c r="BV28" s="3" t="s">
        <v>105</v>
      </c>
      <c r="BW28" s="3"/>
      <c r="BX28" s="3"/>
      <c r="BY28" s="3"/>
      <c r="BZ28" s="3"/>
      <c r="CA28" s="3"/>
    </row>
    <row r="29" spans="1:79" x14ac:dyDescent="0.25">
      <c r="A29" s="3" t="s">
        <v>577</v>
      </c>
      <c r="B29" s="3" t="s">
        <v>578</v>
      </c>
      <c r="C29" s="3" t="s">
        <v>343</v>
      </c>
      <c r="D29" s="3">
        <v>430</v>
      </c>
      <c r="E29" s="4">
        <v>46091</v>
      </c>
      <c r="F29" s="3">
        <v>3</v>
      </c>
      <c r="G29" s="22">
        <v>46077</v>
      </c>
      <c r="H29" s="4">
        <v>46091</v>
      </c>
      <c r="I29" s="3">
        <v>10</v>
      </c>
      <c r="J29" s="3" t="s">
        <v>544</v>
      </c>
      <c r="K29" s="22">
        <v>46091</v>
      </c>
      <c r="L29" s="3">
        <v>10</v>
      </c>
      <c r="M29" s="3">
        <f>IFERROR(IF(G29=K29,0,NETWORKDAYS(G29,K29,{"01/01/2026";"02/02/2026";"16/03/2026";"02/04/2026";"03/04/2026";"01/05/2026"})),"Faltan Fechas")</f>
        <v>11</v>
      </c>
      <c r="N29" s="23" t="str">
        <f>IFERROR(IF(OR(G29="",K29=""),"SIN DATO",IF(NETWORKDAYS(G29,K29,{"01/01/2026";"02/02/2026";"16/03/2026";"02/04/2026";"03/04/2026";"01/05/2026"})&lt;=1,"1 día o menos",IF(NETWORKDAYS(G29,K29,{"01/01/2026";"02/02/2026";"16/03/2026";"02/04/2026";"03/04/2026";"01/05/2026"})&lt;=3,"2 a 3 días",IF(NETWORKDAYS(G29,K29,{"01/01/2026";"02/02/2026";"16/03/2026";"02/04/2026";"03/04/2026";"01/05/2026"})&lt;=5,"4 a 5 días",IF(NETWORKDAYS(G29,K29,{"01/01/2026";"02/02/2026";"16/03/2026";"02/04/2026";"03/04/2026";"01/05/2026"})&lt;=10,"6 a 10 días",IF(NETWORKDAYS(G29,K29,{"01/01/2026";"02/02/2026";"16/03/2026";"02/04/2026";"03/04/2026";"01/05/2026"})&lt;=16,"11 a 15 días","más de 16 días")))))),"Aun no se entrega")</f>
        <v>11 a 15 días</v>
      </c>
      <c r="O29" s="3" t="str" cm="1">
        <f t="array" ref="O29">IFERROR(
  IF(
    NETWORKDAYS(G29,K29,{"01/01/2026";"02/02/2026";"16/03/2026";"02/04/2026";"03/04/2026";"01/05/2026"}) &lt;=
    _xlfn.IFS(
      OR(TRIM(A29)="AICM", TRIM(A29)="AÉREO AICM"), 5,
      OR(TRIM(A29)="VERACRUZ", TRIM(A29)="MARÍTIMO VERACRUZ"), 6,
      OR(TRIM(A29)="AIFA", TRIM(A29)="AÉREO AIFA"), 7,
      AND(TRIM(A29)="CORRESPONSALIAS", TRIM(B29)="NUEVO LAREDO"), 6,
      TRIM(A29)="MANZANILLO", 10,
      TRIM(A29)="TOLUCA", 6,
      TRUE, 999
    ),
    "On Time",
    "Delayed"
  ),
  "Faltan fechas"
)</f>
        <v>Delayed</v>
      </c>
      <c r="P29" s="24" t="s">
        <v>559</v>
      </c>
      <c r="Q29" s="4">
        <v>46094</v>
      </c>
      <c r="R29" s="5">
        <f>IFERROR(IF(G29=Q29,0,NETWORKDAYS(G29,Q29,{"01/01/2026";"02/02/2026";"16/03/2026";"02/04/2026";"03/04/2026";"01/05/2026"})),"Faltan Fechas")</f>
        <v>14</v>
      </c>
      <c r="S29" s="4" t="str">
        <f>IFERROR(IF(OR(G29="",Q29=""),"SIN DATO",IF(NETWORKDAYS(G29,Q29,{"01/01/2026";"02/02/2026";"16/03/2026";"02/04/2026";"03/04/2026";"01/05/2026"})&lt;=1,"1 día o menos",IF(NETWORKDAYS(G29,Q29,{"01/01/2026";"02/02/2026";"16/03/2026";"02/04/2026";"03/04/2026";"01/05/2026"})&lt;=3,"2 a 3 días",IF(NETWORKDAYS(G29,Q29,{"01/01/2026";"02/02/2026";"16/03/2026";"02/04/2026";"03/04/2026";"01/05/2026"})&lt;=5,"4 a 5 días",IF(NETWORKDAYS(G29,Q29,{"01/01/2026";"02/02/2026";"16/03/2026";"02/04/2026";"03/04/2026";"01/05/2026"})&lt;=10,"6 a 10 días",IF(NETWORKDAYS(G29,Q29,{"01/01/2026";"02/02/2026";"16/03/2026";"02/04/2026";"03/04/2026";"01/05/2026"})&lt;=16,"11 a 15 días","más de 16 días")))))),"Aun no se entrega")</f>
        <v>11 a 15 días</v>
      </c>
      <c r="T29" s="4" t="str" cm="1">
        <f t="array" ref="T29">IFERROR(
  IF(
    NETWORKDAYS(G29,Q29,{"01/01/2026";"02/02/2026";"16/03/2026";"02/04/2026";"03/04/2026";"01/05/2026"}) &lt;=
    _xlfn.IFS(
      OR(TRIM(A29)="AICM", TRIM(A29)="AÉREO AICM"), 5,
      OR(TRIM(A29)="VERACRUZ", TRIM(A29)="MARÍTIMO VERACRUZ"), 6,
      OR(TRIM(A29)="AIFA", TRIM(A29)="AÉREO AIFA"), 7,
      AND(TRIM(A29)="CORRESPONSALIAS", TRIM(B29)="NUEVO LAREDO"), 6,
      TRIM(A29)="MANZANILLO", 10,
      TRIM(A29)="TOLUCA", 6,
      TRUE, 999
    ),
    "On Time",
    "Delayed"
  ),
  "Faltan fechas"
)</f>
        <v>Delayed</v>
      </c>
      <c r="U29" s="3">
        <v>0</v>
      </c>
      <c r="V29" s="3" t="s">
        <v>569</v>
      </c>
      <c r="W29" s="3">
        <v>20</v>
      </c>
      <c r="X29" s="3" t="s">
        <v>547</v>
      </c>
      <c r="Y29" s="3">
        <v>0</v>
      </c>
      <c r="Z29" s="3" t="s">
        <v>546</v>
      </c>
      <c r="AA29" s="3">
        <v>14</v>
      </c>
      <c r="AB29" s="3">
        <v>-46089</v>
      </c>
      <c r="AC29" s="3" t="s">
        <v>545</v>
      </c>
      <c r="AD29" s="4">
        <v>46105</v>
      </c>
      <c r="AE29" s="3">
        <v>46102</v>
      </c>
      <c r="AF29" s="3">
        <v>32931</v>
      </c>
      <c r="AG29" s="4">
        <v>46104</v>
      </c>
      <c r="AH29" s="4">
        <v>46105</v>
      </c>
      <c r="AI29" s="3">
        <v>1</v>
      </c>
      <c r="AJ29" s="3" t="s">
        <v>545</v>
      </c>
      <c r="AK29" s="4">
        <v>46105</v>
      </c>
      <c r="AL29" s="5">
        <f>IFERROR(IF(Q29=AK29,0,NETWORKDAYS(Q29,AK29,{"01/01/2026";"02/02/2026";"16/03/2026";"02/04/2026";"03/04/2026";"01/05/2026"})),"aun no se factura")</f>
        <v>7</v>
      </c>
      <c r="AM29" s="4" t="str">
        <f>IFERROR(IF(OR(Q29="",AK29=""),"SIN DATO",IF(NETWORKDAYS(Q29,AK29,{"01/01/2026";"02/02/2026";"16/03/2026";"02/04/2026";"03/04/2026";"01/05/2026"})&lt;=1,"1 día o menos",IF(NETWORKDAYS(Q29,AK29,{"01/01/2026";"02/02/2026";"16/03/2026";"02/04/2026";"03/04/2026";"01/05/2026"})&lt;=3,"2 a 3 días",IF(NETWORKDAYS(Q29,AK29,{"01/01/2026";"02/02/2026";"16/03/2026";"02/04/2026";"03/04/2026";"01/05/2026"})&lt;=5,"4 a 5 días",IF(NETWORKDAYS(Q29,AK29,{"01/01/2026";"02/02/2026";"16/03/2026";"02/04/2026";"03/04/2026";"01/05/2026"})&lt;=10,"6 a 10 días",IF(NETWORKDAYS(Q29,AK29,{"01/01/2026";"02/02/2026";"16/03/2026";"02/04/2026";"03/04/2026";"01/05/2026"})&lt;=16,"11 a 15 días","más de 16 días")))))),"aun no se factura")</f>
        <v>6 a 10 días</v>
      </c>
      <c r="AN29" s="4" t="str" cm="1">
        <f t="array" ref="AN29">IFERROR(
  IF(
    NETWORKDAYS(Q29,AK29,{"01/01/2026";"02/02/2026";"16/03/2026";"02/04/2026";"03/04/2026";"01/05/2026"}) &lt;=
    _xlfn.IFS(
      OR(TRIM(A29)="AICM", TRIM(A29)="AÉREO AICM"), 5,
      OR(TRIM(A29)="VERACRUZ", TRIM(A29)="MARÍTIMO VERACRUZ"), 6,
      OR(TRIM(A29)="AIFA", TRIM(A29)="AÉREO AIFA"), 7,
      AND(TRIM(A29)="CORRESPONSALIAS", TRIM(B29)="NUEVO LAREDO"), 6,
      TRIM(A29)="MANZANILLO", 10,
      TRIM(A29)="TOLUCA", 6,
      TRUE, 999
    ),
    "On Time",
    "Delayed"
  ),
  "Faltan fechas"
)</f>
        <v>Delayed</v>
      </c>
      <c r="AO29" s="5">
        <v>0</v>
      </c>
      <c r="AP29" s="3" t="s">
        <v>548</v>
      </c>
      <c r="AQ29" s="3" t="s">
        <v>342</v>
      </c>
      <c r="AR29" s="3" t="s">
        <v>112</v>
      </c>
      <c r="AS29" s="3" t="s">
        <v>259</v>
      </c>
      <c r="AT29" s="3" t="s">
        <v>223</v>
      </c>
      <c r="AU29" s="5">
        <v>6000418</v>
      </c>
      <c r="AV29" s="3" t="s">
        <v>92</v>
      </c>
      <c r="AW29" s="3" t="s">
        <v>220</v>
      </c>
      <c r="AX29" s="3" t="s">
        <v>549</v>
      </c>
      <c r="AY29" s="3"/>
      <c r="AZ29" s="3" t="s">
        <v>550</v>
      </c>
      <c r="BA29" s="3" t="s">
        <v>90</v>
      </c>
      <c r="BB29" s="3"/>
      <c r="BC29" s="3"/>
      <c r="BD29" s="3"/>
      <c r="BE29" s="3"/>
      <c r="BF29" s="3"/>
      <c r="BG29" s="3" t="s">
        <v>552</v>
      </c>
      <c r="BH29" s="3" t="s">
        <v>223</v>
      </c>
      <c r="BI29" s="3"/>
      <c r="BJ29" s="3"/>
      <c r="BK29" s="3" t="s">
        <v>554</v>
      </c>
      <c r="BL29" s="3">
        <v>0</v>
      </c>
      <c r="BM29" s="3" t="s">
        <v>582</v>
      </c>
      <c r="BN29" s="3" t="s">
        <v>658</v>
      </c>
      <c r="BO29" s="3">
        <v>90</v>
      </c>
      <c r="BP29" s="3" t="s">
        <v>651</v>
      </c>
      <c r="BQ29" s="3" t="s">
        <v>652</v>
      </c>
      <c r="BR29" s="3"/>
      <c r="BS29" s="3" t="s">
        <v>558</v>
      </c>
      <c r="BT29" s="3" t="s">
        <v>558</v>
      </c>
      <c r="BU29" s="3" t="s">
        <v>105</v>
      </c>
      <c r="BV29" s="3" t="s">
        <v>105</v>
      </c>
      <c r="BW29" s="3"/>
      <c r="BX29" s="3"/>
      <c r="BY29" s="3"/>
      <c r="BZ29" s="3"/>
      <c r="CA29" s="3"/>
    </row>
    <row r="30" spans="1:79" x14ac:dyDescent="0.25">
      <c r="A30" s="3" t="s">
        <v>577</v>
      </c>
      <c r="B30" s="3" t="s">
        <v>578</v>
      </c>
      <c r="C30" s="3" t="s">
        <v>346</v>
      </c>
      <c r="D30" s="3">
        <v>430</v>
      </c>
      <c r="E30" s="4">
        <v>46093</v>
      </c>
      <c r="F30" s="3">
        <v>3</v>
      </c>
      <c r="G30" s="22">
        <v>46077</v>
      </c>
      <c r="H30" s="4">
        <v>46093</v>
      </c>
      <c r="I30" s="3">
        <v>12</v>
      </c>
      <c r="J30" s="3" t="s">
        <v>559</v>
      </c>
      <c r="K30" s="22">
        <v>46093</v>
      </c>
      <c r="L30" s="3">
        <v>12</v>
      </c>
      <c r="M30" s="3">
        <f>IFERROR(IF(G30=K30,0,NETWORKDAYS(G30,K30,{"01/01/2026";"02/02/2026";"16/03/2026";"02/04/2026";"03/04/2026";"01/05/2026"})),"Faltan Fechas")</f>
        <v>13</v>
      </c>
      <c r="N30" s="23" t="str">
        <f>IFERROR(IF(OR(G30="",K30=""),"SIN DATO",IF(NETWORKDAYS(G30,K30,{"01/01/2026";"02/02/2026";"16/03/2026";"02/04/2026";"03/04/2026";"01/05/2026"})&lt;=1,"1 día o menos",IF(NETWORKDAYS(G30,K30,{"01/01/2026";"02/02/2026";"16/03/2026";"02/04/2026";"03/04/2026";"01/05/2026"})&lt;=3,"2 a 3 días",IF(NETWORKDAYS(G30,K30,{"01/01/2026";"02/02/2026";"16/03/2026";"02/04/2026";"03/04/2026";"01/05/2026"})&lt;=5,"4 a 5 días",IF(NETWORKDAYS(G30,K30,{"01/01/2026";"02/02/2026";"16/03/2026";"02/04/2026";"03/04/2026";"01/05/2026"})&lt;=10,"6 a 10 días",IF(NETWORKDAYS(G30,K30,{"01/01/2026";"02/02/2026";"16/03/2026";"02/04/2026";"03/04/2026";"01/05/2026"})&lt;=16,"11 a 15 días","más de 16 días")))))),"Aun no se entrega")</f>
        <v>11 a 15 días</v>
      </c>
      <c r="O30" s="3" t="str" cm="1">
        <f t="array" ref="O30">IFERROR(
  IF(
    NETWORKDAYS(G30,K30,{"01/01/2026";"02/02/2026";"16/03/2026";"02/04/2026";"03/04/2026";"01/05/2026"}) &lt;=
    _xlfn.IFS(
      OR(TRIM(A30)="AICM", TRIM(A30)="AÉREO AICM"), 5,
      OR(TRIM(A30)="VERACRUZ", TRIM(A30)="MARÍTIMO VERACRUZ"), 6,
      OR(TRIM(A30)="AIFA", TRIM(A30)="AÉREO AIFA"), 7,
      AND(TRIM(A30)="CORRESPONSALIAS", TRIM(B30)="NUEVO LAREDO"), 6,
      TRIM(A30)="MANZANILLO", 10,
      TRIM(A30)="TOLUCA", 6,
      TRUE, 999
    ),
    "On Time",
    "Delayed"
  ),
  "Faltan fechas"
)</f>
        <v>Delayed</v>
      </c>
      <c r="P30" s="24" t="s">
        <v>568</v>
      </c>
      <c r="Q30" s="4">
        <v>46086</v>
      </c>
      <c r="R30" s="5">
        <f>IFERROR(IF(G30=Q30,0,NETWORKDAYS(G30,Q30,{"01/01/2026";"02/02/2026";"16/03/2026";"02/04/2026";"03/04/2026";"01/05/2026"})),"Faltan Fechas")</f>
        <v>8</v>
      </c>
      <c r="S30" s="4" t="str">
        <f>IFERROR(IF(OR(G30="",Q30=""),"SIN DATO",IF(NETWORKDAYS(G30,Q30,{"01/01/2026";"02/02/2026";"16/03/2026";"02/04/2026";"03/04/2026";"01/05/2026"})&lt;=1,"1 día o menos",IF(NETWORKDAYS(G30,Q30,{"01/01/2026";"02/02/2026";"16/03/2026";"02/04/2026";"03/04/2026";"01/05/2026"})&lt;=3,"2 a 3 días",IF(NETWORKDAYS(G30,Q30,{"01/01/2026";"02/02/2026";"16/03/2026";"02/04/2026";"03/04/2026";"01/05/2026"})&lt;=5,"4 a 5 días",IF(NETWORKDAYS(G30,Q30,{"01/01/2026";"02/02/2026";"16/03/2026";"02/04/2026";"03/04/2026";"01/05/2026"})&lt;=10,"6 a 10 días",IF(NETWORKDAYS(G30,Q30,{"01/01/2026";"02/02/2026";"16/03/2026";"02/04/2026";"03/04/2026";"01/05/2026"})&lt;=16,"11 a 15 días","más de 16 días")))))),"Aun no se entrega")</f>
        <v>6 a 10 días</v>
      </c>
      <c r="T30" s="4" t="str" cm="1">
        <f t="array" ref="T30">IFERROR(
  IF(
    NETWORKDAYS(G30,Q30,{"01/01/2026";"02/02/2026";"16/03/2026";"02/04/2026";"03/04/2026";"01/05/2026"}) &lt;=
    _xlfn.IFS(
      OR(TRIM(A30)="AICM", TRIM(A30)="AÉREO AICM"), 5,
      OR(TRIM(A30)="VERACRUZ", TRIM(A30)="MARÍTIMO VERACRUZ"), 6,
      OR(TRIM(A30)="AIFA", TRIM(A30)="AÉREO AIFA"), 7,
      AND(TRIM(A30)="CORRESPONSALIAS", TRIM(B30)="NUEVO LAREDO"), 6,
      TRIM(A30)="MANZANILLO", 10,
      TRIM(A30)="TOLUCA", 6,
      TRUE, 999
    ),
    "On Time",
    "Delayed"
  ),
  "Faltan fechas"
)</f>
        <v>Delayed</v>
      </c>
      <c r="U30" s="3">
        <v>0</v>
      </c>
      <c r="V30" s="3" t="s">
        <v>569</v>
      </c>
      <c r="W30" s="3">
        <v>20</v>
      </c>
      <c r="X30" s="3" t="s">
        <v>547</v>
      </c>
      <c r="Y30" s="3">
        <v>0</v>
      </c>
      <c r="Z30" s="3" t="s">
        <v>546</v>
      </c>
      <c r="AA30" s="3">
        <v>16</v>
      </c>
      <c r="AB30" s="3">
        <v>-46091</v>
      </c>
      <c r="AC30" s="3" t="s">
        <v>545</v>
      </c>
      <c r="AD30" s="4">
        <v>46105</v>
      </c>
      <c r="AE30" s="3">
        <v>46102</v>
      </c>
      <c r="AF30" s="3">
        <v>32931</v>
      </c>
      <c r="AG30" s="4">
        <v>46104</v>
      </c>
      <c r="AH30" s="4">
        <v>46105</v>
      </c>
      <c r="AI30" s="3">
        <v>1</v>
      </c>
      <c r="AJ30" s="3" t="s">
        <v>545</v>
      </c>
      <c r="AK30" s="4">
        <v>46105</v>
      </c>
      <c r="AL30" s="5">
        <f>IFERROR(IF(Q30=AK30,0,NETWORKDAYS(Q30,AK30,{"01/01/2026";"02/02/2026";"16/03/2026";"02/04/2026";"03/04/2026";"01/05/2026"})),"aun no se factura")</f>
        <v>13</v>
      </c>
      <c r="AM30" s="4" t="str">
        <f>IFERROR(IF(OR(Q30="",AK30=""),"SIN DATO",IF(NETWORKDAYS(Q30,AK30,{"01/01/2026";"02/02/2026";"16/03/2026";"02/04/2026";"03/04/2026";"01/05/2026"})&lt;=1,"1 día o menos",IF(NETWORKDAYS(Q30,AK30,{"01/01/2026";"02/02/2026";"16/03/2026";"02/04/2026";"03/04/2026";"01/05/2026"})&lt;=3,"2 a 3 días",IF(NETWORKDAYS(Q30,AK30,{"01/01/2026";"02/02/2026";"16/03/2026";"02/04/2026";"03/04/2026";"01/05/2026"})&lt;=5,"4 a 5 días",IF(NETWORKDAYS(Q30,AK30,{"01/01/2026";"02/02/2026";"16/03/2026";"02/04/2026";"03/04/2026";"01/05/2026"})&lt;=10,"6 a 10 días",IF(NETWORKDAYS(Q30,AK30,{"01/01/2026";"02/02/2026";"16/03/2026";"02/04/2026";"03/04/2026";"01/05/2026"})&lt;=16,"11 a 15 días","más de 16 días")))))),"aun no se factura")</f>
        <v>11 a 15 días</v>
      </c>
      <c r="AN30" s="4" t="str" cm="1">
        <f t="array" ref="AN30">IFERROR(
  IF(
    NETWORKDAYS(Q30,AK30,{"01/01/2026";"02/02/2026";"16/03/2026";"02/04/2026";"03/04/2026";"01/05/2026"}) &lt;=
    _xlfn.IFS(
      OR(TRIM(A30)="AICM", TRIM(A30)="AÉREO AICM"), 5,
      OR(TRIM(A30)="VERACRUZ", TRIM(A30)="MARÍTIMO VERACRUZ"), 6,
      OR(TRIM(A30)="AIFA", TRIM(A30)="AÉREO AIFA"), 7,
      AND(TRIM(A30)="CORRESPONSALIAS", TRIM(B30)="NUEVO LAREDO"), 6,
      TRIM(A30)="MANZANILLO", 10,
      TRIM(A30)="TOLUCA", 6,
      TRUE, 999
    ),
    "On Time",
    "Delayed"
  ),
  "Faltan fechas"
)</f>
        <v>Delayed</v>
      </c>
      <c r="AO30" s="5">
        <v>0</v>
      </c>
      <c r="AP30" s="3" t="s">
        <v>548</v>
      </c>
      <c r="AQ30" s="3" t="s">
        <v>342</v>
      </c>
      <c r="AR30" s="3" t="s">
        <v>112</v>
      </c>
      <c r="AS30" s="3" t="s">
        <v>259</v>
      </c>
      <c r="AT30" s="3" t="s">
        <v>223</v>
      </c>
      <c r="AU30" s="5">
        <v>6000421</v>
      </c>
      <c r="AV30" s="3" t="s">
        <v>92</v>
      </c>
      <c r="AW30" s="3" t="s">
        <v>220</v>
      </c>
      <c r="AX30" s="3" t="s">
        <v>549</v>
      </c>
      <c r="AY30" s="3"/>
      <c r="AZ30" s="3" t="s">
        <v>550</v>
      </c>
      <c r="BA30" s="3" t="s">
        <v>90</v>
      </c>
      <c r="BB30" s="3"/>
      <c r="BC30" s="3"/>
      <c r="BD30" s="3"/>
      <c r="BE30" s="3"/>
      <c r="BF30" s="3"/>
      <c r="BG30" s="3" t="s">
        <v>552</v>
      </c>
      <c r="BH30" s="3" t="s">
        <v>223</v>
      </c>
      <c r="BI30" s="3"/>
      <c r="BJ30" s="3"/>
      <c r="BK30" s="3" t="s">
        <v>554</v>
      </c>
      <c r="BL30" s="3">
        <v>0</v>
      </c>
      <c r="BM30" s="3" t="s">
        <v>582</v>
      </c>
      <c r="BN30" s="3" t="s">
        <v>658</v>
      </c>
      <c r="BO30" s="3">
        <v>90</v>
      </c>
      <c r="BP30" s="3" t="s">
        <v>651</v>
      </c>
      <c r="BQ30" s="3" t="s">
        <v>652</v>
      </c>
      <c r="BR30" s="3"/>
      <c r="BS30" s="3" t="s">
        <v>558</v>
      </c>
      <c r="BT30" s="3" t="s">
        <v>558</v>
      </c>
      <c r="BU30" s="3" t="s">
        <v>105</v>
      </c>
      <c r="BV30" s="3" t="s">
        <v>105</v>
      </c>
      <c r="BW30" s="3"/>
      <c r="BX30" s="3"/>
      <c r="BY30" s="3"/>
      <c r="BZ30" s="3"/>
      <c r="CA30" s="3"/>
    </row>
    <row r="31" spans="1:79" x14ac:dyDescent="0.25">
      <c r="A31" s="3" t="s">
        <v>577</v>
      </c>
      <c r="B31" s="3" t="s">
        <v>578</v>
      </c>
      <c r="C31" s="3" t="s">
        <v>312</v>
      </c>
      <c r="D31" s="3">
        <v>430</v>
      </c>
      <c r="E31" s="4">
        <v>46092</v>
      </c>
      <c r="F31" s="3">
        <v>3</v>
      </c>
      <c r="G31" s="22">
        <v>46090</v>
      </c>
      <c r="H31" s="4">
        <v>46092</v>
      </c>
      <c r="I31" s="3">
        <v>2</v>
      </c>
      <c r="J31" s="3" t="s">
        <v>579</v>
      </c>
      <c r="K31" s="22">
        <v>46093</v>
      </c>
      <c r="L31" s="3">
        <v>3</v>
      </c>
      <c r="M31" s="3">
        <f>IFERROR(IF(G31=K31,0,NETWORKDAYS(G31,K31,{"01/01/2026";"02/02/2026";"16/03/2026";"02/04/2026";"03/04/2026";"01/05/2026"})),"Faltan Fechas")</f>
        <v>4</v>
      </c>
      <c r="N31" s="23" t="str">
        <f>IFERROR(IF(OR(G31="",K31=""),"SIN DATO",IF(NETWORKDAYS(G31,K31,{"01/01/2026";"02/02/2026";"16/03/2026";"02/04/2026";"03/04/2026";"01/05/2026"})&lt;=1,"1 día o menos",IF(NETWORKDAYS(G31,K31,{"01/01/2026";"02/02/2026";"16/03/2026";"02/04/2026";"03/04/2026";"01/05/2026"})&lt;=3,"2 a 3 días",IF(NETWORKDAYS(G31,K31,{"01/01/2026";"02/02/2026";"16/03/2026";"02/04/2026";"03/04/2026";"01/05/2026"})&lt;=5,"4 a 5 días",IF(NETWORKDAYS(G31,K31,{"01/01/2026";"02/02/2026";"16/03/2026";"02/04/2026";"03/04/2026";"01/05/2026"})&lt;=10,"6 a 10 días",IF(NETWORKDAYS(G31,K31,{"01/01/2026";"02/02/2026";"16/03/2026";"02/04/2026";"03/04/2026";"01/05/2026"})&lt;=16,"11 a 15 días","más de 16 días")))))),"Aun no se entrega")</f>
        <v>4 a 5 días</v>
      </c>
      <c r="O31" s="3" t="str" cm="1">
        <f t="array" ref="O31">IFERROR(
  IF(
    NETWORKDAYS(G31,K31,{"01/01/2026";"02/02/2026";"16/03/2026";"02/04/2026";"03/04/2026";"01/05/2026"}) &lt;=
    _xlfn.IFS(
      OR(TRIM(A31)="AICM", TRIM(A31)="AÉREO AICM"), 5,
      OR(TRIM(A31)="VERACRUZ", TRIM(A31)="MARÍTIMO VERACRUZ"), 6,
      OR(TRIM(A31)="AIFA", TRIM(A31)="AÉREO AIFA"), 7,
      AND(TRIM(A31)="CORRESPONSALIAS", TRIM(B31)="NUEVO LAREDO"), 6,
      TRIM(A31)="MANZANILLO", 10,
      TRIM(A31)="TOLUCA", 6,
      TRUE, 999
    ),
    "On Time",
    "Delayed"
  ),
  "Faltan fechas"
)</f>
        <v>On Time</v>
      </c>
      <c r="P31" s="24" t="s">
        <v>579</v>
      </c>
      <c r="Q31" s="4">
        <v>46094</v>
      </c>
      <c r="R31" s="5">
        <f>IFERROR(IF(G31=Q31,0,NETWORKDAYS(G31,Q31,{"01/01/2026";"02/02/2026";"16/03/2026";"02/04/2026";"03/04/2026";"01/05/2026"})),"Faltan Fechas")</f>
        <v>5</v>
      </c>
      <c r="S31" s="4" t="str">
        <f>IFERROR(IF(OR(G31="",Q31=""),"SIN DATO",IF(NETWORKDAYS(G31,Q31,{"01/01/2026";"02/02/2026";"16/03/2026";"02/04/2026";"03/04/2026";"01/05/2026"})&lt;=1,"1 día o menos",IF(NETWORKDAYS(G31,Q31,{"01/01/2026";"02/02/2026";"16/03/2026";"02/04/2026";"03/04/2026";"01/05/2026"})&lt;=3,"2 a 3 días",IF(NETWORKDAYS(G31,Q31,{"01/01/2026";"02/02/2026";"16/03/2026";"02/04/2026";"03/04/2026";"01/05/2026"})&lt;=5,"4 a 5 días",IF(NETWORKDAYS(G31,Q31,{"01/01/2026";"02/02/2026";"16/03/2026";"02/04/2026";"03/04/2026";"01/05/2026"})&lt;=10,"6 a 10 días",IF(NETWORKDAYS(G31,Q31,{"01/01/2026";"02/02/2026";"16/03/2026";"02/04/2026";"03/04/2026";"01/05/2026"})&lt;=16,"11 a 15 días","más de 16 días")))))),"Aun no se entrega")</f>
        <v>4 a 5 días</v>
      </c>
      <c r="T31" s="4" t="str" cm="1">
        <f t="array" ref="T31">IFERROR(
  IF(
    NETWORKDAYS(G31,Q31,{"01/01/2026";"02/02/2026";"16/03/2026";"02/04/2026";"03/04/2026";"01/05/2026"}) &lt;=
    _xlfn.IFS(
      OR(TRIM(A31)="AICM", TRIM(A31)="AÉREO AICM"), 5,
      OR(TRIM(A31)="VERACRUZ", TRIM(A31)="MARÍTIMO VERACRUZ"), 6,
      OR(TRIM(A31)="AIFA", TRIM(A31)="AÉREO AIFA"), 7,
      AND(TRIM(A31)="CORRESPONSALIAS", TRIM(B31)="NUEVO LAREDO"), 6,
      TRIM(A31)="MANZANILLO", 10,
      TRIM(A31)="TOLUCA", 6,
      TRUE, 999
    ),
    "On Time",
    "Delayed"
  ),
  "Faltan fechas"
)</f>
        <v>On Time</v>
      </c>
      <c r="U31" s="3">
        <v>0</v>
      </c>
      <c r="V31" s="3" t="s">
        <v>569</v>
      </c>
      <c r="W31" s="3">
        <v>10</v>
      </c>
      <c r="X31" s="3" t="s">
        <v>544</v>
      </c>
      <c r="Y31" s="3">
        <v>1</v>
      </c>
      <c r="Z31" s="3" t="s">
        <v>546</v>
      </c>
      <c r="AA31" s="3">
        <v>2</v>
      </c>
      <c r="AB31" s="3">
        <v>-46091</v>
      </c>
      <c r="AC31" s="3" t="s">
        <v>545</v>
      </c>
      <c r="AD31" s="4">
        <v>46104</v>
      </c>
      <c r="AE31" s="3">
        <v>46102</v>
      </c>
      <c r="AF31" s="3">
        <v>32930</v>
      </c>
      <c r="AG31" s="4">
        <v>46104</v>
      </c>
      <c r="AH31" s="4">
        <v>46104</v>
      </c>
      <c r="AI31" s="3">
        <v>0</v>
      </c>
      <c r="AJ31" s="3" t="s">
        <v>545</v>
      </c>
      <c r="AK31" s="4">
        <v>46104</v>
      </c>
      <c r="AL31" s="5">
        <f>IFERROR(IF(Q31=AK31,0,NETWORKDAYS(Q31,AK31,{"01/01/2026";"02/02/2026";"16/03/2026";"02/04/2026";"03/04/2026";"01/05/2026"})),"aun no se factura")</f>
        <v>6</v>
      </c>
      <c r="AM31" s="4" t="str">
        <f>IFERROR(IF(OR(Q31="",AK31=""),"SIN DATO",IF(NETWORKDAYS(Q31,AK31,{"01/01/2026";"02/02/2026";"16/03/2026";"02/04/2026";"03/04/2026";"01/05/2026"})&lt;=1,"1 día o menos",IF(NETWORKDAYS(Q31,AK31,{"01/01/2026";"02/02/2026";"16/03/2026";"02/04/2026";"03/04/2026";"01/05/2026"})&lt;=3,"2 a 3 días",IF(NETWORKDAYS(Q31,AK31,{"01/01/2026";"02/02/2026";"16/03/2026";"02/04/2026";"03/04/2026";"01/05/2026"})&lt;=5,"4 a 5 días",IF(NETWORKDAYS(Q31,AK31,{"01/01/2026";"02/02/2026";"16/03/2026";"02/04/2026";"03/04/2026";"01/05/2026"})&lt;=10,"6 a 10 días",IF(NETWORKDAYS(Q31,AK31,{"01/01/2026";"02/02/2026";"16/03/2026";"02/04/2026";"03/04/2026";"01/05/2026"})&lt;=16,"11 a 15 días","más de 16 días")))))),"aun no se factura")</f>
        <v>6 a 10 días</v>
      </c>
      <c r="AN31" s="4" t="str" cm="1">
        <f t="array" ref="AN31">IFERROR(
  IF(
    NETWORKDAYS(Q31,AK31,{"01/01/2026";"02/02/2026";"16/03/2026";"02/04/2026";"03/04/2026";"01/05/2026"}) &lt;=
    _xlfn.IFS(
      OR(TRIM(A31)="AICM", TRIM(A31)="AÉREO AICM"), 5,
      OR(TRIM(A31)="VERACRUZ", TRIM(A31)="MARÍTIMO VERACRUZ"), 6,
      OR(TRIM(A31)="AIFA", TRIM(A31)="AÉREO AIFA"), 7,
      AND(TRIM(A31)="CORRESPONSALIAS", TRIM(B31)="NUEVO LAREDO"), 6,
      TRIM(A31)="MANZANILLO", 10,
      TRIM(A31)="TOLUCA", 6,
      TRUE, 999
    ),
    "On Time",
    "Delayed"
  ),
  "Faltan fechas"
)</f>
        <v>On Time</v>
      </c>
      <c r="AO31" s="5">
        <v>0</v>
      </c>
      <c r="AP31" s="3" t="s">
        <v>548</v>
      </c>
      <c r="AQ31" s="3" t="s">
        <v>93</v>
      </c>
      <c r="AR31" s="3" t="s">
        <v>112</v>
      </c>
      <c r="AS31" s="3" t="s">
        <v>314</v>
      </c>
      <c r="AT31" s="3" t="s">
        <v>223</v>
      </c>
      <c r="AU31" s="5">
        <v>6000328</v>
      </c>
      <c r="AV31" s="3" t="s">
        <v>92</v>
      </c>
      <c r="AW31" s="3" t="s">
        <v>256</v>
      </c>
      <c r="AX31" s="3" t="s">
        <v>549</v>
      </c>
      <c r="AY31" s="3"/>
      <c r="AZ31" s="3" t="s">
        <v>550</v>
      </c>
      <c r="BA31" s="3" t="s">
        <v>90</v>
      </c>
      <c r="BB31" s="3"/>
      <c r="BC31" s="3"/>
      <c r="BD31" s="3"/>
      <c r="BE31" s="3"/>
      <c r="BF31" s="3" t="s">
        <v>576</v>
      </c>
      <c r="BG31" s="3" t="s">
        <v>552</v>
      </c>
      <c r="BH31" s="3" t="s">
        <v>580</v>
      </c>
      <c r="BI31" s="3"/>
      <c r="BJ31" s="3" t="s">
        <v>581</v>
      </c>
      <c r="BK31" s="3" t="s">
        <v>554</v>
      </c>
      <c r="BL31" s="3">
        <v>0</v>
      </c>
      <c r="BM31" s="3">
        <v>99</v>
      </c>
      <c r="BN31" s="3" t="s">
        <v>659</v>
      </c>
      <c r="BO31" s="3">
        <v>90</v>
      </c>
      <c r="BP31" s="3">
        <v>7747845.5</v>
      </c>
      <c r="BQ31" s="3" t="s">
        <v>611</v>
      </c>
      <c r="BR31" s="3"/>
      <c r="BS31" s="3" t="s">
        <v>613</v>
      </c>
      <c r="BT31" s="3" t="s">
        <v>558</v>
      </c>
      <c r="BU31" s="3" t="s">
        <v>133</v>
      </c>
      <c r="BV31" s="3" t="s">
        <v>105</v>
      </c>
      <c r="BW31" s="3"/>
      <c r="BX31" s="3"/>
      <c r="BY31" s="3"/>
      <c r="BZ31" s="3"/>
      <c r="CA31" s="3"/>
    </row>
    <row r="32" spans="1:79" x14ac:dyDescent="0.25">
      <c r="A32" s="3" t="s">
        <v>577</v>
      </c>
      <c r="B32" s="3" t="s">
        <v>578</v>
      </c>
      <c r="C32" s="3" t="s">
        <v>317</v>
      </c>
      <c r="D32" s="3">
        <v>430</v>
      </c>
      <c r="E32" s="4">
        <v>46092</v>
      </c>
      <c r="F32" s="3">
        <v>3</v>
      </c>
      <c r="G32" s="22">
        <v>46090</v>
      </c>
      <c r="H32" s="4">
        <v>46092</v>
      </c>
      <c r="I32" s="3">
        <v>2</v>
      </c>
      <c r="J32" s="3" t="s">
        <v>579</v>
      </c>
      <c r="K32" s="22">
        <v>46092</v>
      </c>
      <c r="L32" s="3">
        <v>2</v>
      </c>
      <c r="M32" s="3">
        <f>IFERROR(IF(G32=K32,0,NETWORKDAYS(G32,K32,{"01/01/2026";"02/02/2026";"16/03/2026";"02/04/2026";"03/04/2026";"01/05/2026"})),"Faltan Fechas")</f>
        <v>3</v>
      </c>
      <c r="N32" s="23" t="str">
        <f>IFERROR(IF(OR(G32="",K32=""),"SIN DATO",IF(NETWORKDAYS(G32,K32,{"01/01/2026";"02/02/2026";"16/03/2026";"02/04/2026";"03/04/2026";"01/05/2026"})&lt;=1,"1 día o menos",IF(NETWORKDAYS(G32,K32,{"01/01/2026";"02/02/2026";"16/03/2026";"02/04/2026";"03/04/2026";"01/05/2026"})&lt;=3,"2 a 3 días",IF(NETWORKDAYS(G32,K32,{"01/01/2026";"02/02/2026";"16/03/2026";"02/04/2026";"03/04/2026";"01/05/2026"})&lt;=5,"4 a 5 días",IF(NETWORKDAYS(G32,K32,{"01/01/2026";"02/02/2026";"16/03/2026";"02/04/2026";"03/04/2026";"01/05/2026"})&lt;=10,"6 a 10 días",IF(NETWORKDAYS(G32,K32,{"01/01/2026";"02/02/2026";"16/03/2026";"02/04/2026";"03/04/2026";"01/05/2026"})&lt;=16,"11 a 15 días","más de 16 días")))))),"Aun no se entrega")</f>
        <v>2 a 3 días</v>
      </c>
      <c r="O32" s="3" t="str" cm="1">
        <f t="array" ref="O32">IFERROR(
  IF(
    NETWORKDAYS(G32,K32,{"01/01/2026";"02/02/2026";"16/03/2026";"02/04/2026";"03/04/2026";"01/05/2026"}) &lt;=
    _xlfn.IFS(
      OR(TRIM(A32)="AICM", TRIM(A32)="AÉREO AICM"), 5,
      OR(TRIM(A32)="VERACRUZ", TRIM(A32)="MARÍTIMO VERACRUZ"), 6,
      OR(TRIM(A32)="AIFA", TRIM(A32)="AÉREO AIFA"), 7,
      AND(TRIM(A32)="CORRESPONSALIAS", TRIM(B32)="NUEVO LAREDO"), 6,
      TRIM(A32)="MANZANILLO", 10,
      TRIM(A32)="TOLUCA", 6,
      TRUE, 999
    ),
    "On Time",
    "Delayed"
  ),
  "Faltan fechas"
)</f>
        <v>On Time</v>
      </c>
      <c r="P32" s="24" t="s">
        <v>579</v>
      </c>
      <c r="Q32" s="4">
        <v>46094</v>
      </c>
      <c r="R32" s="5">
        <f>IFERROR(IF(G32=Q32,0,NETWORKDAYS(G32,Q32,{"01/01/2026";"02/02/2026";"16/03/2026";"02/04/2026";"03/04/2026";"01/05/2026"})),"Faltan Fechas")</f>
        <v>5</v>
      </c>
      <c r="S32" s="4" t="str">
        <f>IFERROR(IF(OR(G32="",Q32=""),"SIN DATO",IF(NETWORKDAYS(G32,Q32,{"01/01/2026";"02/02/2026";"16/03/2026";"02/04/2026";"03/04/2026";"01/05/2026"})&lt;=1,"1 día o menos",IF(NETWORKDAYS(G32,Q32,{"01/01/2026";"02/02/2026";"16/03/2026";"02/04/2026";"03/04/2026";"01/05/2026"})&lt;=3,"2 a 3 días",IF(NETWORKDAYS(G32,Q32,{"01/01/2026";"02/02/2026";"16/03/2026";"02/04/2026";"03/04/2026";"01/05/2026"})&lt;=5,"4 a 5 días",IF(NETWORKDAYS(G32,Q32,{"01/01/2026";"02/02/2026";"16/03/2026";"02/04/2026";"03/04/2026";"01/05/2026"})&lt;=10,"6 a 10 días",IF(NETWORKDAYS(G32,Q32,{"01/01/2026";"02/02/2026";"16/03/2026";"02/04/2026";"03/04/2026";"01/05/2026"})&lt;=16,"11 a 15 días","más de 16 días")))))),"Aun no se entrega")</f>
        <v>4 a 5 días</v>
      </c>
      <c r="T32" s="4" t="str" cm="1">
        <f t="array" ref="T32">IFERROR(
  IF(
    NETWORKDAYS(G32,Q32,{"01/01/2026";"02/02/2026";"16/03/2026";"02/04/2026";"03/04/2026";"01/05/2026"}) &lt;=
    _xlfn.IFS(
      OR(TRIM(A32)="AICM", TRIM(A32)="AÉREO AICM"), 5,
      OR(TRIM(A32)="VERACRUZ", TRIM(A32)="MARÍTIMO VERACRUZ"), 6,
      OR(TRIM(A32)="AIFA", TRIM(A32)="AÉREO AIFA"), 7,
      AND(TRIM(A32)="CORRESPONSALIAS", TRIM(B32)="NUEVO LAREDO"), 6,
      TRIM(A32)="MANZANILLO", 10,
      TRIM(A32)="TOLUCA", 6,
      TRUE, 999
    ),
    "On Time",
    "Delayed"
  ),
  "Faltan fechas"
)</f>
        <v>On Time</v>
      </c>
      <c r="U32" s="3">
        <v>0</v>
      </c>
      <c r="V32" s="3" t="s">
        <v>569</v>
      </c>
      <c r="W32" s="3">
        <v>10</v>
      </c>
      <c r="X32" s="3" t="s">
        <v>544</v>
      </c>
      <c r="Y32" s="3">
        <v>0</v>
      </c>
      <c r="Z32" s="3" t="s">
        <v>546</v>
      </c>
      <c r="AA32" s="3">
        <v>2</v>
      </c>
      <c r="AB32" s="3">
        <v>-46090</v>
      </c>
      <c r="AC32" s="3" t="s">
        <v>545</v>
      </c>
      <c r="AD32" s="4">
        <v>46104</v>
      </c>
      <c r="AE32" s="3">
        <v>46102</v>
      </c>
      <c r="AF32" s="3">
        <v>32930</v>
      </c>
      <c r="AG32" s="4">
        <v>46104</v>
      </c>
      <c r="AH32" s="4">
        <v>46104</v>
      </c>
      <c r="AI32" s="3">
        <v>0</v>
      </c>
      <c r="AJ32" s="3" t="s">
        <v>545</v>
      </c>
      <c r="AK32" s="4">
        <v>46104</v>
      </c>
      <c r="AL32" s="5">
        <f>IFERROR(IF(Q32=AK32,0,NETWORKDAYS(Q32,AK32,{"01/01/2026";"02/02/2026";"16/03/2026";"02/04/2026";"03/04/2026";"01/05/2026"})),"aun no se factura")</f>
        <v>6</v>
      </c>
      <c r="AM32" s="4" t="str">
        <f>IFERROR(IF(OR(Q32="",AK32=""),"SIN DATO",IF(NETWORKDAYS(Q32,AK32,{"01/01/2026";"02/02/2026";"16/03/2026";"02/04/2026";"03/04/2026";"01/05/2026"})&lt;=1,"1 día o menos",IF(NETWORKDAYS(Q32,AK32,{"01/01/2026";"02/02/2026";"16/03/2026";"02/04/2026";"03/04/2026";"01/05/2026"})&lt;=3,"2 a 3 días",IF(NETWORKDAYS(Q32,AK32,{"01/01/2026";"02/02/2026";"16/03/2026";"02/04/2026";"03/04/2026";"01/05/2026"})&lt;=5,"4 a 5 días",IF(NETWORKDAYS(Q32,AK32,{"01/01/2026";"02/02/2026";"16/03/2026";"02/04/2026";"03/04/2026";"01/05/2026"})&lt;=10,"6 a 10 días",IF(NETWORKDAYS(Q32,AK32,{"01/01/2026";"02/02/2026";"16/03/2026";"02/04/2026";"03/04/2026";"01/05/2026"})&lt;=16,"11 a 15 días","más de 16 días")))))),"aun no se factura")</f>
        <v>6 a 10 días</v>
      </c>
      <c r="AN32" s="4" t="str" cm="1">
        <f t="array" ref="AN32">IFERROR(
  IF(
    NETWORKDAYS(Q32,AK32,{"01/01/2026";"02/02/2026";"16/03/2026";"02/04/2026";"03/04/2026";"01/05/2026"}) &lt;=
    _xlfn.IFS(
      OR(TRIM(A32)="AICM", TRIM(A32)="AÉREO AICM"), 5,
      OR(TRIM(A32)="VERACRUZ", TRIM(A32)="MARÍTIMO VERACRUZ"), 6,
      OR(TRIM(A32)="AIFA", TRIM(A32)="AÉREO AIFA"), 7,
      AND(TRIM(A32)="CORRESPONSALIAS", TRIM(B32)="NUEVO LAREDO"), 6,
      TRIM(A32)="MANZANILLO", 10,
      TRIM(A32)="TOLUCA", 6,
      TRUE, 999
    ),
    "On Time",
    "Delayed"
  ),
  "Faltan fechas"
)</f>
        <v>On Time</v>
      </c>
      <c r="AO32" s="5">
        <v>0</v>
      </c>
      <c r="AP32" s="3" t="s">
        <v>548</v>
      </c>
      <c r="AQ32" s="3" t="s">
        <v>93</v>
      </c>
      <c r="AR32" s="3" t="s">
        <v>112</v>
      </c>
      <c r="AS32" s="3" t="s">
        <v>320</v>
      </c>
      <c r="AT32" s="3" t="s">
        <v>223</v>
      </c>
      <c r="AU32" s="5">
        <v>6000329</v>
      </c>
      <c r="AV32" s="3" t="s">
        <v>92</v>
      </c>
      <c r="AW32" s="3" t="s">
        <v>319</v>
      </c>
      <c r="AX32" s="3" t="s">
        <v>549</v>
      </c>
      <c r="AY32" s="3"/>
      <c r="AZ32" s="3" t="s">
        <v>550</v>
      </c>
      <c r="BA32" s="3" t="s">
        <v>90</v>
      </c>
      <c r="BB32" s="3"/>
      <c r="BC32" s="3"/>
      <c r="BD32" s="3"/>
      <c r="BE32" s="3"/>
      <c r="BF32" s="3"/>
      <c r="BG32" s="3" t="s">
        <v>552</v>
      </c>
      <c r="BH32" s="3" t="s">
        <v>223</v>
      </c>
      <c r="BI32" s="3"/>
      <c r="BJ32" s="3"/>
      <c r="BK32" s="3" t="s">
        <v>554</v>
      </c>
      <c r="BL32" s="3">
        <v>0</v>
      </c>
      <c r="BM32" s="3">
        <v>99</v>
      </c>
      <c r="BN32" s="3" t="s">
        <v>660</v>
      </c>
      <c r="BO32" s="3">
        <v>90</v>
      </c>
      <c r="BP32" s="3">
        <v>5465054</v>
      </c>
      <c r="BQ32" s="3" t="s">
        <v>611</v>
      </c>
      <c r="BR32" s="3"/>
      <c r="BS32" s="3" t="s">
        <v>613</v>
      </c>
      <c r="BT32" s="3" t="s">
        <v>558</v>
      </c>
      <c r="BU32" s="3" t="s">
        <v>133</v>
      </c>
      <c r="BV32" s="3" t="s">
        <v>105</v>
      </c>
      <c r="BW32" s="3"/>
      <c r="BX32" s="3"/>
      <c r="BY32" s="3"/>
      <c r="BZ32" s="3"/>
      <c r="CA32" s="3"/>
    </row>
    <row r="33" spans="1:79" x14ac:dyDescent="0.25">
      <c r="A33" s="3" t="s">
        <v>577</v>
      </c>
      <c r="B33" s="3" t="s">
        <v>578</v>
      </c>
      <c r="C33" s="3" t="s">
        <v>356</v>
      </c>
      <c r="D33" s="3">
        <v>430</v>
      </c>
      <c r="E33" s="4">
        <v>46092</v>
      </c>
      <c r="F33" s="3">
        <v>3</v>
      </c>
      <c r="G33" s="22">
        <v>46090</v>
      </c>
      <c r="H33" s="4">
        <v>46092</v>
      </c>
      <c r="I33" s="3">
        <v>2</v>
      </c>
      <c r="J33" s="3" t="s">
        <v>579</v>
      </c>
      <c r="K33" s="22">
        <v>46093</v>
      </c>
      <c r="L33" s="3">
        <v>3</v>
      </c>
      <c r="M33" s="3">
        <f>IFERROR(IF(G33=K33,0,NETWORKDAYS(G33,K33,{"01/01/2026";"02/02/2026";"16/03/2026";"02/04/2026";"03/04/2026";"01/05/2026"})),"Faltan Fechas")</f>
        <v>4</v>
      </c>
      <c r="N33" s="23" t="str">
        <f>IFERROR(IF(OR(G33="",K33=""),"SIN DATO",IF(NETWORKDAYS(G33,K33,{"01/01/2026";"02/02/2026";"16/03/2026";"02/04/2026";"03/04/2026";"01/05/2026"})&lt;=1,"1 día o menos",IF(NETWORKDAYS(G33,K33,{"01/01/2026";"02/02/2026";"16/03/2026";"02/04/2026";"03/04/2026";"01/05/2026"})&lt;=3,"2 a 3 días",IF(NETWORKDAYS(G33,K33,{"01/01/2026";"02/02/2026";"16/03/2026";"02/04/2026";"03/04/2026";"01/05/2026"})&lt;=5,"4 a 5 días",IF(NETWORKDAYS(G33,K33,{"01/01/2026";"02/02/2026";"16/03/2026";"02/04/2026";"03/04/2026";"01/05/2026"})&lt;=10,"6 a 10 días",IF(NETWORKDAYS(G33,K33,{"01/01/2026";"02/02/2026";"16/03/2026";"02/04/2026";"03/04/2026";"01/05/2026"})&lt;=16,"11 a 15 días","más de 16 días")))))),"Aun no se entrega")</f>
        <v>4 a 5 días</v>
      </c>
      <c r="O33" s="3" t="str" cm="1">
        <f t="array" ref="O33">IFERROR(
  IF(
    NETWORKDAYS(G33,K33,{"01/01/2026";"02/02/2026";"16/03/2026";"02/04/2026";"03/04/2026";"01/05/2026"}) &lt;=
    _xlfn.IFS(
      OR(TRIM(A33)="AICM", TRIM(A33)="AÉREO AICM"), 5,
      OR(TRIM(A33)="VERACRUZ", TRIM(A33)="MARÍTIMO VERACRUZ"), 6,
      OR(TRIM(A33)="AIFA", TRIM(A33)="AÉREO AIFA"), 7,
      AND(TRIM(A33)="CORRESPONSALIAS", TRIM(B33)="NUEVO LAREDO"), 6,
      TRIM(A33)="MANZANILLO", 10,
      TRIM(A33)="TOLUCA", 6,
      TRUE, 999
    ),
    "On Time",
    "Delayed"
  ),
  "Faltan fechas"
)</f>
        <v>On Time</v>
      </c>
      <c r="P33" s="24" t="s">
        <v>579</v>
      </c>
      <c r="Q33" s="4">
        <v>46094</v>
      </c>
      <c r="R33" s="5">
        <f>IFERROR(IF(G33=Q33,0,NETWORKDAYS(G33,Q33,{"01/01/2026";"02/02/2026";"16/03/2026";"02/04/2026";"03/04/2026";"01/05/2026"})),"Faltan Fechas")</f>
        <v>5</v>
      </c>
      <c r="S33" s="4" t="str">
        <f>IFERROR(IF(OR(G33="",Q33=""),"SIN DATO",IF(NETWORKDAYS(G33,Q33,{"01/01/2026";"02/02/2026";"16/03/2026";"02/04/2026";"03/04/2026";"01/05/2026"})&lt;=1,"1 día o menos",IF(NETWORKDAYS(G33,Q33,{"01/01/2026";"02/02/2026";"16/03/2026";"02/04/2026";"03/04/2026";"01/05/2026"})&lt;=3,"2 a 3 días",IF(NETWORKDAYS(G33,Q33,{"01/01/2026";"02/02/2026";"16/03/2026";"02/04/2026";"03/04/2026";"01/05/2026"})&lt;=5,"4 a 5 días",IF(NETWORKDAYS(G33,Q33,{"01/01/2026";"02/02/2026";"16/03/2026";"02/04/2026";"03/04/2026";"01/05/2026"})&lt;=10,"6 a 10 días",IF(NETWORKDAYS(G33,Q33,{"01/01/2026";"02/02/2026";"16/03/2026";"02/04/2026";"03/04/2026";"01/05/2026"})&lt;=16,"11 a 15 días","más de 16 días")))))),"Aun no se entrega")</f>
        <v>4 a 5 días</v>
      </c>
      <c r="T33" s="4" t="str" cm="1">
        <f t="array" ref="T33">IFERROR(
  IF(
    NETWORKDAYS(G33,Q33,{"01/01/2026";"02/02/2026";"16/03/2026";"02/04/2026";"03/04/2026";"01/05/2026"}) &lt;=
    _xlfn.IFS(
      OR(TRIM(A33)="AICM", TRIM(A33)="AÉREO AICM"), 5,
      OR(TRIM(A33)="VERACRUZ", TRIM(A33)="MARÍTIMO VERACRUZ"), 6,
      OR(TRIM(A33)="AIFA", TRIM(A33)="AÉREO AIFA"), 7,
      AND(TRIM(A33)="CORRESPONSALIAS", TRIM(B33)="NUEVO LAREDO"), 6,
      TRIM(A33)="MANZANILLO", 10,
      TRIM(A33)="TOLUCA", 6,
      TRUE, 999
    ),
    "On Time",
    "Delayed"
  ),
  "Faltan fechas"
)</f>
        <v>On Time</v>
      </c>
      <c r="U33" s="3">
        <v>4</v>
      </c>
      <c r="V33" s="3" t="s">
        <v>543</v>
      </c>
      <c r="W33" s="3">
        <v>10</v>
      </c>
      <c r="X33" s="3" t="s">
        <v>544</v>
      </c>
      <c r="Y33" s="3">
        <v>1</v>
      </c>
      <c r="Z33" s="3" t="s">
        <v>546</v>
      </c>
      <c r="AA33" s="3">
        <v>2</v>
      </c>
      <c r="AB33" s="3">
        <v>1</v>
      </c>
      <c r="AC33" s="3" t="s">
        <v>546</v>
      </c>
      <c r="AD33" s="4">
        <v>46104</v>
      </c>
      <c r="AE33" s="3">
        <v>10</v>
      </c>
      <c r="AF33" s="3">
        <v>6</v>
      </c>
      <c r="AG33" s="4">
        <v>46104</v>
      </c>
      <c r="AH33" s="4">
        <v>46104</v>
      </c>
      <c r="AI33" s="3">
        <v>0</v>
      </c>
      <c r="AJ33" s="3" t="s">
        <v>544</v>
      </c>
      <c r="AK33" s="4">
        <v>46104</v>
      </c>
      <c r="AL33" s="5">
        <f>IFERROR(IF(Q33=AK33,0,NETWORKDAYS(Q33,AK33,{"01/01/2026";"02/02/2026";"16/03/2026";"02/04/2026";"03/04/2026";"01/05/2026"})),"aun no se factura")</f>
        <v>6</v>
      </c>
      <c r="AM33" s="4" t="str">
        <f>IFERROR(IF(OR(Q33="",AK33=""),"SIN DATO",IF(NETWORKDAYS(Q33,AK33,{"01/01/2026";"02/02/2026";"16/03/2026";"02/04/2026";"03/04/2026";"01/05/2026"})&lt;=1,"1 día o menos",IF(NETWORKDAYS(Q33,AK33,{"01/01/2026";"02/02/2026";"16/03/2026";"02/04/2026";"03/04/2026";"01/05/2026"})&lt;=3,"2 a 3 días",IF(NETWORKDAYS(Q33,AK33,{"01/01/2026";"02/02/2026";"16/03/2026";"02/04/2026";"03/04/2026";"01/05/2026"})&lt;=5,"4 a 5 días",IF(NETWORKDAYS(Q33,AK33,{"01/01/2026";"02/02/2026";"16/03/2026";"02/04/2026";"03/04/2026";"01/05/2026"})&lt;=10,"6 a 10 días",IF(NETWORKDAYS(Q33,AK33,{"01/01/2026";"02/02/2026";"16/03/2026";"02/04/2026";"03/04/2026";"01/05/2026"})&lt;=16,"11 a 15 días","más de 16 días")))))),"aun no se factura")</f>
        <v>6 a 10 días</v>
      </c>
      <c r="AN33" s="4" t="str" cm="1">
        <f t="array" ref="AN33">IFERROR(
  IF(
    NETWORKDAYS(Q33,AK33,{"01/01/2026";"02/02/2026";"16/03/2026";"02/04/2026";"03/04/2026";"01/05/2026"}) &lt;=
    _xlfn.IFS(
      OR(TRIM(A33)="AICM", TRIM(A33)="AÉREO AICM"), 5,
      OR(TRIM(A33)="VERACRUZ", TRIM(A33)="MARÍTIMO VERACRUZ"), 6,
      OR(TRIM(A33)="AIFA", TRIM(A33)="AÉREO AIFA"), 7,
      AND(TRIM(A33)="CORRESPONSALIAS", TRIM(B33)="NUEVO LAREDO"), 6,
      TRIM(A33)="MANZANILLO", 10,
      TRIM(A33)="TOLUCA", 6,
      TRUE, 999
    ),
    "On Time",
    "Delayed"
  ),
  "Faltan fechas"
)</f>
        <v>On Time</v>
      </c>
      <c r="AO33" s="5">
        <v>1</v>
      </c>
      <c r="AP33" s="3" t="s">
        <v>548</v>
      </c>
      <c r="AQ33" s="3" t="s">
        <v>342</v>
      </c>
      <c r="AR33" s="3" t="s">
        <v>112</v>
      </c>
      <c r="AS33" s="3" t="s">
        <v>320</v>
      </c>
      <c r="AT33" s="3" t="s">
        <v>223</v>
      </c>
      <c r="AU33" s="5">
        <v>6000432</v>
      </c>
      <c r="AV33" s="3" t="s">
        <v>92</v>
      </c>
      <c r="AW33" s="3" t="s">
        <v>319</v>
      </c>
      <c r="AX33" s="3" t="s">
        <v>549</v>
      </c>
      <c r="AY33" s="3"/>
      <c r="AZ33" s="3" t="s">
        <v>550</v>
      </c>
      <c r="BA33" s="3" t="s">
        <v>90</v>
      </c>
      <c r="BB33" s="3"/>
      <c r="BC33" s="3"/>
      <c r="BD33" s="3"/>
      <c r="BE33" s="3"/>
      <c r="BF33" s="3" t="s">
        <v>576</v>
      </c>
      <c r="BG33" s="3" t="s">
        <v>552</v>
      </c>
      <c r="BH33" s="3" t="s">
        <v>580</v>
      </c>
      <c r="BI33" s="3"/>
      <c r="BJ33" s="3" t="s">
        <v>581</v>
      </c>
      <c r="BK33" s="3" t="s">
        <v>554</v>
      </c>
      <c r="BL33" s="3">
        <v>0</v>
      </c>
      <c r="BM33" s="3">
        <v>99</v>
      </c>
      <c r="BN33" s="3" t="s">
        <v>660</v>
      </c>
      <c r="BO33" s="3">
        <v>90</v>
      </c>
      <c r="BP33" s="3">
        <v>5465054</v>
      </c>
      <c r="BQ33" s="3" t="s">
        <v>611</v>
      </c>
      <c r="BR33" s="3"/>
      <c r="BS33" s="3" t="s">
        <v>613</v>
      </c>
      <c r="BT33" s="3" t="s">
        <v>558</v>
      </c>
      <c r="BU33" s="3" t="s">
        <v>133</v>
      </c>
      <c r="BV33" s="3" t="s">
        <v>105</v>
      </c>
      <c r="BW33" s="3"/>
      <c r="BX33" s="3"/>
      <c r="BY33" s="3"/>
      <c r="BZ33" s="3"/>
      <c r="CA33" s="3"/>
    </row>
    <row r="34" spans="1:79" x14ac:dyDescent="0.25">
      <c r="A34" s="3" t="s">
        <v>577</v>
      </c>
      <c r="B34" s="3" t="s">
        <v>578</v>
      </c>
      <c r="C34" s="3" t="s">
        <v>329</v>
      </c>
      <c r="D34" s="3">
        <v>430</v>
      </c>
      <c r="E34" s="4">
        <v>46105</v>
      </c>
      <c r="F34" s="3">
        <v>3</v>
      </c>
      <c r="G34" s="22">
        <v>46097</v>
      </c>
      <c r="H34" s="4">
        <v>46105</v>
      </c>
      <c r="I34" s="3">
        <v>6</v>
      </c>
      <c r="J34" s="3" t="s">
        <v>544</v>
      </c>
      <c r="K34" s="22">
        <v>46105</v>
      </c>
      <c r="L34" s="3">
        <v>6</v>
      </c>
      <c r="M34" s="3">
        <f>IFERROR(IF(G34=K34,0,NETWORKDAYS(G34,K34,{"01/01/2026";"02/02/2026";"16/03/2026";"02/04/2026";"03/04/2026";"01/05/2026"})),"Faltan Fechas")</f>
        <v>6</v>
      </c>
      <c r="N34" s="23" t="str">
        <f>IFERROR(IF(OR(G34="",K34=""),"SIN DATO",IF(NETWORKDAYS(G34,K34,{"01/01/2026";"02/02/2026";"16/03/2026";"02/04/2026";"03/04/2026";"01/05/2026"})&lt;=1,"1 día o menos",IF(NETWORKDAYS(G34,K34,{"01/01/2026";"02/02/2026";"16/03/2026";"02/04/2026";"03/04/2026";"01/05/2026"})&lt;=3,"2 a 3 días",IF(NETWORKDAYS(G34,K34,{"01/01/2026";"02/02/2026";"16/03/2026";"02/04/2026";"03/04/2026";"01/05/2026"})&lt;=5,"4 a 5 días",IF(NETWORKDAYS(G34,K34,{"01/01/2026";"02/02/2026";"16/03/2026";"02/04/2026";"03/04/2026";"01/05/2026"})&lt;=10,"6 a 10 días",IF(NETWORKDAYS(G34,K34,{"01/01/2026";"02/02/2026";"16/03/2026";"02/04/2026";"03/04/2026";"01/05/2026"})&lt;=16,"11 a 15 días","más de 16 días")))))),"Aun no se entrega")</f>
        <v>6 a 10 días</v>
      </c>
      <c r="O34" s="3" t="str" cm="1">
        <f t="array" ref="O34">IFERROR(
  IF(
    NETWORKDAYS(G34,K34,{"01/01/2026";"02/02/2026";"16/03/2026";"02/04/2026";"03/04/2026";"01/05/2026"}) &lt;=
    _xlfn.IFS(
      OR(TRIM(A34)="AICM", TRIM(A34)="AÉREO AICM"), 5,
      OR(TRIM(A34)="VERACRUZ", TRIM(A34)="MARÍTIMO VERACRUZ"), 6,
      OR(TRIM(A34)="AIFA", TRIM(A34)="AÉREO AIFA"), 7,
      AND(TRIM(A34)="CORRESPONSALIAS", TRIM(B34)="NUEVO LAREDO"), 6,
      TRIM(A34)="MANZANILLO", 10,
      TRIM(A34)="TOLUCA", 6,
      TRUE, 999
    ),
    "On Time",
    "Delayed"
  ),
  "Faltan fechas"
)</f>
        <v>On Time</v>
      </c>
      <c r="P34" s="24" t="s">
        <v>544</v>
      </c>
      <c r="Q34" s="4">
        <v>46106</v>
      </c>
      <c r="R34" s="5">
        <f>IFERROR(IF(G34=Q34,0,NETWORKDAYS(G34,Q34,{"01/01/2026";"02/02/2026";"16/03/2026";"02/04/2026";"03/04/2026";"01/05/2026"})),"Faltan Fechas")</f>
        <v>7</v>
      </c>
      <c r="S34" s="4" t="str">
        <f>IFERROR(IF(OR(G34="",Q34=""),"SIN DATO",IF(NETWORKDAYS(G34,Q34,{"01/01/2026";"02/02/2026";"16/03/2026";"02/04/2026";"03/04/2026";"01/05/2026"})&lt;=1,"1 día o menos",IF(NETWORKDAYS(G34,Q34,{"01/01/2026";"02/02/2026";"16/03/2026";"02/04/2026";"03/04/2026";"01/05/2026"})&lt;=3,"2 a 3 días",IF(NETWORKDAYS(G34,Q34,{"01/01/2026";"02/02/2026";"16/03/2026";"02/04/2026";"03/04/2026";"01/05/2026"})&lt;=5,"4 a 5 días",IF(NETWORKDAYS(G34,Q34,{"01/01/2026";"02/02/2026";"16/03/2026";"02/04/2026";"03/04/2026";"01/05/2026"})&lt;=10,"6 a 10 días",IF(NETWORKDAYS(G34,Q34,{"01/01/2026";"02/02/2026";"16/03/2026";"02/04/2026";"03/04/2026";"01/05/2026"})&lt;=16,"11 a 15 días","más de 16 días")))))),"Aun no se entrega")</f>
        <v>6 a 10 días</v>
      </c>
      <c r="T34" s="4" t="str" cm="1">
        <f t="array" ref="T34">IFERROR(
  IF(
    NETWORKDAYS(G34,Q34,{"01/01/2026";"02/02/2026";"16/03/2026";"02/04/2026";"03/04/2026";"01/05/2026"}) &lt;=
    _xlfn.IFS(
      OR(TRIM(A34)="AICM", TRIM(A34)="AÉREO AICM"), 5,
      OR(TRIM(A34)="VERACRUZ", TRIM(A34)="MARÍTIMO VERACRUZ"), 6,
      OR(TRIM(A34)="AIFA", TRIM(A34)="AÉREO AIFA"), 7,
      AND(TRIM(A34)="CORRESPONSALIAS", TRIM(B34)="NUEVO LAREDO"), 6,
      TRIM(A34)="MANZANILLO", 10,
      TRIM(A34)="TOLUCA", 6,
      TRUE, 999
    ),
    "On Time",
    "Delayed"
  ),
  "Faltan fechas"
)</f>
        <v>Delayed</v>
      </c>
      <c r="U34" s="3">
        <v>9</v>
      </c>
      <c r="V34" s="3" t="s">
        <v>544</v>
      </c>
      <c r="W34" s="3">
        <v>18</v>
      </c>
      <c r="X34" s="3" t="s">
        <v>547</v>
      </c>
      <c r="Y34" s="3">
        <v>0</v>
      </c>
      <c r="Z34" s="3" t="s">
        <v>546</v>
      </c>
      <c r="AA34" s="3">
        <v>8</v>
      </c>
      <c r="AB34" s="3">
        <v>1</v>
      </c>
      <c r="AC34" s="3" t="s">
        <v>546</v>
      </c>
      <c r="AD34" s="4">
        <v>46121</v>
      </c>
      <c r="AE34" s="3">
        <v>15</v>
      </c>
      <c r="AF34" s="3">
        <v>11</v>
      </c>
      <c r="AG34" s="4">
        <v>46121</v>
      </c>
      <c r="AH34" s="4">
        <v>46121</v>
      </c>
      <c r="AI34" s="3">
        <v>0</v>
      </c>
      <c r="AJ34" s="3" t="s">
        <v>559</v>
      </c>
      <c r="AK34" s="4">
        <v>46121</v>
      </c>
      <c r="AL34" s="5">
        <f>IFERROR(IF(Q34=AK34,0,NETWORKDAYS(Q34,AK34,{"01/01/2026";"02/02/2026";"16/03/2026";"02/04/2026";"03/04/2026";"01/05/2026"})),"aun no se factura")</f>
        <v>10</v>
      </c>
      <c r="AM34" s="4" t="str">
        <f>IFERROR(IF(OR(Q34="",AK34=""),"SIN DATO",IF(NETWORKDAYS(Q34,AK34,{"01/01/2026";"02/02/2026";"16/03/2026";"02/04/2026";"03/04/2026";"01/05/2026"})&lt;=1,"1 día o menos",IF(NETWORKDAYS(Q34,AK34,{"01/01/2026";"02/02/2026";"16/03/2026";"02/04/2026";"03/04/2026";"01/05/2026"})&lt;=3,"2 a 3 días",IF(NETWORKDAYS(Q34,AK34,{"01/01/2026";"02/02/2026";"16/03/2026";"02/04/2026";"03/04/2026";"01/05/2026"})&lt;=5,"4 a 5 días",IF(NETWORKDAYS(Q34,AK34,{"01/01/2026";"02/02/2026";"16/03/2026";"02/04/2026";"03/04/2026";"01/05/2026"})&lt;=10,"6 a 10 días",IF(NETWORKDAYS(Q34,AK34,{"01/01/2026";"02/02/2026";"16/03/2026";"02/04/2026";"03/04/2026";"01/05/2026"})&lt;=16,"11 a 15 días","más de 16 días")))))),"aun no se factura")</f>
        <v>6 a 10 días</v>
      </c>
      <c r="AN34" s="4" t="str" cm="1">
        <f t="array" ref="AN34">IFERROR(
  IF(
    NETWORKDAYS(Q34,AK34,{"01/01/2026";"02/02/2026";"16/03/2026";"02/04/2026";"03/04/2026";"01/05/2026"}) &lt;=
    _xlfn.IFS(
      OR(TRIM(A34)="AICM", TRIM(A34)="AÉREO AICM"), 5,
      OR(TRIM(A34)="VERACRUZ", TRIM(A34)="MARÍTIMO VERACRUZ"), 6,
      OR(TRIM(A34)="AIFA", TRIM(A34)="AÉREO AIFA"), 7,
      AND(TRIM(A34)="CORRESPONSALIAS", TRIM(B34)="NUEVO LAREDO"), 6,
      TRIM(A34)="MANZANILLO", 10,
      TRIM(A34)="TOLUCA", 6,
      TRUE, 999
    ),
    "On Time",
    "Delayed"
  ),
  "Faltan fechas"
)</f>
        <v>Delayed</v>
      </c>
      <c r="AO34" s="5">
        <v>1</v>
      </c>
      <c r="AP34" s="3" t="s">
        <v>548</v>
      </c>
      <c r="AQ34" s="3" t="s">
        <v>93</v>
      </c>
      <c r="AR34" s="3" t="s">
        <v>112</v>
      </c>
      <c r="AS34" s="3" t="s">
        <v>332</v>
      </c>
      <c r="AT34" s="3" t="s">
        <v>223</v>
      </c>
      <c r="AU34" s="5">
        <v>6000363</v>
      </c>
      <c r="AV34" s="3" t="s">
        <v>92</v>
      </c>
      <c r="AW34" s="3" t="s">
        <v>331</v>
      </c>
      <c r="AX34" s="3" t="s">
        <v>549</v>
      </c>
      <c r="AY34" s="3"/>
      <c r="AZ34" s="3" t="s">
        <v>550</v>
      </c>
      <c r="BA34" s="3" t="s">
        <v>90</v>
      </c>
      <c r="BB34" s="3"/>
      <c r="BC34" s="3" t="s">
        <v>333</v>
      </c>
      <c r="BD34" s="3"/>
      <c r="BE34" s="3" t="s">
        <v>333</v>
      </c>
      <c r="BF34" s="3" t="s">
        <v>576</v>
      </c>
      <c r="BG34" s="3" t="s">
        <v>620</v>
      </c>
      <c r="BH34" s="3" t="s">
        <v>580</v>
      </c>
      <c r="BI34" s="3"/>
      <c r="BJ34" s="3" t="s">
        <v>643</v>
      </c>
      <c r="BK34" s="3" t="s">
        <v>554</v>
      </c>
      <c r="BL34" s="3">
        <v>0</v>
      </c>
      <c r="BM34" s="3">
        <v>99</v>
      </c>
      <c r="BN34" s="3" t="s">
        <v>661</v>
      </c>
      <c r="BO34" s="3">
        <v>90</v>
      </c>
      <c r="BP34" s="3" t="s">
        <v>662</v>
      </c>
      <c r="BQ34" s="3" t="s">
        <v>652</v>
      </c>
      <c r="BR34" s="3"/>
      <c r="BS34" s="3" t="s">
        <v>558</v>
      </c>
      <c r="BT34" s="3" t="s">
        <v>558</v>
      </c>
      <c r="BU34" s="3" t="s">
        <v>105</v>
      </c>
      <c r="BV34" s="3" t="s">
        <v>105</v>
      </c>
      <c r="BW34" s="3"/>
      <c r="BX34" s="3"/>
      <c r="BY34" s="3"/>
      <c r="BZ34" s="3"/>
      <c r="CA34" s="3"/>
    </row>
    <row r="35" spans="1:79" x14ac:dyDescent="0.25">
      <c r="A35" s="3" t="s">
        <v>577</v>
      </c>
      <c r="B35" s="3" t="s">
        <v>578</v>
      </c>
      <c r="C35" s="3" t="s">
        <v>322</v>
      </c>
      <c r="D35" s="3">
        <v>430</v>
      </c>
      <c r="E35" s="4">
        <v>46093</v>
      </c>
      <c r="F35" s="3">
        <v>3</v>
      </c>
      <c r="G35" s="22">
        <v>46090</v>
      </c>
      <c r="H35" s="4">
        <v>46093</v>
      </c>
      <c r="I35" s="3">
        <v>3</v>
      </c>
      <c r="J35" s="3" t="s">
        <v>579</v>
      </c>
      <c r="K35" s="22">
        <v>46094</v>
      </c>
      <c r="L35" s="3">
        <v>4</v>
      </c>
      <c r="M35" s="3">
        <f>IFERROR(IF(G35=K35,0,NETWORKDAYS(G35,K35,{"01/01/2026";"02/02/2026";"16/03/2026";"02/04/2026";"03/04/2026";"01/05/2026"})),"Faltan Fechas")</f>
        <v>5</v>
      </c>
      <c r="N35" s="23" t="str">
        <f>IFERROR(IF(OR(G35="",K35=""),"SIN DATO",IF(NETWORKDAYS(G35,K35,{"01/01/2026";"02/02/2026";"16/03/2026";"02/04/2026";"03/04/2026";"01/05/2026"})&lt;=1,"1 día o menos",IF(NETWORKDAYS(G35,K35,{"01/01/2026";"02/02/2026";"16/03/2026";"02/04/2026";"03/04/2026";"01/05/2026"})&lt;=3,"2 a 3 días",IF(NETWORKDAYS(G35,K35,{"01/01/2026";"02/02/2026";"16/03/2026";"02/04/2026";"03/04/2026";"01/05/2026"})&lt;=5,"4 a 5 días",IF(NETWORKDAYS(G35,K35,{"01/01/2026";"02/02/2026";"16/03/2026";"02/04/2026";"03/04/2026";"01/05/2026"})&lt;=10,"6 a 10 días",IF(NETWORKDAYS(G35,K35,{"01/01/2026";"02/02/2026";"16/03/2026";"02/04/2026";"03/04/2026";"01/05/2026"})&lt;=16,"11 a 15 días","más de 16 días")))))),"Aun no se entrega")</f>
        <v>4 a 5 días</v>
      </c>
      <c r="O35" s="3" t="str" cm="1">
        <f t="array" ref="O35">IFERROR(
  IF(
    NETWORKDAYS(G35,K35,{"01/01/2026";"02/02/2026";"16/03/2026";"02/04/2026";"03/04/2026";"01/05/2026"}) &lt;=
    _xlfn.IFS(
      OR(TRIM(A35)="AICM", TRIM(A35)="AÉREO AICM"), 5,
      OR(TRIM(A35)="VERACRUZ", TRIM(A35)="MARÍTIMO VERACRUZ"), 6,
      OR(TRIM(A35)="AIFA", TRIM(A35)="AÉREO AIFA"), 7,
      AND(TRIM(A35)="CORRESPONSALIAS", TRIM(B35)="NUEVO LAREDO"), 6,
      TRIM(A35)="MANZANILLO", 10,
      TRIM(A35)="TOLUCA", 6,
      TRUE, 999
    ),
    "On Time",
    "Delayed"
  ),
  "Faltan fechas"
)</f>
        <v>On Time</v>
      </c>
      <c r="P35" s="24" t="s">
        <v>543</v>
      </c>
      <c r="Q35" s="4">
        <v>46095</v>
      </c>
      <c r="R35" s="5">
        <f>IFERROR(IF(G35=Q35,0,NETWORKDAYS(G35,Q35,{"01/01/2026";"02/02/2026";"16/03/2026";"02/04/2026";"03/04/2026";"01/05/2026"})),"Faltan Fechas")</f>
        <v>5</v>
      </c>
      <c r="S35" s="4" t="str">
        <f>IFERROR(IF(OR(G35="",Q35=""),"SIN DATO",IF(NETWORKDAYS(G35,Q35,{"01/01/2026";"02/02/2026";"16/03/2026";"02/04/2026";"03/04/2026";"01/05/2026"})&lt;=1,"1 día o menos",IF(NETWORKDAYS(G35,Q35,{"01/01/2026";"02/02/2026";"16/03/2026";"02/04/2026";"03/04/2026";"01/05/2026"})&lt;=3,"2 a 3 días",IF(NETWORKDAYS(G35,Q35,{"01/01/2026";"02/02/2026";"16/03/2026";"02/04/2026";"03/04/2026";"01/05/2026"})&lt;=5,"4 a 5 días",IF(NETWORKDAYS(G35,Q35,{"01/01/2026";"02/02/2026";"16/03/2026";"02/04/2026";"03/04/2026";"01/05/2026"})&lt;=10,"6 a 10 días",IF(NETWORKDAYS(G35,Q35,{"01/01/2026";"02/02/2026";"16/03/2026";"02/04/2026";"03/04/2026";"01/05/2026"})&lt;=16,"11 a 15 días","más de 16 días")))))),"Aun no se entrega")</f>
        <v>4 a 5 días</v>
      </c>
      <c r="T35" s="4" t="str" cm="1">
        <f t="array" ref="T35">IFERROR(
  IF(
    NETWORKDAYS(G35,Q35,{"01/01/2026";"02/02/2026";"16/03/2026";"02/04/2026";"03/04/2026";"01/05/2026"}) &lt;=
    _xlfn.IFS(
      OR(TRIM(A35)="AICM", TRIM(A35)="AÉREO AICM"), 5,
      OR(TRIM(A35)="VERACRUZ", TRIM(A35)="MARÍTIMO VERACRUZ"), 6,
      OR(TRIM(A35)="AIFA", TRIM(A35)="AÉREO AIFA"), 7,
      AND(TRIM(A35)="CORRESPONSALIAS", TRIM(B35)="NUEVO LAREDO"), 6,
      TRIM(A35)="MANZANILLO", 10,
      TRIM(A35)="TOLUCA", 6,
      TRUE, 999
    ),
    "On Time",
    "Delayed"
  ),
  "Faltan fechas"
)</f>
        <v>On Time</v>
      </c>
      <c r="U35" s="3">
        <v>5</v>
      </c>
      <c r="V35" s="3" t="s">
        <v>543</v>
      </c>
      <c r="W35" s="3">
        <v>16</v>
      </c>
      <c r="X35" s="3" t="s">
        <v>547</v>
      </c>
      <c r="Y35" s="3">
        <v>1</v>
      </c>
      <c r="Z35" s="3" t="s">
        <v>546</v>
      </c>
      <c r="AA35" s="3">
        <v>3</v>
      </c>
      <c r="AB35" s="3">
        <v>1</v>
      </c>
      <c r="AC35" s="3" t="s">
        <v>546</v>
      </c>
      <c r="AD35" s="4">
        <v>46112</v>
      </c>
      <c r="AE35" s="3">
        <v>16</v>
      </c>
      <c r="AF35" s="3">
        <v>11</v>
      </c>
      <c r="AG35" s="4">
        <v>46111</v>
      </c>
      <c r="AH35" s="4">
        <v>46112</v>
      </c>
      <c r="AI35" s="3">
        <v>1</v>
      </c>
      <c r="AJ35" s="3" t="s">
        <v>547</v>
      </c>
      <c r="AK35" s="4">
        <v>46112</v>
      </c>
      <c r="AL35" s="5">
        <f>IFERROR(IF(Q35=AK35,0,NETWORKDAYS(Q35,AK35,{"01/01/2026";"02/02/2026";"16/03/2026";"02/04/2026";"03/04/2026";"01/05/2026"})),"aun no se factura")</f>
        <v>11</v>
      </c>
      <c r="AM35" s="4" t="str">
        <f>IFERROR(IF(OR(Q35="",AK35=""),"SIN DATO",IF(NETWORKDAYS(Q35,AK35,{"01/01/2026";"02/02/2026";"16/03/2026";"02/04/2026";"03/04/2026";"01/05/2026"})&lt;=1,"1 día o menos",IF(NETWORKDAYS(Q35,AK35,{"01/01/2026";"02/02/2026";"16/03/2026";"02/04/2026";"03/04/2026";"01/05/2026"})&lt;=3,"2 a 3 días",IF(NETWORKDAYS(Q35,AK35,{"01/01/2026";"02/02/2026";"16/03/2026";"02/04/2026";"03/04/2026";"01/05/2026"})&lt;=5,"4 a 5 días",IF(NETWORKDAYS(Q35,AK35,{"01/01/2026";"02/02/2026";"16/03/2026";"02/04/2026";"03/04/2026";"01/05/2026"})&lt;=10,"6 a 10 días",IF(NETWORKDAYS(Q35,AK35,{"01/01/2026";"02/02/2026";"16/03/2026";"02/04/2026";"03/04/2026";"01/05/2026"})&lt;=16,"11 a 15 días","más de 16 días")))))),"aun no se factura")</f>
        <v>11 a 15 días</v>
      </c>
      <c r="AN35" s="4" t="str" cm="1">
        <f t="array" ref="AN35">IFERROR(
  IF(
    NETWORKDAYS(Q35,AK35,{"01/01/2026";"02/02/2026";"16/03/2026";"02/04/2026";"03/04/2026";"01/05/2026"}) &lt;=
    _xlfn.IFS(
      OR(TRIM(A35)="AICM", TRIM(A35)="AÉREO AICM"), 5,
      OR(TRIM(A35)="VERACRUZ", TRIM(A35)="MARÍTIMO VERACRUZ"), 6,
      OR(TRIM(A35)="AIFA", TRIM(A35)="AÉREO AIFA"), 7,
      AND(TRIM(A35)="CORRESPONSALIAS", TRIM(B35)="NUEVO LAREDO"), 6,
      TRIM(A35)="MANZANILLO", 10,
      TRIM(A35)="TOLUCA", 6,
      TRUE, 999
    ),
    "On Time",
    "Delayed"
  ),
  "Faltan fechas"
)</f>
        <v>Delayed</v>
      </c>
      <c r="AO35" s="5">
        <v>1</v>
      </c>
      <c r="AP35" s="3" t="s">
        <v>548</v>
      </c>
      <c r="AQ35" s="3" t="s">
        <v>93</v>
      </c>
      <c r="AR35" s="3" t="s">
        <v>112</v>
      </c>
      <c r="AS35" s="3" t="s">
        <v>325</v>
      </c>
      <c r="AT35" s="3" t="s">
        <v>223</v>
      </c>
      <c r="AU35" s="5">
        <v>6000371</v>
      </c>
      <c r="AV35" s="3" t="s">
        <v>92</v>
      </c>
      <c r="AW35" s="3" t="s">
        <v>324</v>
      </c>
      <c r="AX35" s="3" t="s">
        <v>549</v>
      </c>
      <c r="AY35" s="3"/>
      <c r="AZ35" s="3" t="s">
        <v>550</v>
      </c>
      <c r="BA35" s="3" t="s">
        <v>90</v>
      </c>
      <c r="BB35" s="3"/>
      <c r="BC35" s="3"/>
      <c r="BD35" s="3"/>
      <c r="BE35" s="3"/>
      <c r="BF35" s="3" t="s">
        <v>576</v>
      </c>
      <c r="BG35" s="3" t="s">
        <v>552</v>
      </c>
      <c r="BH35" s="3" t="s">
        <v>580</v>
      </c>
      <c r="BI35" s="3"/>
      <c r="BJ35" s="3" t="s">
        <v>643</v>
      </c>
      <c r="BK35" s="3" t="s">
        <v>554</v>
      </c>
      <c r="BL35" s="3">
        <v>0</v>
      </c>
      <c r="BM35" s="3">
        <v>99</v>
      </c>
      <c r="BN35" s="3" t="s">
        <v>663</v>
      </c>
      <c r="BO35" s="3">
        <v>90</v>
      </c>
      <c r="BP35" s="3">
        <v>10515563.199999999</v>
      </c>
      <c r="BQ35" s="3" t="s">
        <v>657</v>
      </c>
      <c r="BR35" s="3"/>
      <c r="BS35" s="3" t="s">
        <v>613</v>
      </c>
      <c r="BT35" s="3" t="s">
        <v>558</v>
      </c>
      <c r="BU35" s="3" t="s">
        <v>133</v>
      </c>
      <c r="BV35" s="3" t="s">
        <v>105</v>
      </c>
      <c r="BW35" s="3"/>
      <c r="BX35" s="3"/>
      <c r="BY35" s="3"/>
      <c r="BZ35" s="3"/>
      <c r="CA35" s="3"/>
    </row>
    <row r="36" spans="1:79" x14ac:dyDescent="0.25">
      <c r="A36" s="3" t="s">
        <v>577</v>
      </c>
      <c r="B36" s="3" t="s">
        <v>578</v>
      </c>
      <c r="C36" s="3" t="s">
        <v>301</v>
      </c>
      <c r="D36" s="3">
        <v>430</v>
      </c>
      <c r="E36" s="4">
        <v>46105</v>
      </c>
      <c r="F36" s="3">
        <v>3</v>
      </c>
      <c r="G36" s="22">
        <v>46097</v>
      </c>
      <c r="H36" s="4">
        <v>46105</v>
      </c>
      <c r="I36" s="3">
        <v>6</v>
      </c>
      <c r="J36" s="3" t="s">
        <v>544</v>
      </c>
      <c r="K36" s="22">
        <v>46105</v>
      </c>
      <c r="L36" s="3">
        <v>6</v>
      </c>
      <c r="M36" s="3">
        <f>IFERROR(IF(G36=K36,0,NETWORKDAYS(G36,K36,{"01/01/2026";"02/02/2026";"16/03/2026";"02/04/2026";"03/04/2026";"01/05/2026"})),"Faltan Fechas")</f>
        <v>6</v>
      </c>
      <c r="N36" s="23" t="str">
        <f>IFERROR(IF(OR(G36="",K36=""),"SIN DATO",IF(NETWORKDAYS(G36,K36,{"01/01/2026";"02/02/2026";"16/03/2026";"02/04/2026";"03/04/2026";"01/05/2026"})&lt;=1,"1 día o menos",IF(NETWORKDAYS(G36,K36,{"01/01/2026";"02/02/2026";"16/03/2026";"02/04/2026";"03/04/2026";"01/05/2026"})&lt;=3,"2 a 3 días",IF(NETWORKDAYS(G36,K36,{"01/01/2026";"02/02/2026";"16/03/2026";"02/04/2026";"03/04/2026";"01/05/2026"})&lt;=5,"4 a 5 días",IF(NETWORKDAYS(G36,K36,{"01/01/2026";"02/02/2026";"16/03/2026";"02/04/2026";"03/04/2026";"01/05/2026"})&lt;=10,"6 a 10 días",IF(NETWORKDAYS(G36,K36,{"01/01/2026";"02/02/2026";"16/03/2026";"02/04/2026";"03/04/2026";"01/05/2026"})&lt;=16,"11 a 15 días","más de 16 días")))))),"Aun no se entrega")</f>
        <v>6 a 10 días</v>
      </c>
      <c r="O36" s="3" t="str" cm="1">
        <f t="array" ref="O36">IFERROR(
  IF(
    NETWORKDAYS(G36,K36,{"01/01/2026";"02/02/2026";"16/03/2026";"02/04/2026";"03/04/2026";"01/05/2026"}) &lt;=
    _xlfn.IFS(
      OR(TRIM(A36)="AICM", TRIM(A36)="AÉREO AICM"), 5,
      OR(TRIM(A36)="VERACRUZ", TRIM(A36)="MARÍTIMO VERACRUZ"), 6,
      OR(TRIM(A36)="AIFA", TRIM(A36)="AÉREO AIFA"), 7,
      AND(TRIM(A36)="CORRESPONSALIAS", TRIM(B36)="NUEVO LAREDO"), 6,
      TRIM(A36)="MANZANILLO", 10,
      TRIM(A36)="TOLUCA", 6,
      TRUE, 999
    ),
    "On Time",
    "Delayed"
  ),
  "Faltan fechas"
)</f>
        <v>On Time</v>
      </c>
      <c r="P36" s="24" t="s">
        <v>544</v>
      </c>
      <c r="Q36" s="4">
        <v>46106</v>
      </c>
      <c r="R36" s="5">
        <f>IFERROR(IF(G36=Q36,0,NETWORKDAYS(G36,Q36,{"01/01/2026";"02/02/2026";"16/03/2026";"02/04/2026";"03/04/2026";"01/05/2026"})),"Faltan Fechas")</f>
        <v>7</v>
      </c>
      <c r="S36" s="4" t="str">
        <f>IFERROR(IF(OR(G36="",Q36=""),"SIN DATO",IF(NETWORKDAYS(G36,Q36,{"01/01/2026";"02/02/2026";"16/03/2026";"02/04/2026";"03/04/2026";"01/05/2026"})&lt;=1,"1 día o menos",IF(NETWORKDAYS(G36,Q36,{"01/01/2026";"02/02/2026";"16/03/2026";"02/04/2026";"03/04/2026";"01/05/2026"})&lt;=3,"2 a 3 días",IF(NETWORKDAYS(G36,Q36,{"01/01/2026";"02/02/2026";"16/03/2026";"02/04/2026";"03/04/2026";"01/05/2026"})&lt;=5,"4 a 5 días",IF(NETWORKDAYS(G36,Q36,{"01/01/2026";"02/02/2026";"16/03/2026";"02/04/2026";"03/04/2026";"01/05/2026"})&lt;=10,"6 a 10 días",IF(NETWORKDAYS(G36,Q36,{"01/01/2026";"02/02/2026";"16/03/2026";"02/04/2026";"03/04/2026";"01/05/2026"})&lt;=16,"11 a 15 días","más de 16 días")))))),"Aun no se entrega")</f>
        <v>6 a 10 días</v>
      </c>
      <c r="T36" s="4" t="str" cm="1">
        <f t="array" ref="T36">IFERROR(
  IF(
    NETWORKDAYS(G36,Q36,{"01/01/2026";"02/02/2026";"16/03/2026";"02/04/2026";"03/04/2026";"01/05/2026"}) &lt;=
    _xlfn.IFS(
      OR(TRIM(A36)="AICM", TRIM(A36)="AÉREO AICM"), 5,
      OR(TRIM(A36)="VERACRUZ", TRIM(A36)="MARÍTIMO VERACRUZ"), 6,
      OR(TRIM(A36)="AIFA", TRIM(A36)="AÉREO AIFA"), 7,
      AND(TRIM(A36)="CORRESPONSALIAS", TRIM(B36)="NUEVO LAREDO"), 6,
      TRIM(A36)="MANZANILLO", 10,
      TRIM(A36)="TOLUCA", 6,
      TRUE, 999
    ),
    "On Time",
    "Delayed"
  ),
  "Faltan fechas"
)</f>
        <v>Delayed</v>
      </c>
      <c r="U36" s="3">
        <v>9</v>
      </c>
      <c r="V36" s="3" t="s">
        <v>544</v>
      </c>
      <c r="W36" s="3">
        <v>12</v>
      </c>
      <c r="X36" s="3" t="s">
        <v>559</v>
      </c>
      <c r="Y36" s="3">
        <v>0</v>
      </c>
      <c r="Z36" s="3" t="s">
        <v>546</v>
      </c>
      <c r="AA36" s="3">
        <v>8</v>
      </c>
      <c r="AB36" s="3">
        <v>1</v>
      </c>
      <c r="AC36" s="3" t="s">
        <v>546</v>
      </c>
      <c r="AD36" s="4">
        <v>46113</v>
      </c>
      <c r="AE36" s="3">
        <v>7</v>
      </c>
      <c r="AF36" s="3">
        <v>5</v>
      </c>
      <c r="AG36" s="4">
        <v>46113</v>
      </c>
      <c r="AH36" s="4">
        <v>46113</v>
      </c>
      <c r="AI36" s="3">
        <v>0</v>
      </c>
      <c r="AJ36" s="3" t="s">
        <v>544</v>
      </c>
      <c r="AK36" s="4">
        <v>46113</v>
      </c>
      <c r="AL36" s="5">
        <f>IFERROR(IF(Q36=AK36,0,NETWORKDAYS(Q36,AK36,{"01/01/2026";"02/02/2026";"16/03/2026";"02/04/2026";"03/04/2026";"01/05/2026"})),"aun no se factura")</f>
        <v>6</v>
      </c>
      <c r="AM36" s="4" t="str">
        <f>IFERROR(IF(OR(Q36="",AK36=""),"SIN DATO",IF(NETWORKDAYS(Q36,AK36,{"01/01/2026";"02/02/2026";"16/03/2026";"02/04/2026";"03/04/2026";"01/05/2026"})&lt;=1,"1 día o menos",IF(NETWORKDAYS(Q36,AK36,{"01/01/2026";"02/02/2026";"16/03/2026";"02/04/2026";"03/04/2026";"01/05/2026"})&lt;=3,"2 a 3 días",IF(NETWORKDAYS(Q36,AK36,{"01/01/2026";"02/02/2026";"16/03/2026";"02/04/2026";"03/04/2026";"01/05/2026"})&lt;=5,"4 a 5 días",IF(NETWORKDAYS(Q36,AK36,{"01/01/2026";"02/02/2026";"16/03/2026";"02/04/2026";"03/04/2026";"01/05/2026"})&lt;=10,"6 a 10 días",IF(NETWORKDAYS(Q36,AK36,{"01/01/2026";"02/02/2026";"16/03/2026";"02/04/2026";"03/04/2026";"01/05/2026"})&lt;=16,"11 a 15 días","más de 16 días")))))),"aun no se factura")</f>
        <v>6 a 10 días</v>
      </c>
      <c r="AN36" s="4" t="str" cm="1">
        <f t="array" ref="AN36">IFERROR(
  IF(
    NETWORKDAYS(Q36,AK36,{"01/01/2026";"02/02/2026";"16/03/2026";"02/04/2026";"03/04/2026";"01/05/2026"}) &lt;=
    _xlfn.IFS(
      OR(TRIM(A36)="AICM", TRIM(A36)="AÉREO AICM"), 5,
      OR(TRIM(A36)="VERACRUZ", TRIM(A36)="MARÍTIMO VERACRUZ"), 6,
      OR(TRIM(A36)="AIFA", TRIM(A36)="AÉREO AIFA"), 7,
      AND(TRIM(A36)="CORRESPONSALIAS", TRIM(B36)="NUEVO LAREDO"), 6,
      TRIM(A36)="MANZANILLO", 10,
      TRIM(A36)="TOLUCA", 6,
      TRUE, 999
    ),
    "On Time",
    "Delayed"
  ),
  "Faltan fechas"
)</f>
        <v>On Time</v>
      </c>
      <c r="AO36" s="5">
        <v>1</v>
      </c>
      <c r="AP36" s="3" t="s">
        <v>548</v>
      </c>
      <c r="AQ36" s="3" t="s">
        <v>93</v>
      </c>
      <c r="AR36" s="3" t="s">
        <v>112</v>
      </c>
      <c r="AS36" s="3" t="s">
        <v>303</v>
      </c>
      <c r="AT36" s="3" t="s">
        <v>223</v>
      </c>
      <c r="AU36" s="5">
        <v>6000372</v>
      </c>
      <c r="AV36" s="3" t="s">
        <v>92</v>
      </c>
      <c r="AW36" s="3" t="s">
        <v>96</v>
      </c>
      <c r="AX36" s="3" t="s">
        <v>549</v>
      </c>
      <c r="AY36" s="3"/>
      <c r="AZ36" s="3" t="s">
        <v>550</v>
      </c>
      <c r="BA36" s="3" t="s">
        <v>90</v>
      </c>
      <c r="BB36" s="3"/>
      <c r="BC36" s="3" t="s">
        <v>107</v>
      </c>
      <c r="BD36" s="3"/>
      <c r="BE36" s="3" t="s">
        <v>107</v>
      </c>
      <c r="BF36" s="3" t="s">
        <v>576</v>
      </c>
      <c r="BG36" s="3" t="s">
        <v>620</v>
      </c>
      <c r="BH36" s="3" t="s">
        <v>580</v>
      </c>
      <c r="BI36" s="3"/>
      <c r="BJ36" s="3" t="s">
        <v>643</v>
      </c>
      <c r="BK36" s="3" t="s">
        <v>554</v>
      </c>
      <c r="BL36" s="3">
        <v>0</v>
      </c>
      <c r="BM36" s="3">
        <v>99</v>
      </c>
      <c r="BN36" s="3" t="s">
        <v>664</v>
      </c>
      <c r="BO36" s="3">
        <v>90</v>
      </c>
      <c r="BP36" s="3">
        <v>12690063</v>
      </c>
      <c r="BQ36" s="3" t="s">
        <v>563</v>
      </c>
      <c r="BR36" s="3"/>
      <c r="BS36" s="3" t="s">
        <v>591</v>
      </c>
      <c r="BT36" s="3" t="s">
        <v>558</v>
      </c>
      <c r="BU36" s="3" t="s">
        <v>104</v>
      </c>
      <c r="BV36" s="3" t="s">
        <v>105</v>
      </c>
      <c r="BW36" s="3"/>
      <c r="BX36" s="3"/>
      <c r="BY36" s="3"/>
      <c r="BZ36" s="3"/>
      <c r="CA36" s="3"/>
    </row>
    <row r="37" spans="1:79" x14ac:dyDescent="0.25">
      <c r="A37" s="3" t="s">
        <v>577</v>
      </c>
      <c r="B37" s="3" t="s">
        <v>578</v>
      </c>
      <c r="C37" s="3" t="s">
        <v>347</v>
      </c>
      <c r="D37" s="3">
        <v>430</v>
      </c>
      <c r="E37" s="4">
        <v>46108</v>
      </c>
      <c r="F37" s="3">
        <v>3</v>
      </c>
      <c r="G37" s="22">
        <v>46102</v>
      </c>
      <c r="H37" s="4">
        <v>46108</v>
      </c>
      <c r="I37" s="3">
        <v>4</v>
      </c>
      <c r="J37" s="3" t="s">
        <v>543</v>
      </c>
      <c r="K37" s="22">
        <v>46109</v>
      </c>
      <c r="L37" s="3">
        <v>5</v>
      </c>
      <c r="M37" s="3">
        <f>IFERROR(IF(G37=K37,0,NETWORKDAYS(G37,K37,{"01/01/2026";"02/02/2026";"16/03/2026";"02/04/2026";"03/04/2026";"01/05/2026"})),"Faltan Fechas")</f>
        <v>5</v>
      </c>
      <c r="N37" s="23" t="str">
        <f>IFERROR(IF(OR(G37="",K37=""),"SIN DATO",IF(NETWORKDAYS(G37,K37,{"01/01/2026";"02/02/2026";"16/03/2026";"02/04/2026";"03/04/2026";"01/05/2026"})&lt;=1,"1 día o menos",IF(NETWORKDAYS(G37,K37,{"01/01/2026";"02/02/2026";"16/03/2026";"02/04/2026";"03/04/2026";"01/05/2026"})&lt;=3,"2 a 3 días",IF(NETWORKDAYS(G37,K37,{"01/01/2026";"02/02/2026";"16/03/2026";"02/04/2026";"03/04/2026";"01/05/2026"})&lt;=5,"4 a 5 días",IF(NETWORKDAYS(G37,K37,{"01/01/2026";"02/02/2026";"16/03/2026";"02/04/2026";"03/04/2026";"01/05/2026"})&lt;=10,"6 a 10 días",IF(NETWORKDAYS(G37,K37,{"01/01/2026";"02/02/2026";"16/03/2026";"02/04/2026";"03/04/2026";"01/05/2026"})&lt;=16,"11 a 15 días","más de 16 días")))))),"Aun no se entrega")</f>
        <v>4 a 5 días</v>
      </c>
      <c r="O37" s="3" t="str" cm="1">
        <f t="array" ref="O37">IFERROR(
  IF(
    NETWORKDAYS(G37,K37,{"01/01/2026";"02/02/2026";"16/03/2026";"02/04/2026";"03/04/2026";"01/05/2026"}) &lt;=
    _xlfn.IFS(
      OR(TRIM(A37)="AICM", TRIM(A37)="AÉREO AICM"), 5,
      OR(TRIM(A37)="VERACRUZ", TRIM(A37)="MARÍTIMO VERACRUZ"), 6,
      OR(TRIM(A37)="AIFA", TRIM(A37)="AÉREO AIFA"), 7,
      AND(TRIM(A37)="CORRESPONSALIAS", TRIM(B37)="NUEVO LAREDO"), 6,
      TRIM(A37)="MANZANILLO", 10,
      TRIM(A37)="TOLUCA", 6,
      TRUE, 999
    ),
    "On Time",
    "Delayed"
  ),
  "Faltan fechas"
)</f>
        <v>On Time</v>
      </c>
      <c r="P37" s="24" t="s">
        <v>544</v>
      </c>
      <c r="Q37" s="4">
        <v>46111</v>
      </c>
      <c r="R37" s="5">
        <f>IFERROR(IF(G37=Q37,0,NETWORKDAYS(G37,Q37,{"01/01/2026";"02/02/2026";"16/03/2026";"02/04/2026";"03/04/2026";"01/05/2026"})),"Faltan Fechas")</f>
        <v>6</v>
      </c>
      <c r="S37" s="4" t="str">
        <f>IFERROR(IF(OR(G37="",Q37=""),"SIN DATO",IF(NETWORKDAYS(G37,Q37,{"01/01/2026";"02/02/2026";"16/03/2026";"02/04/2026";"03/04/2026";"01/05/2026"})&lt;=1,"1 día o menos",IF(NETWORKDAYS(G37,Q37,{"01/01/2026";"02/02/2026";"16/03/2026";"02/04/2026";"03/04/2026";"01/05/2026"})&lt;=3,"2 a 3 días",IF(NETWORKDAYS(G37,Q37,{"01/01/2026";"02/02/2026";"16/03/2026";"02/04/2026";"03/04/2026";"01/05/2026"})&lt;=5,"4 a 5 días",IF(NETWORKDAYS(G37,Q37,{"01/01/2026";"02/02/2026";"16/03/2026";"02/04/2026";"03/04/2026";"01/05/2026"})&lt;=10,"6 a 10 días",IF(NETWORKDAYS(G37,Q37,{"01/01/2026";"02/02/2026";"16/03/2026";"02/04/2026";"03/04/2026";"01/05/2026"})&lt;=16,"11 a 15 días","más de 16 días")))))),"Aun no se entrega")</f>
        <v>6 a 10 días</v>
      </c>
      <c r="T37" s="4" t="str" cm="1">
        <f t="array" ref="T37">IFERROR(
  IF(
    NETWORKDAYS(G37,Q37,{"01/01/2026";"02/02/2026";"16/03/2026";"02/04/2026";"03/04/2026";"01/05/2026"}) &lt;=
    _xlfn.IFS(
      OR(TRIM(A37)="AICM", TRIM(A37)="AÉREO AICM"), 5,
      OR(TRIM(A37)="VERACRUZ", TRIM(A37)="MARÍTIMO VERACRUZ"), 6,
      OR(TRIM(A37)="AIFA", TRIM(A37)="AÉREO AIFA"), 7,
      AND(TRIM(A37)="CORRESPONSALIAS", TRIM(B37)="NUEVO LAREDO"), 6,
      TRIM(A37)="MANZANILLO", 10,
      TRIM(A37)="TOLUCA", 6,
      TRUE, 999
    ),
    "On Time",
    "Delayed"
  ),
  "Faltan fechas"
)</f>
        <v>On Time</v>
      </c>
      <c r="U37" s="3">
        <v>9</v>
      </c>
      <c r="V37" s="3" t="s">
        <v>543</v>
      </c>
      <c r="W37" s="3">
        <v>13</v>
      </c>
      <c r="X37" s="3" t="s">
        <v>559</v>
      </c>
      <c r="Y37" s="3">
        <v>1</v>
      </c>
      <c r="Z37" s="3" t="s">
        <v>546</v>
      </c>
      <c r="AA37" s="3">
        <v>6</v>
      </c>
      <c r="AB37" s="3">
        <v>2</v>
      </c>
      <c r="AC37" s="3" t="s">
        <v>579</v>
      </c>
      <c r="AD37" s="4">
        <v>46121</v>
      </c>
      <c r="AE37" s="3">
        <v>10</v>
      </c>
      <c r="AF37" s="3">
        <v>8</v>
      </c>
      <c r="AG37" s="4">
        <v>46121</v>
      </c>
      <c r="AH37" s="4">
        <v>46121</v>
      </c>
      <c r="AI37" s="3">
        <v>0</v>
      </c>
      <c r="AJ37" s="3" t="s">
        <v>544</v>
      </c>
      <c r="AK37" s="4">
        <v>46121</v>
      </c>
      <c r="AL37" s="5">
        <f>IFERROR(IF(Q37=AK37,0,NETWORKDAYS(Q37,AK37,{"01/01/2026";"02/02/2026";"16/03/2026";"02/04/2026";"03/04/2026";"01/05/2026"})),"aun no se factura")</f>
        <v>7</v>
      </c>
      <c r="AM37" s="4" t="str">
        <f>IFERROR(IF(OR(Q37="",AK37=""),"SIN DATO",IF(NETWORKDAYS(Q37,AK37,{"01/01/2026";"02/02/2026";"16/03/2026";"02/04/2026";"03/04/2026";"01/05/2026"})&lt;=1,"1 día o menos",IF(NETWORKDAYS(Q37,AK37,{"01/01/2026";"02/02/2026";"16/03/2026";"02/04/2026";"03/04/2026";"01/05/2026"})&lt;=3,"2 a 3 días",IF(NETWORKDAYS(Q37,AK37,{"01/01/2026";"02/02/2026";"16/03/2026";"02/04/2026";"03/04/2026";"01/05/2026"})&lt;=5,"4 a 5 días",IF(NETWORKDAYS(Q37,AK37,{"01/01/2026";"02/02/2026";"16/03/2026";"02/04/2026";"03/04/2026";"01/05/2026"})&lt;=10,"6 a 10 días",IF(NETWORKDAYS(Q37,AK37,{"01/01/2026";"02/02/2026";"16/03/2026";"02/04/2026";"03/04/2026";"01/05/2026"})&lt;=16,"11 a 15 días","más de 16 días")))))),"aun no se factura")</f>
        <v>6 a 10 días</v>
      </c>
      <c r="AN37" s="4" t="str" cm="1">
        <f t="array" ref="AN37">IFERROR(
  IF(
    NETWORKDAYS(Q37,AK37,{"01/01/2026";"02/02/2026";"16/03/2026";"02/04/2026";"03/04/2026";"01/05/2026"}) &lt;=
    _xlfn.IFS(
      OR(TRIM(A37)="AICM", TRIM(A37)="AÉREO AICM"), 5,
      OR(TRIM(A37)="VERACRUZ", TRIM(A37)="MARÍTIMO VERACRUZ"), 6,
      OR(TRIM(A37)="AIFA", TRIM(A37)="AÉREO AIFA"), 7,
      AND(TRIM(A37)="CORRESPONSALIAS", TRIM(B37)="NUEVO LAREDO"), 6,
      TRIM(A37)="MANZANILLO", 10,
      TRIM(A37)="TOLUCA", 6,
      TRUE, 999
    ),
    "On Time",
    "Delayed"
  ),
  "Faltan fechas"
)</f>
        <v>Delayed</v>
      </c>
      <c r="AO37" s="5">
        <v>1</v>
      </c>
      <c r="AP37" s="3" t="s">
        <v>548</v>
      </c>
      <c r="AQ37" s="3" t="s">
        <v>93</v>
      </c>
      <c r="AR37" s="3" t="s">
        <v>112</v>
      </c>
      <c r="AS37" s="3" t="s">
        <v>351</v>
      </c>
      <c r="AT37" s="3" t="s">
        <v>223</v>
      </c>
      <c r="AU37" s="5">
        <v>6000428</v>
      </c>
      <c r="AV37" s="3" t="s">
        <v>92</v>
      </c>
      <c r="AW37" s="3" t="s">
        <v>350</v>
      </c>
      <c r="AX37" s="3" t="s">
        <v>549</v>
      </c>
      <c r="AY37" s="3"/>
      <c r="AZ37" s="3" t="s">
        <v>550</v>
      </c>
      <c r="BA37" s="3" t="s">
        <v>90</v>
      </c>
      <c r="BB37" s="3"/>
      <c r="BC37" s="3"/>
      <c r="BD37" s="3"/>
      <c r="BE37" s="3"/>
      <c r="BF37" s="3" t="s">
        <v>576</v>
      </c>
      <c r="BG37" s="3" t="s">
        <v>552</v>
      </c>
      <c r="BH37" s="3" t="s">
        <v>607</v>
      </c>
      <c r="BI37" s="3" t="s">
        <v>669</v>
      </c>
      <c r="BJ37" s="3"/>
      <c r="BK37" s="3" t="s">
        <v>554</v>
      </c>
      <c r="BL37" s="3">
        <v>0</v>
      </c>
      <c r="BM37" s="3">
        <v>0</v>
      </c>
      <c r="BN37" s="3" t="s">
        <v>670</v>
      </c>
      <c r="BO37" s="3">
        <v>90</v>
      </c>
      <c r="BP37" s="3">
        <v>1624557.6</v>
      </c>
      <c r="BQ37" s="3" t="s">
        <v>611</v>
      </c>
      <c r="BR37" s="3"/>
      <c r="BS37" s="3" t="s">
        <v>671</v>
      </c>
      <c r="BT37" s="3" t="s">
        <v>558</v>
      </c>
      <c r="BU37" s="3" t="s">
        <v>352</v>
      </c>
      <c r="BV37" s="3" t="s">
        <v>105</v>
      </c>
      <c r="BW37" s="3"/>
      <c r="BX37" s="3"/>
      <c r="BY37" s="3"/>
      <c r="BZ37" s="3"/>
      <c r="CA37" s="3"/>
    </row>
    <row r="38" spans="1:79" x14ac:dyDescent="0.25">
      <c r="A38" s="3" t="s">
        <v>577</v>
      </c>
      <c r="B38" s="3" t="s">
        <v>578</v>
      </c>
      <c r="C38" s="3" t="s">
        <v>357</v>
      </c>
      <c r="D38" s="3">
        <v>430</v>
      </c>
      <c r="E38" s="4">
        <v>46108</v>
      </c>
      <c r="F38" s="3">
        <v>3</v>
      </c>
      <c r="G38" s="22">
        <v>46101</v>
      </c>
      <c r="H38" s="4">
        <v>46108</v>
      </c>
      <c r="I38" s="3">
        <v>5</v>
      </c>
      <c r="J38" s="3" t="s">
        <v>543</v>
      </c>
      <c r="K38" s="22">
        <v>46109</v>
      </c>
      <c r="L38" s="3">
        <v>6</v>
      </c>
      <c r="M38" s="3">
        <f>IFERROR(IF(G38=K38,0,NETWORKDAYS(G38,K38,{"01/01/2026";"02/02/2026";"16/03/2026";"02/04/2026";"03/04/2026";"01/05/2026"})),"Faltan Fechas")</f>
        <v>6</v>
      </c>
      <c r="N38" s="23" t="str">
        <f>IFERROR(IF(OR(G38="",K38=""),"SIN DATO",IF(NETWORKDAYS(G38,K38,{"01/01/2026";"02/02/2026";"16/03/2026";"02/04/2026";"03/04/2026";"01/05/2026"})&lt;=1,"1 día o menos",IF(NETWORKDAYS(G38,K38,{"01/01/2026";"02/02/2026";"16/03/2026";"02/04/2026";"03/04/2026";"01/05/2026"})&lt;=3,"2 a 3 días",IF(NETWORKDAYS(G38,K38,{"01/01/2026";"02/02/2026";"16/03/2026";"02/04/2026";"03/04/2026";"01/05/2026"})&lt;=5,"4 a 5 días",IF(NETWORKDAYS(G38,K38,{"01/01/2026";"02/02/2026";"16/03/2026";"02/04/2026";"03/04/2026";"01/05/2026"})&lt;=10,"6 a 10 días",IF(NETWORKDAYS(G38,K38,{"01/01/2026";"02/02/2026";"16/03/2026";"02/04/2026";"03/04/2026";"01/05/2026"})&lt;=16,"11 a 15 días","más de 16 días")))))),"Aun no se entrega")</f>
        <v>6 a 10 días</v>
      </c>
      <c r="O38" s="3" t="str" cm="1">
        <f t="array" ref="O38">IFERROR(
  IF(
    NETWORKDAYS(G38,K38,{"01/01/2026";"02/02/2026";"16/03/2026";"02/04/2026";"03/04/2026";"01/05/2026"}) &lt;=
    _xlfn.IFS(
      OR(TRIM(A38)="AICM", TRIM(A38)="AÉREO AICM"), 5,
      OR(TRIM(A38)="VERACRUZ", TRIM(A38)="MARÍTIMO VERACRUZ"), 6,
      OR(TRIM(A38)="AIFA", TRIM(A38)="AÉREO AIFA"), 7,
      AND(TRIM(A38)="CORRESPONSALIAS", TRIM(B38)="NUEVO LAREDO"), 6,
      TRIM(A38)="MANZANILLO", 10,
      TRIM(A38)="TOLUCA", 6,
      TRUE, 999
    ),
    "On Time",
    "Delayed"
  ),
  "Faltan fechas"
)</f>
        <v>On Time</v>
      </c>
      <c r="P38" s="24" t="s">
        <v>544</v>
      </c>
      <c r="Q38" s="4">
        <v>46111</v>
      </c>
      <c r="R38" s="5">
        <f>IFERROR(IF(G38=Q38,0,NETWORKDAYS(G38,Q38,{"01/01/2026";"02/02/2026";"16/03/2026";"02/04/2026";"03/04/2026";"01/05/2026"})),"Faltan Fechas")</f>
        <v>7</v>
      </c>
      <c r="S38" s="4" t="str">
        <f>IFERROR(IF(OR(G38="",Q38=""),"SIN DATO",IF(NETWORKDAYS(G38,Q38,{"01/01/2026";"02/02/2026";"16/03/2026";"02/04/2026";"03/04/2026";"01/05/2026"})&lt;=1,"1 día o menos",IF(NETWORKDAYS(G38,Q38,{"01/01/2026";"02/02/2026";"16/03/2026";"02/04/2026";"03/04/2026";"01/05/2026"})&lt;=3,"2 a 3 días",IF(NETWORKDAYS(G38,Q38,{"01/01/2026";"02/02/2026";"16/03/2026";"02/04/2026";"03/04/2026";"01/05/2026"})&lt;=5,"4 a 5 días",IF(NETWORKDAYS(G38,Q38,{"01/01/2026";"02/02/2026";"16/03/2026";"02/04/2026";"03/04/2026";"01/05/2026"})&lt;=10,"6 a 10 días",IF(NETWORKDAYS(G38,Q38,{"01/01/2026";"02/02/2026";"16/03/2026";"02/04/2026";"03/04/2026";"01/05/2026"})&lt;=16,"11 a 15 días","más de 16 días")))))),"Aun no se entrega")</f>
        <v>6 a 10 días</v>
      </c>
      <c r="T38" s="4" t="str" cm="1">
        <f t="array" ref="T38">IFERROR(
  IF(
    NETWORKDAYS(G38,Q38,{"01/01/2026";"02/02/2026";"16/03/2026";"02/04/2026";"03/04/2026";"01/05/2026"}) &lt;=
    _xlfn.IFS(
      OR(TRIM(A38)="AICM", TRIM(A38)="AÉREO AICM"), 5,
      OR(TRIM(A38)="VERACRUZ", TRIM(A38)="MARÍTIMO VERACRUZ"), 6,
      OR(TRIM(A38)="AIFA", TRIM(A38)="AÉREO AIFA"), 7,
      AND(TRIM(A38)="CORRESPONSALIAS", TRIM(B38)="NUEVO LAREDO"), 6,
      TRIM(A38)="MANZANILLO", 10,
      TRIM(A38)="TOLUCA", 6,
      TRUE, 999
    ),
    "On Time",
    "Delayed"
  ),
  "Faltan fechas"
)</f>
        <v>Delayed</v>
      </c>
      <c r="U38" s="3">
        <v>10</v>
      </c>
      <c r="V38" s="3" t="s">
        <v>544</v>
      </c>
      <c r="W38" s="3">
        <v>11</v>
      </c>
      <c r="X38" s="3" t="s">
        <v>559</v>
      </c>
      <c r="Y38" s="3">
        <v>1</v>
      </c>
      <c r="Z38" s="3" t="s">
        <v>546</v>
      </c>
      <c r="AA38" s="3">
        <v>7</v>
      </c>
      <c r="AB38" s="3">
        <v>2</v>
      </c>
      <c r="AC38" s="3" t="s">
        <v>579</v>
      </c>
      <c r="AD38" s="4">
        <v>46118</v>
      </c>
      <c r="AE38" s="3">
        <v>7</v>
      </c>
      <c r="AF38" s="3">
        <v>5</v>
      </c>
      <c r="AG38" s="4">
        <v>46118</v>
      </c>
      <c r="AH38" s="4">
        <v>46118</v>
      </c>
      <c r="AI38" s="3">
        <v>0</v>
      </c>
      <c r="AJ38" s="3" t="s">
        <v>544</v>
      </c>
      <c r="AK38" s="4">
        <v>46118</v>
      </c>
      <c r="AL38" s="5">
        <f>IFERROR(IF(Q38=AK38,0,NETWORKDAYS(Q38,AK38,{"01/01/2026";"02/02/2026";"16/03/2026";"02/04/2026";"03/04/2026";"01/05/2026"})),"aun no se factura")</f>
        <v>4</v>
      </c>
      <c r="AM38" s="4" t="str">
        <f>IFERROR(IF(OR(Q38="",AK38=""),"SIN DATO",IF(NETWORKDAYS(Q38,AK38,{"01/01/2026";"02/02/2026";"16/03/2026";"02/04/2026";"03/04/2026";"01/05/2026"})&lt;=1,"1 día o menos",IF(NETWORKDAYS(Q38,AK38,{"01/01/2026";"02/02/2026";"16/03/2026";"02/04/2026";"03/04/2026";"01/05/2026"})&lt;=3,"2 a 3 días",IF(NETWORKDAYS(Q38,AK38,{"01/01/2026";"02/02/2026";"16/03/2026";"02/04/2026";"03/04/2026";"01/05/2026"})&lt;=5,"4 a 5 días",IF(NETWORKDAYS(Q38,AK38,{"01/01/2026";"02/02/2026";"16/03/2026";"02/04/2026";"03/04/2026";"01/05/2026"})&lt;=10,"6 a 10 días",IF(NETWORKDAYS(Q38,AK38,{"01/01/2026";"02/02/2026";"16/03/2026";"02/04/2026";"03/04/2026";"01/05/2026"})&lt;=16,"11 a 15 días","más de 16 días")))))),"aun no se factura")</f>
        <v>4 a 5 días</v>
      </c>
      <c r="AN38" s="4" t="str" cm="1">
        <f t="array" ref="AN38">IFERROR(
  IF(
    NETWORKDAYS(Q38,AK38,{"01/01/2026";"02/02/2026";"16/03/2026";"02/04/2026";"03/04/2026";"01/05/2026"}) &lt;=
    _xlfn.IFS(
      OR(TRIM(A38)="AICM", TRIM(A38)="AÉREO AICM"), 5,
      OR(TRIM(A38)="VERACRUZ", TRIM(A38)="MARÍTIMO VERACRUZ"), 6,
      OR(TRIM(A38)="AIFA", TRIM(A38)="AÉREO AIFA"), 7,
      AND(TRIM(A38)="CORRESPONSALIAS", TRIM(B38)="NUEVO LAREDO"), 6,
      TRIM(A38)="MANZANILLO", 10,
      TRIM(A38)="TOLUCA", 6,
      TRUE, 999
    ),
    "On Time",
    "Delayed"
  ),
  "Faltan fechas"
)</f>
        <v>On Time</v>
      </c>
      <c r="AO38" s="5">
        <v>1</v>
      </c>
      <c r="AP38" s="3" t="s">
        <v>548</v>
      </c>
      <c r="AQ38" s="3" t="s">
        <v>93</v>
      </c>
      <c r="AR38" s="3" t="s">
        <v>112</v>
      </c>
      <c r="AS38" s="3">
        <v>266207695</v>
      </c>
      <c r="AT38" s="3" t="s">
        <v>223</v>
      </c>
      <c r="AU38" s="5">
        <v>6000431</v>
      </c>
      <c r="AV38" s="3" t="s">
        <v>92</v>
      </c>
      <c r="AW38" s="3" t="s">
        <v>359</v>
      </c>
      <c r="AX38" s="3" t="s">
        <v>549</v>
      </c>
      <c r="AY38" s="3"/>
      <c r="AZ38" s="3" t="s">
        <v>550</v>
      </c>
      <c r="BA38" s="3" t="s">
        <v>90</v>
      </c>
      <c r="BB38" s="3"/>
      <c r="BC38" s="3" t="s">
        <v>107</v>
      </c>
      <c r="BD38" s="3"/>
      <c r="BE38" s="3" t="s">
        <v>107</v>
      </c>
      <c r="BF38" s="3" t="s">
        <v>576</v>
      </c>
      <c r="BG38" s="3" t="s">
        <v>552</v>
      </c>
      <c r="BH38" s="3" t="s">
        <v>607</v>
      </c>
      <c r="BI38" s="3" t="s">
        <v>669</v>
      </c>
      <c r="BJ38" s="3"/>
      <c r="BK38" s="3" t="s">
        <v>554</v>
      </c>
      <c r="BL38" s="3">
        <v>0</v>
      </c>
      <c r="BM38" s="3" t="s">
        <v>582</v>
      </c>
      <c r="BN38" s="3" t="s">
        <v>672</v>
      </c>
      <c r="BO38" s="3">
        <v>90</v>
      </c>
      <c r="BP38" s="3">
        <v>2189088.5</v>
      </c>
      <c r="BQ38" s="3" t="s">
        <v>646</v>
      </c>
      <c r="BR38" s="3"/>
      <c r="BS38" s="3" t="s">
        <v>619</v>
      </c>
      <c r="BT38" s="3" t="s">
        <v>558</v>
      </c>
      <c r="BU38" s="3" t="s">
        <v>189</v>
      </c>
      <c r="BV38" s="3" t="s">
        <v>105</v>
      </c>
      <c r="BW38" s="3"/>
      <c r="BX38" s="3"/>
      <c r="BY38" s="3"/>
      <c r="BZ38" s="3"/>
      <c r="CA38" s="3"/>
    </row>
    <row r="39" spans="1:79" x14ac:dyDescent="0.25">
      <c r="A39" s="3" t="s">
        <v>541</v>
      </c>
      <c r="B39" s="3" t="s">
        <v>542</v>
      </c>
      <c r="C39" s="3" t="s">
        <v>461</v>
      </c>
      <c r="D39" s="3">
        <v>470</v>
      </c>
      <c r="E39" s="4">
        <v>46141</v>
      </c>
      <c r="F39" s="3">
        <v>4</v>
      </c>
      <c r="G39" s="22">
        <v>46132</v>
      </c>
      <c r="H39" s="4">
        <v>46141</v>
      </c>
      <c r="I39" s="3">
        <v>7</v>
      </c>
      <c r="J39" s="3" t="s">
        <v>544</v>
      </c>
      <c r="K39" s="22">
        <v>46142</v>
      </c>
      <c r="L39" s="3">
        <v>8</v>
      </c>
      <c r="M39" s="3">
        <f>IFERROR(IF(G39=K39,0,NETWORKDAYS(G39,K39,{"01/01/2026";"02/02/2026";"16/03/2026";"02/04/2026";"03/04/2026";"01/05/2026"})),"Faltan Fechas")</f>
        <v>9</v>
      </c>
      <c r="N39" s="23" t="str">
        <f>IFERROR(IF(OR(G39="",K39=""),"SIN DATO",IF(NETWORKDAYS(G39,K39,{"01/01/2026";"02/02/2026";"16/03/2026";"02/04/2026";"03/04/2026";"01/05/2026"})&lt;=1,"1 día o menos",IF(NETWORKDAYS(G39,K39,{"01/01/2026";"02/02/2026";"16/03/2026";"02/04/2026";"03/04/2026";"01/05/2026"})&lt;=3,"2 a 3 días",IF(NETWORKDAYS(G39,K39,{"01/01/2026";"02/02/2026";"16/03/2026";"02/04/2026";"03/04/2026";"01/05/2026"})&lt;=5,"4 a 5 días",IF(NETWORKDAYS(G39,K39,{"01/01/2026";"02/02/2026";"16/03/2026";"02/04/2026";"03/04/2026";"01/05/2026"})&lt;=10,"6 a 10 días",IF(NETWORKDAYS(G39,K39,{"01/01/2026";"02/02/2026";"16/03/2026";"02/04/2026";"03/04/2026";"01/05/2026"})&lt;=16,"11 a 15 días","más de 16 días")))))),"Aun no se entrega")</f>
        <v>6 a 10 días</v>
      </c>
      <c r="O39" s="3" t="str" cm="1">
        <f t="array" ref="O39">IFERROR(
  IF(
    NETWORKDAYS(G39,K39,{"01/01/2026";"02/02/2026";"16/03/2026";"02/04/2026";"03/04/2026";"01/05/2026"}) &lt;=
    _xlfn.IFS(
      OR(TRIM(A39)="AICM", TRIM(A39)="AÉREO AICM"), 5,
      OR(TRIM(A39)="VERACRUZ", TRIM(A39)="MARÍTIMO VERACRUZ"), 6,
      OR(TRIM(A39)="AIFA", TRIM(A39)="AÉREO AIFA"), 7,
      AND(TRIM(A39)="CORRESPONSALIAS", TRIM(B39)="NUEVO LAREDO"), 6,
      TRIM(A39)="MANZANILLO", 10,
      TRIM(A39)="TOLUCA", 6,
      TRUE, 999
    ),
    "On Time",
    "Delayed"
  ),
  "Faltan fechas"
)</f>
        <v>On Time</v>
      </c>
      <c r="P39" s="24" t="s">
        <v>544</v>
      </c>
      <c r="Q39" s="4">
        <v>46142</v>
      </c>
      <c r="R39" s="5">
        <f>IFERROR(IF(G39=Q39,0,NETWORKDAYS(G39,Q39,{"01/01/2026";"02/02/2026";"16/03/2026";"02/04/2026";"03/04/2026";"01/05/2026"})),"Faltan Fechas")</f>
        <v>9</v>
      </c>
      <c r="S39" s="4" t="str">
        <f>IFERROR(IF(OR(G39="",Q39=""),"SIN DATO",IF(NETWORKDAYS(G39,Q39,{"01/01/2026";"02/02/2026";"16/03/2026";"02/04/2026";"03/04/2026";"01/05/2026"})&lt;=1,"1 día o menos",IF(NETWORKDAYS(G39,Q39,{"01/01/2026";"02/02/2026";"16/03/2026";"02/04/2026";"03/04/2026";"01/05/2026"})&lt;=3,"2 a 3 días",IF(NETWORKDAYS(G39,Q39,{"01/01/2026";"02/02/2026";"16/03/2026";"02/04/2026";"03/04/2026";"01/05/2026"})&lt;=5,"4 a 5 días",IF(NETWORKDAYS(G39,Q39,{"01/01/2026";"02/02/2026";"16/03/2026";"02/04/2026";"03/04/2026";"01/05/2026"})&lt;=10,"6 a 10 días",IF(NETWORKDAYS(G39,Q39,{"01/01/2026";"02/02/2026";"16/03/2026";"02/04/2026";"03/04/2026";"01/05/2026"})&lt;=16,"11 a 15 días","más de 16 días")))))),"Aun no se entrega")</f>
        <v>6 a 10 días</v>
      </c>
      <c r="T39" s="4" t="str" cm="1">
        <f t="array" ref="T39">IFERROR(
  IF(
    NETWORKDAYS(G39,Q39,{"01/01/2026";"02/02/2026";"16/03/2026";"02/04/2026";"03/04/2026";"01/05/2026"}) &lt;=
    _xlfn.IFS(
      OR(TRIM(A39)="AICM", TRIM(A39)="AÉREO AICM"), 5,
      OR(TRIM(A39)="VERACRUZ", TRIM(A39)="MARÍTIMO VERACRUZ"), 6,
      OR(TRIM(A39)="AIFA", TRIM(A39)="AÉREO AIFA"), 7,
      AND(TRIM(A39)="CORRESPONSALIAS", TRIM(B39)="NUEVO LAREDO"), 6,
      TRIM(A39)="MANZANILLO", 10,
      TRIM(A39)="TOLUCA", 6,
      TRUE, 999
    ),
    "On Time",
    "Delayed"
  ),
  "Faltan fechas"
)</f>
        <v>On Time</v>
      </c>
      <c r="U39" s="3">
        <v>10</v>
      </c>
      <c r="V39" s="3" t="s">
        <v>544</v>
      </c>
      <c r="W39" s="3">
        <v>14</v>
      </c>
      <c r="X39" s="3" t="s">
        <v>559</v>
      </c>
      <c r="Y39" s="3">
        <v>1</v>
      </c>
      <c r="Z39" s="3" t="s">
        <v>546</v>
      </c>
      <c r="AA39" s="3">
        <v>9</v>
      </c>
      <c r="AB39" s="3">
        <v>0</v>
      </c>
      <c r="AC39" s="3" t="s">
        <v>546</v>
      </c>
      <c r="AD39" s="4">
        <v>46150</v>
      </c>
      <c r="AE39" s="3">
        <v>8</v>
      </c>
      <c r="AF39" s="3">
        <v>6</v>
      </c>
      <c r="AG39" s="4">
        <v>46150</v>
      </c>
      <c r="AH39" s="4">
        <v>46150</v>
      </c>
      <c r="AI39" s="3">
        <v>0</v>
      </c>
      <c r="AJ39" s="3" t="s">
        <v>544</v>
      </c>
      <c r="AK39" s="4">
        <v>46150</v>
      </c>
      <c r="AL39" s="5">
        <f>IFERROR(IF(Q39=AK39,0,NETWORKDAYS(Q39,AK39,{"01/01/2026";"02/02/2026";"16/03/2026";"02/04/2026";"03/04/2026";"01/05/2026"})),"aun no se factura")</f>
        <v>6</v>
      </c>
      <c r="AM39" s="4" t="str">
        <f>IFERROR(IF(OR(Q39="",AK39=""),"SIN DATO",IF(NETWORKDAYS(Q39,AK39,{"01/01/2026";"02/02/2026";"16/03/2026";"02/04/2026";"03/04/2026";"01/05/2026"})&lt;=1,"1 día o menos",IF(NETWORKDAYS(Q39,AK39,{"01/01/2026";"02/02/2026";"16/03/2026";"02/04/2026";"03/04/2026";"01/05/2026"})&lt;=3,"2 a 3 días",IF(NETWORKDAYS(Q39,AK39,{"01/01/2026";"02/02/2026";"16/03/2026";"02/04/2026";"03/04/2026";"01/05/2026"})&lt;=5,"4 a 5 días",IF(NETWORKDAYS(Q39,AK39,{"01/01/2026";"02/02/2026";"16/03/2026";"02/04/2026";"03/04/2026";"01/05/2026"})&lt;=10,"6 a 10 días",IF(NETWORKDAYS(Q39,AK39,{"01/01/2026";"02/02/2026";"16/03/2026";"02/04/2026";"03/04/2026";"01/05/2026"})&lt;=16,"11 a 15 días","más de 16 días")))))),"aun no se factura")</f>
        <v>6 a 10 días</v>
      </c>
      <c r="AN39" s="4" t="str" cm="1">
        <f t="array" ref="AN39">IFERROR(
  IF(
    NETWORKDAYS(Q39,AK39,{"01/01/2026";"02/02/2026";"16/03/2026";"02/04/2026";"03/04/2026";"01/05/2026"}) &lt;=
    _xlfn.IFS(
      OR(TRIM(A39)="AICM", TRIM(A39)="AÉREO AICM"), 5,
      OR(TRIM(A39)="VERACRUZ", TRIM(A39)="MARÍTIMO VERACRUZ"), 6,
      OR(TRIM(A39)="AIFA", TRIM(A39)="AÉREO AIFA"), 7,
      AND(TRIM(A39)="CORRESPONSALIAS", TRIM(B39)="NUEVO LAREDO"), 6,
      TRIM(A39)="MANZANILLO", 10,
      TRIM(A39)="TOLUCA", 6,
      TRUE, 999
    ),
    "On Time",
    "Delayed"
  ),
  "Faltan fechas"
)</f>
        <v>On Time</v>
      </c>
      <c r="AO39" s="5">
        <v>1</v>
      </c>
      <c r="AP39" s="3" t="s">
        <v>548</v>
      </c>
      <c r="AQ39" s="3" t="s">
        <v>93</v>
      </c>
      <c r="AR39" s="3" t="s">
        <v>285</v>
      </c>
      <c r="AS39" s="3" t="s">
        <v>463</v>
      </c>
      <c r="AT39" s="3">
        <v>1073938896</v>
      </c>
      <c r="AU39" s="5">
        <v>6002421</v>
      </c>
      <c r="AV39" s="3" t="s">
        <v>92</v>
      </c>
      <c r="AW39" s="3" t="s">
        <v>462</v>
      </c>
      <c r="AX39" s="3" t="s">
        <v>549</v>
      </c>
      <c r="AY39" s="3"/>
      <c r="AZ39" s="3" t="s">
        <v>550</v>
      </c>
      <c r="BA39" s="3" t="s">
        <v>90</v>
      </c>
      <c r="BB39" s="3"/>
      <c r="BC39" s="3"/>
      <c r="BD39" s="3"/>
      <c r="BE39" s="3"/>
      <c r="BF39" s="3" t="s">
        <v>560</v>
      </c>
      <c r="BG39" s="3" t="s">
        <v>552</v>
      </c>
      <c r="BH39" s="3" t="s">
        <v>223</v>
      </c>
      <c r="BI39" s="3"/>
      <c r="BJ39" s="3" t="s">
        <v>561</v>
      </c>
      <c r="BK39" s="3" t="s">
        <v>554</v>
      </c>
      <c r="BL39" s="3">
        <v>0</v>
      </c>
      <c r="BM39" s="3">
        <v>0</v>
      </c>
      <c r="BN39" s="3" t="s">
        <v>562</v>
      </c>
      <c r="BO39" s="3">
        <v>90</v>
      </c>
      <c r="BP39" s="3">
        <v>356770.94</v>
      </c>
      <c r="BQ39" s="3" t="s">
        <v>563</v>
      </c>
      <c r="BR39" s="3"/>
      <c r="BS39" s="3" t="s">
        <v>564</v>
      </c>
      <c r="BT39" s="3" t="s">
        <v>558</v>
      </c>
      <c r="BU39" s="3" t="s">
        <v>126</v>
      </c>
      <c r="BV39" s="3" t="s">
        <v>105</v>
      </c>
      <c r="BW39" s="3"/>
      <c r="BX39" s="3"/>
      <c r="BY39" s="3"/>
      <c r="BZ39" s="3"/>
      <c r="CA39" s="3"/>
    </row>
    <row r="40" spans="1:79" x14ac:dyDescent="0.25">
      <c r="A40" s="3" t="s">
        <v>565</v>
      </c>
      <c r="B40" s="3" t="s">
        <v>566</v>
      </c>
      <c r="C40" s="3" t="s">
        <v>575</v>
      </c>
      <c r="D40" s="3">
        <v>240</v>
      </c>
      <c r="E40" s="4" t="s">
        <v>223</v>
      </c>
      <c r="F40" s="3">
        <v>4</v>
      </c>
      <c r="G40" s="22">
        <v>46128</v>
      </c>
      <c r="H40" s="4">
        <v>46128</v>
      </c>
      <c r="I40" s="3">
        <v>0</v>
      </c>
      <c r="J40" s="3" t="s">
        <v>546</v>
      </c>
      <c r="K40" s="22">
        <v>46128</v>
      </c>
      <c r="L40" s="3">
        <v>0</v>
      </c>
      <c r="M40" s="3">
        <f>IFERROR(IF(G40=K40,0,NETWORKDAYS(G40,K40,{"01/01/2026";"02/02/2026";"16/03/2026";"02/04/2026";"03/04/2026";"01/05/2026"})),"Faltan Fechas")</f>
        <v>0</v>
      </c>
      <c r="N40" s="23" t="str">
        <f>IFERROR(IF(OR(G40="",K40=""),"SIN DATO",IF(NETWORKDAYS(G40,K40,{"01/01/2026";"02/02/2026";"16/03/2026";"02/04/2026";"03/04/2026";"01/05/2026"})&lt;=1,"1 día o menos",IF(NETWORKDAYS(G40,K40,{"01/01/2026";"02/02/2026";"16/03/2026";"02/04/2026";"03/04/2026";"01/05/2026"})&lt;=3,"2 a 3 días",IF(NETWORKDAYS(G40,K40,{"01/01/2026";"02/02/2026";"16/03/2026";"02/04/2026";"03/04/2026";"01/05/2026"})&lt;=5,"4 a 5 días",IF(NETWORKDAYS(G40,K40,{"01/01/2026";"02/02/2026";"16/03/2026";"02/04/2026";"03/04/2026";"01/05/2026"})&lt;=10,"6 a 10 días",IF(NETWORKDAYS(G40,K40,{"01/01/2026";"02/02/2026";"16/03/2026";"02/04/2026";"03/04/2026";"01/05/2026"})&lt;=16,"11 a 15 días","más de 16 días")))))),"Aun no se entrega")</f>
        <v>1 día o menos</v>
      </c>
      <c r="O40" s="3" t="str" cm="1">
        <f t="array" ref="O40">IFERROR(
  IF(
    NETWORKDAYS(G40,K40,{"01/01/2026";"02/02/2026";"16/03/2026";"02/04/2026";"03/04/2026";"01/05/2026"}) &lt;=
    _xlfn.IFS(
      OR(TRIM(A40)="AICM", TRIM(A40)="AÉREO AICM"), 5,
      OR(TRIM(A40)="VERACRUZ", TRIM(A40)="MARÍTIMO VERACRUZ"), 6,
      OR(TRIM(A40)="AIFA", TRIM(A40)="AÉREO AIFA"), 7,
      AND(TRIM(A40)="CORRESPONSALIAS", TRIM(B40)="NUEVO LAREDO"), 6,
      TRIM(A40)="MANZANILLO", 10,
      TRIM(A40)="TOLUCA", 6,
      TRUE, 999
    ),
    "On Time",
    "Delayed"
  ),
  "Faltan fechas"
)</f>
        <v>On Time</v>
      </c>
      <c r="P40" s="24" t="s">
        <v>546</v>
      </c>
      <c r="Q40" s="4">
        <v>46130</v>
      </c>
      <c r="R40" s="5">
        <f>IFERROR(IF(G40=Q40,0,NETWORKDAYS(G40,Q40,{"01/01/2026";"02/02/2026";"16/03/2026";"02/04/2026";"03/04/2026";"01/05/2026"})),"Faltan Fechas")</f>
        <v>2</v>
      </c>
      <c r="S40" s="4" t="str">
        <f>IFERROR(IF(OR(G40="",Q40=""),"SIN DATO",IF(NETWORKDAYS(G40,Q40,{"01/01/2026";"02/02/2026";"16/03/2026";"02/04/2026";"03/04/2026";"01/05/2026"})&lt;=1,"1 día o menos",IF(NETWORKDAYS(G40,Q40,{"01/01/2026";"02/02/2026";"16/03/2026";"02/04/2026";"03/04/2026";"01/05/2026"})&lt;=3,"2 a 3 días",IF(NETWORKDAYS(G40,Q40,{"01/01/2026";"02/02/2026";"16/03/2026";"02/04/2026";"03/04/2026";"01/05/2026"})&lt;=5,"4 a 5 días",IF(NETWORKDAYS(G40,Q40,{"01/01/2026";"02/02/2026";"16/03/2026";"02/04/2026";"03/04/2026";"01/05/2026"})&lt;=10,"6 a 10 días",IF(NETWORKDAYS(G40,Q40,{"01/01/2026";"02/02/2026";"16/03/2026";"02/04/2026";"03/04/2026";"01/05/2026"})&lt;=16,"11 a 15 días","más de 16 días")))))),"Aun no se entrega")</f>
        <v>2 a 3 días</v>
      </c>
      <c r="T40" s="4" t="str" cm="1">
        <f t="array" ref="T40">IFERROR(
  IF(
    NETWORKDAYS(G40,Q40,{"01/01/2026";"02/02/2026";"16/03/2026";"02/04/2026";"03/04/2026";"01/05/2026"}) &lt;=
    _xlfn.IFS(
      OR(TRIM(A40)="AICM", TRIM(A40)="AÉREO AICM"), 5,
      OR(TRIM(A40)="VERACRUZ", TRIM(A40)="MARÍTIMO VERACRUZ"), 6,
      OR(TRIM(A40)="AIFA", TRIM(A40)="AÉREO AIFA"), 7,
      AND(TRIM(A40)="CORRESPONSALIAS", TRIM(B40)="NUEVO LAREDO"), 6,
      TRIM(A40)="MANZANILLO", 10,
      TRIM(A40)="TOLUCA", 6,
      TRUE, 999
    ),
    "On Time",
    "Delayed"
  ),
  "Faltan fechas"
)</f>
        <v>On Time</v>
      </c>
      <c r="U40" s="3">
        <v>0</v>
      </c>
      <c r="V40" s="3" t="s">
        <v>569</v>
      </c>
      <c r="W40" s="3">
        <v>18</v>
      </c>
      <c r="X40" s="3" t="s">
        <v>547</v>
      </c>
      <c r="Y40" s="3">
        <v>0</v>
      </c>
      <c r="Z40" s="3" t="s">
        <v>569</v>
      </c>
      <c r="AA40" s="3">
        <v>0</v>
      </c>
      <c r="AB40" s="3">
        <v>-46126</v>
      </c>
      <c r="AC40" s="3" t="s">
        <v>545</v>
      </c>
      <c r="AD40" s="4">
        <v>46154</v>
      </c>
      <c r="AE40" s="3">
        <v>46152</v>
      </c>
      <c r="AF40" s="3">
        <v>0</v>
      </c>
      <c r="AG40" s="4">
        <v>46154</v>
      </c>
      <c r="AH40" s="4">
        <v>46154</v>
      </c>
      <c r="AI40" s="3">
        <v>0</v>
      </c>
      <c r="AJ40" s="3" t="s">
        <v>545</v>
      </c>
      <c r="AK40" s="4">
        <v>46154</v>
      </c>
      <c r="AL40" s="5">
        <f>IFERROR(IF(Q40=AK40,0,NETWORKDAYS(Q40,AK40,{"01/01/2026";"02/02/2026";"16/03/2026";"02/04/2026";"03/04/2026";"01/05/2026"})),"aun no se factura")</f>
        <v>16</v>
      </c>
      <c r="AM40" s="4" t="str">
        <f>IFERROR(IF(OR(Q40="",AK40=""),"SIN DATO",IF(NETWORKDAYS(Q40,AK40,{"01/01/2026";"02/02/2026";"16/03/2026";"02/04/2026";"03/04/2026";"01/05/2026"})&lt;=1,"1 día o menos",IF(NETWORKDAYS(Q40,AK40,{"01/01/2026";"02/02/2026";"16/03/2026";"02/04/2026";"03/04/2026";"01/05/2026"})&lt;=3,"2 a 3 días",IF(NETWORKDAYS(Q40,AK40,{"01/01/2026";"02/02/2026";"16/03/2026";"02/04/2026";"03/04/2026";"01/05/2026"})&lt;=5,"4 a 5 días",IF(NETWORKDAYS(Q40,AK40,{"01/01/2026";"02/02/2026";"16/03/2026";"02/04/2026";"03/04/2026";"01/05/2026"})&lt;=10,"6 a 10 días",IF(NETWORKDAYS(Q40,AK40,{"01/01/2026";"02/02/2026";"16/03/2026";"02/04/2026";"03/04/2026";"01/05/2026"})&lt;=16,"11 a 15 días","más de 16 días")))))),"aun no se factura")</f>
        <v>11 a 15 días</v>
      </c>
      <c r="AN40" s="4" t="str" cm="1">
        <f t="array" ref="AN40">IFERROR(
  IF(
    NETWORKDAYS(Q40,AK40,{"01/01/2026";"02/02/2026";"16/03/2026";"02/04/2026";"03/04/2026";"01/05/2026"}) &lt;=
    _xlfn.IFS(
      OR(TRIM(A40)="AICM", TRIM(A40)="AÉREO AICM"), 5,
      OR(TRIM(A40)="VERACRUZ", TRIM(A40)="MARÍTIMO VERACRUZ"), 6,
      OR(TRIM(A40)="AIFA", TRIM(A40)="AÉREO AIFA"), 7,
      AND(TRIM(A40)="CORRESPONSALIAS", TRIM(B40)="NUEVO LAREDO"), 6,
      TRIM(A40)="MANZANILLO", 10,
      TRIM(A40)="TOLUCA", 6,
      TRUE, 999
    ),
    "On Time",
    "Delayed"
  ),
  "Faltan fechas"
)</f>
        <v>Delayed</v>
      </c>
      <c r="AO40" s="5">
        <v>0</v>
      </c>
      <c r="AP40" s="3" t="s">
        <v>548</v>
      </c>
      <c r="AQ40" s="3" t="s">
        <v>93</v>
      </c>
      <c r="AR40" s="3" t="s">
        <v>285</v>
      </c>
      <c r="AS40" s="3" t="s">
        <v>223</v>
      </c>
      <c r="AT40" s="3" t="s">
        <v>223</v>
      </c>
      <c r="AU40" s="5">
        <v>6019948</v>
      </c>
      <c r="AV40" s="3" t="s">
        <v>92</v>
      </c>
      <c r="AW40" s="3" t="s">
        <v>572</v>
      </c>
      <c r="AX40" s="3" t="s">
        <v>549</v>
      </c>
      <c r="AY40" s="3"/>
      <c r="AZ40" s="3" t="s">
        <v>550</v>
      </c>
      <c r="BA40" s="3" t="s">
        <v>90</v>
      </c>
      <c r="BB40" s="3"/>
      <c r="BC40" s="3"/>
      <c r="BD40" s="3"/>
      <c r="BE40" s="3"/>
      <c r="BF40" s="3" t="s">
        <v>576</v>
      </c>
      <c r="BG40" s="3" t="s">
        <v>552</v>
      </c>
      <c r="BH40" s="3" t="s">
        <v>223</v>
      </c>
      <c r="BI40" s="3"/>
      <c r="BJ40" s="3"/>
      <c r="BK40" s="3" t="s">
        <v>554</v>
      </c>
      <c r="BL40" s="3" t="s">
        <v>223</v>
      </c>
      <c r="BM40" s="3" t="s">
        <v>223</v>
      </c>
      <c r="BN40" s="3" t="s">
        <v>223</v>
      </c>
      <c r="BO40" s="3">
        <v>90</v>
      </c>
      <c r="BP40" s="3" t="s">
        <v>223</v>
      </c>
      <c r="BQ40" s="3" t="s">
        <v>223</v>
      </c>
      <c r="BR40" s="3"/>
      <c r="BS40" s="3" t="s">
        <v>223</v>
      </c>
      <c r="BT40" s="3" t="s">
        <v>223</v>
      </c>
      <c r="BU40" s="3" t="s">
        <v>223</v>
      </c>
      <c r="BV40" s="3" t="s">
        <v>223</v>
      </c>
      <c r="BW40" s="3"/>
      <c r="BX40" s="3"/>
      <c r="BY40" s="3"/>
      <c r="BZ40" s="3"/>
      <c r="CA40" s="3"/>
    </row>
    <row r="41" spans="1:79" x14ac:dyDescent="0.25">
      <c r="A41" s="3" t="s">
        <v>577</v>
      </c>
      <c r="B41" s="3" t="s">
        <v>578</v>
      </c>
      <c r="C41" s="3" t="s">
        <v>246</v>
      </c>
      <c r="D41" s="3">
        <v>430</v>
      </c>
      <c r="E41" s="4">
        <v>46127</v>
      </c>
      <c r="F41" s="3">
        <v>4</v>
      </c>
      <c r="G41" s="22">
        <v>46066</v>
      </c>
      <c r="H41" s="4">
        <v>46127</v>
      </c>
      <c r="I41" s="3">
        <v>43</v>
      </c>
      <c r="J41" s="3" t="s">
        <v>568</v>
      </c>
      <c r="K41" s="22">
        <v>46128</v>
      </c>
      <c r="L41" s="3">
        <v>44</v>
      </c>
      <c r="M41" s="3">
        <f>IFERROR(IF(G41=K41,0,NETWORKDAYS(G41,K41,{"01/01/2026";"02/02/2026";"16/03/2026";"02/04/2026";"03/04/2026";"01/05/2026"})),"Faltan Fechas")</f>
        <v>42</v>
      </c>
      <c r="N41" s="23" t="str">
        <f>IFERROR(IF(OR(G41="",K41=""),"SIN DATO",IF(NETWORKDAYS(G41,K41,{"01/01/2026";"02/02/2026";"16/03/2026";"02/04/2026";"03/04/2026";"01/05/2026"})&lt;=1,"1 día o menos",IF(NETWORKDAYS(G41,K41,{"01/01/2026";"02/02/2026";"16/03/2026";"02/04/2026";"03/04/2026";"01/05/2026"})&lt;=3,"2 a 3 días",IF(NETWORKDAYS(G41,K41,{"01/01/2026";"02/02/2026";"16/03/2026";"02/04/2026";"03/04/2026";"01/05/2026"})&lt;=5,"4 a 5 días",IF(NETWORKDAYS(G41,K41,{"01/01/2026";"02/02/2026";"16/03/2026";"02/04/2026";"03/04/2026";"01/05/2026"})&lt;=10,"6 a 10 días",IF(NETWORKDAYS(G41,K41,{"01/01/2026";"02/02/2026";"16/03/2026";"02/04/2026";"03/04/2026";"01/05/2026"})&lt;=16,"11 a 15 días","más de 16 días")))))),"Aun no se entrega")</f>
        <v>más de 16 días</v>
      </c>
      <c r="O41" s="3" t="str" cm="1">
        <f t="array" ref="O41">IFERROR(
  IF(
    NETWORKDAYS(G41,K41,{"01/01/2026";"02/02/2026";"16/03/2026";"02/04/2026";"03/04/2026";"01/05/2026"}) &lt;=
    _xlfn.IFS(
      OR(TRIM(A41)="AICM", TRIM(A41)="AÉREO AICM"), 5,
      OR(TRIM(A41)="VERACRUZ", TRIM(A41)="MARÍTIMO VERACRUZ"), 6,
      OR(TRIM(A41)="AIFA", TRIM(A41)="AÉREO AIFA"), 7,
      AND(TRIM(A41)="CORRESPONSALIAS", TRIM(B41)="NUEVO LAREDO"), 6,
      TRIM(A41)="MANZANILLO", 10,
      TRIM(A41)="TOLUCA", 6,
      TRUE, 999
    ),
    "On Time",
    "Delayed"
  ),
  "Faltan fechas"
)</f>
        <v>Delayed</v>
      </c>
      <c r="P41" s="24" t="s">
        <v>568</v>
      </c>
      <c r="Q41" s="4">
        <v>46129</v>
      </c>
      <c r="R41" s="5">
        <f>IFERROR(IF(G41=Q41,0,NETWORKDAYS(G41,Q41,{"01/01/2026";"02/02/2026";"16/03/2026";"02/04/2026";"03/04/2026";"01/05/2026"})),"Faltan Fechas")</f>
        <v>43</v>
      </c>
      <c r="S41" s="4" t="str">
        <f>IFERROR(IF(OR(G41="",Q41=""),"SIN DATO",IF(NETWORKDAYS(G41,Q41,{"01/01/2026";"02/02/2026";"16/03/2026";"02/04/2026";"03/04/2026";"01/05/2026"})&lt;=1,"1 día o menos",IF(NETWORKDAYS(G41,Q41,{"01/01/2026";"02/02/2026";"16/03/2026";"02/04/2026";"03/04/2026";"01/05/2026"})&lt;=3,"2 a 3 días",IF(NETWORKDAYS(G41,Q41,{"01/01/2026";"02/02/2026";"16/03/2026";"02/04/2026";"03/04/2026";"01/05/2026"})&lt;=5,"4 a 5 días",IF(NETWORKDAYS(G41,Q41,{"01/01/2026";"02/02/2026";"16/03/2026";"02/04/2026";"03/04/2026";"01/05/2026"})&lt;=10,"6 a 10 días",IF(NETWORKDAYS(G41,Q41,{"01/01/2026";"02/02/2026";"16/03/2026";"02/04/2026";"03/04/2026";"01/05/2026"})&lt;=16,"11 a 15 días","más de 16 días")))))),"Aun no se entrega")</f>
        <v>más de 16 días</v>
      </c>
      <c r="T41" s="4" t="str" cm="1">
        <f t="array" ref="T41">IFERROR(
  IF(
    NETWORKDAYS(G41,Q41,{"01/01/2026";"02/02/2026";"16/03/2026";"02/04/2026";"03/04/2026";"01/05/2026"}) &lt;=
    _xlfn.IFS(
      OR(TRIM(A41)="AICM", TRIM(A41)="AÉREO AICM"), 5,
      OR(TRIM(A41)="VERACRUZ", TRIM(A41)="MARÍTIMO VERACRUZ"), 6,
      OR(TRIM(A41)="AIFA", TRIM(A41)="AÉREO AIFA"), 7,
      AND(TRIM(A41)="CORRESPONSALIAS", TRIM(B41)="NUEVO LAREDO"), 6,
      TRIM(A41)="MANZANILLO", 10,
      TRIM(A41)="TOLUCA", 6,
      TRUE, 999
    ),
    "On Time",
    "Delayed"
  ),
  "Faltan fechas"
)</f>
        <v>Delayed</v>
      </c>
      <c r="U41" s="3">
        <v>63</v>
      </c>
      <c r="V41" s="3" t="s">
        <v>588</v>
      </c>
      <c r="W41" s="3">
        <v>50</v>
      </c>
      <c r="X41" s="3" t="s">
        <v>547</v>
      </c>
      <c r="Y41" s="3">
        <v>1</v>
      </c>
      <c r="Z41" s="3" t="s">
        <v>546</v>
      </c>
      <c r="AA41" s="3">
        <v>61</v>
      </c>
      <c r="AB41" s="3">
        <v>1</v>
      </c>
      <c r="AC41" s="3" t="s">
        <v>546</v>
      </c>
      <c r="AD41" s="4">
        <v>46136</v>
      </c>
      <c r="AE41" s="3">
        <v>7</v>
      </c>
      <c r="AF41" s="3">
        <v>5</v>
      </c>
      <c r="AG41" s="4">
        <v>46136</v>
      </c>
      <c r="AH41" s="4">
        <v>46136</v>
      </c>
      <c r="AI41" s="3">
        <v>0</v>
      </c>
      <c r="AJ41" s="3" t="s">
        <v>544</v>
      </c>
      <c r="AK41" s="4">
        <v>46136</v>
      </c>
      <c r="AL41" s="5">
        <f>IFERROR(IF(Q41=AK41,0,NETWORKDAYS(Q41,AK41,{"01/01/2026";"02/02/2026";"16/03/2026";"02/04/2026";"03/04/2026";"01/05/2026"})),"aun no se factura")</f>
        <v>6</v>
      </c>
      <c r="AM41" s="4" t="str">
        <f>IFERROR(IF(OR(Q41="",AK41=""),"SIN DATO",IF(NETWORKDAYS(Q41,AK41,{"01/01/2026";"02/02/2026";"16/03/2026";"02/04/2026";"03/04/2026";"01/05/2026"})&lt;=1,"1 día o menos",IF(NETWORKDAYS(Q41,AK41,{"01/01/2026";"02/02/2026";"16/03/2026";"02/04/2026";"03/04/2026";"01/05/2026"})&lt;=3,"2 a 3 días",IF(NETWORKDAYS(Q41,AK41,{"01/01/2026";"02/02/2026";"16/03/2026";"02/04/2026";"03/04/2026";"01/05/2026"})&lt;=5,"4 a 5 días",IF(NETWORKDAYS(Q41,AK41,{"01/01/2026";"02/02/2026";"16/03/2026";"02/04/2026";"03/04/2026";"01/05/2026"})&lt;=10,"6 a 10 días",IF(NETWORKDAYS(Q41,AK41,{"01/01/2026";"02/02/2026";"16/03/2026";"02/04/2026";"03/04/2026";"01/05/2026"})&lt;=16,"11 a 15 días","más de 16 días")))))),"aun no se factura")</f>
        <v>6 a 10 días</v>
      </c>
      <c r="AN41" s="4" t="str" cm="1">
        <f t="array" ref="AN41">IFERROR(
  IF(
    NETWORKDAYS(Q41,AK41,{"01/01/2026";"02/02/2026";"16/03/2026";"02/04/2026";"03/04/2026";"01/05/2026"}) &lt;=
    _xlfn.IFS(
      OR(TRIM(A41)="AICM", TRIM(A41)="AÉREO AICM"), 5,
      OR(TRIM(A41)="VERACRUZ", TRIM(A41)="MARÍTIMO VERACRUZ"), 6,
      OR(TRIM(A41)="AIFA", TRIM(A41)="AÉREO AIFA"), 7,
      AND(TRIM(A41)="CORRESPONSALIAS", TRIM(B41)="NUEVO LAREDO"), 6,
      TRIM(A41)="MANZANILLO", 10,
      TRIM(A41)="TOLUCA", 6,
      TRUE, 999
    ),
    "On Time",
    "Delayed"
  ),
  "Faltan fechas"
)</f>
        <v>On Time</v>
      </c>
      <c r="AO41" s="5">
        <v>1</v>
      </c>
      <c r="AP41" s="3" t="s">
        <v>548</v>
      </c>
      <c r="AQ41" s="3" t="s">
        <v>93</v>
      </c>
      <c r="AR41" s="3" t="s">
        <v>112</v>
      </c>
      <c r="AS41" s="3" t="s">
        <v>212</v>
      </c>
      <c r="AT41" s="3" t="s">
        <v>223</v>
      </c>
      <c r="AU41" s="5">
        <v>6000300</v>
      </c>
      <c r="AV41" s="3" t="s">
        <v>92</v>
      </c>
      <c r="AW41" s="3" t="s">
        <v>167</v>
      </c>
      <c r="AX41" s="3" t="s">
        <v>549</v>
      </c>
      <c r="AY41" s="3"/>
      <c r="AZ41" s="3" t="s">
        <v>550</v>
      </c>
      <c r="BA41" s="3" t="s">
        <v>90</v>
      </c>
      <c r="BB41" s="3"/>
      <c r="BC41" s="3" t="s">
        <v>107</v>
      </c>
      <c r="BD41" s="3"/>
      <c r="BE41" s="3" t="s">
        <v>107</v>
      </c>
      <c r="BF41" s="3" t="s">
        <v>576</v>
      </c>
      <c r="BG41" s="3" t="s">
        <v>552</v>
      </c>
      <c r="BH41" s="3" t="s">
        <v>592</v>
      </c>
      <c r="BI41" s="3" t="s">
        <v>630</v>
      </c>
      <c r="BJ41" s="3"/>
      <c r="BK41" s="3" t="s">
        <v>554</v>
      </c>
      <c r="BL41" s="3">
        <v>0</v>
      </c>
      <c r="BM41" s="3">
        <v>99</v>
      </c>
      <c r="BN41" s="3" t="s">
        <v>631</v>
      </c>
      <c r="BO41" s="3">
        <v>90</v>
      </c>
      <c r="BP41" s="3">
        <v>5668364.7999999998</v>
      </c>
      <c r="BQ41" s="3" t="s">
        <v>563</v>
      </c>
      <c r="BR41" s="3"/>
      <c r="BS41" s="3" t="s">
        <v>558</v>
      </c>
      <c r="BT41" s="3" t="s">
        <v>558</v>
      </c>
      <c r="BU41" s="3" t="s">
        <v>105</v>
      </c>
      <c r="BV41" s="3" t="s">
        <v>105</v>
      </c>
      <c r="BW41" s="3"/>
      <c r="BX41" s="3"/>
      <c r="BY41" s="3"/>
      <c r="BZ41" s="3"/>
      <c r="CA41" s="3"/>
    </row>
    <row r="42" spans="1:79" x14ac:dyDescent="0.25">
      <c r="A42" s="3" t="s">
        <v>577</v>
      </c>
      <c r="B42" s="3" t="s">
        <v>578</v>
      </c>
      <c r="C42" s="3" t="s">
        <v>374</v>
      </c>
      <c r="D42" s="3">
        <v>430</v>
      </c>
      <c r="E42" s="4">
        <v>46118</v>
      </c>
      <c r="F42" s="3">
        <v>4</v>
      </c>
      <c r="G42" s="22">
        <v>46111</v>
      </c>
      <c r="H42" s="4">
        <v>46118</v>
      </c>
      <c r="I42" s="3">
        <v>5</v>
      </c>
      <c r="J42" s="3" t="s">
        <v>543</v>
      </c>
      <c r="K42" s="22">
        <v>46118</v>
      </c>
      <c r="L42" s="3">
        <v>5</v>
      </c>
      <c r="M42" s="3">
        <f>IFERROR(IF(G42=K42,0,NETWORKDAYS(G42,K42,{"01/01/2026";"02/02/2026";"16/03/2026";"02/04/2026";"03/04/2026";"01/05/2026"})),"Faltan Fechas")</f>
        <v>4</v>
      </c>
      <c r="N42" s="23" t="str">
        <f>IFERROR(IF(OR(G42="",K42=""),"SIN DATO",IF(NETWORKDAYS(G42,K42,{"01/01/2026";"02/02/2026";"16/03/2026";"02/04/2026";"03/04/2026";"01/05/2026"})&lt;=1,"1 día o menos",IF(NETWORKDAYS(G42,K42,{"01/01/2026";"02/02/2026";"16/03/2026";"02/04/2026";"03/04/2026";"01/05/2026"})&lt;=3,"2 a 3 días",IF(NETWORKDAYS(G42,K42,{"01/01/2026";"02/02/2026";"16/03/2026";"02/04/2026";"03/04/2026";"01/05/2026"})&lt;=5,"4 a 5 días",IF(NETWORKDAYS(G42,K42,{"01/01/2026";"02/02/2026";"16/03/2026";"02/04/2026";"03/04/2026";"01/05/2026"})&lt;=10,"6 a 10 días",IF(NETWORKDAYS(G42,K42,{"01/01/2026";"02/02/2026";"16/03/2026";"02/04/2026";"03/04/2026";"01/05/2026"})&lt;=16,"11 a 15 días","más de 16 días")))))),"Aun no se entrega")</f>
        <v>4 a 5 días</v>
      </c>
      <c r="O42" s="3" t="str" cm="1">
        <f t="array" ref="O42">IFERROR(
  IF(
    NETWORKDAYS(G42,K42,{"01/01/2026";"02/02/2026";"16/03/2026";"02/04/2026";"03/04/2026";"01/05/2026"}) &lt;=
    _xlfn.IFS(
      OR(TRIM(A42)="AICM", TRIM(A42)="AÉREO AICM"), 5,
      OR(TRIM(A42)="VERACRUZ", TRIM(A42)="MARÍTIMO VERACRUZ"), 6,
      OR(TRIM(A42)="AIFA", TRIM(A42)="AÉREO AIFA"), 7,
      AND(TRIM(A42)="CORRESPONSALIAS", TRIM(B42)="NUEVO LAREDO"), 6,
      TRIM(A42)="MANZANILLO", 10,
      TRIM(A42)="TOLUCA", 6,
      TRUE, 999
    ),
    "On Time",
    "Delayed"
  ),
  "Faltan fechas"
)</f>
        <v>On Time</v>
      </c>
      <c r="P42" s="24" t="s">
        <v>544</v>
      </c>
      <c r="Q42" s="4">
        <v>46119</v>
      </c>
      <c r="R42" s="5">
        <f>IFERROR(IF(G42=Q42,0,NETWORKDAYS(G42,Q42,{"01/01/2026";"02/02/2026";"16/03/2026";"02/04/2026";"03/04/2026";"01/05/2026"})),"Faltan Fechas")</f>
        <v>5</v>
      </c>
      <c r="S42" s="4" t="str">
        <f>IFERROR(IF(OR(G42="",Q42=""),"SIN DATO",IF(NETWORKDAYS(G42,Q42,{"01/01/2026";"02/02/2026";"16/03/2026";"02/04/2026";"03/04/2026";"01/05/2026"})&lt;=1,"1 día o menos",IF(NETWORKDAYS(G42,Q42,{"01/01/2026";"02/02/2026";"16/03/2026";"02/04/2026";"03/04/2026";"01/05/2026"})&lt;=3,"2 a 3 días",IF(NETWORKDAYS(G42,Q42,{"01/01/2026";"02/02/2026";"16/03/2026";"02/04/2026";"03/04/2026";"01/05/2026"})&lt;=5,"4 a 5 días",IF(NETWORKDAYS(G42,Q42,{"01/01/2026";"02/02/2026";"16/03/2026";"02/04/2026";"03/04/2026";"01/05/2026"})&lt;=10,"6 a 10 días",IF(NETWORKDAYS(G42,Q42,{"01/01/2026";"02/02/2026";"16/03/2026";"02/04/2026";"03/04/2026";"01/05/2026"})&lt;=16,"11 a 15 días","más de 16 días")))))),"Aun no se entrega")</f>
        <v>4 a 5 días</v>
      </c>
      <c r="T42" s="4" t="str" cm="1">
        <f t="array" ref="T42">IFERROR(
  IF(
    NETWORKDAYS(G42,Q42,{"01/01/2026";"02/02/2026";"16/03/2026";"02/04/2026";"03/04/2026";"01/05/2026"}) &lt;=
    _xlfn.IFS(
      OR(TRIM(A42)="AICM", TRIM(A42)="AÉREO AICM"), 5,
      OR(TRIM(A42)="VERACRUZ", TRIM(A42)="MARÍTIMO VERACRUZ"), 6,
      OR(TRIM(A42)="AIFA", TRIM(A42)="AÉREO AIFA"), 7,
      AND(TRIM(A42)="CORRESPONSALIAS", TRIM(B42)="NUEVO LAREDO"), 6,
      TRIM(A42)="MANZANILLO", 10,
      TRIM(A42)="TOLUCA", 6,
      TRUE, 999
    ),
    "On Time",
    "Delayed"
  ),
  "Faltan fechas"
)</f>
        <v>On Time</v>
      </c>
      <c r="U42" s="3">
        <v>8</v>
      </c>
      <c r="V42" s="3" t="s">
        <v>544</v>
      </c>
      <c r="W42" s="3">
        <v>18</v>
      </c>
      <c r="X42" s="3" t="s">
        <v>547</v>
      </c>
      <c r="Y42" s="3">
        <v>0</v>
      </c>
      <c r="Z42" s="3" t="s">
        <v>546</v>
      </c>
      <c r="AA42" s="3">
        <v>7</v>
      </c>
      <c r="AB42" s="3">
        <v>1</v>
      </c>
      <c r="AC42" s="3" t="s">
        <v>546</v>
      </c>
      <c r="AD42" s="4">
        <v>46135</v>
      </c>
      <c r="AE42" s="3">
        <v>16</v>
      </c>
      <c r="AF42" s="3">
        <v>12</v>
      </c>
      <c r="AG42" s="4">
        <v>46135</v>
      </c>
      <c r="AH42" s="4">
        <v>46135</v>
      </c>
      <c r="AI42" s="3">
        <v>0</v>
      </c>
      <c r="AJ42" s="3" t="s">
        <v>547</v>
      </c>
      <c r="AK42" s="4">
        <v>46135</v>
      </c>
      <c r="AL42" s="5">
        <f>IFERROR(IF(Q42=AK42,0,NETWORKDAYS(Q42,AK42,{"01/01/2026";"02/02/2026";"16/03/2026";"02/04/2026";"03/04/2026";"01/05/2026"})),"aun no se factura")</f>
        <v>13</v>
      </c>
      <c r="AM42" s="4" t="str">
        <f>IFERROR(IF(OR(Q42="",AK42=""),"SIN DATO",IF(NETWORKDAYS(Q42,AK42,{"01/01/2026";"02/02/2026";"16/03/2026";"02/04/2026";"03/04/2026";"01/05/2026"})&lt;=1,"1 día o menos",IF(NETWORKDAYS(Q42,AK42,{"01/01/2026";"02/02/2026";"16/03/2026";"02/04/2026";"03/04/2026";"01/05/2026"})&lt;=3,"2 a 3 días",IF(NETWORKDAYS(Q42,AK42,{"01/01/2026";"02/02/2026";"16/03/2026";"02/04/2026";"03/04/2026";"01/05/2026"})&lt;=5,"4 a 5 días",IF(NETWORKDAYS(Q42,AK42,{"01/01/2026";"02/02/2026";"16/03/2026";"02/04/2026";"03/04/2026";"01/05/2026"})&lt;=10,"6 a 10 días",IF(NETWORKDAYS(Q42,AK42,{"01/01/2026";"02/02/2026";"16/03/2026";"02/04/2026";"03/04/2026";"01/05/2026"})&lt;=16,"11 a 15 días","más de 16 días")))))),"aun no se factura")</f>
        <v>11 a 15 días</v>
      </c>
      <c r="AN42" s="4" t="str" cm="1">
        <f t="array" ref="AN42">IFERROR(
  IF(
    NETWORKDAYS(Q42,AK42,{"01/01/2026";"02/02/2026";"16/03/2026";"02/04/2026";"03/04/2026";"01/05/2026"}) &lt;=
    _xlfn.IFS(
      OR(TRIM(A42)="AICM", TRIM(A42)="AÉREO AICM"), 5,
      OR(TRIM(A42)="VERACRUZ", TRIM(A42)="MARÍTIMO VERACRUZ"), 6,
      OR(TRIM(A42)="AIFA", TRIM(A42)="AÉREO AIFA"), 7,
      AND(TRIM(A42)="CORRESPONSALIAS", TRIM(B42)="NUEVO LAREDO"), 6,
      TRIM(A42)="MANZANILLO", 10,
      TRIM(A42)="TOLUCA", 6,
      TRUE, 999
    ),
    "On Time",
    "Delayed"
  ),
  "Faltan fechas"
)</f>
        <v>Delayed</v>
      </c>
      <c r="AO42" s="5">
        <v>1</v>
      </c>
      <c r="AP42" s="3" t="s">
        <v>548</v>
      </c>
      <c r="AQ42" s="3" t="s">
        <v>93</v>
      </c>
      <c r="AR42" s="3" t="s">
        <v>112</v>
      </c>
      <c r="AS42" s="3" t="s">
        <v>377</v>
      </c>
      <c r="AT42" s="3" t="s">
        <v>223</v>
      </c>
      <c r="AU42" s="5">
        <v>6000401</v>
      </c>
      <c r="AV42" s="3" t="s">
        <v>92</v>
      </c>
      <c r="AW42" s="3" t="s">
        <v>376</v>
      </c>
      <c r="AX42" s="3" t="s">
        <v>549</v>
      </c>
      <c r="AY42" s="3"/>
      <c r="AZ42" s="3" t="s">
        <v>550</v>
      </c>
      <c r="BA42" s="3" t="s">
        <v>90</v>
      </c>
      <c r="BB42" s="3"/>
      <c r="BC42" s="3"/>
      <c r="BD42" s="3"/>
      <c r="BE42" s="3"/>
      <c r="BF42" s="3" t="s">
        <v>576</v>
      </c>
      <c r="BG42" s="3" t="s">
        <v>552</v>
      </c>
      <c r="BH42" s="3" t="s">
        <v>580</v>
      </c>
      <c r="BI42" s="3"/>
      <c r="BJ42" s="3" t="s">
        <v>643</v>
      </c>
      <c r="BK42" s="3" t="s">
        <v>554</v>
      </c>
      <c r="BL42" s="3">
        <v>0</v>
      </c>
      <c r="BM42" s="3" t="s">
        <v>582</v>
      </c>
      <c r="BN42" s="3" t="s">
        <v>665</v>
      </c>
      <c r="BO42" s="3">
        <v>90</v>
      </c>
      <c r="BP42" s="3" t="s">
        <v>666</v>
      </c>
      <c r="BQ42" s="3" t="s">
        <v>600</v>
      </c>
      <c r="BR42" s="3"/>
      <c r="BS42" s="3" t="s">
        <v>667</v>
      </c>
      <c r="BT42" s="3" t="s">
        <v>558</v>
      </c>
      <c r="BU42" s="3" t="s">
        <v>668</v>
      </c>
      <c r="BV42" s="3" t="s">
        <v>105</v>
      </c>
      <c r="BW42" s="3"/>
      <c r="BX42" s="3"/>
      <c r="BY42" s="3"/>
      <c r="BZ42" s="3"/>
      <c r="CA42" s="3"/>
    </row>
    <row r="43" spans="1:79" x14ac:dyDescent="0.25">
      <c r="A43" s="3" t="s">
        <v>577</v>
      </c>
      <c r="B43" s="3" t="s">
        <v>578</v>
      </c>
      <c r="C43" s="3" t="s">
        <v>399</v>
      </c>
      <c r="D43" s="3">
        <v>430</v>
      </c>
      <c r="E43" s="4">
        <v>46126</v>
      </c>
      <c r="F43" s="3">
        <v>4</v>
      </c>
      <c r="G43" s="22">
        <v>46120</v>
      </c>
      <c r="H43" s="4">
        <v>46126</v>
      </c>
      <c r="I43" s="3">
        <v>4</v>
      </c>
      <c r="J43" s="3" t="s">
        <v>543</v>
      </c>
      <c r="K43" s="22">
        <v>46127</v>
      </c>
      <c r="L43" s="3">
        <v>5</v>
      </c>
      <c r="M43" s="3">
        <f>IFERROR(IF(G43=K43,0,NETWORKDAYS(G43,K43,{"01/01/2026";"02/02/2026";"16/03/2026";"02/04/2026";"03/04/2026";"01/05/2026"})),"Faltan Fechas")</f>
        <v>6</v>
      </c>
      <c r="N43" s="23" t="str">
        <f>IFERROR(IF(OR(G43="",K43=""),"SIN DATO",IF(NETWORKDAYS(G43,K43,{"01/01/2026";"02/02/2026";"16/03/2026";"02/04/2026";"03/04/2026";"01/05/2026"})&lt;=1,"1 día o menos",IF(NETWORKDAYS(G43,K43,{"01/01/2026";"02/02/2026";"16/03/2026";"02/04/2026";"03/04/2026";"01/05/2026"})&lt;=3,"2 a 3 días",IF(NETWORKDAYS(G43,K43,{"01/01/2026";"02/02/2026";"16/03/2026";"02/04/2026";"03/04/2026";"01/05/2026"})&lt;=5,"4 a 5 días",IF(NETWORKDAYS(G43,K43,{"01/01/2026";"02/02/2026";"16/03/2026";"02/04/2026";"03/04/2026";"01/05/2026"})&lt;=10,"6 a 10 días",IF(NETWORKDAYS(G43,K43,{"01/01/2026";"02/02/2026";"16/03/2026";"02/04/2026";"03/04/2026";"01/05/2026"})&lt;=16,"11 a 15 días","más de 16 días")))))),"Aun no se entrega")</f>
        <v>6 a 10 días</v>
      </c>
      <c r="O43" s="3" t="str" cm="1">
        <f t="array" ref="O43">IFERROR(
  IF(
    NETWORKDAYS(G43,K43,{"01/01/2026";"02/02/2026";"16/03/2026";"02/04/2026";"03/04/2026";"01/05/2026"}) &lt;=
    _xlfn.IFS(
      OR(TRIM(A43)="AICM", TRIM(A43)="AÉREO AICM"), 5,
      OR(TRIM(A43)="VERACRUZ", TRIM(A43)="MARÍTIMO VERACRUZ"), 6,
      OR(TRIM(A43)="AIFA", TRIM(A43)="AÉREO AIFA"), 7,
      AND(TRIM(A43)="CORRESPONSALIAS", TRIM(B43)="NUEVO LAREDO"), 6,
      TRIM(A43)="MANZANILLO", 10,
      TRIM(A43)="TOLUCA", 6,
      TRUE, 999
    ),
    "On Time",
    "Delayed"
  ),
  "Faltan fechas"
)</f>
        <v>On Time</v>
      </c>
      <c r="P43" s="24" t="s">
        <v>544</v>
      </c>
      <c r="Q43" s="4">
        <v>46128</v>
      </c>
      <c r="R43" s="5">
        <f>IFERROR(IF(G43=Q43,0,NETWORKDAYS(G43,Q43,{"01/01/2026";"02/02/2026";"16/03/2026";"02/04/2026";"03/04/2026";"01/05/2026"})),"Faltan Fechas")</f>
        <v>7</v>
      </c>
      <c r="S43" s="4" t="str">
        <f>IFERROR(IF(OR(G43="",Q43=""),"SIN DATO",IF(NETWORKDAYS(G43,Q43,{"01/01/2026";"02/02/2026";"16/03/2026";"02/04/2026";"03/04/2026";"01/05/2026"})&lt;=1,"1 día o menos",IF(NETWORKDAYS(G43,Q43,{"01/01/2026";"02/02/2026";"16/03/2026";"02/04/2026";"03/04/2026";"01/05/2026"})&lt;=3,"2 a 3 días",IF(NETWORKDAYS(G43,Q43,{"01/01/2026";"02/02/2026";"16/03/2026";"02/04/2026";"03/04/2026";"01/05/2026"})&lt;=5,"4 a 5 días",IF(NETWORKDAYS(G43,Q43,{"01/01/2026";"02/02/2026";"16/03/2026";"02/04/2026";"03/04/2026";"01/05/2026"})&lt;=10,"6 a 10 días",IF(NETWORKDAYS(G43,Q43,{"01/01/2026";"02/02/2026";"16/03/2026";"02/04/2026";"03/04/2026";"01/05/2026"})&lt;=16,"11 a 15 días","más de 16 días")))))),"Aun no se entrega")</f>
        <v>6 a 10 días</v>
      </c>
      <c r="T43" s="4" t="str" cm="1">
        <f t="array" ref="T43">IFERROR(
  IF(
    NETWORKDAYS(G43,Q43,{"01/01/2026";"02/02/2026";"16/03/2026";"02/04/2026";"03/04/2026";"01/05/2026"}) &lt;=
    _xlfn.IFS(
      OR(TRIM(A43)="AICM", TRIM(A43)="AÉREO AICM"), 5,
      OR(TRIM(A43)="VERACRUZ", TRIM(A43)="MARÍTIMO VERACRUZ"), 6,
      OR(TRIM(A43)="AIFA", TRIM(A43)="AÉREO AIFA"), 7,
      AND(TRIM(A43)="CORRESPONSALIAS", TRIM(B43)="NUEVO LAREDO"), 6,
      TRIM(A43)="MANZANILLO", 10,
      TRIM(A43)="TOLUCA", 6,
      TRUE, 999
    ),
    "On Time",
    "Delayed"
  ),
  "Faltan fechas"
)</f>
        <v>Delayed</v>
      </c>
      <c r="U43" s="3">
        <v>8</v>
      </c>
      <c r="V43" s="3" t="s">
        <v>544</v>
      </c>
      <c r="W43" s="3">
        <v>23</v>
      </c>
      <c r="X43" s="3" t="s">
        <v>547</v>
      </c>
      <c r="Y43" s="3">
        <v>1</v>
      </c>
      <c r="Z43" s="3" t="s">
        <v>546</v>
      </c>
      <c r="AA43" s="3">
        <v>6</v>
      </c>
      <c r="AB43" s="3">
        <v>1</v>
      </c>
      <c r="AC43" s="3" t="s">
        <v>546</v>
      </c>
      <c r="AD43" s="4">
        <v>46153</v>
      </c>
      <c r="AE43" s="3">
        <v>25</v>
      </c>
      <c r="AF43" s="3">
        <v>17</v>
      </c>
      <c r="AG43" s="4">
        <v>46153</v>
      </c>
      <c r="AH43" s="4">
        <v>46153</v>
      </c>
      <c r="AI43" s="3">
        <v>0</v>
      </c>
      <c r="AJ43" s="3" t="s">
        <v>547</v>
      </c>
      <c r="AK43" s="4">
        <v>46153</v>
      </c>
      <c r="AL43" s="5">
        <f>IFERROR(IF(Q43=AK43,0,NETWORKDAYS(Q43,AK43,{"01/01/2026";"02/02/2026";"16/03/2026";"02/04/2026";"03/04/2026";"01/05/2026"})),"aun no se factura")</f>
        <v>17</v>
      </c>
      <c r="AM43" s="4" t="str">
        <f>IFERROR(IF(OR(Q43="",AK43=""),"SIN DATO",IF(NETWORKDAYS(Q43,AK43,{"01/01/2026";"02/02/2026";"16/03/2026";"02/04/2026";"03/04/2026";"01/05/2026"})&lt;=1,"1 día o menos",IF(NETWORKDAYS(Q43,AK43,{"01/01/2026";"02/02/2026";"16/03/2026";"02/04/2026";"03/04/2026";"01/05/2026"})&lt;=3,"2 a 3 días",IF(NETWORKDAYS(Q43,AK43,{"01/01/2026";"02/02/2026";"16/03/2026";"02/04/2026";"03/04/2026";"01/05/2026"})&lt;=5,"4 a 5 días",IF(NETWORKDAYS(Q43,AK43,{"01/01/2026";"02/02/2026";"16/03/2026";"02/04/2026";"03/04/2026";"01/05/2026"})&lt;=10,"6 a 10 días",IF(NETWORKDAYS(Q43,AK43,{"01/01/2026";"02/02/2026";"16/03/2026";"02/04/2026";"03/04/2026";"01/05/2026"})&lt;=16,"11 a 15 días","más de 16 días")))))),"aun no se factura")</f>
        <v>más de 16 días</v>
      </c>
      <c r="AN43" s="4" t="str" cm="1">
        <f t="array" ref="AN43">IFERROR(
  IF(
    NETWORKDAYS(Q43,AK43,{"01/01/2026";"02/02/2026";"16/03/2026";"02/04/2026";"03/04/2026";"01/05/2026"}) &lt;=
    _xlfn.IFS(
      OR(TRIM(A43)="AICM", TRIM(A43)="AÉREO AICM"), 5,
      OR(TRIM(A43)="VERACRUZ", TRIM(A43)="MARÍTIMO VERACRUZ"), 6,
      OR(TRIM(A43)="AIFA", TRIM(A43)="AÉREO AIFA"), 7,
      AND(TRIM(A43)="CORRESPONSALIAS", TRIM(B43)="NUEVO LAREDO"), 6,
      TRIM(A43)="MANZANILLO", 10,
      TRIM(A43)="TOLUCA", 6,
      TRUE, 999
    ),
    "On Time",
    "Delayed"
  ),
  "Faltan fechas"
)</f>
        <v>Delayed</v>
      </c>
      <c r="AO43" s="5">
        <v>1</v>
      </c>
      <c r="AP43" s="3" t="s">
        <v>548</v>
      </c>
      <c r="AQ43" s="3" t="s">
        <v>93</v>
      </c>
      <c r="AR43" s="3" t="s">
        <v>112</v>
      </c>
      <c r="AS43" s="3" t="s">
        <v>402</v>
      </c>
      <c r="AT43" s="3" t="s">
        <v>223</v>
      </c>
      <c r="AU43" s="5">
        <v>6000433</v>
      </c>
      <c r="AV43" s="3" t="s">
        <v>92</v>
      </c>
      <c r="AW43" s="3" t="s">
        <v>401</v>
      </c>
      <c r="AX43" s="3" t="s">
        <v>549</v>
      </c>
      <c r="AY43" s="3"/>
      <c r="AZ43" s="3" t="s">
        <v>550</v>
      </c>
      <c r="BA43" s="3" t="s">
        <v>90</v>
      </c>
      <c r="BB43" s="3"/>
      <c r="BC43" s="3" t="s">
        <v>117</v>
      </c>
      <c r="BD43" s="3"/>
      <c r="BE43" s="3" t="s">
        <v>117</v>
      </c>
      <c r="BF43" s="3" t="s">
        <v>576</v>
      </c>
      <c r="BG43" s="3" t="s">
        <v>620</v>
      </c>
      <c r="BH43" s="3" t="s">
        <v>607</v>
      </c>
      <c r="BI43" s="3" t="s">
        <v>673</v>
      </c>
      <c r="BJ43" s="3"/>
      <c r="BK43" s="3" t="s">
        <v>554</v>
      </c>
      <c r="BL43" s="3">
        <v>0</v>
      </c>
      <c r="BM43" s="3">
        <v>99</v>
      </c>
      <c r="BN43" s="3" t="s">
        <v>674</v>
      </c>
      <c r="BO43" s="3">
        <v>90</v>
      </c>
      <c r="BP43" s="3" t="s">
        <v>675</v>
      </c>
      <c r="BQ43" s="3" t="s">
        <v>646</v>
      </c>
      <c r="BR43" s="3"/>
      <c r="BS43" s="3" t="s">
        <v>676</v>
      </c>
      <c r="BT43" s="3" t="s">
        <v>558</v>
      </c>
      <c r="BU43" s="3" t="s">
        <v>677</v>
      </c>
      <c r="BV43" s="3" t="s">
        <v>105</v>
      </c>
      <c r="BW43" s="3"/>
      <c r="BX43" s="3"/>
      <c r="BY43" s="3"/>
      <c r="BZ43" s="3"/>
      <c r="CA43" s="3"/>
    </row>
    <row r="44" spans="1:79" x14ac:dyDescent="0.25">
      <c r="A44" s="3" t="s">
        <v>577</v>
      </c>
      <c r="B44" s="3" t="s">
        <v>578</v>
      </c>
      <c r="C44" s="3" t="s">
        <v>366</v>
      </c>
      <c r="D44" s="3">
        <v>430</v>
      </c>
      <c r="E44" s="4">
        <v>46118</v>
      </c>
      <c r="F44" s="3">
        <v>4</v>
      </c>
      <c r="G44" s="22">
        <v>46111</v>
      </c>
      <c r="H44" s="4">
        <v>46118</v>
      </c>
      <c r="I44" s="3">
        <v>5</v>
      </c>
      <c r="J44" s="3" t="s">
        <v>543</v>
      </c>
      <c r="K44" s="22">
        <v>46118</v>
      </c>
      <c r="L44" s="3">
        <v>5</v>
      </c>
      <c r="M44" s="3">
        <f>IFERROR(IF(G44=K44,0,NETWORKDAYS(G44,K44,{"01/01/2026";"02/02/2026";"16/03/2026";"02/04/2026";"03/04/2026";"01/05/2026"})),"Faltan Fechas")</f>
        <v>4</v>
      </c>
      <c r="N44" s="23" t="str">
        <f>IFERROR(IF(OR(G44="",K44=""),"SIN DATO",IF(NETWORKDAYS(G44,K44,{"01/01/2026";"02/02/2026";"16/03/2026";"02/04/2026";"03/04/2026";"01/05/2026"})&lt;=1,"1 día o menos",IF(NETWORKDAYS(G44,K44,{"01/01/2026";"02/02/2026";"16/03/2026";"02/04/2026";"03/04/2026";"01/05/2026"})&lt;=3,"2 a 3 días",IF(NETWORKDAYS(G44,K44,{"01/01/2026";"02/02/2026";"16/03/2026";"02/04/2026";"03/04/2026";"01/05/2026"})&lt;=5,"4 a 5 días",IF(NETWORKDAYS(G44,K44,{"01/01/2026";"02/02/2026";"16/03/2026";"02/04/2026";"03/04/2026";"01/05/2026"})&lt;=10,"6 a 10 días",IF(NETWORKDAYS(G44,K44,{"01/01/2026";"02/02/2026";"16/03/2026";"02/04/2026";"03/04/2026";"01/05/2026"})&lt;=16,"11 a 15 días","más de 16 días")))))),"Aun no se entrega")</f>
        <v>4 a 5 días</v>
      </c>
      <c r="O44" s="3" t="str" cm="1">
        <f t="array" ref="O44">IFERROR(
  IF(
    NETWORKDAYS(G44,K44,{"01/01/2026";"02/02/2026";"16/03/2026";"02/04/2026";"03/04/2026";"01/05/2026"}) &lt;=
    _xlfn.IFS(
      OR(TRIM(A44)="AICM", TRIM(A44)="AÉREO AICM"), 5,
      OR(TRIM(A44)="VERACRUZ", TRIM(A44)="MARÍTIMO VERACRUZ"), 6,
      OR(TRIM(A44)="AIFA", TRIM(A44)="AÉREO AIFA"), 7,
      AND(TRIM(A44)="CORRESPONSALIAS", TRIM(B44)="NUEVO LAREDO"), 6,
      TRIM(A44)="MANZANILLO", 10,
      TRIM(A44)="TOLUCA", 6,
      TRUE, 999
    ),
    "On Time",
    "Delayed"
  ),
  "Faltan fechas"
)</f>
        <v>On Time</v>
      </c>
      <c r="P44" s="24" t="s">
        <v>544</v>
      </c>
      <c r="Q44" s="4">
        <v>46119</v>
      </c>
      <c r="R44" s="5">
        <f>IFERROR(IF(G44=Q44,0,NETWORKDAYS(G44,Q44,{"01/01/2026";"02/02/2026";"16/03/2026";"02/04/2026";"03/04/2026";"01/05/2026"})),"Faltan Fechas")</f>
        <v>5</v>
      </c>
      <c r="S44" s="4" t="str">
        <f>IFERROR(IF(OR(G44="",Q44=""),"SIN DATO",IF(NETWORKDAYS(G44,Q44,{"01/01/2026";"02/02/2026";"16/03/2026";"02/04/2026";"03/04/2026";"01/05/2026"})&lt;=1,"1 día o menos",IF(NETWORKDAYS(G44,Q44,{"01/01/2026";"02/02/2026";"16/03/2026";"02/04/2026";"03/04/2026";"01/05/2026"})&lt;=3,"2 a 3 días",IF(NETWORKDAYS(G44,Q44,{"01/01/2026";"02/02/2026";"16/03/2026";"02/04/2026";"03/04/2026";"01/05/2026"})&lt;=5,"4 a 5 días",IF(NETWORKDAYS(G44,Q44,{"01/01/2026";"02/02/2026";"16/03/2026";"02/04/2026";"03/04/2026";"01/05/2026"})&lt;=10,"6 a 10 días",IF(NETWORKDAYS(G44,Q44,{"01/01/2026";"02/02/2026";"16/03/2026";"02/04/2026";"03/04/2026";"01/05/2026"})&lt;=16,"11 a 15 días","más de 16 días")))))),"Aun no se entrega")</f>
        <v>4 a 5 días</v>
      </c>
      <c r="T44" s="4" t="str" cm="1">
        <f t="array" ref="T44">IFERROR(
  IF(
    NETWORKDAYS(G44,Q44,{"01/01/2026";"02/02/2026";"16/03/2026";"02/04/2026";"03/04/2026";"01/05/2026"}) &lt;=
    _xlfn.IFS(
      OR(TRIM(A44)="AICM", TRIM(A44)="AÉREO AICM"), 5,
      OR(TRIM(A44)="VERACRUZ", TRIM(A44)="MARÍTIMO VERACRUZ"), 6,
      OR(TRIM(A44)="AIFA", TRIM(A44)="AÉREO AIFA"), 7,
      AND(TRIM(A44)="CORRESPONSALIAS", TRIM(B44)="NUEVO LAREDO"), 6,
      TRIM(A44)="MANZANILLO", 10,
      TRIM(A44)="TOLUCA", 6,
      TRUE, 999
    ),
    "On Time",
    "Delayed"
  ),
  "Faltan fechas"
)</f>
        <v>On Time</v>
      </c>
      <c r="U44" s="3">
        <v>8</v>
      </c>
      <c r="V44" s="3" t="s">
        <v>544</v>
      </c>
      <c r="W44" s="3">
        <v>14</v>
      </c>
      <c r="X44" s="3" t="s">
        <v>559</v>
      </c>
      <c r="Y44" s="3">
        <v>0</v>
      </c>
      <c r="Z44" s="3" t="s">
        <v>546</v>
      </c>
      <c r="AA44" s="3">
        <v>7</v>
      </c>
      <c r="AB44" s="3">
        <v>1</v>
      </c>
      <c r="AC44" s="3" t="s">
        <v>546</v>
      </c>
      <c r="AD44" s="4">
        <v>46129</v>
      </c>
      <c r="AE44" s="3">
        <v>9</v>
      </c>
      <c r="AF44" s="3">
        <v>8</v>
      </c>
      <c r="AG44" s="4">
        <v>46128</v>
      </c>
      <c r="AH44" s="4">
        <v>46129</v>
      </c>
      <c r="AI44" s="3">
        <v>1</v>
      </c>
      <c r="AJ44" s="3" t="s">
        <v>544</v>
      </c>
      <c r="AK44" s="4">
        <v>46129</v>
      </c>
      <c r="AL44" s="5">
        <f>IFERROR(IF(Q44=AK44,0,NETWORKDAYS(Q44,AK44,{"01/01/2026";"02/02/2026";"16/03/2026";"02/04/2026";"03/04/2026";"01/05/2026"})),"aun no se factura")</f>
        <v>9</v>
      </c>
      <c r="AM44" s="4" t="str">
        <f>IFERROR(IF(OR(Q44="",AK44=""),"SIN DATO",IF(NETWORKDAYS(Q44,AK44,{"01/01/2026";"02/02/2026";"16/03/2026";"02/04/2026";"03/04/2026";"01/05/2026"})&lt;=1,"1 día o menos",IF(NETWORKDAYS(Q44,AK44,{"01/01/2026";"02/02/2026";"16/03/2026";"02/04/2026";"03/04/2026";"01/05/2026"})&lt;=3,"2 a 3 días",IF(NETWORKDAYS(Q44,AK44,{"01/01/2026";"02/02/2026";"16/03/2026";"02/04/2026";"03/04/2026";"01/05/2026"})&lt;=5,"4 a 5 días",IF(NETWORKDAYS(Q44,AK44,{"01/01/2026";"02/02/2026";"16/03/2026";"02/04/2026";"03/04/2026";"01/05/2026"})&lt;=10,"6 a 10 días",IF(NETWORKDAYS(Q44,AK44,{"01/01/2026";"02/02/2026";"16/03/2026";"02/04/2026";"03/04/2026";"01/05/2026"})&lt;=16,"11 a 15 días","más de 16 días")))))),"aun no se factura")</f>
        <v>6 a 10 días</v>
      </c>
      <c r="AN44" s="4" t="str" cm="1">
        <f t="array" ref="AN44">IFERROR(
  IF(
    NETWORKDAYS(Q44,AK44,{"01/01/2026";"02/02/2026";"16/03/2026";"02/04/2026";"03/04/2026";"01/05/2026"}) &lt;=
    _xlfn.IFS(
      OR(TRIM(A44)="AICM", TRIM(A44)="AÉREO AICM"), 5,
      OR(TRIM(A44)="VERACRUZ", TRIM(A44)="MARÍTIMO VERACRUZ"), 6,
      OR(TRIM(A44)="AIFA", TRIM(A44)="AÉREO AIFA"), 7,
      AND(TRIM(A44)="CORRESPONSALIAS", TRIM(B44)="NUEVO LAREDO"), 6,
      TRIM(A44)="MANZANILLO", 10,
      TRIM(A44)="TOLUCA", 6,
      TRUE, 999
    ),
    "On Time",
    "Delayed"
  ),
  "Faltan fechas"
)</f>
        <v>Delayed</v>
      </c>
      <c r="AO44" s="5">
        <v>1</v>
      </c>
      <c r="AP44" s="3" t="s">
        <v>548</v>
      </c>
      <c r="AQ44" s="3" t="s">
        <v>93</v>
      </c>
      <c r="AR44" s="3" t="s">
        <v>112</v>
      </c>
      <c r="AS44" s="3" t="s">
        <v>368</v>
      </c>
      <c r="AT44" s="3" t="s">
        <v>223</v>
      </c>
      <c r="AU44" s="5">
        <v>6000434</v>
      </c>
      <c r="AV44" s="3" t="s">
        <v>92</v>
      </c>
      <c r="AW44" s="3" t="s">
        <v>159</v>
      </c>
      <c r="AX44" s="3" t="s">
        <v>549</v>
      </c>
      <c r="AY44" s="3"/>
      <c r="AZ44" s="3" t="s">
        <v>550</v>
      </c>
      <c r="BA44" s="3" t="s">
        <v>90</v>
      </c>
      <c r="BB44" s="3"/>
      <c r="BC44" s="3" t="s">
        <v>117</v>
      </c>
      <c r="BD44" s="3"/>
      <c r="BE44" s="3" t="s">
        <v>117</v>
      </c>
      <c r="BF44" s="3" t="s">
        <v>576</v>
      </c>
      <c r="BG44" s="3" t="s">
        <v>620</v>
      </c>
      <c r="BH44" s="3" t="s">
        <v>607</v>
      </c>
      <c r="BI44" s="3" t="s">
        <v>678</v>
      </c>
      <c r="BJ44" s="3"/>
      <c r="BK44" s="3" t="s">
        <v>554</v>
      </c>
      <c r="BL44" s="3">
        <v>0</v>
      </c>
      <c r="BM44" s="3">
        <v>99</v>
      </c>
      <c r="BN44" s="3" t="s">
        <v>679</v>
      </c>
      <c r="BO44" s="3">
        <v>90</v>
      </c>
      <c r="BP44" s="3" t="s">
        <v>680</v>
      </c>
      <c r="BQ44" s="3" t="s">
        <v>606</v>
      </c>
      <c r="BR44" s="3"/>
      <c r="BS44" s="3" t="s">
        <v>558</v>
      </c>
      <c r="BT44" s="3" t="s">
        <v>558</v>
      </c>
      <c r="BU44" s="3" t="s">
        <v>105</v>
      </c>
      <c r="BV44" s="3" t="s">
        <v>105</v>
      </c>
      <c r="BW44" s="3"/>
      <c r="BX44" s="3"/>
      <c r="BY44" s="3"/>
      <c r="BZ44" s="3"/>
      <c r="CA44" s="3"/>
    </row>
    <row r="45" spans="1:79" x14ac:dyDescent="0.25">
      <c r="A45" s="3" t="s">
        <v>577</v>
      </c>
      <c r="B45" s="3" t="s">
        <v>578</v>
      </c>
      <c r="C45" s="3" t="s">
        <v>383</v>
      </c>
      <c r="D45" s="3">
        <v>430</v>
      </c>
      <c r="E45" s="4">
        <v>46118</v>
      </c>
      <c r="F45" s="3">
        <v>4</v>
      </c>
      <c r="G45" s="22">
        <v>46111</v>
      </c>
      <c r="H45" s="4">
        <v>46118</v>
      </c>
      <c r="I45" s="3">
        <v>5</v>
      </c>
      <c r="J45" s="3" t="s">
        <v>543</v>
      </c>
      <c r="K45" s="22">
        <v>46118</v>
      </c>
      <c r="L45" s="3">
        <v>5</v>
      </c>
      <c r="M45" s="3">
        <f>IFERROR(IF(G45=K45,0,NETWORKDAYS(G45,K45,{"01/01/2026";"02/02/2026";"16/03/2026";"02/04/2026";"03/04/2026";"01/05/2026"})),"Faltan Fechas")</f>
        <v>4</v>
      </c>
      <c r="N45" s="23" t="str">
        <f>IFERROR(IF(OR(G45="",K45=""),"SIN DATO",IF(NETWORKDAYS(G45,K45,{"01/01/2026";"02/02/2026";"16/03/2026";"02/04/2026";"03/04/2026";"01/05/2026"})&lt;=1,"1 día o menos",IF(NETWORKDAYS(G45,K45,{"01/01/2026";"02/02/2026";"16/03/2026";"02/04/2026";"03/04/2026";"01/05/2026"})&lt;=3,"2 a 3 días",IF(NETWORKDAYS(G45,K45,{"01/01/2026";"02/02/2026";"16/03/2026";"02/04/2026";"03/04/2026";"01/05/2026"})&lt;=5,"4 a 5 días",IF(NETWORKDAYS(G45,K45,{"01/01/2026";"02/02/2026";"16/03/2026";"02/04/2026";"03/04/2026";"01/05/2026"})&lt;=10,"6 a 10 días",IF(NETWORKDAYS(G45,K45,{"01/01/2026";"02/02/2026";"16/03/2026";"02/04/2026";"03/04/2026";"01/05/2026"})&lt;=16,"11 a 15 días","más de 16 días")))))),"Aun no se entrega")</f>
        <v>4 a 5 días</v>
      </c>
      <c r="O45" s="3" t="str" cm="1">
        <f t="array" ref="O45">IFERROR(
  IF(
    NETWORKDAYS(G45,K45,{"01/01/2026";"02/02/2026";"16/03/2026";"02/04/2026";"03/04/2026";"01/05/2026"}) &lt;=
    _xlfn.IFS(
      OR(TRIM(A45)="AICM", TRIM(A45)="AÉREO AICM"), 5,
      OR(TRIM(A45)="VERACRUZ", TRIM(A45)="MARÍTIMO VERACRUZ"), 6,
      OR(TRIM(A45)="AIFA", TRIM(A45)="AÉREO AIFA"), 7,
      AND(TRIM(A45)="CORRESPONSALIAS", TRIM(B45)="NUEVO LAREDO"), 6,
      TRIM(A45)="MANZANILLO", 10,
      TRIM(A45)="TOLUCA", 6,
      TRUE, 999
    ),
    "On Time",
    "Delayed"
  ),
  "Faltan fechas"
)</f>
        <v>On Time</v>
      </c>
      <c r="P45" s="24" t="s">
        <v>544</v>
      </c>
      <c r="Q45" s="4">
        <v>46119</v>
      </c>
      <c r="R45" s="5">
        <f>IFERROR(IF(G45=Q45,0,NETWORKDAYS(G45,Q45,{"01/01/2026";"02/02/2026";"16/03/2026";"02/04/2026";"03/04/2026";"01/05/2026"})),"Faltan Fechas")</f>
        <v>5</v>
      </c>
      <c r="S45" s="4" t="str">
        <f>IFERROR(IF(OR(G45="",Q45=""),"SIN DATO",IF(NETWORKDAYS(G45,Q45,{"01/01/2026";"02/02/2026";"16/03/2026";"02/04/2026";"03/04/2026";"01/05/2026"})&lt;=1,"1 día o menos",IF(NETWORKDAYS(G45,Q45,{"01/01/2026";"02/02/2026";"16/03/2026";"02/04/2026";"03/04/2026";"01/05/2026"})&lt;=3,"2 a 3 días",IF(NETWORKDAYS(G45,Q45,{"01/01/2026";"02/02/2026";"16/03/2026";"02/04/2026";"03/04/2026";"01/05/2026"})&lt;=5,"4 a 5 días",IF(NETWORKDAYS(G45,Q45,{"01/01/2026";"02/02/2026";"16/03/2026";"02/04/2026";"03/04/2026";"01/05/2026"})&lt;=10,"6 a 10 días",IF(NETWORKDAYS(G45,Q45,{"01/01/2026";"02/02/2026";"16/03/2026";"02/04/2026";"03/04/2026";"01/05/2026"})&lt;=16,"11 a 15 días","más de 16 días")))))),"Aun no se entrega")</f>
        <v>4 a 5 días</v>
      </c>
      <c r="T45" s="4" t="str" cm="1">
        <f t="array" ref="T45">IFERROR(
  IF(
    NETWORKDAYS(G45,Q45,{"01/01/2026";"02/02/2026";"16/03/2026";"02/04/2026";"03/04/2026";"01/05/2026"}) &lt;=
    _xlfn.IFS(
      OR(TRIM(A45)="AICM", TRIM(A45)="AÉREO AICM"), 5,
      OR(TRIM(A45)="VERACRUZ", TRIM(A45)="MARÍTIMO VERACRUZ"), 6,
      OR(TRIM(A45)="AIFA", TRIM(A45)="AÉREO AIFA"), 7,
      AND(TRIM(A45)="CORRESPONSALIAS", TRIM(B45)="NUEVO LAREDO"), 6,
      TRIM(A45)="MANZANILLO", 10,
      TRIM(A45)="TOLUCA", 6,
      TRUE, 999
    ),
    "On Time",
    "Delayed"
  ),
  "Faltan fechas"
)</f>
        <v>On Time</v>
      </c>
      <c r="U45" s="3">
        <v>8</v>
      </c>
      <c r="V45" s="3" t="s">
        <v>544</v>
      </c>
      <c r="W45" s="3">
        <v>18</v>
      </c>
      <c r="X45" s="3" t="s">
        <v>547</v>
      </c>
      <c r="Y45" s="3">
        <v>0</v>
      </c>
      <c r="Z45" s="3" t="s">
        <v>546</v>
      </c>
      <c r="AA45" s="3">
        <v>7</v>
      </c>
      <c r="AB45" s="3">
        <v>1</v>
      </c>
      <c r="AC45" s="3" t="s">
        <v>546</v>
      </c>
      <c r="AD45" s="4">
        <v>46135</v>
      </c>
      <c r="AE45" s="3">
        <v>16</v>
      </c>
      <c r="AF45" s="3">
        <v>12</v>
      </c>
      <c r="AG45" s="4">
        <v>46135</v>
      </c>
      <c r="AH45" s="4">
        <v>46135</v>
      </c>
      <c r="AI45" s="3">
        <v>0</v>
      </c>
      <c r="AJ45" s="3" t="s">
        <v>547</v>
      </c>
      <c r="AK45" s="4">
        <v>46135</v>
      </c>
      <c r="AL45" s="5">
        <f>IFERROR(IF(Q45=AK45,0,NETWORKDAYS(Q45,AK45,{"01/01/2026";"02/02/2026";"16/03/2026";"02/04/2026";"03/04/2026";"01/05/2026"})),"aun no se factura")</f>
        <v>13</v>
      </c>
      <c r="AM45" s="4" t="str">
        <f>IFERROR(IF(OR(Q45="",AK45=""),"SIN DATO",IF(NETWORKDAYS(Q45,AK45,{"01/01/2026";"02/02/2026";"16/03/2026";"02/04/2026";"03/04/2026";"01/05/2026"})&lt;=1,"1 día o menos",IF(NETWORKDAYS(Q45,AK45,{"01/01/2026";"02/02/2026";"16/03/2026";"02/04/2026";"03/04/2026";"01/05/2026"})&lt;=3,"2 a 3 días",IF(NETWORKDAYS(Q45,AK45,{"01/01/2026";"02/02/2026";"16/03/2026";"02/04/2026";"03/04/2026";"01/05/2026"})&lt;=5,"4 a 5 días",IF(NETWORKDAYS(Q45,AK45,{"01/01/2026";"02/02/2026";"16/03/2026";"02/04/2026";"03/04/2026";"01/05/2026"})&lt;=10,"6 a 10 días",IF(NETWORKDAYS(Q45,AK45,{"01/01/2026";"02/02/2026";"16/03/2026";"02/04/2026";"03/04/2026";"01/05/2026"})&lt;=16,"11 a 15 días","más de 16 días")))))),"aun no se factura")</f>
        <v>11 a 15 días</v>
      </c>
      <c r="AN45" s="4" t="str" cm="1">
        <f t="array" ref="AN45">IFERROR(
  IF(
    NETWORKDAYS(Q45,AK45,{"01/01/2026";"02/02/2026";"16/03/2026";"02/04/2026";"03/04/2026";"01/05/2026"}) &lt;=
    _xlfn.IFS(
      OR(TRIM(A45)="AICM", TRIM(A45)="AÉREO AICM"), 5,
      OR(TRIM(A45)="VERACRUZ", TRIM(A45)="MARÍTIMO VERACRUZ"), 6,
      OR(TRIM(A45)="AIFA", TRIM(A45)="AÉREO AIFA"), 7,
      AND(TRIM(A45)="CORRESPONSALIAS", TRIM(B45)="NUEVO LAREDO"), 6,
      TRIM(A45)="MANZANILLO", 10,
      TRIM(A45)="TOLUCA", 6,
      TRUE, 999
    ),
    "On Time",
    "Delayed"
  ),
  "Faltan fechas"
)</f>
        <v>Delayed</v>
      </c>
      <c r="AO45" s="5">
        <v>1</v>
      </c>
      <c r="AP45" s="3" t="s">
        <v>548</v>
      </c>
      <c r="AQ45" s="3" t="s">
        <v>93</v>
      </c>
      <c r="AR45" s="3" t="s">
        <v>112</v>
      </c>
      <c r="AS45" s="3" t="s">
        <v>387</v>
      </c>
      <c r="AT45" s="3" t="s">
        <v>223</v>
      </c>
      <c r="AU45" s="5">
        <v>6000516</v>
      </c>
      <c r="AV45" s="3" t="s">
        <v>92</v>
      </c>
      <c r="AW45" s="3" t="s">
        <v>386</v>
      </c>
      <c r="AX45" s="3" t="s">
        <v>549</v>
      </c>
      <c r="AY45" s="3"/>
      <c r="AZ45" s="3" t="s">
        <v>550</v>
      </c>
      <c r="BA45" s="3" t="s">
        <v>90</v>
      </c>
      <c r="BB45" s="3"/>
      <c r="BC45" s="3" t="s">
        <v>117</v>
      </c>
      <c r="BD45" s="3"/>
      <c r="BE45" s="3" t="s">
        <v>117</v>
      </c>
      <c r="BF45" s="3" t="s">
        <v>576</v>
      </c>
      <c r="BG45" s="3" t="s">
        <v>552</v>
      </c>
      <c r="BH45" s="3" t="s">
        <v>580</v>
      </c>
      <c r="BI45" s="3"/>
      <c r="BJ45" s="3" t="s">
        <v>643</v>
      </c>
      <c r="BK45" s="3" t="s">
        <v>554</v>
      </c>
      <c r="BL45" s="3">
        <v>0</v>
      </c>
      <c r="BM45" s="3">
        <v>99</v>
      </c>
      <c r="BN45" s="3" t="s">
        <v>681</v>
      </c>
      <c r="BO45" s="3">
        <v>90</v>
      </c>
      <c r="BP45" s="3">
        <v>10052424</v>
      </c>
      <c r="BQ45" s="3" t="s">
        <v>563</v>
      </c>
      <c r="BR45" s="3"/>
      <c r="BS45" s="3" t="s">
        <v>613</v>
      </c>
      <c r="BT45" s="3" t="s">
        <v>558</v>
      </c>
      <c r="BU45" s="3" t="s">
        <v>133</v>
      </c>
      <c r="BV45" s="3" t="s">
        <v>105</v>
      </c>
      <c r="BW45" s="3"/>
      <c r="BX45" s="3"/>
      <c r="BY45" s="3"/>
      <c r="BZ45" s="3"/>
      <c r="CA45" s="3"/>
    </row>
    <row r="46" spans="1:79" x14ac:dyDescent="0.25">
      <c r="A46" s="3" t="s">
        <v>577</v>
      </c>
      <c r="B46" s="3" t="s">
        <v>578</v>
      </c>
      <c r="C46" s="3" t="s">
        <v>390</v>
      </c>
      <c r="D46" s="3">
        <v>430</v>
      </c>
      <c r="E46" s="4">
        <v>46126</v>
      </c>
      <c r="F46" s="3">
        <v>4</v>
      </c>
      <c r="G46" s="22">
        <v>46115</v>
      </c>
      <c r="H46" s="4">
        <v>46126</v>
      </c>
      <c r="I46" s="3">
        <v>7</v>
      </c>
      <c r="J46" s="3" t="s">
        <v>544</v>
      </c>
      <c r="K46" s="22">
        <v>46127</v>
      </c>
      <c r="L46" s="3">
        <v>8</v>
      </c>
      <c r="M46" s="3">
        <f>IFERROR(IF(G46=K46,0,NETWORKDAYS(G46,K46,{"01/01/2026";"02/02/2026";"16/03/2026";"02/04/2026";"03/04/2026";"01/05/2026"})),"Faltan Fechas")</f>
        <v>8</v>
      </c>
      <c r="N46" s="23" t="str">
        <f>IFERROR(IF(OR(G46="",K46=""),"SIN DATO",IF(NETWORKDAYS(G46,K46,{"01/01/2026";"02/02/2026";"16/03/2026";"02/04/2026";"03/04/2026";"01/05/2026"})&lt;=1,"1 día o menos",IF(NETWORKDAYS(G46,K46,{"01/01/2026";"02/02/2026";"16/03/2026";"02/04/2026";"03/04/2026";"01/05/2026"})&lt;=3,"2 a 3 días",IF(NETWORKDAYS(G46,K46,{"01/01/2026";"02/02/2026";"16/03/2026";"02/04/2026";"03/04/2026";"01/05/2026"})&lt;=5,"4 a 5 días",IF(NETWORKDAYS(G46,K46,{"01/01/2026";"02/02/2026";"16/03/2026";"02/04/2026";"03/04/2026";"01/05/2026"})&lt;=10,"6 a 10 días",IF(NETWORKDAYS(G46,K46,{"01/01/2026";"02/02/2026";"16/03/2026";"02/04/2026";"03/04/2026";"01/05/2026"})&lt;=16,"11 a 15 días","más de 16 días")))))),"Aun no se entrega")</f>
        <v>6 a 10 días</v>
      </c>
      <c r="O46" s="3" t="str" cm="1">
        <f t="array" ref="O46">IFERROR(
  IF(
    NETWORKDAYS(G46,K46,{"01/01/2026";"02/02/2026";"16/03/2026";"02/04/2026";"03/04/2026";"01/05/2026"}) &lt;=
    _xlfn.IFS(
      OR(TRIM(A46)="AICM", TRIM(A46)="AÉREO AICM"), 5,
      OR(TRIM(A46)="VERACRUZ", TRIM(A46)="MARÍTIMO VERACRUZ"), 6,
      OR(TRIM(A46)="AIFA", TRIM(A46)="AÉREO AIFA"), 7,
      AND(TRIM(A46)="CORRESPONSALIAS", TRIM(B46)="NUEVO LAREDO"), 6,
      TRIM(A46)="MANZANILLO", 10,
      TRIM(A46)="TOLUCA", 6,
      TRUE, 999
    ),
    "On Time",
    "Delayed"
  ),
  "Faltan fechas"
)</f>
        <v>Delayed</v>
      </c>
      <c r="P46" s="24" t="s">
        <v>559</v>
      </c>
      <c r="Q46" s="4">
        <v>46128</v>
      </c>
      <c r="R46" s="5">
        <f>IFERROR(IF(G46=Q46,0,NETWORKDAYS(G46,Q46,{"01/01/2026";"02/02/2026";"16/03/2026";"02/04/2026";"03/04/2026";"01/05/2026"})),"Faltan Fechas")</f>
        <v>9</v>
      </c>
      <c r="S46" s="4" t="str">
        <f>IFERROR(IF(OR(G46="",Q46=""),"SIN DATO",IF(NETWORKDAYS(G46,Q46,{"01/01/2026";"02/02/2026";"16/03/2026";"02/04/2026";"03/04/2026";"01/05/2026"})&lt;=1,"1 día o menos",IF(NETWORKDAYS(G46,Q46,{"01/01/2026";"02/02/2026";"16/03/2026";"02/04/2026";"03/04/2026";"01/05/2026"})&lt;=3,"2 a 3 días",IF(NETWORKDAYS(G46,Q46,{"01/01/2026";"02/02/2026";"16/03/2026";"02/04/2026";"03/04/2026";"01/05/2026"})&lt;=5,"4 a 5 días",IF(NETWORKDAYS(G46,Q46,{"01/01/2026";"02/02/2026";"16/03/2026";"02/04/2026";"03/04/2026";"01/05/2026"})&lt;=10,"6 a 10 días",IF(NETWORKDAYS(G46,Q46,{"01/01/2026";"02/02/2026";"16/03/2026";"02/04/2026";"03/04/2026";"01/05/2026"})&lt;=16,"11 a 15 días","más de 16 días")))))),"Aun no se entrega")</f>
        <v>6 a 10 días</v>
      </c>
      <c r="T46" s="4" t="str" cm="1">
        <f t="array" ref="T46">IFERROR(
  IF(
    NETWORKDAYS(G46,Q46,{"01/01/2026";"02/02/2026";"16/03/2026";"02/04/2026";"03/04/2026";"01/05/2026"}) &lt;=
    _xlfn.IFS(
      OR(TRIM(A46)="AICM", TRIM(A46)="AÉREO AICM"), 5,
      OR(TRIM(A46)="VERACRUZ", TRIM(A46)="MARÍTIMO VERACRUZ"), 6,
      OR(TRIM(A46)="AIFA", TRIM(A46)="AÉREO AIFA"), 7,
      AND(TRIM(A46)="CORRESPONSALIAS", TRIM(B46)="NUEVO LAREDO"), 6,
      TRIM(A46)="MANZANILLO", 10,
      TRIM(A46)="TOLUCA", 6,
      TRUE, 999
    ),
    "On Time",
    "Delayed"
  ),
  "Faltan fechas"
)</f>
        <v>Delayed</v>
      </c>
      <c r="U46" s="3">
        <v>13</v>
      </c>
      <c r="V46" s="3" t="s">
        <v>544</v>
      </c>
      <c r="W46" s="3">
        <v>15</v>
      </c>
      <c r="X46" s="3" t="s">
        <v>559</v>
      </c>
      <c r="Y46" s="3">
        <v>1</v>
      </c>
      <c r="Z46" s="3" t="s">
        <v>546</v>
      </c>
      <c r="AA46" s="3">
        <v>11</v>
      </c>
      <c r="AB46" s="3">
        <v>1</v>
      </c>
      <c r="AC46" s="3" t="s">
        <v>546</v>
      </c>
      <c r="AD46" s="4">
        <v>46136</v>
      </c>
      <c r="AE46" s="3">
        <v>8</v>
      </c>
      <c r="AF46" s="3">
        <v>6</v>
      </c>
      <c r="AG46" s="4">
        <v>46136</v>
      </c>
      <c r="AH46" s="4">
        <v>46136</v>
      </c>
      <c r="AI46" s="3">
        <v>0</v>
      </c>
      <c r="AJ46" s="3" t="s">
        <v>544</v>
      </c>
      <c r="AK46" s="4">
        <v>46136</v>
      </c>
      <c r="AL46" s="5">
        <f>IFERROR(IF(Q46=AK46,0,NETWORKDAYS(Q46,AK46,{"01/01/2026";"02/02/2026";"16/03/2026";"02/04/2026";"03/04/2026";"01/05/2026"})),"aun no se factura")</f>
        <v>7</v>
      </c>
      <c r="AM46" s="4" t="str">
        <f>IFERROR(IF(OR(Q46="",AK46=""),"SIN DATO",IF(NETWORKDAYS(Q46,AK46,{"01/01/2026";"02/02/2026";"16/03/2026";"02/04/2026";"03/04/2026";"01/05/2026"})&lt;=1,"1 día o menos",IF(NETWORKDAYS(Q46,AK46,{"01/01/2026";"02/02/2026";"16/03/2026";"02/04/2026";"03/04/2026";"01/05/2026"})&lt;=3,"2 a 3 días",IF(NETWORKDAYS(Q46,AK46,{"01/01/2026";"02/02/2026";"16/03/2026";"02/04/2026";"03/04/2026";"01/05/2026"})&lt;=5,"4 a 5 días",IF(NETWORKDAYS(Q46,AK46,{"01/01/2026";"02/02/2026";"16/03/2026";"02/04/2026";"03/04/2026";"01/05/2026"})&lt;=10,"6 a 10 días",IF(NETWORKDAYS(Q46,AK46,{"01/01/2026";"02/02/2026";"16/03/2026";"02/04/2026";"03/04/2026";"01/05/2026"})&lt;=16,"11 a 15 días","más de 16 días")))))),"aun no se factura")</f>
        <v>6 a 10 días</v>
      </c>
      <c r="AN46" s="4" t="str" cm="1">
        <f t="array" ref="AN46">IFERROR(
  IF(
    NETWORKDAYS(Q46,AK46,{"01/01/2026";"02/02/2026";"16/03/2026";"02/04/2026";"03/04/2026";"01/05/2026"}) &lt;=
    _xlfn.IFS(
      OR(TRIM(A46)="AICM", TRIM(A46)="AÉREO AICM"), 5,
      OR(TRIM(A46)="VERACRUZ", TRIM(A46)="MARÍTIMO VERACRUZ"), 6,
      OR(TRIM(A46)="AIFA", TRIM(A46)="AÉREO AIFA"), 7,
      AND(TRIM(A46)="CORRESPONSALIAS", TRIM(B46)="NUEVO LAREDO"), 6,
      TRIM(A46)="MANZANILLO", 10,
      TRIM(A46)="TOLUCA", 6,
      TRUE, 999
    ),
    "On Time",
    "Delayed"
  ),
  "Faltan fechas"
)</f>
        <v>Delayed</v>
      </c>
      <c r="AO46" s="5">
        <v>1</v>
      </c>
      <c r="AP46" s="3" t="s">
        <v>548</v>
      </c>
      <c r="AQ46" s="3" t="s">
        <v>93</v>
      </c>
      <c r="AR46" s="3" t="s">
        <v>112</v>
      </c>
      <c r="AS46" s="3" t="s">
        <v>395</v>
      </c>
      <c r="AT46" s="3" t="s">
        <v>223</v>
      </c>
      <c r="AU46" s="5">
        <v>6000517</v>
      </c>
      <c r="AV46" s="3" t="s">
        <v>92</v>
      </c>
      <c r="AW46" s="3" t="s">
        <v>392</v>
      </c>
      <c r="AX46" s="3" t="s">
        <v>549</v>
      </c>
      <c r="AY46" s="3"/>
      <c r="AZ46" s="3" t="s">
        <v>550</v>
      </c>
      <c r="BA46" s="3" t="s">
        <v>90</v>
      </c>
      <c r="BB46" s="3"/>
      <c r="BC46" s="3" t="s">
        <v>397</v>
      </c>
      <c r="BD46" s="3" t="s">
        <v>682</v>
      </c>
      <c r="BE46" s="3" t="s">
        <v>682</v>
      </c>
      <c r="BF46" s="3" t="s">
        <v>576</v>
      </c>
      <c r="BG46" s="3" t="s">
        <v>620</v>
      </c>
      <c r="BH46" s="3" t="s">
        <v>607</v>
      </c>
      <c r="BI46" s="3" t="s">
        <v>683</v>
      </c>
      <c r="BJ46" s="3"/>
      <c r="BK46" s="3" t="s">
        <v>554</v>
      </c>
      <c r="BL46" s="3">
        <v>0</v>
      </c>
      <c r="BM46" s="3">
        <v>0</v>
      </c>
      <c r="BN46" s="3" t="s">
        <v>684</v>
      </c>
      <c r="BO46" s="3">
        <v>90</v>
      </c>
      <c r="BP46" s="3">
        <v>1360800</v>
      </c>
      <c r="BQ46" s="3" t="s">
        <v>563</v>
      </c>
      <c r="BR46" s="3"/>
      <c r="BS46" s="3" t="s">
        <v>685</v>
      </c>
      <c r="BT46" s="3" t="s">
        <v>685</v>
      </c>
      <c r="BU46" s="3" t="s">
        <v>396</v>
      </c>
      <c r="BV46" s="3" t="s">
        <v>396</v>
      </c>
      <c r="BW46" s="3"/>
      <c r="BX46" s="3"/>
      <c r="BY46" s="3"/>
      <c r="BZ46" s="3"/>
      <c r="CA46" s="3"/>
    </row>
    <row r="47" spans="1:79" x14ac:dyDescent="0.25">
      <c r="A47" s="3" t="s">
        <v>577</v>
      </c>
      <c r="B47" s="3" t="s">
        <v>578</v>
      </c>
      <c r="C47" s="3" t="s">
        <v>408</v>
      </c>
      <c r="D47" s="3">
        <v>430</v>
      </c>
      <c r="E47" s="4">
        <v>46136</v>
      </c>
      <c r="F47" s="3">
        <v>4</v>
      </c>
      <c r="G47" s="22">
        <v>46125</v>
      </c>
      <c r="H47" s="4">
        <v>46136</v>
      </c>
      <c r="I47" s="3">
        <v>9</v>
      </c>
      <c r="J47" s="3" t="s">
        <v>544</v>
      </c>
      <c r="K47" s="22">
        <v>46137</v>
      </c>
      <c r="L47" s="3">
        <v>10</v>
      </c>
      <c r="M47" s="3">
        <f>IFERROR(IF(G47=K47,0,NETWORKDAYS(G47,K47,{"01/01/2026";"02/02/2026";"16/03/2026";"02/04/2026";"03/04/2026";"01/05/2026"})),"Faltan Fechas")</f>
        <v>10</v>
      </c>
      <c r="N47" s="23" t="str">
        <f>IFERROR(IF(OR(G47="",K47=""),"SIN DATO",IF(NETWORKDAYS(G47,K47,{"01/01/2026";"02/02/2026";"16/03/2026";"02/04/2026";"03/04/2026";"01/05/2026"})&lt;=1,"1 día o menos",IF(NETWORKDAYS(G47,K47,{"01/01/2026";"02/02/2026";"16/03/2026";"02/04/2026";"03/04/2026";"01/05/2026"})&lt;=3,"2 a 3 días",IF(NETWORKDAYS(G47,K47,{"01/01/2026";"02/02/2026";"16/03/2026";"02/04/2026";"03/04/2026";"01/05/2026"})&lt;=5,"4 a 5 días",IF(NETWORKDAYS(G47,K47,{"01/01/2026";"02/02/2026";"16/03/2026";"02/04/2026";"03/04/2026";"01/05/2026"})&lt;=10,"6 a 10 días",IF(NETWORKDAYS(G47,K47,{"01/01/2026";"02/02/2026";"16/03/2026";"02/04/2026";"03/04/2026";"01/05/2026"})&lt;=16,"11 a 15 días","más de 16 días")))))),"Aun no se entrega")</f>
        <v>6 a 10 días</v>
      </c>
      <c r="O47" s="3" t="str" cm="1">
        <f t="array" ref="O47">IFERROR(
  IF(
    NETWORKDAYS(G47,K47,{"01/01/2026";"02/02/2026";"16/03/2026";"02/04/2026";"03/04/2026";"01/05/2026"}) &lt;=
    _xlfn.IFS(
      OR(TRIM(A47)="AICM", TRIM(A47)="AÉREO AICM"), 5,
      OR(TRIM(A47)="VERACRUZ", TRIM(A47)="MARÍTIMO VERACRUZ"), 6,
      OR(TRIM(A47)="AIFA", TRIM(A47)="AÉREO AIFA"), 7,
      AND(TRIM(A47)="CORRESPONSALIAS", TRIM(B47)="NUEVO LAREDO"), 6,
      TRIM(A47)="MANZANILLO", 10,
      TRIM(A47)="TOLUCA", 6,
      TRUE, 999
    ),
    "On Time",
    "Delayed"
  ),
  "Faltan fechas"
)</f>
        <v>Delayed</v>
      </c>
      <c r="P47" s="24" t="s">
        <v>559</v>
      </c>
      <c r="Q47" s="4">
        <v>46139</v>
      </c>
      <c r="R47" s="5">
        <f>IFERROR(IF(G47=Q47,0,NETWORKDAYS(G47,Q47,{"01/01/2026";"02/02/2026";"16/03/2026";"02/04/2026";"03/04/2026";"01/05/2026"})),"Faltan Fechas")</f>
        <v>11</v>
      </c>
      <c r="S47" s="4" t="str">
        <f>IFERROR(IF(OR(G47="",Q47=""),"SIN DATO",IF(NETWORKDAYS(G47,Q47,{"01/01/2026";"02/02/2026";"16/03/2026";"02/04/2026";"03/04/2026";"01/05/2026"})&lt;=1,"1 día o menos",IF(NETWORKDAYS(G47,Q47,{"01/01/2026";"02/02/2026";"16/03/2026";"02/04/2026";"03/04/2026";"01/05/2026"})&lt;=3,"2 a 3 días",IF(NETWORKDAYS(G47,Q47,{"01/01/2026";"02/02/2026";"16/03/2026";"02/04/2026";"03/04/2026";"01/05/2026"})&lt;=5,"4 a 5 días",IF(NETWORKDAYS(G47,Q47,{"01/01/2026";"02/02/2026";"16/03/2026";"02/04/2026";"03/04/2026";"01/05/2026"})&lt;=10,"6 a 10 días",IF(NETWORKDAYS(G47,Q47,{"01/01/2026";"02/02/2026";"16/03/2026";"02/04/2026";"03/04/2026";"01/05/2026"})&lt;=16,"11 a 15 días","más de 16 días")))))),"Aun no se entrega")</f>
        <v>11 a 15 días</v>
      </c>
      <c r="T47" s="4" t="str" cm="1">
        <f t="array" ref="T47">IFERROR(
  IF(
    NETWORKDAYS(G47,Q47,{"01/01/2026";"02/02/2026";"16/03/2026";"02/04/2026";"03/04/2026";"01/05/2026"}) &lt;=
    _xlfn.IFS(
      OR(TRIM(A47)="AICM", TRIM(A47)="AÉREO AICM"), 5,
      OR(TRIM(A47)="VERACRUZ", TRIM(A47)="MARÍTIMO VERACRUZ"), 6,
      OR(TRIM(A47)="AIFA", TRIM(A47)="AÉREO AIFA"), 7,
      AND(TRIM(A47)="CORRESPONSALIAS", TRIM(B47)="NUEVO LAREDO"), 6,
      TRIM(A47)="MANZANILLO", 10,
      TRIM(A47)="TOLUCA", 6,
      TRUE, 999
    ),
    "On Time",
    "Delayed"
  ),
  "Faltan fechas"
)</f>
        <v>Delayed</v>
      </c>
      <c r="U47" s="3">
        <v>14</v>
      </c>
      <c r="V47" s="3" t="s">
        <v>544</v>
      </c>
      <c r="W47" s="3">
        <v>21</v>
      </c>
      <c r="X47" s="3" t="s">
        <v>547</v>
      </c>
      <c r="Y47" s="3">
        <v>1</v>
      </c>
      <c r="Z47" s="3" t="s">
        <v>546</v>
      </c>
      <c r="AA47" s="3">
        <v>11</v>
      </c>
      <c r="AB47" s="3">
        <v>2</v>
      </c>
      <c r="AC47" s="3" t="s">
        <v>579</v>
      </c>
      <c r="AD47" s="4">
        <v>46154</v>
      </c>
      <c r="AE47" s="3">
        <v>14</v>
      </c>
      <c r="AF47" s="3">
        <v>11</v>
      </c>
      <c r="AG47" s="4">
        <v>46153</v>
      </c>
      <c r="AH47" s="4">
        <v>46154</v>
      </c>
      <c r="AI47" s="3">
        <v>1</v>
      </c>
      <c r="AJ47" s="3" t="s">
        <v>559</v>
      </c>
      <c r="AK47" s="4">
        <v>46154</v>
      </c>
      <c r="AL47" s="5">
        <f>IFERROR(IF(Q47=AK47,0,NETWORKDAYS(Q47,AK47,{"01/01/2026";"02/02/2026";"16/03/2026";"02/04/2026";"03/04/2026";"01/05/2026"})),"aun no se factura")</f>
        <v>11</v>
      </c>
      <c r="AM47" s="4" t="str">
        <f>IFERROR(IF(OR(Q47="",AK47=""),"SIN DATO",IF(NETWORKDAYS(Q47,AK47,{"01/01/2026";"02/02/2026";"16/03/2026";"02/04/2026";"03/04/2026";"01/05/2026"})&lt;=1,"1 día o menos",IF(NETWORKDAYS(Q47,AK47,{"01/01/2026";"02/02/2026";"16/03/2026";"02/04/2026";"03/04/2026";"01/05/2026"})&lt;=3,"2 a 3 días",IF(NETWORKDAYS(Q47,AK47,{"01/01/2026";"02/02/2026";"16/03/2026";"02/04/2026";"03/04/2026";"01/05/2026"})&lt;=5,"4 a 5 días",IF(NETWORKDAYS(Q47,AK47,{"01/01/2026";"02/02/2026";"16/03/2026";"02/04/2026";"03/04/2026";"01/05/2026"})&lt;=10,"6 a 10 días",IF(NETWORKDAYS(Q47,AK47,{"01/01/2026";"02/02/2026";"16/03/2026";"02/04/2026";"03/04/2026";"01/05/2026"})&lt;=16,"11 a 15 días","más de 16 días")))))),"aun no se factura")</f>
        <v>11 a 15 días</v>
      </c>
      <c r="AN47" s="4" t="str" cm="1">
        <f t="array" ref="AN47">IFERROR(
  IF(
    NETWORKDAYS(Q47,AK47,{"01/01/2026";"02/02/2026";"16/03/2026";"02/04/2026";"03/04/2026";"01/05/2026"}) &lt;=
    _xlfn.IFS(
      OR(TRIM(A47)="AICM", TRIM(A47)="AÉREO AICM"), 5,
      OR(TRIM(A47)="VERACRUZ", TRIM(A47)="MARÍTIMO VERACRUZ"), 6,
      OR(TRIM(A47)="AIFA", TRIM(A47)="AÉREO AIFA"), 7,
      AND(TRIM(A47)="CORRESPONSALIAS", TRIM(B47)="NUEVO LAREDO"), 6,
      TRIM(A47)="MANZANILLO", 10,
      TRIM(A47)="TOLUCA", 6,
      TRUE, 999
    ),
    "On Time",
    "Delayed"
  ),
  "Faltan fechas"
)</f>
        <v>Delayed</v>
      </c>
      <c r="AO47" s="5">
        <v>1</v>
      </c>
      <c r="AP47" s="3" t="s">
        <v>548</v>
      </c>
      <c r="AQ47" s="3" t="s">
        <v>93</v>
      </c>
      <c r="AR47" s="3" t="s">
        <v>112</v>
      </c>
      <c r="AS47" s="3" t="s">
        <v>414</v>
      </c>
      <c r="AT47" s="3" t="s">
        <v>223</v>
      </c>
      <c r="AU47" s="5">
        <v>6000577</v>
      </c>
      <c r="AV47" s="3" t="s">
        <v>92</v>
      </c>
      <c r="AW47" s="3" t="s">
        <v>410</v>
      </c>
      <c r="AX47" s="3" t="s">
        <v>549</v>
      </c>
      <c r="AY47" s="3"/>
      <c r="AZ47" s="3" t="s">
        <v>550</v>
      </c>
      <c r="BA47" s="3" t="s">
        <v>90</v>
      </c>
      <c r="BB47" s="3"/>
      <c r="BC47" s="3" t="s">
        <v>397</v>
      </c>
      <c r="BD47" s="3" t="s">
        <v>686</v>
      </c>
      <c r="BE47" s="3" t="s">
        <v>686</v>
      </c>
      <c r="BF47" s="3" t="s">
        <v>576</v>
      </c>
      <c r="BG47" s="3" t="s">
        <v>620</v>
      </c>
      <c r="BH47" s="3" t="s">
        <v>607</v>
      </c>
      <c r="BI47" s="3" t="s">
        <v>687</v>
      </c>
      <c r="BJ47" s="3"/>
      <c r="BK47" s="3" t="s">
        <v>554</v>
      </c>
      <c r="BL47" s="3">
        <v>0</v>
      </c>
      <c r="BM47" s="3">
        <v>99</v>
      </c>
      <c r="BN47" s="3" t="s">
        <v>223</v>
      </c>
      <c r="BO47" s="3">
        <v>90</v>
      </c>
      <c r="BP47" s="3">
        <v>27800</v>
      </c>
      <c r="BQ47" s="3" t="s">
        <v>103</v>
      </c>
      <c r="BR47" s="3"/>
      <c r="BS47" s="3" t="s">
        <v>688</v>
      </c>
      <c r="BT47" s="3" t="s">
        <v>689</v>
      </c>
      <c r="BU47" s="3" t="s">
        <v>415</v>
      </c>
      <c r="BV47" s="3" t="s">
        <v>416</v>
      </c>
      <c r="BW47" s="3"/>
      <c r="BX47" s="3"/>
      <c r="BY47" s="3"/>
      <c r="BZ47" s="3"/>
      <c r="CA47" s="3"/>
    </row>
    <row r="48" spans="1:79" x14ac:dyDescent="0.25">
      <c r="A48" s="3" t="s">
        <v>577</v>
      </c>
      <c r="B48" s="3" t="s">
        <v>578</v>
      </c>
      <c r="C48" s="3" t="s">
        <v>418</v>
      </c>
      <c r="D48" s="3">
        <v>430</v>
      </c>
      <c r="E48" s="4">
        <v>46136</v>
      </c>
      <c r="F48" s="3">
        <v>4</v>
      </c>
      <c r="G48" s="22">
        <v>46128</v>
      </c>
      <c r="H48" s="4">
        <v>46136</v>
      </c>
      <c r="I48" s="3">
        <v>6</v>
      </c>
      <c r="J48" s="3" t="s">
        <v>544</v>
      </c>
      <c r="K48" s="22">
        <v>46137</v>
      </c>
      <c r="L48" s="3">
        <v>7</v>
      </c>
      <c r="M48" s="3">
        <f>IFERROR(IF(G48=K48,0,NETWORKDAYS(G48,K48,{"01/01/2026";"02/02/2026";"16/03/2026";"02/04/2026";"03/04/2026";"01/05/2026"})),"Faltan Fechas")</f>
        <v>7</v>
      </c>
      <c r="N48" s="23" t="str">
        <f>IFERROR(IF(OR(G48="",K48=""),"SIN DATO",IF(NETWORKDAYS(G48,K48,{"01/01/2026";"02/02/2026";"16/03/2026";"02/04/2026";"03/04/2026";"01/05/2026"})&lt;=1,"1 día o menos",IF(NETWORKDAYS(G48,K48,{"01/01/2026";"02/02/2026";"16/03/2026";"02/04/2026";"03/04/2026";"01/05/2026"})&lt;=3,"2 a 3 días",IF(NETWORKDAYS(G48,K48,{"01/01/2026";"02/02/2026";"16/03/2026";"02/04/2026";"03/04/2026";"01/05/2026"})&lt;=5,"4 a 5 días",IF(NETWORKDAYS(G48,K48,{"01/01/2026";"02/02/2026";"16/03/2026";"02/04/2026";"03/04/2026";"01/05/2026"})&lt;=10,"6 a 10 días",IF(NETWORKDAYS(G48,K48,{"01/01/2026";"02/02/2026";"16/03/2026";"02/04/2026";"03/04/2026";"01/05/2026"})&lt;=16,"11 a 15 días","más de 16 días")))))),"Aun no se entrega")</f>
        <v>6 a 10 días</v>
      </c>
      <c r="O48" s="3" t="str" cm="1">
        <f t="array" ref="O48">IFERROR(
  IF(
    NETWORKDAYS(G48,K48,{"01/01/2026";"02/02/2026";"16/03/2026";"02/04/2026";"03/04/2026";"01/05/2026"}) &lt;=
    _xlfn.IFS(
      OR(TRIM(A48)="AICM", TRIM(A48)="AÉREO AICM"), 5,
      OR(TRIM(A48)="VERACRUZ", TRIM(A48)="MARÍTIMO VERACRUZ"), 6,
      OR(TRIM(A48)="AIFA", TRIM(A48)="AÉREO AIFA"), 7,
      AND(TRIM(A48)="CORRESPONSALIAS", TRIM(B48)="NUEVO LAREDO"), 6,
      TRIM(A48)="MANZANILLO", 10,
      TRIM(A48)="TOLUCA", 6,
      TRUE, 999
    ),
    "On Time",
    "Delayed"
  ),
  "Faltan fechas"
)</f>
        <v>Delayed</v>
      </c>
      <c r="P48" s="24" t="s">
        <v>544</v>
      </c>
      <c r="Q48" s="4">
        <v>46139</v>
      </c>
      <c r="R48" s="5">
        <f>IFERROR(IF(G48=Q48,0,NETWORKDAYS(G48,Q48,{"01/01/2026";"02/02/2026";"16/03/2026";"02/04/2026";"03/04/2026";"01/05/2026"})),"Faltan Fechas")</f>
        <v>8</v>
      </c>
      <c r="S48" s="4" t="str">
        <f>IFERROR(IF(OR(G48="",Q48=""),"SIN DATO",IF(NETWORKDAYS(G48,Q48,{"01/01/2026";"02/02/2026";"16/03/2026";"02/04/2026";"03/04/2026";"01/05/2026"})&lt;=1,"1 día o menos",IF(NETWORKDAYS(G48,Q48,{"01/01/2026";"02/02/2026";"16/03/2026";"02/04/2026";"03/04/2026";"01/05/2026"})&lt;=3,"2 a 3 días",IF(NETWORKDAYS(G48,Q48,{"01/01/2026";"02/02/2026";"16/03/2026";"02/04/2026";"03/04/2026";"01/05/2026"})&lt;=5,"4 a 5 días",IF(NETWORKDAYS(G48,Q48,{"01/01/2026";"02/02/2026";"16/03/2026";"02/04/2026";"03/04/2026";"01/05/2026"})&lt;=10,"6 a 10 días",IF(NETWORKDAYS(G48,Q48,{"01/01/2026";"02/02/2026";"16/03/2026";"02/04/2026";"03/04/2026";"01/05/2026"})&lt;=16,"11 a 15 días","más de 16 días")))))),"Aun no se entrega")</f>
        <v>6 a 10 días</v>
      </c>
      <c r="T48" s="4" t="str" cm="1">
        <f t="array" ref="T48">IFERROR(
  IF(
    NETWORKDAYS(G48,Q48,{"01/01/2026";"02/02/2026";"16/03/2026";"02/04/2026";"03/04/2026";"01/05/2026"}) &lt;=
    _xlfn.IFS(
      OR(TRIM(A48)="AICM", TRIM(A48)="AÉREO AICM"), 5,
      OR(TRIM(A48)="VERACRUZ", TRIM(A48)="MARÍTIMO VERACRUZ"), 6,
      OR(TRIM(A48)="AIFA", TRIM(A48)="AÉREO AIFA"), 7,
      AND(TRIM(A48)="CORRESPONSALIAS", TRIM(B48)="NUEVO LAREDO"), 6,
      TRIM(A48)="MANZANILLO", 10,
      TRIM(A48)="TOLUCA", 6,
      TRUE, 999
    ),
    "On Time",
    "Delayed"
  ),
  "Faltan fechas"
)</f>
        <v>Delayed</v>
      </c>
      <c r="U48" s="3">
        <v>11</v>
      </c>
      <c r="V48" s="3" t="s">
        <v>544</v>
      </c>
      <c r="W48" s="3">
        <v>17</v>
      </c>
      <c r="X48" s="3" t="s">
        <v>547</v>
      </c>
      <c r="Y48" s="3">
        <v>1</v>
      </c>
      <c r="Z48" s="3" t="s">
        <v>546</v>
      </c>
      <c r="AA48" s="3">
        <v>8</v>
      </c>
      <c r="AB48" s="3">
        <v>2</v>
      </c>
      <c r="AC48" s="3" t="s">
        <v>579</v>
      </c>
      <c r="AD48" s="4">
        <v>46153</v>
      </c>
      <c r="AE48" s="3">
        <v>14</v>
      </c>
      <c r="AF48" s="3">
        <v>10</v>
      </c>
      <c r="AG48" s="4">
        <v>46153</v>
      </c>
      <c r="AH48" s="4">
        <v>46153</v>
      </c>
      <c r="AI48" s="3">
        <v>0</v>
      </c>
      <c r="AJ48" s="3" t="s">
        <v>559</v>
      </c>
      <c r="AK48" s="4">
        <v>46153</v>
      </c>
      <c r="AL48" s="5">
        <f>IFERROR(IF(Q48=AK48,0,NETWORKDAYS(Q48,AK48,{"01/01/2026";"02/02/2026";"16/03/2026";"02/04/2026";"03/04/2026";"01/05/2026"})),"aun no se factura")</f>
        <v>10</v>
      </c>
      <c r="AM48" s="4" t="str">
        <f>IFERROR(IF(OR(Q48="",AK48=""),"SIN DATO",IF(NETWORKDAYS(Q48,AK48,{"01/01/2026";"02/02/2026";"16/03/2026";"02/04/2026";"03/04/2026";"01/05/2026"})&lt;=1,"1 día o menos",IF(NETWORKDAYS(Q48,AK48,{"01/01/2026";"02/02/2026";"16/03/2026";"02/04/2026";"03/04/2026";"01/05/2026"})&lt;=3,"2 a 3 días",IF(NETWORKDAYS(Q48,AK48,{"01/01/2026";"02/02/2026";"16/03/2026";"02/04/2026";"03/04/2026";"01/05/2026"})&lt;=5,"4 a 5 días",IF(NETWORKDAYS(Q48,AK48,{"01/01/2026";"02/02/2026";"16/03/2026";"02/04/2026";"03/04/2026";"01/05/2026"})&lt;=10,"6 a 10 días",IF(NETWORKDAYS(Q48,AK48,{"01/01/2026";"02/02/2026";"16/03/2026";"02/04/2026";"03/04/2026";"01/05/2026"})&lt;=16,"11 a 15 días","más de 16 días")))))),"aun no se factura")</f>
        <v>6 a 10 días</v>
      </c>
      <c r="AN48" s="4" t="str" cm="1">
        <f t="array" ref="AN48">IFERROR(
  IF(
    NETWORKDAYS(Q48,AK48,{"01/01/2026";"02/02/2026";"16/03/2026";"02/04/2026";"03/04/2026";"01/05/2026"}) &lt;=
    _xlfn.IFS(
      OR(TRIM(A48)="AICM", TRIM(A48)="AÉREO AICM"), 5,
      OR(TRIM(A48)="VERACRUZ", TRIM(A48)="MARÍTIMO VERACRUZ"), 6,
      OR(TRIM(A48)="AIFA", TRIM(A48)="AÉREO AIFA"), 7,
      AND(TRIM(A48)="CORRESPONSALIAS", TRIM(B48)="NUEVO LAREDO"), 6,
      TRIM(A48)="MANZANILLO", 10,
      TRIM(A48)="TOLUCA", 6,
      TRUE, 999
    ),
    "On Time",
    "Delayed"
  ),
  "Faltan fechas"
)</f>
        <v>Delayed</v>
      </c>
      <c r="AO48" s="5">
        <v>1</v>
      </c>
      <c r="AP48" s="3" t="s">
        <v>548</v>
      </c>
      <c r="AQ48" s="3" t="s">
        <v>93</v>
      </c>
      <c r="AR48" s="3" t="s">
        <v>112</v>
      </c>
      <c r="AS48" s="3">
        <v>266794386</v>
      </c>
      <c r="AT48" s="3" t="s">
        <v>223</v>
      </c>
      <c r="AU48" s="5">
        <v>6000578</v>
      </c>
      <c r="AV48" s="3" t="s">
        <v>92</v>
      </c>
      <c r="AW48" s="3" t="s">
        <v>690</v>
      </c>
      <c r="AX48" s="3" t="s">
        <v>549</v>
      </c>
      <c r="AY48" s="3"/>
      <c r="AZ48" s="3" t="s">
        <v>550</v>
      </c>
      <c r="BA48" s="3" t="s">
        <v>90</v>
      </c>
      <c r="BB48" s="3"/>
      <c r="BC48" s="3"/>
      <c r="BD48" s="3"/>
      <c r="BE48" s="3"/>
      <c r="BF48" s="3" t="s">
        <v>576</v>
      </c>
      <c r="BG48" s="3" t="s">
        <v>552</v>
      </c>
      <c r="BH48" s="3" t="s">
        <v>607</v>
      </c>
      <c r="BI48" s="3" t="s">
        <v>691</v>
      </c>
      <c r="BJ48" s="3"/>
      <c r="BK48" s="3" t="s">
        <v>554</v>
      </c>
      <c r="BL48" s="3">
        <v>0</v>
      </c>
      <c r="BM48" s="3">
        <v>99</v>
      </c>
      <c r="BN48" s="3" t="s">
        <v>692</v>
      </c>
      <c r="BO48" s="3">
        <v>90</v>
      </c>
      <c r="BP48" s="3">
        <v>928967</v>
      </c>
      <c r="BQ48" s="3" t="s">
        <v>563</v>
      </c>
      <c r="BR48" s="3"/>
      <c r="BS48" s="3" t="s">
        <v>619</v>
      </c>
      <c r="BT48" s="3" t="s">
        <v>558</v>
      </c>
      <c r="BU48" s="3" t="s">
        <v>189</v>
      </c>
      <c r="BV48" s="3" t="s">
        <v>105</v>
      </c>
      <c r="BW48" s="3"/>
      <c r="BX48" s="3"/>
      <c r="BY48" s="3"/>
      <c r="BZ48" s="3"/>
      <c r="CA48" s="3"/>
    </row>
    <row r="49" spans="1:79" x14ac:dyDescent="0.25">
      <c r="A49" s="3" t="s">
        <v>577</v>
      </c>
      <c r="B49" s="3" t="s">
        <v>578</v>
      </c>
      <c r="C49" s="3" t="s">
        <v>422</v>
      </c>
      <c r="D49" s="3">
        <v>430</v>
      </c>
      <c r="E49" s="4">
        <v>46136</v>
      </c>
      <c r="F49" s="3">
        <v>4</v>
      </c>
      <c r="G49" s="22">
        <v>46127</v>
      </c>
      <c r="H49" s="4">
        <v>46136</v>
      </c>
      <c r="I49" s="3">
        <v>7</v>
      </c>
      <c r="J49" s="3" t="s">
        <v>544</v>
      </c>
      <c r="K49" s="22">
        <v>46139</v>
      </c>
      <c r="L49" s="3">
        <v>8</v>
      </c>
      <c r="M49" s="3">
        <f>IFERROR(IF(G49=K49,0,NETWORKDAYS(G49,K49,{"01/01/2026";"02/02/2026";"16/03/2026";"02/04/2026";"03/04/2026";"01/05/2026"})),"Faltan Fechas")</f>
        <v>9</v>
      </c>
      <c r="N49" s="23" t="str">
        <f>IFERROR(IF(OR(G49="",K49=""),"SIN DATO",IF(NETWORKDAYS(G49,K49,{"01/01/2026";"02/02/2026";"16/03/2026";"02/04/2026";"03/04/2026";"01/05/2026"})&lt;=1,"1 día o menos",IF(NETWORKDAYS(G49,K49,{"01/01/2026";"02/02/2026";"16/03/2026";"02/04/2026";"03/04/2026";"01/05/2026"})&lt;=3,"2 a 3 días",IF(NETWORKDAYS(G49,K49,{"01/01/2026";"02/02/2026";"16/03/2026";"02/04/2026";"03/04/2026";"01/05/2026"})&lt;=5,"4 a 5 días",IF(NETWORKDAYS(G49,K49,{"01/01/2026";"02/02/2026";"16/03/2026";"02/04/2026";"03/04/2026";"01/05/2026"})&lt;=10,"6 a 10 días",IF(NETWORKDAYS(G49,K49,{"01/01/2026";"02/02/2026";"16/03/2026";"02/04/2026";"03/04/2026";"01/05/2026"})&lt;=16,"11 a 15 días","más de 16 días")))))),"Aun no se entrega")</f>
        <v>6 a 10 días</v>
      </c>
      <c r="O49" s="3" t="str" cm="1">
        <f t="array" ref="O49">IFERROR(
  IF(
    NETWORKDAYS(G49,K49,{"01/01/2026";"02/02/2026";"16/03/2026";"02/04/2026";"03/04/2026";"01/05/2026"}) &lt;=
    _xlfn.IFS(
      OR(TRIM(A49)="AICM", TRIM(A49)="AÉREO AICM"), 5,
      OR(TRIM(A49)="VERACRUZ", TRIM(A49)="MARÍTIMO VERACRUZ"), 6,
      OR(TRIM(A49)="AIFA", TRIM(A49)="AÉREO AIFA"), 7,
      AND(TRIM(A49)="CORRESPONSALIAS", TRIM(B49)="NUEVO LAREDO"), 6,
      TRIM(A49)="MANZANILLO", 10,
      TRIM(A49)="TOLUCA", 6,
      TRUE, 999
    ),
    "On Time",
    "Delayed"
  ),
  "Faltan fechas"
)</f>
        <v>Delayed</v>
      </c>
      <c r="P49" s="24" t="s">
        <v>559</v>
      </c>
      <c r="Q49" s="4">
        <v>46139</v>
      </c>
      <c r="R49" s="5">
        <f>IFERROR(IF(G49=Q49,0,NETWORKDAYS(G49,Q49,{"01/01/2026";"02/02/2026";"16/03/2026";"02/04/2026";"03/04/2026";"01/05/2026"})),"Faltan Fechas")</f>
        <v>9</v>
      </c>
      <c r="S49" s="4" t="str">
        <f>IFERROR(IF(OR(G49="",Q49=""),"SIN DATO",IF(NETWORKDAYS(G49,Q49,{"01/01/2026";"02/02/2026";"16/03/2026";"02/04/2026";"03/04/2026";"01/05/2026"})&lt;=1,"1 día o menos",IF(NETWORKDAYS(G49,Q49,{"01/01/2026";"02/02/2026";"16/03/2026";"02/04/2026";"03/04/2026";"01/05/2026"})&lt;=3,"2 a 3 días",IF(NETWORKDAYS(G49,Q49,{"01/01/2026";"02/02/2026";"16/03/2026";"02/04/2026";"03/04/2026";"01/05/2026"})&lt;=5,"4 a 5 días",IF(NETWORKDAYS(G49,Q49,{"01/01/2026";"02/02/2026";"16/03/2026";"02/04/2026";"03/04/2026";"01/05/2026"})&lt;=10,"6 a 10 días",IF(NETWORKDAYS(G49,Q49,{"01/01/2026";"02/02/2026";"16/03/2026";"02/04/2026";"03/04/2026";"01/05/2026"})&lt;=16,"11 a 15 días","más de 16 días")))))),"Aun no se entrega")</f>
        <v>6 a 10 días</v>
      </c>
      <c r="T49" s="4" t="str" cm="1">
        <f t="array" ref="T49">IFERROR(
  IF(
    NETWORKDAYS(G49,Q49,{"01/01/2026";"02/02/2026";"16/03/2026";"02/04/2026";"03/04/2026";"01/05/2026"}) &lt;=
    _xlfn.IFS(
      OR(TRIM(A49)="AICM", TRIM(A49)="AÉREO AICM"), 5,
      OR(TRIM(A49)="VERACRUZ", TRIM(A49)="MARÍTIMO VERACRUZ"), 6,
      OR(TRIM(A49)="AIFA", TRIM(A49)="AÉREO AIFA"), 7,
      AND(TRIM(A49)="CORRESPONSALIAS", TRIM(B49)="NUEVO LAREDO"), 6,
      TRIM(A49)="MANZANILLO", 10,
      TRIM(A49)="TOLUCA", 6,
      TRUE, 999
    ),
    "On Time",
    "Delayed"
  ),
  "Faltan fechas"
)</f>
        <v>Delayed</v>
      </c>
      <c r="U49" s="3">
        <v>88</v>
      </c>
      <c r="V49" s="3" t="s">
        <v>588</v>
      </c>
      <c r="W49" s="3">
        <v>16</v>
      </c>
      <c r="X49" s="3" t="s">
        <v>547</v>
      </c>
      <c r="Y49" s="3">
        <v>1</v>
      </c>
      <c r="Z49" s="3" t="s">
        <v>546</v>
      </c>
      <c r="AA49" s="3">
        <v>9</v>
      </c>
      <c r="AB49" s="3">
        <v>76</v>
      </c>
      <c r="AC49" s="3" t="s">
        <v>547</v>
      </c>
      <c r="AD49" s="4">
        <v>46149</v>
      </c>
      <c r="AE49" s="3">
        <v>-67</v>
      </c>
      <c r="AF49" s="3">
        <v>-46</v>
      </c>
      <c r="AG49" s="4">
        <v>46148</v>
      </c>
      <c r="AH49" s="4">
        <v>46149</v>
      </c>
      <c r="AI49" s="3">
        <v>1</v>
      </c>
      <c r="AJ49" s="3" t="s">
        <v>545</v>
      </c>
      <c r="AK49" s="4">
        <v>46149</v>
      </c>
      <c r="AL49" s="5">
        <f>IFERROR(IF(Q49=AK49,0,NETWORKDAYS(Q49,AK49,{"01/01/2026";"02/02/2026";"16/03/2026";"02/04/2026";"03/04/2026";"01/05/2026"})),"aun no se factura")</f>
        <v>8</v>
      </c>
      <c r="AM49" s="4" t="str">
        <f>IFERROR(IF(OR(Q49="",AK49=""),"SIN DATO",IF(NETWORKDAYS(Q49,AK49,{"01/01/2026";"02/02/2026";"16/03/2026";"02/04/2026";"03/04/2026";"01/05/2026"})&lt;=1,"1 día o menos",IF(NETWORKDAYS(Q49,AK49,{"01/01/2026";"02/02/2026";"16/03/2026";"02/04/2026";"03/04/2026";"01/05/2026"})&lt;=3,"2 a 3 días",IF(NETWORKDAYS(Q49,AK49,{"01/01/2026";"02/02/2026";"16/03/2026";"02/04/2026";"03/04/2026";"01/05/2026"})&lt;=5,"4 a 5 días",IF(NETWORKDAYS(Q49,AK49,{"01/01/2026";"02/02/2026";"16/03/2026";"02/04/2026";"03/04/2026";"01/05/2026"})&lt;=10,"6 a 10 días",IF(NETWORKDAYS(Q49,AK49,{"01/01/2026";"02/02/2026";"16/03/2026";"02/04/2026";"03/04/2026";"01/05/2026"})&lt;=16,"11 a 15 días","más de 16 días")))))),"aun no se factura")</f>
        <v>6 a 10 días</v>
      </c>
      <c r="AN49" s="4" t="str" cm="1">
        <f t="array" ref="AN49">IFERROR(
  IF(
    NETWORKDAYS(Q49,AK49,{"01/01/2026";"02/02/2026";"16/03/2026";"02/04/2026";"03/04/2026";"01/05/2026"}) &lt;=
    _xlfn.IFS(
      OR(TRIM(A49)="AICM", TRIM(A49)="AÉREO AICM"), 5,
      OR(TRIM(A49)="VERACRUZ", TRIM(A49)="MARÍTIMO VERACRUZ"), 6,
      OR(TRIM(A49)="AIFA", TRIM(A49)="AÉREO AIFA"), 7,
      AND(TRIM(A49)="CORRESPONSALIAS", TRIM(B49)="NUEVO LAREDO"), 6,
      TRIM(A49)="MANZANILLO", 10,
      TRIM(A49)="TOLUCA", 6,
      TRUE, 999
    ),
    "On Time",
    "Delayed"
  ),
  "Faltan fechas"
)</f>
        <v>Delayed</v>
      </c>
      <c r="AO49" s="5">
        <v>1</v>
      </c>
      <c r="AP49" s="3" t="s">
        <v>548</v>
      </c>
      <c r="AQ49" s="3" t="s">
        <v>93</v>
      </c>
      <c r="AR49" s="3" t="s">
        <v>112</v>
      </c>
      <c r="AS49" s="3" t="s">
        <v>424</v>
      </c>
      <c r="AT49" s="3" t="s">
        <v>223</v>
      </c>
      <c r="AU49" s="5">
        <v>6000580</v>
      </c>
      <c r="AV49" s="3" t="s">
        <v>92</v>
      </c>
      <c r="AW49" s="3" t="s">
        <v>96</v>
      </c>
      <c r="AX49" s="3" t="s">
        <v>549</v>
      </c>
      <c r="AY49" s="3"/>
      <c r="AZ49" s="3" t="s">
        <v>550</v>
      </c>
      <c r="BA49" s="3" t="s">
        <v>90</v>
      </c>
      <c r="BB49" s="3"/>
      <c r="BC49" s="3" t="s">
        <v>107</v>
      </c>
      <c r="BD49" s="3"/>
      <c r="BE49" s="3" t="s">
        <v>107</v>
      </c>
      <c r="BF49" s="3" t="s">
        <v>576</v>
      </c>
      <c r="BG49" s="3" t="s">
        <v>552</v>
      </c>
      <c r="BH49" s="3" t="s">
        <v>607</v>
      </c>
      <c r="BI49" s="3" t="s">
        <v>693</v>
      </c>
      <c r="BJ49" s="3"/>
      <c r="BK49" s="3" t="s">
        <v>554</v>
      </c>
      <c r="BL49" s="3">
        <v>0</v>
      </c>
      <c r="BM49" s="3">
        <v>99</v>
      </c>
      <c r="BN49" s="3" t="s">
        <v>694</v>
      </c>
      <c r="BO49" s="3">
        <v>90</v>
      </c>
      <c r="BP49" s="3">
        <v>12690063</v>
      </c>
      <c r="BQ49" s="3" t="s">
        <v>563</v>
      </c>
      <c r="BR49" s="3"/>
      <c r="BS49" s="3" t="s">
        <v>591</v>
      </c>
      <c r="BT49" s="3" t="s">
        <v>558</v>
      </c>
      <c r="BU49" s="3" t="s">
        <v>104</v>
      </c>
      <c r="BV49" s="3" t="s">
        <v>105</v>
      </c>
      <c r="BW49" s="3"/>
      <c r="BX49" s="3"/>
      <c r="BY49" s="3"/>
      <c r="BZ49" s="3"/>
      <c r="CA49" s="3"/>
    </row>
    <row r="50" spans="1:79" x14ac:dyDescent="0.25">
      <c r="A50" s="3" t="s">
        <v>577</v>
      </c>
      <c r="B50" s="3" t="s">
        <v>578</v>
      </c>
      <c r="C50" s="3" t="s">
        <v>426</v>
      </c>
      <c r="D50" s="3">
        <v>430</v>
      </c>
      <c r="E50" s="4">
        <v>46132</v>
      </c>
      <c r="F50" s="3">
        <v>4</v>
      </c>
      <c r="G50" s="22">
        <v>46127</v>
      </c>
      <c r="H50" s="4">
        <v>46132</v>
      </c>
      <c r="I50" s="3">
        <v>3</v>
      </c>
      <c r="J50" s="3" t="s">
        <v>579</v>
      </c>
      <c r="K50" s="22">
        <v>46133</v>
      </c>
      <c r="L50" s="3">
        <v>4</v>
      </c>
      <c r="M50" s="3">
        <f>IFERROR(IF(G50=K50,0,NETWORKDAYS(G50,K50,{"01/01/2026";"02/02/2026";"16/03/2026";"02/04/2026";"03/04/2026";"01/05/2026"})),"Faltan Fechas")</f>
        <v>5</v>
      </c>
      <c r="N50" s="23" t="str">
        <f>IFERROR(IF(OR(G50="",K50=""),"SIN DATO",IF(NETWORKDAYS(G50,K50,{"01/01/2026";"02/02/2026";"16/03/2026";"02/04/2026";"03/04/2026";"01/05/2026"})&lt;=1,"1 día o menos",IF(NETWORKDAYS(G50,K50,{"01/01/2026";"02/02/2026";"16/03/2026";"02/04/2026";"03/04/2026";"01/05/2026"})&lt;=3,"2 a 3 días",IF(NETWORKDAYS(G50,K50,{"01/01/2026";"02/02/2026";"16/03/2026";"02/04/2026";"03/04/2026";"01/05/2026"})&lt;=5,"4 a 5 días",IF(NETWORKDAYS(G50,K50,{"01/01/2026";"02/02/2026";"16/03/2026";"02/04/2026";"03/04/2026";"01/05/2026"})&lt;=10,"6 a 10 días",IF(NETWORKDAYS(G50,K50,{"01/01/2026";"02/02/2026";"16/03/2026";"02/04/2026";"03/04/2026";"01/05/2026"})&lt;=16,"11 a 15 días","más de 16 días")))))),"Aun no se entrega")</f>
        <v>4 a 5 días</v>
      </c>
      <c r="O50" s="3" t="str" cm="1">
        <f t="array" ref="O50">IFERROR(
  IF(
    NETWORKDAYS(G50,K50,{"01/01/2026";"02/02/2026";"16/03/2026";"02/04/2026";"03/04/2026";"01/05/2026"}) &lt;=
    _xlfn.IFS(
      OR(TRIM(A50)="AICM", TRIM(A50)="AÉREO AICM"), 5,
      OR(TRIM(A50)="VERACRUZ", TRIM(A50)="MARÍTIMO VERACRUZ"), 6,
      OR(TRIM(A50)="AIFA", TRIM(A50)="AÉREO AIFA"), 7,
      AND(TRIM(A50)="CORRESPONSALIAS", TRIM(B50)="NUEVO LAREDO"), 6,
      TRIM(A50)="MANZANILLO", 10,
      TRIM(A50)="TOLUCA", 6,
      TRUE, 999
    ),
    "On Time",
    "Delayed"
  ),
  "Faltan fechas"
)</f>
        <v>On Time</v>
      </c>
      <c r="P50" s="24" t="s">
        <v>544</v>
      </c>
      <c r="Q50" s="4">
        <v>46134</v>
      </c>
      <c r="R50" s="5">
        <f>IFERROR(IF(G50=Q50,0,NETWORKDAYS(G50,Q50,{"01/01/2026";"02/02/2026";"16/03/2026";"02/04/2026";"03/04/2026";"01/05/2026"})),"Faltan Fechas")</f>
        <v>6</v>
      </c>
      <c r="S50" s="4" t="str">
        <f>IFERROR(IF(OR(G50="",Q50=""),"SIN DATO",IF(NETWORKDAYS(G50,Q50,{"01/01/2026";"02/02/2026";"16/03/2026";"02/04/2026";"03/04/2026";"01/05/2026"})&lt;=1,"1 día o menos",IF(NETWORKDAYS(G50,Q50,{"01/01/2026";"02/02/2026";"16/03/2026";"02/04/2026";"03/04/2026";"01/05/2026"})&lt;=3,"2 a 3 días",IF(NETWORKDAYS(G50,Q50,{"01/01/2026";"02/02/2026";"16/03/2026";"02/04/2026";"03/04/2026";"01/05/2026"})&lt;=5,"4 a 5 días",IF(NETWORKDAYS(G50,Q50,{"01/01/2026";"02/02/2026";"16/03/2026";"02/04/2026";"03/04/2026";"01/05/2026"})&lt;=10,"6 a 10 días",IF(NETWORKDAYS(G50,Q50,{"01/01/2026";"02/02/2026";"16/03/2026";"02/04/2026";"03/04/2026";"01/05/2026"})&lt;=16,"11 a 15 días","más de 16 días")))))),"Aun no se entrega")</f>
        <v>6 a 10 días</v>
      </c>
      <c r="T50" s="4" t="str" cm="1">
        <f t="array" ref="T50">IFERROR(
  IF(
    NETWORKDAYS(G50,Q50,{"01/01/2026";"02/02/2026";"16/03/2026";"02/04/2026";"03/04/2026";"01/05/2026"}) &lt;=
    _xlfn.IFS(
      OR(TRIM(A50)="AICM", TRIM(A50)="AÉREO AICM"), 5,
      OR(TRIM(A50)="VERACRUZ", TRIM(A50)="MARÍTIMO VERACRUZ"), 6,
      OR(TRIM(A50)="AIFA", TRIM(A50)="AÉREO AIFA"), 7,
      AND(TRIM(A50)="CORRESPONSALIAS", TRIM(B50)="NUEVO LAREDO"), 6,
      TRIM(A50)="MANZANILLO", 10,
      TRIM(A50)="TOLUCA", 6,
      TRUE, 999
    ),
    "On Time",
    "Delayed"
  ),
  "Faltan fechas"
)</f>
        <v>On Time</v>
      </c>
      <c r="U50" s="3">
        <v>7</v>
      </c>
      <c r="V50" s="3" t="s">
        <v>543</v>
      </c>
      <c r="W50" s="3">
        <v>18</v>
      </c>
      <c r="X50" s="3" t="s">
        <v>547</v>
      </c>
      <c r="Y50" s="3">
        <v>1</v>
      </c>
      <c r="Z50" s="3" t="s">
        <v>546</v>
      </c>
      <c r="AA50" s="3">
        <v>5</v>
      </c>
      <c r="AB50" s="3">
        <v>1</v>
      </c>
      <c r="AC50" s="3" t="s">
        <v>546</v>
      </c>
      <c r="AD50" s="4">
        <v>46153</v>
      </c>
      <c r="AE50" s="3">
        <v>19</v>
      </c>
      <c r="AF50" s="3">
        <v>13</v>
      </c>
      <c r="AG50" s="4">
        <v>46153</v>
      </c>
      <c r="AH50" s="4">
        <v>46153</v>
      </c>
      <c r="AI50" s="3">
        <v>0</v>
      </c>
      <c r="AJ50" s="3" t="s">
        <v>547</v>
      </c>
      <c r="AK50" s="4">
        <v>46153</v>
      </c>
      <c r="AL50" s="5">
        <f>IFERROR(IF(Q50=AK50,0,NETWORKDAYS(Q50,AK50,{"01/01/2026";"02/02/2026";"16/03/2026";"02/04/2026";"03/04/2026";"01/05/2026"})),"aun no se factura")</f>
        <v>13</v>
      </c>
      <c r="AM50" s="4" t="str">
        <f>IFERROR(IF(OR(Q50="",AK50=""),"SIN DATO",IF(NETWORKDAYS(Q50,AK50,{"01/01/2026";"02/02/2026";"16/03/2026";"02/04/2026";"03/04/2026";"01/05/2026"})&lt;=1,"1 día o menos",IF(NETWORKDAYS(Q50,AK50,{"01/01/2026";"02/02/2026";"16/03/2026";"02/04/2026";"03/04/2026";"01/05/2026"})&lt;=3,"2 a 3 días",IF(NETWORKDAYS(Q50,AK50,{"01/01/2026";"02/02/2026";"16/03/2026";"02/04/2026";"03/04/2026";"01/05/2026"})&lt;=5,"4 a 5 días",IF(NETWORKDAYS(Q50,AK50,{"01/01/2026";"02/02/2026";"16/03/2026";"02/04/2026";"03/04/2026";"01/05/2026"})&lt;=10,"6 a 10 días",IF(NETWORKDAYS(Q50,AK50,{"01/01/2026";"02/02/2026";"16/03/2026";"02/04/2026";"03/04/2026";"01/05/2026"})&lt;=16,"11 a 15 días","más de 16 días")))))),"aun no se factura")</f>
        <v>11 a 15 días</v>
      </c>
      <c r="AN50" s="4" t="str" cm="1">
        <f t="array" ref="AN50">IFERROR(
  IF(
    NETWORKDAYS(Q50,AK50,{"01/01/2026";"02/02/2026";"16/03/2026";"02/04/2026";"03/04/2026";"01/05/2026"}) &lt;=
    _xlfn.IFS(
      OR(TRIM(A50)="AICM", TRIM(A50)="AÉREO AICM"), 5,
      OR(TRIM(A50)="VERACRUZ", TRIM(A50)="MARÍTIMO VERACRUZ"), 6,
      OR(TRIM(A50)="AIFA", TRIM(A50)="AÉREO AIFA"), 7,
      AND(TRIM(A50)="CORRESPONSALIAS", TRIM(B50)="NUEVO LAREDO"), 6,
      TRIM(A50)="MANZANILLO", 10,
      TRIM(A50)="TOLUCA", 6,
      TRUE, 999
    ),
    "On Time",
    "Delayed"
  ),
  "Faltan fechas"
)</f>
        <v>Delayed</v>
      </c>
      <c r="AO50" s="5">
        <v>1</v>
      </c>
      <c r="AP50" s="3" t="s">
        <v>548</v>
      </c>
      <c r="AQ50" s="3" t="s">
        <v>93</v>
      </c>
      <c r="AR50" s="3" t="s">
        <v>112</v>
      </c>
      <c r="AS50" s="3" t="s">
        <v>428</v>
      </c>
      <c r="AT50" s="3" t="s">
        <v>223</v>
      </c>
      <c r="AU50" s="5">
        <v>6000581</v>
      </c>
      <c r="AV50" s="3" t="s">
        <v>92</v>
      </c>
      <c r="AW50" s="3" t="s">
        <v>401</v>
      </c>
      <c r="AX50" s="3" t="s">
        <v>549</v>
      </c>
      <c r="AY50" s="3"/>
      <c r="AZ50" s="3" t="s">
        <v>550</v>
      </c>
      <c r="BA50" s="3" t="s">
        <v>90</v>
      </c>
      <c r="BB50" s="3"/>
      <c r="BC50" s="3" t="s">
        <v>107</v>
      </c>
      <c r="BD50" s="3"/>
      <c r="BE50" s="3" t="s">
        <v>107</v>
      </c>
      <c r="BF50" s="3" t="s">
        <v>576</v>
      </c>
      <c r="BG50" s="3" t="s">
        <v>620</v>
      </c>
      <c r="BH50" s="3" t="s">
        <v>580</v>
      </c>
      <c r="BI50" s="3"/>
      <c r="BJ50" s="3" t="s">
        <v>597</v>
      </c>
      <c r="BK50" s="3" t="s">
        <v>554</v>
      </c>
      <c r="BL50" s="3">
        <v>0</v>
      </c>
      <c r="BM50" s="3">
        <v>99</v>
      </c>
      <c r="BN50" s="3" t="s">
        <v>695</v>
      </c>
      <c r="BO50" s="3">
        <v>90</v>
      </c>
      <c r="BP50" s="3">
        <v>11116743.74</v>
      </c>
      <c r="BQ50" s="3" t="s">
        <v>657</v>
      </c>
      <c r="BR50" s="3"/>
      <c r="BS50" s="3" t="s">
        <v>613</v>
      </c>
      <c r="BT50" s="3" t="s">
        <v>558</v>
      </c>
      <c r="BU50" s="3" t="s">
        <v>133</v>
      </c>
      <c r="BV50" s="3" t="s">
        <v>105</v>
      </c>
      <c r="BW50" s="3"/>
      <c r="BX50" s="3"/>
      <c r="BY50" s="3"/>
      <c r="BZ50" s="3"/>
      <c r="CA50" s="3"/>
    </row>
    <row r="51" spans="1:79" x14ac:dyDescent="0.25">
      <c r="A51" s="3" t="s">
        <v>577</v>
      </c>
      <c r="B51" s="3" t="s">
        <v>578</v>
      </c>
      <c r="C51" s="3" t="s">
        <v>433</v>
      </c>
      <c r="D51" s="3">
        <v>430</v>
      </c>
      <c r="E51" s="4">
        <v>46139</v>
      </c>
      <c r="F51" s="3">
        <v>4</v>
      </c>
      <c r="G51" s="22">
        <v>46127</v>
      </c>
      <c r="H51" s="4">
        <v>46139</v>
      </c>
      <c r="I51" s="3">
        <v>8</v>
      </c>
      <c r="J51" s="3" t="s">
        <v>544</v>
      </c>
      <c r="K51" s="22">
        <v>46139</v>
      </c>
      <c r="L51" s="3">
        <v>8</v>
      </c>
      <c r="M51" s="3">
        <f>IFERROR(IF(G51=K51,0,NETWORKDAYS(G51,K51,{"01/01/2026";"02/02/2026";"16/03/2026";"02/04/2026";"03/04/2026";"01/05/2026"})),"Faltan Fechas")</f>
        <v>9</v>
      </c>
      <c r="N51" s="23" t="str">
        <f>IFERROR(IF(OR(G51="",K51=""),"SIN DATO",IF(NETWORKDAYS(G51,K51,{"01/01/2026";"02/02/2026";"16/03/2026";"02/04/2026";"03/04/2026";"01/05/2026"})&lt;=1,"1 día o menos",IF(NETWORKDAYS(G51,K51,{"01/01/2026";"02/02/2026";"16/03/2026";"02/04/2026";"03/04/2026";"01/05/2026"})&lt;=3,"2 a 3 días",IF(NETWORKDAYS(G51,K51,{"01/01/2026";"02/02/2026";"16/03/2026";"02/04/2026";"03/04/2026";"01/05/2026"})&lt;=5,"4 a 5 días",IF(NETWORKDAYS(G51,K51,{"01/01/2026";"02/02/2026";"16/03/2026";"02/04/2026";"03/04/2026";"01/05/2026"})&lt;=10,"6 a 10 días",IF(NETWORKDAYS(G51,K51,{"01/01/2026";"02/02/2026";"16/03/2026";"02/04/2026";"03/04/2026";"01/05/2026"})&lt;=16,"11 a 15 días","más de 16 días")))))),"Aun no se entrega")</f>
        <v>6 a 10 días</v>
      </c>
      <c r="O51" s="3" t="str" cm="1">
        <f t="array" ref="O51">IFERROR(
  IF(
    NETWORKDAYS(G51,K51,{"01/01/2026";"02/02/2026";"16/03/2026";"02/04/2026";"03/04/2026";"01/05/2026"}) &lt;=
    _xlfn.IFS(
      OR(TRIM(A51)="AICM", TRIM(A51)="AÉREO AICM"), 5,
      OR(TRIM(A51)="VERACRUZ", TRIM(A51)="MARÍTIMO VERACRUZ"), 6,
      OR(TRIM(A51)="AIFA", TRIM(A51)="AÉREO AIFA"), 7,
      AND(TRIM(A51)="CORRESPONSALIAS", TRIM(B51)="NUEVO LAREDO"), 6,
      TRIM(A51)="MANZANILLO", 10,
      TRIM(A51)="TOLUCA", 6,
      TRUE, 999
    ),
    "On Time",
    "Delayed"
  ),
  "Faltan fechas"
)</f>
        <v>Delayed</v>
      </c>
      <c r="P51" s="24" t="s">
        <v>559</v>
      </c>
      <c r="Q51" s="4">
        <v>46140</v>
      </c>
      <c r="R51" s="5">
        <f>IFERROR(IF(G51=Q51,0,NETWORKDAYS(G51,Q51,{"01/01/2026";"02/02/2026";"16/03/2026";"02/04/2026";"03/04/2026";"01/05/2026"})),"Faltan Fechas")</f>
        <v>10</v>
      </c>
      <c r="S51" s="4" t="str">
        <f>IFERROR(IF(OR(G51="",Q51=""),"SIN DATO",IF(NETWORKDAYS(G51,Q51,{"01/01/2026";"02/02/2026";"16/03/2026";"02/04/2026";"03/04/2026";"01/05/2026"})&lt;=1,"1 día o menos",IF(NETWORKDAYS(G51,Q51,{"01/01/2026";"02/02/2026";"16/03/2026";"02/04/2026";"03/04/2026";"01/05/2026"})&lt;=3,"2 a 3 días",IF(NETWORKDAYS(G51,Q51,{"01/01/2026";"02/02/2026";"16/03/2026";"02/04/2026";"03/04/2026";"01/05/2026"})&lt;=5,"4 a 5 días",IF(NETWORKDAYS(G51,Q51,{"01/01/2026";"02/02/2026";"16/03/2026";"02/04/2026";"03/04/2026";"01/05/2026"})&lt;=10,"6 a 10 días",IF(NETWORKDAYS(G51,Q51,{"01/01/2026";"02/02/2026";"16/03/2026";"02/04/2026";"03/04/2026";"01/05/2026"})&lt;=16,"11 a 15 días","más de 16 días")))))),"Aun no se entrega")</f>
        <v>6 a 10 días</v>
      </c>
      <c r="T51" s="4" t="str" cm="1">
        <f t="array" ref="T51">IFERROR(
  IF(
    NETWORKDAYS(G51,Q51,{"01/01/2026";"02/02/2026";"16/03/2026";"02/04/2026";"03/04/2026";"01/05/2026"}) &lt;=
    _xlfn.IFS(
      OR(TRIM(A51)="AICM", TRIM(A51)="AÉREO AICM"), 5,
      OR(TRIM(A51)="VERACRUZ", TRIM(A51)="MARÍTIMO VERACRUZ"), 6,
      OR(TRIM(A51)="AIFA", TRIM(A51)="AÉREO AIFA"), 7,
      AND(TRIM(A51)="CORRESPONSALIAS", TRIM(B51)="NUEVO LAREDO"), 6,
      TRIM(A51)="MANZANILLO", 10,
      TRIM(A51)="TOLUCA", 6,
      TRUE, 999
    ),
    "On Time",
    "Delayed"
  ),
  "Faltan fechas"
)</f>
        <v>Delayed</v>
      </c>
      <c r="U51" s="3">
        <v>13</v>
      </c>
      <c r="V51" s="3" t="s">
        <v>544</v>
      </c>
      <c r="W51" s="3">
        <v>18</v>
      </c>
      <c r="X51" s="3" t="s">
        <v>547</v>
      </c>
      <c r="Y51" s="3">
        <v>0</v>
      </c>
      <c r="Z51" s="3" t="s">
        <v>546</v>
      </c>
      <c r="AA51" s="3">
        <v>12</v>
      </c>
      <c r="AB51" s="3">
        <v>1</v>
      </c>
      <c r="AC51" s="3" t="s">
        <v>546</v>
      </c>
      <c r="AD51" s="4">
        <v>46153</v>
      </c>
      <c r="AE51" s="3">
        <v>13</v>
      </c>
      <c r="AF51" s="3">
        <v>9</v>
      </c>
      <c r="AG51" s="4">
        <v>46153</v>
      </c>
      <c r="AH51" s="4">
        <v>46153</v>
      </c>
      <c r="AI51" s="3">
        <v>0</v>
      </c>
      <c r="AJ51" s="3" t="s">
        <v>559</v>
      </c>
      <c r="AK51" s="4">
        <v>46153</v>
      </c>
      <c r="AL51" s="5">
        <f>IFERROR(IF(Q51=AK51,0,NETWORKDAYS(Q51,AK51,{"01/01/2026";"02/02/2026";"16/03/2026";"02/04/2026";"03/04/2026";"01/05/2026"})),"aun no se factura")</f>
        <v>9</v>
      </c>
      <c r="AM51" s="4" t="str">
        <f>IFERROR(IF(OR(Q51="",AK51=""),"SIN DATO",IF(NETWORKDAYS(Q51,AK51,{"01/01/2026";"02/02/2026";"16/03/2026";"02/04/2026";"03/04/2026";"01/05/2026"})&lt;=1,"1 día o menos",IF(NETWORKDAYS(Q51,AK51,{"01/01/2026";"02/02/2026";"16/03/2026";"02/04/2026";"03/04/2026";"01/05/2026"})&lt;=3,"2 a 3 días",IF(NETWORKDAYS(Q51,AK51,{"01/01/2026";"02/02/2026";"16/03/2026";"02/04/2026";"03/04/2026";"01/05/2026"})&lt;=5,"4 a 5 días",IF(NETWORKDAYS(Q51,AK51,{"01/01/2026";"02/02/2026";"16/03/2026";"02/04/2026";"03/04/2026";"01/05/2026"})&lt;=10,"6 a 10 días",IF(NETWORKDAYS(Q51,AK51,{"01/01/2026";"02/02/2026";"16/03/2026";"02/04/2026";"03/04/2026";"01/05/2026"})&lt;=16,"11 a 15 días","más de 16 días")))))),"aun no se factura")</f>
        <v>6 a 10 días</v>
      </c>
      <c r="AN51" s="4" t="str" cm="1">
        <f t="array" ref="AN51">IFERROR(
  IF(
    NETWORKDAYS(Q51,AK51,{"01/01/2026";"02/02/2026";"16/03/2026";"02/04/2026";"03/04/2026";"01/05/2026"}) &lt;=
    _xlfn.IFS(
      OR(TRIM(A51)="AICM", TRIM(A51)="AÉREO AICM"), 5,
      OR(TRIM(A51)="VERACRUZ", TRIM(A51)="MARÍTIMO VERACRUZ"), 6,
      OR(TRIM(A51)="AIFA", TRIM(A51)="AÉREO AIFA"), 7,
      AND(TRIM(A51)="CORRESPONSALIAS", TRIM(B51)="NUEVO LAREDO"), 6,
      TRIM(A51)="MANZANILLO", 10,
      TRIM(A51)="TOLUCA", 6,
      TRUE, 999
    ),
    "On Time",
    "Delayed"
  ),
  "Faltan fechas"
)</f>
        <v>Delayed</v>
      </c>
      <c r="AO51" s="5">
        <v>1</v>
      </c>
      <c r="AP51" s="3" t="s">
        <v>548</v>
      </c>
      <c r="AQ51" s="3" t="s">
        <v>93</v>
      </c>
      <c r="AR51" s="3" t="s">
        <v>112</v>
      </c>
      <c r="AS51" s="3" t="s">
        <v>436</v>
      </c>
      <c r="AT51" s="3" t="s">
        <v>223</v>
      </c>
      <c r="AU51" s="5">
        <v>6000582</v>
      </c>
      <c r="AV51" s="3" t="s">
        <v>92</v>
      </c>
      <c r="AW51" s="3" t="s">
        <v>435</v>
      </c>
      <c r="AX51" s="3" t="s">
        <v>549</v>
      </c>
      <c r="AY51" s="3"/>
      <c r="AZ51" s="3" t="s">
        <v>550</v>
      </c>
      <c r="BA51" s="3" t="s">
        <v>90</v>
      </c>
      <c r="BB51" s="3"/>
      <c r="BC51" s="3" t="s">
        <v>107</v>
      </c>
      <c r="BD51" s="3"/>
      <c r="BE51" s="3" t="s">
        <v>107</v>
      </c>
      <c r="BF51" s="3" t="s">
        <v>576</v>
      </c>
      <c r="BG51" s="3" t="s">
        <v>552</v>
      </c>
      <c r="BH51" s="3" t="s">
        <v>580</v>
      </c>
      <c r="BI51" s="3"/>
      <c r="BJ51" s="3" t="s">
        <v>581</v>
      </c>
      <c r="BK51" s="3" t="s">
        <v>554</v>
      </c>
      <c r="BL51" s="3">
        <v>0</v>
      </c>
      <c r="BM51" s="3">
        <v>99</v>
      </c>
      <c r="BN51" s="3" t="s">
        <v>696</v>
      </c>
      <c r="BO51" s="3">
        <v>90</v>
      </c>
      <c r="BP51" s="3" t="s">
        <v>697</v>
      </c>
      <c r="BQ51" s="3" t="s">
        <v>657</v>
      </c>
      <c r="BR51" s="3"/>
      <c r="BS51" s="3" t="s">
        <v>613</v>
      </c>
      <c r="BT51" s="3" t="s">
        <v>558</v>
      </c>
      <c r="BU51" s="3" t="s">
        <v>133</v>
      </c>
      <c r="BV51" s="3" t="s">
        <v>105</v>
      </c>
      <c r="BW51" s="3"/>
      <c r="BX51" s="3"/>
      <c r="BY51" s="3"/>
      <c r="BZ51" s="3"/>
      <c r="CA51" s="3"/>
    </row>
    <row r="52" spans="1:79" x14ac:dyDescent="0.25">
      <c r="A52" s="3" t="s">
        <v>577</v>
      </c>
      <c r="B52" s="3" t="s">
        <v>578</v>
      </c>
      <c r="C52" s="3" t="s">
        <v>440</v>
      </c>
      <c r="D52" s="3">
        <v>430</v>
      </c>
      <c r="E52" s="4">
        <v>46132</v>
      </c>
      <c r="F52" s="3">
        <v>4</v>
      </c>
      <c r="G52" s="22">
        <v>46127</v>
      </c>
      <c r="H52" s="4">
        <v>46132</v>
      </c>
      <c r="I52" s="3">
        <v>3</v>
      </c>
      <c r="J52" s="3" t="s">
        <v>579</v>
      </c>
      <c r="K52" s="22">
        <v>46133</v>
      </c>
      <c r="L52" s="3">
        <v>4</v>
      </c>
      <c r="M52" s="3">
        <f>IFERROR(IF(G52=K52,0,NETWORKDAYS(G52,K52,{"01/01/2026";"02/02/2026";"16/03/2026";"02/04/2026";"03/04/2026";"01/05/2026"})),"Faltan Fechas")</f>
        <v>5</v>
      </c>
      <c r="N52" s="23" t="str">
        <f>IFERROR(IF(OR(G52="",K52=""),"SIN DATO",IF(NETWORKDAYS(G52,K52,{"01/01/2026";"02/02/2026";"16/03/2026";"02/04/2026";"03/04/2026";"01/05/2026"})&lt;=1,"1 día o menos",IF(NETWORKDAYS(G52,K52,{"01/01/2026";"02/02/2026";"16/03/2026";"02/04/2026";"03/04/2026";"01/05/2026"})&lt;=3,"2 a 3 días",IF(NETWORKDAYS(G52,K52,{"01/01/2026";"02/02/2026";"16/03/2026";"02/04/2026";"03/04/2026";"01/05/2026"})&lt;=5,"4 a 5 días",IF(NETWORKDAYS(G52,K52,{"01/01/2026";"02/02/2026";"16/03/2026";"02/04/2026";"03/04/2026";"01/05/2026"})&lt;=10,"6 a 10 días",IF(NETWORKDAYS(G52,K52,{"01/01/2026";"02/02/2026";"16/03/2026";"02/04/2026";"03/04/2026";"01/05/2026"})&lt;=16,"11 a 15 días","más de 16 días")))))),"Aun no se entrega")</f>
        <v>4 a 5 días</v>
      </c>
      <c r="O52" s="3" t="str" cm="1">
        <f t="array" ref="O52">IFERROR(
  IF(
    NETWORKDAYS(G52,K52,{"01/01/2026";"02/02/2026";"16/03/2026";"02/04/2026";"03/04/2026";"01/05/2026"}) &lt;=
    _xlfn.IFS(
      OR(TRIM(A52)="AICM", TRIM(A52)="AÉREO AICM"), 5,
      OR(TRIM(A52)="VERACRUZ", TRIM(A52)="MARÍTIMO VERACRUZ"), 6,
      OR(TRIM(A52)="AIFA", TRIM(A52)="AÉREO AIFA"), 7,
      AND(TRIM(A52)="CORRESPONSALIAS", TRIM(B52)="NUEVO LAREDO"), 6,
      TRIM(A52)="MANZANILLO", 10,
      TRIM(A52)="TOLUCA", 6,
      TRUE, 999
    ),
    "On Time",
    "Delayed"
  ),
  "Faltan fechas"
)</f>
        <v>On Time</v>
      </c>
      <c r="P52" s="24" t="s">
        <v>544</v>
      </c>
      <c r="Q52" s="4">
        <v>46134</v>
      </c>
      <c r="R52" s="5">
        <f>IFERROR(IF(G52=Q52,0,NETWORKDAYS(G52,Q52,{"01/01/2026";"02/02/2026";"16/03/2026";"02/04/2026";"03/04/2026";"01/05/2026"})),"Faltan Fechas")</f>
        <v>6</v>
      </c>
      <c r="S52" s="4" t="str">
        <f>IFERROR(IF(OR(G52="",Q52=""),"SIN DATO",IF(NETWORKDAYS(G52,Q52,{"01/01/2026";"02/02/2026";"16/03/2026";"02/04/2026";"03/04/2026";"01/05/2026"})&lt;=1,"1 día o menos",IF(NETWORKDAYS(G52,Q52,{"01/01/2026";"02/02/2026";"16/03/2026";"02/04/2026";"03/04/2026";"01/05/2026"})&lt;=3,"2 a 3 días",IF(NETWORKDAYS(G52,Q52,{"01/01/2026";"02/02/2026";"16/03/2026";"02/04/2026";"03/04/2026";"01/05/2026"})&lt;=5,"4 a 5 días",IF(NETWORKDAYS(G52,Q52,{"01/01/2026";"02/02/2026";"16/03/2026";"02/04/2026";"03/04/2026";"01/05/2026"})&lt;=10,"6 a 10 días",IF(NETWORKDAYS(G52,Q52,{"01/01/2026";"02/02/2026";"16/03/2026";"02/04/2026";"03/04/2026";"01/05/2026"})&lt;=16,"11 a 15 días","más de 16 días")))))),"Aun no se entrega")</f>
        <v>6 a 10 días</v>
      </c>
      <c r="T52" s="4" t="str" cm="1">
        <f t="array" ref="T52">IFERROR(
  IF(
    NETWORKDAYS(G52,Q52,{"01/01/2026";"02/02/2026";"16/03/2026";"02/04/2026";"03/04/2026";"01/05/2026"}) &lt;=
    _xlfn.IFS(
      OR(TRIM(A52)="AICM", TRIM(A52)="AÉREO AICM"), 5,
      OR(TRIM(A52)="VERACRUZ", TRIM(A52)="MARÍTIMO VERACRUZ"), 6,
      OR(TRIM(A52)="AIFA", TRIM(A52)="AÉREO AIFA"), 7,
      AND(TRIM(A52)="CORRESPONSALIAS", TRIM(B52)="NUEVO LAREDO"), 6,
      TRIM(A52)="MANZANILLO", 10,
      TRIM(A52)="TOLUCA", 6,
      TRUE, 999
    ),
    "On Time",
    "Delayed"
  ),
  "Faltan fechas"
)</f>
        <v>On Time</v>
      </c>
      <c r="U52" s="3">
        <v>7</v>
      </c>
      <c r="V52" s="3" t="s">
        <v>543</v>
      </c>
      <c r="W52" s="3">
        <v>18</v>
      </c>
      <c r="X52" s="3" t="s">
        <v>547</v>
      </c>
      <c r="Y52" s="3">
        <v>1</v>
      </c>
      <c r="Z52" s="3" t="s">
        <v>546</v>
      </c>
      <c r="AA52" s="3">
        <v>5</v>
      </c>
      <c r="AB52" s="3">
        <v>1</v>
      </c>
      <c r="AC52" s="3" t="s">
        <v>546</v>
      </c>
      <c r="AD52" s="4">
        <v>46153</v>
      </c>
      <c r="AE52" s="3">
        <v>19</v>
      </c>
      <c r="AF52" s="3">
        <v>13</v>
      </c>
      <c r="AG52" s="4">
        <v>46153</v>
      </c>
      <c r="AH52" s="4">
        <v>46153</v>
      </c>
      <c r="AI52" s="3">
        <v>0</v>
      </c>
      <c r="AJ52" s="3" t="s">
        <v>547</v>
      </c>
      <c r="AK52" s="4">
        <v>46153</v>
      </c>
      <c r="AL52" s="5">
        <f>IFERROR(IF(Q52=AK52,0,NETWORKDAYS(Q52,AK52,{"01/01/2026";"02/02/2026";"16/03/2026";"02/04/2026";"03/04/2026";"01/05/2026"})),"aun no se factura")</f>
        <v>13</v>
      </c>
      <c r="AM52" s="4" t="str">
        <f>IFERROR(IF(OR(Q52="",AK52=""),"SIN DATO",IF(NETWORKDAYS(Q52,AK52,{"01/01/2026";"02/02/2026";"16/03/2026";"02/04/2026";"03/04/2026";"01/05/2026"})&lt;=1,"1 día o menos",IF(NETWORKDAYS(Q52,AK52,{"01/01/2026";"02/02/2026";"16/03/2026";"02/04/2026";"03/04/2026";"01/05/2026"})&lt;=3,"2 a 3 días",IF(NETWORKDAYS(Q52,AK52,{"01/01/2026";"02/02/2026";"16/03/2026";"02/04/2026";"03/04/2026";"01/05/2026"})&lt;=5,"4 a 5 días",IF(NETWORKDAYS(Q52,AK52,{"01/01/2026";"02/02/2026";"16/03/2026";"02/04/2026";"03/04/2026";"01/05/2026"})&lt;=10,"6 a 10 días",IF(NETWORKDAYS(Q52,AK52,{"01/01/2026";"02/02/2026";"16/03/2026";"02/04/2026";"03/04/2026";"01/05/2026"})&lt;=16,"11 a 15 días","más de 16 días")))))),"aun no se factura")</f>
        <v>11 a 15 días</v>
      </c>
      <c r="AN52" s="4" t="str" cm="1">
        <f t="array" ref="AN52">IFERROR(
  IF(
    NETWORKDAYS(Q52,AK52,{"01/01/2026";"02/02/2026";"16/03/2026";"02/04/2026";"03/04/2026";"01/05/2026"}) &lt;=
    _xlfn.IFS(
      OR(TRIM(A52)="AICM", TRIM(A52)="AÉREO AICM"), 5,
      OR(TRIM(A52)="VERACRUZ", TRIM(A52)="MARÍTIMO VERACRUZ"), 6,
      OR(TRIM(A52)="AIFA", TRIM(A52)="AÉREO AIFA"), 7,
      AND(TRIM(A52)="CORRESPONSALIAS", TRIM(B52)="NUEVO LAREDO"), 6,
      TRIM(A52)="MANZANILLO", 10,
      TRIM(A52)="TOLUCA", 6,
      TRUE, 999
    ),
    "On Time",
    "Delayed"
  ),
  "Faltan fechas"
)</f>
        <v>Delayed</v>
      </c>
      <c r="AO52" s="5">
        <v>1</v>
      </c>
      <c r="AP52" s="3" t="s">
        <v>548</v>
      </c>
      <c r="AQ52" s="3" t="s">
        <v>93</v>
      </c>
      <c r="AR52" s="3" t="s">
        <v>112</v>
      </c>
      <c r="AS52" s="3" t="s">
        <v>442</v>
      </c>
      <c r="AT52" s="3" t="s">
        <v>223</v>
      </c>
      <c r="AU52" s="5">
        <v>6000583</v>
      </c>
      <c r="AV52" s="3" t="s">
        <v>92</v>
      </c>
      <c r="AW52" s="3" t="s">
        <v>136</v>
      </c>
      <c r="AX52" s="3" t="s">
        <v>549</v>
      </c>
      <c r="AY52" s="3"/>
      <c r="AZ52" s="3" t="s">
        <v>550</v>
      </c>
      <c r="BA52" s="3" t="s">
        <v>90</v>
      </c>
      <c r="BB52" s="3"/>
      <c r="BC52" s="3" t="s">
        <v>117</v>
      </c>
      <c r="BD52" s="3"/>
      <c r="BE52" s="3" t="s">
        <v>117</v>
      </c>
      <c r="BF52" s="3" t="s">
        <v>576</v>
      </c>
      <c r="BG52" s="3" t="s">
        <v>620</v>
      </c>
      <c r="BH52" s="3" t="s">
        <v>580</v>
      </c>
      <c r="BI52" s="3"/>
      <c r="BJ52" s="3" t="s">
        <v>597</v>
      </c>
      <c r="BK52" s="3" t="s">
        <v>554</v>
      </c>
      <c r="BL52" s="3">
        <v>0</v>
      </c>
      <c r="BM52" s="3">
        <v>99</v>
      </c>
      <c r="BN52" s="3" t="s">
        <v>698</v>
      </c>
      <c r="BO52" s="3">
        <v>90</v>
      </c>
      <c r="BP52" s="3">
        <v>10797530.74</v>
      </c>
      <c r="BQ52" s="3" t="s">
        <v>646</v>
      </c>
      <c r="BR52" s="3"/>
      <c r="BS52" s="3" t="s">
        <v>613</v>
      </c>
      <c r="BT52" s="3" t="s">
        <v>558</v>
      </c>
      <c r="BU52" s="3" t="s">
        <v>133</v>
      </c>
      <c r="BV52" s="3" t="s">
        <v>105</v>
      </c>
      <c r="BW52" s="3"/>
      <c r="BX52" s="3"/>
      <c r="BY52" s="3"/>
      <c r="BZ52" s="3"/>
      <c r="CA52" s="3"/>
    </row>
    <row r="53" spans="1:79" x14ac:dyDescent="0.25">
      <c r="A53" s="3" t="s">
        <v>577</v>
      </c>
      <c r="B53" s="3" t="s">
        <v>578</v>
      </c>
      <c r="C53" s="3" t="s">
        <v>444</v>
      </c>
      <c r="D53" s="3">
        <v>430</v>
      </c>
      <c r="E53" s="4">
        <v>46136</v>
      </c>
      <c r="F53" s="3">
        <v>4</v>
      </c>
      <c r="G53" s="22">
        <v>46128</v>
      </c>
      <c r="H53" s="4">
        <v>46136</v>
      </c>
      <c r="I53" s="3">
        <v>6</v>
      </c>
      <c r="J53" s="3" t="s">
        <v>544</v>
      </c>
      <c r="K53" s="22">
        <v>46137</v>
      </c>
      <c r="L53" s="3">
        <v>7</v>
      </c>
      <c r="M53" s="3">
        <f>IFERROR(IF(G53=K53,0,NETWORKDAYS(G53,K53,{"01/01/2026";"02/02/2026";"16/03/2026";"02/04/2026";"03/04/2026";"01/05/2026"})),"Faltan Fechas")</f>
        <v>7</v>
      </c>
      <c r="N53" s="23" t="str">
        <f>IFERROR(IF(OR(G53="",K53=""),"SIN DATO",IF(NETWORKDAYS(G53,K53,{"01/01/2026";"02/02/2026";"16/03/2026";"02/04/2026";"03/04/2026";"01/05/2026"})&lt;=1,"1 día o menos",IF(NETWORKDAYS(G53,K53,{"01/01/2026";"02/02/2026";"16/03/2026";"02/04/2026";"03/04/2026";"01/05/2026"})&lt;=3,"2 a 3 días",IF(NETWORKDAYS(G53,K53,{"01/01/2026";"02/02/2026";"16/03/2026";"02/04/2026";"03/04/2026";"01/05/2026"})&lt;=5,"4 a 5 días",IF(NETWORKDAYS(G53,K53,{"01/01/2026";"02/02/2026";"16/03/2026";"02/04/2026";"03/04/2026";"01/05/2026"})&lt;=10,"6 a 10 días",IF(NETWORKDAYS(G53,K53,{"01/01/2026";"02/02/2026";"16/03/2026";"02/04/2026";"03/04/2026";"01/05/2026"})&lt;=16,"11 a 15 días","más de 16 días")))))),"Aun no se entrega")</f>
        <v>6 a 10 días</v>
      </c>
      <c r="O53" s="3" t="str" cm="1">
        <f t="array" ref="O53">IFERROR(
  IF(
    NETWORKDAYS(G53,K53,{"01/01/2026";"02/02/2026";"16/03/2026";"02/04/2026";"03/04/2026";"01/05/2026"}) &lt;=
    _xlfn.IFS(
      OR(TRIM(A53)="AICM", TRIM(A53)="AÉREO AICM"), 5,
      OR(TRIM(A53)="VERACRUZ", TRIM(A53)="MARÍTIMO VERACRUZ"), 6,
      OR(TRIM(A53)="AIFA", TRIM(A53)="AÉREO AIFA"), 7,
      AND(TRIM(A53)="CORRESPONSALIAS", TRIM(B53)="NUEVO LAREDO"), 6,
      TRIM(A53)="MANZANILLO", 10,
      TRIM(A53)="TOLUCA", 6,
      TRUE, 999
    ),
    "On Time",
    "Delayed"
  ),
  "Faltan fechas"
)</f>
        <v>Delayed</v>
      </c>
      <c r="P53" s="24" t="s">
        <v>544</v>
      </c>
      <c r="Q53" s="4">
        <v>46139</v>
      </c>
      <c r="R53" s="5">
        <f>IFERROR(IF(G53=Q53,0,NETWORKDAYS(G53,Q53,{"01/01/2026";"02/02/2026";"16/03/2026";"02/04/2026";"03/04/2026";"01/05/2026"})),"Faltan Fechas")</f>
        <v>8</v>
      </c>
      <c r="S53" s="4" t="str">
        <f>IFERROR(IF(OR(G53="",Q53=""),"SIN DATO",IF(NETWORKDAYS(G53,Q53,{"01/01/2026";"02/02/2026";"16/03/2026";"02/04/2026";"03/04/2026";"01/05/2026"})&lt;=1,"1 día o menos",IF(NETWORKDAYS(G53,Q53,{"01/01/2026";"02/02/2026";"16/03/2026";"02/04/2026";"03/04/2026";"01/05/2026"})&lt;=3,"2 a 3 días",IF(NETWORKDAYS(G53,Q53,{"01/01/2026";"02/02/2026";"16/03/2026";"02/04/2026";"03/04/2026";"01/05/2026"})&lt;=5,"4 a 5 días",IF(NETWORKDAYS(G53,Q53,{"01/01/2026";"02/02/2026";"16/03/2026";"02/04/2026";"03/04/2026";"01/05/2026"})&lt;=10,"6 a 10 días",IF(NETWORKDAYS(G53,Q53,{"01/01/2026";"02/02/2026";"16/03/2026";"02/04/2026";"03/04/2026";"01/05/2026"})&lt;=16,"11 a 15 días","más de 16 días")))))),"Aun no se entrega")</f>
        <v>6 a 10 días</v>
      </c>
      <c r="T53" s="4" t="str" cm="1">
        <f t="array" ref="T53">IFERROR(
  IF(
    NETWORKDAYS(G53,Q53,{"01/01/2026";"02/02/2026";"16/03/2026";"02/04/2026";"03/04/2026";"01/05/2026"}) &lt;=
    _xlfn.IFS(
      OR(TRIM(A53)="AICM", TRIM(A53)="AÉREO AICM"), 5,
      OR(TRIM(A53)="VERACRUZ", TRIM(A53)="MARÍTIMO VERACRUZ"), 6,
      OR(TRIM(A53)="AIFA", TRIM(A53)="AÉREO AIFA"), 7,
      AND(TRIM(A53)="CORRESPONSALIAS", TRIM(B53)="NUEVO LAREDO"), 6,
      TRIM(A53)="MANZANILLO", 10,
      TRIM(A53)="TOLUCA", 6,
      TRUE, 999
    ),
    "On Time",
    "Delayed"
  ),
  "Faltan fechas"
)</f>
        <v>Delayed</v>
      </c>
      <c r="U53" s="3">
        <v>11</v>
      </c>
      <c r="V53" s="3" t="s">
        <v>544</v>
      </c>
      <c r="W53" s="3">
        <v>17</v>
      </c>
      <c r="X53" s="3" t="s">
        <v>547</v>
      </c>
      <c r="Y53" s="3">
        <v>1</v>
      </c>
      <c r="Z53" s="3" t="s">
        <v>546</v>
      </c>
      <c r="AA53" s="3">
        <v>8</v>
      </c>
      <c r="AB53" s="3">
        <v>2</v>
      </c>
      <c r="AC53" s="3" t="s">
        <v>579</v>
      </c>
      <c r="AD53" s="4">
        <v>46153</v>
      </c>
      <c r="AE53" s="3">
        <v>14</v>
      </c>
      <c r="AF53" s="3">
        <v>10</v>
      </c>
      <c r="AG53" s="4">
        <v>46153</v>
      </c>
      <c r="AH53" s="4">
        <v>46153</v>
      </c>
      <c r="AI53" s="3">
        <v>0</v>
      </c>
      <c r="AJ53" s="3" t="s">
        <v>559</v>
      </c>
      <c r="AK53" s="4">
        <v>46153</v>
      </c>
      <c r="AL53" s="5">
        <f>IFERROR(IF(Q53=AK53,0,NETWORKDAYS(Q53,AK53,{"01/01/2026";"02/02/2026";"16/03/2026";"02/04/2026";"03/04/2026";"01/05/2026"})),"aun no se factura")</f>
        <v>10</v>
      </c>
      <c r="AM53" s="4" t="str">
        <f>IFERROR(IF(OR(Q53="",AK53=""),"SIN DATO",IF(NETWORKDAYS(Q53,AK53,{"01/01/2026";"02/02/2026";"16/03/2026";"02/04/2026";"03/04/2026";"01/05/2026"})&lt;=1,"1 día o menos",IF(NETWORKDAYS(Q53,AK53,{"01/01/2026";"02/02/2026";"16/03/2026";"02/04/2026";"03/04/2026";"01/05/2026"})&lt;=3,"2 a 3 días",IF(NETWORKDAYS(Q53,AK53,{"01/01/2026";"02/02/2026";"16/03/2026";"02/04/2026";"03/04/2026";"01/05/2026"})&lt;=5,"4 a 5 días",IF(NETWORKDAYS(Q53,AK53,{"01/01/2026";"02/02/2026";"16/03/2026";"02/04/2026";"03/04/2026";"01/05/2026"})&lt;=10,"6 a 10 días",IF(NETWORKDAYS(Q53,AK53,{"01/01/2026";"02/02/2026";"16/03/2026";"02/04/2026";"03/04/2026";"01/05/2026"})&lt;=16,"11 a 15 días","más de 16 días")))))),"aun no se factura")</f>
        <v>6 a 10 días</v>
      </c>
      <c r="AN53" s="4" t="str" cm="1">
        <f t="array" ref="AN53">IFERROR(
  IF(
    NETWORKDAYS(Q53,AK53,{"01/01/2026";"02/02/2026";"16/03/2026";"02/04/2026";"03/04/2026";"01/05/2026"}) &lt;=
    _xlfn.IFS(
      OR(TRIM(A53)="AICM", TRIM(A53)="AÉREO AICM"), 5,
      OR(TRIM(A53)="VERACRUZ", TRIM(A53)="MARÍTIMO VERACRUZ"), 6,
      OR(TRIM(A53)="AIFA", TRIM(A53)="AÉREO AIFA"), 7,
      AND(TRIM(A53)="CORRESPONSALIAS", TRIM(B53)="NUEVO LAREDO"), 6,
      TRIM(A53)="MANZANILLO", 10,
      TRIM(A53)="TOLUCA", 6,
      TRUE, 999
    ),
    "On Time",
    "Delayed"
  ),
  "Faltan fechas"
)</f>
        <v>Delayed</v>
      </c>
      <c r="AO53" s="5">
        <v>1</v>
      </c>
      <c r="AP53" s="3" t="s">
        <v>548</v>
      </c>
      <c r="AQ53" s="3" t="s">
        <v>93</v>
      </c>
      <c r="AR53" s="3" t="s">
        <v>112</v>
      </c>
      <c r="AS53" s="3">
        <v>267273161</v>
      </c>
      <c r="AT53" s="3" t="s">
        <v>223</v>
      </c>
      <c r="AU53" s="5">
        <v>6000612</v>
      </c>
      <c r="AV53" s="3" t="s">
        <v>92</v>
      </c>
      <c r="AW53" s="3" t="s">
        <v>364</v>
      </c>
      <c r="AX53" s="3" t="s">
        <v>549</v>
      </c>
      <c r="AY53" s="3"/>
      <c r="AZ53" s="3" t="s">
        <v>550</v>
      </c>
      <c r="BA53" s="3" t="s">
        <v>90</v>
      </c>
      <c r="BB53" s="3"/>
      <c r="BC53" s="3" t="s">
        <v>107</v>
      </c>
      <c r="BD53" s="3"/>
      <c r="BE53" s="3" t="s">
        <v>107</v>
      </c>
      <c r="BF53" s="3" t="s">
        <v>576</v>
      </c>
      <c r="BG53" s="3" t="s">
        <v>552</v>
      </c>
      <c r="BH53" s="3" t="s">
        <v>607</v>
      </c>
      <c r="BI53" s="3" t="s">
        <v>691</v>
      </c>
      <c r="BJ53" s="3"/>
      <c r="BK53" s="3" t="s">
        <v>554</v>
      </c>
      <c r="BL53" s="3">
        <v>0</v>
      </c>
      <c r="BM53" s="3">
        <v>0</v>
      </c>
      <c r="BN53" s="3" t="s">
        <v>699</v>
      </c>
      <c r="BO53" s="3">
        <v>90</v>
      </c>
      <c r="BP53" s="3">
        <v>1048831.2</v>
      </c>
      <c r="BQ53" s="3" t="s">
        <v>563</v>
      </c>
      <c r="BR53" s="3"/>
      <c r="BS53" s="3" t="s">
        <v>619</v>
      </c>
      <c r="BT53" s="3" t="s">
        <v>558</v>
      </c>
      <c r="BU53" s="3" t="s">
        <v>189</v>
      </c>
      <c r="BV53" s="3" t="s">
        <v>105</v>
      </c>
      <c r="BW53" s="3"/>
      <c r="BX53" s="3"/>
      <c r="BY53" s="3"/>
      <c r="BZ53" s="3"/>
      <c r="CA53" s="3"/>
    </row>
    <row r="54" spans="1:79" x14ac:dyDescent="0.25">
      <c r="A54" s="3" t="s">
        <v>577</v>
      </c>
      <c r="B54" s="3" t="s">
        <v>578</v>
      </c>
      <c r="C54" s="3" t="s">
        <v>450</v>
      </c>
      <c r="D54" s="3">
        <v>430</v>
      </c>
      <c r="E54" s="4">
        <v>46139</v>
      </c>
      <c r="F54" s="3">
        <v>4</v>
      </c>
      <c r="G54" s="22">
        <v>46133</v>
      </c>
      <c r="H54" s="4">
        <v>46139</v>
      </c>
      <c r="I54" s="3">
        <v>4</v>
      </c>
      <c r="J54" s="3" t="s">
        <v>543</v>
      </c>
      <c r="K54" s="22">
        <v>46139</v>
      </c>
      <c r="L54" s="3">
        <v>4</v>
      </c>
      <c r="M54" s="3">
        <f>IFERROR(IF(G54=K54,0,NETWORKDAYS(G54,K54,{"01/01/2026";"02/02/2026";"16/03/2026";"02/04/2026";"03/04/2026";"01/05/2026"})),"Faltan Fechas")</f>
        <v>5</v>
      </c>
      <c r="N54" s="23" t="str">
        <f>IFERROR(IF(OR(G54="",K54=""),"SIN DATO",IF(NETWORKDAYS(G54,K54,{"01/01/2026";"02/02/2026";"16/03/2026";"02/04/2026";"03/04/2026";"01/05/2026"})&lt;=1,"1 día o menos",IF(NETWORKDAYS(G54,K54,{"01/01/2026";"02/02/2026";"16/03/2026";"02/04/2026";"03/04/2026";"01/05/2026"})&lt;=3,"2 a 3 días",IF(NETWORKDAYS(G54,K54,{"01/01/2026";"02/02/2026";"16/03/2026";"02/04/2026";"03/04/2026";"01/05/2026"})&lt;=5,"4 a 5 días",IF(NETWORKDAYS(G54,K54,{"01/01/2026";"02/02/2026";"16/03/2026";"02/04/2026";"03/04/2026";"01/05/2026"})&lt;=10,"6 a 10 días",IF(NETWORKDAYS(G54,K54,{"01/01/2026";"02/02/2026";"16/03/2026";"02/04/2026";"03/04/2026";"01/05/2026"})&lt;=16,"11 a 15 días","más de 16 días")))))),"Aun no se entrega")</f>
        <v>4 a 5 días</v>
      </c>
      <c r="O54" s="3" t="str" cm="1">
        <f t="array" ref="O54">IFERROR(
  IF(
    NETWORKDAYS(G54,K54,{"01/01/2026";"02/02/2026";"16/03/2026";"02/04/2026";"03/04/2026";"01/05/2026"}) &lt;=
    _xlfn.IFS(
      OR(TRIM(A54)="AICM", TRIM(A54)="AÉREO AICM"), 5,
      OR(TRIM(A54)="VERACRUZ", TRIM(A54)="MARÍTIMO VERACRUZ"), 6,
      OR(TRIM(A54)="AIFA", TRIM(A54)="AÉREO AIFA"), 7,
      AND(TRIM(A54)="CORRESPONSALIAS", TRIM(B54)="NUEVO LAREDO"), 6,
      TRIM(A54)="MANZANILLO", 10,
      TRIM(A54)="TOLUCA", 6,
      TRUE, 999
    ),
    "On Time",
    "Delayed"
  ),
  "Faltan fechas"
)</f>
        <v>On Time</v>
      </c>
      <c r="P54" s="24" t="s">
        <v>544</v>
      </c>
      <c r="Q54" s="4">
        <v>46140</v>
      </c>
      <c r="R54" s="5">
        <f>IFERROR(IF(G54=Q54,0,NETWORKDAYS(G54,Q54,{"01/01/2026";"02/02/2026";"16/03/2026";"02/04/2026";"03/04/2026";"01/05/2026"})),"Faltan Fechas")</f>
        <v>6</v>
      </c>
      <c r="S54" s="4" t="str">
        <f>IFERROR(IF(OR(G54="",Q54=""),"SIN DATO",IF(NETWORKDAYS(G54,Q54,{"01/01/2026";"02/02/2026";"16/03/2026";"02/04/2026";"03/04/2026";"01/05/2026"})&lt;=1,"1 día o menos",IF(NETWORKDAYS(G54,Q54,{"01/01/2026";"02/02/2026";"16/03/2026";"02/04/2026";"03/04/2026";"01/05/2026"})&lt;=3,"2 a 3 días",IF(NETWORKDAYS(G54,Q54,{"01/01/2026";"02/02/2026";"16/03/2026";"02/04/2026";"03/04/2026";"01/05/2026"})&lt;=5,"4 a 5 días",IF(NETWORKDAYS(G54,Q54,{"01/01/2026";"02/02/2026";"16/03/2026";"02/04/2026";"03/04/2026";"01/05/2026"})&lt;=10,"6 a 10 días",IF(NETWORKDAYS(G54,Q54,{"01/01/2026";"02/02/2026";"16/03/2026";"02/04/2026";"03/04/2026";"01/05/2026"})&lt;=16,"11 a 15 días","más de 16 días")))))),"Aun no se entrega")</f>
        <v>6 a 10 días</v>
      </c>
      <c r="T54" s="4" t="str" cm="1">
        <f t="array" ref="T54">IFERROR(
  IF(
    NETWORKDAYS(G54,Q54,{"01/01/2026";"02/02/2026";"16/03/2026";"02/04/2026";"03/04/2026";"01/05/2026"}) &lt;=
    _xlfn.IFS(
      OR(TRIM(A54)="AICM", TRIM(A54)="AÉREO AICM"), 5,
      OR(TRIM(A54)="VERACRUZ", TRIM(A54)="MARÍTIMO VERACRUZ"), 6,
      OR(TRIM(A54)="AIFA", TRIM(A54)="AÉREO AIFA"), 7,
      AND(TRIM(A54)="CORRESPONSALIAS", TRIM(B54)="NUEVO LAREDO"), 6,
      TRIM(A54)="MANZANILLO", 10,
      TRIM(A54)="TOLUCA", 6,
      TRUE, 999
    ),
    "On Time",
    "Delayed"
  ),
  "Faltan fechas"
)</f>
        <v>On Time</v>
      </c>
      <c r="U54" s="3">
        <v>7</v>
      </c>
      <c r="V54" s="3" t="s">
        <v>543</v>
      </c>
      <c r="W54" s="3">
        <v>14</v>
      </c>
      <c r="X54" s="3" t="s">
        <v>559</v>
      </c>
      <c r="Y54" s="3">
        <v>0</v>
      </c>
      <c r="Z54" s="3" t="s">
        <v>546</v>
      </c>
      <c r="AA54" s="3">
        <v>6</v>
      </c>
      <c r="AB54" s="3">
        <v>1</v>
      </c>
      <c r="AC54" s="3" t="s">
        <v>546</v>
      </c>
      <c r="AD54" s="4">
        <v>46153</v>
      </c>
      <c r="AE54" s="3">
        <v>13</v>
      </c>
      <c r="AF54" s="3">
        <v>9</v>
      </c>
      <c r="AG54" s="4">
        <v>46153</v>
      </c>
      <c r="AH54" s="4">
        <v>46153</v>
      </c>
      <c r="AI54" s="3">
        <v>0</v>
      </c>
      <c r="AJ54" s="3" t="s">
        <v>559</v>
      </c>
      <c r="AK54" s="4">
        <v>46153</v>
      </c>
      <c r="AL54" s="5">
        <f>IFERROR(IF(Q54=AK54,0,NETWORKDAYS(Q54,AK54,{"01/01/2026";"02/02/2026";"16/03/2026";"02/04/2026";"03/04/2026";"01/05/2026"})),"aun no se factura")</f>
        <v>9</v>
      </c>
      <c r="AM54" s="4" t="str">
        <f>IFERROR(IF(OR(Q54="",AK54=""),"SIN DATO",IF(NETWORKDAYS(Q54,AK54,{"01/01/2026";"02/02/2026";"16/03/2026";"02/04/2026";"03/04/2026";"01/05/2026"})&lt;=1,"1 día o menos",IF(NETWORKDAYS(Q54,AK54,{"01/01/2026";"02/02/2026";"16/03/2026";"02/04/2026";"03/04/2026";"01/05/2026"})&lt;=3,"2 a 3 días",IF(NETWORKDAYS(Q54,AK54,{"01/01/2026";"02/02/2026";"16/03/2026";"02/04/2026";"03/04/2026";"01/05/2026"})&lt;=5,"4 a 5 días",IF(NETWORKDAYS(Q54,AK54,{"01/01/2026";"02/02/2026";"16/03/2026";"02/04/2026";"03/04/2026";"01/05/2026"})&lt;=10,"6 a 10 días",IF(NETWORKDAYS(Q54,AK54,{"01/01/2026";"02/02/2026";"16/03/2026";"02/04/2026";"03/04/2026";"01/05/2026"})&lt;=16,"11 a 15 días","más de 16 días")))))),"aun no se factura")</f>
        <v>6 a 10 días</v>
      </c>
      <c r="AN54" s="4" t="str" cm="1">
        <f t="array" ref="AN54">IFERROR(
  IF(
    NETWORKDAYS(Q54,AK54,{"01/01/2026";"02/02/2026";"16/03/2026";"02/04/2026";"03/04/2026";"01/05/2026"}) &lt;=
    _xlfn.IFS(
      OR(TRIM(A54)="AICM", TRIM(A54)="AÉREO AICM"), 5,
      OR(TRIM(A54)="VERACRUZ", TRIM(A54)="MARÍTIMO VERACRUZ"), 6,
      OR(TRIM(A54)="AIFA", TRIM(A54)="AÉREO AIFA"), 7,
      AND(TRIM(A54)="CORRESPONSALIAS", TRIM(B54)="NUEVO LAREDO"), 6,
      TRIM(A54)="MANZANILLO", 10,
      TRIM(A54)="TOLUCA", 6,
      TRUE, 999
    ),
    "On Time",
    "Delayed"
  ),
  "Faltan fechas"
)</f>
        <v>Delayed</v>
      </c>
      <c r="AO54" s="5">
        <v>1</v>
      </c>
      <c r="AP54" s="3" t="s">
        <v>548</v>
      </c>
      <c r="AQ54" s="3" t="s">
        <v>93</v>
      </c>
      <c r="AR54" s="3" t="s">
        <v>112</v>
      </c>
      <c r="AS54" s="3" t="s">
        <v>456</v>
      </c>
      <c r="AT54" s="3" t="s">
        <v>223</v>
      </c>
      <c r="AU54" s="5">
        <v>6000613</v>
      </c>
      <c r="AV54" s="3" t="s">
        <v>92</v>
      </c>
      <c r="AW54" s="3" t="s">
        <v>217</v>
      </c>
      <c r="AX54" s="3" t="s">
        <v>549</v>
      </c>
      <c r="AY54" s="3"/>
      <c r="AZ54" s="3" t="s">
        <v>550</v>
      </c>
      <c r="BA54" s="3" t="s">
        <v>90</v>
      </c>
      <c r="BB54" s="3"/>
      <c r="BC54" s="3" t="s">
        <v>117</v>
      </c>
      <c r="BD54" s="3"/>
      <c r="BE54" s="3" t="s">
        <v>117</v>
      </c>
      <c r="BF54" s="3" t="s">
        <v>576</v>
      </c>
      <c r="BG54" s="3" t="s">
        <v>552</v>
      </c>
      <c r="BH54" s="3" t="s">
        <v>580</v>
      </c>
      <c r="BI54" s="3"/>
      <c r="BJ54" s="3" t="s">
        <v>581</v>
      </c>
      <c r="BK54" s="3" t="s">
        <v>554</v>
      </c>
      <c r="BL54" s="3">
        <v>0</v>
      </c>
      <c r="BM54" s="3">
        <v>99</v>
      </c>
      <c r="BN54" s="3" t="s">
        <v>700</v>
      </c>
      <c r="BO54" s="3">
        <v>90</v>
      </c>
      <c r="BP54" s="3" t="s">
        <v>701</v>
      </c>
      <c r="BQ54" s="3" t="s">
        <v>702</v>
      </c>
      <c r="BR54" s="3"/>
      <c r="BS54" s="3" t="s">
        <v>558</v>
      </c>
      <c r="BT54" s="3" t="s">
        <v>558</v>
      </c>
      <c r="BU54" s="3" t="s">
        <v>105</v>
      </c>
      <c r="BV54" s="3" t="s">
        <v>105</v>
      </c>
      <c r="BW54" s="3"/>
      <c r="BX54" s="3"/>
      <c r="BY54" s="3"/>
      <c r="BZ54" s="3"/>
      <c r="CA54" s="3"/>
    </row>
    <row r="55" spans="1:79" x14ac:dyDescent="0.25">
      <c r="A55" s="3" t="s">
        <v>577</v>
      </c>
      <c r="B55" s="3" t="s">
        <v>578</v>
      </c>
      <c r="C55" s="3" t="s">
        <v>703</v>
      </c>
      <c r="D55" s="3">
        <v>430</v>
      </c>
      <c r="E55" s="4">
        <v>46142</v>
      </c>
      <c r="F55" s="3">
        <v>4</v>
      </c>
      <c r="G55" s="22">
        <v>46139</v>
      </c>
      <c r="H55" s="4">
        <v>46142</v>
      </c>
      <c r="I55" s="3">
        <v>3</v>
      </c>
      <c r="J55" s="3" t="s">
        <v>579</v>
      </c>
      <c r="K55" s="22">
        <v>46146</v>
      </c>
      <c r="L55" s="3">
        <v>5</v>
      </c>
      <c r="M55" s="3">
        <f>IFERROR(IF(G55=K55,0,NETWORKDAYS(G55,K55,{"01/01/2026";"02/02/2026";"16/03/2026";"02/04/2026";"03/04/2026";"01/05/2026"})),"Faltan Fechas")</f>
        <v>5</v>
      </c>
      <c r="N55" s="23" t="str">
        <f>IFERROR(IF(OR(G55="",K55=""),"SIN DATO",IF(NETWORKDAYS(G55,K55,{"01/01/2026";"02/02/2026";"16/03/2026";"02/04/2026";"03/04/2026";"01/05/2026"})&lt;=1,"1 día o menos",IF(NETWORKDAYS(G55,K55,{"01/01/2026";"02/02/2026";"16/03/2026";"02/04/2026";"03/04/2026";"01/05/2026"})&lt;=3,"2 a 3 días",IF(NETWORKDAYS(G55,K55,{"01/01/2026";"02/02/2026";"16/03/2026";"02/04/2026";"03/04/2026";"01/05/2026"})&lt;=5,"4 a 5 días",IF(NETWORKDAYS(G55,K55,{"01/01/2026";"02/02/2026";"16/03/2026";"02/04/2026";"03/04/2026";"01/05/2026"})&lt;=10,"6 a 10 días",IF(NETWORKDAYS(G55,K55,{"01/01/2026";"02/02/2026";"16/03/2026";"02/04/2026";"03/04/2026";"01/05/2026"})&lt;=16,"11 a 15 días","más de 16 días")))))),"Aun no se entrega")</f>
        <v>4 a 5 días</v>
      </c>
      <c r="O55" s="3" t="str" cm="1">
        <f t="array" ref="O55">IFERROR(
  IF(
    NETWORKDAYS(G55,K55,{"01/01/2026";"02/02/2026";"16/03/2026";"02/04/2026";"03/04/2026";"01/05/2026"}) &lt;=
    _xlfn.IFS(
      OR(TRIM(A55)="AICM", TRIM(A55)="AÉREO AICM"), 5,
      OR(TRIM(A55)="VERACRUZ", TRIM(A55)="MARÍTIMO VERACRUZ"), 6,
      OR(TRIM(A55)="AIFA", TRIM(A55)="AÉREO AIFA"), 7,
      AND(TRIM(A55)="CORRESPONSALIAS", TRIM(B55)="NUEVO LAREDO"), 6,
      TRIM(A55)="MANZANILLO", 10,
      TRIM(A55)="TOLUCA", 6,
      TRUE, 999
    ),
    "On Time",
    "Delayed"
  ),
  "Faltan fechas"
)</f>
        <v>On Time</v>
      </c>
      <c r="P55" s="24" t="s">
        <v>544</v>
      </c>
      <c r="Q55" s="4">
        <v>46147</v>
      </c>
      <c r="R55" s="5">
        <f>IFERROR(IF(G55=Q55,0,NETWORKDAYS(G55,Q55,{"01/01/2026";"02/02/2026";"16/03/2026";"02/04/2026";"03/04/2026";"01/05/2026"})),"Faltan Fechas")</f>
        <v>6</v>
      </c>
      <c r="S55" s="4" t="str">
        <f>IFERROR(IF(OR(G55="",Q55=""),"SIN DATO",IF(NETWORKDAYS(G55,Q55,{"01/01/2026";"02/02/2026";"16/03/2026";"02/04/2026";"03/04/2026";"01/05/2026"})&lt;=1,"1 día o menos",IF(NETWORKDAYS(G55,Q55,{"01/01/2026";"02/02/2026";"16/03/2026";"02/04/2026";"03/04/2026";"01/05/2026"})&lt;=3,"2 a 3 días",IF(NETWORKDAYS(G55,Q55,{"01/01/2026";"02/02/2026";"16/03/2026";"02/04/2026";"03/04/2026";"01/05/2026"})&lt;=5,"4 a 5 días",IF(NETWORKDAYS(G55,Q55,{"01/01/2026";"02/02/2026";"16/03/2026";"02/04/2026";"03/04/2026";"01/05/2026"})&lt;=10,"6 a 10 días",IF(NETWORKDAYS(G55,Q55,{"01/01/2026";"02/02/2026";"16/03/2026";"02/04/2026";"03/04/2026";"01/05/2026"})&lt;=16,"11 a 15 días","más de 16 días")))))),"Aun no se entrega")</f>
        <v>6 a 10 días</v>
      </c>
      <c r="T55" s="4" t="str" cm="1">
        <f t="array" ref="T55">IFERROR(
  IF(
    NETWORKDAYS(G55,Q55,{"01/01/2026";"02/02/2026";"16/03/2026";"02/04/2026";"03/04/2026";"01/05/2026"}) &lt;=
    _xlfn.IFS(
      OR(TRIM(A55)="AICM", TRIM(A55)="AÉREO AICM"), 5,
      OR(TRIM(A55)="VERACRUZ", TRIM(A55)="MARÍTIMO VERACRUZ"), 6,
      OR(TRIM(A55)="AIFA", TRIM(A55)="AÉREO AIFA"), 7,
      AND(TRIM(A55)="CORRESPONSALIAS", TRIM(B55)="NUEVO LAREDO"), 6,
      TRIM(A55)="MANZANILLO", 10,
      TRIM(A55)="TOLUCA", 6,
      TRUE, 999
    ),
    "On Time",
    "Delayed"
  ),
  "Faltan fechas"
)</f>
        <v>On Time</v>
      </c>
      <c r="U55" s="3">
        <v>8</v>
      </c>
      <c r="V55" s="3" t="s">
        <v>544</v>
      </c>
      <c r="W55" s="3" t="s">
        <v>223</v>
      </c>
      <c r="X55" s="3" t="s">
        <v>545</v>
      </c>
      <c r="Y55" s="3">
        <v>2</v>
      </c>
      <c r="Z55" s="3" t="s">
        <v>579</v>
      </c>
      <c r="AA55" s="3">
        <v>3</v>
      </c>
      <c r="AB55" s="3">
        <v>1</v>
      </c>
      <c r="AC55" s="3" t="s">
        <v>546</v>
      </c>
      <c r="AD55" s="4">
        <v>46163</v>
      </c>
      <c r="AE55" s="3">
        <v>-46145</v>
      </c>
      <c r="AF55" s="3" t="s">
        <v>223</v>
      </c>
      <c r="AG55" s="4">
        <v>45798</v>
      </c>
      <c r="AH55" s="4">
        <v>46163</v>
      </c>
      <c r="AI55" s="3">
        <v>0</v>
      </c>
      <c r="AJ55" s="3" t="s">
        <v>545</v>
      </c>
      <c r="AK55" s="4">
        <v>46163</v>
      </c>
      <c r="AL55" s="5">
        <f>IFERROR(IF(Q55=AK55,0,NETWORKDAYS(Q55,AK55,{"01/01/2026";"02/02/2026";"16/03/2026";"02/04/2026";"03/04/2026";"01/05/2026"})),"aun no se factura")</f>
        <v>13</v>
      </c>
      <c r="AM55" s="4" t="str">
        <f>IFERROR(IF(OR(Q55="",AK55=""),"SIN DATO",IF(NETWORKDAYS(Q55,AK55,{"01/01/2026";"02/02/2026";"16/03/2026";"02/04/2026";"03/04/2026";"01/05/2026"})&lt;=1,"1 día o menos",IF(NETWORKDAYS(Q55,AK55,{"01/01/2026";"02/02/2026";"16/03/2026";"02/04/2026";"03/04/2026";"01/05/2026"})&lt;=3,"2 a 3 días",IF(NETWORKDAYS(Q55,AK55,{"01/01/2026";"02/02/2026";"16/03/2026";"02/04/2026";"03/04/2026";"01/05/2026"})&lt;=5,"4 a 5 días",IF(NETWORKDAYS(Q55,AK55,{"01/01/2026";"02/02/2026";"16/03/2026";"02/04/2026";"03/04/2026";"01/05/2026"})&lt;=10,"6 a 10 días",IF(NETWORKDAYS(Q55,AK55,{"01/01/2026";"02/02/2026";"16/03/2026";"02/04/2026";"03/04/2026";"01/05/2026"})&lt;=16,"11 a 15 días","más de 16 días")))))),"aun no se factura")</f>
        <v>11 a 15 días</v>
      </c>
      <c r="AN55" s="4" t="str" cm="1">
        <f t="array" ref="AN55">IFERROR(
  IF(
    NETWORKDAYS(Q55,AK55,{"01/01/2026";"02/02/2026";"16/03/2026";"02/04/2026";"03/04/2026";"01/05/2026"}) &lt;=
    _xlfn.IFS(
      OR(TRIM(A55)="AICM", TRIM(A55)="AÉREO AICM"), 5,
      OR(TRIM(A55)="VERACRUZ", TRIM(A55)="MARÍTIMO VERACRUZ"), 6,
      OR(TRIM(A55)="AIFA", TRIM(A55)="AÉREO AIFA"), 7,
      AND(TRIM(A55)="CORRESPONSALIAS", TRIM(B55)="NUEVO LAREDO"), 6,
      TRIM(A55)="MANZANILLO", 10,
      TRIM(A55)="TOLUCA", 6,
      TRUE, 999
    ),
    "On Time",
    "Delayed"
  ),
  "Faltan fechas"
)</f>
        <v>Delayed</v>
      </c>
      <c r="AO55" s="5">
        <v>2</v>
      </c>
      <c r="AP55" s="3" t="s">
        <v>548</v>
      </c>
      <c r="AQ55" s="3" t="s">
        <v>93</v>
      </c>
      <c r="AR55" s="3" t="s">
        <v>112</v>
      </c>
      <c r="AS55" s="3" t="s">
        <v>704</v>
      </c>
      <c r="AT55" s="3" t="s">
        <v>223</v>
      </c>
      <c r="AU55" s="5">
        <v>6000658</v>
      </c>
      <c r="AV55" s="3" t="s">
        <v>92</v>
      </c>
      <c r="AW55" s="3" t="s">
        <v>705</v>
      </c>
      <c r="AX55" s="3" t="s">
        <v>549</v>
      </c>
      <c r="AY55" s="3"/>
      <c r="AZ55" s="3" t="s">
        <v>550</v>
      </c>
      <c r="BA55" s="3" t="s">
        <v>90</v>
      </c>
      <c r="BB55" s="3"/>
      <c r="BC55" s="3" t="s">
        <v>117</v>
      </c>
      <c r="BD55" s="3"/>
      <c r="BE55" s="3" t="s">
        <v>117</v>
      </c>
      <c r="BF55" s="3" t="s">
        <v>576</v>
      </c>
      <c r="BG55" s="3" t="s">
        <v>552</v>
      </c>
      <c r="BH55" s="3" t="s">
        <v>580</v>
      </c>
      <c r="BI55" s="3"/>
      <c r="BJ55" s="3" t="s">
        <v>597</v>
      </c>
      <c r="BK55" s="3" t="s">
        <v>554</v>
      </c>
      <c r="BL55" s="3">
        <v>0</v>
      </c>
      <c r="BM55" s="3">
        <v>99</v>
      </c>
      <c r="BN55" s="3" t="s">
        <v>706</v>
      </c>
      <c r="BO55" s="3">
        <v>90</v>
      </c>
      <c r="BP55" s="3">
        <v>5259733</v>
      </c>
      <c r="BQ55" s="3" t="s">
        <v>611</v>
      </c>
      <c r="BR55" s="3"/>
      <c r="BS55" s="3" t="s">
        <v>613</v>
      </c>
      <c r="BT55" s="3" t="s">
        <v>558</v>
      </c>
      <c r="BU55" s="3" t="s">
        <v>133</v>
      </c>
      <c r="BV55" s="3" t="s">
        <v>105</v>
      </c>
      <c r="BW55" s="3"/>
      <c r="BX55" s="3"/>
      <c r="BY55" s="3"/>
      <c r="BZ55" s="3"/>
      <c r="CA55" s="3"/>
    </row>
    <row r="56" spans="1:79" x14ac:dyDescent="0.25">
      <c r="A56" s="3" t="s">
        <v>565</v>
      </c>
      <c r="B56" s="3" t="s">
        <v>707</v>
      </c>
      <c r="C56" s="3" t="s">
        <v>708</v>
      </c>
      <c r="D56" s="3">
        <v>160</v>
      </c>
      <c r="E56" s="4"/>
      <c r="F56" s="3">
        <v>4</v>
      </c>
      <c r="G56" s="22">
        <v>46126</v>
      </c>
      <c r="H56" s="4" t="s">
        <v>709</v>
      </c>
      <c r="I56" s="3"/>
      <c r="J56" s="3" t="s">
        <v>568</v>
      </c>
      <c r="K56" s="22">
        <v>46141</v>
      </c>
      <c r="L56" s="3"/>
      <c r="M56" s="3">
        <f>IFERROR(IF(G56=K56,0,NETWORKDAYS(G56,K56,{"01/01/2026";"02/02/2026";"16/03/2026";"02/04/2026";"03/04/2026";"01/05/2026"})),"Faltan Fechas")</f>
        <v>12</v>
      </c>
      <c r="N56" s="23" t="str">
        <f>IFERROR(IF(OR(G56="",K56=""),"SIN DATO",IF(NETWORKDAYS(G56,K56,{"01/01/2026";"02/02/2026";"16/03/2026";"02/04/2026";"03/04/2026";"01/05/2026"})&lt;=1,"1 día o menos",IF(NETWORKDAYS(G56,K56,{"01/01/2026";"02/02/2026";"16/03/2026";"02/04/2026";"03/04/2026";"01/05/2026"})&lt;=3,"2 a 3 días",IF(NETWORKDAYS(G56,K56,{"01/01/2026";"02/02/2026";"16/03/2026";"02/04/2026";"03/04/2026";"01/05/2026"})&lt;=5,"4 a 5 días",IF(NETWORKDAYS(G56,K56,{"01/01/2026";"02/02/2026";"16/03/2026";"02/04/2026";"03/04/2026";"01/05/2026"})&lt;=10,"6 a 10 días",IF(NETWORKDAYS(G56,K56,{"01/01/2026";"02/02/2026";"16/03/2026";"02/04/2026";"03/04/2026";"01/05/2026"})&lt;=16,"11 a 15 días","más de 16 días")))))),"Aun no se entrega")</f>
        <v>11 a 15 días</v>
      </c>
      <c r="O56" s="3" t="str" cm="1">
        <f t="array" ref="O56">IFERROR(
  IF(
    NETWORKDAYS(G56,K56,{"01/01/2026";"02/02/2026";"16/03/2026";"02/04/2026";"03/04/2026";"01/05/2026"}) &lt;=
    _xlfn.IFS(
      OR(TRIM(A56)="AICM", TRIM(A56)="AÉREO AICM"), 5,
      OR(TRIM(A56)="VERACRUZ", TRIM(A56)="MARÍTIMO VERACRUZ"), 6,
      OR(TRIM(A56)="AIFA", TRIM(A56)="AÉREO AIFA"), 7,
      AND(TRIM(A56)="CORRESPONSALIAS", TRIM(B56)="NUEVO LAREDO"), 6,
      TRIM(A56)="MANZANILLO", 10,
      TRIM(A56)="TOLUCA", 6,
      TRUE, 999
    ),
    "On Time",
    "Delayed"
  ),
  "Faltan fechas"
)</f>
        <v>On Time</v>
      </c>
      <c r="P56" s="24" t="s">
        <v>545</v>
      </c>
      <c r="Q56" s="22">
        <v>46141</v>
      </c>
      <c r="R56" s="5">
        <f>IFERROR(IF(G56=Q56,0,NETWORKDAYS(G56,Q56,{"01/01/2026";"02/02/2026";"16/03/2026";"02/04/2026";"03/04/2026";"01/05/2026"})),"Faltan Fechas")</f>
        <v>12</v>
      </c>
      <c r="S56" s="4" t="str">
        <f>IFERROR(IF(OR(G56="",Q56=""),"SIN DATO",IF(NETWORKDAYS(G56,Q56,{"01/01/2026";"02/02/2026";"16/03/2026";"02/04/2026";"03/04/2026";"01/05/2026"})&lt;=1,"1 día o menos",IF(NETWORKDAYS(G56,Q56,{"01/01/2026";"02/02/2026";"16/03/2026";"02/04/2026";"03/04/2026";"01/05/2026"})&lt;=3,"2 a 3 días",IF(NETWORKDAYS(G56,Q56,{"01/01/2026";"02/02/2026";"16/03/2026";"02/04/2026";"03/04/2026";"01/05/2026"})&lt;=5,"4 a 5 días",IF(NETWORKDAYS(G56,Q56,{"01/01/2026";"02/02/2026";"16/03/2026";"02/04/2026";"03/04/2026";"01/05/2026"})&lt;=10,"6 a 10 días",IF(NETWORKDAYS(G56,Q56,{"01/01/2026";"02/02/2026";"16/03/2026";"02/04/2026";"03/04/2026";"01/05/2026"})&lt;=16,"11 a 15 días","más de 16 días")))))),"Aun no se entrega")</f>
        <v>11 a 15 días</v>
      </c>
      <c r="T56" s="4" t="str" cm="1">
        <f t="array" ref="T56">IFERROR(
  IF(
    NETWORKDAYS(G56,Q56,{"01/01/2026";"02/02/2026";"16/03/2026";"02/04/2026";"03/04/2026";"01/05/2026"}) &lt;=
    _xlfn.IFS(
      OR(TRIM(A56)="AICM", TRIM(A56)="AÉREO AICM"), 5,
      OR(TRIM(A56)="VERACRUZ", TRIM(A56)="MARÍTIMO VERACRUZ"), 6,
      OR(TRIM(A56)="AIFA", TRIM(A56)="AÉREO AIFA"), 7,
      AND(TRIM(A56)="CORRESPONSALIAS", TRIM(B56)="NUEVO LAREDO"), 6,
      TRIM(A56)="MANZANILLO", 10,
      TRIM(A56)="TOLUCA", 6,
      TRUE, 999
    ),
    "On Time",
    "Delayed"
  ),
  "Faltan fechas"
)</f>
        <v>On Time</v>
      </c>
      <c r="U56" s="3">
        <v>0</v>
      </c>
      <c r="V56" s="3" t="s">
        <v>569</v>
      </c>
      <c r="W56" s="3">
        <v>0</v>
      </c>
      <c r="X56" s="3" t="s">
        <v>569</v>
      </c>
      <c r="Y56" s="3">
        <v>0</v>
      </c>
      <c r="Z56" s="3" t="s">
        <v>569</v>
      </c>
      <c r="AA56" s="3"/>
      <c r="AB56" s="3">
        <v>-46160</v>
      </c>
      <c r="AC56" s="3" t="s">
        <v>545</v>
      </c>
      <c r="AD56" s="4"/>
      <c r="AE56" s="3">
        <v>0</v>
      </c>
      <c r="AF56" s="3">
        <v>0</v>
      </c>
      <c r="AG56" s="4" t="s">
        <v>710</v>
      </c>
      <c r="AH56" s="4"/>
      <c r="AI56" s="3"/>
      <c r="AJ56" s="3" t="s">
        <v>545</v>
      </c>
      <c r="AK56" s="4">
        <v>46154</v>
      </c>
      <c r="AL56" s="5">
        <f>IFERROR(IF(Q56=AK56,0,NETWORKDAYS(Q56,AK56,{"01/01/2026";"02/02/2026";"16/03/2026";"02/04/2026";"03/04/2026";"01/05/2026"})),"aun no se factura")</f>
        <v>9</v>
      </c>
      <c r="AM56" s="4" t="str">
        <f>IFERROR(IF(OR(Q56="",AK56=""),"SIN DATO",IF(NETWORKDAYS(Q56,AK56,{"01/01/2026";"02/02/2026";"16/03/2026";"02/04/2026";"03/04/2026";"01/05/2026"})&lt;=1,"1 día o menos",IF(NETWORKDAYS(Q56,AK56,{"01/01/2026";"02/02/2026";"16/03/2026";"02/04/2026";"03/04/2026";"01/05/2026"})&lt;=3,"2 a 3 días",IF(NETWORKDAYS(Q56,AK56,{"01/01/2026";"02/02/2026";"16/03/2026";"02/04/2026";"03/04/2026";"01/05/2026"})&lt;=5,"4 a 5 días",IF(NETWORKDAYS(Q56,AK56,{"01/01/2026";"02/02/2026";"16/03/2026";"02/04/2026";"03/04/2026";"01/05/2026"})&lt;=10,"6 a 10 días",IF(NETWORKDAYS(Q56,AK56,{"01/01/2026";"02/02/2026";"16/03/2026";"02/04/2026";"03/04/2026";"01/05/2026"})&lt;=16,"11 a 15 días","más de 16 días")))))),"aun no se factura")</f>
        <v>6 a 10 días</v>
      </c>
      <c r="AN56" s="4" t="str" cm="1">
        <f t="array" ref="AN56">IFERROR(
  IF(
    NETWORKDAYS(Q56,AK56,{"01/01/2026";"02/02/2026";"16/03/2026";"02/04/2026";"03/04/2026";"01/05/2026"}) &lt;=
    _xlfn.IFS(
      OR(TRIM(A56)="AICM", TRIM(A56)="AÉREO AICM"), 5,
      OR(TRIM(A56)="VERACRUZ", TRIM(A56)="MARÍTIMO VERACRUZ"), 6,
      OR(TRIM(A56)="AIFA", TRIM(A56)="AÉREO AIFA"), 7,
      AND(TRIM(A56)="CORRESPONSALIAS", TRIM(B56)="NUEVO LAREDO"), 6,
      TRIM(A56)="MANZANILLO", 10,
      TRIM(A56)="TOLUCA", 6,
      TRUE, 999
    ),
    "On Time",
    "Delayed"
  ),
  "Faltan fechas"
)</f>
        <v>On Time</v>
      </c>
      <c r="AO56" s="5">
        <v>0</v>
      </c>
      <c r="AP56" s="3" t="s">
        <v>548</v>
      </c>
      <c r="AQ56" s="3" t="s">
        <v>93</v>
      </c>
      <c r="AR56" s="3" t="s">
        <v>285</v>
      </c>
      <c r="AS56" s="3"/>
      <c r="AT56" s="3"/>
      <c r="AU56" s="5">
        <v>6004257</v>
      </c>
      <c r="AV56" s="3" t="s">
        <v>92</v>
      </c>
      <c r="AW56" s="3" t="s">
        <v>711</v>
      </c>
      <c r="AX56" s="3" t="s">
        <v>549</v>
      </c>
      <c r="AY56" s="3" t="s">
        <v>710</v>
      </c>
      <c r="AZ56" s="3" t="s">
        <v>550</v>
      </c>
      <c r="BA56" s="3" t="s">
        <v>90</v>
      </c>
      <c r="BB56" s="3" t="s">
        <v>710</v>
      </c>
      <c r="BC56" s="3" t="s">
        <v>710</v>
      </c>
      <c r="BD56" s="3" t="s">
        <v>710</v>
      </c>
      <c r="BE56" s="3" t="s">
        <v>710</v>
      </c>
      <c r="BF56" s="3" t="s">
        <v>576</v>
      </c>
      <c r="BG56" s="3" t="s">
        <v>552</v>
      </c>
      <c r="BH56" s="3"/>
      <c r="BI56" s="3" t="s">
        <v>710</v>
      </c>
      <c r="BJ56" s="3" t="s">
        <v>710</v>
      </c>
      <c r="BK56" s="3" t="s">
        <v>554</v>
      </c>
      <c r="BL56" s="3"/>
      <c r="BM56" s="3"/>
      <c r="BN56" s="3"/>
      <c r="BO56" s="3">
        <v>90</v>
      </c>
      <c r="BP56" s="3"/>
      <c r="BQ56" s="3"/>
      <c r="BR56" s="3" t="s">
        <v>710</v>
      </c>
      <c r="BS56" s="3"/>
      <c r="BT56" s="3"/>
      <c r="BU56" s="3"/>
      <c r="BV56" s="3"/>
      <c r="BW56" s="3"/>
      <c r="BX56" s="3"/>
      <c r="BY56" s="3"/>
      <c r="BZ56" s="3"/>
      <c r="CA56" s="3"/>
    </row>
    <row r="57" spans="1:79" x14ac:dyDescent="0.25">
      <c r="A57" s="26" t="s">
        <v>565</v>
      </c>
      <c r="B57" s="27" t="s">
        <v>707</v>
      </c>
      <c r="C57" s="27" t="s">
        <v>824</v>
      </c>
      <c r="D57" s="27">
        <v>160</v>
      </c>
      <c r="E57" s="28" t="s">
        <v>223</v>
      </c>
      <c r="F57" s="27">
        <v>1</v>
      </c>
      <c r="G57" s="35" t="s">
        <v>223</v>
      </c>
      <c r="H57" s="28">
        <v>46042</v>
      </c>
      <c r="I57" s="27" t="s">
        <v>223</v>
      </c>
      <c r="J57" s="27" t="s">
        <v>568</v>
      </c>
      <c r="K57" s="35">
        <v>46044</v>
      </c>
      <c r="L57" s="27" t="s">
        <v>223</v>
      </c>
      <c r="M57" s="34" t="str">
        <f>IFERROR(IF(G57=K57,0,NETWORKDAYS(G57,K57,{"01/01/2026";"02/02/2026";"16/03/2026";"02/04/2026";"03/04/2026";"01/05/2026"})),"Faltan Fechas")</f>
        <v>Faltan Fechas</v>
      </c>
      <c r="N57" s="33" t="str">
        <f>IFERROR(IF(OR(G57="",K57=""),"SIN DATO",IF(NETWORKDAYS(G57,K57,{"01/01/2026";"02/02/2026";"16/03/2026";"02/04/2026";"03/04/2026";"01/05/2026"})&lt;=1,"1 día o menos",IF(NETWORKDAYS(G57,K57,{"01/01/2026";"02/02/2026";"16/03/2026";"02/04/2026";"03/04/2026";"01/05/2026"})&lt;=3,"2 a 3 días",IF(NETWORKDAYS(G57,K57,{"01/01/2026";"02/02/2026";"16/03/2026";"02/04/2026";"03/04/2026";"01/05/2026"})&lt;=5,"4 a 5 días",IF(NETWORKDAYS(G57,K57,{"01/01/2026";"02/02/2026";"16/03/2026";"02/04/2026";"03/04/2026";"01/05/2026"})&lt;=10,"6 a 10 días",IF(NETWORKDAYS(G57,K57,{"01/01/2026";"02/02/2026";"16/03/2026";"02/04/2026";"03/04/2026";"01/05/2026"})&lt;=16,"11 a 15 días","más de 16 días")))))),"Aun no se entrega")</f>
        <v>Aun no se entrega</v>
      </c>
      <c r="O57" s="34" t="str" cm="1">
        <f t="array" ref="O57">IFERROR(
  IF(
    NETWORKDAYS(G57,K57,{"01/01/2026";"02/02/2026";"16/03/2026";"02/04/2026";"03/04/2026";"01/05/2026"}) &lt;=
    _xlfn.IFS(
      OR(TRIM(A57)="AICM", TRIM(A57)="AÉREO AICM"), 5,
      OR(TRIM(A57)="VERACRUZ", TRIM(A57)="MARÍTIMO VERACRUZ"), 6,
      OR(TRIM(A57)="AIFA", TRIM(A57)="AÉREO AIFA"), 7,
      AND(TRIM(A57)="CORRESPONSALIAS", TRIM(B57)="NUEVO LAREDO"), 6,
      TRIM(A57)="MANZANILLO", 10,
      TRIM(A57)="TOLUCA", 6,
      TRUE, 999
    ),
    "On Time",
    "Delayed"
  ),
  "Faltan fechas"
)</f>
        <v>Faltan fechas</v>
      </c>
      <c r="P57" s="36" t="s">
        <v>545</v>
      </c>
      <c r="Q57" s="28"/>
      <c r="R57" s="5" t="str">
        <f>IFERROR(IF(G57=Q57,0,NETWORKDAYS(G57,Q57,{"01/01/2026";"02/02/2026";"16/03/2026";"02/04/2026";"03/04/2026";"01/05/2026"})),"Faltan Fechas")</f>
        <v>Faltan Fechas</v>
      </c>
      <c r="S57" s="4" t="str">
        <f>IFERROR(IF(OR(G57="",Q57=""),"SIN DATO",IF(NETWORKDAYS(G57,Q57,{"01/01/2026";"02/02/2026";"16/03/2026";"02/04/2026";"03/04/2026";"01/05/2026"})&lt;=1,"1 día o menos",IF(NETWORKDAYS(G57,Q57,{"01/01/2026";"02/02/2026";"16/03/2026";"02/04/2026";"03/04/2026";"01/05/2026"})&lt;=3,"2 a 3 días",IF(NETWORKDAYS(G57,Q57,{"01/01/2026";"02/02/2026";"16/03/2026";"02/04/2026";"03/04/2026";"01/05/2026"})&lt;=5,"4 a 5 días",IF(NETWORKDAYS(G57,Q57,{"01/01/2026";"02/02/2026";"16/03/2026";"02/04/2026";"03/04/2026";"01/05/2026"})&lt;=10,"6 a 10 días",IF(NETWORKDAYS(G57,Q57,{"01/01/2026";"02/02/2026";"16/03/2026";"02/04/2026";"03/04/2026";"01/05/2026"})&lt;=16,"11 a 15 días","más de 16 días")))))),"Aun no se entrega")</f>
        <v>SIN DATO</v>
      </c>
      <c r="T57" s="4" t="str" cm="1">
        <f t="array" ref="T57">IFERROR(
  IF(
    NETWORKDAYS(G57,Q57,{"01/01/2026";"02/02/2026";"16/03/2026";"02/04/2026";"03/04/2026";"01/05/2026"}) &lt;=
    _xlfn.IFS(
      OR(TRIM(A57)="AICM", TRIM(A57)="AÉREO AICM"), 5,
      OR(TRIM(A57)="VERACRUZ", TRIM(A57)="MARÍTIMO VERACRUZ"), 6,
      OR(TRIM(A57)="AIFA", TRIM(A57)="AÉREO AIFA"), 7,
      AND(TRIM(A57)="CORRESPONSALIAS", TRIM(B57)="NUEVO LAREDO"), 6,
      TRIM(A57)="MANZANILLO", 10,
      TRIM(A57)="TOLUCA", 6,
      TRUE, 999
    ),
    "On Time",
    "Delayed"
  ),
  "Faltan fechas"
)</f>
        <v>Faltan fechas</v>
      </c>
      <c r="U57" s="27">
        <v>0</v>
      </c>
      <c r="V57" s="27" t="s">
        <v>569</v>
      </c>
      <c r="W57" s="27">
        <v>0</v>
      </c>
      <c r="X57" s="27" t="s">
        <v>569</v>
      </c>
      <c r="Y57" s="27">
        <v>0</v>
      </c>
      <c r="Z57" s="27" t="s">
        <v>569</v>
      </c>
      <c r="AA57" s="27">
        <v>0</v>
      </c>
      <c r="AB57" s="27">
        <v>-46042</v>
      </c>
      <c r="AC57" s="27" t="s">
        <v>545</v>
      </c>
      <c r="AD57" s="28">
        <v>46220</v>
      </c>
      <c r="AE57" s="27" t="s">
        <v>223</v>
      </c>
      <c r="AF57" s="27">
        <v>0</v>
      </c>
      <c r="AG57" s="28">
        <v>46220</v>
      </c>
      <c r="AH57" s="28">
        <v>46220</v>
      </c>
      <c r="AI57" s="29">
        <v>0</v>
      </c>
      <c r="AJ57" s="28" t="s">
        <v>545</v>
      </c>
      <c r="AK57" s="28">
        <v>46220</v>
      </c>
      <c r="AL57" s="5">
        <f>IFERROR(IF(Q57=AK57,0,NETWORKDAYS(Q57,AK57,{"01/01/2026";"02/02/2026";"16/03/2026";"02/04/2026";"03/04/2026";"01/05/2026"})),"aun no se factura")</f>
        <v>33009</v>
      </c>
      <c r="AM57" s="4" t="str">
        <f>IFERROR(IF(OR(Q57="",AK57=""),"SIN DATO",IF(NETWORKDAYS(Q57,AK57,{"01/01/2026";"02/02/2026";"16/03/2026";"02/04/2026";"03/04/2026";"01/05/2026"})&lt;=1,"1 día o menos",IF(NETWORKDAYS(Q57,AK57,{"01/01/2026";"02/02/2026";"16/03/2026";"02/04/2026";"03/04/2026";"01/05/2026"})&lt;=3,"2 a 3 días",IF(NETWORKDAYS(Q57,AK57,{"01/01/2026";"02/02/2026";"16/03/2026";"02/04/2026";"03/04/2026";"01/05/2026"})&lt;=5,"4 a 5 días",IF(NETWORKDAYS(Q57,AK57,{"01/01/2026";"02/02/2026";"16/03/2026";"02/04/2026";"03/04/2026";"01/05/2026"})&lt;=10,"6 a 10 días",IF(NETWORKDAYS(Q57,AK57,{"01/01/2026";"02/02/2026";"16/03/2026";"02/04/2026";"03/04/2026";"01/05/2026"})&lt;=16,"11 a 15 días","más de 16 días")))))),"aun no se factura")</f>
        <v>SIN DATO</v>
      </c>
      <c r="AN57" s="4" t="str" cm="1">
        <f t="array" ref="AN57">IFERROR(
  IF(
    NETWORKDAYS(Q57,AK57,{"01/01/2026";"02/02/2026";"16/03/2026";"02/04/2026";"03/04/2026";"01/05/2026"}) &lt;=
    _xlfn.IFS(
      OR(TRIM(A57)="AICM", TRIM(A57)="AÉREO AICM"), 5,
      OR(TRIM(A57)="VERACRUZ", TRIM(A57)="MARÍTIMO VERACRUZ"), 6,
      OR(TRIM(A57)="AIFA", TRIM(A57)="AÉREO AIFA"), 7,
      AND(TRIM(A57)="CORRESPONSALIAS", TRIM(B57)="NUEVO LAREDO"), 6,
      TRIM(A57)="MANZANILLO", 10,
      TRIM(A57)="TOLUCA", 6,
      TRUE, 999
    ),
    "On Time",
    "Delayed"
  ),
  "Faltan fechas"
)</f>
        <v>Delayed</v>
      </c>
      <c r="AO57" s="29">
        <v>0</v>
      </c>
      <c r="AP57" s="28" t="s">
        <v>548</v>
      </c>
      <c r="AQ57" s="27" t="s">
        <v>93</v>
      </c>
      <c r="AR57" s="27" t="s">
        <v>285</v>
      </c>
      <c r="AS57" s="27" t="s">
        <v>223</v>
      </c>
      <c r="AT57" s="27" t="s">
        <v>223</v>
      </c>
      <c r="AU57" s="29">
        <v>6000592</v>
      </c>
      <c r="AV57" s="27" t="s">
        <v>92</v>
      </c>
      <c r="AW57" s="27" t="s">
        <v>825</v>
      </c>
      <c r="AX57" s="27" t="s">
        <v>549</v>
      </c>
      <c r="AY57" s="27"/>
      <c r="AZ57" s="27" t="s">
        <v>550</v>
      </c>
      <c r="BA57" s="27" t="s">
        <v>90</v>
      </c>
      <c r="BB57" s="27"/>
      <c r="BC57" s="27"/>
      <c r="BD57" s="27"/>
      <c r="BE57" s="27"/>
      <c r="BF57" s="27" t="s">
        <v>397</v>
      </c>
      <c r="BG57" s="27" t="s">
        <v>552</v>
      </c>
      <c r="BH57" s="27" t="s">
        <v>223</v>
      </c>
      <c r="BI57" s="27"/>
      <c r="BJ57" s="27"/>
      <c r="BK57" s="27" t="s">
        <v>554</v>
      </c>
      <c r="BL57" s="27" t="s">
        <v>223</v>
      </c>
      <c r="BM57" s="27" t="s">
        <v>223</v>
      </c>
      <c r="BN57" s="27" t="s">
        <v>223</v>
      </c>
      <c r="BO57" s="27">
        <v>90</v>
      </c>
      <c r="BP57" s="27" t="s">
        <v>223</v>
      </c>
      <c r="BQ57" s="27" t="s">
        <v>223</v>
      </c>
      <c r="BR57" s="27"/>
      <c r="BS57" s="27" t="s">
        <v>223</v>
      </c>
      <c r="BT57" s="27" t="s">
        <v>223</v>
      </c>
      <c r="BU57" s="27" t="s">
        <v>223</v>
      </c>
      <c r="BV57" s="27" t="s">
        <v>223</v>
      </c>
      <c r="BW57" s="27" t="s">
        <v>223</v>
      </c>
      <c r="BX57" s="27" t="s">
        <v>223</v>
      </c>
      <c r="BY57" s="27" t="s">
        <v>223</v>
      </c>
      <c r="BZ57" s="27" t="s">
        <v>223</v>
      </c>
      <c r="CA57" s="30" t="s">
        <v>826</v>
      </c>
    </row>
    <row r="58" spans="1:79" x14ac:dyDescent="0.25">
      <c r="A58" s="26" t="s">
        <v>541</v>
      </c>
      <c r="B58" s="27" t="s">
        <v>542</v>
      </c>
      <c r="C58" s="27" t="s">
        <v>804</v>
      </c>
      <c r="D58" s="27">
        <v>470</v>
      </c>
      <c r="E58" s="28">
        <v>46168</v>
      </c>
      <c r="F58" s="27">
        <v>5</v>
      </c>
      <c r="G58" s="35">
        <v>46167</v>
      </c>
      <c r="H58" s="28">
        <v>46168</v>
      </c>
      <c r="I58" s="27">
        <v>1</v>
      </c>
      <c r="J58" s="27" t="s">
        <v>546</v>
      </c>
      <c r="K58" s="35">
        <v>46169</v>
      </c>
      <c r="L58" s="27">
        <v>2</v>
      </c>
      <c r="M58" s="34">
        <f>IFERROR(IF(G58=K58,0,NETWORKDAYS(G58,K58,{"01/01/2026";"02/02/2026";"16/03/2026";"02/04/2026";"03/04/2026";"01/05/2026"})),"Faltan Fechas")</f>
        <v>3</v>
      </c>
      <c r="N58" s="33" t="str">
        <f>IFERROR(IF(OR(G58="",K58=""),"SIN DATO",IF(NETWORKDAYS(G58,K58,{"01/01/2026";"02/02/2026";"16/03/2026";"02/04/2026";"03/04/2026";"01/05/2026"})&lt;=1,"1 día o menos",IF(NETWORKDAYS(G58,K58,{"01/01/2026";"02/02/2026";"16/03/2026";"02/04/2026";"03/04/2026";"01/05/2026"})&lt;=3,"2 a 3 días",IF(NETWORKDAYS(G58,K58,{"01/01/2026";"02/02/2026";"16/03/2026";"02/04/2026";"03/04/2026";"01/05/2026"})&lt;=5,"4 a 5 días",IF(NETWORKDAYS(G58,K58,{"01/01/2026";"02/02/2026";"16/03/2026";"02/04/2026";"03/04/2026";"01/05/2026"})&lt;=10,"6 a 10 días",IF(NETWORKDAYS(G58,K58,{"01/01/2026";"02/02/2026";"16/03/2026";"02/04/2026";"03/04/2026";"01/05/2026"})&lt;=16,"11 a 15 días","más de 16 días")))))),"Aun no se entrega")</f>
        <v>2 a 3 días</v>
      </c>
      <c r="O58" s="34" t="str" cm="1">
        <f t="array" ref="O58">IFERROR(
  IF(
    NETWORKDAYS(G58,K58,{"01/01/2026";"02/02/2026";"16/03/2026";"02/04/2026";"03/04/2026";"01/05/2026"}) &lt;=
    _xlfn.IFS(
      OR(TRIM(A58)="AICM", TRIM(A58)="AÉREO AICM"), 5,
      OR(TRIM(A58)="VERACRUZ", TRIM(A58)="MARÍTIMO VERACRUZ"), 6,
      OR(TRIM(A58)="AIFA", TRIM(A58)="AÉREO AIFA"), 7,
      AND(TRIM(A58)="CORRESPONSALIAS", TRIM(B58)="NUEVO LAREDO"), 6,
      TRIM(A58)="MANZANILLO", 10,
      TRIM(A58)="TOLUCA", 6,
      TRUE, 999
    ),
    "On Time",
    "Delayed"
  ),
  "Faltan fechas"
)</f>
        <v>On Time</v>
      </c>
      <c r="P58" s="36" t="s">
        <v>579</v>
      </c>
      <c r="Q58" s="28">
        <v>46169</v>
      </c>
      <c r="R58" s="5">
        <f>IFERROR(IF(G58=Q58,0,NETWORKDAYS(G58,Q58,{"01/01/2026";"02/02/2026";"16/03/2026";"02/04/2026";"03/04/2026";"01/05/2026"})),"Faltan Fechas")</f>
        <v>3</v>
      </c>
      <c r="S58" s="4" t="str">
        <f>IFERROR(IF(OR(G58="",Q58=""),"SIN DATO",IF(NETWORKDAYS(G58,Q58,{"01/01/2026";"02/02/2026";"16/03/2026";"02/04/2026";"03/04/2026";"01/05/2026"})&lt;=1,"1 día o menos",IF(NETWORKDAYS(G58,Q58,{"01/01/2026";"02/02/2026";"16/03/2026";"02/04/2026";"03/04/2026";"01/05/2026"})&lt;=3,"2 a 3 días",IF(NETWORKDAYS(G58,Q58,{"01/01/2026";"02/02/2026";"16/03/2026";"02/04/2026";"03/04/2026";"01/05/2026"})&lt;=5,"4 a 5 días",IF(NETWORKDAYS(G58,Q58,{"01/01/2026";"02/02/2026";"16/03/2026";"02/04/2026";"03/04/2026";"01/05/2026"})&lt;=10,"6 a 10 días",IF(NETWORKDAYS(G58,Q58,{"01/01/2026";"02/02/2026";"16/03/2026";"02/04/2026";"03/04/2026";"01/05/2026"})&lt;=16,"11 a 15 días","más de 16 días")))))),"Aun no se entrega")</f>
        <v>2 a 3 días</v>
      </c>
      <c r="T58" s="4" t="str" cm="1">
        <f t="array" ref="T58">IFERROR(
  IF(
    NETWORKDAYS(G58,Q58,{"01/01/2026";"02/02/2026";"16/03/2026";"02/04/2026";"03/04/2026";"01/05/2026"}) &lt;=
    _xlfn.IFS(
      OR(TRIM(A58)="AICM", TRIM(A58)="AÉREO AICM"), 5,
      OR(TRIM(A58)="VERACRUZ", TRIM(A58)="MARÍTIMO VERACRUZ"), 6,
      OR(TRIM(A58)="AIFA", TRIM(A58)="AÉREO AIFA"), 7,
      AND(TRIM(A58)="CORRESPONSALIAS", TRIM(B58)="NUEVO LAREDO"), 6,
      TRIM(A58)="MANZANILLO", 10,
      TRIM(A58)="TOLUCA", 6,
      TRUE, 999
    ),
    "On Time",
    "Delayed"
  ),
  "Faltan fechas"
)</f>
        <v>On Time</v>
      </c>
      <c r="U58" s="27">
        <v>2</v>
      </c>
      <c r="V58" s="27" t="s">
        <v>579</v>
      </c>
      <c r="W58" s="27">
        <v>5</v>
      </c>
      <c r="X58" s="27" t="s">
        <v>543</v>
      </c>
      <c r="Y58" s="27">
        <v>1</v>
      </c>
      <c r="Z58" s="27" t="s">
        <v>546</v>
      </c>
      <c r="AA58" s="27">
        <v>1</v>
      </c>
      <c r="AB58" s="27">
        <v>0</v>
      </c>
      <c r="AC58" s="27" t="s">
        <v>546</v>
      </c>
      <c r="AD58" s="28">
        <v>46174</v>
      </c>
      <c r="AE58" s="27">
        <v>3</v>
      </c>
      <c r="AF58" s="27">
        <v>3</v>
      </c>
      <c r="AG58" s="28">
        <v>46174</v>
      </c>
      <c r="AH58" s="28">
        <v>46174</v>
      </c>
      <c r="AI58" s="29">
        <v>0</v>
      </c>
      <c r="AJ58" s="28" t="s">
        <v>543</v>
      </c>
      <c r="AK58" s="28">
        <v>46174</v>
      </c>
      <c r="AL58" s="5">
        <f>IFERROR(IF(Q58=AK58,0,NETWORKDAYS(Q58,AK58,{"01/01/2026";"02/02/2026";"16/03/2026";"02/04/2026";"03/04/2026";"01/05/2026"})),"aun no se factura")</f>
        <v>4</v>
      </c>
      <c r="AM58" s="4" t="str">
        <f>IFERROR(IF(OR(Q58="",AK58=""),"SIN DATO",IF(NETWORKDAYS(Q58,AK58,{"01/01/2026";"02/02/2026";"16/03/2026";"02/04/2026";"03/04/2026";"01/05/2026"})&lt;=1,"1 día o menos",IF(NETWORKDAYS(Q58,AK58,{"01/01/2026";"02/02/2026";"16/03/2026";"02/04/2026";"03/04/2026";"01/05/2026"})&lt;=3,"2 a 3 días",IF(NETWORKDAYS(Q58,AK58,{"01/01/2026";"02/02/2026";"16/03/2026";"02/04/2026";"03/04/2026";"01/05/2026"})&lt;=5,"4 a 5 días",IF(NETWORKDAYS(Q58,AK58,{"01/01/2026";"02/02/2026";"16/03/2026";"02/04/2026";"03/04/2026";"01/05/2026"})&lt;=10,"6 a 10 días",IF(NETWORKDAYS(Q58,AK58,{"01/01/2026";"02/02/2026";"16/03/2026";"02/04/2026";"03/04/2026";"01/05/2026"})&lt;=16,"11 a 15 días","más de 16 días")))))),"aun no se factura")</f>
        <v>4 a 5 días</v>
      </c>
      <c r="AN58" s="4" t="str" cm="1">
        <f t="array" ref="AN58">IFERROR(
  IF(
    NETWORKDAYS(Q58,AK58,{"01/01/2026";"02/02/2026";"16/03/2026";"02/04/2026";"03/04/2026";"01/05/2026"}) &lt;=
    _xlfn.IFS(
      OR(TRIM(A58)="AICM", TRIM(A58)="AÉREO AICM"), 5,
      OR(TRIM(A58)="VERACRUZ", TRIM(A58)="MARÍTIMO VERACRUZ"), 6,
      OR(TRIM(A58)="AIFA", TRIM(A58)="AÉREO AIFA"), 7,
      AND(TRIM(A58)="CORRESPONSALIAS", TRIM(B58)="NUEVO LAREDO"), 6,
      TRIM(A58)="MANZANILLO", 10,
      TRIM(A58)="TOLUCA", 6,
      TRUE, 999
    ),
    "On Time",
    "Delayed"
  ),
  "Faltan fechas"
)</f>
        <v>On Time</v>
      </c>
      <c r="AO58" s="29">
        <v>1</v>
      </c>
      <c r="AP58" s="28" t="s">
        <v>548</v>
      </c>
      <c r="AQ58" s="27" t="s">
        <v>93</v>
      </c>
      <c r="AR58" s="27" t="s">
        <v>285</v>
      </c>
      <c r="AS58" s="27" t="s">
        <v>805</v>
      </c>
      <c r="AT58" s="27" t="s">
        <v>806</v>
      </c>
      <c r="AU58" s="29">
        <v>6003063</v>
      </c>
      <c r="AV58" s="27" t="s">
        <v>92</v>
      </c>
      <c r="AW58" s="27" t="s">
        <v>807</v>
      </c>
      <c r="AX58" s="27" t="s">
        <v>549</v>
      </c>
      <c r="AY58" s="27"/>
      <c r="AZ58" s="27" t="s">
        <v>550</v>
      </c>
      <c r="BA58" s="27" t="s">
        <v>90</v>
      </c>
      <c r="BB58" s="27"/>
      <c r="BC58" s="27"/>
      <c r="BD58" s="27"/>
      <c r="BE58" s="27"/>
      <c r="BF58" s="27" t="s">
        <v>397</v>
      </c>
      <c r="BG58" s="27" t="s">
        <v>552</v>
      </c>
      <c r="BH58" s="27" t="s">
        <v>223</v>
      </c>
      <c r="BI58" s="27"/>
      <c r="BJ58" s="27" t="s">
        <v>808</v>
      </c>
      <c r="BK58" s="27" t="s">
        <v>554</v>
      </c>
      <c r="BL58" s="27">
        <v>0</v>
      </c>
      <c r="BM58" s="27">
        <v>1</v>
      </c>
      <c r="BN58" s="27" t="s">
        <v>809</v>
      </c>
      <c r="BO58" s="27">
        <v>90</v>
      </c>
      <c r="BP58" s="27" t="s">
        <v>810</v>
      </c>
      <c r="BQ58" s="27" t="s">
        <v>563</v>
      </c>
      <c r="BR58" s="27"/>
      <c r="BS58" s="27" t="s">
        <v>557</v>
      </c>
      <c r="BT58" s="27" t="s">
        <v>558</v>
      </c>
      <c r="BU58" s="27" t="s">
        <v>197</v>
      </c>
      <c r="BV58" s="27" t="s">
        <v>105</v>
      </c>
      <c r="BW58" s="27">
        <v>249786</v>
      </c>
      <c r="BX58" s="27" t="s">
        <v>811</v>
      </c>
      <c r="BY58" s="27" t="s">
        <v>812</v>
      </c>
      <c r="BZ58" s="27" t="s">
        <v>223</v>
      </c>
      <c r="CA58" s="30" t="s">
        <v>813</v>
      </c>
    </row>
    <row r="59" spans="1:79" x14ac:dyDescent="0.25">
      <c r="A59" s="26" t="s">
        <v>565</v>
      </c>
      <c r="B59" s="27" t="s">
        <v>707</v>
      </c>
      <c r="C59" s="27" t="s">
        <v>828</v>
      </c>
      <c r="D59" s="27">
        <v>160</v>
      </c>
      <c r="E59" s="28" t="s">
        <v>223</v>
      </c>
      <c r="F59" s="27">
        <v>5</v>
      </c>
      <c r="G59" s="35" t="s">
        <v>223</v>
      </c>
      <c r="H59" s="28">
        <v>46153</v>
      </c>
      <c r="I59" s="27" t="s">
        <v>223</v>
      </c>
      <c r="J59" s="27" t="s">
        <v>568</v>
      </c>
      <c r="K59" s="35">
        <v>46162</v>
      </c>
      <c r="L59" s="27" t="s">
        <v>223</v>
      </c>
      <c r="M59" s="34" t="str">
        <f>IFERROR(IF(G59=K59,0,NETWORKDAYS(G59,K59,{"01/01/2026";"02/02/2026";"16/03/2026";"02/04/2026";"03/04/2026";"01/05/2026"})),"Faltan Fechas")</f>
        <v>Faltan Fechas</v>
      </c>
      <c r="N59" s="33" t="str">
        <f>IFERROR(IF(OR(G59="",K59=""),"SIN DATO",IF(NETWORKDAYS(G59,K59,{"01/01/2026";"02/02/2026";"16/03/2026";"02/04/2026";"03/04/2026";"01/05/2026"})&lt;=1,"1 día o menos",IF(NETWORKDAYS(G59,K59,{"01/01/2026";"02/02/2026";"16/03/2026";"02/04/2026";"03/04/2026";"01/05/2026"})&lt;=3,"2 a 3 días",IF(NETWORKDAYS(G59,K59,{"01/01/2026";"02/02/2026";"16/03/2026";"02/04/2026";"03/04/2026";"01/05/2026"})&lt;=5,"4 a 5 días",IF(NETWORKDAYS(G59,K59,{"01/01/2026";"02/02/2026";"16/03/2026";"02/04/2026";"03/04/2026";"01/05/2026"})&lt;=10,"6 a 10 días",IF(NETWORKDAYS(G59,K59,{"01/01/2026";"02/02/2026";"16/03/2026";"02/04/2026";"03/04/2026";"01/05/2026"})&lt;=16,"11 a 15 días","más de 16 días")))))),"Aun no se entrega")</f>
        <v>Aun no se entrega</v>
      </c>
      <c r="O59" s="34" t="str" cm="1">
        <f t="array" ref="O59">IFERROR(
  IF(
    NETWORKDAYS(G59,K59,{"01/01/2026";"02/02/2026";"16/03/2026";"02/04/2026";"03/04/2026";"01/05/2026"}) &lt;=
    _xlfn.IFS(
      OR(TRIM(A59)="AICM", TRIM(A59)="AÉREO AICM"), 5,
      OR(TRIM(A59)="VERACRUZ", TRIM(A59)="MARÍTIMO VERACRUZ"), 6,
      OR(TRIM(A59)="AIFA", TRIM(A59)="AÉREO AIFA"), 7,
      AND(TRIM(A59)="CORRESPONSALIAS", TRIM(B59)="NUEVO LAREDO"), 6,
      TRIM(A59)="MANZANILLO", 10,
      TRIM(A59)="TOLUCA", 6,
      TRUE, 999
    ),
    "On Time",
    "Delayed"
  ),
  "Faltan fechas"
)</f>
        <v>Faltan fechas</v>
      </c>
      <c r="P59" s="36" t="s">
        <v>545</v>
      </c>
      <c r="Q59" s="28"/>
      <c r="R59" s="5" t="str">
        <f>IFERROR(IF(G59=Q59,0,NETWORKDAYS(G59,Q59,{"01/01/2026";"02/02/2026";"16/03/2026";"02/04/2026";"03/04/2026";"01/05/2026"})),"Faltan Fechas")</f>
        <v>Faltan Fechas</v>
      </c>
      <c r="S59" s="4" t="str">
        <f>IFERROR(IF(OR(G59="",Q59=""),"SIN DATO",IF(NETWORKDAYS(G59,Q59,{"01/01/2026";"02/02/2026";"16/03/2026";"02/04/2026";"03/04/2026";"01/05/2026"})&lt;=1,"1 día o menos",IF(NETWORKDAYS(G59,Q59,{"01/01/2026";"02/02/2026";"16/03/2026";"02/04/2026";"03/04/2026";"01/05/2026"})&lt;=3,"2 a 3 días",IF(NETWORKDAYS(G59,Q59,{"01/01/2026";"02/02/2026";"16/03/2026";"02/04/2026";"03/04/2026";"01/05/2026"})&lt;=5,"4 a 5 días",IF(NETWORKDAYS(G59,Q59,{"01/01/2026";"02/02/2026";"16/03/2026";"02/04/2026";"03/04/2026";"01/05/2026"})&lt;=10,"6 a 10 días",IF(NETWORKDAYS(G59,Q59,{"01/01/2026";"02/02/2026";"16/03/2026";"02/04/2026";"03/04/2026";"01/05/2026"})&lt;=16,"11 a 15 días","más de 16 días")))))),"Aun no se entrega")</f>
        <v>SIN DATO</v>
      </c>
      <c r="T59" s="4" t="str" cm="1">
        <f t="array" ref="T59">IFERROR(
  IF(
    NETWORKDAYS(G59,Q59,{"01/01/2026";"02/02/2026";"16/03/2026";"02/04/2026";"03/04/2026";"01/05/2026"}) &lt;=
    _xlfn.IFS(
      OR(TRIM(A59)="AICM", TRIM(A59)="AÉREO AICM"), 5,
      OR(TRIM(A59)="VERACRUZ", TRIM(A59)="MARÍTIMO VERACRUZ"), 6,
      OR(TRIM(A59)="AIFA", TRIM(A59)="AÉREO AIFA"), 7,
      AND(TRIM(A59)="CORRESPONSALIAS", TRIM(B59)="NUEVO LAREDO"), 6,
      TRIM(A59)="MANZANILLO", 10,
      TRIM(A59)="TOLUCA", 6,
      TRUE, 999
    ),
    "On Time",
    "Delayed"
  ),
  "Faltan fechas"
)</f>
        <v>Faltan fechas</v>
      </c>
      <c r="U59" s="27">
        <v>0</v>
      </c>
      <c r="V59" s="27" t="s">
        <v>569</v>
      </c>
      <c r="W59" s="27">
        <v>0</v>
      </c>
      <c r="X59" s="27" t="s">
        <v>569</v>
      </c>
      <c r="Y59" s="27">
        <v>0</v>
      </c>
      <c r="Z59" s="27" t="s">
        <v>569</v>
      </c>
      <c r="AA59" s="27">
        <v>0</v>
      </c>
      <c r="AB59" s="27">
        <v>-46160</v>
      </c>
      <c r="AC59" s="27" t="s">
        <v>545</v>
      </c>
      <c r="AD59" s="28">
        <v>46174</v>
      </c>
      <c r="AE59" s="27" t="s">
        <v>223</v>
      </c>
      <c r="AF59" s="27">
        <v>0</v>
      </c>
      <c r="AG59" s="28">
        <v>46174</v>
      </c>
      <c r="AH59" s="28">
        <v>46174</v>
      </c>
      <c r="AI59" s="29">
        <v>0</v>
      </c>
      <c r="AJ59" s="28" t="s">
        <v>545</v>
      </c>
      <c r="AK59" s="28">
        <v>46174</v>
      </c>
      <c r="AL59" s="5">
        <f>IFERROR(IF(Q59=AK59,0,NETWORKDAYS(Q59,AK59,{"01/01/2026";"02/02/2026";"16/03/2026";"02/04/2026";"03/04/2026";"01/05/2026"})),"aun no se factura")</f>
        <v>32975</v>
      </c>
      <c r="AM59" s="4" t="str">
        <f>IFERROR(IF(OR(Q59="",AK59=""),"SIN DATO",IF(NETWORKDAYS(Q59,AK59,{"01/01/2026";"02/02/2026";"16/03/2026";"02/04/2026";"03/04/2026";"01/05/2026"})&lt;=1,"1 día o menos",IF(NETWORKDAYS(Q59,AK59,{"01/01/2026";"02/02/2026";"16/03/2026";"02/04/2026";"03/04/2026";"01/05/2026"})&lt;=3,"2 a 3 días",IF(NETWORKDAYS(Q59,AK59,{"01/01/2026";"02/02/2026";"16/03/2026";"02/04/2026";"03/04/2026";"01/05/2026"})&lt;=5,"4 a 5 días",IF(NETWORKDAYS(Q59,AK59,{"01/01/2026";"02/02/2026";"16/03/2026";"02/04/2026";"03/04/2026";"01/05/2026"})&lt;=10,"6 a 10 días",IF(NETWORKDAYS(Q59,AK59,{"01/01/2026";"02/02/2026";"16/03/2026";"02/04/2026";"03/04/2026";"01/05/2026"})&lt;=16,"11 a 15 días","más de 16 días")))))),"aun no se factura")</f>
        <v>SIN DATO</v>
      </c>
      <c r="AN59" s="4" t="str" cm="1">
        <f t="array" ref="AN59">IFERROR(
  IF(
    NETWORKDAYS(Q59,AK59,{"01/01/2026";"02/02/2026";"16/03/2026";"02/04/2026";"03/04/2026";"01/05/2026"}) &lt;=
    _xlfn.IFS(
      OR(TRIM(A59)="AICM", TRIM(A59)="AÉREO AICM"), 5,
      OR(TRIM(A59)="VERACRUZ", TRIM(A59)="MARÍTIMO VERACRUZ"), 6,
      OR(TRIM(A59)="AIFA", TRIM(A59)="AÉREO AIFA"), 7,
      AND(TRIM(A59)="CORRESPONSALIAS", TRIM(B59)="NUEVO LAREDO"), 6,
      TRIM(A59)="MANZANILLO", 10,
      TRIM(A59)="TOLUCA", 6,
      TRUE, 999
    ),
    "On Time",
    "Delayed"
  ),
  "Faltan fechas"
)</f>
        <v>Delayed</v>
      </c>
      <c r="AO59" s="29">
        <v>0</v>
      </c>
      <c r="AP59" s="28" t="s">
        <v>548</v>
      </c>
      <c r="AQ59" s="27" t="s">
        <v>93</v>
      </c>
      <c r="AR59" s="27" t="s">
        <v>285</v>
      </c>
      <c r="AS59" s="27" t="s">
        <v>223</v>
      </c>
      <c r="AT59" s="27" t="s">
        <v>223</v>
      </c>
      <c r="AU59" s="29">
        <v>6004835</v>
      </c>
      <c r="AV59" s="27" t="s">
        <v>92</v>
      </c>
      <c r="AW59" s="27" t="s">
        <v>829</v>
      </c>
      <c r="AX59" s="27" t="s">
        <v>549</v>
      </c>
      <c r="AY59" s="27"/>
      <c r="AZ59" s="27" t="s">
        <v>550</v>
      </c>
      <c r="BA59" s="27" t="s">
        <v>90</v>
      </c>
      <c r="BB59" s="27"/>
      <c r="BC59" s="27"/>
      <c r="BD59" s="27"/>
      <c r="BE59" s="27"/>
      <c r="BF59" s="27" t="s">
        <v>576</v>
      </c>
      <c r="BG59" s="27" t="s">
        <v>620</v>
      </c>
      <c r="BH59" s="27" t="s">
        <v>223</v>
      </c>
      <c r="BI59" s="27"/>
      <c r="BJ59" s="27"/>
      <c r="BK59" s="27" t="s">
        <v>554</v>
      </c>
      <c r="BL59" s="27" t="s">
        <v>223</v>
      </c>
      <c r="BM59" s="27" t="s">
        <v>223</v>
      </c>
      <c r="BN59" s="27" t="s">
        <v>223</v>
      </c>
      <c r="BO59" s="27">
        <v>90</v>
      </c>
      <c r="BP59" s="27" t="s">
        <v>223</v>
      </c>
      <c r="BQ59" s="27" t="s">
        <v>223</v>
      </c>
      <c r="BR59" s="27"/>
      <c r="BS59" s="27" t="s">
        <v>223</v>
      </c>
      <c r="BT59" s="27" t="s">
        <v>223</v>
      </c>
      <c r="BU59" s="27" t="s">
        <v>223</v>
      </c>
      <c r="BV59" s="27" t="s">
        <v>223</v>
      </c>
      <c r="BW59" s="27" t="s">
        <v>223</v>
      </c>
      <c r="BX59" s="27" t="s">
        <v>223</v>
      </c>
      <c r="BY59" s="27" t="s">
        <v>223</v>
      </c>
      <c r="BZ59" s="27" t="s">
        <v>223</v>
      </c>
      <c r="CA59" s="30" t="s">
        <v>830</v>
      </c>
    </row>
    <row r="60" spans="1:79" x14ac:dyDescent="0.25">
      <c r="A60" s="26" t="s">
        <v>565</v>
      </c>
      <c r="B60" s="27" t="s">
        <v>566</v>
      </c>
      <c r="C60" s="27" t="s">
        <v>838</v>
      </c>
      <c r="D60" s="27">
        <v>240</v>
      </c>
      <c r="E60" s="28" t="s">
        <v>223</v>
      </c>
      <c r="F60" s="27">
        <v>5</v>
      </c>
      <c r="G60" s="35">
        <v>46162</v>
      </c>
      <c r="H60" s="28">
        <v>46162</v>
      </c>
      <c r="I60" s="27">
        <v>0</v>
      </c>
      <c r="J60" s="27" t="s">
        <v>546</v>
      </c>
      <c r="K60" s="35">
        <v>46174</v>
      </c>
      <c r="L60" s="27">
        <v>8</v>
      </c>
      <c r="M60" s="34">
        <f>IFERROR(IF(G60=K60,0,NETWORKDAYS(G60,K60,{"01/01/2026";"02/02/2026";"16/03/2026";"02/04/2026";"03/04/2026";"01/05/2026"})),"Faltan Fechas")</f>
        <v>9</v>
      </c>
      <c r="N60" s="33" t="str">
        <f>IFERROR(IF(OR(G60="",K60=""),"SIN DATO",IF(NETWORKDAYS(G60,K60,{"01/01/2026";"02/02/2026";"16/03/2026";"02/04/2026";"03/04/2026";"01/05/2026"})&lt;=1,"1 día o menos",IF(NETWORKDAYS(G60,K60,{"01/01/2026";"02/02/2026";"16/03/2026";"02/04/2026";"03/04/2026";"01/05/2026"})&lt;=3,"2 a 3 días",IF(NETWORKDAYS(G60,K60,{"01/01/2026";"02/02/2026";"16/03/2026";"02/04/2026";"03/04/2026";"01/05/2026"})&lt;=5,"4 a 5 días",IF(NETWORKDAYS(G60,K60,{"01/01/2026";"02/02/2026";"16/03/2026";"02/04/2026";"03/04/2026";"01/05/2026"})&lt;=10,"6 a 10 días",IF(NETWORKDAYS(G60,K60,{"01/01/2026";"02/02/2026";"16/03/2026";"02/04/2026";"03/04/2026";"01/05/2026"})&lt;=16,"11 a 15 días","más de 16 días")))))),"Aun no se entrega")</f>
        <v>6 a 10 días</v>
      </c>
      <c r="O60" s="34" t="str" cm="1">
        <f t="array" ref="O60">IFERROR(
  IF(
    NETWORKDAYS(G60,K60,{"01/01/2026";"02/02/2026";"16/03/2026";"02/04/2026";"03/04/2026";"01/05/2026"}) &lt;=
    _xlfn.IFS(
      OR(TRIM(A60)="AICM", TRIM(A60)="AÉREO AICM"), 5,
      OR(TRIM(A60)="VERACRUZ", TRIM(A60)="MARÍTIMO VERACRUZ"), 6,
      OR(TRIM(A60)="AIFA", TRIM(A60)="AÉREO AIFA"), 7,
      AND(TRIM(A60)="CORRESPONSALIAS", TRIM(B60)="NUEVO LAREDO"), 6,
      TRIM(A60)="MANZANILLO", 10,
      TRIM(A60)="TOLUCA", 6,
      TRUE, 999
    ),
    "On Time",
    "Delayed"
  ),
  "Faltan fechas"
)</f>
        <v>Delayed</v>
      </c>
      <c r="P60" s="36" t="s">
        <v>544</v>
      </c>
      <c r="Q60" s="28"/>
      <c r="R60" s="5">
        <f>IFERROR(IF(G60=Q60,0,NETWORKDAYS(G60,Q60,{"01/01/2026";"02/02/2026";"16/03/2026";"02/04/2026";"03/04/2026";"01/05/2026"})),"Faltan Fechas")</f>
        <v>-32967</v>
      </c>
      <c r="S60" s="4" t="str">
        <f>IFERROR(IF(OR(G60="",Q60=""),"SIN DATO",IF(NETWORKDAYS(G60,Q60,{"01/01/2026";"02/02/2026";"16/03/2026";"02/04/2026";"03/04/2026";"01/05/2026"})&lt;=1,"1 día o menos",IF(NETWORKDAYS(G60,Q60,{"01/01/2026";"02/02/2026";"16/03/2026";"02/04/2026";"03/04/2026";"01/05/2026"})&lt;=3,"2 a 3 días",IF(NETWORKDAYS(G60,Q60,{"01/01/2026";"02/02/2026";"16/03/2026";"02/04/2026";"03/04/2026";"01/05/2026"})&lt;=5,"4 a 5 días",IF(NETWORKDAYS(G60,Q60,{"01/01/2026";"02/02/2026";"16/03/2026";"02/04/2026";"03/04/2026";"01/05/2026"})&lt;=10,"6 a 10 días",IF(NETWORKDAYS(G60,Q60,{"01/01/2026";"02/02/2026";"16/03/2026";"02/04/2026";"03/04/2026";"01/05/2026"})&lt;=16,"11 a 15 días","más de 16 días")))))),"Aun no se entrega")</f>
        <v>SIN DATO</v>
      </c>
      <c r="T60" s="4" t="str" cm="1">
        <f t="array" ref="T60">IFERROR(
  IF(
    NETWORKDAYS(G60,Q60,{"01/01/2026";"02/02/2026";"16/03/2026";"02/04/2026";"03/04/2026";"01/05/2026"}) &lt;=
    _xlfn.IFS(
      OR(TRIM(A60)="AICM", TRIM(A60)="AÉREO AICM"), 5,
      OR(TRIM(A60)="VERACRUZ", TRIM(A60)="MARÍTIMO VERACRUZ"), 6,
      OR(TRIM(A60)="AIFA", TRIM(A60)="AÉREO AIFA"), 7,
      AND(TRIM(A60)="CORRESPONSALIAS", TRIM(B60)="NUEVO LAREDO"), 6,
      TRIM(A60)="MANZANILLO", 10,
      TRIM(A60)="TOLUCA", 6,
      TRUE, 999
    ),
    "On Time",
    "Delayed"
  ),
  "Faltan fechas"
)</f>
        <v>On Time</v>
      </c>
      <c r="U60" s="27">
        <v>0</v>
      </c>
      <c r="V60" s="27" t="s">
        <v>569</v>
      </c>
      <c r="W60" s="27">
        <v>13</v>
      </c>
      <c r="X60" s="27" t="s">
        <v>559</v>
      </c>
      <c r="Y60" s="27">
        <v>0</v>
      </c>
      <c r="Z60" s="27" t="s">
        <v>569</v>
      </c>
      <c r="AA60" s="27">
        <v>0</v>
      </c>
      <c r="AB60" s="27">
        <v>-46172</v>
      </c>
      <c r="AC60" s="27" t="s">
        <v>545</v>
      </c>
      <c r="AD60" s="28">
        <v>46181</v>
      </c>
      <c r="AE60" s="27" t="s">
        <v>223</v>
      </c>
      <c r="AF60" s="27">
        <v>0</v>
      </c>
      <c r="AG60" s="28">
        <v>46181</v>
      </c>
      <c r="AH60" s="28">
        <v>46181</v>
      </c>
      <c r="AI60" s="29">
        <v>0</v>
      </c>
      <c r="AJ60" s="28" t="s">
        <v>545</v>
      </c>
      <c r="AK60" s="28">
        <v>46181</v>
      </c>
      <c r="AL60" s="5">
        <f>IFERROR(IF(Q60=AK60,0,NETWORKDAYS(Q60,AK60,{"01/01/2026";"02/02/2026";"16/03/2026";"02/04/2026";"03/04/2026";"01/05/2026"})),"aun no se factura")</f>
        <v>32980</v>
      </c>
      <c r="AM60" s="4" t="str">
        <f>IFERROR(IF(OR(Q60="",AK60=""),"SIN DATO",IF(NETWORKDAYS(Q60,AK60,{"01/01/2026";"02/02/2026";"16/03/2026";"02/04/2026";"03/04/2026";"01/05/2026"})&lt;=1,"1 día o menos",IF(NETWORKDAYS(Q60,AK60,{"01/01/2026";"02/02/2026";"16/03/2026";"02/04/2026";"03/04/2026";"01/05/2026"})&lt;=3,"2 a 3 días",IF(NETWORKDAYS(Q60,AK60,{"01/01/2026";"02/02/2026";"16/03/2026";"02/04/2026";"03/04/2026";"01/05/2026"})&lt;=5,"4 a 5 días",IF(NETWORKDAYS(Q60,AK60,{"01/01/2026";"02/02/2026";"16/03/2026";"02/04/2026";"03/04/2026";"01/05/2026"})&lt;=10,"6 a 10 días",IF(NETWORKDAYS(Q60,AK60,{"01/01/2026";"02/02/2026";"16/03/2026";"02/04/2026";"03/04/2026";"01/05/2026"})&lt;=16,"11 a 15 días","más de 16 días")))))),"aun no se factura")</f>
        <v>SIN DATO</v>
      </c>
      <c r="AN60" s="4" t="str" cm="1">
        <f t="array" ref="AN60">IFERROR(
  IF(
    NETWORKDAYS(Q60,AK60,{"01/01/2026";"02/02/2026";"16/03/2026";"02/04/2026";"03/04/2026";"01/05/2026"}) &lt;=
    _xlfn.IFS(
      OR(TRIM(A60)="AICM", TRIM(A60)="AÉREO AICM"), 5,
      OR(TRIM(A60)="VERACRUZ", TRIM(A60)="MARÍTIMO VERACRUZ"), 6,
      OR(TRIM(A60)="AIFA", TRIM(A60)="AÉREO AIFA"), 7,
      AND(TRIM(A60)="CORRESPONSALIAS", TRIM(B60)="NUEVO LAREDO"), 6,
      TRIM(A60)="MANZANILLO", 10,
      TRIM(A60)="TOLUCA", 6,
      TRUE, 999
    ),
    "On Time",
    "Delayed"
  ),
  "Faltan fechas"
)</f>
        <v>Delayed</v>
      </c>
      <c r="AO60" s="29">
        <v>0</v>
      </c>
      <c r="AP60" s="28" t="s">
        <v>548</v>
      </c>
      <c r="AQ60" s="27" t="s">
        <v>93</v>
      </c>
      <c r="AR60" s="27" t="s">
        <v>285</v>
      </c>
      <c r="AS60" s="27" t="s">
        <v>223</v>
      </c>
      <c r="AT60" s="27" t="s">
        <v>223</v>
      </c>
      <c r="AU60" s="29">
        <v>6021701</v>
      </c>
      <c r="AV60" s="27" t="s">
        <v>92</v>
      </c>
      <c r="AW60" s="27" t="s">
        <v>839</v>
      </c>
      <c r="AX60" s="27" t="s">
        <v>549</v>
      </c>
      <c r="AY60" s="27"/>
      <c r="AZ60" s="27" t="s">
        <v>550</v>
      </c>
      <c r="BA60" s="27" t="s">
        <v>90</v>
      </c>
      <c r="BB60" s="27"/>
      <c r="BC60" s="27"/>
      <c r="BD60" s="27"/>
      <c r="BE60" s="27"/>
      <c r="BF60" s="27" t="s">
        <v>576</v>
      </c>
      <c r="BG60" s="27" t="s">
        <v>552</v>
      </c>
      <c r="BH60" s="27" t="s">
        <v>223</v>
      </c>
      <c r="BI60" s="27"/>
      <c r="BJ60" s="27"/>
      <c r="BK60" s="27" t="s">
        <v>554</v>
      </c>
      <c r="BL60" s="27" t="s">
        <v>223</v>
      </c>
      <c r="BM60" s="27" t="s">
        <v>223</v>
      </c>
      <c r="BN60" s="27" t="s">
        <v>223</v>
      </c>
      <c r="BO60" s="27">
        <v>90</v>
      </c>
      <c r="BP60" s="27" t="s">
        <v>223</v>
      </c>
      <c r="BQ60" s="27" t="s">
        <v>223</v>
      </c>
      <c r="BR60" s="27"/>
      <c r="BS60" s="27" t="s">
        <v>223</v>
      </c>
      <c r="BT60" s="27" t="s">
        <v>223</v>
      </c>
      <c r="BU60" s="27" t="s">
        <v>223</v>
      </c>
      <c r="BV60" s="27" t="s">
        <v>223</v>
      </c>
      <c r="BW60" s="27" t="s">
        <v>223</v>
      </c>
      <c r="BX60" s="27" t="s">
        <v>223</v>
      </c>
      <c r="BY60" s="27" t="s">
        <v>223</v>
      </c>
      <c r="BZ60" s="27" t="s">
        <v>223</v>
      </c>
      <c r="CA60" s="30" t="s">
        <v>840</v>
      </c>
    </row>
    <row r="61" spans="1:79" x14ac:dyDescent="0.25">
      <c r="A61" s="26" t="s">
        <v>577</v>
      </c>
      <c r="B61" s="27" t="s">
        <v>578</v>
      </c>
      <c r="C61" s="27" t="s">
        <v>957</v>
      </c>
      <c r="D61" s="27">
        <v>430</v>
      </c>
      <c r="E61" s="28">
        <v>46147</v>
      </c>
      <c r="F61" s="27">
        <v>5</v>
      </c>
      <c r="G61" s="35">
        <v>46114</v>
      </c>
      <c r="H61" s="28">
        <v>46147</v>
      </c>
      <c r="I61" s="27">
        <v>23</v>
      </c>
      <c r="J61" s="27" t="s">
        <v>568</v>
      </c>
      <c r="K61" s="35">
        <v>46148</v>
      </c>
      <c r="L61" s="27">
        <v>24</v>
      </c>
      <c r="M61" s="34">
        <f>IFERROR(IF(G61=K61,0,NETWORKDAYS(G61,K61,{"01/01/2026";"02/02/2026";"16/03/2026";"02/04/2026";"03/04/2026";"01/05/2026"})),"Faltan Fechas")</f>
        <v>22</v>
      </c>
      <c r="N61" s="33" t="str">
        <f>IFERROR(IF(OR(G61="",K61=""),"SIN DATO",IF(NETWORKDAYS(G61,K61,{"01/01/2026";"02/02/2026";"16/03/2026";"02/04/2026";"03/04/2026";"01/05/2026"})&lt;=1,"1 día o menos",IF(NETWORKDAYS(G61,K61,{"01/01/2026";"02/02/2026";"16/03/2026";"02/04/2026";"03/04/2026";"01/05/2026"})&lt;=3,"2 a 3 días",IF(NETWORKDAYS(G61,K61,{"01/01/2026";"02/02/2026";"16/03/2026";"02/04/2026";"03/04/2026";"01/05/2026"})&lt;=5,"4 a 5 días",IF(NETWORKDAYS(G61,K61,{"01/01/2026";"02/02/2026";"16/03/2026";"02/04/2026";"03/04/2026";"01/05/2026"})&lt;=10,"6 a 10 días",IF(NETWORKDAYS(G61,K61,{"01/01/2026";"02/02/2026";"16/03/2026";"02/04/2026";"03/04/2026";"01/05/2026"})&lt;=16,"11 a 15 días","más de 16 días")))))),"Aun no se entrega")</f>
        <v>más de 16 días</v>
      </c>
      <c r="O61" s="34" t="str" cm="1">
        <f t="array" ref="O61">IFERROR(
  IF(
    NETWORKDAYS(G61,K61,{"01/01/2026";"02/02/2026";"16/03/2026";"02/04/2026";"03/04/2026";"01/05/2026"}) &lt;=
    _xlfn.IFS(
      OR(TRIM(A61)="AICM", TRIM(A61)="AÉREO AICM"), 5,
      OR(TRIM(A61)="VERACRUZ", TRIM(A61)="MARÍTIMO VERACRUZ"), 6,
      OR(TRIM(A61)="AIFA", TRIM(A61)="AÉREO AIFA"), 7,
      AND(TRIM(A61)="CORRESPONSALIAS", TRIM(B61)="NUEVO LAREDO"), 6,
      TRIM(A61)="MANZANILLO", 10,
      TRIM(A61)="TOLUCA", 6,
      TRUE, 999
    ),
    "On Time",
    "Delayed"
  ),
  "Faltan fechas"
)</f>
        <v>Delayed</v>
      </c>
      <c r="P61" s="36" t="s">
        <v>568</v>
      </c>
      <c r="Q61" s="28">
        <v>46149</v>
      </c>
      <c r="R61" s="5">
        <f>IFERROR(IF(G61=Q61,0,NETWORKDAYS(G61,Q61,{"01/01/2026";"02/02/2026";"16/03/2026";"02/04/2026";"03/04/2026";"01/05/2026"})),"Faltan Fechas")</f>
        <v>23</v>
      </c>
      <c r="S61" s="4" t="str">
        <f>IFERROR(IF(OR(G61="",Q61=""),"SIN DATO",IF(NETWORKDAYS(G61,Q61,{"01/01/2026";"02/02/2026";"16/03/2026";"02/04/2026";"03/04/2026";"01/05/2026"})&lt;=1,"1 día o menos",IF(NETWORKDAYS(G61,Q61,{"01/01/2026";"02/02/2026";"16/03/2026";"02/04/2026";"03/04/2026";"01/05/2026"})&lt;=3,"2 a 3 días",IF(NETWORKDAYS(G61,Q61,{"01/01/2026";"02/02/2026";"16/03/2026";"02/04/2026";"03/04/2026";"01/05/2026"})&lt;=5,"4 a 5 días",IF(NETWORKDAYS(G61,Q61,{"01/01/2026";"02/02/2026";"16/03/2026";"02/04/2026";"03/04/2026";"01/05/2026"})&lt;=10,"6 a 10 días",IF(NETWORKDAYS(G61,Q61,{"01/01/2026";"02/02/2026";"16/03/2026";"02/04/2026";"03/04/2026";"01/05/2026"})&lt;=16,"11 a 15 días","más de 16 días")))))),"Aun no se entrega")</f>
        <v>más de 16 días</v>
      </c>
      <c r="T61" s="4" t="str" cm="1">
        <f t="array" ref="T61">IFERROR(
  IF(
    NETWORKDAYS(G61,Q61,{"01/01/2026";"02/02/2026";"16/03/2026";"02/04/2026";"03/04/2026";"01/05/2026"}) &lt;=
    _xlfn.IFS(
      OR(TRIM(A61)="AICM", TRIM(A61)="AÉREO AICM"), 5,
      OR(TRIM(A61)="VERACRUZ", TRIM(A61)="MARÍTIMO VERACRUZ"), 6,
      OR(TRIM(A61)="AIFA", TRIM(A61)="AÉREO AIFA"), 7,
      AND(TRIM(A61)="CORRESPONSALIAS", TRIM(B61)="NUEVO LAREDO"), 6,
      TRIM(A61)="MANZANILLO", 10,
      TRIM(A61)="TOLUCA", 6,
      TRUE, 999
    ),
    "On Time",
    "Delayed"
  ),
  "Faltan fechas"
)</f>
        <v>Delayed</v>
      </c>
      <c r="U61" s="27">
        <v>25</v>
      </c>
      <c r="V61" s="27" t="s">
        <v>588</v>
      </c>
      <c r="W61" s="27">
        <v>31</v>
      </c>
      <c r="X61" s="27" t="s">
        <v>547</v>
      </c>
      <c r="Y61" s="27">
        <v>1</v>
      </c>
      <c r="Z61" s="27" t="s">
        <v>546</v>
      </c>
      <c r="AA61" s="27">
        <v>1</v>
      </c>
      <c r="AB61" s="27">
        <v>1</v>
      </c>
      <c r="AC61" s="27" t="s">
        <v>546</v>
      </c>
      <c r="AD61" s="28">
        <v>46157</v>
      </c>
      <c r="AE61" s="27">
        <v>6</v>
      </c>
      <c r="AF61" s="27">
        <v>6</v>
      </c>
      <c r="AG61" s="28">
        <v>46157</v>
      </c>
      <c r="AH61" s="28">
        <v>46157</v>
      </c>
      <c r="AI61" s="29">
        <v>0</v>
      </c>
      <c r="AJ61" s="28" t="s">
        <v>544</v>
      </c>
      <c r="AK61" s="28">
        <v>46157</v>
      </c>
      <c r="AL61" s="5">
        <f>IFERROR(IF(Q61=AK61,0,NETWORKDAYS(Q61,AK61,{"01/01/2026";"02/02/2026";"16/03/2026";"02/04/2026";"03/04/2026";"01/05/2026"})),"aun no se factura")</f>
        <v>7</v>
      </c>
      <c r="AM61" s="4" t="str">
        <f>IFERROR(IF(OR(Q61="",AK61=""),"SIN DATO",IF(NETWORKDAYS(Q61,AK61,{"01/01/2026";"02/02/2026";"16/03/2026";"02/04/2026";"03/04/2026";"01/05/2026"})&lt;=1,"1 día o menos",IF(NETWORKDAYS(Q61,AK61,{"01/01/2026";"02/02/2026";"16/03/2026";"02/04/2026";"03/04/2026";"01/05/2026"})&lt;=3,"2 a 3 días",IF(NETWORKDAYS(Q61,AK61,{"01/01/2026";"02/02/2026";"16/03/2026";"02/04/2026";"03/04/2026";"01/05/2026"})&lt;=5,"4 a 5 días",IF(NETWORKDAYS(Q61,AK61,{"01/01/2026";"02/02/2026";"16/03/2026";"02/04/2026";"03/04/2026";"01/05/2026"})&lt;=10,"6 a 10 días",IF(NETWORKDAYS(Q61,AK61,{"01/01/2026";"02/02/2026";"16/03/2026";"02/04/2026";"03/04/2026";"01/05/2026"})&lt;=16,"11 a 15 días","más de 16 días")))))),"aun no se factura")</f>
        <v>6 a 10 días</v>
      </c>
      <c r="AN61" s="4" t="str" cm="1">
        <f t="array" ref="AN61">IFERROR(
  IF(
    NETWORKDAYS(Q61,AK61,{"01/01/2026";"02/02/2026";"16/03/2026";"02/04/2026";"03/04/2026";"01/05/2026"}) &lt;=
    _xlfn.IFS(
      OR(TRIM(A61)="AICM", TRIM(A61)="AÉREO AICM"), 5,
      OR(TRIM(A61)="VERACRUZ", TRIM(A61)="MARÍTIMO VERACRUZ"), 6,
      OR(TRIM(A61)="AIFA", TRIM(A61)="AÉREO AIFA"), 7,
      AND(TRIM(A61)="CORRESPONSALIAS", TRIM(B61)="NUEVO LAREDO"), 6,
      TRIM(A61)="MANZANILLO", 10,
      TRIM(A61)="TOLUCA", 6,
      TRUE, 999
    ),
    "On Time",
    "Delayed"
  ),
  "Faltan fechas"
)</f>
        <v>Delayed</v>
      </c>
      <c r="AO61" s="29">
        <v>1</v>
      </c>
      <c r="AP61" s="28" t="s">
        <v>548</v>
      </c>
      <c r="AQ61" s="27" t="s">
        <v>93</v>
      </c>
      <c r="AR61" s="27" t="s">
        <v>112</v>
      </c>
      <c r="AS61" s="27">
        <v>266640330</v>
      </c>
      <c r="AT61" s="27" t="s">
        <v>223</v>
      </c>
      <c r="AU61" s="29">
        <v>6000610</v>
      </c>
      <c r="AV61" s="27" t="s">
        <v>92</v>
      </c>
      <c r="AW61" s="27" t="s">
        <v>958</v>
      </c>
      <c r="AX61" s="27" t="s">
        <v>549</v>
      </c>
      <c r="AY61" s="27"/>
      <c r="AZ61" s="27" t="s">
        <v>550</v>
      </c>
      <c r="BA61" s="27" t="s">
        <v>90</v>
      </c>
      <c r="BB61" s="27"/>
      <c r="BC61" s="27" t="s">
        <v>959</v>
      </c>
      <c r="BD61" s="27"/>
      <c r="BE61" s="27" t="s">
        <v>959</v>
      </c>
      <c r="BF61" s="27" t="s">
        <v>576</v>
      </c>
      <c r="BG61" s="27" t="s">
        <v>552</v>
      </c>
      <c r="BH61" s="27" t="s">
        <v>607</v>
      </c>
      <c r="BI61" s="27" t="s">
        <v>960</v>
      </c>
      <c r="BJ61" s="27"/>
      <c r="BK61" s="27" t="s">
        <v>554</v>
      </c>
      <c r="BL61" s="27">
        <v>0</v>
      </c>
      <c r="BM61" s="27">
        <v>0.99</v>
      </c>
      <c r="BN61" s="27" t="s">
        <v>961</v>
      </c>
      <c r="BO61" s="27">
        <v>90</v>
      </c>
      <c r="BP61" s="27" t="s">
        <v>962</v>
      </c>
      <c r="BQ61" s="27" t="s">
        <v>963</v>
      </c>
      <c r="BR61" s="27"/>
      <c r="BS61" s="27" t="s">
        <v>619</v>
      </c>
      <c r="BT61" s="27" t="s">
        <v>558</v>
      </c>
      <c r="BU61" s="27" t="s">
        <v>189</v>
      </c>
      <c r="BV61" s="27" t="s">
        <v>105</v>
      </c>
      <c r="BW61" s="27">
        <v>6855362</v>
      </c>
      <c r="BX61" s="27" t="s">
        <v>964</v>
      </c>
      <c r="BY61" s="27" t="s">
        <v>965</v>
      </c>
      <c r="BZ61" s="27" t="s">
        <v>223</v>
      </c>
      <c r="CA61" s="30" t="s">
        <v>966</v>
      </c>
    </row>
    <row r="62" spans="1:79" x14ac:dyDescent="0.25">
      <c r="A62" s="26" t="s">
        <v>577</v>
      </c>
      <c r="B62" s="27" t="s">
        <v>578</v>
      </c>
      <c r="C62" s="27" t="s">
        <v>967</v>
      </c>
      <c r="D62" s="27">
        <v>430</v>
      </c>
      <c r="E62" s="28">
        <v>46147</v>
      </c>
      <c r="F62" s="27">
        <v>5</v>
      </c>
      <c r="G62" s="35">
        <v>46114</v>
      </c>
      <c r="H62" s="28">
        <v>46147</v>
      </c>
      <c r="I62" s="27">
        <v>23</v>
      </c>
      <c r="J62" s="27" t="s">
        <v>568</v>
      </c>
      <c r="K62" s="35">
        <v>46148</v>
      </c>
      <c r="L62" s="27">
        <v>24</v>
      </c>
      <c r="M62" s="34">
        <f>IFERROR(IF(G62=K62,0,NETWORKDAYS(G62,K62,{"01/01/2026";"02/02/2026";"16/03/2026";"02/04/2026";"03/04/2026";"01/05/2026"})),"Faltan Fechas")</f>
        <v>22</v>
      </c>
      <c r="N62" s="33" t="str">
        <f>IFERROR(IF(OR(G62="",K62=""),"SIN DATO",IF(NETWORKDAYS(G62,K62,{"01/01/2026";"02/02/2026";"16/03/2026";"02/04/2026";"03/04/2026";"01/05/2026"})&lt;=1,"1 día o menos",IF(NETWORKDAYS(G62,K62,{"01/01/2026";"02/02/2026";"16/03/2026";"02/04/2026";"03/04/2026";"01/05/2026"})&lt;=3,"2 a 3 días",IF(NETWORKDAYS(G62,K62,{"01/01/2026";"02/02/2026";"16/03/2026";"02/04/2026";"03/04/2026";"01/05/2026"})&lt;=5,"4 a 5 días",IF(NETWORKDAYS(G62,K62,{"01/01/2026";"02/02/2026";"16/03/2026";"02/04/2026";"03/04/2026";"01/05/2026"})&lt;=10,"6 a 10 días",IF(NETWORKDAYS(G62,K62,{"01/01/2026";"02/02/2026";"16/03/2026";"02/04/2026";"03/04/2026";"01/05/2026"})&lt;=16,"11 a 15 días","más de 16 días")))))),"Aun no se entrega")</f>
        <v>más de 16 días</v>
      </c>
      <c r="O62" s="34" t="str" cm="1">
        <f t="array" ref="O62">IFERROR(
  IF(
    NETWORKDAYS(G62,K62,{"01/01/2026";"02/02/2026";"16/03/2026";"02/04/2026";"03/04/2026";"01/05/2026"}) &lt;=
    _xlfn.IFS(
      OR(TRIM(A62)="AICM", TRIM(A62)="AÉREO AICM"), 5,
      OR(TRIM(A62)="VERACRUZ", TRIM(A62)="MARÍTIMO VERACRUZ"), 6,
      OR(TRIM(A62)="AIFA", TRIM(A62)="AÉREO AIFA"), 7,
      AND(TRIM(A62)="CORRESPONSALIAS", TRIM(B62)="NUEVO LAREDO"), 6,
      TRIM(A62)="MANZANILLO", 10,
      TRIM(A62)="TOLUCA", 6,
      TRUE, 999
    ),
    "On Time",
    "Delayed"
  ),
  "Faltan fechas"
)</f>
        <v>Delayed</v>
      </c>
      <c r="P62" s="36" t="s">
        <v>568</v>
      </c>
      <c r="Q62" s="28">
        <v>46149</v>
      </c>
      <c r="R62" s="5">
        <f>IFERROR(IF(G62=Q62,0,NETWORKDAYS(G62,Q62,{"01/01/2026";"02/02/2026";"16/03/2026";"02/04/2026";"03/04/2026";"01/05/2026"})),"Faltan Fechas")</f>
        <v>23</v>
      </c>
      <c r="S62" s="4" t="str">
        <f>IFERROR(IF(OR(G62="",Q62=""),"SIN DATO",IF(NETWORKDAYS(G62,Q62,{"01/01/2026";"02/02/2026";"16/03/2026";"02/04/2026";"03/04/2026";"01/05/2026"})&lt;=1,"1 día o menos",IF(NETWORKDAYS(G62,Q62,{"01/01/2026";"02/02/2026";"16/03/2026";"02/04/2026";"03/04/2026";"01/05/2026"})&lt;=3,"2 a 3 días",IF(NETWORKDAYS(G62,Q62,{"01/01/2026";"02/02/2026";"16/03/2026";"02/04/2026";"03/04/2026";"01/05/2026"})&lt;=5,"4 a 5 días",IF(NETWORKDAYS(G62,Q62,{"01/01/2026";"02/02/2026";"16/03/2026";"02/04/2026";"03/04/2026";"01/05/2026"})&lt;=10,"6 a 10 días",IF(NETWORKDAYS(G62,Q62,{"01/01/2026";"02/02/2026";"16/03/2026";"02/04/2026";"03/04/2026";"01/05/2026"})&lt;=16,"11 a 15 días","más de 16 días")))))),"Aun no se entrega")</f>
        <v>más de 16 días</v>
      </c>
      <c r="T62" s="4" t="str" cm="1">
        <f t="array" ref="T62">IFERROR(
  IF(
    NETWORKDAYS(G62,Q62,{"01/01/2026";"02/02/2026";"16/03/2026";"02/04/2026";"03/04/2026";"01/05/2026"}) &lt;=
    _xlfn.IFS(
      OR(TRIM(A62)="AICM", TRIM(A62)="AÉREO AICM"), 5,
      OR(TRIM(A62)="VERACRUZ", TRIM(A62)="MARÍTIMO VERACRUZ"), 6,
      OR(TRIM(A62)="AIFA", TRIM(A62)="AÉREO AIFA"), 7,
      AND(TRIM(A62)="CORRESPONSALIAS", TRIM(B62)="NUEVO LAREDO"), 6,
      TRIM(A62)="MANZANILLO", 10,
      TRIM(A62)="TOLUCA", 6,
      TRUE, 999
    ),
    "On Time",
    "Delayed"
  ),
  "Faltan fechas"
)</f>
        <v>Delayed</v>
      </c>
      <c r="U62" s="27">
        <v>25</v>
      </c>
      <c r="V62" s="27" t="s">
        <v>588</v>
      </c>
      <c r="W62" s="27">
        <v>31</v>
      </c>
      <c r="X62" s="27" t="s">
        <v>547</v>
      </c>
      <c r="Y62" s="27">
        <v>1</v>
      </c>
      <c r="Z62" s="27" t="s">
        <v>546</v>
      </c>
      <c r="AA62" s="27">
        <v>1</v>
      </c>
      <c r="AB62" s="27">
        <v>1</v>
      </c>
      <c r="AC62" s="27" t="s">
        <v>546</v>
      </c>
      <c r="AD62" s="28">
        <v>46157</v>
      </c>
      <c r="AE62" s="27">
        <v>6</v>
      </c>
      <c r="AF62" s="27">
        <v>6</v>
      </c>
      <c r="AG62" s="28">
        <v>46157</v>
      </c>
      <c r="AH62" s="28">
        <v>46157</v>
      </c>
      <c r="AI62" s="29">
        <v>0</v>
      </c>
      <c r="AJ62" s="28" t="s">
        <v>544</v>
      </c>
      <c r="AK62" s="28">
        <v>46157</v>
      </c>
      <c r="AL62" s="5">
        <f>IFERROR(IF(Q62=AK62,0,NETWORKDAYS(Q62,AK62,{"01/01/2026";"02/02/2026";"16/03/2026";"02/04/2026";"03/04/2026";"01/05/2026"})),"aun no se factura")</f>
        <v>7</v>
      </c>
      <c r="AM62" s="4" t="str">
        <f>IFERROR(IF(OR(Q62="",AK62=""),"SIN DATO",IF(NETWORKDAYS(Q62,AK62,{"01/01/2026";"02/02/2026";"16/03/2026";"02/04/2026";"03/04/2026";"01/05/2026"})&lt;=1,"1 día o menos",IF(NETWORKDAYS(Q62,AK62,{"01/01/2026";"02/02/2026";"16/03/2026";"02/04/2026";"03/04/2026";"01/05/2026"})&lt;=3,"2 a 3 días",IF(NETWORKDAYS(Q62,AK62,{"01/01/2026";"02/02/2026";"16/03/2026";"02/04/2026";"03/04/2026";"01/05/2026"})&lt;=5,"4 a 5 días",IF(NETWORKDAYS(Q62,AK62,{"01/01/2026";"02/02/2026";"16/03/2026";"02/04/2026";"03/04/2026";"01/05/2026"})&lt;=10,"6 a 10 días",IF(NETWORKDAYS(Q62,AK62,{"01/01/2026";"02/02/2026";"16/03/2026";"02/04/2026";"03/04/2026";"01/05/2026"})&lt;=16,"11 a 15 días","más de 16 días")))))),"aun no se factura")</f>
        <v>6 a 10 días</v>
      </c>
      <c r="AN62" s="4" t="str" cm="1">
        <f t="array" ref="AN62">IFERROR(
  IF(
    NETWORKDAYS(Q62,AK62,{"01/01/2026";"02/02/2026";"16/03/2026";"02/04/2026";"03/04/2026";"01/05/2026"}) &lt;=
    _xlfn.IFS(
      OR(TRIM(A62)="AICM", TRIM(A62)="AÉREO AICM"), 5,
      OR(TRIM(A62)="VERACRUZ", TRIM(A62)="MARÍTIMO VERACRUZ"), 6,
      OR(TRIM(A62)="AIFA", TRIM(A62)="AÉREO AIFA"), 7,
      AND(TRIM(A62)="CORRESPONSALIAS", TRIM(B62)="NUEVO LAREDO"), 6,
      TRIM(A62)="MANZANILLO", 10,
      TRIM(A62)="TOLUCA", 6,
      TRUE, 999
    ),
    "On Time",
    "Delayed"
  ),
  "Faltan fechas"
)</f>
        <v>Delayed</v>
      </c>
      <c r="AO62" s="29">
        <v>1</v>
      </c>
      <c r="AP62" s="28" t="s">
        <v>548</v>
      </c>
      <c r="AQ62" s="27" t="s">
        <v>93</v>
      </c>
      <c r="AR62" s="27" t="s">
        <v>112</v>
      </c>
      <c r="AS62" s="27">
        <v>266640330</v>
      </c>
      <c r="AT62" s="27" t="s">
        <v>223</v>
      </c>
      <c r="AU62" s="29">
        <v>6000611</v>
      </c>
      <c r="AV62" s="27" t="s">
        <v>92</v>
      </c>
      <c r="AW62" s="27" t="s">
        <v>292</v>
      </c>
      <c r="AX62" s="27" t="s">
        <v>549</v>
      </c>
      <c r="AY62" s="27"/>
      <c r="AZ62" s="27" t="s">
        <v>550</v>
      </c>
      <c r="BA62" s="27" t="s">
        <v>90</v>
      </c>
      <c r="BB62" s="27"/>
      <c r="BC62" s="27" t="s">
        <v>959</v>
      </c>
      <c r="BD62" s="27"/>
      <c r="BE62" s="27" t="s">
        <v>959</v>
      </c>
      <c r="BF62" s="27" t="s">
        <v>576</v>
      </c>
      <c r="BG62" s="27" t="s">
        <v>620</v>
      </c>
      <c r="BH62" s="27" t="s">
        <v>607</v>
      </c>
      <c r="BI62" s="27" t="s">
        <v>968</v>
      </c>
      <c r="BJ62" s="27"/>
      <c r="BK62" s="27" t="s">
        <v>554</v>
      </c>
      <c r="BL62" s="27">
        <v>0</v>
      </c>
      <c r="BM62" s="27">
        <v>99</v>
      </c>
      <c r="BN62" s="27" t="s">
        <v>969</v>
      </c>
      <c r="BO62" s="27">
        <v>90</v>
      </c>
      <c r="BP62" s="27" t="s">
        <v>970</v>
      </c>
      <c r="BQ62" s="27" t="s">
        <v>611</v>
      </c>
      <c r="BR62" s="27"/>
      <c r="BS62" s="27" t="s">
        <v>619</v>
      </c>
      <c r="BT62" s="27" t="s">
        <v>558</v>
      </c>
      <c r="BU62" s="27" t="s">
        <v>189</v>
      </c>
      <c r="BV62" s="27" t="s">
        <v>105</v>
      </c>
      <c r="BW62" s="27">
        <v>2808770</v>
      </c>
      <c r="BX62" s="27" t="s">
        <v>971</v>
      </c>
      <c r="BY62" s="27" t="s">
        <v>223</v>
      </c>
      <c r="BZ62" s="27" t="s">
        <v>972</v>
      </c>
      <c r="CA62" s="30" t="s">
        <v>973</v>
      </c>
    </row>
    <row r="63" spans="1:79" x14ac:dyDescent="0.25">
      <c r="A63" s="26" t="s">
        <v>577</v>
      </c>
      <c r="B63" s="27" t="s">
        <v>578</v>
      </c>
      <c r="C63" s="27" t="s">
        <v>978</v>
      </c>
      <c r="D63" s="27">
        <v>430</v>
      </c>
      <c r="E63" s="28">
        <v>46162</v>
      </c>
      <c r="F63" s="27">
        <v>5</v>
      </c>
      <c r="G63" s="35">
        <v>46133</v>
      </c>
      <c r="H63" s="28">
        <v>46162</v>
      </c>
      <c r="I63" s="27">
        <v>21</v>
      </c>
      <c r="J63" s="27" t="s">
        <v>568</v>
      </c>
      <c r="K63" s="35">
        <v>46163</v>
      </c>
      <c r="L63" s="27">
        <v>22</v>
      </c>
      <c r="M63" s="34">
        <f>IFERROR(IF(G63=K63,0,NETWORKDAYS(G63,K63,{"01/01/2026";"02/02/2026";"16/03/2026";"02/04/2026";"03/04/2026";"01/05/2026"})),"Faltan Fechas")</f>
        <v>22</v>
      </c>
      <c r="N63" s="33" t="str">
        <f>IFERROR(IF(OR(G63="",K63=""),"SIN DATO",IF(NETWORKDAYS(G63,K63,{"01/01/2026";"02/02/2026";"16/03/2026";"02/04/2026";"03/04/2026";"01/05/2026"})&lt;=1,"1 día o menos",IF(NETWORKDAYS(G63,K63,{"01/01/2026";"02/02/2026";"16/03/2026";"02/04/2026";"03/04/2026";"01/05/2026"})&lt;=3,"2 a 3 días",IF(NETWORKDAYS(G63,K63,{"01/01/2026";"02/02/2026";"16/03/2026";"02/04/2026";"03/04/2026";"01/05/2026"})&lt;=5,"4 a 5 días",IF(NETWORKDAYS(G63,K63,{"01/01/2026";"02/02/2026";"16/03/2026";"02/04/2026";"03/04/2026";"01/05/2026"})&lt;=10,"6 a 10 días",IF(NETWORKDAYS(G63,K63,{"01/01/2026";"02/02/2026";"16/03/2026";"02/04/2026";"03/04/2026";"01/05/2026"})&lt;=16,"11 a 15 días","más de 16 días")))))),"Aun no se entrega")</f>
        <v>más de 16 días</v>
      </c>
      <c r="O63" s="34" t="str" cm="1">
        <f t="array" ref="O63">IFERROR(
  IF(
    NETWORKDAYS(G63,K63,{"01/01/2026";"02/02/2026";"16/03/2026";"02/04/2026";"03/04/2026";"01/05/2026"}) &lt;=
    _xlfn.IFS(
      OR(TRIM(A63)="AICM", TRIM(A63)="AÉREO AICM"), 5,
      OR(TRIM(A63)="VERACRUZ", TRIM(A63)="MARÍTIMO VERACRUZ"), 6,
      OR(TRIM(A63)="AIFA", TRIM(A63)="AÉREO AIFA"), 7,
      AND(TRIM(A63)="CORRESPONSALIAS", TRIM(B63)="NUEVO LAREDO"), 6,
      TRIM(A63)="MANZANILLO", 10,
      TRIM(A63)="TOLUCA", 6,
      TRUE, 999
    ),
    "On Time",
    "Delayed"
  ),
  "Faltan fechas"
)</f>
        <v>Delayed</v>
      </c>
      <c r="P63" s="36" t="s">
        <v>568</v>
      </c>
      <c r="Q63" s="28">
        <v>46164</v>
      </c>
      <c r="R63" s="5">
        <f>IFERROR(IF(G63=Q63,0,NETWORKDAYS(G63,Q63,{"01/01/2026";"02/02/2026";"16/03/2026";"02/04/2026";"03/04/2026";"01/05/2026"})),"Faltan Fechas")</f>
        <v>23</v>
      </c>
      <c r="S63" s="4" t="str">
        <f>IFERROR(IF(OR(G63="",Q63=""),"SIN DATO",IF(NETWORKDAYS(G63,Q63,{"01/01/2026";"02/02/2026";"16/03/2026";"02/04/2026";"03/04/2026";"01/05/2026"})&lt;=1,"1 día o menos",IF(NETWORKDAYS(G63,Q63,{"01/01/2026";"02/02/2026";"16/03/2026";"02/04/2026";"03/04/2026";"01/05/2026"})&lt;=3,"2 a 3 días",IF(NETWORKDAYS(G63,Q63,{"01/01/2026";"02/02/2026";"16/03/2026";"02/04/2026";"03/04/2026";"01/05/2026"})&lt;=5,"4 a 5 días",IF(NETWORKDAYS(G63,Q63,{"01/01/2026";"02/02/2026";"16/03/2026";"02/04/2026";"03/04/2026";"01/05/2026"})&lt;=10,"6 a 10 días",IF(NETWORKDAYS(G63,Q63,{"01/01/2026";"02/02/2026";"16/03/2026";"02/04/2026";"03/04/2026";"01/05/2026"})&lt;=16,"11 a 15 días","más de 16 días")))))),"Aun no se entrega")</f>
        <v>más de 16 días</v>
      </c>
      <c r="T63" s="4" t="str" cm="1">
        <f t="array" ref="T63">IFERROR(
  IF(
    NETWORKDAYS(G63,Q63,{"01/01/2026";"02/02/2026";"16/03/2026";"02/04/2026";"03/04/2026";"01/05/2026"}) &lt;=
    _xlfn.IFS(
      OR(TRIM(A63)="AICM", TRIM(A63)="AÉREO AICM"), 5,
      OR(TRIM(A63)="VERACRUZ", TRIM(A63)="MARÍTIMO VERACRUZ"), 6,
      OR(TRIM(A63)="AIFA", TRIM(A63)="AÉREO AIFA"), 7,
      AND(TRIM(A63)="CORRESPONSALIAS", TRIM(B63)="NUEVO LAREDO"), 6,
      TRIM(A63)="MANZANILLO", 10,
      TRIM(A63)="TOLUCA", 6,
      TRUE, 999
    ),
    "On Time",
    "Delayed"
  ),
  "Faltan fechas"
)</f>
        <v>Delayed</v>
      </c>
      <c r="U63" s="27">
        <v>23</v>
      </c>
      <c r="V63" s="27" t="s">
        <v>588</v>
      </c>
      <c r="W63" s="27">
        <v>34</v>
      </c>
      <c r="X63" s="27" t="s">
        <v>547</v>
      </c>
      <c r="Y63" s="27">
        <v>1</v>
      </c>
      <c r="Z63" s="27" t="s">
        <v>546</v>
      </c>
      <c r="AA63" s="27">
        <v>1</v>
      </c>
      <c r="AB63" s="27">
        <v>1</v>
      </c>
      <c r="AC63" s="27" t="s">
        <v>546</v>
      </c>
      <c r="AD63" s="28">
        <v>46181</v>
      </c>
      <c r="AE63" s="27">
        <v>8</v>
      </c>
      <c r="AF63" s="27">
        <v>11</v>
      </c>
      <c r="AG63" s="28">
        <v>46176</v>
      </c>
      <c r="AH63" s="28">
        <v>46181</v>
      </c>
      <c r="AI63" s="29">
        <v>3</v>
      </c>
      <c r="AJ63" s="28" t="s">
        <v>547</v>
      </c>
      <c r="AK63" s="28">
        <v>46181</v>
      </c>
      <c r="AL63" s="5">
        <f>IFERROR(IF(Q63=AK63,0,NETWORKDAYS(Q63,AK63,{"01/01/2026";"02/02/2026";"16/03/2026";"02/04/2026";"03/04/2026";"01/05/2026"})),"aun no se factura")</f>
        <v>12</v>
      </c>
      <c r="AM63" s="4" t="str">
        <f>IFERROR(IF(OR(Q63="",AK63=""),"SIN DATO",IF(NETWORKDAYS(Q63,AK63,{"01/01/2026";"02/02/2026";"16/03/2026";"02/04/2026";"03/04/2026";"01/05/2026"})&lt;=1,"1 día o menos",IF(NETWORKDAYS(Q63,AK63,{"01/01/2026";"02/02/2026";"16/03/2026";"02/04/2026";"03/04/2026";"01/05/2026"})&lt;=3,"2 a 3 días",IF(NETWORKDAYS(Q63,AK63,{"01/01/2026";"02/02/2026";"16/03/2026";"02/04/2026";"03/04/2026";"01/05/2026"})&lt;=5,"4 a 5 días",IF(NETWORKDAYS(Q63,AK63,{"01/01/2026";"02/02/2026";"16/03/2026";"02/04/2026";"03/04/2026";"01/05/2026"})&lt;=10,"6 a 10 días",IF(NETWORKDAYS(Q63,AK63,{"01/01/2026";"02/02/2026";"16/03/2026";"02/04/2026";"03/04/2026";"01/05/2026"})&lt;=16,"11 a 15 días","más de 16 días")))))),"aun no se factura")</f>
        <v>11 a 15 días</v>
      </c>
      <c r="AN63" s="4" t="str" cm="1">
        <f t="array" ref="AN63">IFERROR(
  IF(
    NETWORKDAYS(Q63,AK63,{"01/01/2026";"02/02/2026";"16/03/2026";"02/04/2026";"03/04/2026";"01/05/2026"}) &lt;=
    _xlfn.IFS(
      OR(TRIM(A63)="AICM", TRIM(A63)="AÉREO AICM"), 5,
      OR(TRIM(A63)="VERACRUZ", TRIM(A63)="MARÍTIMO VERACRUZ"), 6,
      OR(TRIM(A63)="AIFA", TRIM(A63)="AÉREO AIFA"), 7,
      AND(TRIM(A63)="CORRESPONSALIAS", TRIM(B63)="NUEVO LAREDO"), 6,
      TRIM(A63)="MANZANILLO", 10,
      TRIM(A63)="TOLUCA", 6,
      TRUE, 999
    ),
    "On Time",
    "Delayed"
  ),
  "Faltan fechas"
)</f>
        <v>Delayed</v>
      </c>
      <c r="AO63" s="29">
        <v>1</v>
      </c>
      <c r="AP63" s="28" t="s">
        <v>548</v>
      </c>
      <c r="AQ63" s="27" t="s">
        <v>93</v>
      </c>
      <c r="AR63" s="27" t="s">
        <v>112</v>
      </c>
      <c r="AS63" s="27" t="s">
        <v>979</v>
      </c>
      <c r="AT63" s="27" t="s">
        <v>223</v>
      </c>
      <c r="AU63" s="29">
        <v>6000633</v>
      </c>
      <c r="AV63" s="27" t="s">
        <v>92</v>
      </c>
      <c r="AW63" s="27" t="s">
        <v>980</v>
      </c>
      <c r="AX63" s="27" t="s">
        <v>549</v>
      </c>
      <c r="AY63" s="27"/>
      <c r="AZ63" s="27" t="s">
        <v>550</v>
      </c>
      <c r="BA63" s="27" t="s">
        <v>90</v>
      </c>
      <c r="BB63" s="27"/>
      <c r="BC63" s="27" t="s">
        <v>107</v>
      </c>
      <c r="BD63" s="27" t="s">
        <v>981</v>
      </c>
      <c r="BE63" s="27" t="s">
        <v>107</v>
      </c>
      <c r="BF63" s="27" t="s">
        <v>576</v>
      </c>
      <c r="BG63" s="27" t="s">
        <v>552</v>
      </c>
      <c r="BH63" s="27" t="s">
        <v>607</v>
      </c>
      <c r="BI63" s="27" t="s">
        <v>982</v>
      </c>
      <c r="BJ63" s="27"/>
      <c r="BK63" s="27" t="s">
        <v>554</v>
      </c>
      <c r="BL63" s="27">
        <v>0</v>
      </c>
      <c r="BM63" s="27">
        <v>0.99</v>
      </c>
      <c r="BN63" s="27" t="s">
        <v>983</v>
      </c>
      <c r="BO63" s="27">
        <v>90</v>
      </c>
      <c r="BP63" s="27" t="s">
        <v>984</v>
      </c>
      <c r="BQ63" s="27" t="s">
        <v>646</v>
      </c>
      <c r="BR63" s="27"/>
      <c r="BS63" s="27" t="s">
        <v>635</v>
      </c>
      <c r="BT63" s="27" t="s">
        <v>558</v>
      </c>
      <c r="BU63" s="27" t="s">
        <v>636</v>
      </c>
      <c r="BV63" s="27" t="s">
        <v>105</v>
      </c>
      <c r="BW63" s="27">
        <v>2907612</v>
      </c>
      <c r="BX63" s="27" t="s">
        <v>802</v>
      </c>
      <c r="BY63" s="27" t="s">
        <v>985</v>
      </c>
      <c r="BZ63" s="27" t="s">
        <v>223</v>
      </c>
      <c r="CA63" s="30" t="s">
        <v>986</v>
      </c>
    </row>
    <row r="64" spans="1:79" x14ac:dyDescent="0.25">
      <c r="A64" s="26" t="s">
        <v>577</v>
      </c>
      <c r="B64" s="27" t="s">
        <v>578</v>
      </c>
      <c r="C64" s="27" t="s">
        <v>989</v>
      </c>
      <c r="D64" s="27">
        <v>430</v>
      </c>
      <c r="E64" s="28">
        <v>46151</v>
      </c>
      <c r="F64" s="27">
        <v>5</v>
      </c>
      <c r="G64" s="35">
        <v>46143</v>
      </c>
      <c r="H64" s="28">
        <v>46151</v>
      </c>
      <c r="I64" s="27">
        <v>5</v>
      </c>
      <c r="J64" s="27" t="s">
        <v>543</v>
      </c>
      <c r="K64" s="35">
        <v>46153</v>
      </c>
      <c r="L64" s="27">
        <v>6</v>
      </c>
      <c r="M64" s="34">
        <f>IFERROR(IF(G64=K64,0,NETWORKDAYS(G64,K64,{"01/01/2026";"02/02/2026";"16/03/2026";"02/04/2026";"03/04/2026";"01/05/2026"})),"Faltan Fechas")</f>
        <v>6</v>
      </c>
      <c r="N64" s="33" t="str">
        <f>IFERROR(IF(OR(G64="",K64=""),"SIN DATO",IF(NETWORKDAYS(G64,K64,{"01/01/2026";"02/02/2026";"16/03/2026";"02/04/2026";"03/04/2026";"01/05/2026"})&lt;=1,"1 día o menos",IF(NETWORKDAYS(G64,K64,{"01/01/2026";"02/02/2026";"16/03/2026";"02/04/2026";"03/04/2026";"01/05/2026"})&lt;=3,"2 a 3 días",IF(NETWORKDAYS(G64,K64,{"01/01/2026";"02/02/2026";"16/03/2026";"02/04/2026";"03/04/2026";"01/05/2026"})&lt;=5,"4 a 5 días",IF(NETWORKDAYS(G64,K64,{"01/01/2026";"02/02/2026";"16/03/2026";"02/04/2026";"03/04/2026";"01/05/2026"})&lt;=10,"6 a 10 días",IF(NETWORKDAYS(G64,K64,{"01/01/2026";"02/02/2026";"16/03/2026";"02/04/2026";"03/04/2026";"01/05/2026"})&lt;=16,"11 a 15 días","más de 16 días")))))),"Aun no se entrega")</f>
        <v>6 a 10 días</v>
      </c>
      <c r="O64" s="34" t="str" cm="1">
        <f t="array" ref="O64">IFERROR(
  IF(
    NETWORKDAYS(G64,K64,{"01/01/2026";"02/02/2026";"16/03/2026";"02/04/2026";"03/04/2026";"01/05/2026"}) &lt;=
    _xlfn.IFS(
      OR(TRIM(A64)="AICM", TRIM(A64)="AÉREO AICM"), 5,
      OR(TRIM(A64)="VERACRUZ", TRIM(A64)="MARÍTIMO VERACRUZ"), 6,
      OR(TRIM(A64)="AIFA", TRIM(A64)="AÉREO AIFA"), 7,
      AND(TRIM(A64)="CORRESPONSALIAS", TRIM(B64)="NUEVO LAREDO"), 6,
      TRIM(A64)="MANZANILLO", 10,
      TRIM(A64)="TOLUCA", 6,
      TRUE, 999
    ),
    "On Time",
    "Delayed"
  ),
  "Faltan fechas"
)</f>
        <v>On Time</v>
      </c>
      <c r="P64" s="36" t="s">
        <v>544</v>
      </c>
      <c r="Q64" s="28">
        <v>46155</v>
      </c>
      <c r="R64" s="5">
        <f>IFERROR(IF(G64=Q64,0,NETWORKDAYS(G64,Q64,{"01/01/2026";"02/02/2026";"16/03/2026";"02/04/2026";"03/04/2026";"01/05/2026"})),"Faltan Fechas")</f>
        <v>8</v>
      </c>
      <c r="S64" s="4" t="str">
        <f>IFERROR(IF(OR(G64="",Q64=""),"SIN DATO",IF(NETWORKDAYS(G64,Q64,{"01/01/2026";"02/02/2026";"16/03/2026";"02/04/2026";"03/04/2026";"01/05/2026"})&lt;=1,"1 día o menos",IF(NETWORKDAYS(G64,Q64,{"01/01/2026";"02/02/2026";"16/03/2026";"02/04/2026";"03/04/2026";"01/05/2026"})&lt;=3,"2 a 3 días",IF(NETWORKDAYS(G64,Q64,{"01/01/2026";"02/02/2026";"16/03/2026";"02/04/2026";"03/04/2026";"01/05/2026"})&lt;=5,"4 a 5 días",IF(NETWORKDAYS(G64,Q64,{"01/01/2026";"02/02/2026";"16/03/2026";"02/04/2026";"03/04/2026";"01/05/2026"})&lt;=10,"6 a 10 días",IF(NETWORKDAYS(G64,Q64,{"01/01/2026";"02/02/2026";"16/03/2026";"02/04/2026";"03/04/2026";"01/05/2026"})&lt;=16,"11 a 15 días","más de 16 días")))))),"Aun no se entrega")</f>
        <v>6 a 10 días</v>
      </c>
      <c r="T64" s="4" t="str" cm="1">
        <f t="array" ref="T64">IFERROR(
  IF(
    NETWORKDAYS(G64,Q64,{"01/01/2026";"02/02/2026";"16/03/2026";"02/04/2026";"03/04/2026";"01/05/2026"}) &lt;=
    _xlfn.IFS(
      OR(TRIM(A64)="AICM", TRIM(A64)="AÉREO AICM"), 5,
      OR(TRIM(A64)="VERACRUZ", TRIM(A64)="MARÍTIMO VERACRUZ"), 6,
      OR(TRIM(A64)="AIFA", TRIM(A64)="AÉREO AIFA"), 7,
      AND(TRIM(A64)="CORRESPONSALIAS", TRIM(B64)="NUEVO LAREDO"), 6,
      TRIM(A64)="MANZANILLO", 10,
      TRIM(A64)="TOLUCA", 6,
      TRUE, 999
    ),
    "On Time",
    "Delayed"
  ),
  "Faltan fechas"
)</f>
        <v>Delayed</v>
      </c>
      <c r="U64" s="27">
        <v>8</v>
      </c>
      <c r="V64" s="27" t="s">
        <v>544</v>
      </c>
      <c r="W64" s="27">
        <v>22</v>
      </c>
      <c r="X64" s="27" t="s">
        <v>547</v>
      </c>
      <c r="Y64" s="27">
        <v>0</v>
      </c>
      <c r="Z64" s="27" t="s">
        <v>546</v>
      </c>
      <c r="AA64" s="27">
        <v>0</v>
      </c>
      <c r="AB64" s="27">
        <v>2</v>
      </c>
      <c r="AC64" s="27" t="s">
        <v>579</v>
      </c>
      <c r="AD64" s="28">
        <v>46175</v>
      </c>
      <c r="AE64" s="27">
        <v>13</v>
      </c>
      <c r="AF64" s="27">
        <v>14</v>
      </c>
      <c r="AG64" s="28">
        <v>46174</v>
      </c>
      <c r="AH64" s="28">
        <v>46175</v>
      </c>
      <c r="AI64" s="29">
        <v>1</v>
      </c>
      <c r="AJ64" s="28" t="s">
        <v>547</v>
      </c>
      <c r="AK64" s="28">
        <v>46175</v>
      </c>
      <c r="AL64" s="5">
        <f>IFERROR(IF(Q64=AK64,0,NETWORKDAYS(Q64,AK64,{"01/01/2026";"02/02/2026";"16/03/2026";"02/04/2026";"03/04/2026";"01/05/2026"})),"aun no se factura")</f>
        <v>15</v>
      </c>
      <c r="AM64" s="4" t="str">
        <f>IFERROR(IF(OR(Q64="",AK64=""),"SIN DATO",IF(NETWORKDAYS(Q64,AK64,{"01/01/2026";"02/02/2026";"16/03/2026";"02/04/2026";"03/04/2026";"01/05/2026"})&lt;=1,"1 día o menos",IF(NETWORKDAYS(Q64,AK64,{"01/01/2026";"02/02/2026";"16/03/2026";"02/04/2026";"03/04/2026";"01/05/2026"})&lt;=3,"2 a 3 días",IF(NETWORKDAYS(Q64,AK64,{"01/01/2026";"02/02/2026";"16/03/2026";"02/04/2026";"03/04/2026";"01/05/2026"})&lt;=5,"4 a 5 días",IF(NETWORKDAYS(Q64,AK64,{"01/01/2026";"02/02/2026";"16/03/2026";"02/04/2026";"03/04/2026";"01/05/2026"})&lt;=10,"6 a 10 días",IF(NETWORKDAYS(Q64,AK64,{"01/01/2026";"02/02/2026";"16/03/2026";"02/04/2026";"03/04/2026";"01/05/2026"})&lt;=16,"11 a 15 días","más de 16 días")))))),"aun no se factura")</f>
        <v>11 a 15 días</v>
      </c>
      <c r="AN64" s="4" t="str" cm="1">
        <f t="array" ref="AN64">IFERROR(
  IF(
    NETWORKDAYS(Q64,AK64,{"01/01/2026";"02/02/2026";"16/03/2026";"02/04/2026";"03/04/2026";"01/05/2026"}) &lt;=
    _xlfn.IFS(
      OR(TRIM(A64)="AICM", TRIM(A64)="AÉREO AICM"), 5,
      OR(TRIM(A64)="VERACRUZ", TRIM(A64)="MARÍTIMO VERACRUZ"), 6,
      OR(TRIM(A64)="AIFA", TRIM(A64)="AÉREO AIFA"), 7,
      AND(TRIM(A64)="CORRESPONSALIAS", TRIM(B64)="NUEVO LAREDO"), 6,
      TRIM(A64)="MANZANILLO", 10,
      TRIM(A64)="TOLUCA", 6,
      TRUE, 999
    ),
    "On Time",
    "Delayed"
  ),
  "Faltan fechas"
)</f>
        <v>Delayed</v>
      </c>
      <c r="AO64" s="29">
        <v>1</v>
      </c>
      <c r="AP64" s="28" t="s">
        <v>548</v>
      </c>
      <c r="AQ64" s="27" t="s">
        <v>93</v>
      </c>
      <c r="AR64" s="27" t="s">
        <v>112</v>
      </c>
      <c r="AS64" s="27" t="s">
        <v>990</v>
      </c>
      <c r="AT64" s="27" t="s">
        <v>223</v>
      </c>
      <c r="AU64" s="29">
        <v>6000696</v>
      </c>
      <c r="AV64" s="27" t="s">
        <v>92</v>
      </c>
      <c r="AW64" s="27" t="s">
        <v>410</v>
      </c>
      <c r="AX64" s="27" t="s">
        <v>549</v>
      </c>
      <c r="AY64" s="27"/>
      <c r="AZ64" s="27" t="s">
        <v>550</v>
      </c>
      <c r="BA64" s="27" t="s">
        <v>90</v>
      </c>
      <c r="BB64" s="27"/>
      <c r="BC64" s="27" t="s">
        <v>397</v>
      </c>
      <c r="BD64" s="27" t="s">
        <v>991</v>
      </c>
      <c r="BE64" s="27" t="s">
        <v>991</v>
      </c>
      <c r="BF64" s="27" t="s">
        <v>576</v>
      </c>
      <c r="BG64" s="27" t="s">
        <v>620</v>
      </c>
      <c r="BH64" s="27" t="s">
        <v>607</v>
      </c>
      <c r="BI64" s="27" t="s">
        <v>992</v>
      </c>
      <c r="BJ64" s="27"/>
      <c r="BK64" s="27" t="s">
        <v>554</v>
      </c>
      <c r="BL64" s="27">
        <v>0</v>
      </c>
      <c r="BM64" s="27">
        <v>99</v>
      </c>
      <c r="BN64" s="27" t="s">
        <v>223</v>
      </c>
      <c r="BO64" s="27">
        <v>90</v>
      </c>
      <c r="BP64" s="27" t="s">
        <v>934</v>
      </c>
      <c r="BQ64" s="27" t="s">
        <v>103</v>
      </c>
      <c r="BR64" s="27"/>
      <c r="BS64" s="27" t="s">
        <v>688</v>
      </c>
      <c r="BT64" s="27" t="s">
        <v>689</v>
      </c>
      <c r="BU64" s="27" t="s">
        <v>415</v>
      </c>
      <c r="BV64" s="27" t="s">
        <v>416</v>
      </c>
      <c r="BW64" s="27">
        <v>486355</v>
      </c>
      <c r="BX64" s="27" t="s">
        <v>993</v>
      </c>
      <c r="BY64" s="27" t="s">
        <v>994</v>
      </c>
      <c r="BZ64" s="27" t="s">
        <v>995</v>
      </c>
      <c r="CA64" s="30" t="s">
        <v>996</v>
      </c>
    </row>
    <row r="65" spans="1:79" x14ac:dyDescent="0.25">
      <c r="A65" s="26" t="s">
        <v>577</v>
      </c>
      <c r="B65" s="27" t="s">
        <v>578</v>
      </c>
      <c r="C65" s="27" t="s">
        <v>997</v>
      </c>
      <c r="D65" s="27">
        <v>430</v>
      </c>
      <c r="E65" s="28">
        <v>46155</v>
      </c>
      <c r="F65" s="27">
        <v>5</v>
      </c>
      <c r="G65" s="35">
        <v>46150</v>
      </c>
      <c r="H65" s="28">
        <v>46155</v>
      </c>
      <c r="I65" s="27">
        <v>3</v>
      </c>
      <c r="J65" s="27" t="s">
        <v>579</v>
      </c>
      <c r="K65" s="35">
        <v>46156</v>
      </c>
      <c r="L65" s="27">
        <v>4</v>
      </c>
      <c r="M65" s="34">
        <f>IFERROR(IF(G65=K65,0,NETWORKDAYS(G65,K65,{"01/01/2026";"02/02/2026";"16/03/2026";"02/04/2026";"03/04/2026";"01/05/2026"})),"Faltan Fechas")</f>
        <v>5</v>
      </c>
      <c r="N65" s="33" t="str">
        <f>IFERROR(IF(OR(G65="",K65=""),"SIN DATO",IF(NETWORKDAYS(G65,K65,{"01/01/2026";"02/02/2026";"16/03/2026";"02/04/2026";"03/04/2026";"01/05/2026"})&lt;=1,"1 día o menos",IF(NETWORKDAYS(G65,K65,{"01/01/2026";"02/02/2026";"16/03/2026";"02/04/2026";"03/04/2026";"01/05/2026"})&lt;=3,"2 a 3 días",IF(NETWORKDAYS(G65,K65,{"01/01/2026";"02/02/2026";"16/03/2026";"02/04/2026";"03/04/2026";"01/05/2026"})&lt;=5,"4 a 5 días",IF(NETWORKDAYS(G65,K65,{"01/01/2026";"02/02/2026";"16/03/2026";"02/04/2026";"03/04/2026";"01/05/2026"})&lt;=10,"6 a 10 días",IF(NETWORKDAYS(G65,K65,{"01/01/2026";"02/02/2026";"16/03/2026";"02/04/2026";"03/04/2026";"01/05/2026"})&lt;=16,"11 a 15 días","más de 16 días")))))),"Aun no se entrega")</f>
        <v>4 a 5 días</v>
      </c>
      <c r="O65" s="34" t="str" cm="1">
        <f t="array" ref="O65">IFERROR(
  IF(
    NETWORKDAYS(G65,K65,{"01/01/2026";"02/02/2026";"16/03/2026";"02/04/2026";"03/04/2026";"01/05/2026"}) &lt;=
    _xlfn.IFS(
      OR(TRIM(A65)="AICM", TRIM(A65)="AÉREO AICM"), 5,
      OR(TRIM(A65)="VERACRUZ", TRIM(A65)="MARÍTIMO VERACRUZ"), 6,
      OR(TRIM(A65)="AIFA", TRIM(A65)="AÉREO AIFA"), 7,
      AND(TRIM(A65)="CORRESPONSALIAS", TRIM(B65)="NUEVO LAREDO"), 6,
      TRIM(A65)="MANZANILLO", 10,
      TRIM(A65)="TOLUCA", 6,
      TRUE, 999
    ),
    "On Time",
    "Delayed"
  ),
  "Faltan fechas"
)</f>
        <v>On Time</v>
      </c>
      <c r="P65" s="36" t="s">
        <v>543</v>
      </c>
      <c r="Q65" s="28">
        <v>46157</v>
      </c>
      <c r="R65" s="5">
        <f>IFERROR(IF(G65=Q65,0,NETWORKDAYS(G65,Q65,{"01/01/2026";"02/02/2026";"16/03/2026";"02/04/2026";"03/04/2026";"01/05/2026"})),"Faltan Fechas")</f>
        <v>6</v>
      </c>
      <c r="S65" s="4" t="str">
        <f>IFERROR(IF(OR(G65="",Q65=""),"SIN DATO",IF(NETWORKDAYS(G65,Q65,{"01/01/2026";"02/02/2026";"16/03/2026";"02/04/2026";"03/04/2026";"01/05/2026"})&lt;=1,"1 día o menos",IF(NETWORKDAYS(G65,Q65,{"01/01/2026";"02/02/2026";"16/03/2026";"02/04/2026";"03/04/2026";"01/05/2026"})&lt;=3,"2 a 3 días",IF(NETWORKDAYS(G65,Q65,{"01/01/2026";"02/02/2026";"16/03/2026";"02/04/2026";"03/04/2026";"01/05/2026"})&lt;=5,"4 a 5 días",IF(NETWORKDAYS(G65,Q65,{"01/01/2026";"02/02/2026";"16/03/2026";"02/04/2026";"03/04/2026";"01/05/2026"})&lt;=10,"6 a 10 días",IF(NETWORKDAYS(G65,Q65,{"01/01/2026";"02/02/2026";"16/03/2026";"02/04/2026";"03/04/2026";"01/05/2026"})&lt;=16,"11 a 15 días","más de 16 días")))))),"Aun no se entrega")</f>
        <v>6 a 10 días</v>
      </c>
      <c r="T65" s="4" t="str" cm="1">
        <f t="array" ref="T65">IFERROR(
  IF(
    NETWORKDAYS(G65,Q65,{"01/01/2026";"02/02/2026";"16/03/2026";"02/04/2026";"03/04/2026";"01/05/2026"}) &lt;=
    _xlfn.IFS(
      OR(TRIM(A65)="AICM", TRIM(A65)="AÉREO AICM"), 5,
      OR(TRIM(A65)="VERACRUZ", TRIM(A65)="MARÍTIMO VERACRUZ"), 6,
      OR(TRIM(A65)="AIFA", TRIM(A65)="AÉREO AIFA"), 7,
      AND(TRIM(A65)="CORRESPONSALIAS", TRIM(B65)="NUEVO LAREDO"), 6,
      TRIM(A65)="MANZANILLO", 10,
      TRIM(A65)="TOLUCA", 6,
      TRUE, 999
    ),
    "On Time",
    "Delayed"
  ),
  "Faltan fechas"
)</f>
        <v>On Time</v>
      </c>
      <c r="U65" s="27">
        <v>5</v>
      </c>
      <c r="V65" s="27" t="s">
        <v>543</v>
      </c>
      <c r="W65" s="27">
        <v>17</v>
      </c>
      <c r="X65" s="27" t="s">
        <v>547</v>
      </c>
      <c r="Y65" s="27">
        <v>1</v>
      </c>
      <c r="Z65" s="27" t="s">
        <v>546</v>
      </c>
      <c r="AA65" s="27">
        <v>1</v>
      </c>
      <c r="AB65" s="27">
        <v>1</v>
      </c>
      <c r="AC65" s="27" t="s">
        <v>546</v>
      </c>
      <c r="AD65" s="28">
        <v>46175</v>
      </c>
      <c r="AE65" s="27">
        <v>11</v>
      </c>
      <c r="AF65" s="27">
        <v>12</v>
      </c>
      <c r="AG65" s="28">
        <v>46174</v>
      </c>
      <c r="AH65" s="28">
        <v>46175</v>
      </c>
      <c r="AI65" s="29">
        <v>1</v>
      </c>
      <c r="AJ65" s="28" t="s">
        <v>547</v>
      </c>
      <c r="AK65" s="28">
        <v>46175</v>
      </c>
      <c r="AL65" s="5">
        <f>IFERROR(IF(Q65=AK65,0,NETWORKDAYS(Q65,AK65,{"01/01/2026";"02/02/2026";"16/03/2026";"02/04/2026";"03/04/2026";"01/05/2026"})),"aun no se factura")</f>
        <v>13</v>
      </c>
      <c r="AM65" s="4" t="str">
        <f>IFERROR(IF(OR(Q65="",AK65=""),"SIN DATO",IF(NETWORKDAYS(Q65,AK65,{"01/01/2026";"02/02/2026";"16/03/2026";"02/04/2026";"03/04/2026";"01/05/2026"})&lt;=1,"1 día o menos",IF(NETWORKDAYS(Q65,AK65,{"01/01/2026";"02/02/2026";"16/03/2026";"02/04/2026";"03/04/2026";"01/05/2026"})&lt;=3,"2 a 3 días",IF(NETWORKDAYS(Q65,AK65,{"01/01/2026";"02/02/2026";"16/03/2026";"02/04/2026";"03/04/2026";"01/05/2026"})&lt;=5,"4 a 5 días",IF(NETWORKDAYS(Q65,AK65,{"01/01/2026";"02/02/2026";"16/03/2026";"02/04/2026";"03/04/2026";"01/05/2026"})&lt;=10,"6 a 10 días",IF(NETWORKDAYS(Q65,AK65,{"01/01/2026";"02/02/2026";"16/03/2026";"02/04/2026";"03/04/2026";"01/05/2026"})&lt;=16,"11 a 15 días","más de 16 días")))))),"aun no se factura")</f>
        <v>11 a 15 días</v>
      </c>
      <c r="AN65" s="4" t="str" cm="1">
        <f t="array" ref="AN65">IFERROR(
  IF(
    NETWORKDAYS(Q65,AK65,{"01/01/2026";"02/02/2026";"16/03/2026";"02/04/2026";"03/04/2026";"01/05/2026"}) &lt;=
    _xlfn.IFS(
      OR(TRIM(A65)="AICM", TRIM(A65)="AÉREO AICM"), 5,
      OR(TRIM(A65)="VERACRUZ", TRIM(A65)="MARÍTIMO VERACRUZ"), 6,
      OR(TRIM(A65)="AIFA", TRIM(A65)="AÉREO AIFA"), 7,
      AND(TRIM(A65)="CORRESPONSALIAS", TRIM(B65)="NUEVO LAREDO"), 6,
      TRIM(A65)="MANZANILLO", 10,
      TRIM(A65)="TOLUCA", 6,
      TRUE, 999
    ),
    "On Time",
    "Delayed"
  ),
  "Faltan fechas"
)</f>
        <v>Delayed</v>
      </c>
      <c r="AO65" s="29">
        <v>1</v>
      </c>
      <c r="AP65" s="28" t="s">
        <v>548</v>
      </c>
      <c r="AQ65" s="27" t="s">
        <v>93</v>
      </c>
      <c r="AR65" s="27" t="s">
        <v>112</v>
      </c>
      <c r="AS65" s="27">
        <v>268933963</v>
      </c>
      <c r="AT65" s="27" t="s">
        <v>223</v>
      </c>
      <c r="AU65" s="29">
        <v>6000700</v>
      </c>
      <c r="AV65" s="27" t="s">
        <v>92</v>
      </c>
      <c r="AW65" s="27" t="s">
        <v>998</v>
      </c>
      <c r="AX65" s="27" t="s">
        <v>549</v>
      </c>
      <c r="AY65" s="27"/>
      <c r="AZ65" s="27" t="s">
        <v>550</v>
      </c>
      <c r="BA65" s="27" t="s">
        <v>90</v>
      </c>
      <c r="BB65" s="27"/>
      <c r="BC65" s="27" t="s">
        <v>117</v>
      </c>
      <c r="BD65" s="27"/>
      <c r="BE65" s="27" t="s">
        <v>117</v>
      </c>
      <c r="BF65" s="27" t="s">
        <v>576</v>
      </c>
      <c r="BG65" s="27" t="s">
        <v>620</v>
      </c>
      <c r="BH65" s="27" t="s">
        <v>607</v>
      </c>
      <c r="BI65" s="27" t="s">
        <v>999</v>
      </c>
      <c r="BJ65" s="27"/>
      <c r="BK65" s="27" t="s">
        <v>554</v>
      </c>
      <c r="BL65" s="27">
        <v>0</v>
      </c>
      <c r="BM65" s="27">
        <v>0.99</v>
      </c>
      <c r="BN65" s="27" t="s">
        <v>1000</v>
      </c>
      <c r="BO65" s="27">
        <v>90</v>
      </c>
      <c r="BP65" s="27" t="s">
        <v>1001</v>
      </c>
      <c r="BQ65" s="27" t="s">
        <v>657</v>
      </c>
      <c r="BR65" s="27"/>
      <c r="BS65" s="27" t="s">
        <v>619</v>
      </c>
      <c r="BT65" s="27" t="s">
        <v>558</v>
      </c>
      <c r="BU65" s="27" t="s">
        <v>189</v>
      </c>
      <c r="BV65" s="27" t="s">
        <v>105</v>
      </c>
      <c r="BW65" s="27">
        <v>1402736</v>
      </c>
      <c r="BX65" s="27" t="s">
        <v>1002</v>
      </c>
      <c r="BY65" s="27" t="s">
        <v>1003</v>
      </c>
      <c r="BZ65" s="27" t="s">
        <v>1004</v>
      </c>
      <c r="CA65" s="30" t="s">
        <v>1005</v>
      </c>
    </row>
    <row r="66" spans="1:79" x14ac:dyDescent="0.25">
      <c r="A66" s="26" t="s">
        <v>577</v>
      </c>
      <c r="B66" s="27" t="s">
        <v>578</v>
      </c>
      <c r="C66" s="27" t="s">
        <v>1006</v>
      </c>
      <c r="D66" s="27">
        <v>430</v>
      </c>
      <c r="E66" s="28">
        <v>46157</v>
      </c>
      <c r="F66" s="27">
        <v>5</v>
      </c>
      <c r="G66" s="35">
        <v>46155</v>
      </c>
      <c r="H66" s="28">
        <v>46157</v>
      </c>
      <c r="I66" s="27">
        <v>2</v>
      </c>
      <c r="J66" s="27" t="s">
        <v>579</v>
      </c>
      <c r="K66" s="35">
        <v>46158</v>
      </c>
      <c r="L66" s="27">
        <v>2</v>
      </c>
      <c r="M66" s="34">
        <f>IFERROR(IF(G66=K66,0,NETWORKDAYS(G66,K66,{"01/01/2026";"02/02/2026";"16/03/2026";"02/04/2026";"03/04/2026";"01/05/2026"})),"Faltan Fechas")</f>
        <v>3</v>
      </c>
      <c r="N66" s="33" t="str">
        <f>IFERROR(IF(OR(G66="",K66=""),"SIN DATO",IF(NETWORKDAYS(G66,K66,{"01/01/2026";"02/02/2026";"16/03/2026";"02/04/2026";"03/04/2026";"01/05/2026"})&lt;=1,"1 día o menos",IF(NETWORKDAYS(G66,K66,{"01/01/2026";"02/02/2026";"16/03/2026";"02/04/2026";"03/04/2026";"01/05/2026"})&lt;=3,"2 a 3 días",IF(NETWORKDAYS(G66,K66,{"01/01/2026";"02/02/2026";"16/03/2026";"02/04/2026";"03/04/2026";"01/05/2026"})&lt;=5,"4 a 5 días",IF(NETWORKDAYS(G66,K66,{"01/01/2026";"02/02/2026";"16/03/2026";"02/04/2026";"03/04/2026";"01/05/2026"})&lt;=10,"6 a 10 días",IF(NETWORKDAYS(G66,K66,{"01/01/2026";"02/02/2026";"16/03/2026";"02/04/2026";"03/04/2026";"01/05/2026"})&lt;=16,"11 a 15 días","más de 16 días")))))),"Aun no se entrega")</f>
        <v>2 a 3 días</v>
      </c>
      <c r="O66" s="34" t="str" cm="1">
        <f t="array" ref="O66">IFERROR(
  IF(
    NETWORKDAYS(G66,K66,{"01/01/2026";"02/02/2026";"16/03/2026";"02/04/2026";"03/04/2026";"01/05/2026"}) &lt;=
    _xlfn.IFS(
      OR(TRIM(A66)="AICM", TRIM(A66)="AÉREO AICM"), 5,
      OR(TRIM(A66)="VERACRUZ", TRIM(A66)="MARÍTIMO VERACRUZ"), 6,
      OR(TRIM(A66)="AIFA", TRIM(A66)="AÉREO AIFA"), 7,
      AND(TRIM(A66)="CORRESPONSALIAS", TRIM(B66)="NUEVO LAREDO"), 6,
      TRIM(A66)="MANZANILLO", 10,
      TRIM(A66)="TOLUCA", 6,
      TRUE, 999
    ),
    "On Time",
    "Delayed"
  ),
  "Faltan fechas"
)</f>
        <v>On Time</v>
      </c>
      <c r="P66" s="36" t="s">
        <v>579</v>
      </c>
      <c r="Q66" s="28">
        <v>46160</v>
      </c>
      <c r="R66" s="5">
        <f>IFERROR(IF(G66=Q66,0,NETWORKDAYS(G66,Q66,{"01/01/2026";"02/02/2026";"16/03/2026";"02/04/2026";"03/04/2026";"01/05/2026"})),"Faltan Fechas")</f>
        <v>4</v>
      </c>
      <c r="S66" s="4" t="str">
        <f>IFERROR(IF(OR(G66="",Q66=""),"SIN DATO",IF(NETWORKDAYS(G66,Q66,{"01/01/2026";"02/02/2026";"16/03/2026";"02/04/2026";"03/04/2026";"01/05/2026"})&lt;=1,"1 día o menos",IF(NETWORKDAYS(G66,Q66,{"01/01/2026";"02/02/2026";"16/03/2026";"02/04/2026";"03/04/2026";"01/05/2026"})&lt;=3,"2 a 3 días",IF(NETWORKDAYS(G66,Q66,{"01/01/2026";"02/02/2026";"16/03/2026";"02/04/2026";"03/04/2026";"01/05/2026"})&lt;=5,"4 a 5 días",IF(NETWORKDAYS(G66,Q66,{"01/01/2026";"02/02/2026";"16/03/2026";"02/04/2026";"03/04/2026";"01/05/2026"})&lt;=10,"6 a 10 días",IF(NETWORKDAYS(G66,Q66,{"01/01/2026";"02/02/2026";"16/03/2026";"02/04/2026";"03/04/2026";"01/05/2026"})&lt;=16,"11 a 15 días","más de 16 días")))))),"Aun no se entrega")</f>
        <v>4 a 5 días</v>
      </c>
      <c r="T66" s="4" t="str" cm="1">
        <f t="array" ref="T66">IFERROR(
  IF(
    NETWORKDAYS(G66,Q66,{"01/01/2026";"02/02/2026";"16/03/2026";"02/04/2026";"03/04/2026";"01/05/2026"}) &lt;=
    _xlfn.IFS(
      OR(TRIM(A66)="AICM", TRIM(A66)="AÉREO AICM"), 5,
      OR(TRIM(A66)="VERACRUZ", TRIM(A66)="MARÍTIMO VERACRUZ"), 6,
      OR(TRIM(A66)="AIFA", TRIM(A66)="AÉREO AIFA"), 7,
      AND(TRIM(A66)="CORRESPONSALIAS", TRIM(B66)="NUEVO LAREDO"), 6,
      TRIM(A66)="MANZANILLO", 10,
      TRIM(A66)="TOLUCA", 6,
      TRUE, 999
    ),
    "On Time",
    "Delayed"
  ),
  "Faltan fechas"
)</f>
        <v>On Time</v>
      </c>
      <c r="U66" s="27">
        <v>3</v>
      </c>
      <c r="V66" s="27" t="s">
        <v>579</v>
      </c>
      <c r="W66" s="27">
        <v>14</v>
      </c>
      <c r="X66" s="27" t="s">
        <v>559</v>
      </c>
      <c r="Y66" s="27">
        <v>1</v>
      </c>
      <c r="Z66" s="27" t="s">
        <v>546</v>
      </c>
      <c r="AA66" s="27">
        <v>1</v>
      </c>
      <c r="AB66" s="27">
        <v>2</v>
      </c>
      <c r="AC66" s="27" t="s">
        <v>579</v>
      </c>
      <c r="AD66" s="28">
        <v>46175</v>
      </c>
      <c r="AE66" s="27" t="s">
        <v>223</v>
      </c>
      <c r="AF66" s="27">
        <v>11</v>
      </c>
      <c r="AG66" s="28"/>
      <c r="AH66" s="28">
        <v>46175</v>
      </c>
      <c r="AI66" s="29" t="s">
        <v>223</v>
      </c>
      <c r="AJ66" s="28" t="s">
        <v>559</v>
      </c>
      <c r="AK66" s="28">
        <v>46175</v>
      </c>
      <c r="AL66" s="5">
        <f>IFERROR(IF(Q66=AK66,0,NETWORKDAYS(Q66,AK66,{"01/01/2026";"02/02/2026";"16/03/2026";"02/04/2026";"03/04/2026";"01/05/2026"})),"aun no se factura")</f>
        <v>12</v>
      </c>
      <c r="AM66" s="4" t="str">
        <f>IFERROR(IF(OR(Q66="",AK66=""),"SIN DATO",IF(NETWORKDAYS(Q66,AK66,{"01/01/2026";"02/02/2026";"16/03/2026";"02/04/2026";"03/04/2026";"01/05/2026"})&lt;=1,"1 día o menos",IF(NETWORKDAYS(Q66,AK66,{"01/01/2026";"02/02/2026";"16/03/2026";"02/04/2026";"03/04/2026";"01/05/2026"})&lt;=3,"2 a 3 días",IF(NETWORKDAYS(Q66,AK66,{"01/01/2026";"02/02/2026";"16/03/2026";"02/04/2026";"03/04/2026";"01/05/2026"})&lt;=5,"4 a 5 días",IF(NETWORKDAYS(Q66,AK66,{"01/01/2026";"02/02/2026";"16/03/2026";"02/04/2026";"03/04/2026";"01/05/2026"})&lt;=10,"6 a 10 días",IF(NETWORKDAYS(Q66,AK66,{"01/01/2026";"02/02/2026";"16/03/2026";"02/04/2026";"03/04/2026";"01/05/2026"})&lt;=16,"11 a 15 días","más de 16 días")))))),"aun no se factura")</f>
        <v>11 a 15 días</v>
      </c>
      <c r="AN66" s="4" t="str" cm="1">
        <f t="array" ref="AN66">IFERROR(
  IF(
    NETWORKDAYS(Q66,AK66,{"01/01/2026";"02/02/2026";"16/03/2026";"02/04/2026";"03/04/2026";"01/05/2026"}) &lt;=
    _xlfn.IFS(
      OR(TRIM(A66)="AICM", TRIM(A66)="AÉREO AICM"), 5,
      OR(TRIM(A66)="VERACRUZ", TRIM(A66)="MARÍTIMO VERACRUZ"), 6,
      OR(TRIM(A66)="AIFA", TRIM(A66)="AÉREO AIFA"), 7,
      AND(TRIM(A66)="CORRESPONSALIAS", TRIM(B66)="NUEVO LAREDO"), 6,
      TRIM(A66)="MANZANILLO", 10,
      TRIM(A66)="TOLUCA", 6,
      TRUE, 999
    ),
    "On Time",
    "Delayed"
  ),
  "Faltan fechas"
)</f>
        <v>Delayed</v>
      </c>
      <c r="AO66" s="29">
        <v>1</v>
      </c>
      <c r="AP66" s="28" t="s">
        <v>548</v>
      </c>
      <c r="AQ66" s="27" t="s">
        <v>93</v>
      </c>
      <c r="AR66" s="27" t="s">
        <v>112</v>
      </c>
      <c r="AS66" s="27" t="s">
        <v>1007</v>
      </c>
      <c r="AT66" s="27" t="s">
        <v>223</v>
      </c>
      <c r="AU66" s="29">
        <v>6000701</v>
      </c>
      <c r="AV66" s="27" t="s">
        <v>92</v>
      </c>
      <c r="AW66" s="27" t="s">
        <v>1008</v>
      </c>
      <c r="AX66" s="27" t="s">
        <v>549</v>
      </c>
      <c r="AY66" s="27"/>
      <c r="AZ66" s="27" t="s">
        <v>550</v>
      </c>
      <c r="BA66" s="27" t="s">
        <v>90</v>
      </c>
      <c r="BB66" s="27"/>
      <c r="BC66" s="27" t="s">
        <v>117</v>
      </c>
      <c r="BD66" s="27"/>
      <c r="BE66" s="27" t="s">
        <v>117</v>
      </c>
      <c r="BF66" s="27" t="s">
        <v>576</v>
      </c>
      <c r="BG66" s="27" t="s">
        <v>552</v>
      </c>
      <c r="BH66" s="27" t="s">
        <v>580</v>
      </c>
      <c r="BI66" s="27"/>
      <c r="BJ66" s="27" t="s">
        <v>643</v>
      </c>
      <c r="BK66" s="27" t="s">
        <v>554</v>
      </c>
      <c r="BL66" s="27">
        <v>0</v>
      </c>
      <c r="BM66" s="27">
        <v>99</v>
      </c>
      <c r="BN66" s="27" t="s">
        <v>1009</v>
      </c>
      <c r="BO66" s="27">
        <v>90</v>
      </c>
      <c r="BP66" s="27" t="s">
        <v>1010</v>
      </c>
      <c r="BQ66" s="27" t="s">
        <v>646</v>
      </c>
      <c r="BR66" s="27"/>
      <c r="BS66" s="27" t="s">
        <v>613</v>
      </c>
      <c r="BT66" s="27" t="s">
        <v>558</v>
      </c>
      <c r="BU66" s="27" t="s">
        <v>133</v>
      </c>
      <c r="BV66" s="27" t="s">
        <v>105</v>
      </c>
      <c r="BW66" s="27">
        <v>15753546</v>
      </c>
      <c r="BX66" s="27" t="s">
        <v>1011</v>
      </c>
      <c r="BY66" s="27" t="s">
        <v>223</v>
      </c>
      <c r="BZ66" s="27" t="s">
        <v>1012</v>
      </c>
      <c r="CA66" s="30" t="s">
        <v>1013</v>
      </c>
    </row>
    <row r="67" spans="1:79" x14ac:dyDescent="0.25">
      <c r="A67" s="26" t="s">
        <v>577</v>
      </c>
      <c r="B67" s="27" t="s">
        <v>578</v>
      </c>
      <c r="C67" s="27" t="s">
        <v>1014</v>
      </c>
      <c r="D67" s="27">
        <v>430</v>
      </c>
      <c r="E67" s="28">
        <v>46170</v>
      </c>
      <c r="F67" s="27">
        <v>5</v>
      </c>
      <c r="G67" s="35">
        <v>46155</v>
      </c>
      <c r="H67" s="28">
        <v>46170</v>
      </c>
      <c r="I67" s="27">
        <v>11</v>
      </c>
      <c r="J67" s="27" t="s">
        <v>559</v>
      </c>
      <c r="K67" s="35">
        <v>46170</v>
      </c>
      <c r="L67" s="27">
        <v>11</v>
      </c>
      <c r="M67" s="34">
        <f>IFERROR(IF(G67=K67,0,NETWORKDAYS(G67,K67,{"01/01/2026";"02/02/2026";"16/03/2026";"02/04/2026";"03/04/2026";"01/05/2026"})),"Faltan Fechas")</f>
        <v>12</v>
      </c>
      <c r="N67" s="33" t="str">
        <f>IFERROR(IF(OR(G67="",K67=""),"SIN DATO",IF(NETWORKDAYS(G67,K67,{"01/01/2026";"02/02/2026";"16/03/2026";"02/04/2026";"03/04/2026";"01/05/2026"})&lt;=1,"1 día o menos",IF(NETWORKDAYS(G67,K67,{"01/01/2026";"02/02/2026";"16/03/2026";"02/04/2026";"03/04/2026";"01/05/2026"})&lt;=3,"2 a 3 días",IF(NETWORKDAYS(G67,K67,{"01/01/2026";"02/02/2026";"16/03/2026";"02/04/2026";"03/04/2026";"01/05/2026"})&lt;=5,"4 a 5 días",IF(NETWORKDAYS(G67,K67,{"01/01/2026";"02/02/2026";"16/03/2026";"02/04/2026";"03/04/2026";"01/05/2026"})&lt;=10,"6 a 10 días",IF(NETWORKDAYS(G67,K67,{"01/01/2026";"02/02/2026";"16/03/2026";"02/04/2026";"03/04/2026";"01/05/2026"})&lt;=16,"11 a 15 días","más de 16 días")))))),"Aun no se entrega")</f>
        <v>11 a 15 días</v>
      </c>
      <c r="O67" s="34" t="str" cm="1">
        <f t="array" ref="O67">IFERROR(
  IF(
    NETWORKDAYS(G67,K67,{"01/01/2026";"02/02/2026";"16/03/2026";"02/04/2026";"03/04/2026";"01/05/2026"}) &lt;=
    _xlfn.IFS(
      OR(TRIM(A67)="AICM", TRIM(A67)="AÉREO AICM"), 5,
      OR(TRIM(A67)="VERACRUZ", TRIM(A67)="MARÍTIMO VERACRUZ"), 6,
      OR(TRIM(A67)="AIFA", TRIM(A67)="AÉREO AIFA"), 7,
      AND(TRIM(A67)="CORRESPONSALIAS", TRIM(B67)="NUEVO LAREDO"), 6,
      TRIM(A67)="MANZANILLO", 10,
      TRIM(A67)="TOLUCA", 6,
      TRUE, 999
    ),
    "On Time",
    "Delayed"
  ),
  "Faltan fechas"
)</f>
        <v>Delayed</v>
      </c>
      <c r="P67" s="36" t="s">
        <v>559</v>
      </c>
      <c r="Q67" s="28"/>
      <c r="R67" s="5">
        <f>IFERROR(IF(G67=Q67,0,NETWORKDAYS(G67,Q67,{"01/01/2026";"02/02/2026";"16/03/2026";"02/04/2026";"03/04/2026";"01/05/2026"})),"Faltan Fechas")</f>
        <v>-32962</v>
      </c>
      <c r="S67" s="4" t="str">
        <f>IFERROR(IF(OR(G67="",Q67=""),"SIN DATO",IF(NETWORKDAYS(G67,Q67,{"01/01/2026";"02/02/2026";"16/03/2026";"02/04/2026";"03/04/2026";"01/05/2026"})&lt;=1,"1 día o menos",IF(NETWORKDAYS(G67,Q67,{"01/01/2026";"02/02/2026";"16/03/2026";"02/04/2026";"03/04/2026";"01/05/2026"})&lt;=3,"2 a 3 días",IF(NETWORKDAYS(G67,Q67,{"01/01/2026";"02/02/2026";"16/03/2026";"02/04/2026";"03/04/2026";"01/05/2026"})&lt;=5,"4 a 5 días",IF(NETWORKDAYS(G67,Q67,{"01/01/2026";"02/02/2026";"16/03/2026";"02/04/2026";"03/04/2026";"01/05/2026"})&lt;=10,"6 a 10 días",IF(NETWORKDAYS(G67,Q67,{"01/01/2026";"02/02/2026";"16/03/2026";"02/04/2026";"03/04/2026";"01/05/2026"})&lt;=16,"11 a 15 días","más de 16 días")))))),"Aun no se entrega")</f>
        <v>SIN DATO</v>
      </c>
      <c r="T67" s="4" t="str" cm="1">
        <f t="array" ref="T67">IFERROR(
  IF(
    NETWORKDAYS(G67,Q67,{"01/01/2026";"02/02/2026";"16/03/2026";"02/04/2026";"03/04/2026";"01/05/2026"}) &lt;=
    _xlfn.IFS(
      OR(TRIM(A67)="AICM", TRIM(A67)="AÉREO AICM"), 5,
      OR(TRIM(A67)="VERACRUZ", TRIM(A67)="MARÍTIMO VERACRUZ"), 6,
      OR(TRIM(A67)="AIFA", TRIM(A67)="AÉREO AIFA"), 7,
      AND(TRIM(A67)="CORRESPONSALIAS", TRIM(B67)="NUEVO LAREDO"), 6,
      TRIM(A67)="MANZANILLO", 10,
      TRIM(A67)="TOLUCA", 6,
      TRUE, 999
    ),
    "On Time",
    "Delayed"
  ),
  "Faltan fechas"
)</f>
        <v>On Time</v>
      </c>
      <c r="U67" s="27">
        <v>0</v>
      </c>
      <c r="V67" s="27" t="s">
        <v>569</v>
      </c>
      <c r="W67" s="27">
        <v>14</v>
      </c>
      <c r="X67" s="27" t="s">
        <v>559</v>
      </c>
      <c r="Y67" s="27">
        <v>0</v>
      </c>
      <c r="Z67" s="27" t="s">
        <v>546</v>
      </c>
      <c r="AA67" s="27">
        <v>0</v>
      </c>
      <c r="AB67" s="27">
        <v>-46168</v>
      </c>
      <c r="AC67" s="27" t="s">
        <v>545</v>
      </c>
      <c r="AD67" s="28">
        <v>46175</v>
      </c>
      <c r="AE67" s="27" t="s">
        <v>223</v>
      </c>
      <c r="AF67" s="27">
        <v>32981</v>
      </c>
      <c r="AG67" s="28">
        <v>46174</v>
      </c>
      <c r="AH67" s="28">
        <v>46175</v>
      </c>
      <c r="AI67" s="29">
        <v>1</v>
      </c>
      <c r="AJ67" s="28" t="s">
        <v>545</v>
      </c>
      <c r="AK67" s="28">
        <v>46175</v>
      </c>
      <c r="AL67" s="5">
        <f>IFERROR(IF(Q67=AK67,0,NETWORKDAYS(Q67,AK67,{"01/01/2026";"02/02/2026";"16/03/2026";"02/04/2026";"03/04/2026";"01/05/2026"})),"aun no se factura")</f>
        <v>32976</v>
      </c>
      <c r="AM67" s="4" t="str">
        <f>IFERROR(IF(OR(Q67="",AK67=""),"SIN DATO",IF(NETWORKDAYS(Q67,AK67,{"01/01/2026";"02/02/2026";"16/03/2026";"02/04/2026";"03/04/2026";"01/05/2026"})&lt;=1,"1 día o menos",IF(NETWORKDAYS(Q67,AK67,{"01/01/2026";"02/02/2026";"16/03/2026";"02/04/2026";"03/04/2026";"01/05/2026"})&lt;=3,"2 a 3 días",IF(NETWORKDAYS(Q67,AK67,{"01/01/2026";"02/02/2026";"16/03/2026";"02/04/2026";"03/04/2026";"01/05/2026"})&lt;=5,"4 a 5 días",IF(NETWORKDAYS(Q67,AK67,{"01/01/2026";"02/02/2026";"16/03/2026";"02/04/2026";"03/04/2026";"01/05/2026"})&lt;=10,"6 a 10 días",IF(NETWORKDAYS(Q67,AK67,{"01/01/2026";"02/02/2026";"16/03/2026";"02/04/2026";"03/04/2026";"01/05/2026"})&lt;=16,"11 a 15 días","más de 16 días")))))),"aun no se factura")</f>
        <v>SIN DATO</v>
      </c>
      <c r="AN67" s="4" t="str" cm="1">
        <f t="array" ref="AN67">IFERROR(
  IF(
    NETWORKDAYS(Q67,AK67,{"01/01/2026";"02/02/2026";"16/03/2026";"02/04/2026";"03/04/2026";"01/05/2026"}) &lt;=
    _xlfn.IFS(
      OR(TRIM(A67)="AICM", TRIM(A67)="AÉREO AICM"), 5,
      OR(TRIM(A67)="VERACRUZ", TRIM(A67)="MARÍTIMO VERACRUZ"), 6,
      OR(TRIM(A67)="AIFA", TRIM(A67)="AÉREO AIFA"), 7,
      AND(TRIM(A67)="CORRESPONSALIAS", TRIM(B67)="NUEVO LAREDO"), 6,
      TRIM(A67)="MANZANILLO", 10,
      TRIM(A67)="TOLUCA", 6,
      TRUE, 999
    ),
    "On Time",
    "Delayed"
  ),
  "Faltan fechas"
)</f>
        <v>Delayed</v>
      </c>
      <c r="AO67" s="29">
        <v>0</v>
      </c>
      <c r="AP67" s="28" t="s">
        <v>548</v>
      </c>
      <c r="AQ67" s="27" t="s">
        <v>342</v>
      </c>
      <c r="AR67" s="27" t="s">
        <v>112</v>
      </c>
      <c r="AS67" s="27" t="s">
        <v>1007</v>
      </c>
      <c r="AT67" s="27" t="s">
        <v>223</v>
      </c>
      <c r="AU67" s="29">
        <v>6000848</v>
      </c>
      <c r="AV67" s="27" t="s">
        <v>92</v>
      </c>
      <c r="AW67" s="27" t="s">
        <v>1008</v>
      </c>
      <c r="AX67" s="27" t="s">
        <v>549</v>
      </c>
      <c r="AY67" s="27"/>
      <c r="AZ67" s="27" t="s">
        <v>550</v>
      </c>
      <c r="BA67" s="27" t="s">
        <v>90</v>
      </c>
      <c r="BB67" s="27"/>
      <c r="BC67" s="27"/>
      <c r="BD67" s="27"/>
      <c r="BE67" s="27"/>
      <c r="BF67" s="27"/>
      <c r="BG67" s="27" t="s">
        <v>552</v>
      </c>
      <c r="BH67" s="27" t="s">
        <v>223</v>
      </c>
      <c r="BI67" s="27"/>
      <c r="BJ67" s="27"/>
      <c r="BK67" s="27" t="s">
        <v>554</v>
      </c>
      <c r="BL67" s="27">
        <v>0</v>
      </c>
      <c r="BM67" s="27">
        <v>99</v>
      </c>
      <c r="BN67" s="27" t="s">
        <v>1009</v>
      </c>
      <c r="BO67" s="27">
        <v>90</v>
      </c>
      <c r="BP67" s="27" t="s">
        <v>1010</v>
      </c>
      <c r="BQ67" s="27" t="s">
        <v>646</v>
      </c>
      <c r="BR67" s="27"/>
      <c r="BS67" s="27" t="s">
        <v>613</v>
      </c>
      <c r="BT67" s="27" t="s">
        <v>558</v>
      </c>
      <c r="BU67" s="27" t="s">
        <v>133</v>
      </c>
      <c r="BV67" s="27" t="s">
        <v>105</v>
      </c>
      <c r="BW67" s="27">
        <v>15753546</v>
      </c>
      <c r="BX67" s="27" t="s">
        <v>795</v>
      </c>
      <c r="BY67" s="27" t="s">
        <v>223</v>
      </c>
      <c r="BZ67" s="27" t="s">
        <v>223</v>
      </c>
      <c r="CA67" s="30" t="s">
        <v>1013</v>
      </c>
    </row>
    <row r="68" spans="1:79" x14ac:dyDescent="0.25">
      <c r="A68" s="26" t="s">
        <v>577</v>
      </c>
      <c r="B68" s="27" t="s">
        <v>578</v>
      </c>
      <c r="C68" s="27" t="s">
        <v>1015</v>
      </c>
      <c r="D68" s="27">
        <v>430</v>
      </c>
      <c r="E68" s="28">
        <v>46160</v>
      </c>
      <c r="F68" s="27">
        <v>5</v>
      </c>
      <c r="G68" s="35">
        <v>46156</v>
      </c>
      <c r="H68" s="28">
        <v>46160</v>
      </c>
      <c r="I68" s="27">
        <v>2</v>
      </c>
      <c r="J68" s="27" t="s">
        <v>579</v>
      </c>
      <c r="K68" s="35">
        <v>46161</v>
      </c>
      <c r="L68" s="27">
        <v>3</v>
      </c>
      <c r="M68" s="34">
        <f>IFERROR(IF(G68=K68,0,NETWORKDAYS(G68,K68,{"01/01/2026";"02/02/2026";"16/03/2026";"02/04/2026";"03/04/2026";"01/05/2026"})),"Faltan Fechas")</f>
        <v>4</v>
      </c>
      <c r="N68" s="33" t="str">
        <f>IFERROR(IF(OR(G68="",K68=""),"SIN DATO",IF(NETWORKDAYS(G68,K68,{"01/01/2026";"02/02/2026";"16/03/2026";"02/04/2026";"03/04/2026";"01/05/2026"})&lt;=1,"1 día o menos",IF(NETWORKDAYS(G68,K68,{"01/01/2026";"02/02/2026";"16/03/2026";"02/04/2026";"03/04/2026";"01/05/2026"})&lt;=3,"2 a 3 días",IF(NETWORKDAYS(G68,K68,{"01/01/2026";"02/02/2026";"16/03/2026";"02/04/2026";"03/04/2026";"01/05/2026"})&lt;=5,"4 a 5 días",IF(NETWORKDAYS(G68,K68,{"01/01/2026";"02/02/2026";"16/03/2026";"02/04/2026";"03/04/2026";"01/05/2026"})&lt;=10,"6 a 10 días",IF(NETWORKDAYS(G68,K68,{"01/01/2026";"02/02/2026";"16/03/2026";"02/04/2026";"03/04/2026";"01/05/2026"})&lt;=16,"11 a 15 días","más de 16 días")))))),"Aun no se entrega")</f>
        <v>4 a 5 días</v>
      </c>
      <c r="O68" s="34" t="str" cm="1">
        <f t="array" ref="O68">IFERROR(
  IF(
    NETWORKDAYS(G68,K68,{"01/01/2026";"02/02/2026";"16/03/2026";"02/04/2026";"03/04/2026";"01/05/2026"}) &lt;=
    _xlfn.IFS(
      OR(TRIM(A68)="AICM", TRIM(A68)="AÉREO AICM"), 5,
      OR(TRIM(A68)="VERACRUZ", TRIM(A68)="MARÍTIMO VERACRUZ"), 6,
      OR(TRIM(A68)="AIFA", TRIM(A68)="AÉREO AIFA"), 7,
      AND(TRIM(A68)="CORRESPONSALIAS", TRIM(B68)="NUEVO LAREDO"), 6,
      TRIM(A68)="MANZANILLO", 10,
      TRIM(A68)="TOLUCA", 6,
      TRUE, 999
    ),
    "On Time",
    "Delayed"
  ),
  "Faltan fechas"
)</f>
        <v>On Time</v>
      </c>
      <c r="P68" s="36" t="s">
        <v>579</v>
      </c>
      <c r="Q68" s="28">
        <v>46162</v>
      </c>
      <c r="R68" s="5">
        <f>IFERROR(IF(G68=Q68,0,NETWORKDAYS(G68,Q68,{"01/01/2026";"02/02/2026";"16/03/2026";"02/04/2026";"03/04/2026";"01/05/2026"})),"Faltan Fechas")</f>
        <v>5</v>
      </c>
      <c r="S68" s="4" t="str">
        <f>IFERROR(IF(OR(G68="",Q68=""),"SIN DATO",IF(NETWORKDAYS(G68,Q68,{"01/01/2026";"02/02/2026";"16/03/2026";"02/04/2026";"03/04/2026";"01/05/2026"})&lt;=1,"1 día o menos",IF(NETWORKDAYS(G68,Q68,{"01/01/2026";"02/02/2026";"16/03/2026";"02/04/2026";"03/04/2026";"01/05/2026"})&lt;=3,"2 a 3 días",IF(NETWORKDAYS(G68,Q68,{"01/01/2026";"02/02/2026";"16/03/2026";"02/04/2026";"03/04/2026";"01/05/2026"})&lt;=5,"4 a 5 días",IF(NETWORKDAYS(G68,Q68,{"01/01/2026";"02/02/2026";"16/03/2026";"02/04/2026";"03/04/2026";"01/05/2026"})&lt;=10,"6 a 10 días",IF(NETWORKDAYS(G68,Q68,{"01/01/2026";"02/02/2026";"16/03/2026";"02/04/2026";"03/04/2026";"01/05/2026"})&lt;=16,"11 a 15 días","más de 16 días")))))),"Aun no se entrega")</f>
        <v>4 a 5 días</v>
      </c>
      <c r="T68" s="4" t="str" cm="1">
        <f t="array" ref="T68">IFERROR(
  IF(
    NETWORKDAYS(G68,Q68,{"01/01/2026";"02/02/2026";"16/03/2026";"02/04/2026";"03/04/2026";"01/05/2026"}) &lt;=
    _xlfn.IFS(
      OR(TRIM(A68)="AICM", TRIM(A68)="AÉREO AICM"), 5,
      OR(TRIM(A68)="VERACRUZ", TRIM(A68)="MARÍTIMO VERACRUZ"), 6,
      OR(TRIM(A68)="AIFA", TRIM(A68)="AÉREO AIFA"), 7,
      AND(TRIM(A68)="CORRESPONSALIAS", TRIM(B68)="NUEVO LAREDO"), 6,
      TRIM(A68)="MANZANILLO", 10,
      TRIM(A68)="TOLUCA", 6,
      TRUE, 999
    ),
    "On Time",
    "Delayed"
  ),
  "Faltan fechas"
)</f>
        <v>On Time</v>
      </c>
      <c r="U68" s="27">
        <v>4</v>
      </c>
      <c r="V68" s="27" t="s">
        <v>543</v>
      </c>
      <c r="W68" s="27">
        <v>18</v>
      </c>
      <c r="X68" s="27" t="s">
        <v>547</v>
      </c>
      <c r="Y68" s="27">
        <v>1</v>
      </c>
      <c r="Z68" s="27" t="s">
        <v>546</v>
      </c>
      <c r="AA68" s="27">
        <v>1</v>
      </c>
      <c r="AB68" s="27">
        <v>1</v>
      </c>
      <c r="AC68" s="27" t="s">
        <v>546</v>
      </c>
      <c r="AD68" s="28">
        <v>46182</v>
      </c>
      <c r="AE68" s="27">
        <v>13</v>
      </c>
      <c r="AF68" s="27">
        <v>14</v>
      </c>
      <c r="AG68" s="28">
        <v>46181</v>
      </c>
      <c r="AH68" s="28">
        <v>46182</v>
      </c>
      <c r="AI68" s="29">
        <v>1</v>
      </c>
      <c r="AJ68" s="28" t="s">
        <v>547</v>
      </c>
      <c r="AK68" s="28">
        <v>46182</v>
      </c>
      <c r="AL68" s="5">
        <f>IFERROR(IF(Q68=AK68,0,NETWORKDAYS(Q68,AK68,{"01/01/2026";"02/02/2026";"16/03/2026";"02/04/2026";"03/04/2026";"01/05/2026"})),"aun no se factura")</f>
        <v>15</v>
      </c>
      <c r="AM68" s="4" t="str">
        <f>IFERROR(IF(OR(Q68="",AK68=""),"SIN DATO",IF(NETWORKDAYS(Q68,AK68,{"01/01/2026";"02/02/2026";"16/03/2026";"02/04/2026";"03/04/2026";"01/05/2026"})&lt;=1,"1 día o menos",IF(NETWORKDAYS(Q68,AK68,{"01/01/2026";"02/02/2026";"16/03/2026";"02/04/2026";"03/04/2026";"01/05/2026"})&lt;=3,"2 a 3 días",IF(NETWORKDAYS(Q68,AK68,{"01/01/2026";"02/02/2026";"16/03/2026";"02/04/2026";"03/04/2026";"01/05/2026"})&lt;=5,"4 a 5 días",IF(NETWORKDAYS(Q68,AK68,{"01/01/2026";"02/02/2026";"16/03/2026";"02/04/2026";"03/04/2026";"01/05/2026"})&lt;=10,"6 a 10 días",IF(NETWORKDAYS(Q68,AK68,{"01/01/2026";"02/02/2026";"16/03/2026";"02/04/2026";"03/04/2026";"01/05/2026"})&lt;=16,"11 a 15 días","más de 16 días")))))),"aun no se factura")</f>
        <v>11 a 15 días</v>
      </c>
      <c r="AN68" s="4" t="str" cm="1">
        <f t="array" ref="AN68">IFERROR(
  IF(
    NETWORKDAYS(Q68,AK68,{"01/01/2026";"02/02/2026";"16/03/2026";"02/04/2026";"03/04/2026";"01/05/2026"}) &lt;=
    _xlfn.IFS(
      OR(TRIM(A68)="AICM", TRIM(A68)="AÉREO AICM"), 5,
      OR(TRIM(A68)="VERACRUZ", TRIM(A68)="MARÍTIMO VERACRUZ"), 6,
      OR(TRIM(A68)="AIFA", TRIM(A68)="AÉREO AIFA"), 7,
      AND(TRIM(A68)="CORRESPONSALIAS", TRIM(B68)="NUEVO LAREDO"), 6,
      TRIM(A68)="MANZANILLO", 10,
      TRIM(A68)="TOLUCA", 6,
      TRUE, 999
    ),
    "On Time",
    "Delayed"
  ),
  "Faltan fechas"
)</f>
        <v>Delayed</v>
      </c>
      <c r="AO68" s="29">
        <v>1</v>
      </c>
      <c r="AP68" s="28" t="s">
        <v>548</v>
      </c>
      <c r="AQ68" s="27" t="s">
        <v>93</v>
      </c>
      <c r="AR68" s="27" t="s">
        <v>112</v>
      </c>
      <c r="AS68" s="27">
        <v>268806936</v>
      </c>
      <c r="AT68" s="27" t="s">
        <v>223</v>
      </c>
      <c r="AU68" s="29">
        <v>6000702</v>
      </c>
      <c r="AV68" s="27" t="s">
        <v>92</v>
      </c>
      <c r="AW68" s="27" t="s">
        <v>1016</v>
      </c>
      <c r="AX68" s="27" t="s">
        <v>549</v>
      </c>
      <c r="AY68" s="27"/>
      <c r="AZ68" s="27" t="s">
        <v>550</v>
      </c>
      <c r="BA68" s="27" t="s">
        <v>90</v>
      </c>
      <c r="BB68" s="27"/>
      <c r="BC68" s="27"/>
      <c r="BD68" s="27"/>
      <c r="BE68" s="27"/>
      <c r="BF68" s="27" t="s">
        <v>576</v>
      </c>
      <c r="BG68" s="27" t="s">
        <v>552</v>
      </c>
      <c r="BH68" s="27" t="s">
        <v>580</v>
      </c>
      <c r="BI68" s="27"/>
      <c r="BJ68" s="27" t="s">
        <v>581</v>
      </c>
      <c r="BK68" s="27" t="s">
        <v>554</v>
      </c>
      <c r="BL68" s="27">
        <v>0</v>
      </c>
      <c r="BM68" s="27">
        <v>99</v>
      </c>
      <c r="BN68" s="27" t="s">
        <v>1017</v>
      </c>
      <c r="BO68" s="27">
        <v>90</v>
      </c>
      <c r="BP68" s="27" t="s">
        <v>1018</v>
      </c>
      <c r="BQ68" s="27" t="s">
        <v>563</v>
      </c>
      <c r="BR68" s="27"/>
      <c r="BS68" s="27" t="s">
        <v>619</v>
      </c>
      <c r="BT68" s="27" t="s">
        <v>558</v>
      </c>
      <c r="BU68" s="27" t="s">
        <v>189</v>
      </c>
      <c r="BV68" s="27" t="s">
        <v>105</v>
      </c>
      <c r="BW68" s="27">
        <v>934400</v>
      </c>
      <c r="BX68" s="27" t="s">
        <v>1019</v>
      </c>
      <c r="BY68" s="27" t="s">
        <v>1020</v>
      </c>
      <c r="BZ68" s="27" t="s">
        <v>1021</v>
      </c>
      <c r="CA68" s="30" t="s">
        <v>1022</v>
      </c>
    </row>
    <row r="69" spans="1:79" x14ac:dyDescent="0.25">
      <c r="A69" s="26" t="s">
        <v>577</v>
      </c>
      <c r="B69" s="27" t="s">
        <v>578</v>
      </c>
      <c r="C69" s="27" t="s">
        <v>1028</v>
      </c>
      <c r="D69" s="27">
        <v>430</v>
      </c>
      <c r="E69" s="28">
        <v>46170</v>
      </c>
      <c r="F69" s="27">
        <v>5</v>
      </c>
      <c r="G69" s="35">
        <v>46155</v>
      </c>
      <c r="H69" s="28">
        <v>46170</v>
      </c>
      <c r="I69" s="27">
        <v>11</v>
      </c>
      <c r="J69" s="27" t="s">
        <v>559</v>
      </c>
      <c r="K69" s="35">
        <v>46172</v>
      </c>
      <c r="L69" s="27">
        <v>12</v>
      </c>
      <c r="M69" s="34">
        <f>IFERROR(IF(G69=K69,0,NETWORKDAYS(G69,K69,{"01/01/2026";"02/02/2026";"16/03/2026";"02/04/2026";"03/04/2026";"01/05/2026"})),"Faltan Fechas")</f>
        <v>13</v>
      </c>
      <c r="N69" s="33" t="str">
        <f>IFERROR(IF(OR(G69="",K69=""),"SIN DATO",IF(NETWORKDAYS(G69,K69,{"01/01/2026";"02/02/2026";"16/03/2026";"02/04/2026";"03/04/2026";"01/05/2026"})&lt;=1,"1 día o menos",IF(NETWORKDAYS(G69,K69,{"01/01/2026";"02/02/2026";"16/03/2026";"02/04/2026";"03/04/2026";"01/05/2026"})&lt;=3,"2 a 3 días",IF(NETWORKDAYS(G69,K69,{"01/01/2026";"02/02/2026";"16/03/2026";"02/04/2026";"03/04/2026";"01/05/2026"})&lt;=5,"4 a 5 días",IF(NETWORKDAYS(G69,K69,{"01/01/2026";"02/02/2026";"16/03/2026";"02/04/2026";"03/04/2026";"01/05/2026"})&lt;=10,"6 a 10 días",IF(NETWORKDAYS(G69,K69,{"01/01/2026";"02/02/2026";"16/03/2026";"02/04/2026";"03/04/2026";"01/05/2026"})&lt;=16,"11 a 15 días","más de 16 días")))))),"Aun no se entrega")</f>
        <v>11 a 15 días</v>
      </c>
      <c r="O69" s="34" t="str" cm="1">
        <f t="array" ref="O69">IFERROR(
  IF(
    NETWORKDAYS(G69,K69,{"01/01/2026";"02/02/2026";"16/03/2026";"02/04/2026";"03/04/2026";"01/05/2026"}) &lt;=
    _xlfn.IFS(
      OR(TRIM(A69)="AICM", TRIM(A69)="AÉREO AICM"), 5,
      OR(TRIM(A69)="VERACRUZ", TRIM(A69)="MARÍTIMO VERACRUZ"), 6,
      OR(TRIM(A69)="AIFA", TRIM(A69)="AÉREO AIFA"), 7,
      AND(TRIM(A69)="CORRESPONSALIAS", TRIM(B69)="NUEVO LAREDO"), 6,
      TRIM(A69)="MANZANILLO", 10,
      TRIM(A69)="TOLUCA", 6,
      TRUE, 999
    ),
    "On Time",
    "Delayed"
  ),
  "Faltan fechas"
)</f>
        <v>Delayed</v>
      </c>
      <c r="P69" s="36" t="s">
        <v>559</v>
      </c>
      <c r="Q69" s="28">
        <v>46174</v>
      </c>
      <c r="R69" s="5">
        <f>IFERROR(IF(G69=Q69,0,NETWORKDAYS(G69,Q69,{"01/01/2026";"02/02/2026";"16/03/2026";"02/04/2026";"03/04/2026";"01/05/2026"})),"Faltan Fechas")</f>
        <v>14</v>
      </c>
      <c r="S69" s="4" t="str">
        <f>IFERROR(IF(OR(G69="",Q69=""),"SIN DATO",IF(NETWORKDAYS(G69,Q69,{"01/01/2026";"02/02/2026";"16/03/2026";"02/04/2026";"03/04/2026";"01/05/2026"})&lt;=1,"1 día o menos",IF(NETWORKDAYS(G69,Q69,{"01/01/2026";"02/02/2026";"16/03/2026";"02/04/2026";"03/04/2026";"01/05/2026"})&lt;=3,"2 a 3 días",IF(NETWORKDAYS(G69,Q69,{"01/01/2026";"02/02/2026";"16/03/2026";"02/04/2026";"03/04/2026";"01/05/2026"})&lt;=5,"4 a 5 días",IF(NETWORKDAYS(G69,Q69,{"01/01/2026";"02/02/2026";"16/03/2026";"02/04/2026";"03/04/2026";"01/05/2026"})&lt;=10,"6 a 10 días",IF(NETWORKDAYS(G69,Q69,{"01/01/2026";"02/02/2026";"16/03/2026";"02/04/2026";"03/04/2026";"01/05/2026"})&lt;=16,"11 a 15 días","más de 16 días")))))),"Aun no se entrega")</f>
        <v>11 a 15 días</v>
      </c>
      <c r="T69" s="4" t="str" cm="1">
        <f t="array" ref="T69">IFERROR(
  IF(
    NETWORKDAYS(G69,Q69,{"01/01/2026";"02/02/2026";"16/03/2026";"02/04/2026";"03/04/2026";"01/05/2026"}) &lt;=
    _xlfn.IFS(
      OR(TRIM(A69)="AICM", TRIM(A69)="AÉREO AICM"), 5,
      OR(TRIM(A69)="VERACRUZ", TRIM(A69)="MARÍTIMO VERACRUZ"), 6,
      OR(TRIM(A69)="AIFA", TRIM(A69)="AÉREO AIFA"), 7,
      AND(TRIM(A69)="CORRESPONSALIAS", TRIM(B69)="NUEVO LAREDO"), 6,
      TRIM(A69)="MANZANILLO", 10,
      TRIM(A69)="TOLUCA", 6,
      TRUE, 999
    ),
    "On Time",
    "Delayed"
  ),
  "Faltan fechas"
)</f>
        <v>Delayed</v>
      </c>
      <c r="U69" s="27">
        <v>13</v>
      </c>
      <c r="V69" s="27" t="s">
        <v>559</v>
      </c>
      <c r="W69" s="27">
        <v>22</v>
      </c>
      <c r="X69" s="27" t="s">
        <v>547</v>
      </c>
      <c r="Y69" s="27">
        <v>2</v>
      </c>
      <c r="Z69" s="27" t="s">
        <v>579</v>
      </c>
      <c r="AA69" s="27">
        <v>2</v>
      </c>
      <c r="AB69" s="27">
        <v>2</v>
      </c>
      <c r="AC69" s="27" t="s">
        <v>579</v>
      </c>
      <c r="AD69" s="28">
        <v>46185</v>
      </c>
      <c r="AE69" s="27" t="s">
        <v>223</v>
      </c>
      <c r="AF69" s="27">
        <v>9</v>
      </c>
      <c r="AG69" s="28"/>
      <c r="AH69" s="28">
        <v>46185</v>
      </c>
      <c r="AI69" s="29" t="s">
        <v>223</v>
      </c>
      <c r="AJ69" s="28" t="s">
        <v>559</v>
      </c>
      <c r="AK69" s="28">
        <v>46185</v>
      </c>
      <c r="AL69" s="5">
        <f>IFERROR(IF(Q69=AK69,0,NETWORKDAYS(Q69,AK69,{"01/01/2026";"02/02/2026";"16/03/2026";"02/04/2026";"03/04/2026";"01/05/2026"})),"aun no se factura")</f>
        <v>10</v>
      </c>
      <c r="AM69" s="4" t="str">
        <f>IFERROR(IF(OR(Q69="",AK69=""),"SIN DATO",IF(NETWORKDAYS(Q69,AK69,{"01/01/2026";"02/02/2026";"16/03/2026";"02/04/2026";"03/04/2026";"01/05/2026"})&lt;=1,"1 día o menos",IF(NETWORKDAYS(Q69,AK69,{"01/01/2026";"02/02/2026";"16/03/2026";"02/04/2026";"03/04/2026";"01/05/2026"})&lt;=3,"2 a 3 días",IF(NETWORKDAYS(Q69,AK69,{"01/01/2026";"02/02/2026";"16/03/2026";"02/04/2026";"03/04/2026";"01/05/2026"})&lt;=5,"4 a 5 días",IF(NETWORKDAYS(Q69,AK69,{"01/01/2026";"02/02/2026";"16/03/2026";"02/04/2026";"03/04/2026";"01/05/2026"})&lt;=10,"6 a 10 días",IF(NETWORKDAYS(Q69,AK69,{"01/01/2026";"02/02/2026";"16/03/2026";"02/04/2026";"03/04/2026";"01/05/2026"})&lt;=16,"11 a 15 días","más de 16 días")))))),"aun no se factura")</f>
        <v>6 a 10 días</v>
      </c>
      <c r="AN69" s="4" t="str" cm="1">
        <f t="array" ref="AN69">IFERROR(
  IF(
    NETWORKDAYS(Q69,AK69,{"01/01/2026";"02/02/2026";"16/03/2026";"02/04/2026";"03/04/2026";"01/05/2026"}) &lt;=
    _xlfn.IFS(
      OR(TRIM(A69)="AICM", TRIM(A69)="AÉREO AICM"), 5,
      OR(TRIM(A69)="VERACRUZ", TRIM(A69)="MARÍTIMO VERACRUZ"), 6,
      OR(TRIM(A69)="AIFA", TRIM(A69)="AÉREO AIFA"), 7,
      AND(TRIM(A69)="CORRESPONSALIAS", TRIM(B69)="NUEVO LAREDO"), 6,
      TRIM(A69)="MANZANILLO", 10,
      TRIM(A69)="TOLUCA", 6,
      TRUE, 999
    ),
    "On Time",
    "Delayed"
  ),
  "Faltan fechas"
)</f>
        <v>Delayed</v>
      </c>
      <c r="AO69" s="29">
        <v>1</v>
      </c>
      <c r="AP69" s="28" t="s">
        <v>548</v>
      </c>
      <c r="AQ69" s="27" t="s">
        <v>93</v>
      </c>
      <c r="AR69" s="27" t="s">
        <v>112</v>
      </c>
      <c r="AS69" s="27" t="s">
        <v>1029</v>
      </c>
      <c r="AT69" s="27" t="s">
        <v>223</v>
      </c>
      <c r="AU69" s="29">
        <v>6000704</v>
      </c>
      <c r="AV69" s="27" t="s">
        <v>92</v>
      </c>
      <c r="AW69" s="27" t="s">
        <v>96</v>
      </c>
      <c r="AX69" s="27" t="s">
        <v>549</v>
      </c>
      <c r="AY69" s="27"/>
      <c r="AZ69" s="27" t="s">
        <v>550</v>
      </c>
      <c r="BA69" s="27" t="s">
        <v>90</v>
      </c>
      <c r="BB69" s="27"/>
      <c r="BC69" s="27" t="s">
        <v>107</v>
      </c>
      <c r="BD69" s="27" t="s">
        <v>1025</v>
      </c>
      <c r="BE69" s="27" t="s">
        <v>107</v>
      </c>
      <c r="BF69" s="27" t="s">
        <v>576</v>
      </c>
      <c r="BG69" s="27" t="s">
        <v>552</v>
      </c>
      <c r="BH69" s="27" t="s">
        <v>580</v>
      </c>
      <c r="BI69" s="27"/>
      <c r="BJ69" s="27" t="s">
        <v>643</v>
      </c>
      <c r="BK69" s="27" t="s">
        <v>554</v>
      </c>
      <c r="BL69" s="27">
        <v>0</v>
      </c>
      <c r="BM69" s="27">
        <v>99</v>
      </c>
      <c r="BN69" s="27" t="s">
        <v>1030</v>
      </c>
      <c r="BO69" s="27">
        <v>90</v>
      </c>
      <c r="BP69" s="27" t="s">
        <v>910</v>
      </c>
      <c r="BQ69" s="27" t="s">
        <v>563</v>
      </c>
      <c r="BR69" s="27"/>
      <c r="BS69" s="27" t="s">
        <v>591</v>
      </c>
      <c r="BT69" s="27" t="s">
        <v>558</v>
      </c>
      <c r="BU69" s="27" t="s">
        <v>104</v>
      </c>
      <c r="BV69" s="27" t="s">
        <v>105</v>
      </c>
      <c r="BW69" s="27">
        <v>12690063</v>
      </c>
      <c r="BX69" s="27" t="s">
        <v>911</v>
      </c>
      <c r="BY69" s="27" t="s">
        <v>223</v>
      </c>
      <c r="BZ69" s="27" t="s">
        <v>223</v>
      </c>
      <c r="CA69" s="30" t="s">
        <v>1031</v>
      </c>
    </row>
    <row r="70" spans="1:79" x14ac:dyDescent="0.25">
      <c r="A70" s="26" t="s">
        <v>577</v>
      </c>
      <c r="B70" s="27" t="s">
        <v>578</v>
      </c>
      <c r="C70" s="27" t="s">
        <v>1038</v>
      </c>
      <c r="D70" s="27">
        <v>430</v>
      </c>
      <c r="E70" s="28">
        <v>46160</v>
      </c>
      <c r="F70" s="27">
        <v>5</v>
      </c>
      <c r="G70" s="35">
        <v>46155</v>
      </c>
      <c r="H70" s="28">
        <v>46160</v>
      </c>
      <c r="I70" s="27">
        <v>3</v>
      </c>
      <c r="J70" s="27" t="s">
        <v>579</v>
      </c>
      <c r="K70" s="35">
        <v>46161</v>
      </c>
      <c r="L70" s="27">
        <v>4</v>
      </c>
      <c r="M70" s="34">
        <f>IFERROR(IF(G70=K70,0,NETWORKDAYS(G70,K70,{"01/01/2026";"02/02/2026";"16/03/2026";"02/04/2026";"03/04/2026";"01/05/2026"})),"Faltan Fechas")</f>
        <v>5</v>
      </c>
      <c r="N70" s="33" t="str">
        <f>IFERROR(IF(OR(G70="",K70=""),"SIN DATO",IF(NETWORKDAYS(G70,K70,{"01/01/2026";"02/02/2026";"16/03/2026";"02/04/2026";"03/04/2026";"01/05/2026"})&lt;=1,"1 día o menos",IF(NETWORKDAYS(G70,K70,{"01/01/2026";"02/02/2026";"16/03/2026";"02/04/2026";"03/04/2026";"01/05/2026"})&lt;=3,"2 a 3 días",IF(NETWORKDAYS(G70,K70,{"01/01/2026";"02/02/2026";"16/03/2026";"02/04/2026";"03/04/2026";"01/05/2026"})&lt;=5,"4 a 5 días",IF(NETWORKDAYS(G70,K70,{"01/01/2026";"02/02/2026";"16/03/2026";"02/04/2026";"03/04/2026";"01/05/2026"})&lt;=10,"6 a 10 días",IF(NETWORKDAYS(G70,K70,{"01/01/2026";"02/02/2026";"16/03/2026";"02/04/2026";"03/04/2026";"01/05/2026"})&lt;=16,"11 a 15 días","más de 16 días")))))),"Aun no se entrega")</f>
        <v>4 a 5 días</v>
      </c>
      <c r="O70" s="34" t="str" cm="1">
        <f t="array" ref="O70">IFERROR(
  IF(
    NETWORKDAYS(G70,K70,{"01/01/2026";"02/02/2026";"16/03/2026";"02/04/2026";"03/04/2026";"01/05/2026"}) &lt;=
    _xlfn.IFS(
      OR(TRIM(A70)="AICM", TRIM(A70)="AÉREO AICM"), 5,
      OR(TRIM(A70)="VERACRUZ", TRIM(A70)="MARÍTIMO VERACRUZ"), 6,
      OR(TRIM(A70)="AIFA", TRIM(A70)="AÉREO AIFA"), 7,
      AND(TRIM(A70)="CORRESPONSALIAS", TRIM(B70)="NUEVO LAREDO"), 6,
      TRIM(A70)="MANZANILLO", 10,
      TRIM(A70)="TOLUCA", 6,
      TRUE, 999
    ),
    "On Time",
    "Delayed"
  ),
  "Faltan fechas"
)</f>
        <v>On Time</v>
      </c>
      <c r="P70" s="36" t="s">
        <v>543</v>
      </c>
      <c r="Q70" s="28">
        <v>46162</v>
      </c>
      <c r="R70" s="5">
        <f>IFERROR(IF(G70=Q70,0,NETWORKDAYS(G70,Q70,{"01/01/2026";"02/02/2026";"16/03/2026";"02/04/2026";"03/04/2026";"01/05/2026"})),"Faltan Fechas")</f>
        <v>6</v>
      </c>
      <c r="S70" s="4" t="str">
        <f>IFERROR(IF(OR(G70="",Q70=""),"SIN DATO",IF(NETWORKDAYS(G70,Q70,{"01/01/2026";"02/02/2026";"16/03/2026";"02/04/2026";"03/04/2026";"01/05/2026"})&lt;=1,"1 día o menos",IF(NETWORKDAYS(G70,Q70,{"01/01/2026";"02/02/2026";"16/03/2026";"02/04/2026";"03/04/2026";"01/05/2026"})&lt;=3,"2 a 3 días",IF(NETWORKDAYS(G70,Q70,{"01/01/2026";"02/02/2026";"16/03/2026";"02/04/2026";"03/04/2026";"01/05/2026"})&lt;=5,"4 a 5 días",IF(NETWORKDAYS(G70,Q70,{"01/01/2026";"02/02/2026";"16/03/2026";"02/04/2026";"03/04/2026";"01/05/2026"})&lt;=10,"6 a 10 días",IF(NETWORKDAYS(G70,Q70,{"01/01/2026";"02/02/2026";"16/03/2026";"02/04/2026";"03/04/2026";"01/05/2026"})&lt;=16,"11 a 15 días","más de 16 días")))))),"Aun no se entrega")</f>
        <v>6 a 10 días</v>
      </c>
      <c r="T70" s="4" t="str" cm="1">
        <f t="array" ref="T70">IFERROR(
  IF(
    NETWORKDAYS(G70,Q70,{"01/01/2026";"02/02/2026";"16/03/2026";"02/04/2026";"03/04/2026";"01/05/2026"}) &lt;=
    _xlfn.IFS(
      OR(TRIM(A70)="AICM", TRIM(A70)="AÉREO AICM"), 5,
      OR(TRIM(A70)="VERACRUZ", TRIM(A70)="MARÍTIMO VERACRUZ"), 6,
      OR(TRIM(A70)="AIFA", TRIM(A70)="AÉREO AIFA"), 7,
      AND(TRIM(A70)="CORRESPONSALIAS", TRIM(B70)="NUEVO LAREDO"), 6,
      TRIM(A70)="MANZANILLO", 10,
      TRIM(A70)="TOLUCA", 6,
      TRUE, 999
    ),
    "On Time",
    "Delayed"
  ),
  "Faltan fechas"
)</f>
        <v>On Time</v>
      </c>
      <c r="U70" s="27">
        <v>5</v>
      </c>
      <c r="V70" s="27" t="s">
        <v>543</v>
      </c>
      <c r="W70" s="27">
        <v>14</v>
      </c>
      <c r="X70" s="27" t="s">
        <v>559</v>
      </c>
      <c r="Y70" s="27">
        <v>1</v>
      </c>
      <c r="Z70" s="27" t="s">
        <v>546</v>
      </c>
      <c r="AA70" s="27">
        <v>1</v>
      </c>
      <c r="AB70" s="27">
        <v>1</v>
      </c>
      <c r="AC70" s="27" t="s">
        <v>546</v>
      </c>
      <c r="AD70" s="28">
        <v>46175</v>
      </c>
      <c r="AE70" s="27">
        <v>8</v>
      </c>
      <c r="AF70" s="27">
        <v>9</v>
      </c>
      <c r="AG70" s="28">
        <v>46174</v>
      </c>
      <c r="AH70" s="28">
        <v>46175</v>
      </c>
      <c r="AI70" s="29">
        <v>1</v>
      </c>
      <c r="AJ70" s="28" t="s">
        <v>559</v>
      </c>
      <c r="AK70" s="28">
        <v>46175</v>
      </c>
      <c r="AL70" s="5">
        <f>IFERROR(IF(Q70=AK70,0,NETWORKDAYS(Q70,AK70,{"01/01/2026";"02/02/2026";"16/03/2026";"02/04/2026";"03/04/2026";"01/05/2026"})),"aun no se factura")</f>
        <v>10</v>
      </c>
      <c r="AM70" s="4" t="str">
        <f>IFERROR(IF(OR(Q70="",AK70=""),"SIN DATO",IF(NETWORKDAYS(Q70,AK70,{"01/01/2026";"02/02/2026";"16/03/2026";"02/04/2026";"03/04/2026";"01/05/2026"})&lt;=1,"1 día o menos",IF(NETWORKDAYS(Q70,AK70,{"01/01/2026";"02/02/2026";"16/03/2026";"02/04/2026";"03/04/2026";"01/05/2026"})&lt;=3,"2 a 3 días",IF(NETWORKDAYS(Q70,AK70,{"01/01/2026";"02/02/2026";"16/03/2026";"02/04/2026";"03/04/2026";"01/05/2026"})&lt;=5,"4 a 5 días",IF(NETWORKDAYS(Q70,AK70,{"01/01/2026";"02/02/2026";"16/03/2026";"02/04/2026";"03/04/2026";"01/05/2026"})&lt;=10,"6 a 10 días",IF(NETWORKDAYS(Q70,AK70,{"01/01/2026";"02/02/2026";"16/03/2026";"02/04/2026";"03/04/2026";"01/05/2026"})&lt;=16,"11 a 15 días","más de 16 días")))))),"aun no se factura")</f>
        <v>6 a 10 días</v>
      </c>
      <c r="AN70" s="4" t="str" cm="1">
        <f t="array" ref="AN70">IFERROR(
  IF(
    NETWORKDAYS(Q70,AK70,{"01/01/2026";"02/02/2026";"16/03/2026";"02/04/2026";"03/04/2026";"01/05/2026"}) &lt;=
    _xlfn.IFS(
      OR(TRIM(A70)="AICM", TRIM(A70)="AÉREO AICM"), 5,
      OR(TRIM(A70)="VERACRUZ", TRIM(A70)="MARÍTIMO VERACRUZ"), 6,
      OR(TRIM(A70)="AIFA", TRIM(A70)="AÉREO AIFA"), 7,
      AND(TRIM(A70)="CORRESPONSALIAS", TRIM(B70)="NUEVO LAREDO"), 6,
      TRIM(A70)="MANZANILLO", 10,
      TRIM(A70)="TOLUCA", 6,
      TRUE, 999
    ),
    "On Time",
    "Delayed"
  ),
  "Faltan fechas"
)</f>
        <v>Delayed</v>
      </c>
      <c r="AO70" s="29">
        <v>1</v>
      </c>
      <c r="AP70" s="28" t="s">
        <v>548</v>
      </c>
      <c r="AQ70" s="27" t="s">
        <v>93</v>
      </c>
      <c r="AR70" s="27" t="s">
        <v>112</v>
      </c>
      <c r="AS70" s="27" t="s">
        <v>1039</v>
      </c>
      <c r="AT70" s="27" t="s">
        <v>223</v>
      </c>
      <c r="AU70" s="29">
        <v>6000706</v>
      </c>
      <c r="AV70" s="27" t="s">
        <v>92</v>
      </c>
      <c r="AW70" s="27" t="s">
        <v>1040</v>
      </c>
      <c r="AX70" s="27" t="s">
        <v>549</v>
      </c>
      <c r="AY70" s="27"/>
      <c r="AZ70" s="27" t="s">
        <v>550</v>
      </c>
      <c r="BA70" s="27" t="s">
        <v>90</v>
      </c>
      <c r="BB70" s="27"/>
      <c r="BC70" s="27" t="s">
        <v>117</v>
      </c>
      <c r="BD70" s="27"/>
      <c r="BE70" s="27" t="s">
        <v>117</v>
      </c>
      <c r="BF70" s="27" t="s">
        <v>576</v>
      </c>
      <c r="BG70" s="27" t="s">
        <v>552</v>
      </c>
      <c r="BH70" s="27" t="s">
        <v>607</v>
      </c>
      <c r="BI70" s="27" t="s">
        <v>1041</v>
      </c>
      <c r="BJ70" s="27"/>
      <c r="BK70" s="27" t="s">
        <v>554</v>
      </c>
      <c r="BL70" s="27">
        <v>0</v>
      </c>
      <c r="BM70" s="27">
        <v>99</v>
      </c>
      <c r="BN70" s="27" t="s">
        <v>1042</v>
      </c>
      <c r="BO70" s="27">
        <v>90</v>
      </c>
      <c r="BP70" s="27" t="s">
        <v>1043</v>
      </c>
      <c r="BQ70" s="27" t="s">
        <v>702</v>
      </c>
      <c r="BR70" s="27"/>
      <c r="BS70" s="27" t="s">
        <v>558</v>
      </c>
      <c r="BT70" s="27" t="s">
        <v>558</v>
      </c>
      <c r="BU70" s="27" t="s">
        <v>105</v>
      </c>
      <c r="BV70" s="27" t="s">
        <v>105</v>
      </c>
      <c r="BW70" s="27">
        <v>21842392</v>
      </c>
      <c r="BX70" s="27" t="s">
        <v>802</v>
      </c>
      <c r="BY70" s="27" t="s">
        <v>223</v>
      </c>
      <c r="BZ70" s="27" t="s">
        <v>223</v>
      </c>
      <c r="CA70" s="30" t="s">
        <v>1044</v>
      </c>
    </row>
    <row r="71" spans="1:79" x14ac:dyDescent="0.25">
      <c r="A71" s="26" t="s">
        <v>577</v>
      </c>
      <c r="B71" s="27" t="s">
        <v>578</v>
      </c>
      <c r="C71" s="27" t="s">
        <v>1056</v>
      </c>
      <c r="D71" s="27">
        <v>430</v>
      </c>
      <c r="E71" s="28">
        <v>46157</v>
      </c>
      <c r="F71" s="27">
        <v>5</v>
      </c>
      <c r="G71" s="35">
        <v>46155</v>
      </c>
      <c r="H71" s="28">
        <v>46157</v>
      </c>
      <c r="I71" s="27">
        <v>2</v>
      </c>
      <c r="J71" s="27" t="s">
        <v>579</v>
      </c>
      <c r="K71" s="35">
        <v>46158</v>
      </c>
      <c r="L71" s="27">
        <v>2</v>
      </c>
      <c r="M71" s="34">
        <f>IFERROR(IF(G71=K71,0,NETWORKDAYS(G71,K71,{"01/01/2026";"02/02/2026";"16/03/2026";"02/04/2026";"03/04/2026";"01/05/2026"})),"Faltan Fechas")</f>
        <v>3</v>
      </c>
      <c r="N71" s="33" t="str">
        <f>IFERROR(IF(OR(G71="",K71=""),"SIN DATO",IF(NETWORKDAYS(G71,K71,{"01/01/2026";"02/02/2026";"16/03/2026";"02/04/2026";"03/04/2026";"01/05/2026"})&lt;=1,"1 día o menos",IF(NETWORKDAYS(G71,K71,{"01/01/2026";"02/02/2026";"16/03/2026";"02/04/2026";"03/04/2026";"01/05/2026"})&lt;=3,"2 a 3 días",IF(NETWORKDAYS(G71,K71,{"01/01/2026";"02/02/2026";"16/03/2026";"02/04/2026";"03/04/2026";"01/05/2026"})&lt;=5,"4 a 5 días",IF(NETWORKDAYS(G71,K71,{"01/01/2026";"02/02/2026";"16/03/2026";"02/04/2026";"03/04/2026";"01/05/2026"})&lt;=10,"6 a 10 días",IF(NETWORKDAYS(G71,K71,{"01/01/2026";"02/02/2026";"16/03/2026";"02/04/2026";"03/04/2026";"01/05/2026"})&lt;=16,"11 a 15 días","más de 16 días")))))),"Aun no se entrega")</f>
        <v>2 a 3 días</v>
      </c>
      <c r="O71" s="34" t="str" cm="1">
        <f t="array" ref="O71">IFERROR(
  IF(
    NETWORKDAYS(G71,K71,{"01/01/2026";"02/02/2026";"16/03/2026";"02/04/2026";"03/04/2026";"01/05/2026"}) &lt;=
    _xlfn.IFS(
      OR(TRIM(A71)="AICM", TRIM(A71)="AÉREO AICM"), 5,
      OR(TRIM(A71)="VERACRUZ", TRIM(A71)="MARÍTIMO VERACRUZ"), 6,
      OR(TRIM(A71)="AIFA", TRIM(A71)="AÉREO AIFA"), 7,
      AND(TRIM(A71)="CORRESPONSALIAS", TRIM(B71)="NUEVO LAREDO"), 6,
      TRIM(A71)="MANZANILLO", 10,
      TRIM(A71)="TOLUCA", 6,
      TRUE, 999
    ),
    "On Time",
    "Delayed"
  ),
  "Faltan fechas"
)</f>
        <v>On Time</v>
      </c>
      <c r="P71" s="36" t="s">
        <v>579</v>
      </c>
      <c r="Q71" s="28">
        <v>46162</v>
      </c>
      <c r="R71" s="5">
        <f>IFERROR(IF(G71=Q71,0,NETWORKDAYS(G71,Q71,{"01/01/2026";"02/02/2026";"16/03/2026";"02/04/2026";"03/04/2026";"01/05/2026"})),"Faltan Fechas")</f>
        <v>6</v>
      </c>
      <c r="S71" s="4" t="str">
        <f>IFERROR(IF(OR(G71="",Q71=""),"SIN DATO",IF(NETWORKDAYS(G71,Q71,{"01/01/2026";"02/02/2026";"16/03/2026";"02/04/2026";"03/04/2026";"01/05/2026"})&lt;=1,"1 día o menos",IF(NETWORKDAYS(G71,Q71,{"01/01/2026";"02/02/2026";"16/03/2026";"02/04/2026";"03/04/2026";"01/05/2026"})&lt;=3,"2 a 3 días",IF(NETWORKDAYS(G71,Q71,{"01/01/2026";"02/02/2026";"16/03/2026";"02/04/2026";"03/04/2026";"01/05/2026"})&lt;=5,"4 a 5 días",IF(NETWORKDAYS(G71,Q71,{"01/01/2026";"02/02/2026";"16/03/2026";"02/04/2026";"03/04/2026";"01/05/2026"})&lt;=10,"6 a 10 días",IF(NETWORKDAYS(G71,Q71,{"01/01/2026";"02/02/2026";"16/03/2026";"02/04/2026";"03/04/2026";"01/05/2026"})&lt;=16,"11 a 15 días","más de 16 días")))))),"Aun no se entrega")</f>
        <v>6 a 10 días</v>
      </c>
      <c r="T71" s="4" t="str" cm="1">
        <f t="array" ref="T71">IFERROR(
  IF(
    NETWORKDAYS(G71,Q71,{"01/01/2026";"02/02/2026";"16/03/2026";"02/04/2026";"03/04/2026";"01/05/2026"}) &lt;=
    _xlfn.IFS(
      OR(TRIM(A71)="AICM", TRIM(A71)="AÉREO AICM"), 5,
      OR(TRIM(A71)="VERACRUZ", TRIM(A71)="MARÍTIMO VERACRUZ"), 6,
      OR(TRIM(A71)="AIFA", TRIM(A71)="AÉREO AIFA"), 7,
      AND(TRIM(A71)="CORRESPONSALIAS", TRIM(B71)="NUEVO LAREDO"), 6,
      TRIM(A71)="MANZANILLO", 10,
      TRIM(A71)="TOLUCA", 6,
      TRUE, 999
    ),
    "On Time",
    "Delayed"
  ),
  "Faltan fechas"
)</f>
        <v>On Time</v>
      </c>
      <c r="U71" s="27">
        <v>5</v>
      </c>
      <c r="V71" s="27" t="s">
        <v>543</v>
      </c>
      <c r="W71" s="27">
        <v>14</v>
      </c>
      <c r="X71" s="27" t="s">
        <v>559</v>
      </c>
      <c r="Y71" s="27">
        <v>1</v>
      </c>
      <c r="Z71" s="27" t="s">
        <v>546</v>
      </c>
      <c r="AA71" s="27">
        <v>1</v>
      </c>
      <c r="AB71" s="27">
        <v>4</v>
      </c>
      <c r="AC71" s="27" t="s">
        <v>543</v>
      </c>
      <c r="AD71" s="28">
        <v>46175</v>
      </c>
      <c r="AE71" s="27">
        <v>8</v>
      </c>
      <c r="AF71" s="27">
        <v>9</v>
      </c>
      <c r="AG71" s="28">
        <v>46174</v>
      </c>
      <c r="AH71" s="28">
        <v>46175</v>
      </c>
      <c r="AI71" s="29">
        <v>1</v>
      </c>
      <c r="AJ71" s="28" t="s">
        <v>559</v>
      </c>
      <c r="AK71" s="28">
        <v>46175</v>
      </c>
      <c r="AL71" s="5">
        <f>IFERROR(IF(Q71=AK71,0,NETWORKDAYS(Q71,AK71,{"01/01/2026";"02/02/2026";"16/03/2026";"02/04/2026";"03/04/2026";"01/05/2026"})),"aun no se factura")</f>
        <v>10</v>
      </c>
      <c r="AM71" s="4" t="str">
        <f>IFERROR(IF(OR(Q71="",AK71=""),"SIN DATO",IF(NETWORKDAYS(Q71,AK71,{"01/01/2026";"02/02/2026";"16/03/2026";"02/04/2026";"03/04/2026";"01/05/2026"})&lt;=1,"1 día o menos",IF(NETWORKDAYS(Q71,AK71,{"01/01/2026";"02/02/2026";"16/03/2026";"02/04/2026";"03/04/2026";"01/05/2026"})&lt;=3,"2 a 3 días",IF(NETWORKDAYS(Q71,AK71,{"01/01/2026";"02/02/2026";"16/03/2026";"02/04/2026";"03/04/2026";"01/05/2026"})&lt;=5,"4 a 5 días",IF(NETWORKDAYS(Q71,AK71,{"01/01/2026";"02/02/2026";"16/03/2026";"02/04/2026";"03/04/2026";"01/05/2026"})&lt;=10,"6 a 10 días",IF(NETWORKDAYS(Q71,AK71,{"01/01/2026";"02/02/2026";"16/03/2026";"02/04/2026";"03/04/2026";"01/05/2026"})&lt;=16,"11 a 15 días","más de 16 días")))))),"aun no se factura")</f>
        <v>6 a 10 días</v>
      </c>
      <c r="AN71" s="4" t="str" cm="1">
        <f t="array" ref="AN71">IFERROR(
  IF(
    NETWORKDAYS(Q71,AK71,{"01/01/2026";"02/02/2026";"16/03/2026";"02/04/2026";"03/04/2026";"01/05/2026"}) &lt;=
    _xlfn.IFS(
      OR(TRIM(A71)="AICM", TRIM(A71)="AÉREO AICM"), 5,
      OR(TRIM(A71)="VERACRUZ", TRIM(A71)="MARÍTIMO VERACRUZ"), 6,
      OR(TRIM(A71)="AIFA", TRIM(A71)="AÉREO AIFA"), 7,
      AND(TRIM(A71)="CORRESPONSALIAS", TRIM(B71)="NUEVO LAREDO"), 6,
      TRIM(A71)="MANZANILLO", 10,
      TRIM(A71)="TOLUCA", 6,
      TRUE, 999
    ),
    "On Time",
    "Delayed"
  ),
  "Faltan fechas"
)</f>
        <v>Delayed</v>
      </c>
      <c r="AO71" s="29">
        <v>1</v>
      </c>
      <c r="AP71" s="28" t="s">
        <v>548</v>
      </c>
      <c r="AQ71" s="27" t="s">
        <v>93</v>
      </c>
      <c r="AR71" s="27" t="s">
        <v>112</v>
      </c>
      <c r="AS71" s="27" t="s">
        <v>1057</v>
      </c>
      <c r="AT71" s="27" t="s">
        <v>223</v>
      </c>
      <c r="AU71" s="29">
        <v>6000714</v>
      </c>
      <c r="AV71" s="27" t="s">
        <v>92</v>
      </c>
      <c r="AW71" s="27" t="s">
        <v>401</v>
      </c>
      <c r="AX71" s="27" t="s">
        <v>549</v>
      </c>
      <c r="AY71" s="27"/>
      <c r="AZ71" s="27" t="s">
        <v>550</v>
      </c>
      <c r="BA71" s="27" t="s">
        <v>90</v>
      </c>
      <c r="BB71" s="27"/>
      <c r="BC71" s="27" t="s">
        <v>117</v>
      </c>
      <c r="BD71" s="27"/>
      <c r="BE71" s="27" t="s">
        <v>117</v>
      </c>
      <c r="BF71" s="27" t="s">
        <v>576</v>
      </c>
      <c r="BG71" s="27" t="s">
        <v>552</v>
      </c>
      <c r="BH71" s="27" t="s">
        <v>580</v>
      </c>
      <c r="BI71" s="27"/>
      <c r="BJ71" s="27" t="s">
        <v>643</v>
      </c>
      <c r="BK71" s="27" t="s">
        <v>554</v>
      </c>
      <c r="BL71" s="27">
        <v>0</v>
      </c>
      <c r="BM71" s="27">
        <v>99</v>
      </c>
      <c r="BN71" s="27" t="s">
        <v>1058</v>
      </c>
      <c r="BO71" s="27">
        <v>90</v>
      </c>
      <c r="BP71" s="27" t="s">
        <v>1059</v>
      </c>
      <c r="BQ71" s="27" t="s">
        <v>563</v>
      </c>
      <c r="BR71" s="27"/>
      <c r="BS71" s="27" t="s">
        <v>613</v>
      </c>
      <c r="BT71" s="27" t="s">
        <v>558</v>
      </c>
      <c r="BU71" s="27" t="s">
        <v>133</v>
      </c>
      <c r="BV71" s="27" t="s">
        <v>105</v>
      </c>
      <c r="BW71" s="27">
        <v>8811845</v>
      </c>
      <c r="BX71" s="27" t="s">
        <v>1060</v>
      </c>
      <c r="BY71" s="27" t="s">
        <v>223</v>
      </c>
      <c r="BZ71" s="27" t="s">
        <v>1061</v>
      </c>
      <c r="CA71" s="30" t="s">
        <v>1062</v>
      </c>
    </row>
    <row r="72" spans="1:79" x14ac:dyDescent="0.25">
      <c r="A72" s="26" t="s">
        <v>577</v>
      </c>
      <c r="B72" s="27" t="s">
        <v>578</v>
      </c>
      <c r="C72" s="27" t="s">
        <v>1063</v>
      </c>
      <c r="D72" s="27">
        <v>430</v>
      </c>
      <c r="E72" s="28">
        <v>46160</v>
      </c>
      <c r="F72" s="27">
        <v>5</v>
      </c>
      <c r="G72" s="35">
        <v>46155</v>
      </c>
      <c r="H72" s="28">
        <v>46160</v>
      </c>
      <c r="I72" s="27">
        <v>3</v>
      </c>
      <c r="J72" s="27" t="s">
        <v>579</v>
      </c>
      <c r="K72" s="35">
        <v>46161</v>
      </c>
      <c r="L72" s="27">
        <v>4</v>
      </c>
      <c r="M72" s="34">
        <f>IFERROR(IF(G72=K72,0,NETWORKDAYS(G72,K72,{"01/01/2026";"02/02/2026";"16/03/2026";"02/04/2026";"03/04/2026";"01/05/2026"})),"Faltan Fechas")</f>
        <v>5</v>
      </c>
      <c r="N72" s="33" t="str">
        <f>IFERROR(IF(OR(G72="",K72=""),"SIN DATO",IF(NETWORKDAYS(G72,K72,{"01/01/2026";"02/02/2026";"16/03/2026";"02/04/2026";"03/04/2026";"01/05/2026"})&lt;=1,"1 día o menos",IF(NETWORKDAYS(G72,K72,{"01/01/2026";"02/02/2026";"16/03/2026";"02/04/2026";"03/04/2026";"01/05/2026"})&lt;=3,"2 a 3 días",IF(NETWORKDAYS(G72,K72,{"01/01/2026";"02/02/2026";"16/03/2026";"02/04/2026";"03/04/2026";"01/05/2026"})&lt;=5,"4 a 5 días",IF(NETWORKDAYS(G72,K72,{"01/01/2026";"02/02/2026";"16/03/2026";"02/04/2026";"03/04/2026";"01/05/2026"})&lt;=10,"6 a 10 días",IF(NETWORKDAYS(G72,K72,{"01/01/2026";"02/02/2026";"16/03/2026";"02/04/2026";"03/04/2026";"01/05/2026"})&lt;=16,"11 a 15 días","más de 16 días")))))),"Aun no se entrega")</f>
        <v>4 a 5 días</v>
      </c>
      <c r="O72" s="34" t="str" cm="1">
        <f t="array" ref="O72">IFERROR(
  IF(
    NETWORKDAYS(G72,K72,{"01/01/2026";"02/02/2026";"16/03/2026";"02/04/2026";"03/04/2026";"01/05/2026"}) &lt;=
    _xlfn.IFS(
      OR(TRIM(A72)="AICM", TRIM(A72)="AÉREO AICM"), 5,
      OR(TRIM(A72)="VERACRUZ", TRIM(A72)="MARÍTIMO VERACRUZ"), 6,
      OR(TRIM(A72)="AIFA", TRIM(A72)="AÉREO AIFA"), 7,
      AND(TRIM(A72)="CORRESPONSALIAS", TRIM(B72)="NUEVO LAREDO"), 6,
      TRIM(A72)="MANZANILLO", 10,
      TRIM(A72)="TOLUCA", 6,
      TRUE, 999
    ),
    "On Time",
    "Delayed"
  ),
  "Faltan fechas"
)</f>
        <v>On Time</v>
      </c>
      <c r="P72" s="36" t="s">
        <v>543</v>
      </c>
      <c r="Q72" s="28">
        <v>46162</v>
      </c>
      <c r="R72" s="5">
        <f>IFERROR(IF(G72=Q72,0,NETWORKDAYS(G72,Q72,{"01/01/2026";"02/02/2026";"16/03/2026";"02/04/2026";"03/04/2026";"01/05/2026"})),"Faltan Fechas")</f>
        <v>6</v>
      </c>
      <c r="S72" s="4" t="str">
        <f>IFERROR(IF(OR(G72="",Q72=""),"SIN DATO",IF(NETWORKDAYS(G72,Q72,{"01/01/2026";"02/02/2026";"16/03/2026";"02/04/2026";"03/04/2026";"01/05/2026"})&lt;=1,"1 día o menos",IF(NETWORKDAYS(G72,Q72,{"01/01/2026";"02/02/2026";"16/03/2026";"02/04/2026";"03/04/2026";"01/05/2026"})&lt;=3,"2 a 3 días",IF(NETWORKDAYS(G72,Q72,{"01/01/2026";"02/02/2026";"16/03/2026";"02/04/2026";"03/04/2026";"01/05/2026"})&lt;=5,"4 a 5 días",IF(NETWORKDAYS(G72,Q72,{"01/01/2026";"02/02/2026";"16/03/2026";"02/04/2026";"03/04/2026";"01/05/2026"})&lt;=10,"6 a 10 días",IF(NETWORKDAYS(G72,Q72,{"01/01/2026";"02/02/2026";"16/03/2026";"02/04/2026";"03/04/2026";"01/05/2026"})&lt;=16,"11 a 15 días","más de 16 días")))))),"Aun no se entrega")</f>
        <v>6 a 10 días</v>
      </c>
      <c r="T72" s="4" t="str" cm="1">
        <f t="array" ref="T72">IFERROR(
  IF(
    NETWORKDAYS(G72,Q72,{"01/01/2026";"02/02/2026";"16/03/2026";"02/04/2026";"03/04/2026";"01/05/2026"}) &lt;=
    _xlfn.IFS(
      OR(TRIM(A72)="AICM", TRIM(A72)="AÉREO AICM"), 5,
      OR(TRIM(A72)="VERACRUZ", TRIM(A72)="MARÍTIMO VERACRUZ"), 6,
      OR(TRIM(A72)="AIFA", TRIM(A72)="AÉREO AIFA"), 7,
      AND(TRIM(A72)="CORRESPONSALIAS", TRIM(B72)="NUEVO LAREDO"), 6,
      TRIM(A72)="MANZANILLO", 10,
      TRIM(A72)="TOLUCA", 6,
      TRUE, 999
    ),
    "On Time",
    "Delayed"
  ),
  "Faltan fechas"
)</f>
        <v>On Time</v>
      </c>
      <c r="U72" s="27">
        <v>5</v>
      </c>
      <c r="V72" s="27" t="s">
        <v>543</v>
      </c>
      <c r="W72" s="27">
        <v>18</v>
      </c>
      <c r="X72" s="27" t="s">
        <v>547</v>
      </c>
      <c r="Y72" s="27">
        <v>1</v>
      </c>
      <c r="Z72" s="27" t="s">
        <v>546</v>
      </c>
      <c r="AA72" s="27">
        <v>1</v>
      </c>
      <c r="AB72" s="27">
        <v>1</v>
      </c>
      <c r="AC72" s="27" t="s">
        <v>546</v>
      </c>
      <c r="AD72" s="28">
        <v>46181</v>
      </c>
      <c r="AE72" s="27">
        <v>10</v>
      </c>
      <c r="AF72" s="27">
        <v>13</v>
      </c>
      <c r="AG72" s="28">
        <v>46176</v>
      </c>
      <c r="AH72" s="28">
        <v>46181</v>
      </c>
      <c r="AI72" s="29">
        <v>3</v>
      </c>
      <c r="AJ72" s="28" t="s">
        <v>547</v>
      </c>
      <c r="AK72" s="28">
        <v>46181</v>
      </c>
      <c r="AL72" s="5">
        <f>IFERROR(IF(Q72=AK72,0,NETWORKDAYS(Q72,AK72,{"01/01/2026";"02/02/2026";"16/03/2026";"02/04/2026";"03/04/2026";"01/05/2026"})),"aun no se factura")</f>
        <v>14</v>
      </c>
      <c r="AM72" s="4" t="str">
        <f>IFERROR(IF(OR(Q72="",AK72=""),"SIN DATO",IF(NETWORKDAYS(Q72,AK72,{"01/01/2026";"02/02/2026";"16/03/2026";"02/04/2026";"03/04/2026";"01/05/2026"})&lt;=1,"1 día o menos",IF(NETWORKDAYS(Q72,AK72,{"01/01/2026";"02/02/2026";"16/03/2026";"02/04/2026";"03/04/2026";"01/05/2026"})&lt;=3,"2 a 3 días",IF(NETWORKDAYS(Q72,AK72,{"01/01/2026";"02/02/2026";"16/03/2026";"02/04/2026";"03/04/2026";"01/05/2026"})&lt;=5,"4 a 5 días",IF(NETWORKDAYS(Q72,AK72,{"01/01/2026";"02/02/2026";"16/03/2026";"02/04/2026";"03/04/2026";"01/05/2026"})&lt;=10,"6 a 10 días",IF(NETWORKDAYS(Q72,AK72,{"01/01/2026";"02/02/2026";"16/03/2026";"02/04/2026";"03/04/2026";"01/05/2026"})&lt;=16,"11 a 15 días","más de 16 días")))))),"aun no se factura")</f>
        <v>11 a 15 días</v>
      </c>
      <c r="AN72" s="4" t="str" cm="1">
        <f t="array" ref="AN72">IFERROR(
  IF(
    NETWORKDAYS(Q72,AK72,{"01/01/2026";"02/02/2026";"16/03/2026";"02/04/2026";"03/04/2026";"01/05/2026"}) &lt;=
    _xlfn.IFS(
      OR(TRIM(A72)="AICM", TRIM(A72)="AÉREO AICM"), 5,
      OR(TRIM(A72)="VERACRUZ", TRIM(A72)="MARÍTIMO VERACRUZ"), 6,
      OR(TRIM(A72)="AIFA", TRIM(A72)="AÉREO AIFA"), 7,
      AND(TRIM(A72)="CORRESPONSALIAS", TRIM(B72)="NUEVO LAREDO"), 6,
      TRIM(A72)="MANZANILLO", 10,
      TRIM(A72)="TOLUCA", 6,
      TRUE, 999
    ),
    "On Time",
    "Delayed"
  ),
  "Faltan fechas"
)</f>
        <v>Delayed</v>
      </c>
      <c r="AO72" s="29">
        <v>1</v>
      </c>
      <c r="AP72" s="28" t="s">
        <v>548</v>
      </c>
      <c r="AQ72" s="27" t="s">
        <v>93</v>
      </c>
      <c r="AR72" s="27" t="s">
        <v>112</v>
      </c>
      <c r="AS72" s="27" t="s">
        <v>1064</v>
      </c>
      <c r="AT72" s="27" t="s">
        <v>223</v>
      </c>
      <c r="AU72" s="29">
        <v>6000715</v>
      </c>
      <c r="AV72" s="27" t="s">
        <v>92</v>
      </c>
      <c r="AW72" s="27" t="s">
        <v>1065</v>
      </c>
      <c r="AX72" s="27" t="s">
        <v>549</v>
      </c>
      <c r="AY72" s="27"/>
      <c r="AZ72" s="27" t="s">
        <v>550</v>
      </c>
      <c r="BA72" s="27" t="s">
        <v>90</v>
      </c>
      <c r="BB72" s="27"/>
      <c r="BC72" s="27" t="s">
        <v>117</v>
      </c>
      <c r="BD72" s="27"/>
      <c r="BE72" s="27" t="s">
        <v>117</v>
      </c>
      <c r="BF72" s="27" t="s">
        <v>576</v>
      </c>
      <c r="BG72" s="27" t="s">
        <v>552</v>
      </c>
      <c r="BH72" s="27" t="s">
        <v>580</v>
      </c>
      <c r="BI72" s="27"/>
      <c r="BJ72" s="27" t="s">
        <v>581</v>
      </c>
      <c r="BK72" s="27" t="s">
        <v>554</v>
      </c>
      <c r="BL72" s="27">
        <v>0</v>
      </c>
      <c r="BM72" s="27">
        <v>99</v>
      </c>
      <c r="BN72" s="27" t="s">
        <v>1066</v>
      </c>
      <c r="BO72" s="27">
        <v>90</v>
      </c>
      <c r="BP72" s="27" t="s">
        <v>1067</v>
      </c>
      <c r="BQ72" s="27" t="s">
        <v>563</v>
      </c>
      <c r="BR72" s="27"/>
      <c r="BS72" s="27" t="s">
        <v>613</v>
      </c>
      <c r="BT72" s="27" t="s">
        <v>558</v>
      </c>
      <c r="BU72" s="27" t="s">
        <v>133</v>
      </c>
      <c r="BV72" s="27" t="s">
        <v>105</v>
      </c>
      <c r="BW72" s="27">
        <v>3620505</v>
      </c>
      <c r="BX72" s="27" t="s">
        <v>802</v>
      </c>
      <c r="BY72" s="27" t="s">
        <v>223</v>
      </c>
      <c r="BZ72" s="27" t="s">
        <v>223</v>
      </c>
      <c r="CA72" s="30" t="s">
        <v>1068</v>
      </c>
    </row>
    <row r="73" spans="1:79" x14ac:dyDescent="0.25">
      <c r="A73" s="26" t="s">
        <v>577</v>
      </c>
      <c r="B73" s="27" t="s">
        <v>578</v>
      </c>
      <c r="C73" s="27" t="s">
        <v>1079</v>
      </c>
      <c r="D73" s="27">
        <v>430</v>
      </c>
      <c r="E73" s="28">
        <v>46170</v>
      </c>
      <c r="F73" s="27">
        <v>5</v>
      </c>
      <c r="G73" s="35">
        <v>46160</v>
      </c>
      <c r="H73" s="28">
        <v>46170</v>
      </c>
      <c r="I73" s="27">
        <v>8</v>
      </c>
      <c r="J73" s="27" t="s">
        <v>544</v>
      </c>
      <c r="K73" s="35">
        <v>46172</v>
      </c>
      <c r="L73" s="27">
        <v>9</v>
      </c>
      <c r="M73" s="34">
        <f>IFERROR(IF(G73=K73,0,NETWORKDAYS(G73,K73,{"01/01/2026";"02/02/2026";"16/03/2026";"02/04/2026";"03/04/2026";"01/05/2026"})),"Faltan Fechas")</f>
        <v>10</v>
      </c>
      <c r="N73" s="33" t="str">
        <f>IFERROR(IF(OR(G73="",K73=""),"SIN DATO",IF(NETWORKDAYS(G73,K73,{"01/01/2026";"02/02/2026";"16/03/2026";"02/04/2026";"03/04/2026";"01/05/2026"})&lt;=1,"1 día o menos",IF(NETWORKDAYS(G73,K73,{"01/01/2026";"02/02/2026";"16/03/2026";"02/04/2026";"03/04/2026";"01/05/2026"})&lt;=3,"2 a 3 días",IF(NETWORKDAYS(G73,K73,{"01/01/2026";"02/02/2026";"16/03/2026";"02/04/2026";"03/04/2026";"01/05/2026"})&lt;=5,"4 a 5 días",IF(NETWORKDAYS(G73,K73,{"01/01/2026";"02/02/2026";"16/03/2026";"02/04/2026";"03/04/2026";"01/05/2026"})&lt;=10,"6 a 10 días",IF(NETWORKDAYS(G73,K73,{"01/01/2026";"02/02/2026";"16/03/2026";"02/04/2026";"03/04/2026";"01/05/2026"})&lt;=16,"11 a 15 días","más de 16 días")))))),"Aun no se entrega")</f>
        <v>6 a 10 días</v>
      </c>
      <c r="O73" s="34" t="str" cm="1">
        <f t="array" ref="O73">IFERROR(
  IF(
    NETWORKDAYS(G73,K73,{"01/01/2026";"02/02/2026";"16/03/2026";"02/04/2026";"03/04/2026";"01/05/2026"}) &lt;=
    _xlfn.IFS(
      OR(TRIM(A73)="AICM", TRIM(A73)="AÉREO AICM"), 5,
      OR(TRIM(A73)="VERACRUZ", TRIM(A73)="MARÍTIMO VERACRUZ"), 6,
      OR(TRIM(A73)="AIFA", TRIM(A73)="AÉREO AIFA"), 7,
      AND(TRIM(A73)="CORRESPONSALIAS", TRIM(B73)="NUEVO LAREDO"), 6,
      TRIM(A73)="MANZANILLO", 10,
      TRIM(A73)="TOLUCA", 6,
      TRUE, 999
    ),
    "On Time",
    "Delayed"
  ),
  "Faltan fechas"
)</f>
        <v>Delayed</v>
      </c>
      <c r="P73" s="36" t="s">
        <v>544</v>
      </c>
      <c r="Q73" s="28">
        <v>46174</v>
      </c>
      <c r="R73" s="5">
        <f>IFERROR(IF(G73=Q73,0,NETWORKDAYS(G73,Q73,{"01/01/2026";"02/02/2026";"16/03/2026";"02/04/2026";"03/04/2026";"01/05/2026"})),"Faltan Fechas")</f>
        <v>11</v>
      </c>
      <c r="S73" s="4" t="str">
        <f>IFERROR(IF(OR(G73="",Q73=""),"SIN DATO",IF(NETWORKDAYS(G73,Q73,{"01/01/2026";"02/02/2026";"16/03/2026";"02/04/2026";"03/04/2026";"01/05/2026"})&lt;=1,"1 día o menos",IF(NETWORKDAYS(G73,Q73,{"01/01/2026";"02/02/2026";"16/03/2026";"02/04/2026";"03/04/2026";"01/05/2026"})&lt;=3,"2 a 3 días",IF(NETWORKDAYS(G73,Q73,{"01/01/2026";"02/02/2026";"16/03/2026";"02/04/2026";"03/04/2026";"01/05/2026"})&lt;=5,"4 a 5 días",IF(NETWORKDAYS(G73,Q73,{"01/01/2026";"02/02/2026";"16/03/2026";"02/04/2026";"03/04/2026";"01/05/2026"})&lt;=10,"6 a 10 días",IF(NETWORKDAYS(G73,Q73,{"01/01/2026";"02/02/2026";"16/03/2026";"02/04/2026";"03/04/2026";"01/05/2026"})&lt;=16,"11 a 15 días","más de 16 días")))))),"Aun no se entrega")</f>
        <v>11 a 15 días</v>
      </c>
      <c r="T73" s="4" t="str" cm="1">
        <f t="array" ref="T73">IFERROR(
  IF(
    NETWORKDAYS(G73,Q73,{"01/01/2026";"02/02/2026";"16/03/2026";"02/04/2026";"03/04/2026";"01/05/2026"}) &lt;=
    _xlfn.IFS(
      OR(TRIM(A73)="AICM", TRIM(A73)="AÉREO AICM"), 5,
      OR(TRIM(A73)="VERACRUZ", TRIM(A73)="MARÍTIMO VERACRUZ"), 6,
      OR(TRIM(A73)="AIFA", TRIM(A73)="AÉREO AIFA"), 7,
      AND(TRIM(A73)="CORRESPONSALIAS", TRIM(B73)="NUEVO LAREDO"), 6,
      TRIM(A73)="MANZANILLO", 10,
      TRIM(A73)="TOLUCA", 6,
      TRUE, 999
    ),
    "On Time",
    "Delayed"
  ),
  "Faltan fechas"
)</f>
        <v>Delayed</v>
      </c>
      <c r="U73" s="27">
        <v>10</v>
      </c>
      <c r="V73" s="27" t="s">
        <v>544</v>
      </c>
      <c r="W73" s="27">
        <v>19</v>
      </c>
      <c r="X73" s="27" t="s">
        <v>547</v>
      </c>
      <c r="Y73" s="27">
        <v>2</v>
      </c>
      <c r="Z73" s="27" t="s">
        <v>579</v>
      </c>
      <c r="AA73" s="27">
        <v>2</v>
      </c>
      <c r="AB73" s="27">
        <v>2</v>
      </c>
      <c r="AC73" s="27" t="s">
        <v>579</v>
      </c>
      <c r="AD73" s="28">
        <v>46185</v>
      </c>
      <c r="AE73" s="27">
        <v>9</v>
      </c>
      <c r="AF73" s="27">
        <v>9</v>
      </c>
      <c r="AG73" s="28">
        <v>46185</v>
      </c>
      <c r="AH73" s="28">
        <v>46185</v>
      </c>
      <c r="AI73" s="29">
        <v>0</v>
      </c>
      <c r="AJ73" s="28" t="s">
        <v>559</v>
      </c>
      <c r="AK73" s="28">
        <v>46185</v>
      </c>
      <c r="AL73" s="5">
        <f>IFERROR(IF(Q73=AK73,0,NETWORKDAYS(Q73,AK73,{"01/01/2026";"02/02/2026";"16/03/2026";"02/04/2026";"03/04/2026";"01/05/2026"})),"aun no se factura")</f>
        <v>10</v>
      </c>
      <c r="AM73" s="4" t="str">
        <f>IFERROR(IF(OR(Q73="",AK73=""),"SIN DATO",IF(NETWORKDAYS(Q73,AK73,{"01/01/2026";"02/02/2026";"16/03/2026";"02/04/2026";"03/04/2026";"01/05/2026"})&lt;=1,"1 día o menos",IF(NETWORKDAYS(Q73,AK73,{"01/01/2026";"02/02/2026";"16/03/2026";"02/04/2026";"03/04/2026";"01/05/2026"})&lt;=3,"2 a 3 días",IF(NETWORKDAYS(Q73,AK73,{"01/01/2026";"02/02/2026";"16/03/2026";"02/04/2026";"03/04/2026";"01/05/2026"})&lt;=5,"4 a 5 días",IF(NETWORKDAYS(Q73,AK73,{"01/01/2026";"02/02/2026";"16/03/2026";"02/04/2026";"03/04/2026";"01/05/2026"})&lt;=10,"6 a 10 días",IF(NETWORKDAYS(Q73,AK73,{"01/01/2026";"02/02/2026";"16/03/2026";"02/04/2026";"03/04/2026";"01/05/2026"})&lt;=16,"11 a 15 días","más de 16 días")))))),"aun no se factura")</f>
        <v>6 a 10 días</v>
      </c>
      <c r="AN73" s="4" t="str" cm="1">
        <f t="array" ref="AN73">IFERROR(
  IF(
    NETWORKDAYS(Q73,AK73,{"01/01/2026";"02/02/2026";"16/03/2026";"02/04/2026";"03/04/2026";"01/05/2026"}) &lt;=
    _xlfn.IFS(
      OR(TRIM(A73)="AICM", TRIM(A73)="AÉREO AICM"), 5,
      OR(TRIM(A73)="VERACRUZ", TRIM(A73)="MARÍTIMO VERACRUZ"), 6,
      OR(TRIM(A73)="AIFA", TRIM(A73)="AÉREO AIFA"), 7,
      AND(TRIM(A73)="CORRESPONSALIAS", TRIM(B73)="NUEVO LAREDO"), 6,
      TRIM(A73)="MANZANILLO", 10,
      TRIM(A73)="TOLUCA", 6,
      TRUE, 999
    ),
    "On Time",
    "Delayed"
  ),
  "Faltan fechas"
)</f>
        <v>Delayed</v>
      </c>
      <c r="AO73" s="29">
        <v>1</v>
      </c>
      <c r="AP73" s="28" t="s">
        <v>548</v>
      </c>
      <c r="AQ73" s="27" t="s">
        <v>93</v>
      </c>
      <c r="AR73" s="27" t="s">
        <v>112</v>
      </c>
      <c r="AS73" s="27" t="s">
        <v>1080</v>
      </c>
      <c r="AT73" s="27" t="s">
        <v>223</v>
      </c>
      <c r="AU73" s="29">
        <v>6000779</v>
      </c>
      <c r="AV73" s="27" t="s">
        <v>92</v>
      </c>
      <c r="AW73" s="27" t="s">
        <v>96</v>
      </c>
      <c r="AX73" s="27" t="s">
        <v>549</v>
      </c>
      <c r="AY73" s="27"/>
      <c r="AZ73" s="27" t="s">
        <v>550</v>
      </c>
      <c r="BA73" s="27" t="s">
        <v>90</v>
      </c>
      <c r="BB73" s="27"/>
      <c r="BC73" s="27" t="s">
        <v>107</v>
      </c>
      <c r="BD73" s="27" t="s">
        <v>1025</v>
      </c>
      <c r="BE73" s="27" t="s">
        <v>107</v>
      </c>
      <c r="BF73" s="27" t="s">
        <v>576</v>
      </c>
      <c r="BG73" s="27" t="s">
        <v>552</v>
      </c>
      <c r="BH73" s="27" t="s">
        <v>580</v>
      </c>
      <c r="BI73" s="27"/>
      <c r="BJ73" s="27" t="s">
        <v>643</v>
      </c>
      <c r="BK73" s="27" t="s">
        <v>554</v>
      </c>
      <c r="BL73" s="27">
        <v>0</v>
      </c>
      <c r="BM73" s="27">
        <v>99</v>
      </c>
      <c r="BN73" s="27" t="s">
        <v>1081</v>
      </c>
      <c r="BO73" s="27">
        <v>90</v>
      </c>
      <c r="BP73" s="27" t="s">
        <v>910</v>
      </c>
      <c r="BQ73" s="27" t="s">
        <v>563</v>
      </c>
      <c r="BR73" s="27"/>
      <c r="BS73" s="27" t="s">
        <v>591</v>
      </c>
      <c r="BT73" s="27" t="s">
        <v>558</v>
      </c>
      <c r="BU73" s="27" t="s">
        <v>104</v>
      </c>
      <c r="BV73" s="27" t="s">
        <v>105</v>
      </c>
      <c r="BW73" s="27">
        <v>12690063</v>
      </c>
      <c r="BX73" s="27" t="s">
        <v>911</v>
      </c>
      <c r="BY73" s="27" t="s">
        <v>223</v>
      </c>
      <c r="BZ73" s="27" t="s">
        <v>223</v>
      </c>
      <c r="CA73" s="30" t="s">
        <v>1082</v>
      </c>
    </row>
    <row r="74" spans="1:79" x14ac:dyDescent="0.25">
      <c r="A74" s="26" t="s">
        <v>541</v>
      </c>
      <c r="B74" s="27" t="s">
        <v>542</v>
      </c>
      <c r="C74" s="27" t="s">
        <v>790</v>
      </c>
      <c r="D74" s="27">
        <v>470</v>
      </c>
      <c r="E74" s="28">
        <v>46192</v>
      </c>
      <c r="F74" s="27">
        <v>6</v>
      </c>
      <c r="G74" s="35">
        <v>45789</v>
      </c>
      <c r="H74" s="28">
        <v>46192</v>
      </c>
      <c r="I74" s="27">
        <v>289</v>
      </c>
      <c r="J74" s="27" t="s">
        <v>568</v>
      </c>
      <c r="K74" s="35">
        <v>46192</v>
      </c>
      <c r="L74" s="27">
        <v>289</v>
      </c>
      <c r="M74" s="34">
        <f>IFERROR(IF(G74=K74,0,NETWORKDAYS(G74,K74,{"01/01/2026";"02/02/2026";"16/03/2026";"02/04/2026";"03/04/2026";"01/05/2026"})),"Faltan Fechas")</f>
        <v>284</v>
      </c>
      <c r="N74" s="33" t="str">
        <f>IFERROR(IF(OR(G74="",K74=""),"SIN DATO",IF(NETWORKDAYS(G74,K74,{"01/01/2026";"02/02/2026";"16/03/2026";"02/04/2026";"03/04/2026";"01/05/2026"})&lt;=1,"1 día o menos",IF(NETWORKDAYS(G74,K74,{"01/01/2026";"02/02/2026";"16/03/2026";"02/04/2026";"03/04/2026";"01/05/2026"})&lt;=3,"2 a 3 días",IF(NETWORKDAYS(G74,K74,{"01/01/2026";"02/02/2026";"16/03/2026";"02/04/2026";"03/04/2026";"01/05/2026"})&lt;=5,"4 a 5 días",IF(NETWORKDAYS(G74,K74,{"01/01/2026";"02/02/2026";"16/03/2026";"02/04/2026";"03/04/2026";"01/05/2026"})&lt;=10,"6 a 10 días",IF(NETWORKDAYS(G74,K74,{"01/01/2026";"02/02/2026";"16/03/2026";"02/04/2026";"03/04/2026";"01/05/2026"})&lt;=16,"11 a 15 días","más de 16 días")))))),"Aun no se entrega")</f>
        <v>más de 16 días</v>
      </c>
      <c r="O74" s="34" t="str" cm="1">
        <f t="array" ref="O74">IFERROR(
  IF(
    NETWORKDAYS(G74,K74,{"01/01/2026";"02/02/2026";"16/03/2026";"02/04/2026";"03/04/2026";"01/05/2026"}) &lt;=
    _xlfn.IFS(
      OR(TRIM(A74)="AICM", TRIM(A74)="AÉREO AICM"), 5,
      OR(TRIM(A74)="VERACRUZ", TRIM(A74)="MARÍTIMO VERACRUZ"), 6,
      OR(TRIM(A74)="AIFA", TRIM(A74)="AÉREO AIFA"), 7,
      AND(TRIM(A74)="CORRESPONSALIAS", TRIM(B74)="NUEVO LAREDO"), 6,
      TRIM(A74)="MANZANILLO", 10,
      TRIM(A74)="TOLUCA", 6,
      TRUE, 999
    ),
    "On Time",
    "Delayed"
  ),
  "Faltan fechas"
)</f>
        <v>On Time</v>
      </c>
      <c r="P74" s="36" t="s">
        <v>568</v>
      </c>
      <c r="Q74" s="28"/>
      <c r="R74" s="5">
        <f>IFERROR(IF(G74=Q74,0,NETWORKDAYS(G74,Q74,{"01/01/2026";"02/02/2026";"16/03/2026";"02/04/2026";"03/04/2026";"01/05/2026"})),"Faltan Fechas")</f>
        <v>-32706</v>
      </c>
      <c r="S74" s="4" t="str">
        <f>IFERROR(IF(OR(G74="",Q74=""),"SIN DATO",IF(NETWORKDAYS(G74,Q74,{"01/01/2026";"02/02/2026";"16/03/2026";"02/04/2026";"03/04/2026";"01/05/2026"})&lt;=1,"1 día o menos",IF(NETWORKDAYS(G74,Q74,{"01/01/2026";"02/02/2026";"16/03/2026";"02/04/2026";"03/04/2026";"01/05/2026"})&lt;=3,"2 a 3 días",IF(NETWORKDAYS(G74,Q74,{"01/01/2026";"02/02/2026";"16/03/2026";"02/04/2026";"03/04/2026";"01/05/2026"})&lt;=5,"4 a 5 días",IF(NETWORKDAYS(G74,Q74,{"01/01/2026";"02/02/2026";"16/03/2026";"02/04/2026";"03/04/2026";"01/05/2026"})&lt;=10,"6 a 10 días",IF(NETWORKDAYS(G74,Q74,{"01/01/2026";"02/02/2026";"16/03/2026";"02/04/2026";"03/04/2026";"01/05/2026"})&lt;=16,"11 a 15 días","más de 16 días")))))),"Aun no se entrega")</f>
        <v>SIN DATO</v>
      </c>
      <c r="T74" s="4" t="str" cm="1">
        <f t="array" ref="T74">IFERROR(
  IF(
    NETWORKDAYS(G74,Q74,{"01/01/2026";"02/02/2026";"16/03/2026";"02/04/2026";"03/04/2026";"01/05/2026"}) &lt;=
    _xlfn.IFS(
      OR(TRIM(A74)="AICM", TRIM(A74)="AÉREO AICM"), 5,
      OR(TRIM(A74)="VERACRUZ", TRIM(A74)="MARÍTIMO VERACRUZ"), 6,
      OR(TRIM(A74)="AIFA", TRIM(A74)="AÉREO AIFA"), 7,
      AND(TRIM(A74)="CORRESPONSALIAS", TRIM(B74)="NUEVO LAREDO"), 6,
      TRIM(A74)="MANZANILLO", 10,
      TRIM(A74)="TOLUCA", 6,
      TRUE, 999
    ),
    "On Time",
    "Delayed"
  ),
  "Faltan fechas"
)</f>
        <v>On Time</v>
      </c>
      <c r="U74" s="27">
        <v>0</v>
      </c>
      <c r="V74" s="27" t="s">
        <v>569</v>
      </c>
      <c r="W74" s="27">
        <v>302</v>
      </c>
      <c r="X74" s="27" t="s">
        <v>547</v>
      </c>
      <c r="Y74" s="27">
        <v>0</v>
      </c>
      <c r="Z74" s="27" t="s">
        <v>546</v>
      </c>
      <c r="AA74" s="27">
        <v>0</v>
      </c>
      <c r="AB74" s="27">
        <v>-46190</v>
      </c>
      <c r="AC74" s="27" t="s">
        <v>545</v>
      </c>
      <c r="AD74" s="28">
        <v>46211</v>
      </c>
      <c r="AE74" s="27" t="s">
        <v>223</v>
      </c>
      <c r="AF74" s="27">
        <v>33007</v>
      </c>
      <c r="AG74" s="28">
        <v>46210</v>
      </c>
      <c r="AH74" s="28">
        <v>46211</v>
      </c>
      <c r="AI74" s="29">
        <v>1</v>
      </c>
      <c r="AJ74" s="28" t="s">
        <v>545</v>
      </c>
      <c r="AK74" s="28">
        <v>46211</v>
      </c>
      <c r="AL74" s="5">
        <f>IFERROR(IF(Q74=AK74,0,NETWORKDAYS(Q74,AK74,{"01/01/2026";"02/02/2026";"16/03/2026";"02/04/2026";"03/04/2026";"01/05/2026"})),"aun no se factura")</f>
        <v>33002</v>
      </c>
      <c r="AM74" s="4" t="str">
        <f>IFERROR(IF(OR(Q74="",AK74=""),"SIN DATO",IF(NETWORKDAYS(Q74,AK74,{"01/01/2026";"02/02/2026";"16/03/2026";"02/04/2026";"03/04/2026";"01/05/2026"})&lt;=1,"1 día o menos",IF(NETWORKDAYS(Q74,AK74,{"01/01/2026";"02/02/2026";"16/03/2026";"02/04/2026";"03/04/2026";"01/05/2026"})&lt;=3,"2 a 3 días",IF(NETWORKDAYS(Q74,AK74,{"01/01/2026";"02/02/2026";"16/03/2026";"02/04/2026";"03/04/2026";"01/05/2026"})&lt;=5,"4 a 5 días",IF(NETWORKDAYS(Q74,AK74,{"01/01/2026";"02/02/2026";"16/03/2026";"02/04/2026";"03/04/2026";"01/05/2026"})&lt;=10,"6 a 10 días",IF(NETWORKDAYS(Q74,AK74,{"01/01/2026";"02/02/2026";"16/03/2026";"02/04/2026";"03/04/2026";"01/05/2026"})&lt;=16,"11 a 15 días","más de 16 días")))))),"aun no se factura")</f>
        <v>SIN DATO</v>
      </c>
      <c r="AN74" s="4" t="str" cm="1">
        <f t="array" ref="AN74">IFERROR(
  IF(
    NETWORKDAYS(Q74,AK74,{"01/01/2026";"02/02/2026";"16/03/2026";"02/04/2026";"03/04/2026";"01/05/2026"}) &lt;=
    _xlfn.IFS(
      OR(TRIM(A74)="AICM", TRIM(A74)="AÉREO AICM"), 5,
      OR(TRIM(A74)="VERACRUZ", TRIM(A74)="MARÍTIMO VERACRUZ"), 6,
      OR(TRIM(A74)="AIFA", TRIM(A74)="AÉREO AIFA"), 7,
      AND(TRIM(A74)="CORRESPONSALIAS", TRIM(B74)="NUEVO LAREDO"), 6,
      TRIM(A74)="MANZANILLO", 10,
      TRIM(A74)="TOLUCA", 6,
      TRUE, 999
    ),
    "On Time",
    "Delayed"
  ),
  "Faltan fechas"
)</f>
        <v>Delayed</v>
      </c>
      <c r="AO74" s="29">
        <v>0</v>
      </c>
      <c r="AP74" s="28" t="s">
        <v>548</v>
      </c>
      <c r="AQ74" s="27" t="s">
        <v>342</v>
      </c>
      <c r="AR74" s="27" t="s">
        <v>285</v>
      </c>
      <c r="AS74" s="27" t="s">
        <v>791</v>
      </c>
      <c r="AT74" s="27" t="s">
        <v>792</v>
      </c>
      <c r="AU74" s="29">
        <v>6003712</v>
      </c>
      <c r="AV74" s="27" t="s">
        <v>92</v>
      </c>
      <c r="AW74" s="27" t="s">
        <v>570</v>
      </c>
      <c r="AX74" s="27" t="s">
        <v>549</v>
      </c>
      <c r="AY74" s="27"/>
      <c r="AZ74" s="27" t="s">
        <v>550</v>
      </c>
      <c r="BA74" s="27" t="s">
        <v>90</v>
      </c>
      <c r="BB74" s="27"/>
      <c r="BC74" s="27"/>
      <c r="BD74" s="27"/>
      <c r="BE74" s="27"/>
      <c r="BF74" s="27"/>
      <c r="BG74" s="27" t="s">
        <v>552</v>
      </c>
      <c r="BH74" s="27" t="s">
        <v>223</v>
      </c>
      <c r="BI74" s="27"/>
      <c r="BJ74" s="27"/>
      <c r="BK74" s="27" t="s">
        <v>554</v>
      </c>
      <c r="BL74" s="27">
        <v>0</v>
      </c>
      <c r="BM74" s="27">
        <v>0</v>
      </c>
      <c r="BN74" s="27" t="s">
        <v>223</v>
      </c>
      <c r="BO74" s="27">
        <v>90</v>
      </c>
      <c r="BP74" s="27" t="s">
        <v>793</v>
      </c>
      <c r="BQ74" s="27" t="s">
        <v>103</v>
      </c>
      <c r="BR74" s="27" t="s">
        <v>794</v>
      </c>
      <c r="BS74" s="27" t="s">
        <v>558</v>
      </c>
      <c r="BT74" s="27" t="s">
        <v>558</v>
      </c>
      <c r="BU74" s="27" t="s">
        <v>105</v>
      </c>
      <c r="BV74" s="27" t="s">
        <v>105</v>
      </c>
      <c r="BW74" s="27">
        <v>279681</v>
      </c>
      <c r="BX74" s="27" t="s">
        <v>795</v>
      </c>
      <c r="BY74" s="27" t="s">
        <v>223</v>
      </c>
      <c r="BZ74" s="27" t="s">
        <v>223</v>
      </c>
      <c r="CA74" s="30" t="s">
        <v>796</v>
      </c>
    </row>
    <row r="75" spans="1:79" x14ac:dyDescent="0.25">
      <c r="A75" s="26" t="s">
        <v>565</v>
      </c>
      <c r="B75" s="27" t="s">
        <v>707</v>
      </c>
      <c r="C75" s="27" t="s">
        <v>831</v>
      </c>
      <c r="D75" s="27">
        <v>160</v>
      </c>
      <c r="E75" s="28" t="s">
        <v>223</v>
      </c>
      <c r="F75" s="27">
        <v>6</v>
      </c>
      <c r="G75" s="35" t="s">
        <v>223</v>
      </c>
      <c r="H75" s="28">
        <v>46190</v>
      </c>
      <c r="I75" s="27" t="s">
        <v>223</v>
      </c>
      <c r="J75" s="27" t="s">
        <v>568</v>
      </c>
      <c r="K75" s="35">
        <v>46198</v>
      </c>
      <c r="L75" s="27" t="s">
        <v>223</v>
      </c>
      <c r="M75" s="34" t="str">
        <f>IFERROR(IF(G75=K75,0,NETWORKDAYS(G75,K75,{"01/01/2026";"02/02/2026";"16/03/2026";"02/04/2026";"03/04/2026";"01/05/2026"})),"Faltan Fechas")</f>
        <v>Faltan Fechas</v>
      </c>
      <c r="N75" s="33" t="str">
        <f>IFERROR(IF(OR(G75="",K75=""),"SIN DATO",IF(NETWORKDAYS(G75,K75,{"01/01/2026";"02/02/2026";"16/03/2026";"02/04/2026";"03/04/2026";"01/05/2026"})&lt;=1,"1 día o menos",IF(NETWORKDAYS(G75,K75,{"01/01/2026";"02/02/2026";"16/03/2026";"02/04/2026";"03/04/2026";"01/05/2026"})&lt;=3,"2 a 3 días",IF(NETWORKDAYS(G75,K75,{"01/01/2026";"02/02/2026";"16/03/2026";"02/04/2026";"03/04/2026";"01/05/2026"})&lt;=5,"4 a 5 días",IF(NETWORKDAYS(G75,K75,{"01/01/2026";"02/02/2026";"16/03/2026";"02/04/2026";"03/04/2026";"01/05/2026"})&lt;=10,"6 a 10 días",IF(NETWORKDAYS(G75,K75,{"01/01/2026";"02/02/2026";"16/03/2026";"02/04/2026";"03/04/2026";"01/05/2026"})&lt;=16,"11 a 15 días","más de 16 días")))))),"Aun no se entrega")</f>
        <v>Aun no se entrega</v>
      </c>
      <c r="O75" s="34" t="str" cm="1">
        <f t="array" ref="O75">IFERROR(
  IF(
    NETWORKDAYS(G75,K75,{"01/01/2026";"02/02/2026";"16/03/2026";"02/04/2026";"03/04/2026";"01/05/2026"}) &lt;=
    _xlfn.IFS(
      OR(TRIM(A75)="AICM", TRIM(A75)="AÉREO AICM"), 5,
      OR(TRIM(A75)="VERACRUZ", TRIM(A75)="MARÍTIMO VERACRUZ"), 6,
      OR(TRIM(A75)="AIFA", TRIM(A75)="AÉREO AIFA"), 7,
      AND(TRIM(A75)="CORRESPONSALIAS", TRIM(B75)="NUEVO LAREDO"), 6,
      TRIM(A75)="MANZANILLO", 10,
      TRIM(A75)="TOLUCA", 6,
      TRUE, 999
    ),
    "On Time",
    "Delayed"
  ),
  "Faltan fechas"
)</f>
        <v>Faltan fechas</v>
      </c>
      <c r="P75" s="36" t="s">
        <v>545</v>
      </c>
      <c r="Q75" s="28"/>
      <c r="R75" s="5" t="str">
        <f>IFERROR(IF(G75=Q75,0,NETWORKDAYS(G75,Q75,{"01/01/2026";"02/02/2026";"16/03/2026";"02/04/2026";"03/04/2026";"01/05/2026"})),"Faltan Fechas")</f>
        <v>Faltan Fechas</v>
      </c>
      <c r="S75" s="4" t="str">
        <f>IFERROR(IF(OR(G75="",Q75=""),"SIN DATO",IF(NETWORKDAYS(G75,Q75,{"01/01/2026";"02/02/2026";"16/03/2026";"02/04/2026";"03/04/2026";"01/05/2026"})&lt;=1,"1 día o menos",IF(NETWORKDAYS(G75,Q75,{"01/01/2026";"02/02/2026";"16/03/2026";"02/04/2026";"03/04/2026";"01/05/2026"})&lt;=3,"2 a 3 días",IF(NETWORKDAYS(G75,Q75,{"01/01/2026";"02/02/2026";"16/03/2026";"02/04/2026";"03/04/2026";"01/05/2026"})&lt;=5,"4 a 5 días",IF(NETWORKDAYS(G75,Q75,{"01/01/2026";"02/02/2026";"16/03/2026";"02/04/2026";"03/04/2026";"01/05/2026"})&lt;=10,"6 a 10 días",IF(NETWORKDAYS(G75,Q75,{"01/01/2026";"02/02/2026";"16/03/2026";"02/04/2026";"03/04/2026";"01/05/2026"})&lt;=16,"11 a 15 días","más de 16 días")))))),"Aun no se entrega")</f>
        <v>SIN DATO</v>
      </c>
      <c r="T75" s="4" t="str" cm="1">
        <f t="array" ref="T75">IFERROR(
  IF(
    NETWORKDAYS(G75,Q75,{"01/01/2026";"02/02/2026";"16/03/2026";"02/04/2026";"03/04/2026";"01/05/2026"}) &lt;=
    _xlfn.IFS(
      OR(TRIM(A75)="AICM", TRIM(A75)="AÉREO AICM"), 5,
      OR(TRIM(A75)="VERACRUZ", TRIM(A75)="MARÍTIMO VERACRUZ"), 6,
      OR(TRIM(A75)="AIFA", TRIM(A75)="AÉREO AIFA"), 7,
      AND(TRIM(A75)="CORRESPONSALIAS", TRIM(B75)="NUEVO LAREDO"), 6,
      TRIM(A75)="MANZANILLO", 10,
      TRIM(A75)="TOLUCA", 6,
      TRUE, 999
    ),
    "On Time",
    "Delayed"
  ),
  "Faltan fechas"
)</f>
        <v>Faltan fechas</v>
      </c>
      <c r="U75" s="27">
        <v>0</v>
      </c>
      <c r="V75" s="27" t="s">
        <v>569</v>
      </c>
      <c r="W75" s="27">
        <v>0</v>
      </c>
      <c r="X75" s="27" t="s">
        <v>569</v>
      </c>
      <c r="Y75" s="27">
        <v>0</v>
      </c>
      <c r="Z75" s="27" t="s">
        <v>569</v>
      </c>
      <c r="AA75" s="27">
        <v>0</v>
      </c>
      <c r="AB75" s="27">
        <v>-46196</v>
      </c>
      <c r="AC75" s="27" t="s">
        <v>545</v>
      </c>
      <c r="AD75" s="28">
        <v>46219</v>
      </c>
      <c r="AE75" s="27" t="s">
        <v>223</v>
      </c>
      <c r="AF75" s="27">
        <v>0</v>
      </c>
      <c r="AG75" s="28">
        <v>46219</v>
      </c>
      <c r="AH75" s="28">
        <v>46219</v>
      </c>
      <c r="AI75" s="29">
        <v>0</v>
      </c>
      <c r="AJ75" s="28" t="s">
        <v>545</v>
      </c>
      <c r="AK75" s="28">
        <v>46219</v>
      </c>
      <c r="AL75" s="5">
        <f>IFERROR(IF(Q75=AK75,0,NETWORKDAYS(Q75,AK75,{"01/01/2026";"02/02/2026";"16/03/2026";"02/04/2026";"03/04/2026";"01/05/2026"})),"aun no se factura")</f>
        <v>33008</v>
      </c>
      <c r="AM75" s="4" t="str">
        <f>IFERROR(IF(OR(Q75="",AK75=""),"SIN DATO",IF(NETWORKDAYS(Q75,AK75,{"01/01/2026";"02/02/2026";"16/03/2026";"02/04/2026";"03/04/2026";"01/05/2026"})&lt;=1,"1 día o menos",IF(NETWORKDAYS(Q75,AK75,{"01/01/2026";"02/02/2026";"16/03/2026";"02/04/2026";"03/04/2026";"01/05/2026"})&lt;=3,"2 a 3 días",IF(NETWORKDAYS(Q75,AK75,{"01/01/2026";"02/02/2026";"16/03/2026";"02/04/2026";"03/04/2026";"01/05/2026"})&lt;=5,"4 a 5 días",IF(NETWORKDAYS(Q75,AK75,{"01/01/2026";"02/02/2026";"16/03/2026";"02/04/2026";"03/04/2026";"01/05/2026"})&lt;=10,"6 a 10 días",IF(NETWORKDAYS(Q75,AK75,{"01/01/2026";"02/02/2026";"16/03/2026";"02/04/2026";"03/04/2026";"01/05/2026"})&lt;=16,"11 a 15 días","más de 16 días")))))),"aun no se factura")</f>
        <v>SIN DATO</v>
      </c>
      <c r="AN75" s="4" t="str" cm="1">
        <f t="array" ref="AN75">IFERROR(
  IF(
    NETWORKDAYS(Q75,AK75,{"01/01/2026";"02/02/2026";"16/03/2026";"02/04/2026";"03/04/2026";"01/05/2026"}) &lt;=
    _xlfn.IFS(
      OR(TRIM(A75)="AICM", TRIM(A75)="AÉREO AICM"), 5,
      OR(TRIM(A75)="VERACRUZ", TRIM(A75)="MARÍTIMO VERACRUZ"), 6,
      OR(TRIM(A75)="AIFA", TRIM(A75)="AÉREO AIFA"), 7,
      AND(TRIM(A75)="CORRESPONSALIAS", TRIM(B75)="NUEVO LAREDO"), 6,
      TRIM(A75)="MANZANILLO", 10,
      TRIM(A75)="TOLUCA", 6,
      TRUE, 999
    ),
    "On Time",
    "Delayed"
  ),
  "Faltan fechas"
)</f>
        <v>Delayed</v>
      </c>
      <c r="AO75" s="29">
        <v>0</v>
      </c>
      <c r="AP75" s="28" t="s">
        <v>548</v>
      </c>
      <c r="AQ75" s="27" t="s">
        <v>93</v>
      </c>
      <c r="AR75" s="27" t="s">
        <v>285</v>
      </c>
      <c r="AS75" s="27" t="s">
        <v>223</v>
      </c>
      <c r="AT75" s="27" t="s">
        <v>223</v>
      </c>
      <c r="AU75" s="29">
        <v>6006053</v>
      </c>
      <c r="AV75" s="27" t="s">
        <v>92</v>
      </c>
      <c r="AW75" s="27" t="s">
        <v>825</v>
      </c>
      <c r="AX75" s="27" t="s">
        <v>549</v>
      </c>
      <c r="AY75" s="27"/>
      <c r="AZ75" s="27" t="s">
        <v>550</v>
      </c>
      <c r="BA75" s="27" t="s">
        <v>90</v>
      </c>
      <c r="BB75" s="27"/>
      <c r="BC75" s="27"/>
      <c r="BD75" s="27"/>
      <c r="BE75" s="27"/>
      <c r="BF75" s="27" t="s">
        <v>397</v>
      </c>
      <c r="BG75" s="27" t="s">
        <v>552</v>
      </c>
      <c r="BH75" s="27" t="s">
        <v>223</v>
      </c>
      <c r="BI75" s="27"/>
      <c r="BJ75" s="27"/>
      <c r="BK75" s="27" t="s">
        <v>554</v>
      </c>
      <c r="BL75" s="27" t="s">
        <v>223</v>
      </c>
      <c r="BM75" s="27" t="s">
        <v>223</v>
      </c>
      <c r="BN75" s="27" t="s">
        <v>223</v>
      </c>
      <c r="BO75" s="27">
        <v>90</v>
      </c>
      <c r="BP75" s="27" t="s">
        <v>223</v>
      </c>
      <c r="BQ75" s="27" t="s">
        <v>223</v>
      </c>
      <c r="BR75" s="27"/>
      <c r="BS75" s="27" t="s">
        <v>223</v>
      </c>
      <c r="BT75" s="27" t="s">
        <v>223</v>
      </c>
      <c r="BU75" s="27" t="s">
        <v>223</v>
      </c>
      <c r="BV75" s="27" t="s">
        <v>223</v>
      </c>
      <c r="BW75" s="27" t="s">
        <v>223</v>
      </c>
      <c r="BX75" s="27" t="s">
        <v>223</v>
      </c>
      <c r="BY75" s="27" t="s">
        <v>223</v>
      </c>
      <c r="BZ75" s="27" t="s">
        <v>223</v>
      </c>
      <c r="CA75" s="30" t="s">
        <v>832</v>
      </c>
    </row>
    <row r="76" spans="1:79" x14ac:dyDescent="0.25">
      <c r="A76" s="26" t="s">
        <v>565</v>
      </c>
      <c r="B76" s="27" t="s">
        <v>566</v>
      </c>
      <c r="C76" s="27" t="s">
        <v>841</v>
      </c>
      <c r="D76" s="27">
        <v>240</v>
      </c>
      <c r="E76" s="28" t="s">
        <v>223</v>
      </c>
      <c r="F76" s="27">
        <v>6</v>
      </c>
      <c r="G76" s="35">
        <v>46193</v>
      </c>
      <c r="H76" s="28">
        <v>46193</v>
      </c>
      <c r="I76" s="27">
        <v>-1</v>
      </c>
      <c r="J76" s="27" t="s">
        <v>568</v>
      </c>
      <c r="K76" s="35">
        <v>46195</v>
      </c>
      <c r="L76" s="27">
        <v>0</v>
      </c>
      <c r="M76" s="34">
        <f>IFERROR(IF(G76=K76,0,NETWORKDAYS(G76,K76,{"01/01/2026";"02/02/2026";"16/03/2026";"02/04/2026";"03/04/2026";"01/05/2026"})),"Faltan Fechas")</f>
        <v>1</v>
      </c>
      <c r="N76" s="33" t="str">
        <f>IFERROR(IF(OR(G76="",K76=""),"SIN DATO",IF(NETWORKDAYS(G76,K76,{"01/01/2026";"02/02/2026";"16/03/2026";"02/04/2026";"03/04/2026";"01/05/2026"})&lt;=1,"1 día o menos",IF(NETWORKDAYS(G76,K76,{"01/01/2026";"02/02/2026";"16/03/2026";"02/04/2026";"03/04/2026";"01/05/2026"})&lt;=3,"2 a 3 días",IF(NETWORKDAYS(G76,K76,{"01/01/2026";"02/02/2026";"16/03/2026";"02/04/2026";"03/04/2026";"01/05/2026"})&lt;=5,"4 a 5 días",IF(NETWORKDAYS(G76,K76,{"01/01/2026";"02/02/2026";"16/03/2026";"02/04/2026";"03/04/2026";"01/05/2026"})&lt;=10,"6 a 10 días",IF(NETWORKDAYS(G76,K76,{"01/01/2026";"02/02/2026";"16/03/2026";"02/04/2026";"03/04/2026";"01/05/2026"})&lt;=16,"11 a 15 días","más de 16 días")))))),"Aun no se entrega")</f>
        <v>1 día o menos</v>
      </c>
      <c r="O76" s="34" t="str" cm="1">
        <f t="array" ref="O76">IFERROR(
  IF(
    NETWORKDAYS(G76,K76,{"01/01/2026";"02/02/2026";"16/03/2026";"02/04/2026";"03/04/2026";"01/05/2026"}) &lt;=
    _xlfn.IFS(
      OR(TRIM(A76)="AICM", TRIM(A76)="AÉREO AICM"), 5,
      OR(TRIM(A76)="VERACRUZ", TRIM(A76)="MARÍTIMO VERACRUZ"), 6,
      OR(TRIM(A76)="AIFA", TRIM(A76)="AÉREO AIFA"), 7,
      AND(TRIM(A76)="CORRESPONSALIAS", TRIM(B76)="NUEVO LAREDO"), 6,
      TRIM(A76)="MANZANILLO", 10,
      TRIM(A76)="TOLUCA", 6,
      TRUE, 999
    ),
    "On Time",
    "Delayed"
  ),
  "Faltan fechas"
)</f>
        <v>On Time</v>
      </c>
      <c r="P76" s="36" t="s">
        <v>546</v>
      </c>
      <c r="Q76" s="28"/>
      <c r="R76" s="5">
        <f>IFERROR(IF(G76=Q76,0,NETWORKDAYS(G76,Q76,{"01/01/2026";"02/02/2026";"16/03/2026";"02/04/2026";"03/04/2026";"01/05/2026"})),"Faltan Fechas")</f>
        <v>-32989</v>
      </c>
      <c r="S76" s="4" t="str">
        <f>IFERROR(IF(OR(G76="",Q76=""),"SIN DATO",IF(NETWORKDAYS(G76,Q76,{"01/01/2026";"02/02/2026";"16/03/2026";"02/04/2026";"03/04/2026";"01/05/2026"})&lt;=1,"1 día o menos",IF(NETWORKDAYS(G76,Q76,{"01/01/2026";"02/02/2026";"16/03/2026";"02/04/2026";"03/04/2026";"01/05/2026"})&lt;=3,"2 a 3 días",IF(NETWORKDAYS(G76,Q76,{"01/01/2026";"02/02/2026";"16/03/2026";"02/04/2026";"03/04/2026";"01/05/2026"})&lt;=5,"4 a 5 días",IF(NETWORKDAYS(G76,Q76,{"01/01/2026";"02/02/2026";"16/03/2026";"02/04/2026";"03/04/2026";"01/05/2026"})&lt;=10,"6 a 10 días",IF(NETWORKDAYS(G76,Q76,{"01/01/2026";"02/02/2026";"16/03/2026";"02/04/2026";"03/04/2026";"01/05/2026"})&lt;=16,"11 a 15 días","más de 16 días")))))),"Aun no se entrega")</f>
        <v>SIN DATO</v>
      </c>
      <c r="T76" s="4" t="str" cm="1">
        <f t="array" ref="T76">IFERROR(
  IF(
    NETWORKDAYS(G76,Q76,{"01/01/2026";"02/02/2026";"16/03/2026";"02/04/2026";"03/04/2026";"01/05/2026"}) &lt;=
    _xlfn.IFS(
      OR(TRIM(A76)="AICM", TRIM(A76)="AÉREO AICM"), 5,
      OR(TRIM(A76)="VERACRUZ", TRIM(A76)="MARÍTIMO VERACRUZ"), 6,
      OR(TRIM(A76)="AIFA", TRIM(A76)="AÉREO AIFA"), 7,
      AND(TRIM(A76)="CORRESPONSALIAS", TRIM(B76)="NUEVO LAREDO"), 6,
      TRIM(A76)="MANZANILLO", 10,
      TRIM(A76)="TOLUCA", 6,
      TRUE, 999
    ),
    "On Time",
    "Delayed"
  ),
  "Faltan fechas"
)</f>
        <v>On Time</v>
      </c>
      <c r="U76" s="27">
        <v>0</v>
      </c>
      <c r="V76" s="27" t="s">
        <v>569</v>
      </c>
      <c r="W76" s="27">
        <v>15</v>
      </c>
      <c r="X76" s="27" t="s">
        <v>559</v>
      </c>
      <c r="Y76" s="27">
        <v>0</v>
      </c>
      <c r="Z76" s="27" t="s">
        <v>569</v>
      </c>
      <c r="AA76" s="27">
        <v>0</v>
      </c>
      <c r="AB76" s="27">
        <v>-46193</v>
      </c>
      <c r="AC76" s="27" t="s">
        <v>545</v>
      </c>
      <c r="AD76" s="28">
        <v>46216</v>
      </c>
      <c r="AE76" s="27" t="s">
        <v>223</v>
      </c>
      <c r="AF76" s="27">
        <v>0</v>
      </c>
      <c r="AG76" s="28">
        <v>46213</v>
      </c>
      <c r="AH76" s="28">
        <v>46216</v>
      </c>
      <c r="AI76" s="29">
        <v>1</v>
      </c>
      <c r="AJ76" s="28" t="s">
        <v>545</v>
      </c>
      <c r="AK76" s="28">
        <v>46216</v>
      </c>
      <c r="AL76" s="5">
        <f>IFERROR(IF(Q76=AK76,0,NETWORKDAYS(Q76,AK76,{"01/01/2026";"02/02/2026";"16/03/2026";"02/04/2026";"03/04/2026";"01/05/2026"})),"aun no se factura")</f>
        <v>33005</v>
      </c>
      <c r="AM76" s="4" t="str">
        <f>IFERROR(IF(OR(Q76="",AK76=""),"SIN DATO",IF(NETWORKDAYS(Q76,AK76,{"01/01/2026";"02/02/2026";"16/03/2026";"02/04/2026";"03/04/2026";"01/05/2026"})&lt;=1,"1 día o menos",IF(NETWORKDAYS(Q76,AK76,{"01/01/2026";"02/02/2026";"16/03/2026";"02/04/2026";"03/04/2026";"01/05/2026"})&lt;=3,"2 a 3 días",IF(NETWORKDAYS(Q76,AK76,{"01/01/2026";"02/02/2026";"16/03/2026";"02/04/2026";"03/04/2026";"01/05/2026"})&lt;=5,"4 a 5 días",IF(NETWORKDAYS(Q76,AK76,{"01/01/2026";"02/02/2026";"16/03/2026";"02/04/2026";"03/04/2026";"01/05/2026"})&lt;=10,"6 a 10 días",IF(NETWORKDAYS(Q76,AK76,{"01/01/2026";"02/02/2026";"16/03/2026";"02/04/2026";"03/04/2026";"01/05/2026"})&lt;=16,"11 a 15 días","más de 16 días")))))),"aun no se factura")</f>
        <v>SIN DATO</v>
      </c>
      <c r="AN76" s="4" t="str" cm="1">
        <f t="array" ref="AN76">IFERROR(
  IF(
    NETWORKDAYS(Q76,AK76,{"01/01/2026";"02/02/2026";"16/03/2026";"02/04/2026";"03/04/2026";"01/05/2026"}) &lt;=
    _xlfn.IFS(
      OR(TRIM(A76)="AICM", TRIM(A76)="AÉREO AICM"), 5,
      OR(TRIM(A76)="VERACRUZ", TRIM(A76)="MARÍTIMO VERACRUZ"), 6,
      OR(TRIM(A76)="AIFA", TRIM(A76)="AÉREO AIFA"), 7,
      AND(TRIM(A76)="CORRESPONSALIAS", TRIM(B76)="NUEVO LAREDO"), 6,
      TRIM(A76)="MANZANILLO", 10,
      TRIM(A76)="TOLUCA", 6,
      TRUE, 999
    ),
    "On Time",
    "Delayed"
  ),
  "Faltan fechas"
)</f>
        <v>Delayed</v>
      </c>
      <c r="AO76" s="29">
        <v>0</v>
      </c>
      <c r="AP76" s="28" t="s">
        <v>548</v>
      </c>
      <c r="AQ76" s="27" t="s">
        <v>93</v>
      </c>
      <c r="AR76" s="27" t="s">
        <v>285</v>
      </c>
      <c r="AS76" s="27" t="s">
        <v>223</v>
      </c>
      <c r="AT76" s="27" t="s">
        <v>223</v>
      </c>
      <c r="AU76" s="29">
        <v>6023391</v>
      </c>
      <c r="AV76" s="27" t="s">
        <v>92</v>
      </c>
      <c r="AW76" s="27" t="s">
        <v>570</v>
      </c>
      <c r="AX76" s="27" t="s">
        <v>549</v>
      </c>
      <c r="AY76" s="27"/>
      <c r="AZ76" s="27" t="s">
        <v>550</v>
      </c>
      <c r="BA76" s="27" t="s">
        <v>90</v>
      </c>
      <c r="BB76" s="27"/>
      <c r="BC76" s="27"/>
      <c r="BD76" s="27"/>
      <c r="BE76" s="27"/>
      <c r="BF76" s="27" t="s">
        <v>397</v>
      </c>
      <c r="BG76" s="27" t="s">
        <v>552</v>
      </c>
      <c r="BH76" s="27" t="s">
        <v>223</v>
      </c>
      <c r="BI76" s="27"/>
      <c r="BJ76" s="27"/>
      <c r="BK76" s="27" t="s">
        <v>554</v>
      </c>
      <c r="BL76" s="27" t="s">
        <v>223</v>
      </c>
      <c r="BM76" s="27" t="s">
        <v>223</v>
      </c>
      <c r="BN76" s="27" t="s">
        <v>223</v>
      </c>
      <c r="BO76" s="27">
        <v>90</v>
      </c>
      <c r="BP76" s="27" t="s">
        <v>223</v>
      </c>
      <c r="BQ76" s="27" t="s">
        <v>223</v>
      </c>
      <c r="BR76" s="27"/>
      <c r="BS76" s="27" t="s">
        <v>223</v>
      </c>
      <c r="BT76" s="27" t="s">
        <v>223</v>
      </c>
      <c r="BU76" s="27" t="s">
        <v>223</v>
      </c>
      <c r="BV76" s="27" t="s">
        <v>223</v>
      </c>
      <c r="BW76" s="27" t="s">
        <v>223</v>
      </c>
      <c r="BX76" s="27" t="s">
        <v>223</v>
      </c>
      <c r="BY76" s="27" t="s">
        <v>223</v>
      </c>
      <c r="BZ76" s="27" t="s">
        <v>223</v>
      </c>
      <c r="CA76" s="30" t="s">
        <v>842</v>
      </c>
    </row>
    <row r="77" spans="1:79" x14ac:dyDescent="0.25">
      <c r="A77" s="26" t="s">
        <v>577</v>
      </c>
      <c r="B77" s="27" t="s">
        <v>578</v>
      </c>
      <c r="C77" s="27" t="s">
        <v>1023</v>
      </c>
      <c r="D77" s="27">
        <v>430</v>
      </c>
      <c r="E77" s="28">
        <v>46175</v>
      </c>
      <c r="F77" s="27">
        <v>6</v>
      </c>
      <c r="G77" s="35">
        <v>46160</v>
      </c>
      <c r="H77" s="28">
        <v>46175</v>
      </c>
      <c r="I77" s="27">
        <v>11</v>
      </c>
      <c r="J77" s="27" t="s">
        <v>559</v>
      </c>
      <c r="K77" s="35">
        <v>46175</v>
      </c>
      <c r="L77" s="27">
        <v>11</v>
      </c>
      <c r="M77" s="34">
        <f>IFERROR(IF(G77=K77,0,NETWORKDAYS(G77,K77,{"01/01/2026";"02/02/2026";"16/03/2026";"02/04/2026";"03/04/2026";"01/05/2026"})),"Faltan Fechas")</f>
        <v>12</v>
      </c>
      <c r="N77" s="33" t="str">
        <f>IFERROR(IF(OR(G77="",K77=""),"SIN DATO",IF(NETWORKDAYS(G77,K77,{"01/01/2026";"02/02/2026";"16/03/2026";"02/04/2026";"03/04/2026";"01/05/2026"})&lt;=1,"1 día o menos",IF(NETWORKDAYS(G77,K77,{"01/01/2026";"02/02/2026";"16/03/2026";"02/04/2026";"03/04/2026";"01/05/2026"})&lt;=3,"2 a 3 días",IF(NETWORKDAYS(G77,K77,{"01/01/2026";"02/02/2026";"16/03/2026";"02/04/2026";"03/04/2026";"01/05/2026"})&lt;=5,"4 a 5 días",IF(NETWORKDAYS(G77,K77,{"01/01/2026";"02/02/2026";"16/03/2026";"02/04/2026";"03/04/2026";"01/05/2026"})&lt;=10,"6 a 10 días",IF(NETWORKDAYS(G77,K77,{"01/01/2026";"02/02/2026";"16/03/2026";"02/04/2026";"03/04/2026";"01/05/2026"})&lt;=16,"11 a 15 días","más de 16 días")))))),"Aun no se entrega")</f>
        <v>11 a 15 días</v>
      </c>
      <c r="O77" s="34" t="str" cm="1">
        <f t="array" ref="O77">IFERROR(
  IF(
    NETWORKDAYS(G77,K77,{"01/01/2026";"02/02/2026";"16/03/2026";"02/04/2026";"03/04/2026";"01/05/2026"}) &lt;=
    _xlfn.IFS(
      OR(TRIM(A77)="AICM", TRIM(A77)="AÉREO AICM"), 5,
      OR(TRIM(A77)="VERACRUZ", TRIM(A77)="MARÍTIMO VERACRUZ"), 6,
      OR(TRIM(A77)="AIFA", TRIM(A77)="AÉREO AIFA"), 7,
      AND(TRIM(A77)="CORRESPONSALIAS", TRIM(B77)="NUEVO LAREDO"), 6,
      TRIM(A77)="MANZANILLO", 10,
      TRIM(A77)="TOLUCA", 6,
      TRUE, 999
    ),
    "On Time",
    "Delayed"
  ),
  "Faltan fechas"
)</f>
        <v>Delayed</v>
      </c>
      <c r="P77" s="36" t="s">
        <v>559</v>
      </c>
      <c r="Q77" s="28">
        <v>46176</v>
      </c>
      <c r="R77" s="5">
        <f>IFERROR(IF(G77=Q77,0,NETWORKDAYS(G77,Q77,{"01/01/2026";"02/02/2026";"16/03/2026";"02/04/2026";"03/04/2026";"01/05/2026"})),"Faltan Fechas")</f>
        <v>13</v>
      </c>
      <c r="S77" s="4" t="str">
        <f>IFERROR(IF(OR(G77="",Q77=""),"SIN DATO",IF(NETWORKDAYS(G77,Q77,{"01/01/2026";"02/02/2026";"16/03/2026";"02/04/2026";"03/04/2026";"01/05/2026"})&lt;=1,"1 día o menos",IF(NETWORKDAYS(G77,Q77,{"01/01/2026";"02/02/2026";"16/03/2026";"02/04/2026";"03/04/2026";"01/05/2026"})&lt;=3,"2 a 3 días",IF(NETWORKDAYS(G77,Q77,{"01/01/2026";"02/02/2026";"16/03/2026";"02/04/2026";"03/04/2026";"01/05/2026"})&lt;=5,"4 a 5 días",IF(NETWORKDAYS(G77,Q77,{"01/01/2026";"02/02/2026";"16/03/2026";"02/04/2026";"03/04/2026";"01/05/2026"})&lt;=10,"6 a 10 días",IF(NETWORKDAYS(G77,Q77,{"01/01/2026";"02/02/2026";"16/03/2026";"02/04/2026";"03/04/2026";"01/05/2026"})&lt;=16,"11 a 15 días","más de 16 días")))))),"Aun no se entrega")</f>
        <v>11 a 15 días</v>
      </c>
      <c r="T77" s="4" t="str" cm="1">
        <f t="array" ref="T77">IFERROR(
  IF(
    NETWORKDAYS(G77,Q77,{"01/01/2026";"02/02/2026";"16/03/2026";"02/04/2026";"03/04/2026";"01/05/2026"}) &lt;=
    _xlfn.IFS(
      OR(TRIM(A77)="AICM", TRIM(A77)="AÉREO AICM"), 5,
      OR(TRIM(A77)="VERACRUZ", TRIM(A77)="MARÍTIMO VERACRUZ"), 6,
      OR(TRIM(A77)="AIFA", TRIM(A77)="AÉREO AIFA"), 7,
      AND(TRIM(A77)="CORRESPONSALIAS", TRIM(B77)="NUEVO LAREDO"), 6,
      TRIM(A77)="MANZANILLO", 10,
      TRIM(A77)="TOLUCA", 6,
      TRUE, 999
    ),
    "On Time",
    "Delayed"
  ),
  "Faltan fechas"
)</f>
        <v>Delayed</v>
      </c>
      <c r="U77" s="27">
        <v>12</v>
      </c>
      <c r="V77" s="27" t="s">
        <v>559</v>
      </c>
      <c r="W77" s="27">
        <v>19</v>
      </c>
      <c r="X77" s="27" t="s">
        <v>547</v>
      </c>
      <c r="Y77" s="27">
        <v>0</v>
      </c>
      <c r="Z77" s="27" t="s">
        <v>546</v>
      </c>
      <c r="AA77" s="27">
        <v>0</v>
      </c>
      <c r="AB77" s="27">
        <v>1</v>
      </c>
      <c r="AC77" s="27" t="s">
        <v>546</v>
      </c>
      <c r="AD77" s="28">
        <v>46185</v>
      </c>
      <c r="AE77" s="27">
        <v>7</v>
      </c>
      <c r="AF77" s="27">
        <v>7</v>
      </c>
      <c r="AG77" s="28">
        <v>46185</v>
      </c>
      <c r="AH77" s="28">
        <v>46185</v>
      </c>
      <c r="AI77" s="29">
        <v>0</v>
      </c>
      <c r="AJ77" s="28" t="s">
        <v>544</v>
      </c>
      <c r="AK77" s="28">
        <v>46185</v>
      </c>
      <c r="AL77" s="5">
        <f>IFERROR(IF(Q77=AK77,0,NETWORKDAYS(Q77,AK77,{"01/01/2026";"02/02/2026";"16/03/2026";"02/04/2026";"03/04/2026";"01/05/2026"})),"aun no se factura")</f>
        <v>8</v>
      </c>
      <c r="AM77" s="4" t="str">
        <f>IFERROR(IF(OR(Q77="",AK77=""),"SIN DATO",IF(NETWORKDAYS(Q77,AK77,{"01/01/2026";"02/02/2026";"16/03/2026";"02/04/2026";"03/04/2026";"01/05/2026"})&lt;=1,"1 día o menos",IF(NETWORKDAYS(Q77,AK77,{"01/01/2026";"02/02/2026";"16/03/2026";"02/04/2026";"03/04/2026";"01/05/2026"})&lt;=3,"2 a 3 días",IF(NETWORKDAYS(Q77,AK77,{"01/01/2026";"02/02/2026";"16/03/2026";"02/04/2026";"03/04/2026";"01/05/2026"})&lt;=5,"4 a 5 días",IF(NETWORKDAYS(Q77,AK77,{"01/01/2026";"02/02/2026";"16/03/2026";"02/04/2026";"03/04/2026";"01/05/2026"})&lt;=10,"6 a 10 días",IF(NETWORKDAYS(Q77,AK77,{"01/01/2026";"02/02/2026";"16/03/2026";"02/04/2026";"03/04/2026";"01/05/2026"})&lt;=16,"11 a 15 días","más de 16 días")))))),"aun no se factura")</f>
        <v>6 a 10 días</v>
      </c>
      <c r="AN77" s="4" t="str" cm="1">
        <f t="array" ref="AN77">IFERROR(
  IF(
    NETWORKDAYS(Q77,AK77,{"01/01/2026";"02/02/2026";"16/03/2026";"02/04/2026";"03/04/2026";"01/05/2026"}) &lt;=
    _xlfn.IFS(
      OR(TRIM(A77)="AICM", TRIM(A77)="AÉREO AICM"), 5,
      OR(TRIM(A77)="VERACRUZ", TRIM(A77)="MARÍTIMO VERACRUZ"), 6,
      OR(TRIM(A77)="AIFA", TRIM(A77)="AÉREO AIFA"), 7,
      AND(TRIM(A77)="CORRESPONSALIAS", TRIM(B77)="NUEVO LAREDO"), 6,
      TRIM(A77)="MANZANILLO", 10,
      TRIM(A77)="TOLUCA", 6,
      TRUE, 999
    ),
    "On Time",
    "Delayed"
  ),
  "Faltan fechas"
)</f>
        <v>Delayed</v>
      </c>
      <c r="AO77" s="29">
        <v>1</v>
      </c>
      <c r="AP77" s="28" t="s">
        <v>548</v>
      </c>
      <c r="AQ77" s="27" t="s">
        <v>93</v>
      </c>
      <c r="AR77" s="27" t="s">
        <v>112</v>
      </c>
      <c r="AS77" s="27" t="s">
        <v>1024</v>
      </c>
      <c r="AT77" s="27" t="s">
        <v>223</v>
      </c>
      <c r="AU77" s="29">
        <v>6000703</v>
      </c>
      <c r="AV77" s="27" t="s">
        <v>92</v>
      </c>
      <c r="AW77" s="27" t="s">
        <v>96</v>
      </c>
      <c r="AX77" s="27" t="s">
        <v>549</v>
      </c>
      <c r="AY77" s="27"/>
      <c r="AZ77" s="27" t="s">
        <v>550</v>
      </c>
      <c r="BA77" s="27" t="s">
        <v>90</v>
      </c>
      <c r="BB77" s="27"/>
      <c r="BC77" s="27" t="s">
        <v>107</v>
      </c>
      <c r="BD77" s="27" t="s">
        <v>1025</v>
      </c>
      <c r="BE77" s="27" t="s">
        <v>107</v>
      </c>
      <c r="BF77" s="27" t="s">
        <v>576</v>
      </c>
      <c r="BG77" s="27" t="s">
        <v>552</v>
      </c>
      <c r="BH77" s="27" t="s">
        <v>580</v>
      </c>
      <c r="BI77" s="27"/>
      <c r="BJ77" s="27" t="s">
        <v>597</v>
      </c>
      <c r="BK77" s="27" t="s">
        <v>554</v>
      </c>
      <c r="BL77" s="27">
        <v>0</v>
      </c>
      <c r="BM77" s="27">
        <v>99</v>
      </c>
      <c r="BN77" s="27" t="s">
        <v>1026</v>
      </c>
      <c r="BO77" s="27">
        <v>90</v>
      </c>
      <c r="BP77" s="27" t="s">
        <v>910</v>
      </c>
      <c r="BQ77" s="27" t="s">
        <v>563</v>
      </c>
      <c r="BR77" s="27"/>
      <c r="BS77" s="27" t="s">
        <v>591</v>
      </c>
      <c r="BT77" s="27" t="s">
        <v>558</v>
      </c>
      <c r="BU77" s="27" t="s">
        <v>104</v>
      </c>
      <c r="BV77" s="27" t="s">
        <v>105</v>
      </c>
      <c r="BW77" s="27">
        <v>12690063</v>
      </c>
      <c r="BX77" s="27" t="s">
        <v>911</v>
      </c>
      <c r="BY77" s="27" t="s">
        <v>223</v>
      </c>
      <c r="BZ77" s="27" t="s">
        <v>223</v>
      </c>
      <c r="CA77" s="30" t="s">
        <v>1027</v>
      </c>
    </row>
    <row r="78" spans="1:79" x14ac:dyDescent="0.25">
      <c r="A78" s="26" t="s">
        <v>577</v>
      </c>
      <c r="B78" s="27" t="s">
        <v>578</v>
      </c>
      <c r="C78" s="27" t="s">
        <v>1032</v>
      </c>
      <c r="D78" s="27">
        <v>430</v>
      </c>
      <c r="E78" s="28">
        <v>46176</v>
      </c>
      <c r="F78" s="27">
        <v>6</v>
      </c>
      <c r="G78" s="35">
        <v>46155</v>
      </c>
      <c r="H78" s="28">
        <v>46176</v>
      </c>
      <c r="I78" s="27">
        <v>15</v>
      </c>
      <c r="J78" s="27" t="s">
        <v>559</v>
      </c>
      <c r="K78" s="35">
        <v>46177</v>
      </c>
      <c r="L78" s="27">
        <v>16</v>
      </c>
      <c r="M78" s="34">
        <f>IFERROR(IF(G78=K78,0,NETWORKDAYS(G78,K78,{"01/01/2026";"02/02/2026";"16/03/2026";"02/04/2026";"03/04/2026";"01/05/2026"})),"Faltan Fechas")</f>
        <v>17</v>
      </c>
      <c r="N78" s="33" t="str">
        <f>IFERROR(IF(OR(G78="",K78=""),"SIN DATO",IF(NETWORKDAYS(G78,K78,{"01/01/2026";"02/02/2026";"16/03/2026";"02/04/2026";"03/04/2026";"01/05/2026"})&lt;=1,"1 día o menos",IF(NETWORKDAYS(G78,K78,{"01/01/2026";"02/02/2026";"16/03/2026";"02/04/2026";"03/04/2026";"01/05/2026"})&lt;=3,"2 a 3 días",IF(NETWORKDAYS(G78,K78,{"01/01/2026";"02/02/2026";"16/03/2026";"02/04/2026";"03/04/2026";"01/05/2026"})&lt;=5,"4 a 5 días",IF(NETWORKDAYS(G78,K78,{"01/01/2026";"02/02/2026";"16/03/2026";"02/04/2026";"03/04/2026";"01/05/2026"})&lt;=10,"6 a 10 días",IF(NETWORKDAYS(G78,K78,{"01/01/2026";"02/02/2026";"16/03/2026";"02/04/2026";"03/04/2026";"01/05/2026"})&lt;=16,"11 a 15 días","más de 16 días")))))),"Aun no se entrega")</f>
        <v>más de 16 días</v>
      </c>
      <c r="O78" s="34" t="str" cm="1">
        <f t="array" ref="O78">IFERROR(
  IF(
    NETWORKDAYS(G78,K78,{"01/01/2026";"02/02/2026";"16/03/2026";"02/04/2026";"03/04/2026";"01/05/2026"}) &lt;=
    _xlfn.IFS(
      OR(TRIM(A78)="AICM", TRIM(A78)="AÉREO AICM"), 5,
      OR(TRIM(A78)="VERACRUZ", TRIM(A78)="MARÍTIMO VERACRUZ"), 6,
      OR(TRIM(A78)="AIFA", TRIM(A78)="AÉREO AIFA"), 7,
      AND(TRIM(A78)="CORRESPONSALIAS", TRIM(B78)="NUEVO LAREDO"), 6,
      TRIM(A78)="MANZANILLO", 10,
      TRIM(A78)="TOLUCA", 6,
      TRUE, 999
    ),
    "On Time",
    "Delayed"
  ),
  "Faltan fechas"
)</f>
        <v>Delayed</v>
      </c>
      <c r="P78" s="36" t="s">
        <v>568</v>
      </c>
      <c r="Q78" s="28">
        <v>46178</v>
      </c>
      <c r="R78" s="5">
        <f>IFERROR(IF(G78=Q78,0,NETWORKDAYS(G78,Q78,{"01/01/2026";"02/02/2026";"16/03/2026";"02/04/2026";"03/04/2026";"01/05/2026"})),"Faltan Fechas")</f>
        <v>18</v>
      </c>
      <c r="S78" s="4" t="str">
        <f>IFERROR(IF(OR(G78="",Q78=""),"SIN DATO",IF(NETWORKDAYS(G78,Q78,{"01/01/2026";"02/02/2026";"16/03/2026";"02/04/2026";"03/04/2026";"01/05/2026"})&lt;=1,"1 día o menos",IF(NETWORKDAYS(G78,Q78,{"01/01/2026";"02/02/2026";"16/03/2026";"02/04/2026";"03/04/2026";"01/05/2026"})&lt;=3,"2 a 3 días",IF(NETWORKDAYS(G78,Q78,{"01/01/2026";"02/02/2026";"16/03/2026";"02/04/2026";"03/04/2026";"01/05/2026"})&lt;=5,"4 a 5 días",IF(NETWORKDAYS(G78,Q78,{"01/01/2026";"02/02/2026";"16/03/2026";"02/04/2026";"03/04/2026";"01/05/2026"})&lt;=10,"6 a 10 días",IF(NETWORKDAYS(G78,Q78,{"01/01/2026";"02/02/2026";"16/03/2026";"02/04/2026";"03/04/2026";"01/05/2026"})&lt;=16,"11 a 15 días","más de 16 días")))))),"Aun no se entrega")</f>
        <v>más de 16 días</v>
      </c>
      <c r="T78" s="4" t="str" cm="1">
        <f t="array" ref="T78">IFERROR(
  IF(
    NETWORKDAYS(G78,Q78,{"01/01/2026";"02/02/2026";"16/03/2026";"02/04/2026";"03/04/2026";"01/05/2026"}) &lt;=
    _xlfn.IFS(
      OR(TRIM(A78)="AICM", TRIM(A78)="AÉREO AICM"), 5,
      OR(TRIM(A78)="VERACRUZ", TRIM(A78)="MARÍTIMO VERACRUZ"), 6,
      OR(TRIM(A78)="AIFA", TRIM(A78)="AÉREO AIFA"), 7,
      AND(TRIM(A78)="CORRESPONSALIAS", TRIM(B78)="NUEVO LAREDO"), 6,
      TRIM(A78)="MANZANILLO", 10,
      TRIM(A78)="TOLUCA", 6,
      TRUE, 999
    ),
    "On Time",
    "Delayed"
  ),
  "Faltan fechas"
)</f>
        <v>Delayed</v>
      </c>
      <c r="U78" s="27">
        <v>17</v>
      </c>
      <c r="V78" s="27" t="s">
        <v>588</v>
      </c>
      <c r="W78" s="27">
        <v>23</v>
      </c>
      <c r="X78" s="27" t="s">
        <v>547</v>
      </c>
      <c r="Y78" s="27">
        <v>1</v>
      </c>
      <c r="Z78" s="27" t="s">
        <v>546</v>
      </c>
      <c r="AA78" s="27">
        <v>1</v>
      </c>
      <c r="AB78" s="27">
        <v>1</v>
      </c>
      <c r="AC78" s="27" t="s">
        <v>546</v>
      </c>
      <c r="AD78" s="28">
        <v>46188</v>
      </c>
      <c r="AE78" s="27">
        <v>6</v>
      </c>
      <c r="AF78" s="27">
        <v>6</v>
      </c>
      <c r="AG78" s="28">
        <v>46188</v>
      </c>
      <c r="AH78" s="28">
        <v>46188</v>
      </c>
      <c r="AI78" s="29">
        <v>0</v>
      </c>
      <c r="AJ78" s="28" t="s">
        <v>544</v>
      </c>
      <c r="AK78" s="28">
        <v>46188</v>
      </c>
      <c r="AL78" s="5">
        <f>IFERROR(IF(Q78=AK78,0,NETWORKDAYS(Q78,AK78,{"01/01/2026";"02/02/2026";"16/03/2026";"02/04/2026";"03/04/2026";"01/05/2026"})),"aun no se factura")</f>
        <v>7</v>
      </c>
      <c r="AM78" s="4" t="str">
        <f>IFERROR(IF(OR(Q78="",AK78=""),"SIN DATO",IF(NETWORKDAYS(Q78,AK78,{"01/01/2026";"02/02/2026";"16/03/2026";"02/04/2026";"03/04/2026";"01/05/2026"})&lt;=1,"1 día o menos",IF(NETWORKDAYS(Q78,AK78,{"01/01/2026";"02/02/2026";"16/03/2026";"02/04/2026";"03/04/2026";"01/05/2026"})&lt;=3,"2 a 3 días",IF(NETWORKDAYS(Q78,AK78,{"01/01/2026";"02/02/2026";"16/03/2026";"02/04/2026";"03/04/2026";"01/05/2026"})&lt;=5,"4 a 5 días",IF(NETWORKDAYS(Q78,AK78,{"01/01/2026";"02/02/2026";"16/03/2026";"02/04/2026";"03/04/2026";"01/05/2026"})&lt;=10,"6 a 10 días",IF(NETWORKDAYS(Q78,AK78,{"01/01/2026";"02/02/2026";"16/03/2026";"02/04/2026";"03/04/2026";"01/05/2026"})&lt;=16,"11 a 15 días","más de 16 días")))))),"aun no se factura")</f>
        <v>6 a 10 días</v>
      </c>
      <c r="AN78" s="4" t="str" cm="1">
        <f t="array" ref="AN78">IFERROR(
  IF(
    NETWORKDAYS(Q78,AK78,{"01/01/2026";"02/02/2026";"16/03/2026";"02/04/2026";"03/04/2026";"01/05/2026"}) &lt;=
    _xlfn.IFS(
      OR(TRIM(A78)="AICM", TRIM(A78)="AÉREO AICM"), 5,
      OR(TRIM(A78)="VERACRUZ", TRIM(A78)="MARÍTIMO VERACRUZ"), 6,
      OR(TRIM(A78)="AIFA", TRIM(A78)="AÉREO AIFA"), 7,
      AND(TRIM(A78)="CORRESPONSALIAS", TRIM(B78)="NUEVO LAREDO"), 6,
      TRIM(A78)="MANZANILLO", 10,
      TRIM(A78)="TOLUCA", 6,
      TRUE, 999
    ),
    "On Time",
    "Delayed"
  ),
  "Faltan fechas"
)</f>
        <v>Delayed</v>
      </c>
      <c r="AO78" s="29">
        <v>1</v>
      </c>
      <c r="AP78" s="28" t="s">
        <v>548</v>
      </c>
      <c r="AQ78" s="27" t="s">
        <v>93</v>
      </c>
      <c r="AR78" s="27" t="s">
        <v>112</v>
      </c>
      <c r="AS78" s="27" t="s">
        <v>1033</v>
      </c>
      <c r="AT78" s="27" t="s">
        <v>223</v>
      </c>
      <c r="AU78" s="29">
        <v>6000705</v>
      </c>
      <c r="AV78" s="27" t="s">
        <v>92</v>
      </c>
      <c r="AW78" s="27" t="s">
        <v>96</v>
      </c>
      <c r="AX78" s="27" t="s">
        <v>549</v>
      </c>
      <c r="AY78" s="27"/>
      <c r="AZ78" s="27" t="s">
        <v>550</v>
      </c>
      <c r="BA78" s="27" t="s">
        <v>90</v>
      </c>
      <c r="BB78" s="27"/>
      <c r="BC78" s="27" t="s">
        <v>107</v>
      </c>
      <c r="BD78" s="27" t="s">
        <v>1025</v>
      </c>
      <c r="BE78" s="27" t="s">
        <v>107</v>
      </c>
      <c r="BF78" s="27" t="s">
        <v>576</v>
      </c>
      <c r="BG78" s="27" t="s">
        <v>552</v>
      </c>
      <c r="BH78" s="27" t="s">
        <v>580</v>
      </c>
      <c r="BI78" s="27"/>
      <c r="BJ78" s="27" t="s">
        <v>597</v>
      </c>
      <c r="BK78" s="27" t="s">
        <v>554</v>
      </c>
      <c r="BL78" s="27">
        <v>0</v>
      </c>
      <c r="BM78" s="27">
        <v>99</v>
      </c>
      <c r="BN78" s="27" t="s">
        <v>1034</v>
      </c>
      <c r="BO78" s="27">
        <v>90</v>
      </c>
      <c r="BP78" s="27" t="s">
        <v>1035</v>
      </c>
      <c r="BQ78" s="27" t="s">
        <v>563</v>
      </c>
      <c r="BR78" s="27"/>
      <c r="BS78" s="27" t="s">
        <v>591</v>
      </c>
      <c r="BT78" s="27" t="s">
        <v>558</v>
      </c>
      <c r="BU78" s="27" t="s">
        <v>104</v>
      </c>
      <c r="BV78" s="27" t="s">
        <v>105</v>
      </c>
      <c r="BW78" s="27">
        <v>12675963</v>
      </c>
      <c r="BX78" s="27" t="s">
        <v>1036</v>
      </c>
      <c r="BY78" s="27" t="s">
        <v>223</v>
      </c>
      <c r="BZ78" s="27" t="s">
        <v>223</v>
      </c>
      <c r="CA78" s="30" t="s">
        <v>1037</v>
      </c>
    </row>
    <row r="79" spans="1:79" x14ac:dyDescent="0.25">
      <c r="A79" s="26" t="s">
        <v>577</v>
      </c>
      <c r="B79" s="27" t="s">
        <v>578</v>
      </c>
      <c r="C79" s="27" t="s">
        <v>1052</v>
      </c>
      <c r="D79" s="27">
        <v>430</v>
      </c>
      <c r="E79" s="28">
        <v>46179</v>
      </c>
      <c r="F79" s="27">
        <v>6</v>
      </c>
      <c r="G79" s="35">
        <v>46160</v>
      </c>
      <c r="H79" s="28">
        <v>46179</v>
      </c>
      <c r="I79" s="27">
        <v>14</v>
      </c>
      <c r="J79" s="27" t="s">
        <v>559</v>
      </c>
      <c r="K79" s="35">
        <v>46181</v>
      </c>
      <c r="L79" s="27">
        <v>15</v>
      </c>
      <c r="M79" s="34">
        <f>IFERROR(IF(G79=K79,0,NETWORKDAYS(G79,K79,{"01/01/2026";"02/02/2026";"16/03/2026";"02/04/2026";"03/04/2026";"01/05/2026"})),"Faltan Fechas")</f>
        <v>16</v>
      </c>
      <c r="N79" s="33" t="str">
        <f>IFERROR(IF(OR(G79="",K79=""),"SIN DATO",IF(NETWORKDAYS(G79,K79,{"01/01/2026";"02/02/2026";"16/03/2026";"02/04/2026";"03/04/2026";"01/05/2026"})&lt;=1,"1 día o menos",IF(NETWORKDAYS(G79,K79,{"01/01/2026";"02/02/2026";"16/03/2026";"02/04/2026";"03/04/2026";"01/05/2026"})&lt;=3,"2 a 3 días",IF(NETWORKDAYS(G79,K79,{"01/01/2026";"02/02/2026";"16/03/2026";"02/04/2026";"03/04/2026";"01/05/2026"})&lt;=5,"4 a 5 días",IF(NETWORKDAYS(G79,K79,{"01/01/2026";"02/02/2026";"16/03/2026";"02/04/2026";"03/04/2026";"01/05/2026"})&lt;=10,"6 a 10 días",IF(NETWORKDAYS(G79,K79,{"01/01/2026";"02/02/2026";"16/03/2026";"02/04/2026";"03/04/2026";"01/05/2026"})&lt;=16,"11 a 15 días","más de 16 días")))))),"Aun no se entrega")</f>
        <v>11 a 15 días</v>
      </c>
      <c r="O79" s="34" t="str" cm="1">
        <f t="array" ref="O79">IFERROR(
  IF(
    NETWORKDAYS(G79,K79,{"01/01/2026";"02/02/2026";"16/03/2026";"02/04/2026";"03/04/2026";"01/05/2026"}) &lt;=
    _xlfn.IFS(
      OR(TRIM(A79)="AICM", TRIM(A79)="AÉREO AICM"), 5,
      OR(TRIM(A79)="VERACRUZ", TRIM(A79)="MARÍTIMO VERACRUZ"), 6,
      OR(TRIM(A79)="AIFA", TRIM(A79)="AÉREO AIFA"), 7,
      AND(TRIM(A79)="CORRESPONSALIAS", TRIM(B79)="NUEVO LAREDO"), 6,
      TRIM(A79)="MANZANILLO", 10,
      TRIM(A79)="TOLUCA", 6,
      TRUE, 999
    ),
    "On Time",
    "Delayed"
  ),
  "Faltan fechas"
)</f>
        <v>Delayed</v>
      </c>
      <c r="P79" s="36" t="s">
        <v>559</v>
      </c>
      <c r="Q79" s="28">
        <v>46182</v>
      </c>
      <c r="R79" s="5">
        <f>IFERROR(IF(G79=Q79,0,NETWORKDAYS(G79,Q79,{"01/01/2026";"02/02/2026";"16/03/2026";"02/04/2026";"03/04/2026";"01/05/2026"})),"Faltan Fechas")</f>
        <v>17</v>
      </c>
      <c r="S79" s="4" t="str">
        <f>IFERROR(IF(OR(G79="",Q79=""),"SIN DATO",IF(NETWORKDAYS(G79,Q79,{"01/01/2026";"02/02/2026";"16/03/2026";"02/04/2026";"03/04/2026";"01/05/2026"})&lt;=1,"1 día o menos",IF(NETWORKDAYS(G79,Q79,{"01/01/2026";"02/02/2026";"16/03/2026";"02/04/2026";"03/04/2026";"01/05/2026"})&lt;=3,"2 a 3 días",IF(NETWORKDAYS(G79,Q79,{"01/01/2026";"02/02/2026";"16/03/2026";"02/04/2026";"03/04/2026";"01/05/2026"})&lt;=5,"4 a 5 días",IF(NETWORKDAYS(G79,Q79,{"01/01/2026";"02/02/2026";"16/03/2026";"02/04/2026";"03/04/2026";"01/05/2026"})&lt;=10,"6 a 10 días",IF(NETWORKDAYS(G79,Q79,{"01/01/2026";"02/02/2026";"16/03/2026";"02/04/2026";"03/04/2026";"01/05/2026"})&lt;=16,"11 a 15 días","más de 16 días")))))),"Aun no se entrega")</f>
        <v>más de 16 días</v>
      </c>
      <c r="T79" s="4" t="str" cm="1">
        <f t="array" ref="T79">IFERROR(
  IF(
    NETWORKDAYS(G79,Q79,{"01/01/2026";"02/02/2026";"16/03/2026";"02/04/2026";"03/04/2026";"01/05/2026"}) &lt;=
    _xlfn.IFS(
      OR(TRIM(A79)="AICM", TRIM(A79)="AÉREO AICM"), 5,
      OR(TRIM(A79)="VERACRUZ", TRIM(A79)="MARÍTIMO VERACRUZ"), 6,
      OR(TRIM(A79)="AIFA", TRIM(A79)="AÉREO AIFA"), 7,
      AND(TRIM(A79)="CORRESPONSALIAS", TRIM(B79)="NUEVO LAREDO"), 6,
      TRIM(A79)="MANZANILLO", 10,
      TRIM(A79)="TOLUCA", 6,
      TRUE, 999
    ),
    "On Time",
    "Delayed"
  ),
  "Faltan fechas"
)</f>
        <v>Delayed</v>
      </c>
      <c r="U79" s="27">
        <v>16</v>
      </c>
      <c r="V79" s="27" t="s">
        <v>588</v>
      </c>
      <c r="W79" s="27">
        <v>31</v>
      </c>
      <c r="X79" s="27" t="s">
        <v>547</v>
      </c>
      <c r="Y79" s="27">
        <v>0</v>
      </c>
      <c r="Z79" s="27" t="s">
        <v>546</v>
      </c>
      <c r="AA79" s="27">
        <v>0</v>
      </c>
      <c r="AB79" s="27">
        <v>1</v>
      </c>
      <c r="AC79" s="27" t="s">
        <v>546</v>
      </c>
      <c r="AD79" s="28">
        <v>46203</v>
      </c>
      <c r="AE79" s="27">
        <v>14</v>
      </c>
      <c r="AF79" s="27">
        <v>15</v>
      </c>
      <c r="AG79" s="28">
        <v>46202</v>
      </c>
      <c r="AH79" s="28">
        <v>46203</v>
      </c>
      <c r="AI79" s="29">
        <v>1</v>
      </c>
      <c r="AJ79" s="28" t="s">
        <v>547</v>
      </c>
      <c r="AK79" s="28">
        <v>46203</v>
      </c>
      <c r="AL79" s="5">
        <f>IFERROR(IF(Q79=AK79,0,NETWORKDAYS(Q79,AK79,{"01/01/2026";"02/02/2026";"16/03/2026";"02/04/2026";"03/04/2026";"01/05/2026"})),"aun no se factura")</f>
        <v>16</v>
      </c>
      <c r="AM79" s="4" t="str">
        <f>IFERROR(IF(OR(Q79="",AK79=""),"SIN DATO",IF(NETWORKDAYS(Q79,AK79,{"01/01/2026";"02/02/2026";"16/03/2026";"02/04/2026";"03/04/2026";"01/05/2026"})&lt;=1,"1 día o menos",IF(NETWORKDAYS(Q79,AK79,{"01/01/2026";"02/02/2026";"16/03/2026";"02/04/2026";"03/04/2026";"01/05/2026"})&lt;=3,"2 a 3 días",IF(NETWORKDAYS(Q79,AK79,{"01/01/2026";"02/02/2026";"16/03/2026";"02/04/2026";"03/04/2026";"01/05/2026"})&lt;=5,"4 a 5 días",IF(NETWORKDAYS(Q79,AK79,{"01/01/2026";"02/02/2026";"16/03/2026";"02/04/2026";"03/04/2026";"01/05/2026"})&lt;=10,"6 a 10 días",IF(NETWORKDAYS(Q79,AK79,{"01/01/2026";"02/02/2026";"16/03/2026";"02/04/2026";"03/04/2026";"01/05/2026"})&lt;=16,"11 a 15 días","más de 16 días")))))),"aun no se factura")</f>
        <v>11 a 15 días</v>
      </c>
      <c r="AN79" s="4" t="str" cm="1">
        <f t="array" ref="AN79">IFERROR(
  IF(
    NETWORKDAYS(Q79,AK79,{"01/01/2026";"02/02/2026";"16/03/2026";"02/04/2026";"03/04/2026";"01/05/2026"}) &lt;=
    _xlfn.IFS(
      OR(TRIM(A79)="AICM", TRIM(A79)="AÉREO AICM"), 5,
      OR(TRIM(A79)="VERACRUZ", TRIM(A79)="MARÍTIMO VERACRUZ"), 6,
      OR(TRIM(A79)="AIFA", TRIM(A79)="AÉREO AIFA"), 7,
      AND(TRIM(A79)="CORRESPONSALIAS", TRIM(B79)="NUEVO LAREDO"), 6,
      TRIM(A79)="MANZANILLO", 10,
      TRIM(A79)="TOLUCA", 6,
      TRUE, 999
    ),
    "On Time",
    "Delayed"
  ),
  "Faltan fechas"
)</f>
        <v>Delayed</v>
      </c>
      <c r="AO79" s="29">
        <v>1</v>
      </c>
      <c r="AP79" s="28" t="s">
        <v>548</v>
      </c>
      <c r="AQ79" s="27" t="s">
        <v>93</v>
      </c>
      <c r="AR79" s="27" t="s">
        <v>112</v>
      </c>
      <c r="AS79" s="27" t="s">
        <v>1053</v>
      </c>
      <c r="AT79" s="27" t="s">
        <v>223</v>
      </c>
      <c r="AU79" s="29">
        <v>6000709</v>
      </c>
      <c r="AV79" s="27" t="s">
        <v>92</v>
      </c>
      <c r="AW79" s="27" t="s">
        <v>96</v>
      </c>
      <c r="AX79" s="27" t="s">
        <v>549</v>
      </c>
      <c r="AY79" s="27"/>
      <c r="AZ79" s="27" t="s">
        <v>550</v>
      </c>
      <c r="BA79" s="27" t="s">
        <v>90</v>
      </c>
      <c r="BB79" s="27"/>
      <c r="BC79" s="27" t="s">
        <v>107</v>
      </c>
      <c r="BD79" s="27" t="s">
        <v>1025</v>
      </c>
      <c r="BE79" s="27" t="s">
        <v>107</v>
      </c>
      <c r="BF79" s="27" t="s">
        <v>576</v>
      </c>
      <c r="BG79" s="27" t="s">
        <v>552</v>
      </c>
      <c r="BH79" s="27" t="s">
        <v>580</v>
      </c>
      <c r="BI79" s="27"/>
      <c r="BJ79" s="27" t="s">
        <v>603</v>
      </c>
      <c r="BK79" s="27" t="s">
        <v>554</v>
      </c>
      <c r="BL79" s="27">
        <v>0</v>
      </c>
      <c r="BM79" s="27">
        <v>99</v>
      </c>
      <c r="BN79" s="27" t="s">
        <v>1054</v>
      </c>
      <c r="BO79" s="27">
        <v>90</v>
      </c>
      <c r="BP79" s="27" t="s">
        <v>910</v>
      </c>
      <c r="BQ79" s="27" t="s">
        <v>563</v>
      </c>
      <c r="BR79" s="27"/>
      <c r="BS79" s="27" t="s">
        <v>591</v>
      </c>
      <c r="BT79" s="27" t="s">
        <v>558</v>
      </c>
      <c r="BU79" s="27" t="s">
        <v>104</v>
      </c>
      <c r="BV79" s="27" t="s">
        <v>105</v>
      </c>
      <c r="BW79" s="27">
        <v>12690063</v>
      </c>
      <c r="BX79" s="27" t="s">
        <v>911</v>
      </c>
      <c r="BY79" s="27" t="s">
        <v>223</v>
      </c>
      <c r="BZ79" s="27" t="s">
        <v>223</v>
      </c>
      <c r="CA79" s="30" t="s">
        <v>1055</v>
      </c>
    </row>
    <row r="80" spans="1:79" x14ac:dyDescent="0.25">
      <c r="A80" s="26" t="s">
        <v>577</v>
      </c>
      <c r="B80" s="27" t="s">
        <v>578</v>
      </c>
      <c r="C80" s="27" t="s">
        <v>1069</v>
      </c>
      <c r="D80" s="27">
        <v>430</v>
      </c>
      <c r="E80" s="28">
        <v>46197</v>
      </c>
      <c r="F80" s="27">
        <v>6</v>
      </c>
      <c r="G80" s="35">
        <v>46160</v>
      </c>
      <c r="H80" s="28">
        <v>46197</v>
      </c>
      <c r="I80" s="27">
        <v>27</v>
      </c>
      <c r="J80" s="27" t="s">
        <v>568</v>
      </c>
      <c r="K80" s="35">
        <v>46198</v>
      </c>
      <c r="L80" s="27">
        <v>28</v>
      </c>
      <c r="M80" s="34">
        <f>IFERROR(IF(G80=K80,0,NETWORKDAYS(G80,K80,{"01/01/2026";"02/02/2026";"16/03/2026";"02/04/2026";"03/04/2026";"01/05/2026"})),"Faltan Fechas")</f>
        <v>29</v>
      </c>
      <c r="N80" s="33" t="str">
        <f>IFERROR(IF(OR(G80="",K80=""),"SIN DATO",IF(NETWORKDAYS(G80,K80,{"01/01/2026";"02/02/2026";"16/03/2026";"02/04/2026";"03/04/2026";"01/05/2026"})&lt;=1,"1 día o menos",IF(NETWORKDAYS(G80,K80,{"01/01/2026";"02/02/2026";"16/03/2026";"02/04/2026";"03/04/2026";"01/05/2026"})&lt;=3,"2 a 3 días",IF(NETWORKDAYS(G80,K80,{"01/01/2026";"02/02/2026";"16/03/2026";"02/04/2026";"03/04/2026";"01/05/2026"})&lt;=5,"4 a 5 días",IF(NETWORKDAYS(G80,K80,{"01/01/2026";"02/02/2026";"16/03/2026";"02/04/2026";"03/04/2026";"01/05/2026"})&lt;=10,"6 a 10 días",IF(NETWORKDAYS(G80,K80,{"01/01/2026";"02/02/2026";"16/03/2026";"02/04/2026";"03/04/2026";"01/05/2026"})&lt;=16,"11 a 15 días","más de 16 días")))))),"Aun no se entrega")</f>
        <v>más de 16 días</v>
      </c>
      <c r="O80" s="34" t="str" cm="1">
        <f t="array" ref="O80">IFERROR(
  IF(
    NETWORKDAYS(G80,K80,{"01/01/2026";"02/02/2026";"16/03/2026";"02/04/2026";"03/04/2026";"01/05/2026"}) &lt;=
    _xlfn.IFS(
      OR(TRIM(A80)="AICM", TRIM(A80)="AÉREO AICM"), 5,
      OR(TRIM(A80)="VERACRUZ", TRIM(A80)="MARÍTIMO VERACRUZ"), 6,
      OR(TRIM(A80)="AIFA", TRIM(A80)="AÉREO AIFA"), 7,
      AND(TRIM(A80)="CORRESPONSALIAS", TRIM(B80)="NUEVO LAREDO"), 6,
      TRIM(A80)="MANZANILLO", 10,
      TRIM(A80)="TOLUCA", 6,
      TRUE, 999
    ),
    "On Time",
    "Delayed"
  ),
  "Faltan fechas"
)</f>
        <v>Delayed</v>
      </c>
      <c r="P80" s="36" t="s">
        <v>568</v>
      </c>
      <c r="Q80" s="28">
        <v>46199</v>
      </c>
      <c r="R80" s="5">
        <f>IFERROR(IF(G80=Q80,0,NETWORKDAYS(G80,Q80,{"01/01/2026";"02/02/2026";"16/03/2026";"02/04/2026";"03/04/2026";"01/05/2026"})),"Faltan Fechas")</f>
        <v>30</v>
      </c>
      <c r="S80" s="4" t="str">
        <f>IFERROR(IF(OR(G80="",Q80=""),"SIN DATO",IF(NETWORKDAYS(G80,Q80,{"01/01/2026";"02/02/2026";"16/03/2026";"02/04/2026";"03/04/2026";"01/05/2026"})&lt;=1,"1 día o menos",IF(NETWORKDAYS(G80,Q80,{"01/01/2026";"02/02/2026";"16/03/2026";"02/04/2026";"03/04/2026";"01/05/2026"})&lt;=3,"2 a 3 días",IF(NETWORKDAYS(G80,Q80,{"01/01/2026";"02/02/2026";"16/03/2026";"02/04/2026";"03/04/2026";"01/05/2026"})&lt;=5,"4 a 5 días",IF(NETWORKDAYS(G80,Q80,{"01/01/2026";"02/02/2026";"16/03/2026";"02/04/2026";"03/04/2026";"01/05/2026"})&lt;=10,"6 a 10 días",IF(NETWORKDAYS(G80,Q80,{"01/01/2026";"02/02/2026";"16/03/2026";"02/04/2026";"03/04/2026";"01/05/2026"})&lt;=16,"11 a 15 días","más de 16 días")))))),"Aun no se entrega")</f>
        <v>más de 16 días</v>
      </c>
      <c r="T80" s="4" t="str" cm="1">
        <f t="array" ref="T80">IFERROR(
  IF(
    NETWORKDAYS(G80,Q80,{"01/01/2026";"02/02/2026";"16/03/2026";"02/04/2026";"03/04/2026";"01/05/2026"}) &lt;=
    _xlfn.IFS(
      OR(TRIM(A80)="AICM", TRIM(A80)="AÉREO AICM"), 5,
      OR(TRIM(A80)="VERACRUZ", TRIM(A80)="MARÍTIMO VERACRUZ"), 6,
      OR(TRIM(A80)="AIFA", TRIM(A80)="AÉREO AIFA"), 7,
      AND(TRIM(A80)="CORRESPONSALIAS", TRIM(B80)="NUEVO LAREDO"), 6,
      TRIM(A80)="MANZANILLO", 10,
      TRIM(A80)="TOLUCA", 6,
      TRUE, 999
    ),
    "On Time",
    "Delayed"
  ),
  "Faltan fechas"
)</f>
        <v>Delayed</v>
      </c>
      <c r="U80" s="27">
        <v>29</v>
      </c>
      <c r="V80" s="27" t="s">
        <v>588</v>
      </c>
      <c r="W80" s="27">
        <v>41</v>
      </c>
      <c r="X80" s="27" t="s">
        <v>547</v>
      </c>
      <c r="Y80" s="27">
        <v>1</v>
      </c>
      <c r="Z80" s="27" t="s">
        <v>546</v>
      </c>
      <c r="AA80" s="27">
        <v>1</v>
      </c>
      <c r="AB80" s="27">
        <v>1</v>
      </c>
      <c r="AC80" s="27" t="s">
        <v>546</v>
      </c>
      <c r="AD80" s="28">
        <v>46217</v>
      </c>
      <c r="AE80" s="27">
        <v>12</v>
      </c>
      <c r="AF80" s="27">
        <v>12</v>
      </c>
      <c r="AG80" s="28">
        <v>46217</v>
      </c>
      <c r="AH80" s="28">
        <v>46217</v>
      </c>
      <c r="AI80" s="29">
        <v>0</v>
      </c>
      <c r="AJ80" s="28" t="s">
        <v>547</v>
      </c>
      <c r="AK80" s="28">
        <v>46217</v>
      </c>
      <c r="AL80" s="5">
        <f>IFERROR(IF(Q80=AK80,0,NETWORKDAYS(Q80,AK80,{"01/01/2026";"02/02/2026";"16/03/2026";"02/04/2026";"03/04/2026";"01/05/2026"})),"aun no se factura")</f>
        <v>13</v>
      </c>
      <c r="AM80" s="4" t="str">
        <f>IFERROR(IF(OR(Q80="",AK80=""),"SIN DATO",IF(NETWORKDAYS(Q80,AK80,{"01/01/2026";"02/02/2026";"16/03/2026";"02/04/2026";"03/04/2026";"01/05/2026"})&lt;=1,"1 día o menos",IF(NETWORKDAYS(Q80,AK80,{"01/01/2026";"02/02/2026";"16/03/2026";"02/04/2026";"03/04/2026";"01/05/2026"})&lt;=3,"2 a 3 días",IF(NETWORKDAYS(Q80,AK80,{"01/01/2026";"02/02/2026";"16/03/2026";"02/04/2026";"03/04/2026";"01/05/2026"})&lt;=5,"4 a 5 días",IF(NETWORKDAYS(Q80,AK80,{"01/01/2026";"02/02/2026";"16/03/2026";"02/04/2026";"03/04/2026";"01/05/2026"})&lt;=10,"6 a 10 días",IF(NETWORKDAYS(Q80,AK80,{"01/01/2026";"02/02/2026";"16/03/2026";"02/04/2026";"03/04/2026";"01/05/2026"})&lt;=16,"11 a 15 días","más de 16 días")))))),"aun no se factura")</f>
        <v>11 a 15 días</v>
      </c>
      <c r="AN80" s="4" t="str" cm="1">
        <f t="array" ref="AN80">IFERROR(
  IF(
    NETWORKDAYS(Q80,AK80,{"01/01/2026";"02/02/2026";"16/03/2026";"02/04/2026";"03/04/2026";"01/05/2026"}) &lt;=
    _xlfn.IFS(
      OR(TRIM(A80)="AICM", TRIM(A80)="AÉREO AICM"), 5,
      OR(TRIM(A80)="VERACRUZ", TRIM(A80)="MARÍTIMO VERACRUZ"), 6,
      OR(TRIM(A80)="AIFA", TRIM(A80)="AÉREO AIFA"), 7,
      AND(TRIM(A80)="CORRESPONSALIAS", TRIM(B80)="NUEVO LAREDO"), 6,
      TRIM(A80)="MANZANILLO", 10,
      TRIM(A80)="TOLUCA", 6,
      TRUE, 999
    ),
    "On Time",
    "Delayed"
  ),
  "Faltan fechas"
)</f>
        <v>Delayed</v>
      </c>
      <c r="AO80" s="29">
        <v>1</v>
      </c>
      <c r="AP80" s="28" t="s">
        <v>548</v>
      </c>
      <c r="AQ80" s="27" t="s">
        <v>93</v>
      </c>
      <c r="AR80" s="27" t="s">
        <v>112</v>
      </c>
      <c r="AS80" s="27" t="s">
        <v>1070</v>
      </c>
      <c r="AT80" s="27" t="s">
        <v>223</v>
      </c>
      <c r="AU80" s="29">
        <v>6000716</v>
      </c>
      <c r="AV80" s="27" t="s">
        <v>92</v>
      </c>
      <c r="AW80" s="27" t="s">
        <v>139</v>
      </c>
      <c r="AX80" s="27" t="s">
        <v>549</v>
      </c>
      <c r="AY80" s="27"/>
      <c r="AZ80" s="27" t="s">
        <v>550</v>
      </c>
      <c r="BA80" s="27" t="s">
        <v>90</v>
      </c>
      <c r="BB80" s="27"/>
      <c r="BC80" s="27"/>
      <c r="BD80" s="27"/>
      <c r="BE80" s="27"/>
      <c r="BF80" s="27" t="s">
        <v>576</v>
      </c>
      <c r="BG80" s="27" t="s">
        <v>552</v>
      </c>
      <c r="BH80" s="27" t="s">
        <v>607</v>
      </c>
      <c r="BI80" s="27" t="s">
        <v>1071</v>
      </c>
      <c r="BJ80" s="27"/>
      <c r="BK80" s="27" t="s">
        <v>554</v>
      </c>
      <c r="BL80" s="27">
        <v>0</v>
      </c>
      <c r="BM80" s="27">
        <v>0.99</v>
      </c>
      <c r="BN80" s="27" t="s">
        <v>1072</v>
      </c>
      <c r="BO80" s="27">
        <v>90</v>
      </c>
      <c r="BP80" s="27" t="s">
        <v>1073</v>
      </c>
      <c r="BQ80" s="27" t="s">
        <v>963</v>
      </c>
      <c r="BR80" s="27"/>
      <c r="BS80" s="27" t="s">
        <v>635</v>
      </c>
      <c r="BT80" s="27" t="s">
        <v>558</v>
      </c>
      <c r="BU80" s="27" t="s">
        <v>636</v>
      </c>
      <c r="BV80" s="27" t="s">
        <v>105</v>
      </c>
      <c r="BW80" s="27">
        <v>2899331</v>
      </c>
      <c r="BX80" s="27" t="s">
        <v>802</v>
      </c>
      <c r="BY80" s="27" t="s">
        <v>223</v>
      </c>
      <c r="BZ80" s="27" t="s">
        <v>223</v>
      </c>
      <c r="CA80" s="30" t="s">
        <v>1074</v>
      </c>
    </row>
    <row r="81" spans="1:79" x14ac:dyDescent="0.25">
      <c r="A81" s="26" t="s">
        <v>577</v>
      </c>
      <c r="B81" s="27" t="s">
        <v>578</v>
      </c>
      <c r="C81" s="27" t="s">
        <v>1075</v>
      </c>
      <c r="D81" s="27">
        <v>430</v>
      </c>
      <c r="E81" s="28">
        <v>46176</v>
      </c>
      <c r="F81" s="27">
        <v>6</v>
      </c>
      <c r="G81" s="35">
        <v>46160</v>
      </c>
      <c r="H81" s="28">
        <v>46176</v>
      </c>
      <c r="I81" s="27">
        <v>12</v>
      </c>
      <c r="J81" s="27" t="s">
        <v>559</v>
      </c>
      <c r="K81" s="35">
        <v>46177</v>
      </c>
      <c r="L81" s="27">
        <v>13</v>
      </c>
      <c r="M81" s="34">
        <f>IFERROR(IF(G81=K81,0,NETWORKDAYS(G81,K81,{"01/01/2026";"02/02/2026";"16/03/2026";"02/04/2026";"03/04/2026";"01/05/2026"})),"Faltan Fechas")</f>
        <v>14</v>
      </c>
      <c r="N81" s="33" t="str">
        <f>IFERROR(IF(OR(G81="",K81=""),"SIN DATO",IF(NETWORKDAYS(G81,K81,{"01/01/2026";"02/02/2026";"16/03/2026";"02/04/2026";"03/04/2026";"01/05/2026"})&lt;=1,"1 día o menos",IF(NETWORKDAYS(G81,K81,{"01/01/2026";"02/02/2026";"16/03/2026";"02/04/2026";"03/04/2026";"01/05/2026"})&lt;=3,"2 a 3 días",IF(NETWORKDAYS(G81,K81,{"01/01/2026";"02/02/2026";"16/03/2026";"02/04/2026";"03/04/2026";"01/05/2026"})&lt;=5,"4 a 5 días",IF(NETWORKDAYS(G81,K81,{"01/01/2026";"02/02/2026";"16/03/2026";"02/04/2026";"03/04/2026";"01/05/2026"})&lt;=10,"6 a 10 días",IF(NETWORKDAYS(G81,K81,{"01/01/2026";"02/02/2026";"16/03/2026";"02/04/2026";"03/04/2026";"01/05/2026"})&lt;=16,"11 a 15 días","más de 16 días")))))),"Aun no se entrega")</f>
        <v>11 a 15 días</v>
      </c>
      <c r="O81" s="34" t="str" cm="1">
        <f t="array" ref="O81">IFERROR(
  IF(
    NETWORKDAYS(G81,K81,{"01/01/2026";"02/02/2026";"16/03/2026";"02/04/2026";"03/04/2026";"01/05/2026"}) &lt;=
    _xlfn.IFS(
      OR(TRIM(A81)="AICM", TRIM(A81)="AÉREO AICM"), 5,
      OR(TRIM(A81)="VERACRUZ", TRIM(A81)="MARÍTIMO VERACRUZ"), 6,
      OR(TRIM(A81)="AIFA", TRIM(A81)="AÉREO AIFA"), 7,
      AND(TRIM(A81)="CORRESPONSALIAS", TRIM(B81)="NUEVO LAREDO"), 6,
      TRIM(A81)="MANZANILLO", 10,
      TRIM(A81)="TOLUCA", 6,
      TRUE, 999
    ),
    "On Time",
    "Delayed"
  ),
  "Faltan fechas"
)</f>
        <v>Delayed</v>
      </c>
      <c r="P81" s="36" t="s">
        <v>559</v>
      </c>
      <c r="Q81" s="28">
        <v>46178</v>
      </c>
      <c r="R81" s="5">
        <f>IFERROR(IF(G81=Q81,0,NETWORKDAYS(G81,Q81,{"01/01/2026";"02/02/2026";"16/03/2026";"02/04/2026";"03/04/2026";"01/05/2026"})),"Faltan Fechas")</f>
        <v>15</v>
      </c>
      <c r="S81" s="4" t="str">
        <f>IFERROR(IF(OR(G81="",Q81=""),"SIN DATO",IF(NETWORKDAYS(G81,Q81,{"01/01/2026";"02/02/2026";"16/03/2026";"02/04/2026";"03/04/2026";"01/05/2026"})&lt;=1,"1 día o menos",IF(NETWORKDAYS(G81,Q81,{"01/01/2026";"02/02/2026";"16/03/2026";"02/04/2026";"03/04/2026";"01/05/2026"})&lt;=3,"2 a 3 días",IF(NETWORKDAYS(G81,Q81,{"01/01/2026";"02/02/2026";"16/03/2026";"02/04/2026";"03/04/2026";"01/05/2026"})&lt;=5,"4 a 5 días",IF(NETWORKDAYS(G81,Q81,{"01/01/2026";"02/02/2026";"16/03/2026";"02/04/2026";"03/04/2026";"01/05/2026"})&lt;=10,"6 a 10 días",IF(NETWORKDAYS(G81,Q81,{"01/01/2026";"02/02/2026";"16/03/2026";"02/04/2026";"03/04/2026";"01/05/2026"})&lt;=16,"11 a 15 días","más de 16 días")))))),"Aun no se entrega")</f>
        <v>11 a 15 días</v>
      </c>
      <c r="T81" s="4" t="str" cm="1">
        <f t="array" ref="T81">IFERROR(
  IF(
    NETWORKDAYS(G81,Q81,{"01/01/2026";"02/02/2026";"16/03/2026";"02/04/2026";"03/04/2026";"01/05/2026"}) &lt;=
    _xlfn.IFS(
      OR(TRIM(A81)="AICM", TRIM(A81)="AÉREO AICM"), 5,
      OR(TRIM(A81)="VERACRUZ", TRIM(A81)="MARÍTIMO VERACRUZ"), 6,
      OR(TRIM(A81)="AIFA", TRIM(A81)="AÉREO AIFA"), 7,
      AND(TRIM(A81)="CORRESPONSALIAS", TRIM(B81)="NUEVO LAREDO"), 6,
      TRIM(A81)="MANZANILLO", 10,
      TRIM(A81)="TOLUCA", 6,
      TRUE, 999
    ),
    "On Time",
    "Delayed"
  ),
  "Faltan fechas"
)</f>
        <v>Delayed</v>
      </c>
      <c r="U81" s="27">
        <v>14</v>
      </c>
      <c r="V81" s="27" t="s">
        <v>559</v>
      </c>
      <c r="W81" s="27">
        <v>20</v>
      </c>
      <c r="X81" s="27" t="s">
        <v>547</v>
      </c>
      <c r="Y81" s="27">
        <v>1</v>
      </c>
      <c r="Z81" s="27" t="s">
        <v>546</v>
      </c>
      <c r="AA81" s="27">
        <v>1</v>
      </c>
      <c r="AB81" s="27">
        <v>1</v>
      </c>
      <c r="AC81" s="27" t="s">
        <v>546</v>
      </c>
      <c r="AD81" s="28">
        <v>46188</v>
      </c>
      <c r="AE81" s="27">
        <v>6</v>
      </c>
      <c r="AF81" s="27">
        <v>6</v>
      </c>
      <c r="AG81" s="28">
        <v>46188</v>
      </c>
      <c r="AH81" s="28">
        <v>46188</v>
      </c>
      <c r="AI81" s="29">
        <v>0</v>
      </c>
      <c r="AJ81" s="28" t="s">
        <v>544</v>
      </c>
      <c r="AK81" s="28">
        <v>46188</v>
      </c>
      <c r="AL81" s="5">
        <f>IFERROR(IF(Q81=AK81,0,NETWORKDAYS(Q81,AK81,{"01/01/2026";"02/02/2026";"16/03/2026";"02/04/2026";"03/04/2026";"01/05/2026"})),"aun no se factura")</f>
        <v>7</v>
      </c>
      <c r="AM81" s="4" t="str">
        <f>IFERROR(IF(OR(Q81="",AK81=""),"SIN DATO",IF(NETWORKDAYS(Q81,AK81,{"01/01/2026";"02/02/2026";"16/03/2026";"02/04/2026";"03/04/2026";"01/05/2026"})&lt;=1,"1 día o menos",IF(NETWORKDAYS(Q81,AK81,{"01/01/2026";"02/02/2026";"16/03/2026";"02/04/2026";"03/04/2026";"01/05/2026"})&lt;=3,"2 a 3 días",IF(NETWORKDAYS(Q81,AK81,{"01/01/2026";"02/02/2026";"16/03/2026";"02/04/2026";"03/04/2026";"01/05/2026"})&lt;=5,"4 a 5 días",IF(NETWORKDAYS(Q81,AK81,{"01/01/2026";"02/02/2026";"16/03/2026";"02/04/2026";"03/04/2026";"01/05/2026"})&lt;=10,"6 a 10 días",IF(NETWORKDAYS(Q81,AK81,{"01/01/2026";"02/02/2026";"16/03/2026";"02/04/2026";"03/04/2026";"01/05/2026"})&lt;=16,"11 a 15 días","más de 16 días")))))),"aun no se factura")</f>
        <v>6 a 10 días</v>
      </c>
      <c r="AN81" s="4" t="str" cm="1">
        <f t="array" ref="AN81">IFERROR(
  IF(
    NETWORKDAYS(Q81,AK81,{"01/01/2026";"02/02/2026";"16/03/2026";"02/04/2026";"03/04/2026";"01/05/2026"}) &lt;=
    _xlfn.IFS(
      OR(TRIM(A81)="AICM", TRIM(A81)="AÉREO AICM"), 5,
      OR(TRIM(A81)="VERACRUZ", TRIM(A81)="MARÍTIMO VERACRUZ"), 6,
      OR(TRIM(A81)="AIFA", TRIM(A81)="AÉREO AIFA"), 7,
      AND(TRIM(A81)="CORRESPONSALIAS", TRIM(B81)="NUEVO LAREDO"), 6,
      TRIM(A81)="MANZANILLO", 10,
      TRIM(A81)="TOLUCA", 6,
      TRUE, 999
    ),
    "On Time",
    "Delayed"
  ),
  "Faltan fechas"
)</f>
        <v>Delayed</v>
      </c>
      <c r="AO81" s="29">
        <v>1</v>
      </c>
      <c r="AP81" s="28" t="s">
        <v>548</v>
      </c>
      <c r="AQ81" s="27" t="s">
        <v>93</v>
      </c>
      <c r="AR81" s="27" t="s">
        <v>112</v>
      </c>
      <c r="AS81" s="27" t="s">
        <v>1076</v>
      </c>
      <c r="AT81" s="27" t="s">
        <v>223</v>
      </c>
      <c r="AU81" s="29">
        <v>6000778</v>
      </c>
      <c r="AV81" s="27" t="s">
        <v>92</v>
      </c>
      <c r="AW81" s="27" t="s">
        <v>96</v>
      </c>
      <c r="AX81" s="27" t="s">
        <v>549</v>
      </c>
      <c r="AY81" s="27"/>
      <c r="AZ81" s="27" t="s">
        <v>550</v>
      </c>
      <c r="BA81" s="27" t="s">
        <v>90</v>
      </c>
      <c r="BB81" s="27"/>
      <c r="BC81" s="27" t="s">
        <v>107</v>
      </c>
      <c r="BD81" s="27" t="s">
        <v>1025</v>
      </c>
      <c r="BE81" s="27" t="s">
        <v>107</v>
      </c>
      <c r="BF81" s="27" t="s">
        <v>576</v>
      </c>
      <c r="BG81" s="27" t="s">
        <v>552</v>
      </c>
      <c r="BH81" s="27" t="s">
        <v>580</v>
      </c>
      <c r="BI81" s="27"/>
      <c r="BJ81" s="27" t="s">
        <v>597</v>
      </c>
      <c r="BK81" s="27" t="s">
        <v>554</v>
      </c>
      <c r="BL81" s="27">
        <v>0</v>
      </c>
      <c r="BM81" s="27">
        <v>99</v>
      </c>
      <c r="BN81" s="27" t="s">
        <v>1077</v>
      </c>
      <c r="BO81" s="27">
        <v>90</v>
      </c>
      <c r="BP81" s="27" t="s">
        <v>910</v>
      </c>
      <c r="BQ81" s="27" t="s">
        <v>563</v>
      </c>
      <c r="BR81" s="27"/>
      <c r="BS81" s="27" t="s">
        <v>591</v>
      </c>
      <c r="BT81" s="27" t="s">
        <v>558</v>
      </c>
      <c r="BU81" s="27" t="s">
        <v>104</v>
      </c>
      <c r="BV81" s="27" t="s">
        <v>105</v>
      </c>
      <c r="BW81" s="27">
        <v>12690063</v>
      </c>
      <c r="BX81" s="27" t="s">
        <v>911</v>
      </c>
      <c r="BY81" s="27" t="s">
        <v>223</v>
      </c>
      <c r="BZ81" s="27" t="s">
        <v>223</v>
      </c>
      <c r="CA81" s="30" t="s">
        <v>1078</v>
      </c>
    </row>
    <row r="82" spans="1:79" x14ac:dyDescent="0.25">
      <c r="A82" s="26" t="s">
        <v>577</v>
      </c>
      <c r="B82" s="27" t="s">
        <v>578</v>
      </c>
      <c r="C82" s="27" t="s">
        <v>1083</v>
      </c>
      <c r="D82" s="27">
        <v>430</v>
      </c>
      <c r="E82" s="28">
        <v>46182</v>
      </c>
      <c r="F82" s="27">
        <v>6</v>
      </c>
      <c r="G82" s="35">
        <v>46175</v>
      </c>
      <c r="H82" s="28">
        <v>46182</v>
      </c>
      <c r="I82" s="27">
        <v>5</v>
      </c>
      <c r="J82" s="27" t="s">
        <v>543</v>
      </c>
      <c r="K82" s="35">
        <v>46184</v>
      </c>
      <c r="L82" s="27">
        <v>7</v>
      </c>
      <c r="M82" s="34">
        <f>IFERROR(IF(G82=K82,0,NETWORKDAYS(G82,K82,{"01/01/2026";"02/02/2026";"16/03/2026";"02/04/2026";"03/04/2026";"01/05/2026"})),"Faltan Fechas")</f>
        <v>8</v>
      </c>
      <c r="N82" s="33" t="str">
        <f>IFERROR(IF(OR(G82="",K82=""),"SIN DATO",IF(NETWORKDAYS(G82,K82,{"01/01/2026";"02/02/2026";"16/03/2026";"02/04/2026";"03/04/2026";"01/05/2026"})&lt;=1,"1 día o menos",IF(NETWORKDAYS(G82,K82,{"01/01/2026";"02/02/2026";"16/03/2026";"02/04/2026";"03/04/2026";"01/05/2026"})&lt;=3,"2 a 3 días",IF(NETWORKDAYS(G82,K82,{"01/01/2026";"02/02/2026";"16/03/2026";"02/04/2026";"03/04/2026";"01/05/2026"})&lt;=5,"4 a 5 días",IF(NETWORKDAYS(G82,K82,{"01/01/2026";"02/02/2026";"16/03/2026";"02/04/2026";"03/04/2026";"01/05/2026"})&lt;=10,"6 a 10 días",IF(NETWORKDAYS(G82,K82,{"01/01/2026";"02/02/2026";"16/03/2026";"02/04/2026";"03/04/2026";"01/05/2026"})&lt;=16,"11 a 15 días","más de 16 días")))))),"Aun no se entrega")</f>
        <v>6 a 10 días</v>
      </c>
      <c r="O82" s="34" t="str" cm="1">
        <f t="array" ref="O82">IFERROR(
  IF(
    NETWORKDAYS(G82,K82,{"01/01/2026";"02/02/2026";"16/03/2026";"02/04/2026";"03/04/2026";"01/05/2026"}) &lt;=
    _xlfn.IFS(
      OR(TRIM(A82)="AICM", TRIM(A82)="AÉREO AICM"), 5,
      OR(TRIM(A82)="VERACRUZ", TRIM(A82)="MARÍTIMO VERACRUZ"), 6,
      OR(TRIM(A82)="AIFA", TRIM(A82)="AÉREO AIFA"), 7,
      AND(TRIM(A82)="CORRESPONSALIAS", TRIM(B82)="NUEVO LAREDO"), 6,
      TRIM(A82)="MANZANILLO", 10,
      TRIM(A82)="TOLUCA", 6,
      TRUE, 999
    ),
    "On Time",
    "Delayed"
  ),
  "Faltan fechas"
)</f>
        <v>Delayed</v>
      </c>
      <c r="P82" s="36" t="s">
        <v>544</v>
      </c>
      <c r="Q82" s="28">
        <v>46185</v>
      </c>
      <c r="R82" s="5">
        <f>IFERROR(IF(G82=Q82,0,NETWORKDAYS(G82,Q82,{"01/01/2026";"02/02/2026";"16/03/2026";"02/04/2026";"03/04/2026";"01/05/2026"})),"Faltan Fechas")</f>
        <v>9</v>
      </c>
      <c r="S82" s="4" t="str">
        <f>IFERROR(IF(OR(G82="",Q82=""),"SIN DATO",IF(NETWORKDAYS(G82,Q82,{"01/01/2026";"02/02/2026";"16/03/2026";"02/04/2026";"03/04/2026";"01/05/2026"})&lt;=1,"1 día o menos",IF(NETWORKDAYS(G82,Q82,{"01/01/2026";"02/02/2026";"16/03/2026";"02/04/2026";"03/04/2026";"01/05/2026"})&lt;=3,"2 a 3 días",IF(NETWORKDAYS(G82,Q82,{"01/01/2026";"02/02/2026";"16/03/2026";"02/04/2026";"03/04/2026";"01/05/2026"})&lt;=5,"4 a 5 días",IF(NETWORKDAYS(G82,Q82,{"01/01/2026";"02/02/2026";"16/03/2026";"02/04/2026";"03/04/2026";"01/05/2026"})&lt;=10,"6 a 10 días",IF(NETWORKDAYS(G82,Q82,{"01/01/2026";"02/02/2026";"16/03/2026";"02/04/2026";"03/04/2026";"01/05/2026"})&lt;=16,"11 a 15 días","más de 16 días")))))),"Aun no se entrega")</f>
        <v>6 a 10 días</v>
      </c>
      <c r="T82" s="4" t="str" cm="1">
        <f t="array" ref="T82">IFERROR(
  IF(
    NETWORKDAYS(G82,Q82,{"01/01/2026";"02/02/2026";"16/03/2026";"02/04/2026";"03/04/2026";"01/05/2026"}) &lt;=
    _xlfn.IFS(
      OR(TRIM(A82)="AICM", TRIM(A82)="AÉREO AICM"), 5,
      OR(TRIM(A82)="VERACRUZ", TRIM(A82)="MARÍTIMO VERACRUZ"), 6,
      OR(TRIM(A82)="AIFA", TRIM(A82)="AÉREO AIFA"), 7,
      AND(TRIM(A82)="CORRESPONSALIAS", TRIM(B82)="NUEVO LAREDO"), 6,
      TRIM(A82)="MANZANILLO", 10,
      TRIM(A82)="TOLUCA", 6,
      TRUE, 999
    ),
    "On Time",
    "Delayed"
  ),
  "Faltan fechas"
)</f>
        <v>Delayed</v>
      </c>
      <c r="U82" s="27">
        <v>8</v>
      </c>
      <c r="V82" s="27" t="s">
        <v>544</v>
      </c>
      <c r="W82" s="27">
        <v>25</v>
      </c>
      <c r="X82" s="27" t="s">
        <v>547</v>
      </c>
      <c r="Y82" s="27">
        <v>2</v>
      </c>
      <c r="Z82" s="27" t="s">
        <v>579</v>
      </c>
      <c r="AA82" s="27">
        <v>2</v>
      </c>
      <c r="AB82" s="27">
        <v>1</v>
      </c>
      <c r="AC82" s="27" t="s">
        <v>546</v>
      </c>
      <c r="AD82" s="28">
        <v>46210</v>
      </c>
      <c r="AE82" s="27">
        <v>17</v>
      </c>
      <c r="AF82" s="27">
        <v>17</v>
      </c>
      <c r="AG82" s="28">
        <v>46210</v>
      </c>
      <c r="AH82" s="28">
        <v>46210</v>
      </c>
      <c r="AI82" s="29">
        <v>0</v>
      </c>
      <c r="AJ82" s="28" t="s">
        <v>547</v>
      </c>
      <c r="AK82" s="28">
        <v>46210</v>
      </c>
      <c r="AL82" s="5">
        <f>IFERROR(IF(Q82=AK82,0,NETWORKDAYS(Q82,AK82,{"01/01/2026";"02/02/2026";"16/03/2026";"02/04/2026";"03/04/2026";"01/05/2026"})),"aun no se factura")</f>
        <v>18</v>
      </c>
      <c r="AM82" s="4" t="str">
        <f>IFERROR(IF(OR(Q82="",AK82=""),"SIN DATO",IF(NETWORKDAYS(Q82,AK82,{"01/01/2026";"02/02/2026";"16/03/2026";"02/04/2026";"03/04/2026";"01/05/2026"})&lt;=1,"1 día o menos",IF(NETWORKDAYS(Q82,AK82,{"01/01/2026";"02/02/2026";"16/03/2026";"02/04/2026";"03/04/2026";"01/05/2026"})&lt;=3,"2 a 3 días",IF(NETWORKDAYS(Q82,AK82,{"01/01/2026";"02/02/2026";"16/03/2026";"02/04/2026";"03/04/2026";"01/05/2026"})&lt;=5,"4 a 5 días",IF(NETWORKDAYS(Q82,AK82,{"01/01/2026";"02/02/2026";"16/03/2026";"02/04/2026";"03/04/2026";"01/05/2026"})&lt;=10,"6 a 10 días",IF(NETWORKDAYS(Q82,AK82,{"01/01/2026";"02/02/2026";"16/03/2026";"02/04/2026";"03/04/2026";"01/05/2026"})&lt;=16,"11 a 15 días","más de 16 días")))))),"aun no se factura")</f>
        <v>más de 16 días</v>
      </c>
      <c r="AN82" s="4" t="str" cm="1">
        <f t="array" ref="AN82">IFERROR(
  IF(
    NETWORKDAYS(Q82,AK82,{"01/01/2026";"02/02/2026";"16/03/2026";"02/04/2026";"03/04/2026";"01/05/2026"}) &lt;=
    _xlfn.IFS(
      OR(TRIM(A82)="AICM", TRIM(A82)="AÉREO AICM"), 5,
      OR(TRIM(A82)="VERACRUZ", TRIM(A82)="MARÍTIMO VERACRUZ"), 6,
      OR(TRIM(A82)="AIFA", TRIM(A82)="AÉREO AIFA"), 7,
      AND(TRIM(A82)="CORRESPONSALIAS", TRIM(B82)="NUEVO LAREDO"), 6,
      TRIM(A82)="MANZANILLO", 10,
      TRIM(A82)="TOLUCA", 6,
      TRUE, 999
    ),
    "On Time",
    "Delayed"
  ),
  "Faltan fechas"
)</f>
        <v>Delayed</v>
      </c>
      <c r="AO82" s="29">
        <v>1</v>
      </c>
      <c r="AP82" s="28" t="s">
        <v>548</v>
      </c>
      <c r="AQ82" s="27" t="s">
        <v>93</v>
      </c>
      <c r="AR82" s="27" t="s">
        <v>112</v>
      </c>
      <c r="AS82" s="27" t="s">
        <v>1084</v>
      </c>
      <c r="AT82" s="27" t="s">
        <v>223</v>
      </c>
      <c r="AU82" s="29">
        <v>6000856</v>
      </c>
      <c r="AV82" s="27" t="s">
        <v>92</v>
      </c>
      <c r="AW82" s="27" t="s">
        <v>115</v>
      </c>
      <c r="AX82" s="27" t="s">
        <v>549</v>
      </c>
      <c r="AY82" s="27"/>
      <c r="AZ82" s="27" t="s">
        <v>550</v>
      </c>
      <c r="BA82" s="27" t="s">
        <v>90</v>
      </c>
      <c r="BB82" s="27"/>
      <c r="BC82" s="27" t="s">
        <v>107</v>
      </c>
      <c r="BD82" s="27" t="s">
        <v>1085</v>
      </c>
      <c r="BE82" s="27" t="s">
        <v>107</v>
      </c>
      <c r="BF82" s="27" t="s">
        <v>576</v>
      </c>
      <c r="BG82" s="27" t="s">
        <v>620</v>
      </c>
      <c r="BH82" s="27" t="s">
        <v>580</v>
      </c>
      <c r="BI82" s="27"/>
      <c r="BJ82" s="27" t="s">
        <v>597</v>
      </c>
      <c r="BK82" s="27" t="s">
        <v>554</v>
      </c>
      <c r="BL82" s="27">
        <v>0</v>
      </c>
      <c r="BM82" s="27">
        <v>0.99</v>
      </c>
      <c r="BN82" s="27" t="s">
        <v>1086</v>
      </c>
      <c r="BO82" s="27">
        <v>90</v>
      </c>
      <c r="BP82" s="27" t="s">
        <v>1087</v>
      </c>
      <c r="BQ82" s="27" t="s">
        <v>963</v>
      </c>
      <c r="BR82" s="27"/>
      <c r="BS82" s="27" t="s">
        <v>1088</v>
      </c>
      <c r="BT82" s="27" t="s">
        <v>558</v>
      </c>
      <c r="BU82" s="27" t="s">
        <v>1089</v>
      </c>
      <c r="BV82" s="27" t="s">
        <v>105</v>
      </c>
      <c r="BW82" s="27">
        <v>2451594</v>
      </c>
      <c r="BX82" s="27" t="s">
        <v>802</v>
      </c>
      <c r="BY82" s="27" t="s">
        <v>223</v>
      </c>
      <c r="BZ82" s="27" t="s">
        <v>223</v>
      </c>
      <c r="CA82" s="30" t="s">
        <v>1090</v>
      </c>
    </row>
    <row r="83" spans="1:79" x14ac:dyDescent="0.25">
      <c r="A83" s="26" t="s">
        <v>577</v>
      </c>
      <c r="B83" s="27" t="s">
        <v>578</v>
      </c>
      <c r="C83" s="27" t="s">
        <v>1091</v>
      </c>
      <c r="D83" s="27">
        <v>430</v>
      </c>
      <c r="E83" s="28">
        <v>46183</v>
      </c>
      <c r="F83" s="27">
        <v>6</v>
      </c>
      <c r="G83" s="35">
        <v>46175</v>
      </c>
      <c r="H83" s="28">
        <v>46183</v>
      </c>
      <c r="I83" s="27">
        <v>6</v>
      </c>
      <c r="J83" s="27" t="s">
        <v>544</v>
      </c>
      <c r="K83" s="35">
        <v>46184</v>
      </c>
      <c r="L83" s="27">
        <v>7</v>
      </c>
      <c r="M83" s="34">
        <f>IFERROR(IF(G83=K83,0,NETWORKDAYS(G83,K83,{"01/01/2026";"02/02/2026";"16/03/2026";"02/04/2026";"03/04/2026";"01/05/2026"})),"Faltan Fechas")</f>
        <v>8</v>
      </c>
      <c r="N83" s="33" t="str">
        <f>IFERROR(IF(OR(G83="",K83=""),"SIN DATO",IF(NETWORKDAYS(G83,K83,{"01/01/2026";"02/02/2026";"16/03/2026";"02/04/2026";"03/04/2026";"01/05/2026"})&lt;=1,"1 día o menos",IF(NETWORKDAYS(G83,K83,{"01/01/2026";"02/02/2026";"16/03/2026";"02/04/2026";"03/04/2026";"01/05/2026"})&lt;=3,"2 a 3 días",IF(NETWORKDAYS(G83,K83,{"01/01/2026";"02/02/2026";"16/03/2026";"02/04/2026";"03/04/2026";"01/05/2026"})&lt;=5,"4 a 5 días",IF(NETWORKDAYS(G83,K83,{"01/01/2026";"02/02/2026";"16/03/2026";"02/04/2026";"03/04/2026";"01/05/2026"})&lt;=10,"6 a 10 días",IF(NETWORKDAYS(G83,K83,{"01/01/2026";"02/02/2026";"16/03/2026";"02/04/2026";"03/04/2026";"01/05/2026"})&lt;=16,"11 a 15 días","más de 16 días")))))),"Aun no se entrega")</f>
        <v>6 a 10 días</v>
      </c>
      <c r="O83" s="34" t="str" cm="1">
        <f t="array" ref="O83">IFERROR(
  IF(
    NETWORKDAYS(G83,K83,{"01/01/2026";"02/02/2026";"16/03/2026";"02/04/2026";"03/04/2026";"01/05/2026"}) &lt;=
    _xlfn.IFS(
      OR(TRIM(A83)="AICM", TRIM(A83)="AÉREO AICM"), 5,
      OR(TRIM(A83)="VERACRUZ", TRIM(A83)="MARÍTIMO VERACRUZ"), 6,
      OR(TRIM(A83)="AIFA", TRIM(A83)="AÉREO AIFA"), 7,
      AND(TRIM(A83)="CORRESPONSALIAS", TRIM(B83)="NUEVO LAREDO"), 6,
      TRIM(A83)="MANZANILLO", 10,
      TRIM(A83)="TOLUCA", 6,
      TRUE, 999
    ),
    "On Time",
    "Delayed"
  ),
  "Faltan fechas"
)</f>
        <v>Delayed</v>
      </c>
      <c r="P83" s="36" t="s">
        <v>544</v>
      </c>
      <c r="Q83" s="28">
        <v>46185</v>
      </c>
      <c r="R83" s="5">
        <f>IFERROR(IF(G83=Q83,0,NETWORKDAYS(G83,Q83,{"01/01/2026";"02/02/2026";"16/03/2026";"02/04/2026";"03/04/2026";"01/05/2026"})),"Faltan Fechas")</f>
        <v>9</v>
      </c>
      <c r="S83" s="4" t="str">
        <f>IFERROR(IF(OR(G83="",Q83=""),"SIN DATO",IF(NETWORKDAYS(G83,Q83,{"01/01/2026";"02/02/2026";"16/03/2026";"02/04/2026";"03/04/2026";"01/05/2026"})&lt;=1,"1 día o menos",IF(NETWORKDAYS(G83,Q83,{"01/01/2026";"02/02/2026";"16/03/2026";"02/04/2026";"03/04/2026";"01/05/2026"})&lt;=3,"2 a 3 días",IF(NETWORKDAYS(G83,Q83,{"01/01/2026";"02/02/2026";"16/03/2026";"02/04/2026";"03/04/2026";"01/05/2026"})&lt;=5,"4 a 5 días",IF(NETWORKDAYS(G83,Q83,{"01/01/2026";"02/02/2026";"16/03/2026";"02/04/2026";"03/04/2026";"01/05/2026"})&lt;=10,"6 a 10 días",IF(NETWORKDAYS(G83,Q83,{"01/01/2026";"02/02/2026";"16/03/2026";"02/04/2026";"03/04/2026";"01/05/2026"})&lt;=16,"11 a 15 días","más de 16 días")))))),"Aun no se entrega")</f>
        <v>6 a 10 días</v>
      </c>
      <c r="T83" s="4" t="str" cm="1">
        <f t="array" ref="T83">IFERROR(
  IF(
    NETWORKDAYS(G83,Q83,{"01/01/2026";"02/02/2026";"16/03/2026";"02/04/2026";"03/04/2026";"01/05/2026"}) &lt;=
    _xlfn.IFS(
      OR(TRIM(A83)="AICM", TRIM(A83)="AÉREO AICM"), 5,
      OR(TRIM(A83)="VERACRUZ", TRIM(A83)="MARÍTIMO VERACRUZ"), 6,
      OR(TRIM(A83)="AIFA", TRIM(A83)="AÉREO AIFA"), 7,
      AND(TRIM(A83)="CORRESPONSALIAS", TRIM(B83)="NUEVO LAREDO"), 6,
      TRIM(A83)="MANZANILLO", 10,
      TRIM(A83)="TOLUCA", 6,
      TRUE, 999
    ),
    "On Time",
    "Delayed"
  ),
  "Faltan fechas"
)</f>
        <v>Delayed</v>
      </c>
      <c r="U83" s="27">
        <v>8</v>
      </c>
      <c r="V83" s="27" t="s">
        <v>544</v>
      </c>
      <c r="W83" s="27">
        <v>27</v>
      </c>
      <c r="X83" s="27" t="s">
        <v>547</v>
      </c>
      <c r="Y83" s="27">
        <v>1</v>
      </c>
      <c r="Z83" s="27" t="s">
        <v>546</v>
      </c>
      <c r="AA83" s="27">
        <v>1</v>
      </c>
      <c r="AB83" s="27">
        <v>1</v>
      </c>
      <c r="AC83" s="27" t="s">
        <v>546</v>
      </c>
      <c r="AD83" s="28">
        <v>46212</v>
      </c>
      <c r="AE83" s="27">
        <v>18</v>
      </c>
      <c r="AF83" s="27">
        <v>19</v>
      </c>
      <c r="AG83" s="28">
        <v>46211</v>
      </c>
      <c r="AH83" s="28">
        <v>46212</v>
      </c>
      <c r="AI83" s="29">
        <v>1</v>
      </c>
      <c r="AJ83" s="28" t="s">
        <v>547</v>
      </c>
      <c r="AK83" s="28">
        <v>46212</v>
      </c>
      <c r="AL83" s="5">
        <f>IFERROR(IF(Q83=AK83,0,NETWORKDAYS(Q83,AK83,{"01/01/2026";"02/02/2026";"16/03/2026";"02/04/2026";"03/04/2026";"01/05/2026"})),"aun no se factura")</f>
        <v>20</v>
      </c>
      <c r="AM83" s="4" t="str">
        <f>IFERROR(IF(OR(Q83="",AK83=""),"SIN DATO",IF(NETWORKDAYS(Q83,AK83,{"01/01/2026";"02/02/2026";"16/03/2026";"02/04/2026";"03/04/2026";"01/05/2026"})&lt;=1,"1 día o menos",IF(NETWORKDAYS(Q83,AK83,{"01/01/2026";"02/02/2026";"16/03/2026";"02/04/2026";"03/04/2026";"01/05/2026"})&lt;=3,"2 a 3 días",IF(NETWORKDAYS(Q83,AK83,{"01/01/2026";"02/02/2026";"16/03/2026";"02/04/2026";"03/04/2026";"01/05/2026"})&lt;=5,"4 a 5 días",IF(NETWORKDAYS(Q83,AK83,{"01/01/2026";"02/02/2026";"16/03/2026";"02/04/2026";"03/04/2026";"01/05/2026"})&lt;=10,"6 a 10 días",IF(NETWORKDAYS(Q83,AK83,{"01/01/2026";"02/02/2026";"16/03/2026";"02/04/2026";"03/04/2026";"01/05/2026"})&lt;=16,"11 a 15 días","más de 16 días")))))),"aun no se factura")</f>
        <v>más de 16 días</v>
      </c>
      <c r="AN83" s="4" t="str" cm="1">
        <f t="array" ref="AN83">IFERROR(
  IF(
    NETWORKDAYS(Q83,AK83,{"01/01/2026";"02/02/2026";"16/03/2026";"02/04/2026";"03/04/2026";"01/05/2026"}) &lt;=
    _xlfn.IFS(
      OR(TRIM(A83)="AICM", TRIM(A83)="AÉREO AICM"), 5,
      OR(TRIM(A83)="VERACRUZ", TRIM(A83)="MARÍTIMO VERACRUZ"), 6,
      OR(TRIM(A83)="AIFA", TRIM(A83)="AÉREO AIFA"), 7,
      AND(TRIM(A83)="CORRESPONSALIAS", TRIM(B83)="NUEVO LAREDO"), 6,
      TRIM(A83)="MANZANILLO", 10,
      TRIM(A83)="TOLUCA", 6,
      TRUE, 999
    ),
    "On Time",
    "Delayed"
  ),
  "Faltan fechas"
)</f>
        <v>Delayed</v>
      </c>
      <c r="AO83" s="29">
        <v>1</v>
      </c>
      <c r="AP83" s="28" t="s">
        <v>548</v>
      </c>
      <c r="AQ83" s="27" t="s">
        <v>93</v>
      </c>
      <c r="AR83" s="27" t="s">
        <v>112</v>
      </c>
      <c r="AS83" s="27" t="s">
        <v>1092</v>
      </c>
      <c r="AT83" s="27" t="s">
        <v>223</v>
      </c>
      <c r="AU83" s="29">
        <v>6000857</v>
      </c>
      <c r="AV83" s="27" t="s">
        <v>92</v>
      </c>
      <c r="AW83" s="27" t="s">
        <v>1093</v>
      </c>
      <c r="AX83" s="27" t="s">
        <v>549</v>
      </c>
      <c r="AY83" s="27"/>
      <c r="AZ83" s="27" t="s">
        <v>550</v>
      </c>
      <c r="BA83" s="27" t="s">
        <v>90</v>
      </c>
      <c r="BB83" s="27"/>
      <c r="BC83" s="27" t="s">
        <v>107</v>
      </c>
      <c r="BD83" s="27"/>
      <c r="BE83" s="27" t="s">
        <v>107</v>
      </c>
      <c r="BF83" s="27" t="s">
        <v>576</v>
      </c>
      <c r="BG83" s="27" t="s">
        <v>620</v>
      </c>
      <c r="BH83" s="27" t="s">
        <v>580</v>
      </c>
      <c r="BI83" s="27"/>
      <c r="BJ83" s="27" t="s">
        <v>597</v>
      </c>
      <c r="BK83" s="27" t="s">
        <v>554</v>
      </c>
      <c r="BL83" s="27">
        <v>0</v>
      </c>
      <c r="BM83" s="27">
        <v>0.99</v>
      </c>
      <c r="BN83" s="27" t="s">
        <v>1094</v>
      </c>
      <c r="BO83" s="27">
        <v>90</v>
      </c>
      <c r="BP83" s="27" t="s">
        <v>1095</v>
      </c>
      <c r="BQ83" s="27" t="s">
        <v>646</v>
      </c>
      <c r="BR83" s="27"/>
      <c r="BS83" s="27" t="s">
        <v>601</v>
      </c>
      <c r="BT83" s="27" t="s">
        <v>558</v>
      </c>
      <c r="BU83" s="27" t="s">
        <v>602</v>
      </c>
      <c r="BV83" s="27" t="s">
        <v>105</v>
      </c>
      <c r="BW83" s="27">
        <v>8453362</v>
      </c>
      <c r="BX83" s="27" t="s">
        <v>802</v>
      </c>
      <c r="BY83" s="27" t="s">
        <v>223</v>
      </c>
      <c r="BZ83" s="27" t="s">
        <v>223</v>
      </c>
      <c r="CA83" s="30" t="s">
        <v>1096</v>
      </c>
    </row>
    <row r="84" spans="1:79" x14ac:dyDescent="0.25">
      <c r="A84" s="26" t="s">
        <v>577</v>
      </c>
      <c r="B84" s="27" t="s">
        <v>578</v>
      </c>
      <c r="C84" s="27" t="s">
        <v>1097</v>
      </c>
      <c r="D84" s="27">
        <v>430</v>
      </c>
      <c r="E84" s="28">
        <v>46196</v>
      </c>
      <c r="F84" s="27">
        <v>6</v>
      </c>
      <c r="G84" s="35">
        <v>46189</v>
      </c>
      <c r="H84" s="28">
        <v>46196</v>
      </c>
      <c r="I84" s="27">
        <v>5</v>
      </c>
      <c r="J84" s="27" t="s">
        <v>543</v>
      </c>
      <c r="K84" s="35">
        <v>46197</v>
      </c>
      <c r="L84" s="27">
        <v>6</v>
      </c>
      <c r="M84" s="34">
        <f>IFERROR(IF(G84=K84,0,NETWORKDAYS(G84,K84,{"01/01/2026";"02/02/2026";"16/03/2026";"02/04/2026";"03/04/2026";"01/05/2026"})),"Faltan Fechas")</f>
        <v>7</v>
      </c>
      <c r="N84" s="33" t="str">
        <f>IFERROR(IF(OR(G84="",K84=""),"SIN DATO",IF(NETWORKDAYS(G84,K84,{"01/01/2026";"02/02/2026";"16/03/2026";"02/04/2026";"03/04/2026";"01/05/2026"})&lt;=1,"1 día o menos",IF(NETWORKDAYS(G84,K84,{"01/01/2026";"02/02/2026";"16/03/2026";"02/04/2026";"03/04/2026";"01/05/2026"})&lt;=3,"2 a 3 días",IF(NETWORKDAYS(G84,K84,{"01/01/2026";"02/02/2026";"16/03/2026";"02/04/2026";"03/04/2026";"01/05/2026"})&lt;=5,"4 a 5 días",IF(NETWORKDAYS(G84,K84,{"01/01/2026";"02/02/2026";"16/03/2026";"02/04/2026";"03/04/2026";"01/05/2026"})&lt;=10,"6 a 10 días",IF(NETWORKDAYS(G84,K84,{"01/01/2026";"02/02/2026";"16/03/2026";"02/04/2026";"03/04/2026";"01/05/2026"})&lt;=16,"11 a 15 días","más de 16 días")))))),"Aun no se entrega")</f>
        <v>6 a 10 días</v>
      </c>
      <c r="O84" s="34" t="str" cm="1">
        <f t="array" ref="O84">IFERROR(
  IF(
    NETWORKDAYS(G84,K84,{"01/01/2026";"02/02/2026";"16/03/2026";"02/04/2026";"03/04/2026";"01/05/2026"}) &lt;=
    _xlfn.IFS(
      OR(TRIM(A84)="AICM", TRIM(A84)="AÉREO AICM"), 5,
      OR(TRIM(A84)="VERACRUZ", TRIM(A84)="MARÍTIMO VERACRUZ"), 6,
      OR(TRIM(A84)="AIFA", TRIM(A84)="AÉREO AIFA"), 7,
      AND(TRIM(A84)="CORRESPONSALIAS", TRIM(B84)="NUEVO LAREDO"), 6,
      TRIM(A84)="MANZANILLO", 10,
      TRIM(A84)="TOLUCA", 6,
      TRUE, 999
    ),
    "On Time",
    "Delayed"
  ),
  "Faltan fechas"
)</f>
        <v>Delayed</v>
      </c>
      <c r="P84" s="36" t="s">
        <v>544</v>
      </c>
      <c r="Q84" s="28">
        <v>46198</v>
      </c>
      <c r="R84" s="5">
        <f>IFERROR(IF(G84=Q84,0,NETWORKDAYS(G84,Q84,{"01/01/2026";"02/02/2026";"16/03/2026";"02/04/2026";"03/04/2026";"01/05/2026"})),"Faltan Fechas")</f>
        <v>8</v>
      </c>
      <c r="S84" s="4" t="str">
        <f>IFERROR(IF(OR(G84="",Q84=""),"SIN DATO",IF(NETWORKDAYS(G84,Q84,{"01/01/2026";"02/02/2026";"16/03/2026";"02/04/2026";"03/04/2026";"01/05/2026"})&lt;=1,"1 día o menos",IF(NETWORKDAYS(G84,Q84,{"01/01/2026";"02/02/2026";"16/03/2026";"02/04/2026";"03/04/2026";"01/05/2026"})&lt;=3,"2 a 3 días",IF(NETWORKDAYS(G84,Q84,{"01/01/2026";"02/02/2026";"16/03/2026";"02/04/2026";"03/04/2026";"01/05/2026"})&lt;=5,"4 a 5 días",IF(NETWORKDAYS(G84,Q84,{"01/01/2026";"02/02/2026";"16/03/2026";"02/04/2026";"03/04/2026";"01/05/2026"})&lt;=10,"6 a 10 días",IF(NETWORKDAYS(G84,Q84,{"01/01/2026";"02/02/2026";"16/03/2026";"02/04/2026";"03/04/2026";"01/05/2026"})&lt;=16,"11 a 15 días","más de 16 días")))))),"Aun no se entrega")</f>
        <v>6 a 10 días</v>
      </c>
      <c r="T84" s="4" t="str" cm="1">
        <f t="array" ref="T84">IFERROR(
  IF(
    NETWORKDAYS(G84,Q84,{"01/01/2026";"02/02/2026";"16/03/2026";"02/04/2026";"03/04/2026";"01/05/2026"}) &lt;=
    _xlfn.IFS(
      OR(TRIM(A84)="AICM", TRIM(A84)="AÉREO AICM"), 5,
      OR(TRIM(A84)="VERACRUZ", TRIM(A84)="MARÍTIMO VERACRUZ"), 6,
      OR(TRIM(A84)="AIFA", TRIM(A84)="AÉREO AIFA"), 7,
      AND(TRIM(A84)="CORRESPONSALIAS", TRIM(B84)="NUEVO LAREDO"), 6,
      TRIM(A84)="MANZANILLO", 10,
      TRIM(A84)="TOLUCA", 6,
      TRUE, 999
    ),
    "On Time",
    "Delayed"
  ),
  "Faltan fechas"
)</f>
        <v>Delayed</v>
      </c>
      <c r="U84" s="27">
        <v>7</v>
      </c>
      <c r="V84" s="27" t="s">
        <v>544</v>
      </c>
      <c r="W84" s="27">
        <v>18</v>
      </c>
      <c r="X84" s="27" t="s">
        <v>547</v>
      </c>
      <c r="Y84" s="27">
        <v>1</v>
      </c>
      <c r="Z84" s="27" t="s">
        <v>546</v>
      </c>
      <c r="AA84" s="27">
        <v>1</v>
      </c>
      <c r="AB84" s="27">
        <v>1</v>
      </c>
      <c r="AC84" s="27" t="s">
        <v>546</v>
      </c>
      <c r="AD84" s="28">
        <v>46213</v>
      </c>
      <c r="AE84" s="27">
        <v>11</v>
      </c>
      <c r="AF84" s="27">
        <v>11</v>
      </c>
      <c r="AG84" s="28">
        <v>46213</v>
      </c>
      <c r="AH84" s="28">
        <v>46213</v>
      </c>
      <c r="AI84" s="29">
        <v>0</v>
      </c>
      <c r="AJ84" s="28" t="s">
        <v>559</v>
      </c>
      <c r="AK84" s="28">
        <v>46213</v>
      </c>
      <c r="AL84" s="5">
        <f>IFERROR(IF(Q84=AK84,0,NETWORKDAYS(Q84,AK84,{"01/01/2026";"02/02/2026";"16/03/2026";"02/04/2026";"03/04/2026";"01/05/2026"})),"aun no se factura")</f>
        <v>12</v>
      </c>
      <c r="AM84" s="4" t="str">
        <f>IFERROR(IF(OR(Q84="",AK84=""),"SIN DATO",IF(NETWORKDAYS(Q84,AK84,{"01/01/2026";"02/02/2026";"16/03/2026";"02/04/2026";"03/04/2026";"01/05/2026"})&lt;=1,"1 día o menos",IF(NETWORKDAYS(Q84,AK84,{"01/01/2026";"02/02/2026";"16/03/2026";"02/04/2026";"03/04/2026";"01/05/2026"})&lt;=3,"2 a 3 días",IF(NETWORKDAYS(Q84,AK84,{"01/01/2026";"02/02/2026";"16/03/2026";"02/04/2026";"03/04/2026";"01/05/2026"})&lt;=5,"4 a 5 días",IF(NETWORKDAYS(Q84,AK84,{"01/01/2026";"02/02/2026";"16/03/2026";"02/04/2026";"03/04/2026";"01/05/2026"})&lt;=10,"6 a 10 días",IF(NETWORKDAYS(Q84,AK84,{"01/01/2026";"02/02/2026";"16/03/2026";"02/04/2026";"03/04/2026";"01/05/2026"})&lt;=16,"11 a 15 días","más de 16 días")))))),"aun no se factura")</f>
        <v>11 a 15 días</v>
      </c>
      <c r="AN84" s="4" t="str" cm="1">
        <f t="array" ref="AN84">IFERROR(
  IF(
    NETWORKDAYS(Q84,AK84,{"01/01/2026";"02/02/2026";"16/03/2026";"02/04/2026";"03/04/2026";"01/05/2026"}) &lt;=
    _xlfn.IFS(
      OR(TRIM(A84)="AICM", TRIM(A84)="AÉREO AICM"), 5,
      OR(TRIM(A84)="VERACRUZ", TRIM(A84)="MARÍTIMO VERACRUZ"), 6,
      OR(TRIM(A84)="AIFA", TRIM(A84)="AÉREO AIFA"), 7,
      AND(TRIM(A84)="CORRESPONSALIAS", TRIM(B84)="NUEVO LAREDO"), 6,
      TRIM(A84)="MANZANILLO", 10,
      TRIM(A84)="TOLUCA", 6,
      TRUE, 999
    ),
    "On Time",
    "Delayed"
  ),
  "Faltan fechas"
)</f>
        <v>Delayed</v>
      </c>
      <c r="AO84" s="29">
        <v>1</v>
      </c>
      <c r="AP84" s="28" t="s">
        <v>548</v>
      </c>
      <c r="AQ84" s="27" t="s">
        <v>93</v>
      </c>
      <c r="AR84" s="27" t="s">
        <v>112</v>
      </c>
      <c r="AS84" s="27" t="s">
        <v>1098</v>
      </c>
      <c r="AT84" s="27" t="s">
        <v>223</v>
      </c>
      <c r="AU84" s="29">
        <v>6000858</v>
      </c>
      <c r="AV84" s="27" t="s">
        <v>92</v>
      </c>
      <c r="AW84" s="27" t="s">
        <v>150</v>
      </c>
      <c r="AX84" s="27" t="s">
        <v>549</v>
      </c>
      <c r="AY84" s="27"/>
      <c r="AZ84" s="27" t="s">
        <v>550</v>
      </c>
      <c r="BA84" s="27" t="s">
        <v>90</v>
      </c>
      <c r="BB84" s="27"/>
      <c r="BC84" s="27" t="s">
        <v>107</v>
      </c>
      <c r="BD84" s="27"/>
      <c r="BE84" s="27" t="s">
        <v>107</v>
      </c>
      <c r="BF84" s="27" t="s">
        <v>576</v>
      </c>
      <c r="BG84" s="27" t="s">
        <v>552</v>
      </c>
      <c r="BH84" s="27" t="s">
        <v>607</v>
      </c>
      <c r="BI84" s="27" t="s">
        <v>1099</v>
      </c>
      <c r="BJ84" s="27"/>
      <c r="BK84" s="27" t="s">
        <v>554</v>
      </c>
      <c r="BL84" s="27">
        <v>0</v>
      </c>
      <c r="BM84" s="27">
        <v>0.99</v>
      </c>
      <c r="BN84" s="27" t="s">
        <v>1100</v>
      </c>
      <c r="BO84" s="27">
        <v>90</v>
      </c>
      <c r="BP84" s="27" t="s">
        <v>1101</v>
      </c>
      <c r="BQ84" s="27" t="s">
        <v>1102</v>
      </c>
      <c r="BR84" s="27"/>
      <c r="BS84" s="27" t="s">
        <v>558</v>
      </c>
      <c r="BT84" s="27" t="s">
        <v>558</v>
      </c>
      <c r="BU84" s="27" t="s">
        <v>105</v>
      </c>
      <c r="BV84" s="27" t="s">
        <v>105</v>
      </c>
      <c r="BW84" s="27">
        <v>21285067</v>
      </c>
      <c r="BX84" s="27" t="s">
        <v>802</v>
      </c>
      <c r="BY84" s="27" t="s">
        <v>223</v>
      </c>
      <c r="BZ84" s="27" t="s">
        <v>223</v>
      </c>
      <c r="CA84" s="30" t="s">
        <v>1103</v>
      </c>
    </row>
    <row r="85" spans="1:79" x14ac:dyDescent="0.25">
      <c r="A85" s="26" t="s">
        <v>577</v>
      </c>
      <c r="B85" s="27" t="s">
        <v>578</v>
      </c>
      <c r="C85" s="27" t="s">
        <v>1104</v>
      </c>
      <c r="D85" s="27">
        <v>430</v>
      </c>
      <c r="E85" s="28">
        <v>46176</v>
      </c>
      <c r="F85" s="27">
        <v>6</v>
      </c>
      <c r="G85" s="35">
        <v>46171</v>
      </c>
      <c r="H85" s="28">
        <v>46176</v>
      </c>
      <c r="I85" s="27">
        <v>3</v>
      </c>
      <c r="J85" s="27" t="s">
        <v>579</v>
      </c>
      <c r="K85" s="35">
        <v>46177</v>
      </c>
      <c r="L85" s="27">
        <v>4</v>
      </c>
      <c r="M85" s="34">
        <f>IFERROR(IF(G85=K85,0,NETWORKDAYS(G85,K85,{"01/01/2026";"02/02/2026";"16/03/2026";"02/04/2026";"03/04/2026";"01/05/2026"})),"Faltan Fechas")</f>
        <v>5</v>
      </c>
      <c r="N85" s="33" t="str">
        <f>IFERROR(IF(OR(G85="",K85=""),"SIN DATO",IF(NETWORKDAYS(G85,K85,{"01/01/2026";"02/02/2026";"16/03/2026";"02/04/2026";"03/04/2026";"01/05/2026"})&lt;=1,"1 día o menos",IF(NETWORKDAYS(G85,K85,{"01/01/2026";"02/02/2026";"16/03/2026";"02/04/2026";"03/04/2026";"01/05/2026"})&lt;=3,"2 a 3 días",IF(NETWORKDAYS(G85,K85,{"01/01/2026";"02/02/2026";"16/03/2026";"02/04/2026";"03/04/2026";"01/05/2026"})&lt;=5,"4 a 5 días",IF(NETWORKDAYS(G85,K85,{"01/01/2026";"02/02/2026";"16/03/2026";"02/04/2026";"03/04/2026";"01/05/2026"})&lt;=10,"6 a 10 días",IF(NETWORKDAYS(G85,K85,{"01/01/2026";"02/02/2026";"16/03/2026";"02/04/2026";"03/04/2026";"01/05/2026"})&lt;=16,"11 a 15 días","más de 16 días")))))),"Aun no se entrega")</f>
        <v>4 a 5 días</v>
      </c>
      <c r="O85" s="34" t="str" cm="1">
        <f t="array" ref="O85">IFERROR(
  IF(
    NETWORKDAYS(G85,K85,{"01/01/2026";"02/02/2026";"16/03/2026";"02/04/2026";"03/04/2026";"01/05/2026"}) &lt;=
    _xlfn.IFS(
      OR(TRIM(A85)="AICM", TRIM(A85)="AÉREO AICM"), 5,
      OR(TRIM(A85)="VERACRUZ", TRIM(A85)="MARÍTIMO VERACRUZ"), 6,
      OR(TRIM(A85)="AIFA", TRIM(A85)="AÉREO AIFA"), 7,
      AND(TRIM(A85)="CORRESPONSALIAS", TRIM(B85)="NUEVO LAREDO"), 6,
      TRIM(A85)="MANZANILLO", 10,
      TRIM(A85)="TOLUCA", 6,
      TRUE, 999
    ),
    "On Time",
    "Delayed"
  ),
  "Faltan fechas"
)</f>
        <v>On Time</v>
      </c>
      <c r="P85" s="36" t="s">
        <v>543</v>
      </c>
      <c r="Q85" s="28">
        <v>46178</v>
      </c>
      <c r="R85" s="5">
        <f>IFERROR(IF(G85=Q85,0,NETWORKDAYS(G85,Q85,{"01/01/2026";"02/02/2026";"16/03/2026";"02/04/2026";"03/04/2026";"01/05/2026"})),"Faltan Fechas")</f>
        <v>6</v>
      </c>
      <c r="S85" s="4" t="str">
        <f>IFERROR(IF(OR(G85="",Q85=""),"SIN DATO",IF(NETWORKDAYS(G85,Q85,{"01/01/2026";"02/02/2026";"16/03/2026";"02/04/2026";"03/04/2026";"01/05/2026"})&lt;=1,"1 día o menos",IF(NETWORKDAYS(G85,Q85,{"01/01/2026";"02/02/2026";"16/03/2026";"02/04/2026";"03/04/2026";"01/05/2026"})&lt;=3,"2 a 3 días",IF(NETWORKDAYS(G85,Q85,{"01/01/2026";"02/02/2026";"16/03/2026";"02/04/2026";"03/04/2026";"01/05/2026"})&lt;=5,"4 a 5 días",IF(NETWORKDAYS(G85,Q85,{"01/01/2026";"02/02/2026";"16/03/2026";"02/04/2026";"03/04/2026";"01/05/2026"})&lt;=10,"6 a 10 días",IF(NETWORKDAYS(G85,Q85,{"01/01/2026";"02/02/2026";"16/03/2026";"02/04/2026";"03/04/2026";"01/05/2026"})&lt;=16,"11 a 15 días","más de 16 días")))))),"Aun no se entrega")</f>
        <v>6 a 10 días</v>
      </c>
      <c r="T85" s="4" t="str" cm="1">
        <f t="array" ref="T85">IFERROR(
  IF(
    NETWORKDAYS(G85,Q85,{"01/01/2026";"02/02/2026";"16/03/2026";"02/04/2026";"03/04/2026";"01/05/2026"}) &lt;=
    _xlfn.IFS(
      OR(TRIM(A85)="AICM", TRIM(A85)="AÉREO AICM"), 5,
      OR(TRIM(A85)="VERACRUZ", TRIM(A85)="MARÍTIMO VERACRUZ"), 6,
      OR(TRIM(A85)="AIFA", TRIM(A85)="AÉREO AIFA"), 7,
      AND(TRIM(A85)="CORRESPONSALIAS", TRIM(B85)="NUEVO LAREDO"), 6,
      TRIM(A85)="MANZANILLO", 10,
      TRIM(A85)="TOLUCA", 6,
      TRUE, 999
    ),
    "On Time",
    "Delayed"
  ),
  "Faltan fechas"
)</f>
        <v>On Time</v>
      </c>
      <c r="U85" s="27">
        <v>5</v>
      </c>
      <c r="V85" s="27" t="s">
        <v>543</v>
      </c>
      <c r="W85" s="27">
        <v>14</v>
      </c>
      <c r="X85" s="27" t="s">
        <v>559</v>
      </c>
      <c r="Y85" s="27">
        <v>1</v>
      </c>
      <c r="Z85" s="27" t="s">
        <v>546</v>
      </c>
      <c r="AA85" s="27">
        <v>1</v>
      </c>
      <c r="AB85" s="27">
        <v>1</v>
      </c>
      <c r="AC85" s="27" t="s">
        <v>546</v>
      </c>
      <c r="AD85" s="28">
        <v>46191</v>
      </c>
      <c r="AE85" s="27">
        <v>9</v>
      </c>
      <c r="AF85" s="27">
        <v>9</v>
      </c>
      <c r="AG85" s="28">
        <v>46191</v>
      </c>
      <c r="AH85" s="28">
        <v>46191</v>
      </c>
      <c r="AI85" s="29">
        <v>0</v>
      </c>
      <c r="AJ85" s="28" t="s">
        <v>559</v>
      </c>
      <c r="AK85" s="28">
        <v>46191</v>
      </c>
      <c r="AL85" s="5">
        <f>IFERROR(IF(Q85=AK85,0,NETWORKDAYS(Q85,AK85,{"01/01/2026";"02/02/2026";"16/03/2026";"02/04/2026";"03/04/2026";"01/05/2026"})),"aun no se factura")</f>
        <v>10</v>
      </c>
      <c r="AM85" s="4" t="str">
        <f>IFERROR(IF(OR(Q85="",AK85=""),"SIN DATO",IF(NETWORKDAYS(Q85,AK85,{"01/01/2026";"02/02/2026";"16/03/2026";"02/04/2026";"03/04/2026";"01/05/2026"})&lt;=1,"1 día o menos",IF(NETWORKDAYS(Q85,AK85,{"01/01/2026";"02/02/2026";"16/03/2026";"02/04/2026";"03/04/2026";"01/05/2026"})&lt;=3,"2 a 3 días",IF(NETWORKDAYS(Q85,AK85,{"01/01/2026";"02/02/2026";"16/03/2026";"02/04/2026";"03/04/2026";"01/05/2026"})&lt;=5,"4 a 5 días",IF(NETWORKDAYS(Q85,AK85,{"01/01/2026";"02/02/2026";"16/03/2026";"02/04/2026";"03/04/2026";"01/05/2026"})&lt;=10,"6 a 10 días",IF(NETWORKDAYS(Q85,AK85,{"01/01/2026";"02/02/2026";"16/03/2026";"02/04/2026";"03/04/2026";"01/05/2026"})&lt;=16,"11 a 15 días","más de 16 días")))))),"aun no se factura")</f>
        <v>6 a 10 días</v>
      </c>
      <c r="AN85" s="4" t="str" cm="1">
        <f t="array" ref="AN85">IFERROR(
  IF(
    NETWORKDAYS(Q85,AK85,{"01/01/2026";"02/02/2026";"16/03/2026";"02/04/2026";"03/04/2026";"01/05/2026"}) &lt;=
    _xlfn.IFS(
      OR(TRIM(A85)="AICM", TRIM(A85)="AÉREO AICM"), 5,
      OR(TRIM(A85)="VERACRUZ", TRIM(A85)="MARÍTIMO VERACRUZ"), 6,
      OR(TRIM(A85)="AIFA", TRIM(A85)="AÉREO AIFA"), 7,
      AND(TRIM(A85)="CORRESPONSALIAS", TRIM(B85)="NUEVO LAREDO"), 6,
      TRIM(A85)="MANZANILLO", 10,
      TRIM(A85)="TOLUCA", 6,
      TRUE, 999
    ),
    "On Time",
    "Delayed"
  ),
  "Faltan fechas"
)</f>
        <v>Delayed</v>
      </c>
      <c r="AO85" s="29">
        <v>1</v>
      </c>
      <c r="AP85" s="28" t="s">
        <v>548</v>
      </c>
      <c r="AQ85" s="27" t="s">
        <v>93</v>
      </c>
      <c r="AR85" s="27" t="s">
        <v>112</v>
      </c>
      <c r="AS85" s="27">
        <v>270218505</v>
      </c>
      <c r="AT85" s="27" t="s">
        <v>223</v>
      </c>
      <c r="AU85" s="29">
        <v>6000859</v>
      </c>
      <c r="AV85" s="27" t="s">
        <v>92</v>
      </c>
      <c r="AW85" s="27" t="s">
        <v>1105</v>
      </c>
      <c r="AX85" s="27" t="s">
        <v>549</v>
      </c>
      <c r="AY85" s="27"/>
      <c r="AZ85" s="27" t="s">
        <v>550</v>
      </c>
      <c r="BA85" s="27" t="s">
        <v>90</v>
      </c>
      <c r="BB85" s="27"/>
      <c r="BC85" s="27" t="s">
        <v>117</v>
      </c>
      <c r="BD85" s="27"/>
      <c r="BE85" s="27" t="s">
        <v>117</v>
      </c>
      <c r="BF85" s="27" t="s">
        <v>576</v>
      </c>
      <c r="BG85" s="27" t="s">
        <v>552</v>
      </c>
      <c r="BH85" s="27" t="s">
        <v>607</v>
      </c>
      <c r="BI85" s="27" t="s">
        <v>1106</v>
      </c>
      <c r="BJ85" s="27"/>
      <c r="BK85" s="27" t="s">
        <v>554</v>
      </c>
      <c r="BL85" s="27">
        <v>0</v>
      </c>
      <c r="BM85" s="27">
        <v>99</v>
      </c>
      <c r="BN85" s="27" t="s">
        <v>1107</v>
      </c>
      <c r="BO85" s="27">
        <v>90</v>
      </c>
      <c r="BP85" s="27" t="s">
        <v>1108</v>
      </c>
      <c r="BQ85" s="27" t="s">
        <v>563</v>
      </c>
      <c r="BR85" s="27"/>
      <c r="BS85" s="27" t="s">
        <v>619</v>
      </c>
      <c r="BT85" s="27" t="s">
        <v>558</v>
      </c>
      <c r="BU85" s="27" t="s">
        <v>189</v>
      </c>
      <c r="BV85" s="27" t="s">
        <v>105</v>
      </c>
      <c r="BW85" s="27">
        <v>1177556</v>
      </c>
      <c r="BX85" s="27" t="s">
        <v>1109</v>
      </c>
      <c r="BY85" s="27" t="s">
        <v>223</v>
      </c>
      <c r="BZ85" s="27" t="s">
        <v>1110</v>
      </c>
      <c r="CA85" s="30" t="s">
        <v>1111</v>
      </c>
    </row>
    <row r="86" spans="1:79" x14ac:dyDescent="0.25">
      <c r="A86" s="26" t="s">
        <v>577</v>
      </c>
      <c r="B86" s="27" t="s">
        <v>578</v>
      </c>
      <c r="C86" s="27" t="s">
        <v>1112</v>
      </c>
      <c r="D86" s="27">
        <v>430</v>
      </c>
      <c r="E86" s="28">
        <v>46185</v>
      </c>
      <c r="F86" s="27">
        <v>6</v>
      </c>
      <c r="G86" s="35">
        <v>46182</v>
      </c>
      <c r="H86" s="28">
        <v>46185</v>
      </c>
      <c r="I86" s="27">
        <v>3</v>
      </c>
      <c r="J86" s="27" t="s">
        <v>579</v>
      </c>
      <c r="K86" s="35">
        <v>46186</v>
      </c>
      <c r="L86" s="27">
        <v>3</v>
      </c>
      <c r="M86" s="34">
        <f>IFERROR(IF(G86=K86,0,NETWORKDAYS(G86,K86,{"01/01/2026";"02/02/2026";"16/03/2026";"02/04/2026";"03/04/2026";"01/05/2026"})),"Faltan Fechas")</f>
        <v>4</v>
      </c>
      <c r="N86" s="33" t="str">
        <f>IFERROR(IF(OR(G86="",K86=""),"SIN DATO",IF(NETWORKDAYS(G86,K86,{"01/01/2026";"02/02/2026";"16/03/2026";"02/04/2026";"03/04/2026";"01/05/2026"})&lt;=1,"1 día o menos",IF(NETWORKDAYS(G86,K86,{"01/01/2026";"02/02/2026";"16/03/2026";"02/04/2026";"03/04/2026";"01/05/2026"})&lt;=3,"2 a 3 días",IF(NETWORKDAYS(G86,K86,{"01/01/2026";"02/02/2026";"16/03/2026";"02/04/2026";"03/04/2026";"01/05/2026"})&lt;=5,"4 a 5 días",IF(NETWORKDAYS(G86,K86,{"01/01/2026";"02/02/2026";"16/03/2026";"02/04/2026";"03/04/2026";"01/05/2026"})&lt;=10,"6 a 10 días",IF(NETWORKDAYS(G86,K86,{"01/01/2026";"02/02/2026";"16/03/2026";"02/04/2026";"03/04/2026";"01/05/2026"})&lt;=16,"11 a 15 días","más de 16 días")))))),"Aun no se entrega")</f>
        <v>4 a 5 días</v>
      </c>
      <c r="O86" s="34" t="str" cm="1">
        <f t="array" ref="O86">IFERROR(
  IF(
    NETWORKDAYS(G86,K86,{"01/01/2026";"02/02/2026";"16/03/2026";"02/04/2026";"03/04/2026";"01/05/2026"}) &lt;=
    _xlfn.IFS(
      OR(TRIM(A86)="AICM", TRIM(A86)="AÉREO AICM"), 5,
      OR(TRIM(A86)="VERACRUZ", TRIM(A86)="MARÍTIMO VERACRUZ"), 6,
      OR(TRIM(A86)="AIFA", TRIM(A86)="AÉREO AIFA"), 7,
      AND(TRIM(A86)="CORRESPONSALIAS", TRIM(B86)="NUEVO LAREDO"), 6,
      TRIM(A86)="MANZANILLO", 10,
      TRIM(A86)="TOLUCA", 6,
      TRUE, 999
    ),
    "On Time",
    "Delayed"
  ),
  "Faltan fechas"
)</f>
        <v>On Time</v>
      </c>
      <c r="P86" s="36" t="s">
        <v>579</v>
      </c>
      <c r="Q86" s="28">
        <v>46188</v>
      </c>
      <c r="R86" s="5">
        <f>IFERROR(IF(G86=Q86,0,NETWORKDAYS(G86,Q86,{"01/01/2026";"02/02/2026";"16/03/2026";"02/04/2026";"03/04/2026";"01/05/2026"})),"Faltan Fechas")</f>
        <v>5</v>
      </c>
      <c r="S86" s="4" t="str">
        <f>IFERROR(IF(OR(G86="",Q86=""),"SIN DATO",IF(NETWORKDAYS(G86,Q86,{"01/01/2026";"02/02/2026";"16/03/2026";"02/04/2026";"03/04/2026";"01/05/2026"})&lt;=1,"1 día o menos",IF(NETWORKDAYS(G86,Q86,{"01/01/2026";"02/02/2026";"16/03/2026";"02/04/2026";"03/04/2026";"01/05/2026"})&lt;=3,"2 a 3 días",IF(NETWORKDAYS(G86,Q86,{"01/01/2026";"02/02/2026";"16/03/2026";"02/04/2026";"03/04/2026";"01/05/2026"})&lt;=5,"4 a 5 días",IF(NETWORKDAYS(G86,Q86,{"01/01/2026";"02/02/2026";"16/03/2026";"02/04/2026";"03/04/2026";"01/05/2026"})&lt;=10,"6 a 10 días",IF(NETWORKDAYS(G86,Q86,{"01/01/2026";"02/02/2026";"16/03/2026";"02/04/2026";"03/04/2026";"01/05/2026"})&lt;=16,"11 a 15 días","más de 16 días")))))),"Aun no se entrega")</f>
        <v>4 a 5 días</v>
      </c>
      <c r="T86" s="4" t="str" cm="1">
        <f t="array" ref="T86">IFERROR(
  IF(
    NETWORKDAYS(G86,Q86,{"01/01/2026";"02/02/2026";"16/03/2026";"02/04/2026";"03/04/2026";"01/05/2026"}) &lt;=
    _xlfn.IFS(
      OR(TRIM(A86)="AICM", TRIM(A86)="AÉREO AICM"), 5,
      OR(TRIM(A86)="VERACRUZ", TRIM(A86)="MARÍTIMO VERACRUZ"), 6,
      OR(TRIM(A86)="AIFA", TRIM(A86)="AÉREO AIFA"), 7,
      AND(TRIM(A86)="CORRESPONSALIAS", TRIM(B86)="NUEVO LAREDO"), 6,
      TRIM(A86)="MANZANILLO", 10,
      TRIM(A86)="TOLUCA", 6,
      TRUE, 999
    ),
    "On Time",
    "Delayed"
  ),
  "Faltan fechas"
)</f>
        <v>On Time</v>
      </c>
      <c r="U86" s="27">
        <v>4</v>
      </c>
      <c r="V86" s="27" t="s">
        <v>543</v>
      </c>
      <c r="W86" s="27">
        <v>16</v>
      </c>
      <c r="X86" s="27" t="s">
        <v>547</v>
      </c>
      <c r="Y86" s="27">
        <v>1</v>
      </c>
      <c r="Z86" s="27" t="s">
        <v>546</v>
      </c>
      <c r="AA86" s="27">
        <v>1</v>
      </c>
      <c r="AB86" s="27">
        <v>2</v>
      </c>
      <c r="AC86" s="27" t="s">
        <v>579</v>
      </c>
      <c r="AD86" s="28">
        <v>46204</v>
      </c>
      <c r="AE86" s="27">
        <v>12</v>
      </c>
      <c r="AF86" s="27">
        <v>12</v>
      </c>
      <c r="AG86" s="28">
        <v>46204</v>
      </c>
      <c r="AH86" s="28">
        <v>46204</v>
      </c>
      <c r="AI86" s="29">
        <v>0</v>
      </c>
      <c r="AJ86" s="28" t="s">
        <v>547</v>
      </c>
      <c r="AK86" s="28">
        <v>46204</v>
      </c>
      <c r="AL86" s="5">
        <f>IFERROR(IF(Q86=AK86,0,NETWORKDAYS(Q86,AK86,{"01/01/2026";"02/02/2026";"16/03/2026";"02/04/2026";"03/04/2026";"01/05/2026"})),"aun no se factura")</f>
        <v>13</v>
      </c>
      <c r="AM86" s="4" t="str">
        <f>IFERROR(IF(OR(Q86="",AK86=""),"SIN DATO",IF(NETWORKDAYS(Q86,AK86,{"01/01/2026";"02/02/2026";"16/03/2026";"02/04/2026";"03/04/2026";"01/05/2026"})&lt;=1,"1 día o menos",IF(NETWORKDAYS(Q86,AK86,{"01/01/2026";"02/02/2026";"16/03/2026";"02/04/2026";"03/04/2026";"01/05/2026"})&lt;=3,"2 a 3 días",IF(NETWORKDAYS(Q86,AK86,{"01/01/2026";"02/02/2026";"16/03/2026";"02/04/2026";"03/04/2026";"01/05/2026"})&lt;=5,"4 a 5 días",IF(NETWORKDAYS(Q86,AK86,{"01/01/2026";"02/02/2026";"16/03/2026";"02/04/2026";"03/04/2026";"01/05/2026"})&lt;=10,"6 a 10 días",IF(NETWORKDAYS(Q86,AK86,{"01/01/2026";"02/02/2026";"16/03/2026";"02/04/2026";"03/04/2026";"01/05/2026"})&lt;=16,"11 a 15 días","más de 16 días")))))),"aun no se factura")</f>
        <v>11 a 15 días</v>
      </c>
      <c r="AN86" s="4" t="str" cm="1">
        <f t="array" ref="AN86">IFERROR(
  IF(
    NETWORKDAYS(Q86,AK86,{"01/01/2026";"02/02/2026";"16/03/2026";"02/04/2026";"03/04/2026";"01/05/2026"}) &lt;=
    _xlfn.IFS(
      OR(TRIM(A86)="AICM", TRIM(A86)="AÉREO AICM"), 5,
      OR(TRIM(A86)="VERACRUZ", TRIM(A86)="MARÍTIMO VERACRUZ"), 6,
      OR(TRIM(A86)="AIFA", TRIM(A86)="AÉREO AIFA"), 7,
      AND(TRIM(A86)="CORRESPONSALIAS", TRIM(B86)="NUEVO LAREDO"), 6,
      TRIM(A86)="MANZANILLO", 10,
      TRIM(A86)="TOLUCA", 6,
      TRUE, 999
    ),
    "On Time",
    "Delayed"
  ),
  "Faltan fechas"
)</f>
        <v>Delayed</v>
      </c>
      <c r="AO86" s="29">
        <v>1</v>
      </c>
      <c r="AP86" s="28" t="s">
        <v>548</v>
      </c>
      <c r="AQ86" s="27" t="s">
        <v>93</v>
      </c>
      <c r="AR86" s="27" t="s">
        <v>112</v>
      </c>
      <c r="AS86" s="27" t="s">
        <v>1113</v>
      </c>
      <c r="AT86" s="27" t="s">
        <v>223</v>
      </c>
      <c r="AU86" s="29">
        <v>6000860</v>
      </c>
      <c r="AV86" s="27" t="s">
        <v>92</v>
      </c>
      <c r="AW86" s="27" t="s">
        <v>256</v>
      </c>
      <c r="AX86" s="27" t="s">
        <v>549</v>
      </c>
      <c r="AY86" s="27"/>
      <c r="AZ86" s="27" t="s">
        <v>550</v>
      </c>
      <c r="BA86" s="27" t="s">
        <v>90</v>
      </c>
      <c r="BB86" s="27"/>
      <c r="BC86" s="27" t="s">
        <v>117</v>
      </c>
      <c r="BD86" s="27"/>
      <c r="BE86" s="27" t="s">
        <v>117</v>
      </c>
      <c r="BF86" s="27" t="s">
        <v>576</v>
      </c>
      <c r="BG86" s="27" t="s">
        <v>552</v>
      </c>
      <c r="BH86" s="27" t="s">
        <v>607</v>
      </c>
      <c r="BI86" s="27" t="s">
        <v>1114</v>
      </c>
      <c r="BJ86" s="27"/>
      <c r="BK86" s="27" t="s">
        <v>554</v>
      </c>
      <c r="BL86" s="27">
        <v>0</v>
      </c>
      <c r="BM86" s="27">
        <v>99</v>
      </c>
      <c r="BN86" s="27" t="s">
        <v>1115</v>
      </c>
      <c r="BO86" s="27">
        <v>90</v>
      </c>
      <c r="BP86" s="27" t="s">
        <v>1116</v>
      </c>
      <c r="BQ86" s="27" t="s">
        <v>563</v>
      </c>
      <c r="BR86" s="27"/>
      <c r="BS86" s="27" t="s">
        <v>613</v>
      </c>
      <c r="BT86" s="27" t="s">
        <v>558</v>
      </c>
      <c r="BU86" s="27" t="s">
        <v>133</v>
      </c>
      <c r="BV86" s="27" t="s">
        <v>105</v>
      </c>
      <c r="BW86" s="27">
        <v>3779623</v>
      </c>
      <c r="BX86" s="27" t="s">
        <v>1117</v>
      </c>
      <c r="BY86" s="27" t="s">
        <v>223</v>
      </c>
      <c r="BZ86" s="27" t="s">
        <v>1118</v>
      </c>
      <c r="CA86" s="30" t="s">
        <v>1119</v>
      </c>
    </row>
    <row r="87" spans="1:79" x14ac:dyDescent="0.25">
      <c r="A87" s="26" t="s">
        <v>577</v>
      </c>
      <c r="B87" s="27" t="s">
        <v>578</v>
      </c>
      <c r="C87" s="27" t="s">
        <v>1131</v>
      </c>
      <c r="D87" s="27">
        <v>430</v>
      </c>
      <c r="E87" s="28">
        <v>46179</v>
      </c>
      <c r="F87" s="27">
        <v>6</v>
      </c>
      <c r="G87" s="35">
        <v>46174</v>
      </c>
      <c r="H87" s="28">
        <v>46179</v>
      </c>
      <c r="I87" s="27">
        <v>4</v>
      </c>
      <c r="J87" s="27" t="s">
        <v>543</v>
      </c>
      <c r="K87" s="35">
        <v>46181</v>
      </c>
      <c r="L87" s="27">
        <v>5</v>
      </c>
      <c r="M87" s="34">
        <f>IFERROR(IF(G87=K87,0,NETWORKDAYS(G87,K87,{"01/01/2026";"02/02/2026";"16/03/2026";"02/04/2026";"03/04/2026";"01/05/2026"})),"Faltan Fechas")</f>
        <v>6</v>
      </c>
      <c r="N87" s="33" t="str">
        <f>IFERROR(IF(OR(G87="",K87=""),"SIN DATO",IF(NETWORKDAYS(G87,K87,{"01/01/2026";"02/02/2026";"16/03/2026";"02/04/2026";"03/04/2026";"01/05/2026"})&lt;=1,"1 día o menos",IF(NETWORKDAYS(G87,K87,{"01/01/2026";"02/02/2026";"16/03/2026";"02/04/2026";"03/04/2026";"01/05/2026"})&lt;=3,"2 a 3 días",IF(NETWORKDAYS(G87,K87,{"01/01/2026";"02/02/2026";"16/03/2026";"02/04/2026";"03/04/2026";"01/05/2026"})&lt;=5,"4 a 5 días",IF(NETWORKDAYS(G87,K87,{"01/01/2026";"02/02/2026";"16/03/2026";"02/04/2026";"03/04/2026";"01/05/2026"})&lt;=10,"6 a 10 días",IF(NETWORKDAYS(G87,K87,{"01/01/2026";"02/02/2026";"16/03/2026";"02/04/2026";"03/04/2026";"01/05/2026"})&lt;=16,"11 a 15 días","más de 16 días")))))),"Aun no se entrega")</f>
        <v>6 a 10 días</v>
      </c>
      <c r="O87" s="34" t="str" cm="1">
        <f t="array" ref="O87">IFERROR(
  IF(
    NETWORKDAYS(G87,K87,{"01/01/2026";"02/02/2026";"16/03/2026";"02/04/2026";"03/04/2026";"01/05/2026"}) &lt;=
    _xlfn.IFS(
      OR(TRIM(A87)="AICM", TRIM(A87)="AÉREO AICM"), 5,
      OR(TRIM(A87)="VERACRUZ", TRIM(A87)="MARÍTIMO VERACRUZ"), 6,
      OR(TRIM(A87)="AIFA", TRIM(A87)="AÉREO AIFA"), 7,
      AND(TRIM(A87)="CORRESPONSALIAS", TRIM(B87)="NUEVO LAREDO"), 6,
      TRIM(A87)="MANZANILLO", 10,
      TRIM(A87)="TOLUCA", 6,
      TRUE, 999
    ),
    "On Time",
    "Delayed"
  ),
  "Faltan fechas"
)</f>
        <v>On Time</v>
      </c>
      <c r="P87" s="36" t="s">
        <v>543</v>
      </c>
      <c r="Q87" s="28">
        <v>46182</v>
      </c>
      <c r="R87" s="5">
        <f>IFERROR(IF(G87=Q87,0,NETWORKDAYS(G87,Q87,{"01/01/2026";"02/02/2026";"16/03/2026";"02/04/2026";"03/04/2026";"01/05/2026"})),"Faltan Fechas")</f>
        <v>7</v>
      </c>
      <c r="S87" s="4" t="str">
        <f>IFERROR(IF(OR(G87="",Q87=""),"SIN DATO",IF(NETWORKDAYS(G87,Q87,{"01/01/2026";"02/02/2026";"16/03/2026";"02/04/2026";"03/04/2026";"01/05/2026"})&lt;=1,"1 día o menos",IF(NETWORKDAYS(G87,Q87,{"01/01/2026";"02/02/2026";"16/03/2026";"02/04/2026";"03/04/2026";"01/05/2026"})&lt;=3,"2 a 3 días",IF(NETWORKDAYS(G87,Q87,{"01/01/2026";"02/02/2026";"16/03/2026";"02/04/2026";"03/04/2026";"01/05/2026"})&lt;=5,"4 a 5 días",IF(NETWORKDAYS(G87,Q87,{"01/01/2026";"02/02/2026";"16/03/2026";"02/04/2026";"03/04/2026";"01/05/2026"})&lt;=10,"6 a 10 días",IF(NETWORKDAYS(G87,Q87,{"01/01/2026";"02/02/2026";"16/03/2026";"02/04/2026";"03/04/2026";"01/05/2026"})&lt;=16,"11 a 15 días","más de 16 días")))))),"Aun no se entrega")</f>
        <v>6 a 10 días</v>
      </c>
      <c r="T87" s="4" t="str" cm="1">
        <f t="array" ref="T87">IFERROR(
  IF(
    NETWORKDAYS(G87,Q87,{"01/01/2026";"02/02/2026";"16/03/2026";"02/04/2026";"03/04/2026";"01/05/2026"}) &lt;=
    _xlfn.IFS(
      OR(TRIM(A87)="AICM", TRIM(A87)="AÉREO AICM"), 5,
      OR(TRIM(A87)="VERACRUZ", TRIM(A87)="MARÍTIMO VERACRUZ"), 6,
      OR(TRIM(A87)="AIFA", TRIM(A87)="AÉREO AIFA"), 7,
      AND(TRIM(A87)="CORRESPONSALIAS", TRIM(B87)="NUEVO LAREDO"), 6,
      TRIM(A87)="MANZANILLO", 10,
      TRIM(A87)="TOLUCA", 6,
      TRUE, 999
    ),
    "On Time",
    "Delayed"
  ),
  "Faltan fechas"
)</f>
        <v>Delayed</v>
      </c>
      <c r="U87" s="27">
        <v>6</v>
      </c>
      <c r="V87" s="27" t="s">
        <v>544</v>
      </c>
      <c r="W87" s="27">
        <v>21</v>
      </c>
      <c r="X87" s="27" t="s">
        <v>547</v>
      </c>
      <c r="Y87" s="27">
        <v>0</v>
      </c>
      <c r="Z87" s="27" t="s">
        <v>546</v>
      </c>
      <c r="AA87" s="27">
        <v>0</v>
      </c>
      <c r="AB87" s="27">
        <v>1</v>
      </c>
      <c r="AC87" s="27" t="s">
        <v>546</v>
      </c>
      <c r="AD87" s="28">
        <v>46203</v>
      </c>
      <c r="AE87" s="27">
        <v>14</v>
      </c>
      <c r="AF87" s="27">
        <v>15</v>
      </c>
      <c r="AG87" s="28">
        <v>46202</v>
      </c>
      <c r="AH87" s="28">
        <v>46203</v>
      </c>
      <c r="AI87" s="29">
        <v>1</v>
      </c>
      <c r="AJ87" s="28" t="s">
        <v>547</v>
      </c>
      <c r="AK87" s="28">
        <v>46203</v>
      </c>
      <c r="AL87" s="5">
        <f>IFERROR(IF(Q87=AK87,0,NETWORKDAYS(Q87,AK87,{"01/01/2026";"02/02/2026";"16/03/2026";"02/04/2026";"03/04/2026";"01/05/2026"})),"aun no se factura")</f>
        <v>16</v>
      </c>
      <c r="AM87" s="4" t="str">
        <f>IFERROR(IF(OR(Q87="",AK87=""),"SIN DATO",IF(NETWORKDAYS(Q87,AK87,{"01/01/2026";"02/02/2026";"16/03/2026";"02/04/2026";"03/04/2026";"01/05/2026"})&lt;=1,"1 día o menos",IF(NETWORKDAYS(Q87,AK87,{"01/01/2026";"02/02/2026";"16/03/2026";"02/04/2026";"03/04/2026";"01/05/2026"})&lt;=3,"2 a 3 días",IF(NETWORKDAYS(Q87,AK87,{"01/01/2026";"02/02/2026";"16/03/2026";"02/04/2026";"03/04/2026";"01/05/2026"})&lt;=5,"4 a 5 días",IF(NETWORKDAYS(Q87,AK87,{"01/01/2026";"02/02/2026";"16/03/2026";"02/04/2026";"03/04/2026";"01/05/2026"})&lt;=10,"6 a 10 días",IF(NETWORKDAYS(Q87,AK87,{"01/01/2026";"02/02/2026";"16/03/2026";"02/04/2026";"03/04/2026";"01/05/2026"})&lt;=16,"11 a 15 días","más de 16 días")))))),"aun no se factura")</f>
        <v>11 a 15 días</v>
      </c>
      <c r="AN87" s="4" t="str" cm="1">
        <f t="array" ref="AN87">IFERROR(
  IF(
    NETWORKDAYS(Q87,AK87,{"01/01/2026";"02/02/2026";"16/03/2026";"02/04/2026";"03/04/2026";"01/05/2026"}) &lt;=
    _xlfn.IFS(
      OR(TRIM(A87)="AICM", TRIM(A87)="AÉREO AICM"), 5,
      OR(TRIM(A87)="VERACRUZ", TRIM(A87)="MARÍTIMO VERACRUZ"), 6,
      OR(TRIM(A87)="AIFA", TRIM(A87)="AÉREO AIFA"), 7,
      AND(TRIM(A87)="CORRESPONSALIAS", TRIM(B87)="NUEVO LAREDO"), 6,
      TRIM(A87)="MANZANILLO", 10,
      TRIM(A87)="TOLUCA", 6,
      TRUE, 999
    ),
    "On Time",
    "Delayed"
  ),
  "Faltan fechas"
)</f>
        <v>Delayed</v>
      </c>
      <c r="AO87" s="29">
        <v>1</v>
      </c>
      <c r="AP87" s="28" t="s">
        <v>548</v>
      </c>
      <c r="AQ87" s="27" t="s">
        <v>93</v>
      </c>
      <c r="AR87" s="27" t="s">
        <v>112</v>
      </c>
      <c r="AS87" s="27" t="s">
        <v>1132</v>
      </c>
      <c r="AT87" s="27" t="s">
        <v>223</v>
      </c>
      <c r="AU87" s="29">
        <v>6000862</v>
      </c>
      <c r="AV87" s="27" t="s">
        <v>92</v>
      </c>
      <c r="AW87" s="27" t="s">
        <v>392</v>
      </c>
      <c r="AX87" s="27" t="s">
        <v>549</v>
      </c>
      <c r="AY87" s="27"/>
      <c r="AZ87" s="27" t="s">
        <v>550</v>
      </c>
      <c r="BA87" s="27" t="s">
        <v>90</v>
      </c>
      <c r="BB87" s="27"/>
      <c r="BC87" s="27" t="s">
        <v>117</v>
      </c>
      <c r="BD87" s="27"/>
      <c r="BE87" s="27" t="s">
        <v>117</v>
      </c>
      <c r="BF87" s="27" t="s">
        <v>576</v>
      </c>
      <c r="BG87" s="27" t="s">
        <v>552</v>
      </c>
      <c r="BH87" s="27" t="s">
        <v>580</v>
      </c>
      <c r="BI87" s="27"/>
      <c r="BJ87" s="27" t="s">
        <v>603</v>
      </c>
      <c r="BK87" s="27" t="s">
        <v>554</v>
      </c>
      <c r="BL87" s="27">
        <v>0</v>
      </c>
      <c r="BM87" s="27">
        <v>0</v>
      </c>
      <c r="BN87" s="27" t="s">
        <v>1133</v>
      </c>
      <c r="BO87" s="27">
        <v>90</v>
      </c>
      <c r="BP87" s="27" t="s">
        <v>932</v>
      </c>
      <c r="BQ87" s="27" t="s">
        <v>563</v>
      </c>
      <c r="BR87" s="27"/>
      <c r="BS87" s="27" t="s">
        <v>685</v>
      </c>
      <c r="BT87" s="27" t="s">
        <v>685</v>
      </c>
      <c r="BU87" s="27" t="s">
        <v>396</v>
      </c>
      <c r="BV87" s="27" t="s">
        <v>396</v>
      </c>
      <c r="BW87" s="27">
        <v>23570825</v>
      </c>
      <c r="BX87" s="27" t="s">
        <v>223</v>
      </c>
      <c r="BY87" s="27" t="s">
        <v>223</v>
      </c>
      <c r="BZ87" s="27" t="s">
        <v>223</v>
      </c>
      <c r="CA87" s="30" t="s">
        <v>1134</v>
      </c>
    </row>
    <row r="88" spans="1:79" x14ac:dyDescent="0.25">
      <c r="A88" s="26" t="s">
        <v>577</v>
      </c>
      <c r="B88" s="27" t="s">
        <v>578</v>
      </c>
      <c r="C88" s="27" t="s">
        <v>1135</v>
      </c>
      <c r="D88" s="27">
        <v>430</v>
      </c>
      <c r="E88" s="28">
        <v>46185</v>
      </c>
      <c r="F88" s="27">
        <v>6</v>
      </c>
      <c r="G88" s="35">
        <v>46182</v>
      </c>
      <c r="H88" s="28">
        <v>46185</v>
      </c>
      <c r="I88" s="27">
        <v>3</v>
      </c>
      <c r="J88" s="27" t="s">
        <v>579</v>
      </c>
      <c r="K88" s="35">
        <v>46186</v>
      </c>
      <c r="L88" s="27">
        <v>3</v>
      </c>
      <c r="M88" s="34">
        <f>IFERROR(IF(G88=K88,0,NETWORKDAYS(G88,K88,{"01/01/2026";"02/02/2026";"16/03/2026";"02/04/2026";"03/04/2026";"01/05/2026"})),"Faltan Fechas")</f>
        <v>4</v>
      </c>
      <c r="N88" s="33" t="str">
        <f>IFERROR(IF(OR(G88="",K88=""),"SIN DATO",IF(NETWORKDAYS(G88,K88,{"01/01/2026";"02/02/2026";"16/03/2026";"02/04/2026";"03/04/2026";"01/05/2026"})&lt;=1,"1 día o menos",IF(NETWORKDAYS(G88,K88,{"01/01/2026";"02/02/2026";"16/03/2026";"02/04/2026";"03/04/2026";"01/05/2026"})&lt;=3,"2 a 3 días",IF(NETWORKDAYS(G88,K88,{"01/01/2026";"02/02/2026";"16/03/2026";"02/04/2026";"03/04/2026";"01/05/2026"})&lt;=5,"4 a 5 días",IF(NETWORKDAYS(G88,K88,{"01/01/2026";"02/02/2026";"16/03/2026";"02/04/2026";"03/04/2026";"01/05/2026"})&lt;=10,"6 a 10 días",IF(NETWORKDAYS(G88,K88,{"01/01/2026";"02/02/2026";"16/03/2026";"02/04/2026";"03/04/2026";"01/05/2026"})&lt;=16,"11 a 15 días","más de 16 días")))))),"Aun no se entrega")</f>
        <v>4 a 5 días</v>
      </c>
      <c r="O88" s="34" t="str" cm="1">
        <f t="array" ref="O88">IFERROR(
  IF(
    NETWORKDAYS(G88,K88,{"01/01/2026";"02/02/2026";"16/03/2026";"02/04/2026";"03/04/2026";"01/05/2026"}) &lt;=
    _xlfn.IFS(
      OR(TRIM(A88)="AICM", TRIM(A88)="AÉREO AICM"), 5,
      OR(TRIM(A88)="VERACRUZ", TRIM(A88)="MARÍTIMO VERACRUZ"), 6,
      OR(TRIM(A88)="AIFA", TRIM(A88)="AÉREO AIFA"), 7,
      AND(TRIM(A88)="CORRESPONSALIAS", TRIM(B88)="NUEVO LAREDO"), 6,
      TRIM(A88)="MANZANILLO", 10,
      TRIM(A88)="TOLUCA", 6,
      TRUE, 999
    ),
    "On Time",
    "Delayed"
  ),
  "Faltan fechas"
)</f>
        <v>On Time</v>
      </c>
      <c r="P88" s="36" t="s">
        <v>579</v>
      </c>
      <c r="Q88" s="28">
        <v>46188</v>
      </c>
      <c r="R88" s="5">
        <f>IFERROR(IF(G88=Q88,0,NETWORKDAYS(G88,Q88,{"01/01/2026";"02/02/2026";"16/03/2026";"02/04/2026";"03/04/2026";"01/05/2026"})),"Faltan Fechas")</f>
        <v>5</v>
      </c>
      <c r="S88" s="4" t="str">
        <f>IFERROR(IF(OR(G88="",Q88=""),"SIN DATO",IF(NETWORKDAYS(G88,Q88,{"01/01/2026";"02/02/2026";"16/03/2026";"02/04/2026";"03/04/2026";"01/05/2026"})&lt;=1,"1 día o menos",IF(NETWORKDAYS(G88,Q88,{"01/01/2026";"02/02/2026";"16/03/2026";"02/04/2026";"03/04/2026";"01/05/2026"})&lt;=3,"2 a 3 días",IF(NETWORKDAYS(G88,Q88,{"01/01/2026";"02/02/2026";"16/03/2026";"02/04/2026";"03/04/2026";"01/05/2026"})&lt;=5,"4 a 5 días",IF(NETWORKDAYS(G88,Q88,{"01/01/2026";"02/02/2026";"16/03/2026";"02/04/2026";"03/04/2026";"01/05/2026"})&lt;=10,"6 a 10 días",IF(NETWORKDAYS(G88,Q88,{"01/01/2026";"02/02/2026";"16/03/2026";"02/04/2026";"03/04/2026";"01/05/2026"})&lt;=16,"11 a 15 días","más de 16 días")))))),"Aun no se entrega")</f>
        <v>4 a 5 días</v>
      </c>
      <c r="T88" s="4" t="str" cm="1">
        <f t="array" ref="T88">IFERROR(
  IF(
    NETWORKDAYS(G88,Q88,{"01/01/2026";"02/02/2026";"16/03/2026";"02/04/2026";"03/04/2026";"01/05/2026"}) &lt;=
    _xlfn.IFS(
      OR(TRIM(A88)="AICM", TRIM(A88)="AÉREO AICM"), 5,
      OR(TRIM(A88)="VERACRUZ", TRIM(A88)="MARÍTIMO VERACRUZ"), 6,
      OR(TRIM(A88)="AIFA", TRIM(A88)="AÉREO AIFA"), 7,
      AND(TRIM(A88)="CORRESPONSALIAS", TRIM(B88)="NUEVO LAREDO"), 6,
      TRIM(A88)="MANZANILLO", 10,
      TRIM(A88)="TOLUCA", 6,
      TRUE, 999
    ),
    "On Time",
    "Delayed"
  ),
  "Faltan fechas"
)</f>
        <v>On Time</v>
      </c>
      <c r="U88" s="27">
        <v>4</v>
      </c>
      <c r="V88" s="27" t="s">
        <v>543</v>
      </c>
      <c r="W88" s="27">
        <v>25</v>
      </c>
      <c r="X88" s="27" t="s">
        <v>547</v>
      </c>
      <c r="Y88" s="27">
        <v>1</v>
      </c>
      <c r="Z88" s="27" t="s">
        <v>546</v>
      </c>
      <c r="AA88" s="27">
        <v>1</v>
      </c>
      <c r="AB88" s="27">
        <v>2</v>
      </c>
      <c r="AC88" s="27" t="s">
        <v>579</v>
      </c>
      <c r="AD88" s="28">
        <v>46217</v>
      </c>
      <c r="AE88" s="27">
        <v>21</v>
      </c>
      <c r="AF88" s="27">
        <v>21</v>
      </c>
      <c r="AG88" s="28">
        <v>46217</v>
      </c>
      <c r="AH88" s="28">
        <v>46217</v>
      </c>
      <c r="AI88" s="29">
        <v>0</v>
      </c>
      <c r="AJ88" s="28" t="s">
        <v>547</v>
      </c>
      <c r="AK88" s="28">
        <v>46217</v>
      </c>
      <c r="AL88" s="5">
        <f>IFERROR(IF(Q88=AK88,0,NETWORKDAYS(Q88,AK88,{"01/01/2026";"02/02/2026";"16/03/2026";"02/04/2026";"03/04/2026";"01/05/2026"})),"aun no se factura")</f>
        <v>22</v>
      </c>
      <c r="AM88" s="4" t="str">
        <f>IFERROR(IF(OR(Q88="",AK88=""),"SIN DATO",IF(NETWORKDAYS(Q88,AK88,{"01/01/2026";"02/02/2026";"16/03/2026";"02/04/2026";"03/04/2026";"01/05/2026"})&lt;=1,"1 día o menos",IF(NETWORKDAYS(Q88,AK88,{"01/01/2026";"02/02/2026";"16/03/2026";"02/04/2026";"03/04/2026";"01/05/2026"})&lt;=3,"2 a 3 días",IF(NETWORKDAYS(Q88,AK88,{"01/01/2026";"02/02/2026";"16/03/2026";"02/04/2026";"03/04/2026";"01/05/2026"})&lt;=5,"4 a 5 días",IF(NETWORKDAYS(Q88,AK88,{"01/01/2026";"02/02/2026";"16/03/2026";"02/04/2026";"03/04/2026";"01/05/2026"})&lt;=10,"6 a 10 días",IF(NETWORKDAYS(Q88,AK88,{"01/01/2026";"02/02/2026";"16/03/2026";"02/04/2026";"03/04/2026";"01/05/2026"})&lt;=16,"11 a 15 días","más de 16 días")))))),"aun no se factura")</f>
        <v>más de 16 días</v>
      </c>
      <c r="AN88" s="4" t="str" cm="1">
        <f t="array" ref="AN88">IFERROR(
  IF(
    NETWORKDAYS(Q88,AK88,{"01/01/2026";"02/02/2026";"16/03/2026";"02/04/2026";"03/04/2026";"01/05/2026"}) &lt;=
    _xlfn.IFS(
      OR(TRIM(A88)="AICM", TRIM(A88)="AÉREO AICM"), 5,
      OR(TRIM(A88)="VERACRUZ", TRIM(A88)="MARÍTIMO VERACRUZ"), 6,
      OR(TRIM(A88)="AIFA", TRIM(A88)="AÉREO AIFA"), 7,
      AND(TRIM(A88)="CORRESPONSALIAS", TRIM(B88)="NUEVO LAREDO"), 6,
      TRIM(A88)="MANZANILLO", 10,
      TRIM(A88)="TOLUCA", 6,
      TRUE, 999
    ),
    "On Time",
    "Delayed"
  ),
  "Faltan fechas"
)</f>
        <v>Delayed</v>
      </c>
      <c r="AO88" s="29">
        <v>1</v>
      </c>
      <c r="AP88" s="28" t="s">
        <v>548</v>
      </c>
      <c r="AQ88" s="27" t="s">
        <v>93</v>
      </c>
      <c r="AR88" s="27" t="s">
        <v>112</v>
      </c>
      <c r="AS88" s="27" t="s">
        <v>1136</v>
      </c>
      <c r="AT88" s="27" t="s">
        <v>223</v>
      </c>
      <c r="AU88" s="29">
        <v>6000863</v>
      </c>
      <c r="AV88" s="27" t="s">
        <v>92</v>
      </c>
      <c r="AW88" s="27" t="s">
        <v>324</v>
      </c>
      <c r="AX88" s="27" t="s">
        <v>549</v>
      </c>
      <c r="AY88" s="27"/>
      <c r="AZ88" s="27" t="s">
        <v>550</v>
      </c>
      <c r="BA88" s="27" t="s">
        <v>90</v>
      </c>
      <c r="BB88" s="27"/>
      <c r="BC88" s="27" t="s">
        <v>117</v>
      </c>
      <c r="BD88" s="27"/>
      <c r="BE88" s="27" t="s">
        <v>117</v>
      </c>
      <c r="BF88" s="27" t="s">
        <v>576</v>
      </c>
      <c r="BG88" s="27" t="s">
        <v>552</v>
      </c>
      <c r="BH88" s="27" t="s">
        <v>580</v>
      </c>
      <c r="BI88" s="27"/>
      <c r="BJ88" s="27" t="s">
        <v>603</v>
      </c>
      <c r="BK88" s="27" t="s">
        <v>554</v>
      </c>
      <c r="BL88" s="27">
        <v>0</v>
      </c>
      <c r="BM88" s="27">
        <v>99</v>
      </c>
      <c r="BN88" s="27" t="s">
        <v>1137</v>
      </c>
      <c r="BO88" s="27">
        <v>90</v>
      </c>
      <c r="BP88" s="27" t="s">
        <v>1138</v>
      </c>
      <c r="BQ88" s="27" t="s">
        <v>611</v>
      </c>
      <c r="BR88" s="27"/>
      <c r="BS88" s="27" t="s">
        <v>613</v>
      </c>
      <c r="BT88" s="27" t="s">
        <v>558</v>
      </c>
      <c r="BU88" s="27" t="s">
        <v>133</v>
      </c>
      <c r="BV88" s="27" t="s">
        <v>105</v>
      </c>
      <c r="BW88" s="27">
        <v>12529420</v>
      </c>
      <c r="BX88" s="27" t="s">
        <v>1139</v>
      </c>
      <c r="BY88" s="27" t="s">
        <v>223</v>
      </c>
      <c r="BZ88" s="27" t="s">
        <v>1140</v>
      </c>
      <c r="CA88" s="30" t="s">
        <v>1141</v>
      </c>
    </row>
    <row r="89" spans="1:79" x14ac:dyDescent="0.25">
      <c r="A89" s="26" t="s">
        <v>577</v>
      </c>
      <c r="B89" s="27" t="s">
        <v>578</v>
      </c>
      <c r="C89" s="27" t="s">
        <v>1142</v>
      </c>
      <c r="D89" s="27">
        <v>430</v>
      </c>
      <c r="E89" s="28">
        <v>46185</v>
      </c>
      <c r="F89" s="27">
        <v>6</v>
      </c>
      <c r="G89" s="35">
        <v>46182</v>
      </c>
      <c r="H89" s="28">
        <v>46185</v>
      </c>
      <c r="I89" s="27">
        <v>3</v>
      </c>
      <c r="J89" s="27" t="s">
        <v>579</v>
      </c>
      <c r="K89" s="35">
        <v>46186</v>
      </c>
      <c r="L89" s="27">
        <v>3</v>
      </c>
      <c r="M89" s="34">
        <f>IFERROR(IF(G89=K89,0,NETWORKDAYS(G89,K89,{"01/01/2026";"02/02/2026";"16/03/2026";"02/04/2026";"03/04/2026";"01/05/2026"})),"Faltan Fechas")</f>
        <v>4</v>
      </c>
      <c r="N89" s="33" t="str">
        <f>IFERROR(IF(OR(G89="",K89=""),"SIN DATO",IF(NETWORKDAYS(G89,K89,{"01/01/2026";"02/02/2026";"16/03/2026";"02/04/2026";"03/04/2026";"01/05/2026"})&lt;=1,"1 día o menos",IF(NETWORKDAYS(G89,K89,{"01/01/2026";"02/02/2026";"16/03/2026";"02/04/2026";"03/04/2026";"01/05/2026"})&lt;=3,"2 a 3 días",IF(NETWORKDAYS(G89,K89,{"01/01/2026";"02/02/2026";"16/03/2026";"02/04/2026";"03/04/2026";"01/05/2026"})&lt;=5,"4 a 5 días",IF(NETWORKDAYS(G89,K89,{"01/01/2026";"02/02/2026";"16/03/2026";"02/04/2026";"03/04/2026";"01/05/2026"})&lt;=10,"6 a 10 días",IF(NETWORKDAYS(G89,K89,{"01/01/2026";"02/02/2026";"16/03/2026";"02/04/2026";"03/04/2026";"01/05/2026"})&lt;=16,"11 a 15 días","más de 16 días")))))),"Aun no se entrega")</f>
        <v>4 a 5 días</v>
      </c>
      <c r="O89" s="34" t="str" cm="1">
        <f t="array" ref="O89">IFERROR(
  IF(
    NETWORKDAYS(G89,K89,{"01/01/2026";"02/02/2026";"16/03/2026";"02/04/2026";"03/04/2026";"01/05/2026"}) &lt;=
    _xlfn.IFS(
      OR(TRIM(A89)="AICM", TRIM(A89)="AÉREO AICM"), 5,
      OR(TRIM(A89)="VERACRUZ", TRIM(A89)="MARÍTIMO VERACRUZ"), 6,
      OR(TRIM(A89)="AIFA", TRIM(A89)="AÉREO AIFA"), 7,
      AND(TRIM(A89)="CORRESPONSALIAS", TRIM(B89)="NUEVO LAREDO"), 6,
      TRIM(A89)="MANZANILLO", 10,
      TRIM(A89)="TOLUCA", 6,
      TRUE, 999
    ),
    "On Time",
    "Delayed"
  ),
  "Faltan fechas"
)</f>
        <v>On Time</v>
      </c>
      <c r="P89" s="36" t="s">
        <v>579</v>
      </c>
      <c r="Q89" s="28">
        <v>46188</v>
      </c>
      <c r="R89" s="5">
        <f>IFERROR(IF(G89=Q89,0,NETWORKDAYS(G89,Q89,{"01/01/2026";"02/02/2026";"16/03/2026";"02/04/2026";"03/04/2026";"01/05/2026"})),"Faltan Fechas")</f>
        <v>5</v>
      </c>
      <c r="S89" s="4" t="str">
        <f>IFERROR(IF(OR(G89="",Q89=""),"SIN DATO",IF(NETWORKDAYS(G89,Q89,{"01/01/2026";"02/02/2026";"16/03/2026";"02/04/2026";"03/04/2026";"01/05/2026"})&lt;=1,"1 día o menos",IF(NETWORKDAYS(G89,Q89,{"01/01/2026";"02/02/2026";"16/03/2026";"02/04/2026";"03/04/2026";"01/05/2026"})&lt;=3,"2 a 3 días",IF(NETWORKDAYS(G89,Q89,{"01/01/2026";"02/02/2026";"16/03/2026";"02/04/2026";"03/04/2026";"01/05/2026"})&lt;=5,"4 a 5 días",IF(NETWORKDAYS(G89,Q89,{"01/01/2026";"02/02/2026";"16/03/2026";"02/04/2026";"03/04/2026";"01/05/2026"})&lt;=10,"6 a 10 días",IF(NETWORKDAYS(G89,Q89,{"01/01/2026";"02/02/2026";"16/03/2026";"02/04/2026";"03/04/2026";"01/05/2026"})&lt;=16,"11 a 15 días","más de 16 días")))))),"Aun no se entrega")</f>
        <v>4 a 5 días</v>
      </c>
      <c r="T89" s="4" t="str" cm="1">
        <f t="array" ref="T89">IFERROR(
  IF(
    NETWORKDAYS(G89,Q89,{"01/01/2026";"02/02/2026";"16/03/2026";"02/04/2026";"03/04/2026";"01/05/2026"}) &lt;=
    _xlfn.IFS(
      OR(TRIM(A89)="AICM", TRIM(A89)="AÉREO AICM"), 5,
      OR(TRIM(A89)="VERACRUZ", TRIM(A89)="MARÍTIMO VERACRUZ"), 6,
      OR(TRIM(A89)="AIFA", TRIM(A89)="AÉREO AIFA"), 7,
      AND(TRIM(A89)="CORRESPONSALIAS", TRIM(B89)="NUEVO LAREDO"), 6,
      TRIM(A89)="MANZANILLO", 10,
      TRIM(A89)="TOLUCA", 6,
      TRUE, 999
    ),
    "On Time",
    "Delayed"
  ),
  "Faltan fechas"
)</f>
        <v>On Time</v>
      </c>
      <c r="U89" s="27">
        <v>4</v>
      </c>
      <c r="V89" s="27" t="s">
        <v>543</v>
      </c>
      <c r="W89" s="27">
        <v>25</v>
      </c>
      <c r="X89" s="27" t="s">
        <v>547</v>
      </c>
      <c r="Y89" s="27">
        <v>1</v>
      </c>
      <c r="Z89" s="27" t="s">
        <v>546</v>
      </c>
      <c r="AA89" s="27">
        <v>1</v>
      </c>
      <c r="AB89" s="27">
        <v>2</v>
      </c>
      <c r="AC89" s="27" t="s">
        <v>579</v>
      </c>
      <c r="AD89" s="28">
        <v>46217</v>
      </c>
      <c r="AE89" s="27">
        <v>21</v>
      </c>
      <c r="AF89" s="27">
        <v>21</v>
      </c>
      <c r="AG89" s="28">
        <v>46217</v>
      </c>
      <c r="AH89" s="28">
        <v>46217</v>
      </c>
      <c r="AI89" s="29">
        <v>0</v>
      </c>
      <c r="AJ89" s="28" t="s">
        <v>547</v>
      </c>
      <c r="AK89" s="28">
        <v>46217</v>
      </c>
      <c r="AL89" s="5">
        <f>IFERROR(IF(Q89=AK89,0,NETWORKDAYS(Q89,AK89,{"01/01/2026";"02/02/2026";"16/03/2026";"02/04/2026";"03/04/2026";"01/05/2026"})),"aun no se factura")</f>
        <v>22</v>
      </c>
      <c r="AM89" s="4" t="str">
        <f>IFERROR(IF(OR(Q89="",AK89=""),"SIN DATO",IF(NETWORKDAYS(Q89,AK89,{"01/01/2026";"02/02/2026";"16/03/2026";"02/04/2026";"03/04/2026";"01/05/2026"})&lt;=1,"1 día o menos",IF(NETWORKDAYS(Q89,AK89,{"01/01/2026";"02/02/2026";"16/03/2026";"02/04/2026";"03/04/2026";"01/05/2026"})&lt;=3,"2 a 3 días",IF(NETWORKDAYS(Q89,AK89,{"01/01/2026";"02/02/2026";"16/03/2026";"02/04/2026";"03/04/2026";"01/05/2026"})&lt;=5,"4 a 5 días",IF(NETWORKDAYS(Q89,AK89,{"01/01/2026";"02/02/2026";"16/03/2026";"02/04/2026";"03/04/2026";"01/05/2026"})&lt;=10,"6 a 10 días",IF(NETWORKDAYS(Q89,AK89,{"01/01/2026";"02/02/2026";"16/03/2026";"02/04/2026";"03/04/2026";"01/05/2026"})&lt;=16,"11 a 15 días","más de 16 días")))))),"aun no se factura")</f>
        <v>más de 16 días</v>
      </c>
      <c r="AN89" s="4" t="str" cm="1">
        <f t="array" ref="AN89">IFERROR(
  IF(
    NETWORKDAYS(Q89,AK89,{"01/01/2026";"02/02/2026";"16/03/2026";"02/04/2026";"03/04/2026";"01/05/2026"}) &lt;=
    _xlfn.IFS(
      OR(TRIM(A89)="AICM", TRIM(A89)="AÉREO AICM"), 5,
      OR(TRIM(A89)="VERACRUZ", TRIM(A89)="MARÍTIMO VERACRUZ"), 6,
      OR(TRIM(A89)="AIFA", TRIM(A89)="AÉREO AIFA"), 7,
      AND(TRIM(A89)="CORRESPONSALIAS", TRIM(B89)="NUEVO LAREDO"), 6,
      TRIM(A89)="MANZANILLO", 10,
      TRIM(A89)="TOLUCA", 6,
      TRUE, 999
    ),
    "On Time",
    "Delayed"
  ),
  "Faltan fechas"
)</f>
        <v>Delayed</v>
      </c>
      <c r="AO89" s="29">
        <v>1</v>
      </c>
      <c r="AP89" s="28" t="s">
        <v>548</v>
      </c>
      <c r="AQ89" s="27" t="s">
        <v>93</v>
      </c>
      <c r="AR89" s="27" t="s">
        <v>112</v>
      </c>
      <c r="AS89" s="27" t="s">
        <v>1143</v>
      </c>
      <c r="AT89" s="27" t="s">
        <v>223</v>
      </c>
      <c r="AU89" s="29">
        <v>6000864</v>
      </c>
      <c r="AV89" s="27" t="s">
        <v>92</v>
      </c>
      <c r="AW89" s="27" t="s">
        <v>327</v>
      </c>
      <c r="AX89" s="27" t="s">
        <v>549</v>
      </c>
      <c r="AY89" s="27"/>
      <c r="AZ89" s="27" t="s">
        <v>550</v>
      </c>
      <c r="BA89" s="27" t="s">
        <v>90</v>
      </c>
      <c r="BB89" s="27"/>
      <c r="BC89" s="27"/>
      <c r="BD89" s="27"/>
      <c r="BE89" s="27"/>
      <c r="BF89" s="27" t="s">
        <v>576</v>
      </c>
      <c r="BG89" s="27" t="s">
        <v>552</v>
      </c>
      <c r="BH89" s="27" t="s">
        <v>580</v>
      </c>
      <c r="BI89" s="27"/>
      <c r="BJ89" s="27" t="s">
        <v>603</v>
      </c>
      <c r="BK89" s="27" t="s">
        <v>554</v>
      </c>
      <c r="BL89" s="27">
        <v>0</v>
      </c>
      <c r="BM89" s="27">
        <v>99</v>
      </c>
      <c r="BN89" s="27" t="s">
        <v>1144</v>
      </c>
      <c r="BO89" s="27">
        <v>90</v>
      </c>
      <c r="BP89" s="27" t="s">
        <v>1145</v>
      </c>
      <c r="BQ89" s="27" t="s">
        <v>611</v>
      </c>
      <c r="BR89" s="27"/>
      <c r="BS89" s="27" t="s">
        <v>613</v>
      </c>
      <c r="BT89" s="27" t="s">
        <v>558</v>
      </c>
      <c r="BU89" s="27" t="s">
        <v>133</v>
      </c>
      <c r="BV89" s="27" t="s">
        <v>105</v>
      </c>
      <c r="BW89" s="27">
        <v>8971854</v>
      </c>
      <c r="BX89" s="27" t="s">
        <v>1146</v>
      </c>
      <c r="BY89" s="27" t="s">
        <v>223</v>
      </c>
      <c r="BZ89" s="27" t="s">
        <v>1147</v>
      </c>
      <c r="CA89" s="30" t="s">
        <v>1148</v>
      </c>
    </row>
    <row r="90" spans="1:79" x14ac:dyDescent="0.25">
      <c r="A90" s="26" t="s">
        <v>577</v>
      </c>
      <c r="B90" s="27" t="s">
        <v>578</v>
      </c>
      <c r="C90" s="27" t="s">
        <v>1156</v>
      </c>
      <c r="D90" s="27">
        <v>430</v>
      </c>
      <c r="E90" s="28">
        <v>46193</v>
      </c>
      <c r="F90" s="27">
        <v>6</v>
      </c>
      <c r="G90" s="35">
        <v>46179</v>
      </c>
      <c r="H90" s="28">
        <v>46193</v>
      </c>
      <c r="I90" s="27">
        <v>9</v>
      </c>
      <c r="J90" s="27" t="s">
        <v>544</v>
      </c>
      <c r="K90" s="35">
        <v>46196</v>
      </c>
      <c r="L90" s="27">
        <v>11</v>
      </c>
      <c r="M90" s="34">
        <f>IFERROR(IF(G90=K90,0,NETWORKDAYS(G90,K90,{"01/01/2026";"02/02/2026";"16/03/2026";"02/04/2026";"03/04/2026";"01/05/2026"})),"Faltan Fechas")</f>
        <v>12</v>
      </c>
      <c r="N90" s="33" t="str">
        <f>IFERROR(IF(OR(G90="",K90=""),"SIN DATO",IF(NETWORKDAYS(G90,K90,{"01/01/2026";"02/02/2026";"16/03/2026";"02/04/2026";"03/04/2026";"01/05/2026"})&lt;=1,"1 día o menos",IF(NETWORKDAYS(G90,K90,{"01/01/2026";"02/02/2026";"16/03/2026";"02/04/2026";"03/04/2026";"01/05/2026"})&lt;=3,"2 a 3 días",IF(NETWORKDAYS(G90,K90,{"01/01/2026";"02/02/2026";"16/03/2026";"02/04/2026";"03/04/2026";"01/05/2026"})&lt;=5,"4 a 5 días",IF(NETWORKDAYS(G90,K90,{"01/01/2026";"02/02/2026";"16/03/2026";"02/04/2026";"03/04/2026";"01/05/2026"})&lt;=10,"6 a 10 días",IF(NETWORKDAYS(G90,K90,{"01/01/2026";"02/02/2026";"16/03/2026";"02/04/2026";"03/04/2026";"01/05/2026"})&lt;=16,"11 a 15 días","más de 16 días")))))),"Aun no se entrega")</f>
        <v>11 a 15 días</v>
      </c>
      <c r="O90" s="34" t="str" cm="1">
        <f t="array" ref="O90">IFERROR(
  IF(
    NETWORKDAYS(G90,K90,{"01/01/2026";"02/02/2026";"16/03/2026";"02/04/2026";"03/04/2026";"01/05/2026"}) &lt;=
    _xlfn.IFS(
      OR(TRIM(A90)="AICM", TRIM(A90)="AÉREO AICM"), 5,
      OR(TRIM(A90)="VERACRUZ", TRIM(A90)="MARÍTIMO VERACRUZ"), 6,
      OR(TRIM(A90)="AIFA", TRIM(A90)="AÉREO AIFA"), 7,
      AND(TRIM(A90)="CORRESPONSALIAS", TRIM(B90)="NUEVO LAREDO"), 6,
      TRIM(A90)="MANZANILLO", 10,
      TRIM(A90)="TOLUCA", 6,
      TRUE, 999
    ),
    "On Time",
    "Delayed"
  ),
  "Faltan fechas"
)</f>
        <v>Delayed</v>
      </c>
      <c r="P90" s="36" t="s">
        <v>559</v>
      </c>
      <c r="Q90" s="28"/>
      <c r="R90" s="5">
        <f>IFERROR(IF(G90=Q90,0,NETWORKDAYS(G90,Q90,{"01/01/2026";"02/02/2026";"16/03/2026";"02/04/2026";"03/04/2026";"01/05/2026"})),"Faltan Fechas")</f>
        <v>-32979</v>
      </c>
      <c r="S90" s="4" t="str">
        <f>IFERROR(IF(OR(G90="",Q90=""),"SIN DATO",IF(NETWORKDAYS(G90,Q90,{"01/01/2026";"02/02/2026";"16/03/2026";"02/04/2026";"03/04/2026";"01/05/2026"})&lt;=1,"1 día o menos",IF(NETWORKDAYS(G90,Q90,{"01/01/2026";"02/02/2026";"16/03/2026";"02/04/2026";"03/04/2026";"01/05/2026"})&lt;=3,"2 a 3 días",IF(NETWORKDAYS(G90,Q90,{"01/01/2026";"02/02/2026";"16/03/2026";"02/04/2026";"03/04/2026";"01/05/2026"})&lt;=5,"4 a 5 días",IF(NETWORKDAYS(G90,Q90,{"01/01/2026";"02/02/2026";"16/03/2026";"02/04/2026";"03/04/2026";"01/05/2026"})&lt;=10,"6 a 10 días",IF(NETWORKDAYS(G90,Q90,{"01/01/2026";"02/02/2026";"16/03/2026";"02/04/2026";"03/04/2026";"01/05/2026"})&lt;=16,"11 a 15 días","más de 16 días")))))),"Aun no se entrega")</f>
        <v>SIN DATO</v>
      </c>
      <c r="T90" s="4" t="str" cm="1">
        <f t="array" ref="T90">IFERROR(
  IF(
    NETWORKDAYS(G90,Q90,{"01/01/2026";"02/02/2026";"16/03/2026";"02/04/2026";"03/04/2026";"01/05/2026"}) &lt;=
    _xlfn.IFS(
      OR(TRIM(A90)="AICM", TRIM(A90)="AÉREO AICM"), 5,
      OR(TRIM(A90)="VERACRUZ", TRIM(A90)="MARÍTIMO VERACRUZ"), 6,
      OR(TRIM(A90)="AIFA", TRIM(A90)="AÉREO AIFA"), 7,
      AND(TRIM(A90)="CORRESPONSALIAS", TRIM(B90)="NUEVO LAREDO"), 6,
      TRIM(A90)="MANZANILLO", 10,
      TRIM(A90)="TOLUCA", 6,
      TRUE, 999
    ),
    "On Time",
    "Delayed"
  ),
  "Faltan fechas"
)</f>
        <v>On Time</v>
      </c>
      <c r="U90" s="27">
        <v>0</v>
      </c>
      <c r="V90" s="27" t="s">
        <v>569</v>
      </c>
      <c r="W90" s="27">
        <v>25</v>
      </c>
      <c r="X90" s="27" t="s">
        <v>547</v>
      </c>
      <c r="Y90" s="27">
        <v>1</v>
      </c>
      <c r="Z90" s="27" t="s">
        <v>546</v>
      </c>
      <c r="AA90" s="27">
        <v>1</v>
      </c>
      <c r="AB90" s="27">
        <v>-46194</v>
      </c>
      <c r="AC90" s="27" t="s">
        <v>545</v>
      </c>
      <c r="AD90" s="28">
        <v>46216</v>
      </c>
      <c r="AE90" s="27" t="s">
        <v>223</v>
      </c>
      <c r="AF90" s="27">
        <v>33010</v>
      </c>
      <c r="AG90" s="28"/>
      <c r="AH90" s="28">
        <v>46216</v>
      </c>
      <c r="AI90" s="29" t="s">
        <v>223</v>
      </c>
      <c r="AJ90" s="28" t="s">
        <v>545</v>
      </c>
      <c r="AK90" s="28">
        <v>46216</v>
      </c>
      <c r="AL90" s="5">
        <f>IFERROR(IF(Q90=AK90,0,NETWORKDAYS(Q90,AK90,{"01/01/2026";"02/02/2026";"16/03/2026";"02/04/2026";"03/04/2026";"01/05/2026"})),"aun no se factura")</f>
        <v>33005</v>
      </c>
      <c r="AM90" s="4" t="str">
        <f>IFERROR(IF(OR(Q90="",AK90=""),"SIN DATO",IF(NETWORKDAYS(Q90,AK90,{"01/01/2026";"02/02/2026";"16/03/2026";"02/04/2026";"03/04/2026";"01/05/2026"})&lt;=1,"1 día o menos",IF(NETWORKDAYS(Q90,AK90,{"01/01/2026";"02/02/2026";"16/03/2026";"02/04/2026";"03/04/2026";"01/05/2026"})&lt;=3,"2 a 3 días",IF(NETWORKDAYS(Q90,AK90,{"01/01/2026";"02/02/2026";"16/03/2026";"02/04/2026";"03/04/2026";"01/05/2026"})&lt;=5,"4 a 5 días",IF(NETWORKDAYS(Q90,AK90,{"01/01/2026";"02/02/2026";"16/03/2026";"02/04/2026";"03/04/2026";"01/05/2026"})&lt;=10,"6 a 10 días",IF(NETWORKDAYS(Q90,AK90,{"01/01/2026";"02/02/2026";"16/03/2026";"02/04/2026";"03/04/2026";"01/05/2026"})&lt;=16,"11 a 15 días","más de 16 días")))))),"aun no se factura")</f>
        <v>SIN DATO</v>
      </c>
      <c r="AN90" s="4" t="str" cm="1">
        <f t="array" ref="AN90">IFERROR(
  IF(
    NETWORKDAYS(Q90,AK90,{"01/01/2026";"02/02/2026";"16/03/2026";"02/04/2026";"03/04/2026";"01/05/2026"}) &lt;=
    _xlfn.IFS(
      OR(TRIM(A90)="AICM", TRIM(A90)="AÉREO AICM"), 5,
      OR(TRIM(A90)="VERACRUZ", TRIM(A90)="MARÍTIMO VERACRUZ"), 6,
      OR(TRIM(A90)="AIFA", TRIM(A90)="AÉREO AIFA"), 7,
      AND(TRIM(A90)="CORRESPONSALIAS", TRIM(B90)="NUEVO LAREDO"), 6,
      TRIM(A90)="MANZANILLO", 10,
      TRIM(A90)="TOLUCA", 6,
      TRUE, 999
    ),
    "On Time",
    "Delayed"
  ),
  "Faltan fechas"
)</f>
        <v>Delayed</v>
      </c>
      <c r="AO90" s="29">
        <v>0</v>
      </c>
      <c r="AP90" s="28" t="s">
        <v>548</v>
      </c>
      <c r="AQ90" s="27" t="s">
        <v>93</v>
      </c>
      <c r="AR90" s="27" t="s">
        <v>112</v>
      </c>
      <c r="AS90" s="27" t="s">
        <v>1150</v>
      </c>
      <c r="AT90" s="27" t="s">
        <v>223</v>
      </c>
      <c r="AU90" s="29">
        <v>6000969</v>
      </c>
      <c r="AV90" s="27" t="s">
        <v>92</v>
      </c>
      <c r="AW90" s="27" t="s">
        <v>1157</v>
      </c>
      <c r="AX90" s="27" t="s">
        <v>549</v>
      </c>
      <c r="AY90" s="27"/>
      <c r="AZ90" s="27" t="s">
        <v>550</v>
      </c>
      <c r="BA90" s="27" t="s">
        <v>90</v>
      </c>
      <c r="BB90" s="27"/>
      <c r="BC90" s="27"/>
      <c r="BD90" s="27"/>
      <c r="BE90" s="27"/>
      <c r="BF90" s="27"/>
      <c r="BG90" s="27" t="s">
        <v>552</v>
      </c>
      <c r="BH90" s="27" t="s">
        <v>223</v>
      </c>
      <c r="BI90" s="27"/>
      <c r="BJ90" s="27"/>
      <c r="BK90" s="27" t="s">
        <v>554</v>
      </c>
      <c r="BL90" s="27">
        <v>0</v>
      </c>
      <c r="BM90" s="27" t="s">
        <v>615</v>
      </c>
      <c r="BN90" s="27" t="s">
        <v>1158</v>
      </c>
      <c r="BO90" s="27">
        <v>90</v>
      </c>
      <c r="BP90" s="27" t="s">
        <v>1159</v>
      </c>
      <c r="BQ90" s="27" t="s">
        <v>1160</v>
      </c>
      <c r="BR90" s="27"/>
      <c r="BS90" s="27" t="s">
        <v>557</v>
      </c>
      <c r="BT90" s="27" t="s">
        <v>558</v>
      </c>
      <c r="BU90" s="27" t="s">
        <v>197</v>
      </c>
      <c r="BV90" s="27" t="s">
        <v>105</v>
      </c>
      <c r="BW90" s="27">
        <v>1417149</v>
      </c>
      <c r="BX90" s="27" t="s">
        <v>1161</v>
      </c>
      <c r="BY90" s="27" t="s">
        <v>1162</v>
      </c>
      <c r="BZ90" s="27" t="s">
        <v>1163</v>
      </c>
      <c r="CA90" s="30" t="s">
        <v>1164</v>
      </c>
    </row>
    <row r="91" spans="1:79" x14ac:dyDescent="0.25">
      <c r="A91" s="26" t="s">
        <v>577</v>
      </c>
      <c r="B91" s="27" t="s">
        <v>578</v>
      </c>
      <c r="C91" s="27" t="s">
        <v>1165</v>
      </c>
      <c r="D91" s="27">
        <v>430</v>
      </c>
      <c r="E91" s="28">
        <v>46196</v>
      </c>
      <c r="F91" s="27">
        <v>6</v>
      </c>
      <c r="G91" s="35">
        <v>46179</v>
      </c>
      <c r="H91" s="28">
        <v>46196</v>
      </c>
      <c r="I91" s="27">
        <v>11</v>
      </c>
      <c r="J91" s="27" t="s">
        <v>559</v>
      </c>
      <c r="K91" s="35">
        <v>46198</v>
      </c>
      <c r="L91" s="27">
        <v>13</v>
      </c>
      <c r="M91" s="34">
        <f>IFERROR(IF(G91=K91,0,NETWORKDAYS(G91,K91,{"01/01/2026";"02/02/2026";"16/03/2026";"02/04/2026";"03/04/2026";"01/05/2026"})),"Faltan Fechas")</f>
        <v>14</v>
      </c>
      <c r="N91" s="33" t="str">
        <f>IFERROR(IF(OR(G91="",K91=""),"SIN DATO",IF(NETWORKDAYS(G91,K91,{"01/01/2026";"02/02/2026";"16/03/2026";"02/04/2026";"03/04/2026";"01/05/2026"})&lt;=1,"1 día o menos",IF(NETWORKDAYS(G91,K91,{"01/01/2026";"02/02/2026";"16/03/2026";"02/04/2026";"03/04/2026";"01/05/2026"})&lt;=3,"2 a 3 días",IF(NETWORKDAYS(G91,K91,{"01/01/2026";"02/02/2026";"16/03/2026";"02/04/2026";"03/04/2026";"01/05/2026"})&lt;=5,"4 a 5 días",IF(NETWORKDAYS(G91,K91,{"01/01/2026";"02/02/2026";"16/03/2026";"02/04/2026";"03/04/2026";"01/05/2026"})&lt;=10,"6 a 10 días",IF(NETWORKDAYS(G91,K91,{"01/01/2026";"02/02/2026";"16/03/2026";"02/04/2026";"03/04/2026";"01/05/2026"})&lt;=16,"11 a 15 días","más de 16 días")))))),"Aun no se entrega")</f>
        <v>11 a 15 días</v>
      </c>
      <c r="O91" s="34" t="str" cm="1">
        <f t="array" ref="O91">IFERROR(
  IF(
    NETWORKDAYS(G91,K91,{"01/01/2026";"02/02/2026";"16/03/2026";"02/04/2026";"03/04/2026";"01/05/2026"}) &lt;=
    _xlfn.IFS(
      OR(TRIM(A91)="AICM", TRIM(A91)="AÉREO AICM"), 5,
      OR(TRIM(A91)="VERACRUZ", TRIM(A91)="MARÍTIMO VERACRUZ"), 6,
      OR(TRIM(A91)="AIFA", TRIM(A91)="AÉREO AIFA"), 7,
      AND(TRIM(A91)="CORRESPONSALIAS", TRIM(B91)="NUEVO LAREDO"), 6,
      TRIM(A91)="MANZANILLO", 10,
      TRIM(A91)="TOLUCA", 6,
      TRUE, 999
    ),
    "On Time",
    "Delayed"
  ),
  "Faltan fechas"
)</f>
        <v>Delayed</v>
      </c>
      <c r="P91" s="36" t="s">
        <v>559</v>
      </c>
      <c r="Q91" s="28">
        <v>46199</v>
      </c>
      <c r="R91" s="5">
        <f>IFERROR(IF(G91=Q91,0,NETWORKDAYS(G91,Q91,{"01/01/2026";"02/02/2026";"16/03/2026";"02/04/2026";"03/04/2026";"01/05/2026"})),"Faltan Fechas")</f>
        <v>15</v>
      </c>
      <c r="S91" s="4" t="str">
        <f>IFERROR(IF(OR(G91="",Q91=""),"SIN DATO",IF(NETWORKDAYS(G91,Q91,{"01/01/2026";"02/02/2026";"16/03/2026";"02/04/2026";"03/04/2026";"01/05/2026"})&lt;=1,"1 día o menos",IF(NETWORKDAYS(G91,Q91,{"01/01/2026";"02/02/2026";"16/03/2026";"02/04/2026";"03/04/2026";"01/05/2026"})&lt;=3,"2 a 3 días",IF(NETWORKDAYS(G91,Q91,{"01/01/2026";"02/02/2026";"16/03/2026";"02/04/2026";"03/04/2026";"01/05/2026"})&lt;=5,"4 a 5 días",IF(NETWORKDAYS(G91,Q91,{"01/01/2026";"02/02/2026";"16/03/2026";"02/04/2026";"03/04/2026";"01/05/2026"})&lt;=10,"6 a 10 días",IF(NETWORKDAYS(G91,Q91,{"01/01/2026";"02/02/2026";"16/03/2026";"02/04/2026";"03/04/2026";"01/05/2026"})&lt;=16,"11 a 15 días","más de 16 días")))))),"Aun no se entrega")</f>
        <v>11 a 15 días</v>
      </c>
      <c r="T91" s="4" t="str" cm="1">
        <f t="array" ref="T91">IFERROR(
  IF(
    NETWORKDAYS(G91,Q91,{"01/01/2026";"02/02/2026";"16/03/2026";"02/04/2026";"03/04/2026";"01/05/2026"}) &lt;=
    _xlfn.IFS(
      OR(TRIM(A91)="AICM", TRIM(A91)="AÉREO AICM"), 5,
      OR(TRIM(A91)="VERACRUZ", TRIM(A91)="MARÍTIMO VERACRUZ"), 6,
      OR(TRIM(A91)="AIFA", TRIM(A91)="AÉREO AIFA"), 7,
      AND(TRIM(A91)="CORRESPONSALIAS", TRIM(B91)="NUEVO LAREDO"), 6,
      TRIM(A91)="MANZANILLO", 10,
      TRIM(A91)="TOLUCA", 6,
      TRUE, 999
    ),
    "On Time",
    "Delayed"
  ),
  "Faltan fechas"
)</f>
        <v>Delayed</v>
      </c>
      <c r="U91" s="27">
        <v>14</v>
      </c>
      <c r="V91" s="27" t="s">
        <v>559</v>
      </c>
      <c r="W91" s="27">
        <v>25</v>
      </c>
      <c r="X91" s="27" t="s">
        <v>547</v>
      </c>
      <c r="Y91" s="27">
        <v>2</v>
      </c>
      <c r="Z91" s="27" t="s">
        <v>579</v>
      </c>
      <c r="AA91" s="27">
        <v>2</v>
      </c>
      <c r="AB91" s="27">
        <v>1</v>
      </c>
      <c r="AC91" s="27" t="s">
        <v>546</v>
      </c>
      <c r="AD91" s="28">
        <v>46216</v>
      </c>
      <c r="AE91" s="27">
        <v>10</v>
      </c>
      <c r="AF91" s="27">
        <v>11</v>
      </c>
      <c r="AG91" s="28">
        <v>46213</v>
      </c>
      <c r="AH91" s="28">
        <v>46216</v>
      </c>
      <c r="AI91" s="29">
        <v>1</v>
      </c>
      <c r="AJ91" s="28" t="s">
        <v>547</v>
      </c>
      <c r="AK91" s="28">
        <v>46216</v>
      </c>
      <c r="AL91" s="5">
        <f>IFERROR(IF(Q91=AK91,0,NETWORKDAYS(Q91,AK91,{"01/01/2026";"02/02/2026";"16/03/2026";"02/04/2026";"03/04/2026";"01/05/2026"})),"aun no se factura")</f>
        <v>12</v>
      </c>
      <c r="AM91" s="4" t="str">
        <f>IFERROR(IF(OR(Q91="",AK91=""),"SIN DATO",IF(NETWORKDAYS(Q91,AK91,{"01/01/2026";"02/02/2026";"16/03/2026";"02/04/2026";"03/04/2026";"01/05/2026"})&lt;=1,"1 día o menos",IF(NETWORKDAYS(Q91,AK91,{"01/01/2026";"02/02/2026";"16/03/2026";"02/04/2026";"03/04/2026";"01/05/2026"})&lt;=3,"2 a 3 días",IF(NETWORKDAYS(Q91,AK91,{"01/01/2026";"02/02/2026";"16/03/2026";"02/04/2026";"03/04/2026";"01/05/2026"})&lt;=5,"4 a 5 días",IF(NETWORKDAYS(Q91,AK91,{"01/01/2026";"02/02/2026";"16/03/2026";"02/04/2026";"03/04/2026";"01/05/2026"})&lt;=10,"6 a 10 días",IF(NETWORKDAYS(Q91,AK91,{"01/01/2026";"02/02/2026";"16/03/2026";"02/04/2026";"03/04/2026";"01/05/2026"})&lt;=16,"11 a 15 días","más de 16 días")))))),"aun no se factura")</f>
        <v>11 a 15 días</v>
      </c>
      <c r="AN91" s="4" t="str" cm="1">
        <f t="array" ref="AN91">IFERROR(
  IF(
    NETWORKDAYS(Q91,AK91,{"01/01/2026";"02/02/2026";"16/03/2026";"02/04/2026";"03/04/2026";"01/05/2026"}) &lt;=
    _xlfn.IFS(
      OR(TRIM(A91)="AICM", TRIM(A91)="AÉREO AICM"), 5,
      OR(TRIM(A91)="VERACRUZ", TRIM(A91)="MARÍTIMO VERACRUZ"), 6,
      OR(TRIM(A91)="AIFA", TRIM(A91)="AÉREO AIFA"), 7,
      AND(TRIM(A91)="CORRESPONSALIAS", TRIM(B91)="NUEVO LAREDO"), 6,
      TRIM(A91)="MANZANILLO", 10,
      TRIM(A91)="TOLUCA", 6,
      TRUE, 999
    ),
    "On Time",
    "Delayed"
  ),
  "Faltan fechas"
)</f>
        <v>Delayed</v>
      </c>
      <c r="AO91" s="29">
        <v>1</v>
      </c>
      <c r="AP91" s="28" t="s">
        <v>548</v>
      </c>
      <c r="AQ91" s="27" t="s">
        <v>342</v>
      </c>
      <c r="AR91" s="27" t="s">
        <v>112</v>
      </c>
      <c r="AS91" s="27" t="s">
        <v>1150</v>
      </c>
      <c r="AT91" s="27" t="s">
        <v>223</v>
      </c>
      <c r="AU91" s="29">
        <v>6000977</v>
      </c>
      <c r="AV91" s="27" t="s">
        <v>92</v>
      </c>
      <c r="AW91" s="27" t="s">
        <v>1157</v>
      </c>
      <c r="AX91" s="27" t="s">
        <v>549</v>
      </c>
      <c r="AY91" s="27"/>
      <c r="AZ91" s="27" t="s">
        <v>550</v>
      </c>
      <c r="BA91" s="27" t="s">
        <v>90</v>
      </c>
      <c r="BB91" s="27"/>
      <c r="BC91" s="27" t="s">
        <v>397</v>
      </c>
      <c r="BD91" s="27"/>
      <c r="BE91" s="27"/>
      <c r="BF91" s="27" t="s">
        <v>576</v>
      </c>
      <c r="BG91" s="27" t="s">
        <v>552</v>
      </c>
      <c r="BH91" s="27" t="s">
        <v>607</v>
      </c>
      <c r="BI91" s="27" t="s">
        <v>1166</v>
      </c>
      <c r="BJ91" s="27"/>
      <c r="BK91" s="27" t="s">
        <v>554</v>
      </c>
      <c r="BL91" s="27">
        <v>0</v>
      </c>
      <c r="BM91" s="27" t="s">
        <v>615</v>
      </c>
      <c r="BN91" s="27" t="s">
        <v>1158</v>
      </c>
      <c r="BO91" s="27">
        <v>90</v>
      </c>
      <c r="BP91" s="27" t="s">
        <v>1159</v>
      </c>
      <c r="BQ91" s="27" t="s">
        <v>1160</v>
      </c>
      <c r="BR91" s="27"/>
      <c r="BS91" s="27" t="s">
        <v>557</v>
      </c>
      <c r="BT91" s="27" t="s">
        <v>558</v>
      </c>
      <c r="BU91" s="27" t="s">
        <v>197</v>
      </c>
      <c r="BV91" s="27" t="s">
        <v>105</v>
      </c>
      <c r="BW91" s="27">
        <v>1417149</v>
      </c>
      <c r="BX91" s="27" t="s">
        <v>795</v>
      </c>
      <c r="BY91" s="27" t="s">
        <v>223</v>
      </c>
      <c r="BZ91" s="27" t="s">
        <v>223</v>
      </c>
      <c r="CA91" s="30" t="s">
        <v>1164</v>
      </c>
    </row>
    <row r="92" spans="1:79" x14ac:dyDescent="0.25">
      <c r="A92" s="26" t="s">
        <v>565</v>
      </c>
      <c r="B92" s="27" t="s">
        <v>566</v>
      </c>
      <c r="C92" s="27" t="s">
        <v>843</v>
      </c>
      <c r="D92" s="27">
        <v>240</v>
      </c>
      <c r="E92" s="28" t="s">
        <v>223</v>
      </c>
      <c r="F92" s="27">
        <v>7</v>
      </c>
      <c r="G92" s="35">
        <v>46214</v>
      </c>
      <c r="H92" s="28">
        <v>46214</v>
      </c>
      <c r="I92" s="27">
        <v>-1</v>
      </c>
      <c r="J92" s="27" t="s">
        <v>568</v>
      </c>
      <c r="K92" s="35">
        <v>46216</v>
      </c>
      <c r="L92" s="27">
        <v>0</v>
      </c>
      <c r="M92" s="34">
        <f>IFERROR(IF(G92=K92,0,NETWORKDAYS(G92,K92,{"01/01/2026";"02/02/2026";"16/03/2026";"02/04/2026";"03/04/2026";"01/05/2026"})),"Faltan Fechas")</f>
        <v>1</v>
      </c>
      <c r="N92" s="33" t="str">
        <f>IFERROR(IF(OR(G92="",K92=""),"SIN DATO",IF(NETWORKDAYS(G92,K92,{"01/01/2026";"02/02/2026";"16/03/2026";"02/04/2026";"03/04/2026";"01/05/2026"})&lt;=1,"1 día o menos",IF(NETWORKDAYS(G92,K92,{"01/01/2026";"02/02/2026";"16/03/2026";"02/04/2026";"03/04/2026";"01/05/2026"})&lt;=3,"2 a 3 días",IF(NETWORKDAYS(G92,K92,{"01/01/2026";"02/02/2026";"16/03/2026";"02/04/2026";"03/04/2026";"01/05/2026"})&lt;=5,"4 a 5 días",IF(NETWORKDAYS(G92,K92,{"01/01/2026";"02/02/2026";"16/03/2026";"02/04/2026";"03/04/2026";"01/05/2026"})&lt;=10,"6 a 10 días",IF(NETWORKDAYS(G92,K92,{"01/01/2026";"02/02/2026";"16/03/2026";"02/04/2026";"03/04/2026";"01/05/2026"})&lt;=16,"11 a 15 días","más de 16 días")))))),"Aun no se entrega")</f>
        <v>1 día o menos</v>
      </c>
      <c r="O92" s="34" t="str" cm="1">
        <f t="array" ref="O92">IFERROR(
  IF(
    NETWORKDAYS(G92,K92,{"01/01/2026";"02/02/2026";"16/03/2026";"02/04/2026";"03/04/2026";"01/05/2026"}) &lt;=
    _xlfn.IFS(
      OR(TRIM(A92)="AICM", TRIM(A92)="AÉREO AICM"), 5,
      OR(TRIM(A92)="VERACRUZ", TRIM(A92)="MARÍTIMO VERACRUZ"), 6,
      OR(TRIM(A92)="AIFA", TRIM(A92)="AÉREO AIFA"), 7,
      AND(TRIM(A92)="CORRESPONSALIAS", TRIM(B92)="NUEVO LAREDO"), 6,
      TRIM(A92)="MANZANILLO", 10,
      TRIM(A92)="TOLUCA", 6,
      TRUE, 999
    ),
    "On Time",
    "Delayed"
  ),
  "Faltan fechas"
)</f>
        <v>On Time</v>
      </c>
      <c r="P92" s="36" t="s">
        <v>546</v>
      </c>
      <c r="Q92" s="28"/>
      <c r="R92" s="5">
        <f>IFERROR(IF(G92=Q92,0,NETWORKDAYS(G92,Q92,{"01/01/2026";"02/02/2026";"16/03/2026";"02/04/2026";"03/04/2026";"01/05/2026"})),"Faltan Fechas")</f>
        <v>-33004</v>
      </c>
      <c r="S92" s="4" t="str">
        <f>IFERROR(IF(OR(G92="",Q92=""),"SIN DATO",IF(NETWORKDAYS(G92,Q92,{"01/01/2026";"02/02/2026";"16/03/2026";"02/04/2026";"03/04/2026";"01/05/2026"})&lt;=1,"1 día o menos",IF(NETWORKDAYS(G92,Q92,{"01/01/2026";"02/02/2026";"16/03/2026";"02/04/2026";"03/04/2026";"01/05/2026"})&lt;=3,"2 a 3 días",IF(NETWORKDAYS(G92,Q92,{"01/01/2026";"02/02/2026";"16/03/2026";"02/04/2026";"03/04/2026";"01/05/2026"})&lt;=5,"4 a 5 días",IF(NETWORKDAYS(G92,Q92,{"01/01/2026";"02/02/2026";"16/03/2026";"02/04/2026";"03/04/2026";"01/05/2026"})&lt;=10,"6 a 10 días",IF(NETWORKDAYS(G92,Q92,{"01/01/2026";"02/02/2026";"16/03/2026";"02/04/2026";"03/04/2026";"01/05/2026"})&lt;=16,"11 a 15 días","más de 16 días")))))),"Aun no se entrega")</f>
        <v>SIN DATO</v>
      </c>
      <c r="T92" s="4" t="str" cm="1">
        <f t="array" ref="T92">IFERROR(
  IF(
    NETWORKDAYS(G92,Q92,{"01/01/2026";"02/02/2026";"16/03/2026";"02/04/2026";"03/04/2026";"01/05/2026"}) &lt;=
    _xlfn.IFS(
      OR(TRIM(A92)="AICM", TRIM(A92)="AÉREO AICM"), 5,
      OR(TRIM(A92)="VERACRUZ", TRIM(A92)="MARÍTIMO VERACRUZ"), 6,
      OR(TRIM(A92)="AIFA", TRIM(A92)="AÉREO AIFA"), 7,
      AND(TRIM(A92)="CORRESPONSALIAS", TRIM(B92)="NUEVO LAREDO"), 6,
      TRIM(A92)="MANZANILLO", 10,
      TRIM(A92)="TOLUCA", 6,
      TRUE, 999
    ),
    "On Time",
    "Delayed"
  ),
  "Faltan fechas"
)</f>
        <v>On Time</v>
      </c>
      <c r="U92" s="27">
        <v>0</v>
      </c>
      <c r="V92" s="27" t="s">
        <v>569</v>
      </c>
      <c r="W92" s="27">
        <v>30</v>
      </c>
      <c r="X92" s="27" t="s">
        <v>547</v>
      </c>
      <c r="Y92" s="27">
        <v>0</v>
      </c>
      <c r="Z92" s="27" t="s">
        <v>569</v>
      </c>
      <c r="AA92" s="27">
        <v>0</v>
      </c>
      <c r="AB92" s="27">
        <v>-46214</v>
      </c>
      <c r="AC92" s="27" t="s">
        <v>545</v>
      </c>
      <c r="AD92" s="28">
        <v>46258</v>
      </c>
      <c r="AE92" s="27" t="s">
        <v>223</v>
      </c>
      <c r="AF92" s="27">
        <v>0</v>
      </c>
      <c r="AG92" s="28">
        <v>46239</v>
      </c>
      <c r="AH92" s="28">
        <v>46239</v>
      </c>
      <c r="AI92" s="29">
        <v>13</v>
      </c>
      <c r="AJ92" s="28" t="s">
        <v>545</v>
      </c>
      <c r="AK92" s="28">
        <v>46258</v>
      </c>
      <c r="AL92" s="5">
        <f>IFERROR(IF(Q92=AK92,0,NETWORKDAYS(Q92,AK92,{"01/01/2026";"02/02/2026";"16/03/2026";"02/04/2026";"03/04/2026";"01/05/2026"})),"aun no se factura")</f>
        <v>33035</v>
      </c>
      <c r="AM92" s="4" t="str">
        <f>IFERROR(IF(OR(Q92="",AK92=""),"SIN DATO",IF(NETWORKDAYS(Q92,AK92,{"01/01/2026";"02/02/2026";"16/03/2026";"02/04/2026";"03/04/2026";"01/05/2026"})&lt;=1,"1 día o menos",IF(NETWORKDAYS(Q92,AK92,{"01/01/2026";"02/02/2026";"16/03/2026";"02/04/2026";"03/04/2026";"01/05/2026"})&lt;=3,"2 a 3 días",IF(NETWORKDAYS(Q92,AK92,{"01/01/2026";"02/02/2026";"16/03/2026";"02/04/2026";"03/04/2026";"01/05/2026"})&lt;=5,"4 a 5 días",IF(NETWORKDAYS(Q92,AK92,{"01/01/2026";"02/02/2026";"16/03/2026";"02/04/2026";"03/04/2026";"01/05/2026"})&lt;=10,"6 a 10 días",IF(NETWORKDAYS(Q92,AK92,{"01/01/2026";"02/02/2026";"16/03/2026";"02/04/2026";"03/04/2026";"01/05/2026"})&lt;=16,"11 a 15 días","más de 16 días")))))),"aun no se factura")</f>
        <v>SIN DATO</v>
      </c>
      <c r="AN92" s="4" t="str" cm="1">
        <f t="array" ref="AN92">IFERROR(
  IF(
    NETWORKDAYS(Q92,AK92,{"01/01/2026";"02/02/2026";"16/03/2026";"02/04/2026";"03/04/2026";"01/05/2026"}) &lt;=
    _xlfn.IFS(
      OR(TRIM(A92)="AICM", TRIM(A92)="AÉREO AICM"), 5,
      OR(TRIM(A92)="VERACRUZ", TRIM(A92)="MARÍTIMO VERACRUZ"), 6,
      OR(TRIM(A92)="AIFA", TRIM(A92)="AÉREO AIFA"), 7,
      AND(TRIM(A92)="CORRESPONSALIAS", TRIM(B92)="NUEVO LAREDO"), 6,
      TRIM(A92)="MANZANILLO", 10,
      TRIM(A92)="TOLUCA", 6,
      TRUE, 999
    ),
    "On Time",
    "Delayed"
  ),
  "Faltan fechas"
)</f>
        <v>Delayed</v>
      </c>
      <c r="AO92" s="29">
        <v>0</v>
      </c>
      <c r="AP92" s="28" t="s">
        <v>548</v>
      </c>
      <c r="AQ92" s="27" t="s">
        <v>93</v>
      </c>
      <c r="AR92" s="27" t="s">
        <v>285</v>
      </c>
      <c r="AS92" s="27" t="s">
        <v>223</v>
      </c>
      <c r="AT92" s="27" t="s">
        <v>223</v>
      </c>
      <c r="AU92" s="29">
        <v>6024571</v>
      </c>
      <c r="AV92" s="27" t="s">
        <v>92</v>
      </c>
      <c r="AW92" s="27" t="s">
        <v>570</v>
      </c>
      <c r="AX92" s="27" t="s">
        <v>549</v>
      </c>
      <c r="AY92" s="27"/>
      <c r="AZ92" s="27" t="s">
        <v>550</v>
      </c>
      <c r="BA92" s="27" t="s">
        <v>90</v>
      </c>
      <c r="BB92" s="27"/>
      <c r="BC92" s="27"/>
      <c r="BD92" s="27"/>
      <c r="BE92" s="27"/>
      <c r="BF92" s="27" t="s">
        <v>397</v>
      </c>
      <c r="BG92" s="27" t="s">
        <v>552</v>
      </c>
      <c r="BH92" s="27" t="s">
        <v>223</v>
      </c>
      <c r="BI92" s="27"/>
      <c r="BJ92" s="27"/>
      <c r="BK92" s="27" t="s">
        <v>554</v>
      </c>
      <c r="BL92" s="27" t="s">
        <v>223</v>
      </c>
      <c r="BM92" s="27" t="s">
        <v>223</v>
      </c>
      <c r="BN92" s="27" t="s">
        <v>223</v>
      </c>
      <c r="BO92" s="27">
        <v>90</v>
      </c>
      <c r="BP92" s="27" t="s">
        <v>223</v>
      </c>
      <c r="BQ92" s="27" t="s">
        <v>223</v>
      </c>
      <c r="BR92" s="27"/>
      <c r="BS92" s="27" t="s">
        <v>223</v>
      </c>
      <c r="BT92" s="27" t="s">
        <v>223</v>
      </c>
      <c r="BU92" s="27" t="s">
        <v>223</v>
      </c>
      <c r="BV92" s="27" t="s">
        <v>223</v>
      </c>
      <c r="BW92" s="27" t="s">
        <v>223</v>
      </c>
      <c r="BX92" s="27" t="s">
        <v>223</v>
      </c>
      <c r="BY92" s="27" t="s">
        <v>223</v>
      </c>
      <c r="BZ92" s="27" t="s">
        <v>223</v>
      </c>
      <c r="CA92" s="30" t="s">
        <v>844</v>
      </c>
    </row>
    <row r="93" spans="1:79" x14ac:dyDescent="0.25">
      <c r="A93" s="26" t="s">
        <v>577</v>
      </c>
      <c r="B93" s="27" t="s">
        <v>578</v>
      </c>
      <c r="C93" s="27" t="s">
        <v>1120</v>
      </c>
      <c r="D93" s="27">
        <v>430</v>
      </c>
      <c r="E93" s="28">
        <v>46212</v>
      </c>
      <c r="F93" s="27">
        <v>7</v>
      </c>
      <c r="G93" s="35">
        <v>46203</v>
      </c>
      <c r="H93" s="28">
        <v>46212</v>
      </c>
      <c r="I93" s="27">
        <v>7</v>
      </c>
      <c r="J93" s="27" t="s">
        <v>544</v>
      </c>
      <c r="K93" s="35">
        <v>46214</v>
      </c>
      <c r="L93" s="27">
        <v>8</v>
      </c>
      <c r="M93" s="34">
        <f>IFERROR(IF(G93=K93,0,NETWORKDAYS(G93,K93,{"01/01/2026";"02/02/2026";"16/03/2026";"02/04/2026";"03/04/2026";"01/05/2026"})),"Faltan Fechas")</f>
        <v>9</v>
      </c>
      <c r="N93" s="33" t="str">
        <f>IFERROR(IF(OR(G93="",K93=""),"SIN DATO",IF(NETWORKDAYS(G93,K93,{"01/01/2026";"02/02/2026";"16/03/2026";"02/04/2026";"03/04/2026";"01/05/2026"})&lt;=1,"1 día o menos",IF(NETWORKDAYS(G93,K93,{"01/01/2026";"02/02/2026";"16/03/2026";"02/04/2026";"03/04/2026";"01/05/2026"})&lt;=3,"2 a 3 días",IF(NETWORKDAYS(G93,K93,{"01/01/2026";"02/02/2026";"16/03/2026";"02/04/2026";"03/04/2026";"01/05/2026"})&lt;=5,"4 a 5 días",IF(NETWORKDAYS(G93,K93,{"01/01/2026";"02/02/2026";"16/03/2026";"02/04/2026";"03/04/2026";"01/05/2026"})&lt;=10,"6 a 10 días",IF(NETWORKDAYS(G93,K93,{"01/01/2026";"02/02/2026";"16/03/2026";"02/04/2026";"03/04/2026";"01/05/2026"})&lt;=16,"11 a 15 días","más de 16 días")))))),"Aun no se entrega")</f>
        <v>6 a 10 días</v>
      </c>
      <c r="O93" s="34" t="str" cm="1">
        <f t="array" ref="O93">IFERROR(
  IF(
    NETWORKDAYS(G93,K93,{"01/01/2026";"02/02/2026";"16/03/2026";"02/04/2026";"03/04/2026";"01/05/2026"}) &lt;=
    _xlfn.IFS(
      OR(TRIM(A93)="AICM", TRIM(A93)="AÉREO AICM"), 5,
      OR(TRIM(A93)="VERACRUZ", TRIM(A93)="MARÍTIMO VERACRUZ"), 6,
      OR(TRIM(A93)="AIFA", TRIM(A93)="AÉREO AIFA"), 7,
      AND(TRIM(A93)="CORRESPONSALIAS", TRIM(B93)="NUEVO LAREDO"), 6,
      TRIM(A93)="MANZANILLO", 10,
      TRIM(A93)="TOLUCA", 6,
      TRUE, 999
    ),
    "On Time",
    "Delayed"
  ),
  "Faltan fechas"
)</f>
        <v>Delayed</v>
      </c>
      <c r="P93" s="36" t="s">
        <v>544</v>
      </c>
      <c r="Q93" s="28">
        <v>46216</v>
      </c>
      <c r="R93" s="5">
        <f>IFERROR(IF(G93=Q93,0,NETWORKDAYS(G93,Q93,{"01/01/2026";"02/02/2026";"16/03/2026";"02/04/2026";"03/04/2026";"01/05/2026"})),"Faltan Fechas")</f>
        <v>10</v>
      </c>
      <c r="S93" s="4" t="str">
        <f>IFERROR(IF(OR(G93="",Q93=""),"SIN DATO",IF(NETWORKDAYS(G93,Q93,{"01/01/2026";"02/02/2026";"16/03/2026";"02/04/2026";"03/04/2026";"01/05/2026"})&lt;=1,"1 día o menos",IF(NETWORKDAYS(G93,Q93,{"01/01/2026";"02/02/2026";"16/03/2026";"02/04/2026";"03/04/2026";"01/05/2026"})&lt;=3,"2 a 3 días",IF(NETWORKDAYS(G93,Q93,{"01/01/2026";"02/02/2026";"16/03/2026";"02/04/2026";"03/04/2026";"01/05/2026"})&lt;=5,"4 a 5 días",IF(NETWORKDAYS(G93,Q93,{"01/01/2026";"02/02/2026";"16/03/2026";"02/04/2026";"03/04/2026";"01/05/2026"})&lt;=10,"6 a 10 días",IF(NETWORKDAYS(G93,Q93,{"01/01/2026";"02/02/2026";"16/03/2026";"02/04/2026";"03/04/2026";"01/05/2026"})&lt;=16,"11 a 15 días","más de 16 días")))))),"Aun no se entrega")</f>
        <v>6 a 10 días</v>
      </c>
      <c r="T93" s="4" t="str" cm="1">
        <f t="array" ref="T93">IFERROR(
  IF(
    NETWORKDAYS(G93,Q93,{"01/01/2026";"02/02/2026";"16/03/2026";"02/04/2026";"03/04/2026";"01/05/2026"}) &lt;=
    _xlfn.IFS(
      OR(TRIM(A93)="AICM", TRIM(A93)="AÉREO AICM"), 5,
      OR(TRIM(A93)="VERACRUZ", TRIM(A93)="MARÍTIMO VERACRUZ"), 6,
      OR(TRIM(A93)="AIFA", TRIM(A93)="AÉREO AIFA"), 7,
      AND(TRIM(A93)="CORRESPONSALIAS", TRIM(B93)="NUEVO LAREDO"), 6,
      TRIM(A93)="MANZANILLO", 10,
      TRIM(A93)="TOLUCA", 6,
      TRUE, 999
    ),
    "On Time",
    "Delayed"
  ),
  "Faltan fechas"
)</f>
        <v>Delayed</v>
      </c>
      <c r="U93" s="27">
        <v>9</v>
      </c>
      <c r="V93" s="27" t="s">
        <v>544</v>
      </c>
      <c r="W93" s="27">
        <v>24</v>
      </c>
      <c r="X93" s="27" t="s">
        <v>547</v>
      </c>
      <c r="Y93" s="27">
        <v>2</v>
      </c>
      <c r="Z93" s="27" t="s">
        <v>579</v>
      </c>
      <c r="AA93" s="27">
        <v>2</v>
      </c>
      <c r="AB93" s="27">
        <v>2</v>
      </c>
      <c r="AC93" s="27" t="s">
        <v>579</v>
      </c>
      <c r="AD93" s="28">
        <v>46237</v>
      </c>
      <c r="AE93" s="27">
        <v>15</v>
      </c>
      <c r="AF93" s="27">
        <v>15</v>
      </c>
      <c r="AG93" s="28">
        <v>46237</v>
      </c>
      <c r="AH93" s="28">
        <v>46237</v>
      </c>
      <c r="AI93" s="29">
        <v>0</v>
      </c>
      <c r="AJ93" s="28" t="s">
        <v>547</v>
      </c>
      <c r="AK93" s="28">
        <v>46237</v>
      </c>
      <c r="AL93" s="5">
        <f>IFERROR(IF(Q93=AK93,0,NETWORKDAYS(Q93,AK93,{"01/01/2026";"02/02/2026";"16/03/2026";"02/04/2026";"03/04/2026";"01/05/2026"})),"aun no se factura")</f>
        <v>16</v>
      </c>
      <c r="AM93" s="4" t="str">
        <f>IFERROR(IF(OR(Q93="",AK93=""),"SIN DATO",IF(NETWORKDAYS(Q93,AK93,{"01/01/2026";"02/02/2026";"16/03/2026";"02/04/2026";"03/04/2026";"01/05/2026"})&lt;=1,"1 día o menos",IF(NETWORKDAYS(Q93,AK93,{"01/01/2026";"02/02/2026";"16/03/2026";"02/04/2026";"03/04/2026";"01/05/2026"})&lt;=3,"2 a 3 días",IF(NETWORKDAYS(Q93,AK93,{"01/01/2026";"02/02/2026";"16/03/2026";"02/04/2026";"03/04/2026";"01/05/2026"})&lt;=5,"4 a 5 días",IF(NETWORKDAYS(Q93,AK93,{"01/01/2026";"02/02/2026";"16/03/2026";"02/04/2026";"03/04/2026";"01/05/2026"})&lt;=10,"6 a 10 días",IF(NETWORKDAYS(Q93,AK93,{"01/01/2026";"02/02/2026";"16/03/2026";"02/04/2026";"03/04/2026";"01/05/2026"})&lt;=16,"11 a 15 días","más de 16 días")))))),"aun no se factura")</f>
        <v>11 a 15 días</v>
      </c>
      <c r="AN93" s="4" t="str" cm="1">
        <f t="array" ref="AN93">IFERROR(
  IF(
    NETWORKDAYS(Q93,AK93,{"01/01/2026";"02/02/2026";"16/03/2026";"02/04/2026";"03/04/2026";"01/05/2026"}) &lt;=
    _xlfn.IFS(
      OR(TRIM(A93)="AICM", TRIM(A93)="AÉREO AICM"), 5,
      OR(TRIM(A93)="VERACRUZ", TRIM(A93)="MARÍTIMO VERACRUZ"), 6,
      OR(TRIM(A93)="AIFA", TRIM(A93)="AÉREO AIFA"), 7,
      AND(TRIM(A93)="CORRESPONSALIAS", TRIM(B93)="NUEVO LAREDO"), 6,
      TRIM(A93)="MANZANILLO", 10,
      TRIM(A93)="TOLUCA", 6,
      TRUE, 999
    ),
    "On Time",
    "Delayed"
  ),
  "Faltan fechas"
)</f>
        <v>Delayed</v>
      </c>
      <c r="AO93" s="29">
        <v>1</v>
      </c>
      <c r="AP93" s="28" t="s">
        <v>548</v>
      </c>
      <c r="AQ93" s="27" t="s">
        <v>93</v>
      </c>
      <c r="AR93" s="27" t="s">
        <v>112</v>
      </c>
      <c r="AS93" s="27" t="s">
        <v>1121</v>
      </c>
      <c r="AT93" s="27" t="s">
        <v>223</v>
      </c>
      <c r="AU93" s="29">
        <v>6000861</v>
      </c>
      <c r="AV93" s="27" t="s">
        <v>92</v>
      </c>
      <c r="AW93" s="27" t="s">
        <v>203</v>
      </c>
      <c r="AX93" s="27" t="s">
        <v>549</v>
      </c>
      <c r="AY93" s="27"/>
      <c r="AZ93" s="27" t="s">
        <v>550</v>
      </c>
      <c r="BA93" s="27" t="s">
        <v>90</v>
      </c>
      <c r="BB93" s="27"/>
      <c r="BC93" s="27" t="s">
        <v>107</v>
      </c>
      <c r="BD93" s="27" t="s">
        <v>1122</v>
      </c>
      <c r="BE93" s="27" t="s">
        <v>107</v>
      </c>
      <c r="BF93" s="27" t="s">
        <v>576</v>
      </c>
      <c r="BG93" s="27" t="s">
        <v>552</v>
      </c>
      <c r="BH93" s="27" t="s">
        <v>580</v>
      </c>
      <c r="BI93" s="27"/>
      <c r="BJ93" s="27" t="s">
        <v>597</v>
      </c>
      <c r="BK93" s="27" t="s">
        <v>554</v>
      </c>
      <c r="BL93" s="27">
        <v>0</v>
      </c>
      <c r="BM93" s="27">
        <v>0.99</v>
      </c>
      <c r="BN93" s="27" t="s">
        <v>1123</v>
      </c>
      <c r="BO93" s="27">
        <v>90</v>
      </c>
      <c r="BP93" s="27" t="s">
        <v>1124</v>
      </c>
      <c r="BQ93" s="27" t="s">
        <v>1125</v>
      </c>
      <c r="BR93" s="27"/>
      <c r="BS93" s="27" t="s">
        <v>1126</v>
      </c>
      <c r="BT93" s="27" t="s">
        <v>558</v>
      </c>
      <c r="BU93" s="27" t="s">
        <v>1127</v>
      </c>
      <c r="BV93" s="27" t="s">
        <v>105</v>
      </c>
      <c r="BW93" s="27">
        <v>5242088</v>
      </c>
      <c r="BX93" s="27" t="s">
        <v>802</v>
      </c>
      <c r="BY93" s="27" t="s">
        <v>1128</v>
      </c>
      <c r="BZ93" s="27" t="s">
        <v>1129</v>
      </c>
      <c r="CA93" s="30" t="s">
        <v>1130</v>
      </c>
    </row>
    <row r="94" spans="1:79" x14ac:dyDescent="0.25">
      <c r="A94" s="26" t="s">
        <v>577</v>
      </c>
      <c r="B94" s="27" t="s">
        <v>578</v>
      </c>
      <c r="C94" s="27" t="s">
        <v>1149</v>
      </c>
      <c r="D94" s="27">
        <v>430</v>
      </c>
      <c r="E94" s="28">
        <v>46216</v>
      </c>
      <c r="F94" s="27">
        <v>7</v>
      </c>
      <c r="G94" s="35">
        <v>46179</v>
      </c>
      <c r="H94" s="28">
        <v>46216</v>
      </c>
      <c r="I94" s="27">
        <v>25</v>
      </c>
      <c r="J94" s="27" t="s">
        <v>568</v>
      </c>
      <c r="K94" s="35">
        <v>46218</v>
      </c>
      <c r="L94" s="27">
        <v>27</v>
      </c>
      <c r="M94" s="34">
        <f>IFERROR(IF(G94=K94,0,NETWORKDAYS(G94,K94,{"01/01/2026";"02/02/2026";"16/03/2026";"02/04/2026";"03/04/2026";"01/05/2026"})),"Faltan Fechas")</f>
        <v>28</v>
      </c>
      <c r="N94" s="33" t="str">
        <f>IFERROR(IF(OR(G94="",K94=""),"SIN DATO",IF(NETWORKDAYS(G94,K94,{"01/01/2026";"02/02/2026";"16/03/2026";"02/04/2026";"03/04/2026";"01/05/2026"})&lt;=1,"1 día o menos",IF(NETWORKDAYS(G94,K94,{"01/01/2026";"02/02/2026";"16/03/2026";"02/04/2026";"03/04/2026";"01/05/2026"})&lt;=3,"2 a 3 días",IF(NETWORKDAYS(G94,K94,{"01/01/2026";"02/02/2026";"16/03/2026";"02/04/2026";"03/04/2026";"01/05/2026"})&lt;=5,"4 a 5 días",IF(NETWORKDAYS(G94,K94,{"01/01/2026";"02/02/2026";"16/03/2026";"02/04/2026";"03/04/2026";"01/05/2026"})&lt;=10,"6 a 10 días",IF(NETWORKDAYS(G94,K94,{"01/01/2026";"02/02/2026";"16/03/2026";"02/04/2026";"03/04/2026";"01/05/2026"})&lt;=16,"11 a 15 días","más de 16 días")))))),"Aun no se entrega")</f>
        <v>más de 16 días</v>
      </c>
      <c r="O94" s="34" t="str" cm="1">
        <f t="array" ref="O94">IFERROR(
  IF(
    NETWORKDAYS(G94,K94,{"01/01/2026";"02/02/2026";"16/03/2026";"02/04/2026";"03/04/2026";"01/05/2026"}) &lt;=
    _xlfn.IFS(
      OR(TRIM(A94)="AICM", TRIM(A94)="AÉREO AICM"), 5,
      OR(TRIM(A94)="VERACRUZ", TRIM(A94)="MARÍTIMO VERACRUZ"), 6,
      OR(TRIM(A94)="AIFA", TRIM(A94)="AÉREO AIFA"), 7,
      AND(TRIM(A94)="CORRESPONSALIAS", TRIM(B94)="NUEVO LAREDO"), 6,
      TRIM(A94)="MANZANILLO", 10,
      TRIM(A94)="TOLUCA", 6,
      TRUE, 999
    ),
    "On Time",
    "Delayed"
  ),
  "Faltan fechas"
)</f>
        <v>Delayed</v>
      </c>
      <c r="P94" s="36" t="s">
        <v>568</v>
      </c>
      <c r="Q94" s="28"/>
      <c r="R94" s="5">
        <f>IFERROR(IF(G94=Q94,0,NETWORKDAYS(G94,Q94,{"01/01/2026";"02/02/2026";"16/03/2026";"02/04/2026";"03/04/2026";"01/05/2026"})),"Faltan Fechas")</f>
        <v>-32979</v>
      </c>
      <c r="S94" s="4" t="str">
        <f>IFERROR(IF(OR(G94="",Q94=""),"SIN DATO",IF(NETWORKDAYS(G94,Q94,{"01/01/2026";"02/02/2026";"16/03/2026";"02/04/2026";"03/04/2026";"01/05/2026"})&lt;=1,"1 día o menos",IF(NETWORKDAYS(G94,Q94,{"01/01/2026";"02/02/2026";"16/03/2026";"02/04/2026";"03/04/2026";"01/05/2026"})&lt;=3,"2 a 3 días",IF(NETWORKDAYS(G94,Q94,{"01/01/2026";"02/02/2026";"16/03/2026";"02/04/2026";"03/04/2026";"01/05/2026"})&lt;=5,"4 a 5 días",IF(NETWORKDAYS(G94,Q94,{"01/01/2026";"02/02/2026";"16/03/2026";"02/04/2026";"03/04/2026";"01/05/2026"})&lt;=10,"6 a 10 días",IF(NETWORKDAYS(G94,Q94,{"01/01/2026";"02/02/2026";"16/03/2026";"02/04/2026";"03/04/2026";"01/05/2026"})&lt;=16,"11 a 15 días","más de 16 días")))))),"Aun no se entrega")</f>
        <v>SIN DATO</v>
      </c>
      <c r="T94" s="4" t="str" cm="1">
        <f t="array" ref="T94">IFERROR(
  IF(
    NETWORKDAYS(G94,Q94,{"01/01/2026";"02/02/2026";"16/03/2026";"02/04/2026";"03/04/2026";"01/05/2026"}) &lt;=
    _xlfn.IFS(
      OR(TRIM(A94)="AICM", TRIM(A94)="AÉREO AICM"), 5,
      OR(TRIM(A94)="VERACRUZ", TRIM(A94)="MARÍTIMO VERACRUZ"), 6,
      OR(TRIM(A94)="AIFA", TRIM(A94)="AÉREO AIFA"), 7,
      AND(TRIM(A94)="CORRESPONSALIAS", TRIM(B94)="NUEVO LAREDO"), 6,
      TRIM(A94)="MANZANILLO", 10,
      TRIM(A94)="TOLUCA", 6,
      TRUE, 999
    ),
    "On Time",
    "Delayed"
  ),
  "Faltan fechas"
)</f>
        <v>On Time</v>
      </c>
      <c r="U94" s="27">
        <v>0</v>
      </c>
      <c r="V94" s="27" t="s">
        <v>569</v>
      </c>
      <c r="W94" s="27">
        <v>40</v>
      </c>
      <c r="X94" s="27" t="s">
        <v>547</v>
      </c>
      <c r="Y94" s="27">
        <v>2</v>
      </c>
      <c r="Z94" s="27" t="s">
        <v>579</v>
      </c>
      <c r="AA94" s="27">
        <v>2</v>
      </c>
      <c r="AB94" s="27">
        <v>-46216</v>
      </c>
      <c r="AC94" s="27" t="s">
        <v>545</v>
      </c>
      <c r="AD94" s="28">
        <v>46237</v>
      </c>
      <c r="AE94" s="27" t="s">
        <v>223</v>
      </c>
      <c r="AF94" s="27">
        <v>33025</v>
      </c>
      <c r="AG94" s="28">
        <v>46237</v>
      </c>
      <c r="AH94" s="28">
        <v>46237</v>
      </c>
      <c r="AI94" s="29">
        <v>0</v>
      </c>
      <c r="AJ94" s="28" t="s">
        <v>545</v>
      </c>
      <c r="AK94" s="28">
        <v>46237</v>
      </c>
      <c r="AL94" s="5">
        <f>IFERROR(IF(Q94=AK94,0,NETWORKDAYS(Q94,AK94,{"01/01/2026";"02/02/2026";"16/03/2026";"02/04/2026";"03/04/2026";"01/05/2026"})),"aun no se factura")</f>
        <v>33020</v>
      </c>
      <c r="AM94" s="4" t="str">
        <f>IFERROR(IF(OR(Q94="",AK94=""),"SIN DATO",IF(NETWORKDAYS(Q94,AK94,{"01/01/2026";"02/02/2026";"16/03/2026";"02/04/2026";"03/04/2026";"01/05/2026"})&lt;=1,"1 día o menos",IF(NETWORKDAYS(Q94,AK94,{"01/01/2026";"02/02/2026";"16/03/2026";"02/04/2026";"03/04/2026";"01/05/2026"})&lt;=3,"2 a 3 días",IF(NETWORKDAYS(Q94,AK94,{"01/01/2026";"02/02/2026";"16/03/2026";"02/04/2026";"03/04/2026";"01/05/2026"})&lt;=5,"4 a 5 días",IF(NETWORKDAYS(Q94,AK94,{"01/01/2026";"02/02/2026";"16/03/2026";"02/04/2026";"03/04/2026";"01/05/2026"})&lt;=10,"6 a 10 días",IF(NETWORKDAYS(Q94,AK94,{"01/01/2026";"02/02/2026";"16/03/2026";"02/04/2026";"03/04/2026";"01/05/2026"})&lt;=16,"11 a 15 días","más de 16 días")))))),"aun no se factura")</f>
        <v>SIN DATO</v>
      </c>
      <c r="AN94" s="4" t="str" cm="1">
        <f t="array" ref="AN94">IFERROR(
  IF(
    NETWORKDAYS(Q94,AK94,{"01/01/2026";"02/02/2026";"16/03/2026";"02/04/2026";"03/04/2026";"01/05/2026"}) &lt;=
    _xlfn.IFS(
      OR(TRIM(A94)="AICM", TRIM(A94)="AÉREO AICM"), 5,
      OR(TRIM(A94)="VERACRUZ", TRIM(A94)="MARÍTIMO VERACRUZ"), 6,
      OR(TRIM(A94)="AIFA", TRIM(A94)="AÉREO AIFA"), 7,
      AND(TRIM(A94)="CORRESPONSALIAS", TRIM(B94)="NUEVO LAREDO"), 6,
      TRIM(A94)="MANZANILLO", 10,
      TRIM(A94)="TOLUCA", 6,
      TRUE, 999
    ),
    "On Time",
    "Delayed"
  ),
  "Faltan fechas"
)</f>
        <v>Delayed</v>
      </c>
      <c r="AO94" s="29">
        <v>0</v>
      </c>
      <c r="AP94" s="28" t="s">
        <v>548</v>
      </c>
      <c r="AQ94" s="27" t="s">
        <v>93</v>
      </c>
      <c r="AR94" s="27" t="s">
        <v>112</v>
      </c>
      <c r="AS94" s="27" t="s">
        <v>1150</v>
      </c>
      <c r="AT94" s="27" t="s">
        <v>223</v>
      </c>
      <c r="AU94" s="29">
        <v>6000865</v>
      </c>
      <c r="AV94" s="27" t="s">
        <v>92</v>
      </c>
      <c r="AW94" s="27" t="s">
        <v>1151</v>
      </c>
      <c r="AX94" s="27" t="s">
        <v>549</v>
      </c>
      <c r="AY94" s="27"/>
      <c r="AZ94" s="27" t="s">
        <v>550</v>
      </c>
      <c r="BA94" s="27" t="s">
        <v>90</v>
      </c>
      <c r="BB94" s="27"/>
      <c r="BC94" s="27"/>
      <c r="BD94" s="27"/>
      <c r="BE94" s="27"/>
      <c r="BF94" s="27"/>
      <c r="BG94" s="27" t="s">
        <v>552</v>
      </c>
      <c r="BH94" s="27" t="s">
        <v>223</v>
      </c>
      <c r="BI94" s="27"/>
      <c r="BJ94" s="27"/>
      <c r="BK94" s="27" t="s">
        <v>554</v>
      </c>
      <c r="BL94" s="27">
        <v>0</v>
      </c>
      <c r="BM94" s="27">
        <v>99</v>
      </c>
      <c r="BN94" s="27" t="s">
        <v>555</v>
      </c>
      <c r="BO94" s="27">
        <v>90</v>
      </c>
      <c r="BP94" s="27" t="s">
        <v>1152</v>
      </c>
      <c r="BQ94" s="27" t="s">
        <v>103</v>
      </c>
      <c r="BR94" s="27"/>
      <c r="BS94" s="27" t="s">
        <v>557</v>
      </c>
      <c r="BT94" s="27" t="s">
        <v>558</v>
      </c>
      <c r="BU94" s="27" t="s">
        <v>197</v>
      </c>
      <c r="BV94" s="27" t="s">
        <v>105</v>
      </c>
      <c r="BW94" s="27">
        <v>180865</v>
      </c>
      <c r="BX94" s="27" t="s">
        <v>1153</v>
      </c>
      <c r="BY94" s="27" t="s">
        <v>1154</v>
      </c>
      <c r="BZ94" s="27" t="s">
        <v>223</v>
      </c>
      <c r="CA94" s="30" t="s">
        <v>1155</v>
      </c>
    </row>
    <row r="95" spans="1:79" x14ac:dyDescent="0.25">
      <c r="A95" s="26" t="s">
        <v>577</v>
      </c>
      <c r="B95" s="27" t="s">
        <v>578</v>
      </c>
      <c r="C95" s="27" t="s">
        <v>1167</v>
      </c>
      <c r="D95" s="27">
        <v>430</v>
      </c>
      <c r="E95" s="28">
        <v>46204</v>
      </c>
      <c r="F95" s="27">
        <v>7</v>
      </c>
      <c r="G95" s="35">
        <v>46199</v>
      </c>
      <c r="H95" s="28">
        <v>46204</v>
      </c>
      <c r="I95" s="27">
        <v>3</v>
      </c>
      <c r="J95" s="27" t="s">
        <v>579</v>
      </c>
      <c r="K95" s="35">
        <v>46205</v>
      </c>
      <c r="L95" s="27">
        <v>4</v>
      </c>
      <c r="M95" s="34">
        <f>IFERROR(IF(G95=K95,0,NETWORKDAYS(G95,K95,{"01/01/2026";"02/02/2026";"16/03/2026";"02/04/2026";"03/04/2026";"01/05/2026"})),"Faltan Fechas")</f>
        <v>5</v>
      </c>
      <c r="N95" s="33" t="str">
        <f>IFERROR(IF(OR(G95="",K95=""),"SIN DATO",IF(NETWORKDAYS(G95,K95,{"01/01/2026";"02/02/2026";"16/03/2026";"02/04/2026";"03/04/2026";"01/05/2026"})&lt;=1,"1 día o menos",IF(NETWORKDAYS(G95,K95,{"01/01/2026";"02/02/2026";"16/03/2026";"02/04/2026";"03/04/2026";"01/05/2026"})&lt;=3,"2 a 3 días",IF(NETWORKDAYS(G95,K95,{"01/01/2026";"02/02/2026";"16/03/2026";"02/04/2026";"03/04/2026";"01/05/2026"})&lt;=5,"4 a 5 días",IF(NETWORKDAYS(G95,K95,{"01/01/2026";"02/02/2026";"16/03/2026";"02/04/2026";"03/04/2026";"01/05/2026"})&lt;=10,"6 a 10 días",IF(NETWORKDAYS(G95,K95,{"01/01/2026";"02/02/2026";"16/03/2026";"02/04/2026";"03/04/2026";"01/05/2026"})&lt;=16,"11 a 15 días","más de 16 días")))))),"Aun no se entrega")</f>
        <v>4 a 5 días</v>
      </c>
      <c r="O95" s="34" t="str" cm="1">
        <f t="array" ref="O95">IFERROR(
  IF(
    NETWORKDAYS(G95,K95,{"01/01/2026";"02/02/2026";"16/03/2026";"02/04/2026";"03/04/2026";"01/05/2026"}) &lt;=
    _xlfn.IFS(
      OR(TRIM(A95)="AICM", TRIM(A95)="AÉREO AICM"), 5,
      OR(TRIM(A95)="VERACRUZ", TRIM(A95)="MARÍTIMO VERACRUZ"), 6,
      OR(TRIM(A95)="AIFA", TRIM(A95)="AÉREO AIFA"), 7,
      AND(TRIM(A95)="CORRESPONSALIAS", TRIM(B95)="NUEVO LAREDO"), 6,
      TRIM(A95)="MANZANILLO", 10,
      TRIM(A95)="TOLUCA", 6,
      TRUE, 999
    ),
    "On Time",
    "Delayed"
  ),
  "Faltan fechas"
)</f>
        <v>On Time</v>
      </c>
      <c r="P95" s="36" t="s">
        <v>543</v>
      </c>
      <c r="Q95" s="28">
        <v>46206</v>
      </c>
      <c r="R95" s="5">
        <f>IFERROR(IF(G95=Q95,0,NETWORKDAYS(G95,Q95,{"01/01/2026";"02/02/2026";"16/03/2026";"02/04/2026";"03/04/2026";"01/05/2026"})),"Faltan Fechas")</f>
        <v>6</v>
      </c>
      <c r="S95" s="4" t="str">
        <f>IFERROR(IF(OR(G95="",Q95=""),"SIN DATO",IF(NETWORKDAYS(G95,Q95,{"01/01/2026";"02/02/2026";"16/03/2026";"02/04/2026";"03/04/2026";"01/05/2026"})&lt;=1,"1 día o menos",IF(NETWORKDAYS(G95,Q95,{"01/01/2026";"02/02/2026";"16/03/2026";"02/04/2026";"03/04/2026";"01/05/2026"})&lt;=3,"2 a 3 días",IF(NETWORKDAYS(G95,Q95,{"01/01/2026";"02/02/2026";"16/03/2026";"02/04/2026";"03/04/2026";"01/05/2026"})&lt;=5,"4 a 5 días",IF(NETWORKDAYS(G95,Q95,{"01/01/2026";"02/02/2026";"16/03/2026";"02/04/2026";"03/04/2026";"01/05/2026"})&lt;=10,"6 a 10 días",IF(NETWORKDAYS(G95,Q95,{"01/01/2026";"02/02/2026";"16/03/2026";"02/04/2026";"03/04/2026";"01/05/2026"})&lt;=16,"11 a 15 días","más de 16 días")))))),"Aun no se entrega")</f>
        <v>6 a 10 días</v>
      </c>
      <c r="T95" s="4" t="str" cm="1">
        <f t="array" ref="T95">IFERROR(
  IF(
    NETWORKDAYS(G95,Q95,{"01/01/2026";"02/02/2026";"16/03/2026";"02/04/2026";"03/04/2026";"01/05/2026"}) &lt;=
    _xlfn.IFS(
      OR(TRIM(A95)="AICM", TRIM(A95)="AÉREO AICM"), 5,
      OR(TRIM(A95)="VERACRUZ", TRIM(A95)="MARÍTIMO VERACRUZ"), 6,
      OR(TRIM(A95)="AIFA", TRIM(A95)="AÉREO AIFA"), 7,
      AND(TRIM(A95)="CORRESPONSALIAS", TRIM(B95)="NUEVO LAREDO"), 6,
      TRIM(A95)="MANZANILLO", 10,
      TRIM(A95)="TOLUCA", 6,
      TRUE, 999
    ),
    "On Time",
    "Delayed"
  ),
  "Faltan fechas"
)</f>
        <v>On Time</v>
      </c>
      <c r="U95" s="27">
        <v>5</v>
      </c>
      <c r="V95" s="27" t="s">
        <v>543</v>
      </c>
      <c r="W95" s="27">
        <v>12</v>
      </c>
      <c r="X95" s="27" t="s">
        <v>559</v>
      </c>
      <c r="Y95" s="27">
        <v>1</v>
      </c>
      <c r="Z95" s="27" t="s">
        <v>546</v>
      </c>
      <c r="AA95" s="27">
        <v>1</v>
      </c>
      <c r="AB95" s="27">
        <v>1</v>
      </c>
      <c r="AC95" s="27" t="s">
        <v>546</v>
      </c>
      <c r="AD95" s="28">
        <v>46217</v>
      </c>
      <c r="AE95" s="27">
        <v>7</v>
      </c>
      <c r="AF95" s="27">
        <v>7</v>
      </c>
      <c r="AG95" s="28">
        <v>46217</v>
      </c>
      <c r="AH95" s="28">
        <v>46217</v>
      </c>
      <c r="AI95" s="29">
        <v>0</v>
      </c>
      <c r="AJ95" s="28" t="s">
        <v>559</v>
      </c>
      <c r="AK95" s="28">
        <v>46217</v>
      </c>
      <c r="AL95" s="5">
        <f>IFERROR(IF(Q95=AK95,0,NETWORKDAYS(Q95,AK95,{"01/01/2026";"02/02/2026";"16/03/2026";"02/04/2026";"03/04/2026";"01/05/2026"})),"aun no se factura")</f>
        <v>8</v>
      </c>
      <c r="AM95" s="4" t="str">
        <f>IFERROR(IF(OR(Q95="",AK95=""),"SIN DATO",IF(NETWORKDAYS(Q95,AK95,{"01/01/2026";"02/02/2026";"16/03/2026";"02/04/2026";"03/04/2026";"01/05/2026"})&lt;=1,"1 día o menos",IF(NETWORKDAYS(Q95,AK95,{"01/01/2026";"02/02/2026";"16/03/2026";"02/04/2026";"03/04/2026";"01/05/2026"})&lt;=3,"2 a 3 días",IF(NETWORKDAYS(Q95,AK95,{"01/01/2026";"02/02/2026";"16/03/2026";"02/04/2026";"03/04/2026";"01/05/2026"})&lt;=5,"4 a 5 días",IF(NETWORKDAYS(Q95,AK95,{"01/01/2026";"02/02/2026";"16/03/2026";"02/04/2026";"03/04/2026";"01/05/2026"})&lt;=10,"6 a 10 días",IF(NETWORKDAYS(Q95,AK95,{"01/01/2026";"02/02/2026";"16/03/2026";"02/04/2026";"03/04/2026";"01/05/2026"})&lt;=16,"11 a 15 días","más de 16 días")))))),"aun no se factura")</f>
        <v>6 a 10 días</v>
      </c>
      <c r="AN95" s="4" t="str" cm="1">
        <f t="array" ref="AN95">IFERROR(
  IF(
    NETWORKDAYS(Q95,AK95,{"01/01/2026";"02/02/2026";"16/03/2026";"02/04/2026";"03/04/2026";"01/05/2026"}) &lt;=
    _xlfn.IFS(
      OR(TRIM(A95)="AICM", TRIM(A95)="AÉREO AICM"), 5,
      OR(TRIM(A95)="VERACRUZ", TRIM(A95)="MARÍTIMO VERACRUZ"), 6,
      OR(TRIM(A95)="AIFA", TRIM(A95)="AÉREO AIFA"), 7,
      AND(TRIM(A95)="CORRESPONSALIAS", TRIM(B95)="NUEVO LAREDO"), 6,
      TRIM(A95)="MANZANILLO", 10,
      TRIM(A95)="TOLUCA", 6,
      TRUE, 999
    ),
    "On Time",
    "Delayed"
  ),
  "Faltan fechas"
)</f>
        <v>Delayed</v>
      </c>
      <c r="AO95" s="29">
        <v>1</v>
      </c>
      <c r="AP95" s="28" t="s">
        <v>548</v>
      </c>
      <c r="AQ95" s="27" t="s">
        <v>93</v>
      </c>
      <c r="AR95" s="27" t="s">
        <v>112</v>
      </c>
      <c r="AS95" s="27">
        <v>271106971</v>
      </c>
      <c r="AT95" s="27" t="s">
        <v>223</v>
      </c>
      <c r="AU95" s="29">
        <v>6000978</v>
      </c>
      <c r="AV95" s="27" t="s">
        <v>92</v>
      </c>
      <c r="AW95" s="27" t="s">
        <v>1168</v>
      </c>
      <c r="AX95" s="27" t="s">
        <v>549</v>
      </c>
      <c r="AY95" s="27"/>
      <c r="AZ95" s="27" t="s">
        <v>550</v>
      </c>
      <c r="BA95" s="27" t="s">
        <v>90</v>
      </c>
      <c r="BB95" s="27"/>
      <c r="BC95" s="27" t="s">
        <v>117</v>
      </c>
      <c r="BD95" s="27"/>
      <c r="BE95" s="27" t="s">
        <v>117</v>
      </c>
      <c r="BF95" s="27" t="s">
        <v>576</v>
      </c>
      <c r="BG95" s="27" t="s">
        <v>552</v>
      </c>
      <c r="BH95" s="27" t="s">
        <v>607</v>
      </c>
      <c r="BI95" s="27" t="s">
        <v>1169</v>
      </c>
      <c r="BJ95" s="27"/>
      <c r="BK95" s="27" t="s">
        <v>554</v>
      </c>
      <c r="BL95" s="27">
        <v>0</v>
      </c>
      <c r="BM95" s="27">
        <v>99</v>
      </c>
      <c r="BN95" s="27" t="s">
        <v>1170</v>
      </c>
      <c r="BO95" s="27">
        <v>90</v>
      </c>
      <c r="BP95" s="27" t="s">
        <v>1171</v>
      </c>
      <c r="BQ95" s="27" t="s">
        <v>563</v>
      </c>
      <c r="BR95" s="27"/>
      <c r="BS95" s="27" t="s">
        <v>619</v>
      </c>
      <c r="BT95" s="27" t="s">
        <v>558</v>
      </c>
      <c r="BU95" s="27" t="s">
        <v>189</v>
      </c>
      <c r="BV95" s="27" t="s">
        <v>105</v>
      </c>
      <c r="BW95" s="27">
        <v>2829962</v>
      </c>
      <c r="BX95" s="27" t="s">
        <v>1172</v>
      </c>
      <c r="BY95" s="27" t="s">
        <v>223</v>
      </c>
      <c r="BZ95" s="27" t="s">
        <v>1173</v>
      </c>
      <c r="CA95" s="30" t="s">
        <v>1174</v>
      </c>
    </row>
    <row r="96" spans="1:79" x14ac:dyDescent="0.25">
      <c r="A96" s="26" t="s">
        <v>577</v>
      </c>
      <c r="B96" s="27" t="s">
        <v>578</v>
      </c>
      <c r="C96" s="27" t="s">
        <v>1175</v>
      </c>
      <c r="D96" s="27">
        <v>430</v>
      </c>
      <c r="E96" s="28">
        <v>46219</v>
      </c>
      <c r="F96" s="27">
        <v>7</v>
      </c>
      <c r="G96" s="35">
        <v>46210</v>
      </c>
      <c r="H96" s="28">
        <v>46219</v>
      </c>
      <c r="I96" s="27">
        <v>7</v>
      </c>
      <c r="J96" s="27" t="s">
        <v>544</v>
      </c>
      <c r="K96" s="35">
        <v>46219</v>
      </c>
      <c r="L96" s="27">
        <v>7</v>
      </c>
      <c r="M96" s="34">
        <f>IFERROR(IF(G96=K96,0,NETWORKDAYS(G96,K96,{"01/01/2026";"02/02/2026";"16/03/2026";"02/04/2026";"03/04/2026";"01/05/2026"})),"Faltan Fechas")</f>
        <v>8</v>
      </c>
      <c r="N96" s="33" t="str">
        <f>IFERROR(IF(OR(G96="",K96=""),"SIN DATO",IF(NETWORKDAYS(G96,K96,{"01/01/2026";"02/02/2026";"16/03/2026";"02/04/2026";"03/04/2026";"01/05/2026"})&lt;=1,"1 día o menos",IF(NETWORKDAYS(G96,K96,{"01/01/2026";"02/02/2026";"16/03/2026";"02/04/2026";"03/04/2026";"01/05/2026"})&lt;=3,"2 a 3 días",IF(NETWORKDAYS(G96,K96,{"01/01/2026";"02/02/2026";"16/03/2026";"02/04/2026";"03/04/2026";"01/05/2026"})&lt;=5,"4 a 5 días",IF(NETWORKDAYS(G96,K96,{"01/01/2026";"02/02/2026";"16/03/2026";"02/04/2026";"03/04/2026";"01/05/2026"})&lt;=10,"6 a 10 días",IF(NETWORKDAYS(G96,K96,{"01/01/2026";"02/02/2026";"16/03/2026";"02/04/2026";"03/04/2026";"01/05/2026"})&lt;=16,"11 a 15 días","más de 16 días")))))),"Aun no se entrega")</f>
        <v>6 a 10 días</v>
      </c>
      <c r="O96" s="34" t="str" cm="1">
        <f t="array" ref="O96">IFERROR(
  IF(
    NETWORKDAYS(G96,K96,{"01/01/2026";"02/02/2026";"16/03/2026";"02/04/2026";"03/04/2026";"01/05/2026"}) &lt;=
    _xlfn.IFS(
      OR(TRIM(A96)="AICM", TRIM(A96)="AÉREO AICM"), 5,
      OR(TRIM(A96)="VERACRUZ", TRIM(A96)="MARÍTIMO VERACRUZ"), 6,
      OR(TRIM(A96)="AIFA", TRIM(A96)="AÉREO AIFA"), 7,
      AND(TRIM(A96)="CORRESPONSALIAS", TRIM(B96)="NUEVO LAREDO"), 6,
      TRIM(A96)="MANZANILLO", 10,
      TRIM(A96)="TOLUCA", 6,
      TRUE, 999
    ),
    "On Time",
    "Delayed"
  ),
  "Faltan fechas"
)</f>
        <v>Delayed</v>
      </c>
      <c r="P96" s="36" t="s">
        <v>544</v>
      </c>
      <c r="Q96" s="28">
        <v>46220</v>
      </c>
      <c r="R96" s="5">
        <f>IFERROR(IF(G96=Q96,0,NETWORKDAYS(G96,Q96,{"01/01/2026";"02/02/2026";"16/03/2026";"02/04/2026";"03/04/2026";"01/05/2026"})),"Faltan Fechas")</f>
        <v>9</v>
      </c>
      <c r="S96" s="4" t="str">
        <f>IFERROR(IF(OR(G96="",Q96=""),"SIN DATO",IF(NETWORKDAYS(G96,Q96,{"01/01/2026";"02/02/2026";"16/03/2026";"02/04/2026";"03/04/2026";"01/05/2026"})&lt;=1,"1 día o menos",IF(NETWORKDAYS(G96,Q96,{"01/01/2026";"02/02/2026";"16/03/2026";"02/04/2026";"03/04/2026";"01/05/2026"})&lt;=3,"2 a 3 días",IF(NETWORKDAYS(G96,Q96,{"01/01/2026";"02/02/2026";"16/03/2026";"02/04/2026";"03/04/2026";"01/05/2026"})&lt;=5,"4 a 5 días",IF(NETWORKDAYS(G96,Q96,{"01/01/2026";"02/02/2026";"16/03/2026";"02/04/2026";"03/04/2026";"01/05/2026"})&lt;=10,"6 a 10 días",IF(NETWORKDAYS(G96,Q96,{"01/01/2026";"02/02/2026";"16/03/2026";"02/04/2026";"03/04/2026";"01/05/2026"})&lt;=16,"11 a 15 días","más de 16 días")))))),"Aun no se entrega")</f>
        <v>6 a 10 días</v>
      </c>
      <c r="T96" s="4" t="str" cm="1">
        <f t="array" ref="T96">IFERROR(
  IF(
    NETWORKDAYS(G96,Q96,{"01/01/2026";"02/02/2026";"16/03/2026";"02/04/2026";"03/04/2026";"01/05/2026"}) &lt;=
    _xlfn.IFS(
      OR(TRIM(A96)="AICM", TRIM(A96)="AÉREO AICM"), 5,
      OR(TRIM(A96)="VERACRUZ", TRIM(A96)="MARÍTIMO VERACRUZ"), 6,
      OR(TRIM(A96)="AIFA", TRIM(A96)="AÉREO AIFA"), 7,
      AND(TRIM(A96)="CORRESPONSALIAS", TRIM(B96)="NUEVO LAREDO"), 6,
      TRIM(A96)="MANZANILLO", 10,
      TRIM(A96)="TOLUCA", 6,
      TRUE, 999
    ),
    "On Time",
    "Delayed"
  ),
  "Faltan fechas"
)</f>
        <v>Delayed</v>
      </c>
      <c r="U96" s="27">
        <v>8</v>
      </c>
      <c r="V96" s="27" t="s">
        <v>544</v>
      </c>
      <c r="W96" s="27">
        <v>19</v>
      </c>
      <c r="X96" s="27" t="s">
        <v>547</v>
      </c>
      <c r="Y96" s="27">
        <v>0</v>
      </c>
      <c r="Z96" s="27" t="s">
        <v>546</v>
      </c>
      <c r="AA96" s="27">
        <v>0</v>
      </c>
      <c r="AB96" s="27">
        <v>1</v>
      </c>
      <c r="AC96" s="27" t="s">
        <v>546</v>
      </c>
      <c r="AD96" s="28">
        <v>46237</v>
      </c>
      <c r="AE96" s="27">
        <v>11</v>
      </c>
      <c r="AF96" s="27">
        <v>11</v>
      </c>
      <c r="AG96" s="28">
        <v>46237</v>
      </c>
      <c r="AH96" s="28">
        <v>46237</v>
      </c>
      <c r="AI96" s="29">
        <v>0</v>
      </c>
      <c r="AJ96" s="28" t="s">
        <v>547</v>
      </c>
      <c r="AK96" s="28">
        <v>46237</v>
      </c>
      <c r="AL96" s="5">
        <f>IFERROR(IF(Q96=AK96,0,NETWORKDAYS(Q96,AK96,{"01/01/2026";"02/02/2026";"16/03/2026";"02/04/2026";"03/04/2026";"01/05/2026"})),"aun no se factura")</f>
        <v>12</v>
      </c>
      <c r="AM96" s="4" t="str">
        <f>IFERROR(IF(OR(Q96="",AK96=""),"SIN DATO",IF(NETWORKDAYS(Q96,AK96,{"01/01/2026";"02/02/2026";"16/03/2026";"02/04/2026";"03/04/2026";"01/05/2026"})&lt;=1,"1 día o menos",IF(NETWORKDAYS(Q96,AK96,{"01/01/2026";"02/02/2026";"16/03/2026";"02/04/2026";"03/04/2026";"01/05/2026"})&lt;=3,"2 a 3 días",IF(NETWORKDAYS(Q96,AK96,{"01/01/2026";"02/02/2026";"16/03/2026";"02/04/2026";"03/04/2026";"01/05/2026"})&lt;=5,"4 a 5 días",IF(NETWORKDAYS(Q96,AK96,{"01/01/2026";"02/02/2026";"16/03/2026";"02/04/2026";"03/04/2026";"01/05/2026"})&lt;=10,"6 a 10 días",IF(NETWORKDAYS(Q96,AK96,{"01/01/2026";"02/02/2026";"16/03/2026";"02/04/2026";"03/04/2026";"01/05/2026"})&lt;=16,"11 a 15 días","más de 16 días")))))),"aun no se factura")</f>
        <v>11 a 15 días</v>
      </c>
      <c r="AN96" s="4" t="str" cm="1">
        <f t="array" ref="AN96">IFERROR(
  IF(
    NETWORKDAYS(Q96,AK96,{"01/01/2026";"02/02/2026";"16/03/2026";"02/04/2026";"03/04/2026";"01/05/2026"}) &lt;=
    _xlfn.IFS(
      OR(TRIM(A96)="AICM", TRIM(A96)="AÉREO AICM"), 5,
      OR(TRIM(A96)="VERACRUZ", TRIM(A96)="MARÍTIMO VERACRUZ"), 6,
      OR(TRIM(A96)="AIFA", TRIM(A96)="AÉREO AIFA"), 7,
      AND(TRIM(A96)="CORRESPONSALIAS", TRIM(B96)="NUEVO LAREDO"), 6,
      TRIM(A96)="MANZANILLO", 10,
      TRIM(A96)="TOLUCA", 6,
      TRUE, 999
    ),
    "On Time",
    "Delayed"
  ),
  "Faltan fechas"
)</f>
        <v>Delayed</v>
      </c>
      <c r="AO96" s="29">
        <v>1</v>
      </c>
      <c r="AP96" s="28" t="s">
        <v>548</v>
      </c>
      <c r="AQ96" s="27" t="s">
        <v>93</v>
      </c>
      <c r="AR96" s="27" t="s">
        <v>112</v>
      </c>
      <c r="AS96" s="27" t="s">
        <v>1176</v>
      </c>
      <c r="AT96" s="27" t="s">
        <v>223</v>
      </c>
      <c r="AU96" s="29">
        <v>6000980</v>
      </c>
      <c r="AV96" s="27" t="s">
        <v>92</v>
      </c>
      <c r="AW96" s="27" t="s">
        <v>1177</v>
      </c>
      <c r="AX96" s="27" t="s">
        <v>549</v>
      </c>
      <c r="AY96" s="27"/>
      <c r="AZ96" s="27" t="s">
        <v>550</v>
      </c>
      <c r="BA96" s="27" t="s">
        <v>90</v>
      </c>
      <c r="BB96" s="27"/>
      <c r="BC96" s="27" t="s">
        <v>107</v>
      </c>
      <c r="BD96" s="27" t="s">
        <v>1178</v>
      </c>
      <c r="BE96" s="27" t="s">
        <v>107</v>
      </c>
      <c r="BF96" s="27" t="s">
        <v>576</v>
      </c>
      <c r="BG96" s="27" t="s">
        <v>552</v>
      </c>
      <c r="BH96" s="27" t="s">
        <v>580</v>
      </c>
      <c r="BI96" s="27"/>
      <c r="BJ96" s="27" t="s">
        <v>643</v>
      </c>
      <c r="BK96" s="27" t="s">
        <v>554</v>
      </c>
      <c r="BL96" s="27">
        <v>0</v>
      </c>
      <c r="BM96" s="27">
        <v>99</v>
      </c>
      <c r="BN96" s="27" t="s">
        <v>1179</v>
      </c>
      <c r="BO96" s="27">
        <v>90</v>
      </c>
      <c r="BP96" s="27" t="s">
        <v>1180</v>
      </c>
      <c r="BQ96" s="27" t="s">
        <v>702</v>
      </c>
      <c r="BR96" s="27"/>
      <c r="BS96" s="27" t="s">
        <v>558</v>
      </c>
      <c r="BT96" s="27" t="s">
        <v>558</v>
      </c>
      <c r="BU96" s="27" t="s">
        <v>105</v>
      </c>
      <c r="BV96" s="27" t="s">
        <v>105</v>
      </c>
      <c r="BW96" s="27">
        <v>15278616</v>
      </c>
      <c r="BX96" s="27" t="s">
        <v>802</v>
      </c>
      <c r="BY96" s="27" t="s">
        <v>223</v>
      </c>
      <c r="BZ96" s="27" t="s">
        <v>223</v>
      </c>
      <c r="CA96" s="30" t="s">
        <v>1181</v>
      </c>
    </row>
    <row r="97" spans="1:79" x14ac:dyDescent="0.25">
      <c r="A97" s="26" t="s">
        <v>577</v>
      </c>
      <c r="B97" s="27" t="s">
        <v>578</v>
      </c>
      <c r="C97" s="27" t="s">
        <v>1182</v>
      </c>
      <c r="D97" s="27">
        <v>430</v>
      </c>
      <c r="E97" s="28">
        <v>46220</v>
      </c>
      <c r="F97" s="27">
        <v>7</v>
      </c>
      <c r="G97" s="35">
        <v>46210</v>
      </c>
      <c r="H97" s="28">
        <v>46220</v>
      </c>
      <c r="I97" s="27">
        <v>8</v>
      </c>
      <c r="J97" s="27" t="s">
        <v>544</v>
      </c>
      <c r="K97" s="35">
        <v>46221</v>
      </c>
      <c r="L97" s="27">
        <v>8</v>
      </c>
      <c r="M97" s="34">
        <f>IFERROR(IF(G97=K97,0,NETWORKDAYS(G97,K97,{"01/01/2026";"02/02/2026";"16/03/2026";"02/04/2026";"03/04/2026";"01/05/2026"})),"Faltan Fechas")</f>
        <v>9</v>
      </c>
      <c r="N97" s="33" t="str">
        <f>IFERROR(IF(OR(G97="",K97=""),"SIN DATO",IF(NETWORKDAYS(G97,K97,{"01/01/2026";"02/02/2026";"16/03/2026";"02/04/2026";"03/04/2026";"01/05/2026"})&lt;=1,"1 día o menos",IF(NETWORKDAYS(G97,K97,{"01/01/2026";"02/02/2026";"16/03/2026";"02/04/2026";"03/04/2026";"01/05/2026"})&lt;=3,"2 a 3 días",IF(NETWORKDAYS(G97,K97,{"01/01/2026";"02/02/2026";"16/03/2026";"02/04/2026";"03/04/2026";"01/05/2026"})&lt;=5,"4 a 5 días",IF(NETWORKDAYS(G97,K97,{"01/01/2026";"02/02/2026";"16/03/2026";"02/04/2026";"03/04/2026";"01/05/2026"})&lt;=10,"6 a 10 días",IF(NETWORKDAYS(G97,K97,{"01/01/2026";"02/02/2026";"16/03/2026";"02/04/2026";"03/04/2026";"01/05/2026"})&lt;=16,"11 a 15 días","más de 16 días")))))),"Aun no se entrega")</f>
        <v>6 a 10 días</v>
      </c>
      <c r="O97" s="34" t="str" cm="1">
        <f t="array" ref="O97">IFERROR(
  IF(
    NETWORKDAYS(G97,K97,{"01/01/2026";"02/02/2026";"16/03/2026";"02/04/2026";"03/04/2026";"01/05/2026"}) &lt;=
    _xlfn.IFS(
      OR(TRIM(A97)="AICM", TRIM(A97)="AÉREO AICM"), 5,
      OR(TRIM(A97)="VERACRUZ", TRIM(A97)="MARÍTIMO VERACRUZ"), 6,
      OR(TRIM(A97)="AIFA", TRIM(A97)="AÉREO AIFA"), 7,
      AND(TRIM(A97)="CORRESPONSALIAS", TRIM(B97)="NUEVO LAREDO"), 6,
      TRIM(A97)="MANZANILLO", 10,
      TRIM(A97)="TOLUCA", 6,
      TRUE, 999
    ),
    "On Time",
    "Delayed"
  ),
  "Faltan fechas"
)</f>
        <v>Delayed</v>
      </c>
      <c r="P97" s="36" t="s">
        <v>544</v>
      </c>
      <c r="Q97" s="28">
        <v>46223</v>
      </c>
      <c r="R97" s="5">
        <f>IFERROR(IF(G97=Q97,0,NETWORKDAYS(G97,Q97,{"01/01/2026";"02/02/2026";"16/03/2026";"02/04/2026";"03/04/2026";"01/05/2026"})),"Faltan Fechas")</f>
        <v>10</v>
      </c>
      <c r="S97" s="4" t="str">
        <f>IFERROR(IF(OR(G97="",Q97=""),"SIN DATO",IF(NETWORKDAYS(G97,Q97,{"01/01/2026";"02/02/2026";"16/03/2026";"02/04/2026";"03/04/2026";"01/05/2026"})&lt;=1,"1 día o menos",IF(NETWORKDAYS(G97,Q97,{"01/01/2026";"02/02/2026";"16/03/2026";"02/04/2026";"03/04/2026";"01/05/2026"})&lt;=3,"2 a 3 días",IF(NETWORKDAYS(G97,Q97,{"01/01/2026";"02/02/2026";"16/03/2026";"02/04/2026";"03/04/2026";"01/05/2026"})&lt;=5,"4 a 5 días",IF(NETWORKDAYS(G97,Q97,{"01/01/2026";"02/02/2026";"16/03/2026";"02/04/2026";"03/04/2026";"01/05/2026"})&lt;=10,"6 a 10 días",IF(NETWORKDAYS(G97,Q97,{"01/01/2026";"02/02/2026";"16/03/2026";"02/04/2026";"03/04/2026";"01/05/2026"})&lt;=16,"11 a 15 días","más de 16 días")))))),"Aun no se entrega")</f>
        <v>6 a 10 días</v>
      </c>
      <c r="T97" s="4" t="str" cm="1">
        <f t="array" ref="T97">IFERROR(
  IF(
    NETWORKDAYS(G97,Q97,{"01/01/2026";"02/02/2026";"16/03/2026";"02/04/2026";"03/04/2026";"01/05/2026"}) &lt;=
    _xlfn.IFS(
      OR(TRIM(A97)="AICM", TRIM(A97)="AÉREO AICM"), 5,
      OR(TRIM(A97)="VERACRUZ", TRIM(A97)="MARÍTIMO VERACRUZ"), 6,
      OR(TRIM(A97)="AIFA", TRIM(A97)="AÉREO AIFA"), 7,
      AND(TRIM(A97)="CORRESPONSALIAS", TRIM(B97)="NUEVO LAREDO"), 6,
      TRIM(A97)="MANZANILLO", 10,
      TRIM(A97)="TOLUCA", 6,
      TRUE, 999
    ),
    "On Time",
    "Delayed"
  ),
  "Faltan fechas"
)</f>
        <v>Delayed</v>
      </c>
      <c r="U97" s="27">
        <v>9</v>
      </c>
      <c r="V97" s="27" t="s">
        <v>544</v>
      </c>
      <c r="W97" s="27">
        <v>33</v>
      </c>
      <c r="X97" s="27" t="s">
        <v>547</v>
      </c>
      <c r="Y97" s="27">
        <v>1</v>
      </c>
      <c r="Z97" s="27" t="s">
        <v>546</v>
      </c>
      <c r="AA97" s="27">
        <v>1</v>
      </c>
      <c r="AB97" s="27">
        <v>2</v>
      </c>
      <c r="AC97" s="27" t="s">
        <v>579</v>
      </c>
      <c r="AD97" s="28">
        <v>46255</v>
      </c>
      <c r="AE97" s="27">
        <v>23</v>
      </c>
      <c r="AF97" s="27">
        <v>24</v>
      </c>
      <c r="AG97" s="28">
        <v>46254</v>
      </c>
      <c r="AH97" s="28">
        <v>46255</v>
      </c>
      <c r="AI97" s="29">
        <v>1</v>
      </c>
      <c r="AJ97" s="28" t="s">
        <v>547</v>
      </c>
      <c r="AK97" s="28">
        <v>46255</v>
      </c>
      <c r="AL97" s="5">
        <f>IFERROR(IF(Q97=AK97,0,NETWORKDAYS(Q97,AK97,{"01/01/2026";"02/02/2026";"16/03/2026";"02/04/2026";"03/04/2026";"01/05/2026"})),"aun no se factura")</f>
        <v>25</v>
      </c>
      <c r="AM97" s="4" t="str">
        <f>IFERROR(IF(OR(Q97="",AK97=""),"SIN DATO",IF(NETWORKDAYS(Q97,AK97,{"01/01/2026";"02/02/2026";"16/03/2026";"02/04/2026";"03/04/2026";"01/05/2026"})&lt;=1,"1 día o menos",IF(NETWORKDAYS(Q97,AK97,{"01/01/2026";"02/02/2026";"16/03/2026";"02/04/2026";"03/04/2026";"01/05/2026"})&lt;=3,"2 a 3 días",IF(NETWORKDAYS(Q97,AK97,{"01/01/2026";"02/02/2026";"16/03/2026";"02/04/2026";"03/04/2026";"01/05/2026"})&lt;=5,"4 a 5 días",IF(NETWORKDAYS(Q97,AK97,{"01/01/2026";"02/02/2026";"16/03/2026";"02/04/2026";"03/04/2026";"01/05/2026"})&lt;=10,"6 a 10 días",IF(NETWORKDAYS(Q97,AK97,{"01/01/2026";"02/02/2026";"16/03/2026";"02/04/2026";"03/04/2026";"01/05/2026"})&lt;=16,"11 a 15 días","más de 16 días")))))),"aun no se factura")</f>
        <v>más de 16 días</v>
      </c>
      <c r="AN97" s="4" t="str" cm="1">
        <f t="array" ref="AN97">IFERROR(
  IF(
    NETWORKDAYS(Q97,AK97,{"01/01/2026";"02/02/2026";"16/03/2026";"02/04/2026";"03/04/2026";"01/05/2026"}) &lt;=
    _xlfn.IFS(
      OR(TRIM(A97)="AICM", TRIM(A97)="AÉREO AICM"), 5,
      OR(TRIM(A97)="VERACRUZ", TRIM(A97)="MARÍTIMO VERACRUZ"), 6,
      OR(TRIM(A97)="AIFA", TRIM(A97)="AÉREO AIFA"), 7,
      AND(TRIM(A97)="CORRESPONSALIAS", TRIM(B97)="NUEVO LAREDO"), 6,
      TRIM(A97)="MANZANILLO", 10,
      TRIM(A97)="TOLUCA", 6,
      TRUE, 999
    ),
    "On Time",
    "Delayed"
  ),
  "Faltan fechas"
)</f>
        <v>Delayed</v>
      </c>
      <c r="AO97" s="29">
        <v>1</v>
      </c>
      <c r="AP97" s="28" t="s">
        <v>548</v>
      </c>
      <c r="AQ97" s="27" t="s">
        <v>93</v>
      </c>
      <c r="AR97" s="27" t="s">
        <v>112</v>
      </c>
      <c r="AS97" s="27" t="s">
        <v>1183</v>
      </c>
      <c r="AT97" s="27" t="s">
        <v>223</v>
      </c>
      <c r="AU97" s="29">
        <v>6001019</v>
      </c>
      <c r="AV97" s="27" t="s">
        <v>92</v>
      </c>
      <c r="AW97" s="27" t="s">
        <v>96</v>
      </c>
      <c r="AX97" s="27" t="s">
        <v>549</v>
      </c>
      <c r="AY97" s="27"/>
      <c r="AZ97" s="27" t="s">
        <v>550</v>
      </c>
      <c r="BA97" s="27" t="s">
        <v>90</v>
      </c>
      <c r="BB97" s="27"/>
      <c r="BC97" s="27" t="s">
        <v>107</v>
      </c>
      <c r="BD97" s="27" t="s">
        <v>1184</v>
      </c>
      <c r="BE97" s="27" t="s">
        <v>107</v>
      </c>
      <c r="BF97" s="27" t="s">
        <v>576</v>
      </c>
      <c r="BG97" s="27" t="s">
        <v>552</v>
      </c>
      <c r="BH97" s="27" t="s">
        <v>580</v>
      </c>
      <c r="BI97" s="27"/>
      <c r="BJ97" s="27" t="s">
        <v>1185</v>
      </c>
      <c r="BK97" s="27" t="s">
        <v>554</v>
      </c>
      <c r="BL97" s="27">
        <v>0</v>
      </c>
      <c r="BM97" s="27">
        <v>99</v>
      </c>
      <c r="BN97" s="27" t="s">
        <v>1186</v>
      </c>
      <c r="BO97" s="27">
        <v>90</v>
      </c>
      <c r="BP97" s="27" t="s">
        <v>910</v>
      </c>
      <c r="BQ97" s="27" t="s">
        <v>563</v>
      </c>
      <c r="BR97" s="27"/>
      <c r="BS97" s="27" t="s">
        <v>591</v>
      </c>
      <c r="BT97" s="27" t="s">
        <v>558</v>
      </c>
      <c r="BU97" s="27" t="s">
        <v>104</v>
      </c>
      <c r="BV97" s="27" t="s">
        <v>105</v>
      </c>
      <c r="BW97" s="27">
        <v>12690063</v>
      </c>
      <c r="BX97" s="27" t="s">
        <v>911</v>
      </c>
      <c r="BY97" s="27" t="s">
        <v>223</v>
      </c>
      <c r="BZ97" s="27" t="s">
        <v>223</v>
      </c>
      <c r="CA97" s="30" t="s">
        <v>1187</v>
      </c>
    </row>
    <row r="98" spans="1:79" x14ac:dyDescent="0.25">
      <c r="A98" s="26" t="s">
        <v>577</v>
      </c>
      <c r="B98" s="27" t="s">
        <v>578</v>
      </c>
      <c r="C98" s="27" t="s">
        <v>1188</v>
      </c>
      <c r="D98" s="27">
        <v>430</v>
      </c>
      <c r="E98" s="28">
        <v>46217</v>
      </c>
      <c r="F98" s="27">
        <v>7</v>
      </c>
      <c r="G98" s="35">
        <v>46213</v>
      </c>
      <c r="H98" s="28">
        <v>46217</v>
      </c>
      <c r="I98" s="27">
        <v>2</v>
      </c>
      <c r="J98" s="27" t="s">
        <v>579</v>
      </c>
      <c r="K98" s="35">
        <v>46218</v>
      </c>
      <c r="L98" s="27">
        <v>3</v>
      </c>
      <c r="M98" s="34">
        <f>IFERROR(IF(G98=K98,0,NETWORKDAYS(G98,K98,{"01/01/2026";"02/02/2026";"16/03/2026";"02/04/2026";"03/04/2026";"01/05/2026"})),"Faltan Fechas")</f>
        <v>4</v>
      </c>
      <c r="N98" s="33" t="str">
        <f>IFERROR(IF(OR(G98="",K98=""),"SIN DATO",IF(NETWORKDAYS(G98,K98,{"01/01/2026";"02/02/2026";"16/03/2026";"02/04/2026";"03/04/2026";"01/05/2026"})&lt;=1,"1 día o menos",IF(NETWORKDAYS(G98,K98,{"01/01/2026";"02/02/2026";"16/03/2026";"02/04/2026";"03/04/2026";"01/05/2026"})&lt;=3,"2 a 3 días",IF(NETWORKDAYS(G98,K98,{"01/01/2026";"02/02/2026";"16/03/2026";"02/04/2026";"03/04/2026";"01/05/2026"})&lt;=5,"4 a 5 días",IF(NETWORKDAYS(G98,K98,{"01/01/2026";"02/02/2026";"16/03/2026";"02/04/2026";"03/04/2026";"01/05/2026"})&lt;=10,"6 a 10 días",IF(NETWORKDAYS(G98,K98,{"01/01/2026";"02/02/2026";"16/03/2026";"02/04/2026";"03/04/2026";"01/05/2026"})&lt;=16,"11 a 15 días","más de 16 días")))))),"Aun no se entrega")</f>
        <v>4 a 5 días</v>
      </c>
      <c r="O98" s="34" t="str" cm="1">
        <f t="array" ref="O98">IFERROR(
  IF(
    NETWORKDAYS(G98,K98,{"01/01/2026";"02/02/2026";"16/03/2026";"02/04/2026";"03/04/2026";"01/05/2026"}) &lt;=
    _xlfn.IFS(
      OR(TRIM(A98)="AICM", TRIM(A98)="AÉREO AICM"), 5,
      OR(TRIM(A98)="VERACRUZ", TRIM(A98)="MARÍTIMO VERACRUZ"), 6,
      OR(TRIM(A98)="AIFA", TRIM(A98)="AÉREO AIFA"), 7,
      AND(TRIM(A98)="CORRESPONSALIAS", TRIM(B98)="NUEVO LAREDO"), 6,
      TRIM(A98)="MANZANILLO", 10,
      TRIM(A98)="TOLUCA", 6,
      TRUE, 999
    ),
    "On Time",
    "Delayed"
  ),
  "Faltan fechas"
)</f>
        <v>On Time</v>
      </c>
      <c r="P98" s="36" t="s">
        <v>579</v>
      </c>
      <c r="Q98" s="28">
        <v>46219</v>
      </c>
      <c r="R98" s="5">
        <f>IFERROR(IF(G98=Q98,0,NETWORKDAYS(G98,Q98,{"01/01/2026";"02/02/2026";"16/03/2026";"02/04/2026";"03/04/2026";"01/05/2026"})),"Faltan Fechas")</f>
        <v>5</v>
      </c>
      <c r="S98" s="4" t="str">
        <f>IFERROR(IF(OR(G98="",Q98=""),"SIN DATO",IF(NETWORKDAYS(G98,Q98,{"01/01/2026";"02/02/2026";"16/03/2026";"02/04/2026";"03/04/2026";"01/05/2026"})&lt;=1,"1 día o menos",IF(NETWORKDAYS(G98,Q98,{"01/01/2026";"02/02/2026";"16/03/2026";"02/04/2026";"03/04/2026";"01/05/2026"})&lt;=3,"2 a 3 días",IF(NETWORKDAYS(G98,Q98,{"01/01/2026";"02/02/2026";"16/03/2026";"02/04/2026";"03/04/2026";"01/05/2026"})&lt;=5,"4 a 5 días",IF(NETWORKDAYS(G98,Q98,{"01/01/2026";"02/02/2026";"16/03/2026";"02/04/2026";"03/04/2026";"01/05/2026"})&lt;=10,"6 a 10 días",IF(NETWORKDAYS(G98,Q98,{"01/01/2026";"02/02/2026";"16/03/2026";"02/04/2026";"03/04/2026";"01/05/2026"})&lt;=16,"11 a 15 días","más de 16 días")))))),"Aun no se entrega")</f>
        <v>4 a 5 días</v>
      </c>
      <c r="T98" s="4" t="str" cm="1">
        <f t="array" ref="T98">IFERROR(
  IF(
    NETWORKDAYS(G98,Q98,{"01/01/2026";"02/02/2026";"16/03/2026";"02/04/2026";"03/04/2026";"01/05/2026"}) &lt;=
    _xlfn.IFS(
      OR(TRIM(A98)="AICM", TRIM(A98)="AÉREO AICM"), 5,
      OR(TRIM(A98)="VERACRUZ", TRIM(A98)="MARÍTIMO VERACRUZ"), 6,
      OR(TRIM(A98)="AIFA", TRIM(A98)="AÉREO AIFA"), 7,
      AND(TRIM(A98)="CORRESPONSALIAS", TRIM(B98)="NUEVO LAREDO"), 6,
      TRIM(A98)="MANZANILLO", 10,
      TRIM(A98)="TOLUCA", 6,
      TRUE, 999
    ),
    "On Time",
    "Delayed"
  ),
  "Faltan fechas"
)</f>
        <v>On Time</v>
      </c>
      <c r="U98" s="27">
        <v>4</v>
      </c>
      <c r="V98" s="27" t="s">
        <v>543</v>
      </c>
      <c r="W98" s="27">
        <v>16</v>
      </c>
      <c r="X98" s="27" t="s">
        <v>547</v>
      </c>
      <c r="Y98" s="27">
        <v>1</v>
      </c>
      <c r="Z98" s="27" t="s">
        <v>546</v>
      </c>
      <c r="AA98" s="27">
        <v>1</v>
      </c>
      <c r="AB98" s="27">
        <v>1</v>
      </c>
      <c r="AC98" s="27" t="s">
        <v>546</v>
      </c>
      <c r="AD98" s="28">
        <v>46237</v>
      </c>
      <c r="AE98" s="27">
        <v>12</v>
      </c>
      <c r="AF98" s="27">
        <v>12</v>
      </c>
      <c r="AG98" s="28">
        <v>46237</v>
      </c>
      <c r="AH98" s="28">
        <v>46237</v>
      </c>
      <c r="AI98" s="29">
        <v>0</v>
      </c>
      <c r="AJ98" s="28" t="s">
        <v>547</v>
      </c>
      <c r="AK98" s="28">
        <v>46237</v>
      </c>
      <c r="AL98" s="5">
        <f>IFERROR(IF(Q98=AK98,0,NETWORKDAYS(Q98,AK98,{"01/01/2026";"02/02/2026";"16/03/2026";"02/04/2026";"03/04/2026";"01/05/2026"})),"aun no se factura")</f>
        <v>13</v>
      </c>
      <c r="AM98" s="4" t="str">
        <f>IFERROR(IF(OR(Q98="",AK98=""),"SIN DATO",IF(NETWORKDAYS(Q98,AK98,{"01/01/2026";"02/02/2026";"16/03/2026";"02/04/2026";"03/04/2026";"01/05/2026"})&lt;=1,"1 día o menos",IF(NETWORKDAYS(Q98,AK98,{"01/01/2026";"02/02/2026";"16/03/2026";"02/04/2026";"03/04/2026";"01/05/2026"})&lt;=3,"2 a 3 días",IF(NETWORKDAYS(Q98,AK98,{"01/01/2026";"02/02/2026";"16/03/2026";"02/04/2026";"03/04/2026";"01/05/2026"})&lt;=5,"4 a 5 días",IF(NETWORKDAYS(Q98,AK98,{"01/01/2026";"02/02/2026";"16/03/2026";"02/04/2026";"03/04/2026";"01/05/2026"})&lt;=10,"6 a 10 días",IF(NETWORKDAYS(Q98,AK98,{"01/01/2026";"02/02/2026";"16/03/2026";"02/04/2026";"03/04/2026";"01/05/2026"})&lt;=16,"11 a 15 días","más de 16 días")))))),"aun no se factura")</f>
        <v>11 a 15 días</v>
      </c>
      <c r="AN98" s="4" t="str" cm="1">
        <f t="array" ref="AN98">IFERROR(
  IF(
    NETWORKDAYS(Q98,AK98,{"01/01/2026";"02/02/2026";"16/03/2026";"02/04/2026";"03/04/2026";"01/05/2026"}) &lt;=
    _xlfn.IFS(
      OR(TRIM(A98)="AICM", TRIM(A98)="AÉREO AICM"), 5,
      OR(TRIM(A98)="VERACRUZ", TRIM(A98)="MARÍTIMO VERACRUZ"), 6,
      OR(TRIM(A98)="AIFA", TRIM(A98)="AÉREO AIFA"), 7,
      AND(TRIM(A98)="CORRESPONSALIAS", TRIM(B98)="NUEVO LAREDO"), 6,
      TRIM(A98)="MANZANILLO", 10,
      TRIM(A98)="TOLUCA", 6,
      TRUE, 999
    ),
    "On Time",
    "Delayed"
  ),
  "Faltan fechas"
)</f>
        <v>Delayed</v>
      </c>
      <c r="AO98" s="29">
        <v>1</v>
      </c>
      <c r="AP98" s="28" t="s">
        <v>548</v>
      </c>
      <c r="AQ98" s="27" t="s">
        <v>93</v>
      </c>
      <c r="AR98" s="27" t="s">
        <v>112</v>
      </c>
      <c r="AS98" s="27">
        <v>271673075</v>
      </c>
      <c r="AT98" s="27" t="s">
        <v>223</v>
      </c>
      <c r="AU98" s="29">
        <v>6001028</v>
      </c>
      <c r="AV98" s="27" t="s">
        <v>92</v>
      </c>
      <c r="AW98" s="27" t="s">
        <v>1189</v>
      </c>
      <c r="AX98" s="27" t="s">
        <v>549</v>
      </c>
      <c r="AY98" s="27"/>
      <c r="AZ98" s="27" t="s">
        <v>550</v>
      </c>
      <c r="BA98" s="27" t="s">
        <v>90</v>
      </c>
      <c r="BB98" s="27"/>
      <c r="BC98" s="27" t="s">
        <v>117</v>
      </c>
      <c r="BD98" s="27"/>
      <c r="BE98" s="27" t="s">
        <v>117</v>
      </c>
      <c r="BF98" s="27" t="s">
        <v>576</v>
      </c>
      <c r="BG98" s="27" t="s">
        <v>620</v>
      </c>
      <c r="BH98" s="27" t="s">
        <v>223</v>
      </c>
      <c r="BI98" s="27" t="s">
        <v>1190</v>
      </c>
      <c r="BJ98" s="27"/>
      <c r="BK98" s="27" t="s">
        <v>554</v>
      </c>
      <c r="BL98" s="27">
        <v>0</v>
      </c>
      <c r="BM98" s="27">
        <v>99</v>
      </c>
      <c r="BN98" s="27" t="s">
        <v>1191</v>
      </c>
      <c r="BO98" s="27">
        <v>90</v>
      </c>
      <c r="BP98" s="27" t="s">
        <v>1192</v>
      </c>
      <c r="BQ98" s="27" t="s">
        <v>563</v>
      </c>
      <c r="BR98" s="27"/>
      <c r="BS98" s="27" t="s">
        <v>619</v>
      </c>
      <c r="BT98" s="27" t="s">
        <v>558</v>
      </c>
      <c r="BU98" s="27" t="s">
        <v>189</v>
      </c>
      <c r="BV98" s="27" t="s">
        <v>105</v>
      </c>
      <c r="BW98" s="27">
        <v>1036772</v>
      </c>
      <c r="BX98" s="27" t="s">
        <v>1193</v>
      </c>
      <c r="BY98" s="27" t="s">
        <v>223</v>
      </c>
      <c r="BZ98" s="27" t="s">
        <v>223</v>
      </c>
      <c r="CA98" s="30" t="s">
        <v>1194</v>
      </c>
    </row>
    <row r="99" spans="1:79" x14ac:dyDescent="0.25">
      <c r="A99" s="26" t="s">
        <v>577</v>
      </c>
      <c r="B99" s="27" t="s">
        <v>578</v>
      </c>
      <c r="C99" s="27" t="s">
        <v>1195</v>
      </c>
      <c r="D99" s="27">
        <v>430</v>
      </c>
      <c r="E99" s="28">
        <v>46213</v>
      </c>
      <c r="F99" s="27">
        <v>7</v>
      </c>
      <c r="G99" s="35">
        <v>46210</v>
      </c>
      <c r="H99" s="28">
        <v>46213</v>
      </c>
      <c r="I99" s="27">
        <v>3</v>
      </c>
      <c r="J99" s="27" t="s">
        <v>579</v>
      </c>
      <c r="K99" s="35">
        <v>46214</v>
      </c>
      <c r="L99" s="27">
        <v>3</v>
      </c>
      <c r="M99" s="34">
        <f>IFERROR(IF(G99=K99,0,NETWORKDAYS(G99,K99,{"01/01/2026";"02/02/2026";"16/03/2026";"02/04/2026";"03/04/2026";"01/05/2026"})),"Faltan Fechas")</f>
        <v>4</v>
      </c>
      <c r="N99" s="33" t="str">
        <f>IFERROR(IF(OR(G99="",K99=""),"SIN DATO",IF(NETWORKDAYS(G99,K99,{"01/01/2026";"02/02/2026";"16/03/2026";"02/04/2026";"03/04/2026";"01/05/2026"})&lt;=1,"1 día o menos",IF(NETWORKDAYS(G99,K99,{"01/01/2026";"02/02/2026";"16/03/2026";"02/04/2026";"03/04/2026";"01/05/2026"})&lt;=3,"2 a 3 días",IF(NETWORKDAYS(G99,K99,{"01/01/2026";"02/02/2026";"16/03/2026";"02/04/2026";"03/04/2026";"01/05/2026"})&lt;=5,"4 a 5 días",IF(NETWORKDAYS(G99,K99,{"01/01/2026";"02/02/2026";"16/03/2026";"02/04/2026";"03/04/2026";"01/05/2026"})&lt;=10,"6 a 10 días",IF(NETWORKDAYS(G99,K99,{"01/01/2026";"02/02/2026";"16/03/2026";"02/04/2026";"03/04/2026";"01/05/2026"})&lt;=16,"11 a 15 días","más de 16 días")))))),"Aun no se entrega")</f>
        <v>4 a 5 días</v>
      </c>
      <c r="O99" s="34" t="str" cm="1">
        <f t="array" ref="O99">IFERROR(
  IF(
    NETWORKDAYS(G99,K99,{"01/01/2026";"02/02/2026";"16/03/2026";"02/04/2026";"03/04/2026";"01/05/2026"}) &lt;=
    _xlfn.IFS(
      OR(TRIM(A99)="AICM", TRIM(A99)="AÉREO AICM"), 5,
      OR(TRIM(A99)="VERACRUZ", TRIM(A99)="MARÍTIMO VERACRUZ"), 6,
      OR(TRIM(A99)="AIFA", TRIM(A99)="AÉREO AIFA"), 7,
      AND(TRIM(A99)="CORRESPONSALIAS", TRIM(B99)="NUEVO LAREDO"), 6,
      TRIM(A99)="MANZANILLO", 10,
      TRIM(A99)="TOLUCA", 6,
      TRUE, 999
    ),
    "On Time",
    "Delayed"
  ),
  "Faltan fechas"
)</f>
        <v>On Time</v>
      </c>
      <c r="P99" s="36" t="s">
        <v>579</v>
      </c>
      <c r="Q99" s="28">
        <v>46216</v>
      </c>
      <c r="R99" s="5">
        <f>IFERROR(IF(G99=Q99,0,NETWORKDAYS(G99,Q99,{"01/01/2026";"02/02/2026";"16/03/2026";"02/04/2026";"03/04/2026";"01/05/2026"})),"Faltan Fechas")</f>
        <v>5</v>
      </c>
      <c r="S99" s="4" t="str">
        <f>IFERROR(IF(OR(G99="",Q99=""),"SIN DATO",IF(NETWORKDAYS(G99,Q99,{"01/01/2026";"02/02/2026";"16/03/2026";"02/04/2026";"03/04/2026";"01/05/2026"})&lt;=1,"1 día o menos",IF(NETWORKDAYS(G99,Q99,{"01/01/2026";"02/02/2026";"16/03/2026";"02/04/2026";"03/04/2026";"01/05/2026"})&lt;=3,"2 a 3 días",IF(NETWORKDAYS(G99,Q99,{"01/01/2026";"02/02/2026";"16/03/2026";"02/04/2026";"03/04/2026";"01/05/2026"})&lt;=5,"4 a 5 días",IF(NETWORKDAYS(G99,Q99,{"01/01/2026";"02/02/2026";"16/03/2026";"02/04/2026";"03/04/2026";"01/05/2026"})&lt;=10,"6 a 10 días",IF(NETWORKDAYS(G99,Q99,{"01/01/2026";"02/02/2026";"16/03/2026";"02/04/2026";"03/04/2026";"01/05/2026"})&lt;=16,"11 a 15 días","más de 16 días")))))),"Aun no se entrega")</f>
        <v>4 a 5 días</v>
      </c>
      <c r="T99" s="4" t="str" cm="1">
        <f t="array" ref="T99">IFERROR(
  IF(
    NETWORKDAYS(G99,Q99,{"01/01/2026";"02/02/2026";"16/03/2026";"02/04/2026";"03/04/2026";"01/05/2026"}) &lt;=
    _xlfn.IFS(
      OR(TRIM(A99)="AICM", TRIM(A99)="AÉREO AICM"), 5,
      OR(TRIM(A99)="VERACRUZ", TRIM(A99)="MARÍTIMO VERACRUZ"), 6,
      OR(TRIM(A99)="AIFA", TRIM(A99)="AÉREO AIFA"), 7,
      AND(TRIM(A99)="CORRESPONSALIAS", TRIM(B99)="NUEVO LAREDO"), 6,
      TRIM(A99)="MANZANILLO", 10,
      TRIM(A99)="TOLUCA", 6,
      TRUE, 999
    ),
    "On Time",
    "Delayed"
  ),
  "Faltan fechas"
)</f>
        <v>On Time</v>
      </c>
      <c r="U99" s="27">
        <v>4</v>
      </c>
      <c r="V99" s="27" t="s">
        <v>543</v>
      </c>
      <c r="W99" s="27">
        <v>19</v>
      </c>
      <c r="X99" s="27" t="s">
        <v>547</v>
      </c>
      <c r="Y99" s="27">
        <v>1</v>
      </c>
      <c r="Z99" s="27" t="s">
        <v>546</v>
      </c>
      <c r="AA99" s="27">
        <v>1</v>
      </c>
      <c r="AB99" s="27">
        <v>2</v>
      </c>
      <c r="AC99" s="27" t="s">
        <v>579</v>
      </c>
      <c r="AD99" s="28">
        <v>46237</v>
      </c>
      <c r="AE99" s="27">
        <v>15</v>
      </c>
      <c r="AF99" s="27">
        <v>15</v>
      </c>
      <c r="AG99" s="28">
        <v>46237</v>
      </c>
      <c r="AH99" s="28">
        <v>46237</v>
      </c>
      <c r="AI99" s="29">
        <v>0</v>
      </c>
      <c r="AJ99" s="28" t="s">
        <v>547</v>
      </c>
      <c r="AK99" s="28">
        <v>46237</v>
      </c>
      <c r="AL99" s="5">
        <f>IFERROR(IF(Q99=AK99,0,NETWORKDAYS(Q99,AK99,{"01/01/2026";"02/02/2026";"16/03/2026";"02/04/2026";"03/04/2026";"01/05/2026"})),"aun no se factura")</f>
        <v>16</v>
      </c>
      <c r="AM99" s="4" t="str">
        <f>IFERROR(IF(OR(Q99="",AK99=""),"SIN DATO",IF(NETWORKDAYS(Q99,AK99,{"01/01/2026";"02/02/2026";"16/03/2026";"02/04/2026";"03/04/2026";"01/05/2026"})&lt;=1,"1 día o menos",IF(NETWORKDAYS(Q99,AK99,{"01/01/2026";"02/02/2026";"16/03/2026";"02/04/2026";"03/04/2026";"01/05/2026"})&lt;=3,"2 a 3 días",IF(NETWORKDAYS(Q99,AK99,{"01/01/2026";"02/02/2026";"16/03/2026";"02/04/2026";"03/04/2026";"01/05/2026"})&lt;=5,"4 a 5 días",IF(NETWORKDAYS(Q99,AK99,{"01/01/2026";"02/02/2026";"16/03/2026";"02/04/2026";"03/04/2026";"01/05/2026"})&lt;=10,"6 a 10 días",IF(NETWORKDAYS(Q99,AK99,{"01/01/2026";"02/02/2026";"16/03/2026";"02/04/2026";"03/04/2026";"01/05/2026"})&lt;=16,"11 a 15 días","más de 16 días")))))),"aun no se factura")</f>
        <v>11 a 15 días</v>
      </c>
      <c r="AN99" s="4" t="str" cm="1">
        <f t="array" ref="AN99">IFERROR(
  IF(
    NETWORKDAYS(Q99,AK99,{"01/01/2026";"02/02/2026";"16/03/2026";"02/04/2026";"03/04/2026";"01/05/2026"}) &lt;=
    _xlfn.IFS(
      OR(TRIM(A99)="AICM", TRIM(A99)="AÉREO AICM"), 5,
      OR(TRIM(A99)="VERACRUZ", TRIM(A99)="MARÍTIMO VERACRUZ"), 6,
      OR(TRIM(A99)="AIFA", TRIM(A99)="AÉREO AIFA"), 7,
      AND(TRIM(A99)="CORRESPONSALIAS", TRIM(B99)="NUEVO LAREDO"), 6,
      TRIM(A99)="MANZANILLO", 10,
      TRIM(A99)="TOLUCA", 6,
      TRUE, 999
    ),
    "On Time",
    "Delayed"
  ),
  "Faltan fechas"
)</f>
        <v>Delayed</v>
      </c>
      <c r="AO99" s="29">
        <v>1</v>
      </c>
      <c r="AP99" s="28" t="s">
        <v>548</v>
      </c>
      <c r="AQ99" s="27" t="s">
        <v>93</v>
      </c>
      <c r="AR99" s="27" t="s">
        <v>112</v>
      </c>
      <c r="AS99" s="27" t="s">
        <v>1196</v>
      </c>
      <c r="AT99" s="27" t="s">
        <v>223</v>
      </c>
      <c r="AU99" s="29">
        <v>6001029</v>
      </c>
      <c r="AV99" s="27" t="s">
        <v>92</v>
      </c>
      <c r="AW99" s="27" t="s">
        <v>328</v>
      </c>
      <c r="AX99" s="27" t="s">
        <v>549</v>
      </c>
      <c r="AY99" s="27"/>
      <c r="AZ99" s="27" t="s">
        <v>550</v>
      </c>
      <c r="BA99" s="27" t="s">
        <v>90</v>
      </c>
      <c r="BB99" s="27"/>
      <c r="BC99" s="27" t="s">
        <v>117</v>
      </c>
      <c r="BD99" s="27"/>
      <c r="BE99" s="27" t="s">
        <v>117</v>
      </c>
      <c r="BF99" s="27" t="s">
        <v>576</v>
      </c>
      <c r="BG99" s="27" t="s">
        <v>552</v>
      </c>
      <c r="BH99" s="27" t="s">
        <v>580</v>
      </c>
      <c r="BI99" s="27"/>
      <c r="BJ99" s="27" t="s">
        <v>597</v>
      </c>
      <c r="BK99" s="27" t="s">
        <v>554</v>
      </c>
      <c r="BL99" s="27">
        <v>0</v>
      </c>
      <c r="BM99" s="27">
        <v>99</v>
      </c>
      <c r="BN99" s="27" t="s">
        <v>1197</v>
      </c>
      <c r="BO99" s="27">
        <v>90</v>
      </c>
      <c r="BP99" s="27" t="s">
        <v>1198</v>
      </c>
      <c r="BQ99" s="27" t="s">
        <v>611</v>
      </c>
      <c r="BR99" s="27"/>
      <c r="BS99" s="27" t="s">
        <v>613</v>
      </c>
      <c r="BT99" s="27" t="s">
        <v>558</v>
      </c>
      <c r="BU99" s="27" t="s">
        <v>133</v>
      </c>
      <c r="BV99" s="27" t="s">
        <v>105</v>
      </c>
      <c r="BW99" s="27">
        <v>5408525</v>
      </c>
      <c r="BX99" s="27" t="s">
        <v>802</v>
      </c>
      <c r="BY99" s="27" t="s">
        <v>223</v>
      </c>
      <c r="BZ99" s="27" t="s">
        <v>223</v>
      </c>
      <c r="CA99" s="30" t="s">
        <v>1199</v>
      </c>
    </row>
    <row r="100" spans="1:79" x14ac:dyDescent="0.25">
      <c r="A100" s="26" t="s">
        <v>577</v>
      </c>
      <c r="B100" s="27" t="s">
        <v>578</v>
      </c>
      <c r="C100" s="27" t="s">
        <v>1200</v>
      </c>
      <c r="D100" s="27">
        <v>430</v>
      </c>
      <c r="E100" s="28">
        <v>46219</v>
      </c>
      <c r="F100" s="27">
        <v>7</v>
      </c>
      <c r="G100" s="35">
        <v>46210</v>
      </c>
      <c r="H100" s="28">
        <v>46219</v>
      </c>
      <c r="I100" s="27">
        <v>7</v>
      </c>
      <c r="J100" s="27" t="s">
        <v>544</v>
      </c>
      <c r="K100" s="35">
        <v>46219</v>
      </c>
      <c r="L100" s="27">
        <v>7</v>
      </c>
      <c r="M100" s="34">
        <f>IFERROR(IF(G100=K100,0,NETWORKDAYS(G100,K100,{"01/01/2026";"02/02/2026";"16/03/2026";"02/04/2026";"03/04/2026";"01/05/2026"})),"Faltan Fechas")</f>
        <v>8</v>
      </c>
      <c r="N100" s="33" t="str">
        <f>IFERROR(IF(OR(G100="",K100=""),"SIN DATO",IF(NETWORKDAYS(G100,K100,{"01/01/2026";"02/02/2026";"16/03/2026";"02/04/2026";"03/04/2026";"01/05/2026"})&lt;=1,"1 día o menos",IF(NETWORKDAYS(G100,K100,{"01/01/2026";"02/02/2026";"16/03/2026";"02/04/2026";"03/04/2026";"01/05/2026"})&lt;=3,"2 a 3 días",IF(NETWORKDAYS(G100,K100,{"01/01/2026";"02/02/2026";"16/03/2026";"02/04/2026";"03/04/2026";"01/05/2026"})&lt;=5,"4 a 5 días",IF(NETWORKDAYS(G100,K100,{"01/01/2026";"02/02/2026";"16/03/2026";"02/04/2026";"03/04/2026";"01/05/2026"})&lt;=10,"6 a 10 días",IF(NETWORKDAYS(G100,K100,{"01/01/2026";"02/02/2026";"16/03/2026";"02/04/2026";"03/04/2026";"01/05/2026"})&lt;=16,"11 a 15 días","más de 16 días")))))),"Aun no se entrega")</f>
        <v>6 a 10 días</v>
      </c>
      <c r="O100" s="34" t="str" cm="1">
        <f t="array" ref="O100">IFERROR(
  IF(
    NETWORKDAYS(G100,K100,{"01/01/2026";"02/02/2026";"16/03/2026";"02/04/2026";"03/04/2026";"01/05/2026"}) &lt;=
    _xlfn.IFS(
      OR(TRIM(A100)="AICM", TRIM(A100)="AÉREO AICM"), 5,
      OR(TRIM(A100)="VERACRUZ", TRIM(A100)="MARÍTIMO VERACRUZ"), 6,
      OR(TRIM(A100)="AIFA", TRIM(A100)="AÉREO AIFA"), 7,
      AND(TRIM(A100)="CORRESPONSALIAS", TRIM(B100)="NUEVO LAREDO"), 6,
      TRIM(A100)="MANZANILLO", 10,
      TRIM(A100)="TOLUCA", 6,
      TRUE, 999
    ),
    "On Time",
    "Delayed"
  ),
  "Faltan fechas"
)</f>
        <v>Delayed</v>
      </c>
      <c r="P100" s="36" t="s">
        <v>544</v>
      </c>
      <c r="Q100" s="28">
        <v>46220</v>
      </c>
      <c r="R100" s="5">
        <f>IFERROR(IF(G100=Q100,0,NETWORKDAYS(G100,Q100,{"01/01/2026";"02/02/2026";"16/03/2026";"02/04/2026";"03/04/2026";"01/05/2026"})),"Faltan Fechas")</f>
        <v>9</v>
      </c>
      <c r="S100" s="4" t="str">
        <f>IFERROR(IF(OR(G100="",Q100=""),"SIN DATO",IF(NETWORKDAYS(G100,Q100,{"01/01/2026";"02/02/2026";"16/03/2026";"02/04/2026";"03/04/2026";"01/05/2026"})&lt;=1,"1 día o menos",IF(NETWORKDAYS(G100,Q100,{"01/01/2026";"02/02/2026";"16/03/2026";"02/04/2026";"03/04/2026";"01/05/2026"})&lt;=3,"2 a 3 días",IF(NETWORKDAYS(G100,Q100,{"01/01/2026";"02/02/2026";"16/03/2026";"02/04/2026";"03/04/2026";"01/05/2026"})&lt;=5,"4 a 5 días",IF(NETWORKDAYS(G100,Q100,{"01/01/2026";"02/02/2026";"16/03/2026";"02/04/2026";"03/04/2026";"01/05/2026"})&lt;=10,"6 a 10 días",IF(NETWORKDAYS(G100,Q100,{"01/01/2026";"02/02/2026";"16/03/2026";"02/04/2026";"03/04/2026";"01/05/2026"})&lt;=16,"11 a 15 días","más de 16 días")))))),"Aun no se entrega")</f>
        <v>6 a 10 días</v>
      </c>
      <c r="T100" s="4" t="str" cm="1">
        <f t="array" ref="T100">IFERROR(
  IF(
    NETWORKDAYS(G100,Q100,{"01/01/2026";"02/02/2026";"16/03/2026";"02/04/2026";"03/04/2026";"01/05/2026"}) &lt;=
    _xlfn.IFS(
      OR(TRIM(A100)="AICM", TRIM(A100)="AÉREO AICM"), 5,
      OR(TRIM(A100)="VERACRUZ", TRIM(A100)="MARÍTIMO VERACRUZ"), 6,
      OR(TRIM(A100)="AIFA", TRIM(A100)="AÉREO AIFA"), 7,
      AND(TRIM(A100)="CORRESPONSALIAS", TRIM(B100)="NUEVO LAREDO"), 6,
      TRIM(A100)="MANZANILLO", 10,
      TRIM(A100)="TOLUCA", 6,
      TRUE, 999
    ),
    "On Time",
    "Delayed"
  ),
  "Faltan fechas"
)</f>
        <v>Delayed</v>
      </c>
      <c r="U100" s="27">
        <v>8</v>
      </c>
      <c r="V100" s="27" t="s">
        <v>544</v>
      </c>
      <c r="W100" s="27">
        <v>19</v>
      </c>
      <c r="X100" s="27" t="s">
        <v>547</v>
      </c>
      <c r="Y100" s="27">
        <v>0</v>
      </c>
      <c r="Z100" s="27" t="s">
        <v>546</v>
      </c>
      <c r="AA100" s="27">
        <v>0</v>
      </c>
      <c r="AB100" s="27">
        <v>1</v>
      </c>
      <c r="AC100" s="27" t="s">
        <v>546</v>
      </c>
      <c r="AD100" s="28">
        <v>46237</v>
      </c>
      <c r="AE100" s="27">
        <v>11</v>
      </c>
      <c r="AF100" s="27">
        <v>11</v>
      </c>
      <c r="AG100" s="28">
        <v>46237</v>
      </c>
      <c r="AH100" s="28">
        <v>46237</v>
      </c>
      <c r="AI100" s="29">
        <v>0</v>
      </c>
      <c r="AJ100" s="28" t="s">
        <v>547</v>
      </c>
      <c r="AK100" s="28">
        <v>46237</v>
      </c>
      <c r="AL100" s="5">
        <f>IFERROR(IF(Q100=AK100,0,NETWORKDAYS(Q100,AK100,{"01/01/2026";"02/02/2026";"16/03/2026";"02/04/2026";"03/04/2026";"01/05/2026"})),"aun no se factura")</f>
        <v>12</v>
      </c>
      <c r="AM100" s="4" t="str">
        <f>IFERROR(IF(OR(Q100="",AK100=""),"SIN DATO",IF(NETWORKDAYS(Q100,AK100,{"01/01/2026";"02/02/2026";"16/03/2026";"02/04/2026";"03/04/2026";"01/05/2026"})&lt;=1,"1 día o menos",IF(NETWORKDAYS(Q100,AK100,{"01/01/2026";"02/02/2026";"16/03/2026";"02/04/2026";"03/04/2026";"01/05/2026"})&lt;=3,"2 a 3 días",IF(NETWORKDAYS(Q100,AK100,{"01/01/2026";"02/02/2026";"16/03/2026";"02/04/2026";"03/04/2026";"01/05/2026"})&lt;=5,"4 a 5 días",IF(NETWORKDAYS(Q100,AK100,{"01/01/2026";"02/02/2026";"16/03/2026";"02/04/2026";"03/04/2026";"01/05/2026"})&lt;=10,"6 a 10 días",IF(NETWORKDAYS(Q100,AK100,{"01/01/2026";"02/02/2026";"16/03/2026";"02/04/2026";"03/04/2026";"01/05/2026"})&lt;=16,"11 a 15 días","más de 16 días")))))),"aun no se factura")</f>
        <v>11 a 15 días</v>
      </c>
      <c r="AN100" s="4" t="str" cm="1">
        <f t="array" ref="AN100">IFERROR(
  IF(
    NETWORKDAYS(Q100,AK100,{"01/01/2026";"02/02/2026";"16/03/2026";"02/04/2026";"03/04/2026";"01/05/2026"}) &lt;=
    _xlfn.IFS(
      OR(TRIM(A100)="AICM", TRIM(A100)="AÉREO AICM"), 5,
      OR(TRIM(A100)="VERACRUZ", TRIM(A100)="MARÍTIMO VERACRUZ"), 6,
      OR(TRIM(A100)="AIFA", TRIM(A100)="AÉREO AIFA"), 7,
      AND(TRIM(A100)="CORRESPONSALIAS", TRIM(B100)="NUEVO LAREDO"), 6,
      TRIM(A100)="MANZANILLO", 10,
      TRIM(A100)="TOLUCA", 6,
      TRUE, 999
    ),
    "On Time",
    "Delayed"
  ),
  "Faltan fechas"
)</f>
        <v>Delayed</v>
      </c>
      <c r="AO100" s="29">
        <v>1</v>
      </c>
      <c r="AP100" s="28" t="s">
        <v>548</v>
      </c>
      <c r="AQ100" s="27" t="s">
        <v>93</v>
      </c>
      <c r="AR100" s="27" t="s">
        <v>112</v>
      </c>
      <c r="AS100" s="27" t="s">
        <v>1201</v>
      </c>
      <c r="AT100" s="27" t="s">
        <v>223</v>
      </c>
      <c r="AU100" s="29">
        <v>6001030</v>
      </c>
      <c r="AV100" s="27" t="s">
        <v>92</v>
      </c>
      <c r="AW100" s="27" t="s">
        <v>324</v>
      </c>
      <c r="AX100" s="27" t="s">
        <v>549</v>
      </c>
      <c r="AY100" s="27"/>
      <c r="AZ100" s="27" t="s">
        <v>550</v>
      </c>
      <c r="BA100" s="27" t="s">
        <v>90</v>
      </c>
      <c r="BB100" s="27"/>
      <c r="BC100" s="27" t="s">
        <v>397</v>
      </c>
      <c r="BD100" s="27" t="s">
        <v>1202</v>
      </c>
      <c r="BE100" s="27" t="s">
        <v>1202</v>
      </c>
      <c r="BF100" s="27" t="s">
        <v>576</v>
      </c>
      <c r="BG100" s="27" t="s">
        <v>552</v>
      </c>
      <c r="BH100" s="27" t="s">
        <v>580</v>
      </c>
      <c r="BI100" s="27"/>
      <c r="BJ100" s="27" t="s">
        <v>643</v>
      </c>
      <c r="BK100" s="27" t="s">
        <v>554</v>
      </c>
      <c r="BL100" s="27">
        <v>0</v>
      </c>
      <c r="BM100" s="27">
        <v>99</v>
      </c>
      <c r="BN100" s="27" t="s">
        <v>1203</v>
      </c>
      <c r="BO100" s="27">
        <v>90</v>
      </c>
      <c r="BP100" s="27" t="s">
        <v>1204</v>
      </c>
      <c r="BQ100" s="27" t="s">
        <v>611</v>
      </c>
      <c r="BR100" s="27"/>
      <c r="BS100" s="27" t="s">
        <v>613</v>
      </c>
      <c r="BT100" s="27" t="s">
        <v>558</v>
      </c>
      <c r="BU100" s="27" t="s">
        <v>133</v>
      </c>
      <c r="BV100" s="27" t="s">
        <v>105</v>
      </c>
      <c r="BW100" s="27">
        <v>10833581</v>
      </c>
      <c r="BX100" s="27" t="s">
        <v>1205</v>
      </c>
      <c r="BY100" s="27" t="s">
        <v>223</v>
      </c>
      <c r="BZ100" s="27" t="s">
        <v>1206</v>
      </c>
      <c r="CA100" s="30" t="s">
        <v>1207</v>
      </c>
    </row>
    <row r="101" spans="1:79" x14ac:dyDescent="0.25">
      <c r="A101" s="26" t="s">
        <v>577</v>
      </c>
      <c r="B101" s="27" t="s">
        <v>578</v>
      </c>
      <c r="C101" s="27" t="s">
        <v>1208</v>
      </c>
      <c r="D101" s="27">
        <v>430</v>
      </c>
      <c r="E101" s="28">
        <v>46223</v>
      </c>
      <c r="F101" s="27">
        <v>7</v>
      </c>
      <c r="G101" s="35">
        <v>46217</v>
      </c>
      <c r="H101" s="28">
        <v>46223</v>
      </c>
      <c r="I101" s="27">
        <v>4</v>
      </c>
      <c r="J101" s="27" t="s">
        <v>543</v>
      </c>
      <c r="K101" s="35">
        <v>46224</v>
      </c>
      <c r="L101" s="27">
        <v>5</v>
      </c>
      <c r="M101" s="34">
        <f>IFERROR(IF(G101=K101,0,NETWORKDAYS(G101,K101,{"01/01/2026";"02/02/2026";"16/03/2026";"02/04/2026";"03/04/2026";"01/05/2026"})),"Faltan Fechas")</f>
        <v>6</v>
      </c>
      <c r="N101" s="33" t="str">
        <f>IFERROR(IF(OR(G101="",K101=""),"SIN DATO",IF(NETWORKDAYS(G101,K101,{"01/01/2026";"02/02/2026";"16/03/2026";"02/04/2026";"03/04/2026";"01/05/2026"})&lt;=1,"1 día o menos",IF(NETWORKDAYS(G101,K101,{"01/01/2026";"02/02/2026";"16/03/2026";"02/04/2026";"03/04/2026";"01/05/2026"})&lt;=3,"2 a 3 días",IF(NETWORKDAYS(G101,K101,{"01/01/2026";"02/02/2026";"16/03/2026";"02/04/2026";"03/04/2026";"01/05/2026"})&lt;=5,"4 a 5 días",IF(NETWORKDAYS(G101,K101,{"01/01/2026";"02/02/2026";"16/03/2026";"02/04/2026";"03/04/2026";"01/05/2026"})&lt;=10,"6 a 10 días",IF(NETWORKDAYS(G101,K101,{"01/01/2026";"02/02/2026";"16/03/2026";"02/04/2026";"03/04/2026";"01/05/2026"})&lt;=16,"11 a 15 días","más de 16 días")))))),"Aun no se entrega")</f>
        <v>6 a 10 días</v>
      </c>
      <c r="O101" s="34" t="str" cm="1">
        <f t="array" ref="O101">IFERROR(
  IF(
    NETWORKDAYS(G101,K101,{"01/01/2026";"02/02/2026";"16/03/2026";"02/04/2026";"03/04/2026";"01/05/2026"}) &lt;=
    _xlfn.IFS(
      OR(TRIM(A101)="AICM", TRIM(A101)="AÉREO AICM"), 5,
      OR(TRIM(A101)="VERACRUZ", TRIM(A101)="MARÍTIMO VERACRUZ"), 6,
      OR(TRIM(A101)="AIFA", TRIM(A101)="AÉREO AIFA"), 7,
      AND(TRIM(A101)="CORRESPONSALIAS", TRIM(B101)="NUEVO LAREDO"), 6,
      TRIM(A101)="MANZANILLO", 10,
      TRIM(A101)="TOLUCA", 6,
      TRUE, 999
    ),
    "On Time",
    "Delayed"
  ),
  "Faltan fechas"
)</f>
        <v>On Time</v>
      </c>
      <c r="P101" s="36" t="s">
        <v>543</v>
      </c>
      <c r="Q101" s="28">
        <v>46225</v>
      </c>
      <c r="R101" s="5">
        <f>IFERROR(IF(G101=Q101,0,NETWORKDAYS(G101,Q101,{"01/01/2026";"02/02/2026";"16/03/2026";"02/04/2026";"03/04/2026";"01/05/2026"})),"Faltan Fechas")</f>
        <v>7</v>
      </c>
      <c r="S101" s="4" t="str">
        <f>IFERROR(IF(OR(G101="",Q101=""),"SIN DATO",IF(NETWORKDAYS(G101,Q101,{"01/01/2026";"02/02/2026";"16/03/2026";"02/04/2026";"03/04/2026";"01/05/2026"})&lt;=1,"1 día o menos",IF(NETWORKDAYS(G101,Q101,{"01/01/2026";"02/02/2026";"16/03/2026";"02/04/2026";"03/04/2026";"01/05/2026"})&lt;=3,"2 a 3 días",IF(NETWORKDAYS(G101,Q101,{"01/01/2026";"02/02/2026";"16/03/2026";"02/04/2026";"03/04/2026";"01/05/2026"})&lt;=5,"4 a 5 días",IF(NETWORKDAYS(G101,Q101,{"01/01/2026";"02/02/2026";"16/03/2026";"02/04/2026";"03/04/2026";"01/05/2026"})&lt;=10,"6 a 10 días",IF(NETWORKDAYS(G101,Q101,{"01/01/2026";"02/02/2026";"16/03/2026";"02/04/2026";"03/04/2026";"01/05/2026"})&lt;=16,"11 a 15 días","más de 16 días")))))),"Aun no se entrega")</f>
        <v>6 a 10 días</v>
      </c>
      <c r="T101" s="4" t="str" cm="1">
        <f t="array" ref="T101">IFERROR(
  IF(
    NETWORKDAYS(G101,Q101,{"01/01/2026";"02/02/2026";"16/03/2026";"02/04/2026";"03/04/2026";"01/05/2026"}) &lt;=
    _xlfn.IFS(
      OR(TRIM(A101)="AICM", TRIM(A101)="AÉREO AICM"), 5,
      OR(TRIM(A101)="VERACRUZ", TRIM(A101)="MARÍTIMO VERACRUZ"), 6,
      OR(TRIM(A101)="AIFA", TRIM(A101)="AÉREO AIFA"), 7,
      AND(TRIM(A101)="CORRESPONSALIAS", TRIM(B101)="NUEVO LAREDO"), 6,
      TRIM(A101)="MANZANILLO", 10,
      TRIM(A101)="TOLUCA", 6,
      TRUE, 999
    ),
    "On Time",
    "Delayed"
  ),
  "Faltan fechas"
)</f>
        <v>Delayed</v>
      </c>
      <c r="U101" s="27">
        <v>6</v>
      </c>
      <c r="V101" s="27" t="s">
        <v>544</v>
      </c>
      <c r="W101" s="27">
        <v>29</v>
      </c>
      <c r="X101" s="27" t="s">
        <v>547</v>
      </c>
      <c r="Y101" s="27">
        <v>1</v>
      </c>
      <c r="Z101" s="27" t="s">
        <v>546</v>
      </c>
      <c r="AA101" s="27">
        <v>1</v>
      </c>
      <c r="AB101" s="27">
        <v>1</v>
      </c>
      <c r="AC101" s="27" t="s">
        <v>546</v>
      </c>
      <c r="AD101" s="28">
        <v>46258</v>
      </c>
      <c r="AE101" s="27">
        <v>22</v>
      </c>
      <c r="AF101" s="27">
        <v>23</v>
      </c>
      <c r="AG101" s="28">
        <v>46255</v>
      </c>
      <c r="AH101" s="28">
        <v>46258</v>
      </c>
      <c r="AI101" s="29">
        <v>1</v>
      </c>
      <c r="AJ101" s="28" t="s">
        <v>547</v>
      </c>
      <c r="AK101" s="28">
        <v>46258</v>
      </c>
      <c r="AL101" s="5">
        <f>IFERROR(IF(Q101=AK101,0,NETWORKDAYS(Q101,AK101,{"01/01/2026";"02/02/2026";"16/03/2026";"02/04/2026";"03/04/2026";"01/05/2026"})),"aun no se factura")</f>
        <v>24</v>
      </c>
      <c r="AM101" s="4" t="str">
        <f>IFERROR(IF(OR(Q101="",AK101=""),"SIN DATO",IF(NETWORKDAYS(Q101,AK101,{"01/01/2026";"02/02/2026";"16/03/2026";"02/04/2026";"03/04/2026";"01/05/2026"})&lt;=1,"1 día o menos",IF(NETWORKDAYS(Q101,AK101,{"01/01/2026";"02/02/2026";"16/03/2026";"02/04/2026";"03/04/2026";"01/05/2026"})&lt;=3,"2 a 3 días",IF(NETWORKDAYS(Q101,AK101,{"01/01/2026";"02/02/2026";"16/03/2026";"02/04/2026";"03/04/2026";"01/05/2026"})&lt;=5,"4 a 5 días",IF(NETWORKDAYS(Q101,AK101,{"01/01/2026";"02/02/2026";"16/03/2026";"02/04/2026";"03/04/2026";"01/05/2026"})&lt;=10,"6 a 10 días",IF(NETWORKDAYS(Q101,AK101,{"01/01/2026";"02/02/2026";"16/03/2026";"02/04/2026";"03/04/2026";"01/05/2026"})&lt;=16,"11 a 15 días","más de 16 días")))))),"aun no se factura")</f>
        <v>más de 16 días</v>
      </c>
      <c r="AN101" s="4" t="str" cm="1">
        <f t="array" ref="AN101">IFERROR(
  IF(
    NETWORKDAYS(Q101,AK101,{"01/01/2026";"02/02/2026";"16/03/2026";"02/04/2026";"03/04/2026";"01/05/2026"}) &lt;=
    _xlfn.IFS(
      OR(TRIM(A101)="AICM", TRIM(A101)="AÉREO AICM"), 5,
      OR(TRIM(A101)="VERACRUZ", TRIM(A101)="MARÍTIMO VERACRUZ"), 6,
      OR(TRIM(A101)="AIFA", TRIM(A101)="AÉREO AIFA"), 7,
      AND(TRIM(A101)="CORRESPONSALIAS", TRIM(B101)="NUEVO LAREDO"), 6,
      TRIM(A101)="MANZANILLO", 10,
      TRIM(A101)="TOLUCA", 6,
      TRUE, 999
    ),
    "On Time",
    "Delayed"
  ),
  "Faltan fechas"
)</f>
        <v>Delayed</v>
      </c>
      <c r="AO101" s="29">
        <v>1</v>
      </c>
      <c r="AP101" s="28" t="s">
        <v>548</v>
      </c>
      <c r="AQ101" s="27" t="s">
        <v>93</v>
      </c>
      <c r="AR101" s="27" t="s">
        <v>112</v>
      </c>
      <c r="AS101" s="27" t="s">
        <v>1209</v>
      </c>
      <c r="AT101" s="27" t="s">
        <v>223</v>
      </c>
      <c r="AU101" s="29">
        <v>6001054</v>
      </c>
      <c r="AV101" s="27" t="s">
        <v>92</v>
      </c>
      <c r="AW101" s="27" t="s">
        <v>238</v>
      </c>
      <c r="AX101" s="27" t="s">
        <v>549</v>
      </c>
      <c r="AY101" s="27"/>
      <c r="AZ101" s="27" t="s">
        <v>550</v>
      </c>
      <c r="BA101" s="27" t="s">
        <v>90</v>
      </c>
      <c r="BB101" s="27"/>
      <c r="BC101" s="27" t="s">
        <v>117</v>
      </c>
      <c r="BD101" s="27"/>
      <c r="BE101" s="27" t="s">
        <v>117</v>
      </c>
      <c r="BF101" s="27" t="s">
        <v>576</v>
      </c>
      <c r="BG101" s="27" t="s">
        <v>552</v>
      </c>
      <c r="BH101" s="27" t="s">
        <v>607</v>
      </c>
      <c r="BI101" s="27" t="s">
        <v>1210</v>
      </c>
      <c r="BJ101" s="27"/>
      <c r="BK101" s="27" t="s">
        <v>554</v>
      </c>
      <c r="BL101" s="27">
        <v>0</v>
      </c>
      <c r="BM101" s="27">
        <v>0.99</v>
      </c>
      <c r="BN101" s="27" t="s">
        <v>1211</v>
      </c>
      <c r="BO101" s="27">
        <v>90</v>
      </c>
      <c r="BP101" s="27" t="s">
        <v>1212</v>
      </c>
      <c r="BQ101" s="27" t="s">
        <v>611</v>
      </c>
      <c r="BR101" s="27"/>
      <c r="BS101" s="27" t="s">
        <v>1213</v>
      </c>
      <c r="BT101" s="27" t="s">
        <v>558</v>
      </c>
      <c r="BU101" s="27" t="s">
        <v>1214</v>
      </c>
      <c r="BV101" s="27" t="s">
        <v>105</v>
      </c>
      <c r="BW101" s="27">
        <v>2416656</v>
      </c>
      <c r="BX101" s="27" t="s">
        <v>802</v>
      </c>
      <c r="BY101" s="27" t="s">
        <v>1215</v>
      </c>
      <c r="BZ101" s="27" t="s">
        <v>223</v>
      </c>
      <c r="CA101" s="30" t="s">
        <v>1216</v>
      </c>
    </row>
    <row r="102" spans="1:79" x14ac:dyDescent="0.25">
      <c r="A102" s="26" t="s">
        <v>577</v>
      </c>
      <c r="B102" s="27" t="s">
        <v>578</v>
      </c>
      <c r="C102" s="27" t="s">
        <v>1217</v>
      </c>
      <c r="D102" s="27">
        <v>430</v>
      </c>
      <c r="E102" s="28">
        <v>46220</v>
      </c>
      <c r="F102" s="27">
        <v>7</v>
      </c>
      <c r="G102" s="35">
        <v>46217</v>
      </c>
      <c r="H102" s="28">
        <v>46220</v>
      </c>
      <c r="I102" s="27">
        <v>3</v>
      </c>
      <c r="J102" s="27" t="s">
        <v>579</v>
      </c>
      <c r="K102" s="35">
        <v>46221</v>
      </c>
      <c r="L102" s="27">
        <v>3</v>
      </c>
      <c r="M102" s="34">
        <f>IFERROR(IF(G102=K102,0,NETWORKDAYS(G102,K102,{"01/01/2026";"02/02/2026";"16/03/2026";"02/04/2026";"03/04/2026";"01/05/2026"})),"Faltan Fechas")</f>
        <v>4</v>
      </c>
      <c r="N102" s="33" t="str">
        <f>IFERROR(IF(OR(G102="",K102=""),"SIN DATO",IF(NETWORKDAYS(G102,K102,{"01/01/2026";"02/02/2026";"16/03/2026";"02/04/2026";"03/04/2026";"01/05/2026"})&lt;=1,"1 día o menos",IF(NETWORKDAYS(G102,K102,{"01/01/2026";"02/02/2026";"16/03/2026";"02/04/2026";"03/04/2026";"01/05/2026"})&lt;=3,"2 a 3 días",IF(NETWORKDAYS(G102,K102,{"01/01/2026";"02/02/2026";"16/03/2026";"02/04/2026";"03/04/2026";"01/05/2026"})&lt;=5,"4 a 5 días",IF(NETWORKDAYS(G102,K102,{"01/01/2026";"02/02/2026";"16/03/2026";"02/04/2026";"03/04/2026";"01/05/2026"})&lt;=10,"6 a 10 días",IF(NETWORKDAYS(G102,K102,{"01/01/2026";"02/02/2026";"16/03/2026";"02/04/2026";"03/04/2026";"01/05/2026"})&lt;=16,"11 a 15 días","más de 16 días")))))),"Aun no se entrega")</f>
        <v>4 a 5 días</v>
      </c>
      <c r="O102" s="34" t="str" cm="1">
        <f t="array" ref="O102">IFERROR(
  IF(
    NETWORKDAYS(G102,K102,{"01/01/2026";"02/02/2026";"16/03/2026";"02/04/2026";"03/04/2026";"01/05/2026"}) &lt;=
    _xlfn.IFS(
      OR(TRIM(A102)="AICM", TRIM(A102)="AÉREO AICM"), 5,
      OR(TRIM(A102)="VERACRUZ", TRIM(A102)="MARÍTIMO VERACRUZ"), 6,
      OR(TRIM(A102)="AIFA", TRIM(A102)="AÉREO AIFA"), 7,
      AND(TRIM(A102)="CORRESPONSALIAS", TRIM(B102)="NUEVO LAREDO"), 6,
      TRIM(A102)="MANZANILLO", 10,
      TRIM(A102)="TOLUCA", 6,
      TRUE, 999
    ),
    "On Time",
    "Delayed"
  ),
  "Faltan fechas"
)</f>
        <v>On Time</v>
      </c>
      <c r="P102" s="36" t="s">
        <v>579</v>
      </c>
      <c r="Q102" s="28">
        <v>46223</v>
      </c>
      <c r="R102" s="5">
        <f>IFERROR(IF(G102=Q102,0,NETWORKDAYS(G102,Q102,{"01/01/2026";"02/02/2026";"16/03/2026";"02/04/2026";"03/04/2026";"01/05/2026"})),"Faltan Fechas")</f>
        <v>5</v>
      </c>
      <c r="S102" s="4" t="str">
        <f>IFERROR(IF(OR(G102="",Q102=""),"SIN DATO",IF(NETWORKDAYS(G102,Q102,{"01/01/2026";"02/02/2026";"16/03/2026";"02/04/2026";"03/04/2026";"01/05/2026"})&lt;=1,"1 día o menos",IF(NETWORKDAYS(G102,Q102,{"01/01/2026";"02/02/2026";"16/03/2026";"02/04/2026";"03/04/2026";"01/05/2026"})&lt;=3,"2 a 3 días",IF(NETWORKDAYS(G102,Q102,{"01/01/2026";"02/02/2026";"16/03/2026";"02/04/2026";"03/04/2026";"01/05/2026"})&lt;=5,"4 a 5 días",IF(NETWORKDAYS(G102,Q102,{"01/01/2026";"02/02/2026";"16/03/2026";"02/04/2026";"03/04/2026";"01/05/2026"})&lt;=10,"6 a 10 días",IF(NETWORKDAYS(G102,Q102,{"01/01/2026";"02/02/2026";"16/03/2026";"02/04/2026";"03/04/2026";"01/05/2026"})&lt;=16,"11 a 15 días","más de 16 días")))))),"Aun no se entrega")</f>
        <v>4 a 5 días</v>
      </c>
      <c r="T102" s="4" t="str" cm="1">
        <f t="array" ref="T102">IFERROR(
  IF(
    NETWORKDAYS(G102,Q102,{"01/01/2026";"02/02/2026";"16/03/2026";"02/04/2026";"03/04/2026";"01/05/2026"}) &lt;=
    _xlfn.IFS(
      OR(TRIM(A102)="AICM", TRIM(A102)="AÉREO AICM"), 5,
      OR(TRIM(A102)="VERACRUZ", TRIM(A102)="MARÍTIMO VERACRUZ"), 6,
      OR(TRIM(A102)="AIFA", TRIM(A102)="AÉREO AIFA"), 7,
      AND(TRIM(A102)="CORRESPONSALIAS", TRIM(B102)="NUEVO LAREDO"), 6,
      TRIM(A102)="MANZANILLO", 10,
      TRIM(A102)="TOLUCA", 6,
      TRUE, 999
    ),
    "On Time",
    "Delayed"
  ),
  "Faltan fechas"
)</f>
        <v>On Time</v>
      </c>
      <c r="U102" s="27">
        <v>4</v>
      </c>
      <c r="V102" s="27" t="s">
        <v>543</v>
      </c>
      <c r="W102" s="27">
        <v>28</v>
      </c>
      <c r="X102" s="27" t="s">
        <v>547</v>
      </c>
      <c r="Y102" s="27">
        <v>1</v>
      </c>
      <c r="Z102" s="27" t="s">
        <v>546</v>
      </c>
      <c r="AA102" s="27">
        <v>1</v>
      </c>
      <c r="AB102" s="27">
        <v>2</v>
      </c>
      <c r="AC102" s="27" t="s">
        <v>579</v>
      </c>
      <c r="AD102" s="28">
        <v>46255</v>
      </c>
      <c r="AE102" s="27">
        <v>23</v>
      </c>
      <c r="AF102" s="27">
        <v>24</v>
      </c>
      <c r="AG102" s="28">
        <v>46254</v>
      </c>
      <c r="AH102" s="28">
        <v>46255</v>
      </c>
      <c r="AI102" s="29">
        <v>1</v>
      </c>
      <c r="AJ102" s="28" t="s">
        <v>547</v>
      </c>
      <c r="AK102" s="28">
        <v>46255</v>
      </c>
      <c r="AL102" s="5">
        <f>IFERROR(IF(Q102=AK102,0,NETWORKDAYS(Q102,AK102,{"01/01/2026";"02/02/2026";"16/03/2026";"02/04/2026";"03/04/2026";"01/05/2026"})),"aun no se factura")</f>
        <v>25</v>
      </c>
      <c r="AM102" s="4" t="str">
        <f>IFERROR(IF(OR(Q102="",AK102=""),"SIN DATO",IF(NETWORKDAYS(Q102,AK102,{"01/01/2026";"02/02/2026";"16/03/2026";"02/04/2026";"03/04/2026";"01/05/2026"})&lt;=1,"1 día o menos",IF(NETWORKDAYS(Q102,AK102,{"01/01/2026";"02/02/2026";"16/03/2026";"02/04/2026";"03/04/2026";"01/05/2026"})&lt;=3,"2 a 3 días",IF(NETWORKDAYS(Q102,AK102,{"01/01/2026";"02/02/2026";"16/03/2026";"02/04/2026";"03/04/2026";"01/05/2026"})&lt;=5,"4 a 5 días",IF(NETWORKDAYS(Q102,AK102,{"01/01/2026";"02/02/2026";"16/03/2026";"02/04/2026";"03/04/2026";"01/05/2026"})&lt;=10,"6 a 10 días",IF(NETWORKDAYS(Q102,AK102,{"01/01/2026";"02/02/2026";"16/03/2026";"02/04/2026";"03/04/2026";"01/05/2026"})&lt;=16,"11 a 15 días","más de 16 días")))))),"aun no se factura")</f>
        <v>más de 16 días</v>
      </c>
      <c r="AN102" s="4" t="str" cm="1">
        <f t="array" ref="AN102">IFERROR(
  IF(
    NETWORKDAYS(Q102,AK102,{"01/01/2026";"02/02/2026";"16/03/2026";"02/04/2026";"03/04/2026";"01/05/2026"}) &lt;=
    _xlfn.IFS(
      OR(TRIM(A102)="AICM", TRIM(A102)="AÉREO AICM"), 5,
      OR(TRIM(A102)="VERACRUZ", TRIM(A102)="MARÍTIMO VERACRUZ"), 6,
      OR(TRIM(A102)="AIFA", TRIM(A102)="AÉREO AIFA"), 7,
      AND(TRIM(A102)="CORRESPONSALIAS", TRIM(B102)="NUEVO LAREDO"), 6,
      TRIM(A102)="MANZANILLO", 10,
      TRIM(A102)="TOLUCA", 6,
      TRUE, 999
    ),
    "On Time",
    "Delayed"
  ),
  "Faltan fechas"
)</f>
        <v>Delayed</v>
      </c>
      <c r="AO102" s="29">
        <v>1</v>
      </c>
      <c r="AP102" s="28" t="s">
        <v>548</v>
      </c>
      <c r="AQ102" s="27" t="s">
        <v>93</v>
      </c>
      <c r="AR102" s="27" t="s">
        <v>112</v>
      </c>
      <c r="AS102" s="27" t="s">
        <v>1218</v>
      </c>
      <c r="AT102" s="27" t="s">
        <v>223</v>
      </c>
      <c r="AU102" s="29">
        <v>6001055</v>
      </c>
      <c r="AV102" s="27" t="s">
        <v>92</v>
      </c>
      <c r="AW102" s="27" t="s">
        <v>401</v>
      </c>
      <c r="AX102" s="27" t="s">
        <v>549</v>
      </c>
      <c r="AY102" s="27"/>
      <c r="AZ102" s="27" t="s">
        <v>550</v>
      </c>
      <c r="BA102" s="27" t="s">
        <v>90</v>
      </c>
      <c r="BB102" s="27"/>
      <c r="BC102" s="27" t="s">
        <v>117</v>
      </c>
      <c r="BD102" s="27"/>
      <c r="BE102" s="27" t="s">
        <v>117</v>
      </c>
      <c r="BF102" s="27" t="s">
        <v>576</v>
      </c>
      <c r="BG102" s="27" t="s">
        <v>552</v>
      </c>
      <c r="BH102" s="27" t="s">
        <v>580</v>
      </c>
      <c r="BI102" s="27"/>
      <c r="BJ102" s="27" t="s">
        <v>1185</v>
      </c>
      <c r="BK102" s="27" t="s">
        <v>554</v>
      </c>
      <c r="BL102" s="27">
        <v>0</v>
      </c>
      <c r="BM102" s="27">
        <v>99</v>
      </c>
      <c r="BN102" s="27" t="s">
        <v>1219</v>
      </c>
      <c r="BO102" s="27">
        <v>90</v>
      </c>
      <c r="BP102" s="27" t="s">
        <v>1220</v>
      </c>
      <c r="BQ102" s="27" t="s">
        <v>563</v>
      </c>
      <c r="BR102" s="27"/>
      <c r="BS102" s="27" t="s">
        <v>613</v>
      </c>
      <c r="BT102" s="27" t="s">
        <v>558</v>
      </c>
      <c r="BU102" s="27" t="s">
        <v>133</v>
      </c>
      <c r="BV102" s="27" t="s">
        <v>105</v>
      </c>
      <c r="BW102" s="27">
        <v>7963564</v>
      </c>
      <c r="BX102" s="27" t="s">
        <v>1221</v>
      </c>
      <c r="BY102" s="27" t="s">
        <v>223</v>
      </c>
      <c r="BZ102" s="27" t="s">
        <v>1222</v>
      </c>
      <c r="CA102" s="30" t="s">
        <v>1223</v>
      </c>
    </row>
    <row r="103" spans="1:79" x14ac:dyDescent="0.25">
      <c r="A103" s="26" t="s">
        <v>577</v>
      </c>
      <c r="B103" s="27" t="s">
        <v>578</v>
      </c>
      <c r="C103" s="27" t="s">
        <v>1224</v>
      </c>
      <c r="D103" s="27">
        <v>430</v>
      </c>
      <c r="E103" s="28">
        <v>46233</v>
      </c>
      <c r="F103" s="27">
        <v>7</v>
      </c>
      <c r="G103" s="35">
        <v>46220</v>
      </c>
      <c r="H103" s="28">
        <v>46233</v>
      </c>
      <c r="I103" s="27">
        <v>9</v>
      </c>
      <c r="J103" s="27" t="s">
        <v>544</v>
      </c>
      <c r="K103" s="35">
        <v>46234</v>
      </c>
      <c r="L103" s="27">
        <v>10</v>
      </c>
      <c r="M103" s="34">
        <f>IFERROR(IF(G103=K103,0,NETWORKDAYS(G103,K103,{"01/01/2026";"02/02/2026";"16/03/2026";"02/04/2026";"03/04/2026";"01/05/2026"})),"Faltan Fechas")</f>
        <v>11</v>
      </c>
      <c r="N103" s="33" t="str">
        <f>IFERROR(IF(OR(G103="",K103=""),"SIN DATO",IF(NETWORKDAYS(G103,K103,{"01/01/2026";"02/02/2026";"16/03/2026";"02/04/2026";"03/04/2026";"01/05/2026"})&lt;=1,"1 día o menos",IF(NETWORKDAYS(G103,K103,{"01/01/2026";"02/02/2026";"16/03/2026";"02/04/2026";"03/04/2026";"01/05/2026"})&lt;=3,"2 a 3 días",IF(NETWORKDAYS(G103,K103,{"01/01/2026";"02/02/2026";"16/03/2026";"02/04/2026";"03/04/2026";"01/05/2026"})&lt;=5,"4 a 5 días",IF(NETWORKDAYS(G103,K103,{"01/01/2026";"02/02/2026";"16/03/2026";"02/04/2026";"03/04/2026";"01/05/2026"})&lt;=10,"6 a 10 días",IF(NETWORKDAYS(G103,K103,{"01/01/2026";"02/02/2026";"16/03/2026";"02/04/2026";"03/04/2026";"01/05/2026"})&lt;=16,"11 a 15 días","más de 16 días")))))),"Aun no se entrega")</f>
        <v>11 a 15 días</v>
      </c>
      <c r="O103" s="34" t="str" cm="1">
        <f t="array" ref="O103">IFERROR(
  IF(
    NETWORKDAYS(G103,K103,{"01/01/2026";"02/02/2026";"16/03/2026";"02/04/2026";"03/04/2026";"01/05/2026"}) &lt;=
    _xlfn.IFS(
      OR(TRIM(A103)="AICM", TRIM(A103)="AÉREO AICM"), 5,
      OR(TRIM(A103)="VERACRUZ", TRIM(A103)="MARÍTIMO VERACRUZ"), 6,
      OR(TRIM(A103)="AIFA", TRIM(A103)="AÉREO AIFA"), 7,
      AND(TRIM(A103)="CORRESPONSALIAS", TRIM(B103)="NUEVO LAREDO"), 6,
      TRIM(A103)="MANZANILLO", 10,
      TRIM(A103)="TOLUCA", 6,
      TRUE, 999
    ),
    "On Time",
    "Delayed"
  ),
  "Faltan fechas"
)</f>
        <v>Delayed</v>
      </c>
      <c r="P103" s="36" t="s">
        <v>544</v>
      </c>
      <c r="Q103" s="28"/>
      <c r="R103" s="5">
        <f>IFERROR(IF(G103=Q103,0,NETWORKDAYS(G103,Q103,{"01/01/2026";"02/02/2026";"16/03/2026";"02/04/2026";"03/04/2026";"01/05/2026"})),"Faltan Fechas")</f>
        <v>-33009</v>
      </c>
      <c r="S103" s="4" t="str">
        <f>IFERROR(IF(OR(G103="",Q103=""),"SIN DATO",IF(NETWORKDAYS(G103,Q103,{"01/01/2026";"02/02/2026";"16/03/2026";"02/04/2026";"03/04/2026";"01/05/2026"})&lt;=1,"1 día o menos",IF(NETWORKDAYS(G103,Q103,{"01/01/2026";"02/02/2026";"16/03/2026";"02/04/2026";"03/04/2026";"01/05/2026"})&lt;=3,"2 a 3 días",IF(NETWORKDAYS(G103,Q103,{"01/01/2026";"02/02/2026";"16/03/2026";"02/04/2026";"03/04/2026";"01/05/2026"})&lt;=5,"4 a 5 días",IF(NETWORKDAYS(G103,Q103,{"01/01/2026";"02/02/2026";"16/03/2026";"02/04/2026";"03/04/2026";"01/05/2026"})&lt;=10,"6 a 10 días",IF(NETWORKDAYS(G103,Q103,{"01/01/2026";"02/02/2026";"16/03/2026";"02/04/2026";"03/04/2026";"01/05/2026"})&lt;=16,"11 a 15 días","más de 16 días")))))),"Aun no se entrega")</f>
        <v>SIN DATO</v>
      </c>
      <c r="T103" s="4" t="str" cm="1">
        <f t="array" ref="T103">IFERROR(
  IF(
    NETWORKDAYS(G103,Q103,{"01/01/2026";"02/02/2026";"16/03/2026";"02/04/2026";"03/04/2026";"01/05/2026"}) &lt;=
    _xlfn.IFS(
      OR(TRIM(A103)="AICM", TRIM(A103)="AÉREO AICM"), 5,
      OR(TRIM(A103)="VERACRUZ", TRIM(A103)="MARÍTIMO VERACRUZ"), 6,
      OR(TRIM(A103)="AIFA", TRIM(A103)="AÉREO AIFA"), 7,
      AND(TRIM(A103)="CORRESPONSALIAS", TRIM(B103)="NUEVO LAREDO"), 6,
      TRIM(A103)="MANZANILLO", 10,
      TRIM(A103)="TOLUCA", 6,
      TRUE, 999
    ),
    "On Time",
    "Delayed"
  ),
  "Faltan fechas"
)</f>
        <v>On Time</v>
      </c>
      <c r="U103" s="27">
        <v>0</v>
      </c>
      <c r="V103" s="27" t="s">
        <v>569</v>
      </c>
      <c r="W103" s="27">
        <v>29</v>
      </c>
      <c r="X103" s="27" t="s">
        <v>547</v>
      </c>
      <c r="Y103" s="27">
        <v>1</v>
      </c>
      <c r="Z103" s="27" t="s">
        <v>546</v>
      </c>
      <c r="AA103" s="27">
        <v>1</v>
      </c>
      <c r="AB103" s="27">
        <v>-46232</v>
      </c>
      <c r="AC103" s="27" t="s">
        <v>545</v>
      </c>
      <c r="AD103" s="28">
        <v>46261</v>
      </c>
      <c r="AE103" s="27" t="s">
        <v>223</v>
      </c>
      <c r="AF103" s="27">
        <v>33043</v>
      </c>
      <c r="AG103" s="28"/>
      <c r="AH103" s="28">
        <v>46261</v>
      </c>
      <c r="AI103" s="29" t="s">
        <v>223</v>
      </c>
      <c r="AJ103" s="28" t="s">
        <v>545</v>
      </c>
      <c r="AK103" s="28">
        <v>46261</v>
      </c>
      <c r="AL103" s="5">
        <f>IFERROR(IF(Q103=AK103,0,NETWORKDAYS(Q103,AK103,{"01/01/2026";"02/02/2026";"16/03/2026";"02/04/2026";"03/04/2026";"01/05/2026"})),"aun no se factura")</f>
        <v>33038</v>
      </c>
      <c r="AM103" s="4" t="str">
        <f>IFERROR(IF(OR(Q103="",AK103=""),"SIN DATO",IF(NETWORKDAYS(Q103,AK103,{"01/01/2026";"02/02/2026";"16/03/2026";"02/04/2026";"03/04/2026";"01/05/2026"})&lt;=1,"1 día o menos",IF(NETWORKDAYS(Q103,AK103,{"01/01/2026";"02/02/2026";"16/03/2026";"02/04/2026";"03/04/2026";"01/05/2026"})&lt;=3,"2 a 3 días",IF(NETWORKDAYS(Q103,AK103,{"01/01/2026";"02/02/2026";"16/03/2026";"02/04/2026";"03/04/2026";"01/05/2026"})&lt;=5,"4 a 5 días",IF(NETWORKDAYS(Q103,AK103,{"01/01/2026";"02/02/2026";"16/03/2026";"02/04/2026";"03/04/2026";"01/05/2026"})&lt;=10,"6 a 10 días",IF(NETWORKDAYS(Q103,AK103,{"01/01/2026";"02/02/2026";"16/03/2026";"02/04/2026";"03/04/2026";"01/05/2026"})&lt;=16,"11 a 15 días","más de 16 días")))))),"aun no se factura")</f>
        <v>SIN DATO</v>
      </c>
      <c r="AN103" s="4" t="str" cm="1">
        <f t="array" ref="AN103">IFERROR(
  IF(
    NETWORKDAYS(Q103,AK103,{"01/01/2026";"02/02/2026";"16/03/2026";"02/04/2026";"03/04/2026";"01/05/2026"}) &lt;=
    _xlfn.IFS(
      OR(TRIM(A103)="AICM", TRIM(A103)="AÉREO AICM"), 5,
      OR(TRIM(A103)="VERACRUZ", TRIM(A103)="MARÍTIMO VERACRUZ"), 6,
      OR(TRIM(A103)="AIFA", TRIM(A103)="AÉREO AIFA"), 7,
      AND(TRIM(A103)="CORRESPONSALIAS", TRIM(B103)="NUEVO LAREDO"), 6,
      TRIM(A103)="MANZANILLO", 10,
      TRIM(A103)="TOLUCA", 6,
      TRUE, 999
    ),
    "On Time",
    "Delayed"
  ),
  "Faltan fechas"
)</f>
        <v>Delayed</v>
      </c>
      <c r="AO103" s="29">
        <v>0</v>
      </c>
      <c r="AP103" s="28" t="s">
        <v>548</v>
      </c>
      <c r="AQ103" s="27" t="s">
        <v>93</v>
      </c>
      <c r="AR103" s="27" t="s">
        <v>112</v>
      </c>
      <c r="AS103" s="27" t="s">
        <v>1225</v>
      </c>
      <c r="AT103" s="27" t="s">
        <v>223</v>
      </c>
      <c r="AU103" s="29">
        <v>6001056</v>
      </c>
      <c r="AV103" s="27" t="s">
        <v>92</v>
      </c>
      <c r="AW103" s="27" t="s">
        <v>1226</v>
      </c>
      <c r="AX103" s="27" t="s">
        <v>549</v>
      </c>
      <c r="AY103" s="27"/>
      <c r="AZ103" s="27" t="s">
        <v>550</v>
      </c>
      <c r="BA103" s="27" t="s">
        <v>90</v>
      </c>
      <c r="BB103" s="27"/>
      <c r="BC103" s="27"/>
      <c r="BD103" s="27"/>
      <c r="BE103" s="27"/>
      <c r="BF103" s="27"/>
      <c r="BG103" s="27" t="s">
        <v>620</v>
      </c>
      <c r="BH103" s="27" t="s">
        <v>607</v>
      </c>
      <c r="BI103" s="27"/>
      <c r="BJ103" s="27"/>
      <c r="BK103" s="27" t="s">
        <v>554</v>
      </c>
      <c r="BL103" s="27">
        <v>0</v>
      </c>
      <c r="BM103" s="27" t="s">
        <v>1227</v>
      </c>
      <c r="BN103" s="27" t="s">
        <v>1228</v>
      </c>
      <c r="BO103" s="27">
        <v>90</v>
      </c>
      <c r="BP103" s="27" t="s">
        <v>1229</v>
      </c>
      <c r="BQ103" s="27" t="s">
        <v>1230</v>
      </c>
      <c r="BR103" s="27"/>
      <c r="BS103" s="27" t="s">
        <v>557</v>
      </c>
      <c r="BT103" s="27" t="s">
        <v>558</v>
      </c>
      <c r="BU103" s="27" t="s">
        <v>197</v>
      </c>
      <c r="BV103" s="27" t="s">
        <v>105</v>
      </c>
      <c r="BW103" s="27">
        <v>714986</v>
      </c>
      <c r="BX103" s="27" t="s">
        <v>1231</v>
      </c>
      <c r="BY103" s="27" t="s">
        <v>1232</v>
      </c>
      <c r="BZ103" s="27" t="s">
        <v>1233</v>
      </c>
      <c r="CA103" s="30" t="s">
        <v>1234</v>
      </c>
    </row>
    <row r="104" spans="1:79" x14ac:dyDescent="0.25">
      <c r="A104" s="26" t="s">
        <v>577</v>
      </c>
      <c r="B104" s="27" t="s">
        <v>578</v>
      </c>
      <c r="C104" s="27" t="s">
        <v>1236</v>
      </c>
      <c r="D104" s="27">
        <v>430</v>
      </c>
      <c r="E104" s="28">
        <v>46234</v>
      </c>
      <c r="F104" s="27">
        <v>7</v>
      </c>
      <c r="G104" s="35">
        <v>46231</v>
      </c>
      <c r="H104" s="28">
        <v>46234</v>
      </c>
      <c r="I104" s="27">
        <v>3</v>
      </c>
      <c r="J104" s="27" t="s">
        <v>579</v>
      </c>
      <c r="K104" s="35">
        <v>46235</v>
      </c>
      <c r="L104" s="27">
        <v>3</v>
      </c>
      <c r="M104" s="34">
        <f>IFERROR(IF(G104=K104,0,NETWORKDAYS(G104,K104,{"01/01/2026";"02/02/2026";"16/03/2026";"02/04/2026";"03/04/2026";"01/05/2026"})),"Faltan Fechas")</f>
        <v>4</v>
      </c>
      <c r="N104" s="33" t="str">
        <f>IFERROR(IF(OR(G104="",K104=""),"SIN DATO",IF(NETWORKDAYS(G104,K104,{"01/01/2026";"02/02/2026";"16/03/2026";"02/04/2026";"03/04/2026";"01/05/2026"})&lt;=1,"1 día o menos",IF(NETWORKDAYS(G104,K104,{"01/01/2026";"02/02/2026";"16/03/2026";"02/04/2026";"03/04/2026";"01/05/2026"})&lt;=3,"2 a 3 días",IF(NETWORKDAYS(G104,K104,{"01/01/2026";"02/02/2026";"16/03/2026";"02/04/2026";"03/04/2026";"01/05/2026"})&lt;=5,"4 a 5 días",IF(NETWORKDAYS(G104,K104,{"01/01/2026";"02/02/2026";"16/03/2026";"02/04/2026";"03/04/2026";"01/05/2026"})&lt;=10,"6 a 10 días",IF(NETWORKDAYS(G104,K104,{"01/01/2026";"02/02/2026";"16/03/2026";"02/04/2026";"03/04/2026";"01/05/2026"})&lt;=16,"11 a 15 días","más de 16 días")))))),"Aun no se entrega")</f>
        <v>4 a 5 días</v>
      </c>
      <c r="O104" s="34" t="str" cm="1">
        <f t="array" ref="O104">IFERROR(
  IF(
    NETWORKDAYS(G104,K104,{"01/01/2026";"02/02/2026";"16/03/2026";"02/04/2026";"03/04/2026";"01/05/2026"}) &lt;=
    _xlfn.IFS(
      OR(TRIM(A104)="AICM", TRIM(A104)="AÉREO AICM"), 5,
      OR(TRIM(A104)="VERACRUZ", TRIM(A104)="MARÍTIMO VERACRUZ"), 6,
      OR(TRIM(A104)="AIFA", TRIM(A104)="AÉREO AIFA"), 7,
      AND(TRIM(A104)="CORRESPONSALIAS", TRIM(B104)="NUEVO LAREDO"), 6,
      TRIM(A104)="MANZANILLO", 10,
      TRIM(A104)="TOLUCA", 6,
      TRUE, 999
    ),
    "On Time",
    "Delayed"
  ),
  "Faltan fechas"
)</f>
        <v>On Time</v>
      </c>
      <c r="P104" s="36" t="s">
        <v>579</v>
      </c>
      <c r="Q104" s="28">
        <v>46237</v>
      </c>
      <c r="R104" s="5">
        <f>IFERROR(IF(G104=Q104,0,NETWORKDAYS(G104,Q104,{"01/01/2026";"02/02/2026";"16/03/2026";"02/04/2026";"03/04/2026";"01/05/2026"})),"Faltan Fechas")</f>
        <v>5</v>
      </c>
      <c r="S104" s="4" t="str">
        <f>IFERROR(IF(OR(G104="",Q104=""),"SIN DATO",IF(NETWORKDAYS(G104,Q104,{"01/01/2026";"02/02/2026";"16/03/2026";"02/04/2026";"03/04/2026";"01/05/2026"})&lt;=1,"1 día o menos",IF(NETWORKDAYS(G104,Q104,{"01/01/2026";"02/02/2026";"16/03/2026";"02/04/2026";"03/04/2026";"01/05/2026"})&lt;=3,"2 a 3 días",IF(NETWORKDAYS(G104,Q104,{"01/01/2026";"02/02/2026";"16/03/2026";"02/04/2026";"03/04/2026";"01/05/2026"})&lt;=5,"4 a 5 días",IF(NETWORKDAYS(G104,Q104,{"01/01/2026";"02/02/2026";"16/03/2026";"02/04/2026";"03/04/2026";"01/05/2026"})&lt;=10,"6 a 10 días",IF(NETWORKDAYS(G104,Q104,{"01/01/2026";"02/02/2026";"16/03/2026";"02/04/2026";"03/04/2026";"01/05/2026"})&lt;=16,"11 a 15 días","más de 16 días")))))),"Aun no se entrega")</f>
        <v>4 a 5 días</v>
      </c>
      <c r="T104" s="4" t="str" cm="1">
        <f t="array" ref="T104">IFERROR(
  IF(
    NETWORKDAYS(G104,Q104,{"01/01/2026";"02/02/2026";"16/03/2026";"02/04/2026";"03/04/2026";"01/05/2026"}) &lt;=
    _xlfn.IFS(
      OR(TRIM(A104)="AICM", TRIM(A104)="AÉREO AICM"), 5,
      OR(TRIM(A104)="VERACRUZ", TRIM(A104)="MARÍTIMO VERACRUZ"), 6,
      OR(TRIM(A104)="AIFA", TRIM(A104)="AÉREO AIFA"), 7,
      AND(TRIM(A104)="CORRESPONSALIAS", TRIM(B104)="NUEVO LAREDO"), 6,
      TRIM(A104)="MANZANILLO", 10,
      TRIM(A104)="TOLUCA", 6,
      TRUE, 999
    ),
    "On Time",
    "Delayed"
  ),
  "Faltan fechas"
)</f>
        <v>On Time</v>
      </c>
      <c r="U104" s="27">
        <v>4</v>
      </c>
      <c r="V104" s="27" t="s">
        <v>543</v>
      </c>
      <c r="W104" s="27">
        <v>20</v>
      </c>
      <c r="X104" s="27" t="s">
        <v>547</v>
      </c>
      <c r="Y104" s="27">
        <v>1</v>
      </c>
      <c r="Z104" s="27" t="s">
        <v>546</v>
      </c>
      <c r="AA104" s="27">
        <v>1</v>
      </c>
      <c r="AB104" s="27">
        <v>2</v>
      </c>
      <c r="AC104" s="27" t="s">
        <v>579</v>
      </c>
      <c r="AD104" s="28">
        <v>46259</v>
      </c>
      <c r="AE104" s="27">
        <v>15</v>
      </c>
      <c r="AF104" s="27">
        <v>16</v>
      </c>
      <c r="AG104" s="28">
        <v>46258</v>
      </c>
      <c r="AH104" s="28">
        <v>46259</v>
      </c>
      <c r="AI104" s="29">
        <v>1</v>
      </c>
      <c r="AJ104" s="28" t="s">
        <v>547</v>
      </c>
      <c r="AK104" s="28">
        <v>46259</v>
      </c>
      <c r="AL104" s="5">
        <f>IFERROR(IF(Q104=AK104,0,NETWORKDAYS(Q104,AK104,{"01/01/2026";"02/02/2026";"16/03/2026";"02/04/2026";"03/04/2026";"01/05/2026"})),"aun no se factura")</f>
        <v>17</v>
      </c>
      <c r="AM104" s="4" t="str">
        <f>IFERROR(IF(OR(Q104="",AK104=""),"SIN DATO",IF(NETWORKDAYS(Q104,AK104,{"01/01/2026";"02/02/2026";"16/03/2026";"02/04/2026";"03/04/2026";"01/05/2026"})&lt;=1,"1 día o menos",IF(NETWORKDAYS(Q104,AK104,{"01/01/2026";"02/02/2026";"16/03/2026";"02/04/2026";"03/04/2026";"01/05/2026"})&lt;=3,"2 a 3 días",IF(NETWORKDAYS(Q104,AK104,{"01/01/2026";"02/02/2026";"16/03/2026";"02/04/2026";"03/04/2026";"01/05/2026"})&lt;=5,"4 a 5 días",IF(NETWORKDAYS(Q104,AK104,{"01/01/2026";"02/02/2026";"16/03/2026";"02/04/2026";"03/04/2026";"01/05/2026"})&lt;=10,"6 a 10 días",IF(NETWORKDAYS(Q104,AK104,{"01/01/2026";"02/02/2026";"16/03/2026";"02/04/2026";"03/04/2026";"01/05/2026"})&lt;=16,"11 a 15 días","más de 16 días")))))),"aun no se factura")</f>
        <v>más de 16 días</v>
      </c>
      <c r="AN104" s="4" t="str" cm="1">
        <f t="array" ref="AN104">IFERROR(
  IF(
    NETWORKDAYS(Q104,AK104,{"01/01/2026";"02/02/2026";"16/03/2026";"02/04/2026";"03/04/2026";"01/05/2026"}) &lt;=
    _xlfn.IFS(
      OR(TRIM(A104)="AICM", TRIM(A104)="AÉREO AICM"), 5,
      OR(TRIM(A104)="VERACRUZ", TRIM(A104)="MARÍTIMO VERACRUZ"), 6,
      OR(TRIM(A104)="AIFA", TRIM(A104)="AÉREO AIFA"), 7,
      AND(TRIM(A104)="CORRESPONSALIAS", TRIM(B104)="NUEVO LAREDO"), 6,
      TRIM(A104)="MANZANILLO", 10,
      TRIM(A104)="TOLUCA", 6,
      TRUE, 999
    ),
    "On Time",
    "Delayed"
  ),
  "Faltan fechas"
)</f>
        <v>Delayed</v>
      </c>
      <c r="AO104" s="29">
        <v>1</v>
      </c>
      <c r="AP104" s="28" t="s">
        <v>548</v>
      </c>
      <c r="AQ104" s="27" t="s">
        <v>93</v>
      </c>
      <c r="AR104" s="27" t="s">
        <v>112</v>
      </c>
      <c r="AS104" s="27" t="s">
        <v>1237</v>
      </c>
      <c r="AT104" s="27" t="s">
        <v>223</v>
      </c>
      <c r="AU104" s="29">
        <v>6001098</v>
      </c>
      <c r="AV104" s="27" t="s">
        <v>92</v>
      </c>
      <c r="AW104" s="27" t="s">
        <v>96</v>
      </c>
      <c r="AX104" s="27" t="s">
        <v>549</v>
      </c>
      <c r="AY104" s="27"/>
      <c r="AZ104" s="27" t="s">
        <v>550</v>
      </c>
      <c r="BA104" s="27" t="s">
        <v>90</v>
      </c>
      <c r="BB104" s="27"/>
      <c r="BC104" s="27" t="s">
        <v>117</v>
      </c>
      <c r="BD104" s="27"/>
      <c r="BE104" s="27" t="s">
        <v>117</v>
      </c>
      <c r="BF104" s="27" t="s">
        <v>576</v>
      </c>
      <c r="BG104" s="27" t="s">
        <v>552</v>
      </c>
      <c r="BH104" s="27" t="s">
        <v>580</v>
      </c>
      <c r="BI104" s="27"/>
      <c r="BJ104" s="27" t="s">
        <v>1185</v>
      </c>
      <c r="BK104" s="27" t="s">
        <v>554</v>
      </c>
      <c r="BL104" s="27">
        <v>0</v>
      </c>
      <c r="BM104" s="27">
        <v>99</v>
      </c>
      <c r="BN104" s="27" t="s">
        <v>1238</v>
      </c>
      <c r="BO104" s="27">
        <v>90</v>
      </c>
      <c r="BP104" s="27" t="s">
        <v>1239</v>
      </c>
      <c r="BQ104" s="27" t="s">
        <v>563</v>
      </c>
      <c r="BR104" s="27"/>
      <c r="BS104" s="27" t="s">
        <v>591</v>
      </c>
      <c r="BT104" s="27" t="s">
        <v>558</v>
      </c>
      <c r="BU104" s="27" t="s">
        <v>104</v>
      </c>
      <c r="BV104" s="27" t="s">
        <v>105</v>
      </c>
      <c r="BW104" s="27">
        <v>11985060</v>
      </c>
      <c r="BX104" s="27" t="s">
        <v>1240</v>
      </c>
      <c r="BY104" s="27" t="s">
        <v>223</v>
      </c>
      <c r="BZ104" s="27" t="s">
        <v>223</v>
      </c>
      <c r="CA104" s="30" t="s">
        <v>1241</v>
      </c>
    </row>
    <row r="105" spans="1:79" x14ac:dyDescent="0.25">
      <c r="A105" s="26" t="s">
        <v>577</v>
      </c>
      <c r="B105" s="27" t="s">
        <v>578</v>
      </c>
      <c r="C105" s="27" t="s">
        <v>1242</v>
      </c>
      <c r="D105" s="27">
        <v>430</v>
      </c>
      <c r="E105" s="28">
        <v>46227</v>
      </c>
      <c r="F105" s="27">
        <v>7</v>
      </c>
      <c r="G105" s="35">
        <v>46224</v>
      </c>
      <c r="H105" s="28">
        <v>46227</v>
      </c>
      <c r="I105" s="27">
        <v>3</v>
      </c>
      <c r="J105" s="27" t="s">
        <v>579</v>
      </c>
      <c r="K105" s="35">
        <v>46228</v>
      </c>
      <c r="L105" s="27">
        <v>3</v>
      </c>
      <c r="M105" s="34">
        <f>IFERROR(IF(G105=K105,0,NETWORKDAYS(G105,K105,{"01/01/2026";"02/02/2026";"16/03/2026";"02/04/2026";"03/04/2026";"01/05/2026"})),"Faltan Fechas")</f>
        <v>4</v>
      </c>
      <c r="N105" s="33" t="str">
        <f>IFERROR(IF(OR(G105="",K105=""),"SIN DATO",IF(NETWORKDAYS(G105,K105,{"01/01/2026";"02/02/2026";"16/03/2026";"02/04/2026";"03/04/2026";"01/05/2026"})&lt;=1,"1 día o menos",IF(NETWORKDAYS(G105,K105,{"01/01/2026";"02/02/2026";"16/03/2026";"02/04/2026";"03/04/2026";"01/05/2026"})&lt;=3,"2 a 3 días",IF(NETWORKDAYS(G105,K105,{"01/01/2026";"02/02/2026";"16/03/2026";"02/04/2026";"03/04/2026";"01/05/2026"})&lt;=5,"4 a 5 días",IF(NETWORKDAYS(G105,K105,{"01/01/2026";"02/02/2026";"16/03/2026";"02/04/2026";"03/04/2026";"01/05/2026"})&lt;=10,"6 a 10 días",IF(NETWORKDAYS(G105,K105,{"01/01/2026";"02/02/2026";"16/03/2026";"02/04/2026";"03/04/2026";"01/05/2026"})&lt;=16,"11 a 15 días","más de 16 días")))))),"Aun no se entrega")</f>
        <v>4 a 5 días</v>
      </c>
      <c r="O105" s="34" t="str" cm="1">
        <f t="array" ref="O105">IFERROR(
  IF(
    NETWORKDAYS(G105,K105,{"01/01/2026";"02/02/2026";"16/03/2026";"02/04/2026";"03/04/2026";"01/05/2026"}) &lt;=
    _xlfn.IFS(
      OR(TRIM(A105)="AICM", TRIM(A105)="AÉREO AICM"), 5,
      OR(TRIM(A105)="VERACRUZ", TRIM(A105)="MARÍTIMO VERACRUZ"), 6,
      OR(TRIM(A105)="AIFA", TRIM(A105)="AÉREO AIFA"), 7,
      AND(TRIM(A105)="CORRESPONSALIAS", TRIM(B105)="NUEVO LAREDO"), 6,
      TRIM(A105)="MANZANILLO", 10,
      TRIM(A105)="TOLUCA", 6,
      TRUE, 999
    ),
    "On Time",
    "Delayed"
  ),
  "Faltan fechas"
)</f>
        <v>On Time</v>
      </c>
      <c r="P105" s="36" t="s">
        <v>579</v>
      </c>
      <c r="Q105" s="28">
        <v>46230</v>
      </c>
      <c r="R105" s="5">
        <f>IFERROR(IF(G105=Q105,0,NETWORKDAYS(G105,Q105,{"01/01/2026";"02/02/2026";"16/03/2026";"02/04/2026";"03/04/2026";"01/05/2026"})),"Faltan Fechas")</f>
        <v>5</v>
      </c>
      <c r="S105" s="4" t="str">
        <f>IFERROR(IF(OR(G105="",Q105=""),"SIN DATO",IF(NETWORKDAYS(G105,Q105,{"01/01/2026";"02/02/2026";"16/03/2026";"02/04/2026";"03/04/2026";"01/05/2026"})&lt;=1,"1 día o menos",IF(NETWORKDAYS(G105,Q105,{"01/01/2026";"02/02/2026";"16/03/2026";"02/04/2026";"03/04/2026";"01/05/2026"})&lt;=3,"2 a 3 días",IF(NETWORKDAYS(G105,Q105,{"01/01/2026";"02/02/2026";"16/03/2026";"02/04/2026";"03/04/2026";"01/05/2026"})&lt;=5,"4 a 5 días",IF(NETWORKDAYS(G105,Q105,{"01/01/2026";"02/02/2026";"16/03/2026";"02/04/2026";"03/04/2026";"01/05/2026"})&lt;=10,"6 a 10 días",IF(NETWORKDAYS(G105,Q105,{"01/01/2026";"02/02/2026";"16/03/2026";"02/04/2026";"03/04/2026";"01/05/2026"})&lt;=16,"11 a 15 días","más de 16 días")))))),"Aun no se entrega")</f>
        <v>4 a 5 días</v>
      </c>
      <c r="T105" s="4" t="str" cm="1">
        <f t="array" ref="T105">IFERROR(
  IF(
    NETWORKDAYS(G105,Q105,{"01/01/2026";"02/02/2026";"16/03/2026";"02/04/2026";"03/04/2026";"01/05/2026"}) &lt;=
    _xlfn.IFS(
      OR(TRIM(A105)="AICM", TRIM(A105)="AÉREO AICM"), 5,
      OR(TRIM(A105)="VERACRUZ", TRIM(A105)="MARÍTIMO VERACRUZ"), 6,
      OR(TRIM(A105)="AIFA", TRIM(A105)="AÉREO AIFA"), 7,
      AND(TRIM(A105)="CORRESPONSALIAS", TRIM(B105)="NUEVO LAREDO"), 6,
      TRIM(A105)="MANZANILLO", 10,
      TRIM(A105)="TOLUCA", 6,
      TRUE, 999
    ),
    "On Time",
    "Delayed"
  ),
  "Faltan fechas"
)</f>
        <v>On Time</v>
      </c>
      <c r="U105" s="27">
        <v>4</v>
      </c>
      <c r="V105" s="27" t="s">
        <v>543</v>
      </c>
      <c r="W105" s="27">
        <v>21</v>
      </c>
      <c r="X105" s="27" t="s">
        <v>547</v>
      </c>
      <c r="Y105" s="27">
        <v>1</v>
      </c>
      <c r="Z105" s="27" t="s">
        <v>546</v>
      </c>
      <c r="AA105" s="27">
        <v>1</v>
      </c>
      <c r="AB105" s="27">
        <v>2</v>
      </c>
      <c r="AC105" s="27" t="s">
        <v>579</v>
      </c>
      <c r="AD105" s="28">
        <v>46253</v>
      </c>
      <c r="AE105" s="27">
        <v>17</v>
      </c>
      <c r="AF105" s="27">
        <v>17</v>
      </c>
      <c r="AG105" s="28">
        <v>46253</v>
      </c>
      <c r="AH105" s="28">
        <v>46253</v>
      </c>
      <c r="AI105" s="29">
        <v>0</v>
      </c>
      <c r="AJ105" s="28" t="s">
        <v>547</v>
      </c>
      <c r="AK105" s="28">
        <v>46253</v>
      </c>
      <c r="AL105" s="5">
        <f>IFERROR(IF(Q105=AK105,0,NETWORKDAYS(Q105,AK105,{"01/01/2026";"02/02/2026";"16/03/2026";"02/04/2026";"03/04/2026";"01/05/2026"})),"aun no se factura")</f>
        <v>18</v>
      </c>
      <c r="AM105" s="4" t="str">
        <f>IFERROR(IF(OR(Q105="",AK105=""),"SIN DATO",IF(NETWORKDAYS(Q105,AK105,{"01/01/2026";"02/02/2026";"16/03/2026";"02/04/2026";"03/04/2026";"01/05/2026"})&lt;=1,"1 día o menos",IF(NETWORKDAYS(Q105,AK105,{"01/01/2026";"02/02/2026";"16/03/2026";"02/04/2026";"03/04/2026";"01/05/2026"})&lt;=3,"2 a 3 días",IF(NETWORKDAYS(Q105,AK105,{"01/01/2026";"02/02/2026";"16/03/2026";"02/04/2026";"03/04/2026";"01/05/2026"})&lt;=5,"4 a 5 días",IF(NETWORKDAYS(Q105,AK105,{"01/01/2026";"02/02/2026";"16/03/2026";"02/04/2026";"03/04/2026";"01/05/2026"})&lt;=10,"6 a 10 días",IF(NETWORKDAYS(Q105,AK105,{"01/01/2026";"02/02/2026";"16/03/2026";"02/04/2026";"03/04/2026";"01/05/2026"})&lt;=16,"11 a 15 días","más de 16 días")))))),"aun no se factura")</f>
        <v>más de 16 días</v>
      </c>
      <c r="AN105" s="4" t="str" cm="1">
        <f t="array" ref="AN105">IFERROR(
  IF(
    NETWORKDAYS(Q105,AK105,{"01/01/2026";"02/02/2026";"16/03/2026";"02/04/2026";"03/04/2026";"01/05/2026"}) &lt;=
    _xlfn.IFS(
      OR(TRIM(A105)="AICM", TRIM(A105)="AÉREO AICM"), 5,
      OR(TRIM(A105)="VERACRUZ", TRIM(A105)="MARÍTIMO VERACRUZ"), 6,
      OR(TRIM(A105)="AIFA", TRIM(A105)="AÉREO AIFA"), 7,
      AND(TRIM(A105)="CORRESPONSALIAS", TRIM(B105)="NUEVO LAREDO"), 6,
      TRIM(A105)="MANZANILLO", 10,
      TRIM(A105)="TOLUCA", 6,
      TRUE, 999
    ),
    "On Time",
    "Delayed"
  ),
  "Faltan fechas"
)</f>
        <v>Delayed</v>
      </c>
      <c r="AO105" s="29">
        <v>1</v>
      </c>
      <c r="AP105" s="28" t="s">
        <v>548</v>
      </c>
      <c r="AQ105" s="27" t="s">
        <v>93</v>
      </c>
      <c r="AR105" s="27" t="s">
        <v>112</v>
      </c>
      <c r="AS105" s="27" t="s">
        <v>1243</v>
      </c>
      <c r="AT105" s="27" t="s">
        <v>223</v>
      </c>
      <c r="AU105" s="29">
        <v>6001099</v>
      </c>
      <c r="AV105" s="27" t="s">
        <v>92</v>
      </c>
      <c r="AW105" s="27" t="s">
        <v>431</v>
      </c>
      <c r="AX105" s="27" t="s">
        <v>549</v>
      </c>
      <c r="AY105" s="27"/>
      <c r="AZ105" s="27" t="s">
        <v>550</v>
      </c>
      <c r="BA105" s="27" t="s">
        <v>90</v>
      </c>
      <c r="BB105" s="27"/>
      <c r="BC105" s="27" t="s">
        <v>117</v>
      </c>
      <c r="BD105" s="27"/>
      <c r="BE105" s="27" t="s">
        <v>117</v>
      </c>
      <c r="BF105" s="27" t="s">
        <v>576</v>
      </c>
      <c r="BG105" s="27" t="s">
        <v>552</v>
      </c>
      <c r="BH105" s="27" t="s">
        <v>580</v>
      </c>
      <c r="BI105" s="27"/>
      <c r="BJ105" s="27" t="s">
        <v>1185</v>
      </c>
      <c r="BK105" s="27" t="s">
        <v>554</v>
      </c>
      <c r="BL105" s="27">
        <v>0</v>
      </c>
      <c r="BM105" s="27">
        <v>99</v>
      </c>
      <c r="BN105" s="27" t="s">
        <v>1244</v>
      </c>
      <c r="BO105" s="27">
        <v>90</v>
      </c>
      <c r="BP105" s="27" t="s">
        <v>1245</v>
      </c>
      <c r="BQ105" s="27" t="s">
        <v>611</v>
      </c>
      <c r="BR105" s="27"/>
      <c r="BS105" s="27" t="s">
        <v>613</v>
      </c>
      <c r="BT105" s="27" t="s">
        <v>558</v>
      </c>
      <c r="BU105" s="27" t="s">
        <v>133</v>
      </c>
      <c r="BV105" s="27" t="s">
        <v>105</v>
      </c>
      <c r="BW105" s="27">
        <v>10665652</v>
      </c>
      <c r="BX105" s="27" t="s">
        <v>1246</v>
      </c>
      <c r="BY105" s="27" t="s">
        <v>223</v>
      </c>
      <c r="BZ105" s="27" t="s">
        <v>1247</v>
      </c>
      <c r="CA105" s="30" t="s">
        <v>1248</v>
      </c>
    </row>
    <row r="106" spans="1:79" x14ac:dyDescent="0.25">
      <c r="A106" s="26" t="s">
        <v>541</v>
      </c>
      <c r="B106" s="27" t="s">
        <v>542</v>
      </c>
      <c r="C106" s="27" t="s">
        <v>814</v>
      </c>
      <c r="D106" s="27">
        <v>470</v>
      </c>
      <c r="E106" s="28">
        <v>46261</v>
      </c>
      <c r="F106" s="27">
        <v>8</v>
      </c>
      <c r="G106" s="35">
        <v>46256</v>
      </c>
      <c r="H106" s="28">
        <v>46261</v>
      </c>
      <c r="I106" s="27">
        <v>3</v>
      </c>
      <c r="J106" s="27" t="s">
        <v>579</v>
      </c>
      <c r="K106" s="35">
        <v>46262</v>
      </c>
      <c r="L106" s="27">
        <v>4</v>
      </c>
      <c r="M106" s="34">
        <f>IFERROR(IF(G106=K106,0,NETWORKDAYS(G106,K106,{"01/01/2026";"02/02/2026";"16/03/2026";"02/04/2026";"03/04/2026";"01/05/2026"})),"Faltan Fechas")</f>
        <v>5</v>
      </c>
      <c r="N106" s="33" t="str">
        <f>IFERROR(IF(OR(G106="",K106=""),"SIN DATO",IF(NETWORKDAYS(G106,K106,{"01/01/2026";"02/02/2026";"16/03/2026";"02/04/2026";"03/04/2026";"01/05/2026"})&lt;=1,"1 día o menos",IF(NETWORKDAYS(G106,K106,{"01/01/2026";"02/02/2026";"16/03/2026";"02/04/2026";"03/04/2026";"01/05/2026"})&lt;=3,"2 a 3 días",IF(NETWORKDAYS(G106,K106,{"01/01/2026";"02/02/2026";"16/03/2026";"02/04/2026";"03/04/2026";"01/05/2026"})&lt;=5,"4 a 5 días",IF(NETWORKDAYS(G106,K106,{"01/01/2026";"02/02/2026";"16/03/2026";"02/04/2026";"03/04/2026";"01/05/2026"})&lt;=10,"6 a 10 días",IF(NETWORKDAYS(G106,K106,{"01/01/2026";"02/02/2026";"16/03/2026";"02/04/2026";"03/04/2026";"01/05/2026"})&lt;=16,"11 a 15 días","más de 16 días")))))),"Aun no se entrega")</f>
        <v>4 a 5 días</v>
      </c>
      <c r="O106" s="34" t="str" cm="1">
        <f t="array" ref="O106">IFERROR(
  IF(
    NETWORKDAYS(G106,K106,{"01/01/2026";"02/02/2026";"16/03/2026";"02/04/2026";"03/04/2026";"01/05/2026"}) &lt;=
    _xlfn.IFS(
      OR(TRIM(A106)="AICM", TRIM(A106)="AÉREO AICM"), 5,
      OR(TRIM(A106)="VERACRUZ", TRIM(A106)="MARÍTIMO VERACRUZ"), 6,
      OR(TRIM(A106)="AIFA", TRIM(A106)="AÉREO AIFA"), 7,
      AND(TRIM(A106)="CORRESPONSALIAS", TRIM(B106)="NUEVO LAREDO"), 6,
      TRIM(A106)="MANZANILLO", 10,
      TRIM(A106)="TOLUCA", 6,
      TRUE, 999
    ),
    "On Time",
    "Delayed"
  ),
  "Faltan fechas"
)</f>
        <v>On Time</v>
      </c>
      <c r="P106" s="36" t="s">
        <v>543</v>
      </c>
      <c r="Q106" s="28">
        <v>46262</v>
      </c>
      <c r="R106" s="5">
        <f>IFERROR(IF(G106=Q106,0,NETWORKDAYS(G106,Q106,{"01/01/2026";"02/02/2026";"16/03/2026";"02/04/2026";"03/04/2026";"01/05/2026"})),"Faltan Fechas")</f>
        <v>5</v>
      </c>
      <c r="S106" s="4" t="str">
        <f>IFERROR(IF(OR(G106="",Q106=""),"SIN DATO",IF(NETWORKDAYS(G106,Q106,{"01/01/2026";"02/02/2026";"16/03/2026";"02/04/2026";"03/04/2026";"01/05/2026"})&lt;=1,"1 día o menos",IF(NETWORKDAYS(G106,Q106,{"01/01/2026";"02/02/2026";"16/03/2026";"02/04/2026";"03/04/2026";"01/05/2026"})&lt;=3,"2 a 3 días",IF(NETWORKDAYS(G106,Q106,{"01/01/2026";"02/02/2026";"16/03/2026";"02/04/2026";"03/04/2026";"01/05/2026"})&lt;=5,"4 a 5 días",IF(NETWORKDAYS(G106,Q106,{"01/01/2026";"02/02/2026";"16/03/2026";"02/04/2026";"03/04/2026";"01/05/2026"})&lt;=10,"6 a 10 días",IF(NETWORKDAYS(G106,Q106,{"01/01/2026";"02/02/2026";"16/03/2026";"02/04/2026";"03/04/2026";"01/05/2026"})&lt;=16,"11 a 15 días","más de 16 días")))))),"Aun no se entrega")</f>
        <v>4 a 5 días</v>
      </c>
      <c r="T106" s="4" t="str" cm="1">
        <f t="array" ref="T106">IFERROR(
  IF(
    NETWORKDAYS(G106,Q106,{"01/01/2026";"02/02/2026";"16/03/2026";"02/04/2026";"03/04/2026";"01/05/2026"}) &lt;=
    _xlfn.IFS(
      OR(TRIM(A106)="AICM", TRIM(A106)="AÉREO AICM"), 5,
      OR(TRIM(A106)="VERACRUZ", TRIM(A106)="MARÍTIMO VERACRUZ"), 6,
      OR(TRIM(A106)="AIFA", TRIM(A106)="AÉREO AIFA"), 7,
      AND(TRIM(A106)="CORRESPONSALIAS", TRIM(B106)="NUEVO LAREDO"), 6,
      TRIM(A106)="MANZANILLO", 10,
      TRIM(A106)="TOLUCA", 6,
      TRUE, 999
    ),
    "On Time",
    "Delayed"
  ),
  "Faltan fechas"
)</f>
        <v>On Time</v>
      </c>
      <c r="U106" s="27">
        <v>4</v>
      </c>
      <c r="V106" s="27" t="s">
        <v>543</v>
      </c>
      <c r="W106" s="27">
        <v>11</v>
      </c>
      <c r="X106" s="27" t="s">
        <v>559</v>
      </c>
      <c r="Y106" s="27">
        <v>1</v>
      </c>
      <c r="Z106" s="27" t="s">
        <v>546</v>
      </c>
      <c r="AA106" s="27">
        <v>1</v>
      </c>
      <c r="AB106" s="27">
        <v>0</v>
      </c>
      <c r="AC106" s="27" t="s">
        <v>546</v>
      </c>
      <c r="AD106" s="28">
        <v>46273</v>
      </c>
      <c r="AE106" s="27">
        <v>7</v>
      </c>
      <c r="AF106" s="27">
        <v>7</v>
      </c>
      <c r="AG106" s="28">
        <v>46273</v>
      </c>
      <c r="AH106" s="28">
        <v>46273</v>
      </c>
      <c r="AI106" s="29">
        <v>0</v>
      </c>
      <c r="AJ106" s="28" t="s">
        <v>559</v>
      </c>
      <c r="AK106" s="28">
        <v>46273</v>
      </c>
      <c r="AL106" s="5">
        <f>IFERROR(IF(Q106=AK106,0,NETWORKDAYS(Q106,AK106,{"01/01/2026";"02/02/2026";"16/03/2026";"02/04/2026";"03/04/2026";"01/05/2026"})),"aun no se factura")</f>
        <v>8</v>
      </c>
      <c r="AM106" s="4" t="str">
        <f>IFERROR(IF(OR(Q106="",AK106=""),"SIN DATO",IF(NETWORKDAYS(Q106,AK106,{"01/01/2026";"02/02/2026";"16/03/2026";"02/04/2026";"03/04/2026";"01/05/2026"})&lt;=1,"1 día o menos",IF(NETWORKDAYS(Q106,AK106,{"01/01/2026";"02/02/2026";"16/03/2026";"02/04/2026";"03/04/2026";"01/05/2026"})&lt;=3,"2 a 3 días",IF(NETWORKDAYS(Q106,AK106,{"01/01/2026";"02/02/2026";"16/03/2026";"02/04/2026";"03/04/2026";"01/05/2026"})&lt;=5,"4 a 5 días",IF(NETWORKDAYS(Q106,AK106,{"01/01/2026";"02/02/2026";"16/03/2026";"02/04/2026";"03/04/2026";"01/05/2026"})&lt;=10,"6 a 10 días",IF(NETWORKDAYS(Q106,AK106,{"01/01/2026";"02/02/2026";"16/03/2026";"02/04/2026";"03/04/2026";"01/05/2026"})&lt;=16,"11 a 15 días","más de 16 días")))))),"aun no se factura")</f>
        <v>6 a 10 días</v>
      </c>
      <c r="AN106" s="4" t="str" cm="1">
        <f t="array" ref="AN106">IFERROR(
  IF(
    NETWORKDAYS(Q106,AK106,{"01/01/2026";"02/02/2026";"16/03/2026";"02/04/2026";"03/04/2026";"01/05/2026"}) &lt;=
    _xlfn.IFS(
      OR(TRIM(A106)="AICM", TRIM(A106)="AÉREO AICM"), 5,
      OR(TRIM(A106)="VERACRUZ", TRIM(A106)="MARÍTIMO VERACRUZ"), 6,
      OR(TRIM(A106)="AIFA", TRIM(A106)="AÉREO AIFA"), 7,
      AND(TRIM(A106)="CORRESPONSALIAS", TRIM(B106)="NUEVO LAREDO"), 6,
      TRIM(A106)="MANZANILLO", 10,
      TRIM(A106)="TOLUCA", 6,
      TRUE, 999
    ),
    "On Time",
    "Delayed"
  ),
  "Faltan fechas"
)</f>
        <v>On Time</v>
      </c>
      <c r="AO106" s="29">
        <v>1</v>
      </c>
      <c r="AP106" s="28" t="s">
        <v>548</v>
      </c>
      <c r="AQ106" s="27" t="s">
        <v>93</v>
      </c>
      <c r="AR106" s="27" t="s">
        <v>285</v>
      </c>
      <c r="AS106" s="27" t="s">
        <v>815</v>
      </c>
      <c r="AT106" s="27">
        <v>1076475068</v>
      </c>
      <c r="AU106" s="29">
        <v>6005227</v>
      </c>
      <c r="AV106" s="27" t="s">
        <v>92</v>
      </c>
      <c r="AW106" s="27" t="s">
        <v>570</v>
      </c>
      <c r="AX106" s="27" t="s">
        <v>549</v>
      </c>
      <c r="AY106" s="27"/>
      <c r="AZ106" s="27" t="s">
        <v>550</v>
      </c>
      <c r="BA106" s="27" t="s">
        <v>90</v>
      </c>
      <c r="BB106" s="27"/>
      <c r="BC106" s="27"/>
      <c r="BD106" s="27"/>
      <c r="BE106" s="27"/>
      <c r="BF106" s="27"/>
      <c r="BG106" s="27" t="s">
        <v>552</v>
      </c>
      <c r="BH106" s="27" t="s">
        <v>223</v>
      </c>
      <c r="BI106" s="27"/>
      <c r="BJ106" s="27" t="s">
        <v>816</v>
      </c>
      <c r="BK106" s="27" t="s">
        <v>554</v>
      </c>
      <c r="BL106" s="27">
        <v>0</v>
      </c>
      <c r="BM106" s="27">
        <v>99</v>
      </c>
      <c r="BN106" s="27" t="s">
        <v>817</v>
      </c>
      <c r="BO106" s="27">
        <v>90</v>
      </c>
      <c r="BP106" s="27" t="s">
        <v>818</v>
      </c>
      <c r="BQ106" s="27" t="s">
        <v>563</v>
      </c>
      <c r="BR106" s="27"/>
      <c r="BS106" s="27" t="s">
        <v>819</v>
      </c>
      <c r="BT106" s="27" t="s">
        <v>558</v>
      </c>
      <c r="BU106" s="27" t="s">
        <v>820</v>
      </c>
      <c r="BV106" s="27" t="s">
        <v>105</v>
      </c>
      <c r="BW106" s="27">
        <v>98564</v>
      </c>
      <c r="BX106" s="27" t="s">
        <v>821</v>
      </c>
      <c r="BY106" s="27" t="s">
        <v>822</v>
      </c>
      <c r="BZ106" s="27" t="s">
        <v>223</v>
      </c>
      <c r="CA106" s="30" t="s">
        <v>823</v>
      </c>
    </row>
    <row r="107" spans="1:79" x14ac:dyDescent="0.25">
      <c r="A107" s="26" t="s">
        <v>577</v>
      </c>
      <c r="B107" s="27" t="s">
        <v>578</v>
      </c>
      <c r="C107" s="27" t="s">
        <v>1045</v>
      </c>
      <c r="D107" s="27">
        <v>430</v>
      </c>
      <c r="E107" s="28">
        <v>46263</v>
      </c>
      <c r="F107" s="27">
        <v>8</v>
      </c>
      <c r="G107" s="35">
        <v>46257</v>
      </c>
      <c r="H107" s="28">
        <v>46263</v>
      </c>
      <c r="I107" s="27">
        <v>4</v>
      </c>
      <c r="J107" s="27" t="s">
        <v>543</v>
      </c>
      <c r="K107" s="35">
        <v>46266</v>
      </c>
      <c r="L107" s="27">
        <v>6</v>
      </c>
      <c r="M107" s="34">
        <f>IFERROR(IF(G107=K107,0,NETWORKDAYS(G107,K107,{"01/01/2026";"02/02/2026";"16/03/2026";"02/04/2026";"03/04/2026";"01/05/2026"})),"Faltan Fechas")</f>
        <v>7</v>
      </c>
      <c r="N107" s="33" t="str">
        <f>IFERROR(IF(OR(G107="",K107=""),"SIN DATO",IF(NETWORKDAYS(G107,K107,{"01/01/2026";"02/02/2026";"16/03/2026";"02/04/2026";"03/04/2026";"01/05/2026"})&lt;=1,"1 día o menos",IF(NETWORKDAYS(G107,K107,{"01/01/2026";"02/02/2026";"16/03/2026";"02/04/2026";"03/04/2026";"01/05/2026"})&lt;=3,"2 a 3 días",IF(NETWORKDAYS(G107,K107,{"01/01/2026";"02/02/2026";"16/03/2026";"02/04/2026";"03/04/2026";"01/05/2026"})&lt;=5,"4 a 5 días",IF(NETWORKDAYS(G107,K107,{"01/01/2026";"02/02/2026";"16/03/2026";"02/04/2026";"03/04/2026";"01/05/2026"})&lt;=10,"6 a 10 días",IF(NETWORKDAYS(G107,K107,{"01/01/2026";"02/02/2026";"16/03/2026";"02/04/2026";"03/04/2026";"01/05/2026"})&lt;=16,"11 a 15 días","más de 16 días")))))),"Aun no se entrega")</f>
        <v>6 a 10 días</v>
      </c>
      <c r="O107" s="34" t="str" cm="1">
        <f t="array" ref="O107">IFERROR(
  IF(
    NETWORKDAYS(G107,K107,{"01/01/2026";"02/02/2026";"16/03/2026";"02/04/2026";"03/04/2026";"01/05/2026"}) &lt;=
    _xlfn.IFS(
      OR(TRIM(A107)="AICM", TRIM(A107)="AÉREO AICM"), 5,
      OR(TRIM(A107)="VERACRUZ", TRIM(A107)="MARÍTIMO VERACRUZ"), 6,
      OR(TRIM(A107)="AIFA", TRIM(A107)="AÉREO AIFA"), 7,
      AND(TRIM(A107)="CORRESPONSALIAS", TRIM(B107)="NUEVO LAREDO"), 6,
      TRIM(A107)="MANZANILLO", 10,
      TRIM(A107)="TOLUCA", 6,
      TRUE, 999
    ),
    "On Time",
    "Delayed"
  ),
  "Faltan fechas"
)</f>
        <v>Delayed</v>
      </c>
      <c r="P107" s="36" t="s">
        <v>544</v>
      </c>
      <c r="Q107" s="28">
        <v>46267</v>
      </c>
      <c r="R107" s="5">
        <f>IFERROR(IF(G107=Q107,0,NETWORKDAYS(G107,Q107,{"01/01/2026";"02/02/2026";"16/03/2026";"02/04/2026";"03/04/2026";"01/05/2026"})),"Faltan Fechas")</f>
        <v>8</v>
      </c>
      <c r="S107" s="4" t="str">
        <f>IFERROR(IF(OR(G107="",Q107=""),"SIN DATO",IF(NETWORKDAYS(G107,Q107,{"01/01/2026";"02/02/2026";"16/03/2026";"02/04/2026";"03/04/2026";"01/05/2026"})&lt;=1,"1 día o menos",IF(NETWORKDAYS(G107,Q107,{"01/01/2026";"02/02/2026";"16/03/2026";"02/04/2026";"03/04/2026";"01/05/2026"})&lt;=3,"2 a 3 días",IF(NETWORKDAYS(G107,Q107,{"01/01/2026";"02/02/2026";"16/03/2026";"02/04/2026";"03/04/2026";"01/05/2026"})&lt;=5,"4 a 5 días",IF(NETWORKDAYS(G107,Q107,{"01/01/2026";"02/02/2026";"16/03/2026";"02/04/2026";"03/04/2026";"01/05/2026"})&lt;=10,"6 a 10 días",IF(NETWORKDAYS(G107,Q107,{"01/01/2026";"02/02/2026";"16/03/2026";"02/04/2026";"03/04/2026";"01/05/2026"})&lt;=16,"11 a 15 días","más de 16 días")))))),"Aun no se entrega")</f>
        <v>6 a 10 días</v>
      </c>
      <c r="T107" s="4" t="str" cm="1">
        <f t="array" ref="T107">IFERROR(
  IF(
    NETWORKDAYS(G107,Q107,{"01/01/2026";"02/02/2026";"16/03/2026";"02/04/2026";"03/04/2026";"01/05/2026"}) &lt;=
    _xlfn.IFS(
      OR(TRIM(A107)="AICM", TRIM(A107)="AÉREO AICM"), 5,
      OR(TRIM(A107)="VERACRUZ", TRIM(A107)="MARÍTIMO VERACRUZ"), 6,
      OR(TRIM(A107)="AIFA", TRIM(A107)="AÉREO AIFA"), 7,
      AND(TRIM(A107)="CORRESPONSALIAS", TRIM(B107)="NUEVO LAREDO"), 6,
      TRIM(A107)="MANZANILLO", 10,
      TRIM(A107)="TOLUCA", 6,
      TRUE, 999
    ),
    "On Time",
    "Delayed"
  ),
  "Faltan fechas"
)</f>
        <v>Delayed</v>
      </c>
      <c r="U107" s="27">
        <v>8</v>
      </c>
      <c r="V107" s="27" t="s">
        <v>544</v>
      </c>
      <c r="W107" s="27">
        <v>14</v>
      </c>
      <c r="X107" s="27" t="s">
        <v>559</v>
      </c>
      <c r="Y107" s="27">
        <v>1</v>
      </c>
      <c r="Z107" s="27" t="s">
        <v>546</v>
      </c>
      <c r="AA107" s="27">
        <v>1</v>
      </c>
      <c r="AB107" s="27">
        <v>1</v>
      </c>
      <c r="AC107" s="27" t="s">
        <v>546</v>
      </c>
      <c r="AD107" s="28">
        <v>46275</v>
      </c>
      <c r="AE107" s="27">
        <v>5</v>
      </c>
      <c r="AF107" s="27">
        <v>6</v>
      </c>
      <c r="AG107" s="28">
        <v>46274</v>
      </c>
      <c r="AH107" s="28">
        <v>46275</v>
      </c>
      <c r="AI107" s="29">
        <v>1</v>
      </c>
      <c r="AJ107" s="28" t="s">
        <v>544</v>
      </c>
      <c r="AK107" s="28">
        <v>46275</v>
      </c>
      <c r="AL107" s="5">
        <f>IFERROR(IF(Q107=AK107,0,NETWORKDAYS(Q107,AK107,{"01/01/2026";"02/02/2026";"16/03/2026";"02/04/2026";"03/04/2026";"01/05/2026"})),"aun no se factura")</f>
        <v>7</v>
      </c>
      <c r="AM107" s="4" t="str">
        <f>IFERROR(IF(OR(Q107="",AK107=""),"SIN DATO",IF(NETWORKDAYS(Q107,AK107,{"01/01/2026";"02/02/2026";"16/03/2026";"02/04/2026";"03/04/2026";"01/05/2026"})&lt;=1,"1 día o menos",IF(NETWORKDAYS(Q107,AK107,{"01/01/2026";"02/02/2026";"16/03/2026";"02/04/2026";"03/04/2026";"01/05/2026"})&lt;=3,"2 a 3 días",IF(NETWORKDAYS(Q107,AK107,{"01/01/2026";"02/02/2026";"16/03/2026";"02/04/2026";"03/04/2026";"01/05/2026"})&lt;=5,"4 a 5 días",IF(NETWORKDAYS(Q107,AK107,{"01/01/2026";"02/02/2026";"16/03/2026";"02/04/2026";"03/04/2026";"01/05/2026"})&lt;=10,"6 a 10 días",IF(NETWORKDAYS(Q107,AK107,{"01/01/2026";"02/02/2026";"16/03/2026";"02/04/2026";"03/04/2026";"01/05/2026"})&lt;=16,"11 a 15 días","más de 16 días")))))),"aun no se factura")</f>
        <v>6 a 10 días</v>
      </c>
      <c r="AN107" s="4" t="str" cm="1">
        <f t="array" ref="AN107">IFERROR(
  IF(
    NETWORKDAYS(Q107,AK107,{"01/01/2026";"02/02/2026";"16/03/2026";"02/04/2026";"03/04/2026";"01/05/2026"}) &lt;=
    _xlfn.IFS(
      OR(TRIM(A107)="AICM", TRIM(A107)="AÉREO AICM"), 5,
      OR(TRIM(A107)="VERACRUZ", TRIM(A107)="MARÍTIMO VERACRUZ"), 6,
      OR(TRIM(A107)="AIFA", TRIM(A107)="AÉREO AIFA"), 7,
      AND(TRIM(A107)="CORRESPONSALIAS", TRIM(B107)="NUEVO LAREDO"), 6,
      TRIM(A107)="MANZANILLO", 10,
      TRIM(A107)="TOLUCA", 6,
      TRUE, 999
    ),
    "On Time",
    "Delayed"
  ),
  "Faltan fechas"
)</f>
        <v>Delayed</v>
      </c>
      <c r="AO107" s="29">
        <v>1</v>
      </c>
      <c r="AP107" s="28" t="s">
        <v>548</v>
      </c>
      <c r="AQ107" s="27" t="s">
        <v>93</v>
      </c>
      <c r="AR107" s="27" t="s">
        <v>112</v>
      </c>
      <c r="AS107" s="27">
        <v>272480287</v>
      </c>
      <c r="AT107" s="27" t="s">
        <v>223</v>
      </c>
      <c r="AU107" s="29">
        <v>6000708</v>
      </c>
      <c r="AV107" s="27" t="s">
        <v>92</v>
      </c>
      <c r="AW107" s="27" t="s">
        <v>199</v>
      </c>
      <c r="AX107" s="27" t="s">
        <v>549</v>
      </c>
      <c r="AY107" s="27"/>
      <c r="AZ107" s="27" t="s">
        <v>550</v>
      </c>
      <c r="BA107" s="27" t="s">
        <v>90</v>
      </c>
      <c r="BB107" s="27"/>
      <c r="BC107" s="27" t="s">
        <v>397</v>
      </c>
      <c r="BD107" s="27"/>
      <c r="BE107" s="27"/>
      <c r="BF107" s="27" t="s">
        <v>576</v>
      </c>
      <c r="BG107" s="27" t="s">
        <v>552</v>
      </c>
      <c r="BH107" s="27" t="s">
        <v>607</v>
      </c>
      <c r="BI107" s="27" t="s">
        <v>1046</v>
      </c>
      <c r="BJ107" s="27"/>
      <c r="BK107" s="27" t="s">
        <v>554</v>
      </c>
      <c r="BL107" s="27">
        <v>0</v>
      </c>
      <c r="BM107" s="27" t="s">
        <v>615</v>
      </c>
      <c r="BN107" s="27" t="s">
        <v>1047</v>
      </c>
      <c r="BO107" s="27">
        <v>90</v>
      </c>
      <c r="BP107" s="27" t="s">
        <v>1048</v>
      </c>
      <c r="BQ107" s="27" t="s">
        <v>617</v>
      </c>
      <c r="BR107" s="27"/>
      <c r="BS107" s="27" t="s">
        <v>557</v>
      </c>
      <c r="BT107" s="27" t="s">
        <v>558</v>
      </c>
      <c r="BU107" s="27" t="s">
        <v>197</v>
      </c>
      <c r="BV107" s="27" t="s">
        <v>105</v>
      </c>
      <c r="BW107" s="27">
        <v>492005</v>
      </c>
      <c r="BX107" s="27" t="s">
        <v>1049</v>
      </c>
      <c r="BY107" s="27" t="s">
        <v>1050</v>
      </c>
      <c r="BZ107" s="27" t="s">
        <v>223</v>
      </c>
      <c r="CA107" s="30" t="s">
        <v>1051</v>
      </c>
    </row>
    <row r="108" spans="1:79" x14ac:dyDescent="0.25">
      <c r="A108" s="26" t="s">
        <v>577</v>
      </c>
      <c r="B108" s="27" t="s">
        <v>578</v>
      </c>
      <c r="C108" s="27" t="s">
        <v>1235</v>
      </c>
      <c r="D108" s="27">
        <v>430</v>
      </c>
      <c r="E108" s="28">
        <v>46242</v>
      </c>
      <c r="F108" s="27">
        <v>8</v>
      </c>
      <c r="G108" s="35">
        <v>46220</v>
      </c>
      <c r="H108" s="28">
        <v>46242</v>
      </c>
      <c r="I108" s="27">
        <v>15</v>
      </c>
      <c r="J108" s="27" t="s">
        <v>559</v>
      </c>
      <c r="K108" s="35">
        <v>46242</v>
      </c>
      <c r="L108" s="27">
        <v>15</v>
      </c>
      <c r="M108" s="34">
        <f>IFERROR(IF(G108=K108,0,NETWORKDAYS(G108,K108,{"01/01/2026";"02/02/2026";"16/03/2026";"02/04/2026";"03/04/2026";"01/05/2026"})),"Faltan Fechas")</f>
        <v>16</v>
      </c>
      <c r="N108" s="33" t="str">
        <f>IFERROR(IF(OR(G108="",K108=""),"SIN DATO",IF(NETWORKDAYS(G108,K108,{"01/01/2026";"02/02/2026";"16/03/2026";"02/04/2026";"03/04/2026";"01/05/2026"})&lt;=1,"1 día o menos",IF(NETWORKDAYS(G108,K108,{"01/01/2026";"02/02/2026";"16/03/2026";"02/04/2026";"03/04/2026";"01/05/2026"})&lt;=3,"2 a 3 días",IF(NETWORKDAYS(G108,K108,{"01/01/2026";"02/02/2026";"16/03/2026";"02/04/2026";"03/04/2026";"01/05/2026"})&lt;=5,"4 a 5 días",IF(NETWORKDAYS(G108,K108,{"01/01/2026";"02/02/2026";"16/03/2026";"02/04/2026";"03/04/2026";"01/05/2026"})&lt;=10,"6 a 10 días",IF(NETWORKDAYS(G108,K108,{"01/01/2026";"02/02/2026";"16/03/2026";"02/04/2026";"03/04/2026";"01/05/2026"})&lt;=16,"11 a 15 días","más de 16 días")))))),"Aun no se entrega")</f>
        <v>11 a 15 días</v>
      </c>
      <c r="O108" s="34" t="str" cm="1">
        <f t="array" ref="O108">IFERROR(
  IF(
    NETWORKDAYS(G108,K108,{"01/01/2026";"02/02/2026";"16/03/2026";"02/04/2026";"03/04/2026";"01/05/2026"}) &lt;=
    _xlfn.IFS(
      OR(TRIM(A108)="AICM", TRIM(A108)="AÉREO AICM"), 5,
      OR(TRIM(A108)="VERACRUZ", TRIM(A108)="MARÍTIMO VERACRUZ"), 6,
      OR(TRIM(A108)="AIFA", TRIM(A108)="AÉREO AIFA"), 7,
      AND(TRIM(A108)="CORRESPONSALIAS", TRIM(B108)="NUEVO LAREDO"), 6,
      TRIM(A108)="MANZANILLO", 10,
      TRIM(A108)="TOLUCA", 6,
      TRUE, 999
    ),
    "On Time",
    "Delayed"
  ),
  "Faltan fechas"
)</f>
        <v>Delayed</v>
      </c>
      <c r="P108" s="36" t="s">
        <v>559</v>
      </c>
      <c r="Q108" s="28"/>
      <c r="R108" s="5">
        <f>IFERROR(IF(G108=Q108,0,NETWORKDAYS(G108,Q108,{"01/01/2026";"02/02/2026";"16/03/2026";"02/04/2026";"03/04/2026";"01/05/2026"})),"Faltan Fechas")</f>
        <v>-33009</v>
      </c>
      <c r="S108" s="4" t="str">
        <f>IFERROR(IF(OR(G108="",Q108=""),"SIN DATO",IF(NETWORKDAYS(G108,Q108,{"01/01/2026";"02/02/2026";"16/03/2026";"02/04/2026";"03/04/2026";"01/05/2026"})&lt;=1,"1 día o menos",IF(NETWORKDAYS(G108,Q108,{"01/01/2026";"02/02/2026";"16/03/2026";"02/04/2026";"03/04/2026";"01/05/2026"})&lt;=3,"2 a 3 días",IF(NETWORKDAYS(G108,Q108,{"01/01/2026";"02/02/2026";"16/03/2026";"02/04/2026";"03/04/2026";"01/05/2026"})&lt;=5,"4 a 5 días",IF(NETWORKDAYS(G108,Q108,{"01/01/2026";"02/02/2026";"16/03/2026";"02/04/2026";"03/04/2026";"01/05/2026"})&lt;=10,"6 a 10 días",IF(NETWORKDAYS(G108,Q108,{"01/01/2026";"02/02/2026";"16/03/2026";"02/04/2026";"03/04/2026";"01/05/2026"})&lt;=16,"11 a 15 días","más de 16 días")))))),"Aun no se entrega")</f>
        <v>SIN DATO</v>
      </c>
      <c r="T108" s="4" t="str" cm="1">
        <f t="array" ref="T108">IFERROR(
  IF(
    NETWORKDAYS(G108,Q108,{"01/01/2026";"02/02/2026";"16/03/2026";"02/04/2026";"03/04/2026";"01/05/2026"}) &lt;=
    _xlfn.IFS(
      OR(TRIM(A108)="AICM", TRIM(A108)="AÉREO AICM"), 5,
      OR(TRIM(A108)="VERACRUZ", TRIM(A108)="MARÍTIMO VERACRUZ"), 6,
      OR(TRIM(A108)="AIFA", TRIM(A108)="AÉREO AIFA"), 7,
      AND(TRIM(A108)="CORRESPONSALIAS", TRIM(B108)="NUEVO LAREDO"), 6,
      TRIM(A108)="MANZANILLO", 10,
      TRIM(A108)="TOLUCA", 6,
      TRUE, 999
    ),
    "On Time",
    "Delayed"
  ),
  "Faltan fechas"
)</f>
        <v>On Time</v>
      </c>
      <c r="U108" s="27">
        <v>0</v>
      </c>
      <c r="V108" s="27" t="s">
        <v>569</v>
      </c>
      <c r="W108" s="27">
        <v>29</v>
      </c>
      <c r="X108" s="27" t="s">
        <v>547</v>
      </c>
      <c r="Y108" s="27">
        <v>0</v>
      </c>
      <c r="Z108" s="27" t="s">
        <v>546</v>
      </c>
      <c r="AA108" s="27">
        <v>0</v>
      </c>
      <c r="AB108" s="27">
        <v>-46240</v>
      </c>
      <c r="AC108" s="27" t="s">
        <v>545</v>
      </c>
      <c r="AD108" s="28">
        <v>46261</v>
      </c>
      <c r="AE108" s="27" t="s">
        <v>223</v>
      </c>
      <c r="AF108" s="27">
        <v>33043</v>
      </c>
      <c r="AG108" s="28">
        <v>46260</v>
      </c>
      <c r="AH108" s="28">
        <v>46261</v>
      </c>
      <c r="AI108" s="29">
        <v>1</v>
      </c>
      <c r="AJ108" s="28" t="s">
        <v>545</v>
      </c>
      <c r="AK108" s="28">
        <v>46261</v>
      </c>
      <c r="AL108" s="5">
        <f>IFERROR(IF(Q108=AK108,0,NETWORKDAYS(Q108,AK108,{"01/01/2026";"02/02/2026";"16/03/2026";"02/04/2026";"03/04/2026";"01/05/2026"})),"aun no se factura")</f>
        <v>33038</v>
      </c>
      <c r="AM108" s="4" t="str">
        <f>IFERROR(IF(OR(Q108="",AK108=""),"SIN DATO",IF(NETWORKDAYS(Q108,AK108,{"01/01/2026";"02/02/2026";"16/03/2026";"02/04/2026";"03/04/2026";"01/05/2026"})&lt;=1,"1 día o menos",IF(NETWORKDAYS(Q108,AK108,{"01/01/2026";"02/02/2026";"16/03/2026";"02/04/2026";"03/04/2026";"01/05/2026"})&lt;=3,"2 a 3 días",IF(NETWORKDAYS(Q108,AK108,{"01/01/2026";"02/02/2026";"16/03/2026";"02/04/2026";"03/04/2026";"01/05/2026"})&lt;=5,"4 a 5 días",IF(NETWORKDAYS(Q108,AK108,{"01/01/2026";"02/02/2026";"16/03/2026";"02/04/2026";"03/04/2026";"01/05/2026"})&lt;=10,"6 a 10 días",IF(NETWORKDAYS(Q108,AK108,{"01/01/2026";"02/02/2026";"16/03/2026";"02/04/2026";"03/04/2026";"01/05/2026"})&lt;=16,"11 a 15 días","más de 16 días")))))),"aun no se factura")</f>
        <v>SIN DATO</v>
      </c>
      <c r="AN108" s="4" t="str" cm="1">
        <f t="array" ref="AN108">IFERROR(
  IF(
    NETWORKDAYS(Q108,AK108,{"01/01/2026";"02/02/2026";"16/03/2026";"02/04/2026";"03/04/2026";"01/05/2026"}) &lt;=
    _xlfn.IFS(
      OR(TRIM(A108)="AICM", TRIM(A108)="AÉREO AICM"), 5,
      OR(TRIM(A108)="VERACRUZ", TRIM(A108)="MARÍTIMO VERACRUZ"), 6,
      OR(TRIM(A108)="AIFA", TRIM(A108)="AÉREO AIFA"), 7,
      AND(TRIM(A108)="CORRESPONSALIAS", TRIM(B108)="NUEVO LAREDO"), 6,
      TRIM(A108)="MANZANILLO", 10,
      TRIM(A108)="TOLUCA", 6,
      TRUE, 999
    ),
    "On Time",
    "Delayed"
  ),
  "Faltan fechas"
)</f>
        <v>Delayed</v>
      </c>
      <c r="AO108" s="29">
        <v>0</v>
      </c>
      <c r="AP108" s="28" t="s">
        <v>548</v>
      </c>
      <c r="AQ108" s="27" t="s">
        <v>342</v>
      </c>
      <c r="AR108" s="27" t="s">
        <v>112</v>
      </c>
      <c r="AS108" s="27" t="s">
        <v>1225</v>
      </c>
      <c r="AT108" s="27" t="s">
        <v>223</v>
      </c>
      <c r="AU108" s="29">
        <v>6001174</v>
      </c>
      <c r="AV108" s="27" t="s">
        <v>92</v>
      </c>
      <c r="AW108" s="27" t="s">
        <v>1226</v>
      </c>
      <c r="AX108" s="27" t="s">
        <v>549</v>
      </c>
      <c r="AY108" s="27"/>
      <c r="AZ108" s="27" t="s">
        <v>550</v>
      </c>
      <c r="BA108" s="27" t="s">
        <v>90</v>
      </c>
      <c r="BB108" s="27"/>
      <c r="BC108" s="27"/>
      <c r="BD108" s="27"/>
      <c r="BE108" s="27"/>
      <c r="BF108" s="27"/>
      <c r="BG108" s="27" t="s">
        <v>620</v>
      </c>
      <c r="BH108" s="27" t="s">
        <v>223</v>
      </c>
      <c r="BI108" s="27"/>
      <c r="BJ108" s="27"/>
      <c r="BK108" s="27" t="s">
        <v>554</v>
      </c>
      <c r="BL108" s="27">
        <v>0</v>
      </c>
      <c r="BM108" s="27" t="s">
        <v>1227</v>
      </c>
      <c r="BN108" s="27" t="s">
        <v>1228</v>
      </c>
      <c r="BO108" s="27">
        <v>90</v>
      </c>
      <c r="BP108" s="27" t="s">
        <v>1229</v>
      </c>
      <c r="BQ108" s="27" t="s">
        <v>1230</v>
      </c>
      <c r="BR108" s="27"/>
      <c r="BS108" s="27" t="s">
        <v>557</v>
      </c>
      <c r="BT108" s="27" t="s">
        <v>558</v>
      </c>
      <c r="BU108" s="27" t="s">
        <v>197</v>
      </c>
      <c r="BV108" s="27" t="s">
        <v>105</v>
      </c>
      <c r="BW108" s="27">
        <v>714986</v>
      </c>
      <c r="BX108" s="27" t="s">
        <v>795</v>
      </c>
      <c r="BY108" s="27" t="s">
        <v>223</v>
      </c>
      <c r="BZ108" s="27" t="s">
        <v>223</v>
      </c>
      <c r="CA108" s="30" t="s">
        <v>1234</v>
      </c>
    </row>
    <row r="109" spans="1:79" x14ac:dyDescent="0.25">
      <c r="A109" s="26" t="s">
        <v>577</v>
      </c>
      <c r="B109" s="27" t="s">
        <v>578</v>
      </c>
      <c r="C109" s="27" t="s">
        <v>1249</v>
      </c>
      <c r="D109" s="27">
        <v>430</v>
      </c>
      <c r="E109" s="28">
        <v>46241</v>
      </c>
      <c r="F109" s="27">
        <v>8</v>
      </c>
      <c r="G109" s="35">
        <v>46238</v>
      </c>
      <c r="H109" s="28">
        <v>46241</v>
      </c>
      <c r="I109" s="27">
        <v>3</v>
      </c>
      <c r="J109" s="27" t="s">
        <v>579</v>
      </c>
      <c r="K109" s="35">
        <v>46242</v>
      </c>
      <c r="L109" s="27">
        <v>3</v>
      </c>
      <c r="M109" s="34">
        <f>IFERROR(IF(G109=K109,0,NETWORKDAYS(G109,K109,{"01/01/2026";"02/02/2026";"16/03/2026";"02/04/2026";"03/04/2026";"01/05/2026"})),"Faltan Fechas")</f>
        <v>4</v>
      </c>
      <c r="N109" s="33" t="str">
        <f>IFERROR(IF(OR(G109="",K109=""),"SIN DATO",IF(NETWORKDAYS(G109,K109,{"01/01/2026";"02/02/2026";"16/03/2026";"02/04/2026";"03/04/2026";"01/05/2026"})&lt;=1,"1 día o menos",IF(NETWORKDAYS(G109,K109,{"01/01/2026";"02/02/2026";"16/03/2026";"02/04/2026";"03/04/2026";"01/05/2026"})&lt;=3,"2 a 3 días",IF(NETWORKDAYS(G109,K109,{"01/01/2026";"02/02/2026";"16/03/2026";"02/04/2026";"03/04/2026";"01/05/2026"})&lt;=5,"4 a 5 días",IF(NETWORKDAYS(G109,K109,{"01/01/2026";"02/02/2026";"16/03/2026";"02/04/2026";"03/04/2026";"01/05/2026"})&lt;=10,"6 a 10 días",IF(NETWORKDAYS(G109,K109,{"01/01/2026";"02/02/2026";"16/03/2026";"02/04/2026";"03/04/2026";"01/05/2026"})&lt;=16,"11 a 15 días","más de 16 días")))))),"Aun no se entrega")</f>
        <v>4 a 5 días</v>
      </c>
      <c r="O109" s="34" t="str" cm="1">
        <f t="array" ref="O109">IFERROR(
  IF(
    NETWORKDAYS(G109,K109,{"01/01/2026";"02/02/2026";"16/03/2026";"02/04/2026";"03/04/2026";"01/05/2026"}) &lt;=
    _xlfn.IFS(
      OR(TRIM(A109)="AICM", TRIM(A109)="AÉREO AICM"), 5,
      OR(TRIM(A109)="VERACRUZ", TRIM(A109)="MARÍTIMO VERACRUZ"), 6,
      OR(TRIM(A109)="AIFA", TRIM(A109)="AÉREO AIFA"), 7,
      AND(TRIM(A109)="CORRESPONSALIAS", TRIM(B109)="NUEVO LAREDO"), 6,
      TRIM(A109)="MANZANILLO", 10,
      TRIM(A109)="TOLUCA", 6,
      TRUE, 999
    ),
    "On Time",
    "Delayed"
  ),
  "Faltan fechas"
)</f>
        <v>On Time</v>
      </c>
      <c r="P109" s="36" t="s">
        <v>579</v>
      </c>
      <c r="Q109" s="28">
        <v>46244</v>
      </c>
      <c r="R109" s="5">
        <f>IFERROR(IF(G109=Q109,0,NETWORKDAYS(G109,Q109,{"01/01/2026";"02/02/2026";"16/03/2026";"02/04/2026";"03/04/2026";"01/05/2026"})),"Faltan Fechas")</f>
        <v>5</v>
      </c>
      <c r="S109" s="4" t="str">
        <f>IFERROR(IF(OR(G109="",Q109=""),"SIN DATO",IF(NETWORKDAYS(G109,Q109,{"01/01/2026";"02/02/2026";"16/03/2026";"02/04/2026";"03/04/2026";"01/05/2026"})&lt;=1,"1 día o menos",IF(NETWORKDAYS(G109,Q109,{"01/01/2026";"02/02/2026";"16/03/2026";"02/04/2026";"03/04/2026";"01/05/2026"})&lt;=3,"2 a 3 días",IF(NETWORKDAYS(G109,Q109,{"01/01/2026";"02/02/2026";"16/03/2026";"02/04/2026";"03/04/2026";"01/05/2026"})&lt;=5,"4 a 5 días",IF(NETWORKDAYS(G109,Q109,{"01/01/2026";"02/02/2026";"16/03/2026";"02/04/2026";"03/04/2026";"01/05/2026"})&lt;=10,"6 a 10 días",IF(NETWORKDAYS(G109,Q109,{"01/01/2026";"02/02/2026";"16/03/2026";"02/04/2026";"03/04/2026";"01/05/2026"})&lt;=16,"11 a 15 días","más de 16 días")))))),"Aun no se entrega")</f>
        <v>4 a 5 días</v>
      </c>
      <c r="T109" s="4" t="str" cm="1">
        <f t="array" ref="T109">IFERROR(
  IF(
    NETWORKDAYS(G109,Q109,{"01/01/2026";"02/02/2026";"16/03/2026";"02/04/2026";"03/04/2026";"01/05/2026"}) &lt;=
    _xlfn.IFS(
      OR(TRIM(A109)="AICM", TRIM(A109)="AÉREO AICM"), 5,
      OR(TRIM(A109)="VERACRUZ", TRIM(A109)="MARÍTIMO VERACRUZ"), 6,
      OR(TRIM(A109)="AIFA", TRIM(A109)="AÉREO AIFA"), 7,
      AND(TRIM(A109)="CORRESPONSALIAS", TRIM(B109)="NUEVO LAREDO"), 6,
      TRIM(A109)="MANZANILLO", 10,
      TRIM(A109)="TOLUCA", 6,
      TRUE, 999
    ),
    "On Time",
    "Delayed"
  ),
  "Faltan fechas"
)</f>
        <v>On Time</v>
      </c>
      <c r="U109" s="27">
        <v>4</v>
      </c>
      <c r="V109" s="27" t="s">
        <v>543</v>
      </c>
      <c r="W109" s="27">
        <v>15</v>
      </c>
      <c r="X109" s="27" t="s">
        <v>559</v>
      </c>
      <c r="Y109" s="27">
        <v>1</v>
      </c>
      <c r="Z109" s="27" t="s">
        <v>546</v>
      </c>
      <c r="AA109" s="27">
        <v>1</v>
      </c>
      <c r="AB109" s="27">
        <v>2</v>
      </c>
      <c r="AC109" s="27" t="s">
        <v>579</v>
      </c>
      <c r="AD109" s="28">
        <v>46259</v>
      </c>
      <c r="AE109" s="27">
        <v>10</v>
      </c>
      <c r="AF109" s="27">
        <v>11</v>
      </c>
      <c r="AG109" s="28">
        <v>46258</v>
      </c>
      <c r="AH109" s="28">
        <v>46259</v>
      </c>
      <c r="AI109" s="29">
        <v>1</v>
      </c>
      <c r="AJ109" s="28" t="s">
        <v>559</v>
      </c>
      <c r="AK109" s="28">
        <v>46259</v>
      </c>
      <c r="AL109" s="5">
        <f>IFERROR(IF(Q109=AK109,0,NETWORKDAYS(Q109,AK109,{"01/01/2026";"02/02/2026";"16/03/2026";"02/04/2026";"03/04/2026";"01/05/2026"})),"aun no se factura")</f>
        <v>12</v>
      </c>
      <c r="AM109" s="4" t="str">
        <f>IFERROR(IF(OR(Q109="",AK109=""),"SIN DATO",IF(NETWORKDAYS(Q109,AK109,{"01/01/2026";"02/02/2026";"16/03/2026";"02/04/2026";"03/04/2026";"01/05/2026"})&lt;=1,"1 día o menos",IF(NETWORKDAYS(Q109,AK109,{"01/01/2026";"02/02/2026";"16/03/2026";"02/04/2026";"03/04/2026";"01/05/2026"})&lt;=3,"2 a 3 días",IF(NETWORKDAYS(Q109,AK109,{"01/01/2026";"02/02/2026";"16/03/2026";"02/04/2026";"03/04/2026";"01/05/2026"})&lt;=5,"4 a 5 días",IF(NETWORKDAYS(Q109,AK109,{"01/01/2026";"02/02/2026";"16/03/2026";"02/04/2026";"03/04/2026";"01/05/2026"})&lt;=10,"6 a 10 días",IF(NETWORKDAYS(Q109,AK109,{"01/01/2026";"02/02/2026";"16/03/2026";"02/04/2026";"03/04/2026";"01/05/2026"})&lt;=16,"11 a 15 días","más de 16 días")))))),"aun no se factura")</f>
        <v>11 a 15 días</v>
      </c>
      <c r="AN109" s="4" t="str" cm="1">
        <f t="array" ref="AN109">IFERROR(
  IF(
    NETWORKDAYS(Q109,AK109,{"01/01/2026";"02/02/2026";"16/03/2026";"02/04/2026";"03/04/2026";"01/05/2026"}) &lt;=
    _xlfn.IFS(
      OR(TRIM(A109)="AICM", TRIM(A109)="AÉREO AICM"), 5,
      OR(TRIM(A109)="VERACRUZ", TRIM(A109)="MARÍTIMO VERACRUZ"), 6,
      OR(TRIM(A109)="AIFA", TRIM(A109)="AÉREO AIFA"), 7,
      AND(TRIM(A109)="CORRESPONSALIAS", TRIM(B109)="NUEVO LAREDO"), 6,
      TRIM(A109)="MANZANILLO", 10,
      TRIM(A109)="TOLUCA", 6,
      TRUE, 999
    ),
    "On Time",
    "Delayed"
  ),
  "Faltan fechas"
)</f>
        <v>Delayed</v>
      </c>
      <c r="AO109" s="29">
        <v>1</v>
      </c>
      <c r="AP109" s="28" t="s">
        <v>548</v>
      </c>
      <c r="AQ109" s="27" t="s">
        <v>93</v>
      </c>
      <c r="AR109" s="27" t="s">
        <v>112</v>
      </c>
      <c r="AS109" s="27" t="s">
        <v>1250</v>
      </c>
      <c r="AT109" s="27" t="s">
        <v>223</v>
      </c>
      <c r="AU109" s="29">
        <v>6001134</v>
      </c>
      <c r="AV109" s="27" t="s">
        <v>92</v>
      </c>
      <c r="AW109" s="27" t="s">
        <v>386</v>
      </c>
      <c r="AX109" s="27" t="s">
        <v>549</v>
      </c>
      <c r="AY109" s="27"/>
      <c r="AZ109" s="27" t="s">
        <v>550</v>
      </c>
      <c r="BA109" s="27" t="s">
        <v>90</v>
      </c>
      <c r="BB109" s="27"/>
      <c r="BC109" s="27"/>
      <c r="BD109" s="27"/>
      <c r="BE109" s="27"/>
      <c r="BF109" s="27" t="s">
        <v>576</v>
      </c>
      <c r="BG109" s="27" t="s">
        <v>552</v>
      </c>
      <c r="BH109" s="27" t="s">
        <v>580</v>
      </c>
      <c r="BI109" s="27"/>
      <c r="BJ109" s="27" t="s">
        <v>589</v>
      </c>
      <c r="BK109" s="27" t="s">
        <v>554</v>
      </c>
      <c r="BL109" s="27">
        <v>0</v>
      </c>
      <c r="BM109" s="27">
        <v>99</v>
      </c>
      <c r="BN109" s="27" t="s">
        <v>1251</v>
      </c>
      <c r="BO109" s="27">
        <v>90</v>
      </c>
      <c r="BP109" s="27" t="s">
        <v>1252</v>
      </c>
      <c r="BQ109" s="27" t="s">
        <v>563</v>
      </c>
      <c r="BR109" s="27"/>
      <c r="BS109" s="27" t="s">
        <v>613</v>
      </c>
      <c r="BT109" s="27" t="s">
        <v>558</v>
      </c>
      <c r="BU109" s="27" t="s">
        <v>133</v>
      </c>
      <c r="BV109" s="27" t="s">
        <v>105</v>
      </c>
      <c r="BW109" s="27">
        <v>11169360</v>
      </c>
      <c r="BX109" s="27" t="s">
        <v>1253</v>
      </c>
      <c r="BY109" s="27" t="s">
        <v>223</v>
      </c>
      <c r="BZ109" s="27" t="s">
        <v>1254</v>
      </c>
      <c r="CA109" s="30" t="s">
        <v>1255</v>
      </c>
    </row>
    <row r="110" spans="1:79" x14ac:dyDescent="0.25">
      <c r="A110" s="26" t="s">
        <v>577</v>
      </c>
      <c r="B110" s="27" t="s">
        <v>578</v>
      </c>
      <c r="C110" s="27" t="s">
        <v>1256</v>
      </c>
      <c r="D110" s="27">
        <v>430</v>
      </c>
      <c r="E110" s="28">
        <v>46249</v>
      </c>
      <c r="F110" s="27">
        <v>8</v>
      </c>
      <c r="G110" s="35">
        <v>46238</v>
      </c>
      <c r="H110" s="28">
        <v>46249</v>
      </c>
      <c r="I110" s="27">
        <v>8</v>
      </c>
      <c r="J110" s="27" t="s">
        <v>544</v>
      </c>
      <c r="K110" s="35">
        <v>46251</v>
      </c>
      <c r="L110" s="27">
        <v>9</v>
      </c>
      <c r="M110" s="34">
        <f>IFERROR(IF(G110=K110,0,NETWORKDAYS(G110,K110,{"01/01/2026";"02/02/2026";"16/03/2026";"02/04/2026";"03/04/2026";"01/05/2026"})),"Faltan Fechas")</f>
        <v>10</v>
      </c>
      <c r="N110" s="33" t="str">
        <f>IFERROR(IF(OR(G110="",K110=""),"SIN DATO",IF(NETWORKDAYS(G110,K110,{"01/01/2026";"02/02/2026";"16/03/2026";"02/04/2026";"03/04/2026";"01/05/2026"})&lt;=1,"1 día o menos",IF(NETWORKDAYS(G110,K110,{"01/01/2026";"02/02/2026";"16/03/2026";"02/04/2026";"03/04/2026";"01/05/2026"})&lt;=3,"2 a 3 días",IF(NETWORKDAYS(G110,K110,{"01/01/2026";"02/02/2026";"16/03/2026";"02/04/2026";"03/04/2026";"01/05/2026"})&lt;=5,"4 a 5 días",IF(NETWORKDAYS(G110,K110,{"01/01/2026";"02/02/2026";"16/03/2026";"02/04/2026";"03/04/2026";"01/05/2026"})&lt;=10,"6 a 10 días",IF(NETWORKDAYS(G110,K110,{"01/01/2026";"02/02/2026";"16/03/2026";"02/04/2026";"03/04/2026";"01/05/2026"})&lt;=16,"11 a 15 días","más de 16 días")))))),"Aun no se entrega")</f>
        <v>6 a 10 días</v>
      </c>
      <c r="O110" s="34" t="str" cm="1">
        <f t="array" ref="O110">IFERROR(
  IF(
    NETWORKDAYS(G110,K110,{"01/01/2026";"02/02/2026";"16/03/2026";"02/04/2026";"03/04/2026";"01/05/2026"}) &lt;=
    _xlfn.IFS(
      OR(TRIM(A110)="AICM", TRIM(A110)="AÉREO AICM"), 5,
      OR(TRIM(A110)="VERACRUZ", TRIM(A110)="MARÍTIMO VERACRUZ"), 6,
      OR(TRIM(A110)="AIFA", TRIM(A110)="AÉREO AIFA"), 7,
      AND(TRIM(A110)="CORRESPONSALIAS", TRIM(B110)="NUEVO LAREDO"), 6,
      TRIM(A110)="MANZANILLO", 10,
      TRIM(A110)="TOLUCA", 6,
      TRUE, 999
    ),
    "On Time",
    "Delayed"
  ),
  "Faltan fechas"
)</f>
        <v>Delayed</v>
      </c>
      <c r="P110" s="36" t="s">
        <v>544</v>
      </c>
      <c r="Q110" s="28">
        <v>46252</v>
      </c>
      <c r="R110" s="5">
        <f>IFERROR(IF(G110=Q110,0,NETWORKDAYS(G110,Q110,{"01/01/2026";"02/02/2026";"16/03/2026";"02/04/2026";"03/04/2026";"01/05/2026"})),"Faltan Fechas")</f>
        <v>11</v>
      </c>
      <c r="S110" s="4" t="str">
        <f>IFERROR(IF(OR(G110="",Q110=""),"SIN DATO",IF(NETWORKDAYS(G110,Q110,{"01/01/2026";"02/02/2026";"16/03/2026";"02/04/2026";"03/04/2026";"01/05/2026"})&lt;=1,"1 día o menos",IF(NETWORKDAYS(G110,Q110,{"01/01/2026";"02/02/2026";"16/03/2026";"02/04/2026";"03/04/2026";"01/05/2026"})&lt;=3,"2 a 3 días",IF(NETWORKDAYS(G110,Q110,{"01/01/2026";"02/02/2026";"16/03/2026";"02/04/2026";"03/04/2026";"01/05/2026"})&lt;=5,"4 a 5 días",IF(NETWORKDAYS(G110,Q110,{"01/01/2026";"02/02/2026";"16/03/2026";"02/04/2026";"03/04/2026";"01/05/2026"})&lt;=10,"6 a 10 días",IF(NETWORKDAYS(G110,Q110,{"01/01/2026";"02/02/2026";"16/03/2026";"02/04/2026";"03/04/2026";"01/05/2026"})&lt;=16,"11 a 15 días","más de 16 días")))))),"Aun no se entrega")</f>
        <v>11 a 15 días</v>
      </c>
      <c r="T110" s="4" t="str" cm="1">
        <f t="array" ref="T110">IFERROR(
  IF(
    NETWORKDAYS(G110,Q110,{"01/01/2026";"02/02/2026";"16/03/2026";"02/04/2026";"03/04/2026";"01/05/2026"}) &lt;=
    _xlfn.IFS(
      OR(TRIM(A110)="AICM", TRIM(A110)="AÉREO AICM"), 5,
      OR(TRIM(A110)="VERACRUZ", TRIM(A110)="MARÍTIMO VERACRUZ"), 6,
      OR(TRIM(A110)="AIFA", TRIM(A110)="AÉREO AIFA"), 7,
      AND(TRIM(A110)="CORRESPONSALIAS", TRIM(B110)="NUEVO LAREDO"), 6,
      TRIM(A110)="MANZANILLO", 10,
      TRIM(A110)="TOLUCA", 6,
      TRUE, 999
    ),
    "On Time",
    "Delayed"
  ),
  "Faltan fechas"
)</f>
        <v>Delayed</v>
      </c>
      <c r="U110" s="27">
        <v>10</v>
      </c>
      <c r="V110" s="27" t="s">
        <v>544</v>
      </c>
      <c r="W110" s="27">
        <v>20</v>
      </c>
      <c r="X110" s="27" t="s">
        <v>547</v>
      </c>
      <c r="Y110" s="27">
        <v>0</v>
      </c>
      <c r="Z110" s="27" t="s">
        <v>546</v>
      </c>
      <c r="AA110" s="27">
        <v>0</v>
      </c>
      <c r="AB110" s="27">
        <v>1</v>
      </c>
      <c r="AC110" s="27" t="s">
        <v>546</v>
      </c>
      <c r="AD110" s="28">
        <v>46266</v>
      </c>
      <c r="AE110" s="27" t="s">
        <v>223</v>
      </c>
      <c r="AF110" s="27">
        <v>10</v>
      </c>
      <c r="AG110" s="28"/>
      <c r="AH110" s="28">
        <v>46266</v>
      </c>
      <c r="AI110" s="29" t="s">
        <v>223</v>
      </c>
      <c r="AJ110" s="28" t="s">
        <v>559</v>
      </c>
      <c r="AK110" s="28">
        <v>46266</v>
      </c>
      <c r="AL110" s="5">
        <f>IFERROR(IF(Q110=AK110,0,NETWORKDAYS(Q110,AK110,{"01/01/2026";"02/02/2026";"16/03/2026";"02/04/2026";"03/04/2026";"01/05/2026"})),"aun no se factura")</f>
        <v>11</v>
      </c>
      <c r="AM110" s="4" t="str">
        <f>IFERROR(IF(OR(Q110="",AK110=""),"SIN DATO",IF(NETWORKDAYS(Q110,AK110,{"01/01/2026";"02/02/2026";"16/03/2026";"02/04/2026";"03/04/2026";"01/05/2026"})&lt;=1,"1 día o menos",IF(NETWORKDAYS(Q110,AK110,{"01/01/2026";"02/02/2026";"16/03/2026";"02/04/2026";"03/04/2026";"01/05/2026"})&lt;=3,"2 a 3 días",IF(NETWORKDAYS(Q110,AK110,{"01/01/2026";"02/02/2026";"16/03/2026";"02/04/2026";"03/04/2026";"01/05/2026"})&lt;=5,"4 a 5 días",IF(NETWORKDAYS(Q110,AK110,{"01/01/2026";"02/02/2026";"16/03/2026";"02/04/2026";"03/04/2026";"01/05/2026"})&lt;=10,"6 a 10 días",IF(NETWORKDAYS(Q110,AK110,{"01/01/2026";"02/02/2026";"16/03/2026";"02/04/2026";"03/04/2026";"01/05/2026"})&lt;=16,"11 a 15 días","más de 16 días")))))),"aun no se factura")</f>
        <v>11 a 15 días</v>
      </c>
      <c r="AN110" s="4" t="str" cm="1">
        <f t="array" ref="AN110">IFERROR(
  IF(
    NETWORKDAYS(Q110,AK110,{"01/01/2026";"02/02/2026";"16/03/2026";"02/04/2026";"03/04/2026";"01/05/2026"}) &lt;=
    _xlfn.IFS(
      OR(TRIM(A110)="AICM", TRIM(A110)="AÉREO AICM"), 5,
      OR(TRIM(A110)="VERACRUZ", TRIM(A110)="MARÍTIMO VERACRUZ"), 6,
      OR(TRIM(A110)="AIFA", TRIM(A110)="AÉREO AIFA"), 7,
      AND(TRIM(A110)="CORRESPONSALIAS", TRIM(B110)="NUEVO LAREDO"), 6,
      TRIM(A110)="MANZANILLO", 10,
      TRIM(A110)="TOLUCA", 6,
      TRUE, 999
    ),
    "On Time",
    "Delayed"
  ),
  "Faltan fechas"
)</f>
        <v>Delayed</v>
      </c>
      <c r="AO110" s="29">
        <v>1</v>
      </c>
      <c r="AP110" s="28" t="s">
        <v>548</v>
      </c>
      <c r="AQ110" s="27" t="s">
        <v>93</v>
      </c>
      <c r="AR110" s="27" t="s">
        <v>112</v>
      </c>
      <c r="AS110" s="27" t="s">
        <v>1257</v>
      </c>
      <c r="AT110" s="27" t="s">
        <v>223</v>
      </c>
      <c r="AU110" s="29">
        <v>6001135</v>
      </c>
      <c r="AV110" s="27" t="s">
        <v>92</v>
      </c>
      <c r="AW110" s="27" t="s">
        <v>1258</v>
      </c>
      <c r="AX110" s="27" t="s">
        <v>549</v>
      </c>
      <c r="AY110" s="27"/>
      <c r="AZ110" s="27" t="s">
        <v>550</v>
      </c>
      <c r="BA110" s="27" t="s">
        <v>90</v>
      </c>
      <c r="BB110" s="27"/>
      <c r="BC110" s="27" t="s">
        <v>107</v>
      </c>
      <c r="BD110" s="27"/>
      <c r="BE110" s="27" t="s">
        <v>107</v>
      </c>
      <c r="BF110" s="27" t="s">
        <v>576</v>
      </c>
      <c r="BG110" s="27" t="s">
        <v>552</v>
      </c>
      <c r="BH110" s="27" t="s">
        <v>580</v>
      </c>
      <c r="BI110" s="27"/>
      <c r="BJ110" s="27" t="s">
        <v>643</v>
      </c>
      <c r="BK110" s="27" t="s">
        <v>554</v>
      </c>
      <c r="BL110" s="27">
        <v>0</v>
      </c>
      <c r="BM110" s="27">
        <v>99</v>
      </c>
      <c r="BN110" s="27" t="s">
        <v>1259</v>
      </c>
      <c r="BO110" s="27">
        <v>90</v>
      </c>
      <c r="BP110" s="27" t="s">
        <v>1260</v>
      </c>
      <c r="BQ110" s="27" t="s">
        <v>702</v>
      </c>
      <c r="BR110" s="27"/>
      <c r="BS110" s="27" t="s">
        <v>558</v>
      </c>
      <c r="BT110" s="27" t="s">
        <v>558</v>
      </c>
      <c r="BU110" s="27" t="s">
        <v>105</v>
      </c>
      <c r="BV110" s="27" t="s">
        <v>105</v>
      </c>
      <c r="BW110" s="27">
        <v>32940828</v>
      </c>
      <c r="BX110" s="27" t="s">
        <v>802</v>
      </c>
      <c r="BY110" s="27" t="s">
        <v>223</v>
      </c>
      <c r="BZ110" s="27" t="s">
        <v>223</v>
      </c>
      <c r="CA110" s="30" t="s">
        <v>1261</v>
      </c>
    </row>
    <row r="111" spans="1:79" x14ac:dyDescent="0.25">
      <c r="A111" s="26" t="s">
        <v>577</v>
      </c>
      <c r="B111" s="27" t="s">
        <v>578</v>
      </c>
      <c r="C111" s="27" t="s">
        <v>1262</v>
      </c>
      <c r="D111" s="27">
        <v>430</v>
      </c>
      <c r="E111" s="28">
        <v>46252</v>
      </c>
      <c r="F111" s="27">
        <v>8</v>
      </c>
      <c r="G111" s="35">
        <v>46238</v>
      </c>
      <c r="H111" s="28">
        <v>46252</v>
      </c>
      <c r="I111" s="27">
        <v>10</v>
      </c>
      <c r="J111" s="27" t="s">
        <v>544</v>
      </c>
      <c r="K111" s="35">
        <v>46252</v>
      </c>
      <c r="L111" s="27">
        <v>10</v>
      </c>
      <c r="M111" s="34">
        <f>IFERROR(IF(G111=K111,0,NETWORKDAYS(G111,K111,{"01/01/2026";"02/02/2026";"16/03/2026";"02/04/2026";"03/04/2026";"01/05/2026"})),"Faltan Fechas")</f>
        <v>11</v>
      </c>
      <c r="N111" s="33" t="str">
        <f>IFERROR(IF(OR(G111="",K111=""),"SIN DATO",IF(NETWORKDAYS(G111,K111,{"01/01/2026";"02/02/2026";"16/03/2026";"02/04/2026";"03/04/2026";"01/05/2026"})&lt;=1,"1 día o menos",IF(NETWORKDAYS(G111,K111,{"01/01/2026";"02/02/2026";"16/03/2026";"02/04/2026";"03/04/2026";"01/05/2026"})&lt;=3,"2 a 3 días",IF(NETWORKDAYS(G111,K111,{"01/01/2026";"02/02/2026";"16/03/2026";"02/04/2026";"03/04/2026";"01/05/2026"})&lt;=5,"4 a 5 días",IF(NETWORKDAYS(G111,K111,{"01/01/2026";"02/02/2026";"16/03/2026";"02/04/2026";"03/04/2026";"01/05/2026"})&lt;=10,"6 a 10 días",IF(NETWORKDAYS(G111,K111,{"01/01/2026";"02/02/2026";"16/03/2026";"02/04/2026";"03/04/2026";"01/05/2026"})&lt;=16,"11 a 15 días","más de 16 días")))))),"Aun no se entrega")</f>
        <v>11 a 15 días</v>
      </c>
      <c r="O111" s="34" t="str" cm="1">
        <f t="array" ref="O111">IFERROR(
  IF(
    NETWORKDAYS(G111,K111,{"01/01/2026";"02/02/2026";"16/03/2026";"02/04/2026";"03/04/2026";"01/05/2026"}) &lt;=
    _xlfn.IFS(
      OR(TRIM(A111)="AICM", TRIM(A111)="AÉREO AICM"), 5,
      OR(TRIM(A111)="VERACRUZ", TRIM(A111)="MARÍTIMO VERACRUZ"), 6,
      OR(TRIM(A111)="AIFA", TRIM(A111)="AÉREO AIFA"), 7,
      AND(TRIM(A111)="CORRESPONSALIAS", TRIM(B111)="NUEVO LAREDO"), 6,
      TRIM(A111)="MANZANILLO", 10,
      TRIM(A111)="TOLUCA", 6,
      TRUE, 999
    ),
    "On Time",
    "Delayed"
  ),
  "Faltan fechas"
)</f>
        <v>Delayed</v>
      </c>
      <c r="P111" s="36" t="s">
        <v>544</v>
      </c>
      <c r="Q111" s="28">
        <v>46253</v>
      </c>
      <c r="R111" s="5">
        <f>IFERROR(IF(G111=Q111,0,NETWORKDAYS(G111,Q111,{"01/01/2026";"02/02/2026";"16/03/2026";"02/04/2026";"03/04/2026";"01/05/2026"})),"Faltan Fechas")</f>
        <v>12</v>
      </c>
      <c r="S111" s="4" t="str">
        <f>IFERROR(IF(OR(G111="",Q111=""),"SIN DATO",IF(NETWORKDAYS(G111,Q111,{"01/01/2026";"02/02/2026";"16/03/2026";"02/04/2026";"03/04/2026";"01/05/2026"})&lt;=1,"1 día o menos",IF(NETWORKDAYS(G111,Q111,{"01/01/2026";"02/02/2026";"16/03/2026";"02/04/2026";"03/04/2026";"01/05/2026"})&lt;=3,"2 a 3 días",IF(NETWORKDAYS(G111,Q111,{"01/01/2026";"02/02/2026";"16/03/2026";"02/04/2026";"03/04/2026";"01/05/2026"})&lt;=5,"4 a 5 días",IF(NETWORKDAYS(G111,Q111,{"01/01/2026";"02/02/2026";"16/03/2026";"02/04/2026";"03/04/2026";"01/05/2026"})&lt;=10,"6 a 10 días",IF(NETWORKDAYS(G111,Q111,{"01/01/2026";"02/02/2026";"16/03/2026";"02/04/2026";"03/04/2026";"01/05/2026"})&lt;=16,"11 a 15 días","más de 16 días")))))),"Aun no se entrega")</f>
        <v>11 a 15 días</v>
      </c>
      <c r="T111" s="4" t="str" cm="1">
        <f t="array" ref="T111">IFERROR(
  IF(
    NETWORKDAYS(G111,Q111,{"01/01/2026";"02/02/2026";"16/03/2026";"02/04/2026";"03/04/2026";"01/05/2026"}) &lt;=
    _xlfn.IFS(
      OR(TRIM(A111)="AICM", TRIM(A111)="AÉREO AICM"), 5,
      OR(TRIM(A111)="VERACRUZ", TRIM(A111)="MARÍTIMO VERACRUZ"), 6,
      OR(TRIM(A111)="AIFA", TRIM(A111)="AÉREO AIFA"), 7,
      AND(TRIM(A111)="CORRESPONSALIAS", TRIM(B111)="NUEVO LAREDO"), 6,
      TRIM(A111)="MANZANILLO", 10,
      TRIM(A111)="TOLUCA", 6,
      TRUE, 999
    ),
    "On Time",
    "Delayed"
  ),
  "Faltan fechas"
)</f>
        <v>Delayed</v>
      </c>
      <c r="U111" s="27">
        <v>11</v>
      </c>
      <c r="V111" s="27" t="s">
        <v>559</v>
      </c>
      <c r="W111" s="27">
        <v>20</v>
      </c>
      <c r="X111" s="27" t="s">
        <v>547</v>
      </c>
      <c r="Y111" s="27">
        <v>0</v>
      </c>
      <c r="Z111" s="27" t="s">
        <v>546</v>
      </c>
      <c r="AA111" s="27">
        <v>0</v>
      </c>
      <c r="AB111" s="27">
        <v>1</v>
      </c>
      <c r="AC111" s="27" t="s">
        <v>546</v>
      </c>
      <c r="AD111" s="28">
        <v>46266</v>
      </c>
      <c r="AE111" s="27">
        <v>9</v>
      </c>
      <c r="AF111" s="27">
        <v>9</v>
      </c>
      <c r="AG111" s="28">
        <v>46266</v>
      </c>
      <c r="AH111" s="28">
        <v>46266</v>
      </c>
      <c r="AI111" s="29">
        <v>0</v>
      </c>
      <c r="AJ111" s="28" t="s">
        <v>559</v>
      </c>
      <c r="AK111" s="28">
        <v>46266</v>
      </c>
      <c r="AL111" s="5">
        <f>IFERROR(IF(Q111=AK111,0,NETWORKDAYS(Q111,AK111,{"01/01/2026";"02/02/2026";"16/03/2026";"02/04/2026";"03/04/2026";"01/05/2026"})),"aun no se factura")</f>
        <v>10</v>
      </c>
      <c r="AM111" s="4" t="str">
        <f>IFERROR(IF(OR(Q111="",AK111=""),"SIN DATO",IF(NETWORKDAYS(Q111,AK111,{"01/01/2026";"02/02/2026";"16/03/2026";"02/04/2026";"03/04/2026";"01/05/2026"})&lt;=1,"1 día o menos",IF(NETWORKDAYS(Q111,AK111,{"01/01/2026";"02/02/2026";"16/03/2026";"02/04/2026";"03/04/2026";"01/05/2026"})&lt;=3,"2 a 3 días",IF(NETWORKDAYS(Q111,AK111,{"01/01/2026";"02/02/2026";"16/03/2026";"02/04/2026";"03/04/2026";"01/05/2026"})&lt;=5,"4 a 5 días",IF(NETWORKDAYS(Q111,AK111,{"01/01/2026";"02/02/2026";"16/03/2026";"02/04/2026";"03/04/2026";"01/05/2026"})&lt;=10,"6 a 10 días",IF(NETWORKDAYS(Q111,AK111,{"01/01/2026";"02/02/2026";"16/03/2026";"02/04/2026";"03/04/2026";"01/05/2026"})&lt;=16,"11 a 15 días","más de 16 días")))))),"aun no se factura")</f>
        <v>6 a 10 días</v>
      </c>
      <c r="AN111" s="4" t="str" cm="1">
        <f t="array" ref="AN111">IFERROR(
  IF(
    NETWORKDAYS(Q111,AK111,{"01/01/2026";"02/02/2026";"16/03/2026";"02/04/2026";"03/04/2026";"01/05/2026"}) &lt;=
    _xlfn.IFS(
      OR(TRIM(A111)="AICM", TRIM(A111)="AÉREO AICM"), 5,
      OR(TRIM(A111)="VERACRUZ", TRIM(A111)="MARÍTIMO VERACRUZ"), 6,
      OR(TRIM(A111)="AIFA", TRIM(A111)="AÉREO AIFA"), 7,
      AND(TRIM(A111)="CORRESPONSALIAS", TRIM(B111)="NUEVO LAREDO"), 6,
      TRIM(A111)="MANZANILLO", 10,
      TRIM(A111)="TOLUCA", 6,
      TRUE, 999
    ),
    "On Time",
    "Delayed"
  ),
  "Faltan fechas"
)</f>
        <v>Delayed</v>
      </c>
      <c r="AO111" s="29">
        <v>1</v>
      </c>
      <c r="AP111" s="28" t="s">
        <v>548</v>
      </c>
      <c r="AQ111" s="27" t="s">
        <v>93</v>
      </c>
      <c r="AR111" s="27" t="s">
        <v>112</v>
      </c>
      <c r="AS111" s="27" t="s">
        <v>1263</v>
      </c>
      <c r="AT111" s="27" t="s">
        <v>223</v>
      </c>
      <c r="AU111" s="29">
        <v>6001136</v>
      </c>
      <c r="AV111" s="27" t="s">
        <v>92</v>
      </c>
      <c r="AW111" s="27" t="s">
        <v>137</v>
      </c>
      <c r="AX111" s="27" t="s">
        <v>549</v>
      </c>
      <c r="AY111" s="27"/>
      <c r="AZ111" s="27" t="s">
        <v>550</v>
      </c>
      <c r="BA111" s="27" t="s">
        <v>90</v>
      </c>
      <c r="BB111" s="27"/>
      <c r="BC111" s="27"/>
      <c r="BD111" s="27"/>
      <c r="BE111" s="27"/>
      <c r="BF111" s="27" t="s">
        <v>576</v>
      </c>
      <c r="BG111" s="27" t="s">
        <v>552</v>
      </c>
      <c r="BH111" s="27" t="s">
        <v>607</v>
      </c>
      <c r="BI111" s="27" t="s">
        <v>1264</v>
      </c>
      <c r="BJ111" s="27"/>
      <c r="BK111" s="27" t="s">
        <v>554</v>
      </c>
      <c r="BL111" s="27">
        <v>0</v>
      </c>
      <c r="BM111" s="27">
        <v>99</v>
      </c>
      <c r="BN111" s="27" t="s">
        <v>1265</v>
      </c>
      <c r="BO111" s="27">
        <v>90</v>
      </c>
      <c r="BP111" s="27" t="s">
        <v>1266</v>
      </c>
      <c r="BQ111" s="27" t="s">
        <v>646</v>
      </c>
      <c r="BR111" s="27"/>
      <c r="BS111" s="27" t="s">
        <v>613</v>
      </c>
      <c r="BT111" s="27" t="s">
        <v>558</v>
      </c>
      <c r="BU111" s="27" t="s">
        <v>133</v>
      </c>
      <c r="BV111" s="27" t="s">
        <v>105</v>
      </c>
      <c r="BW111" s="27">
        <v>13828615</v>
      </c>
      <c r="BX111" s="27" t="s">
        <v>1267</v>
      </c>
      <c r="BY111" s="27" t="s">
        <v>223</v>
      </c>
      <c r="BZ111" s="27" t="s">
        <v>1268</v>
      </c>
      <c r="CA111" s="30" t="s">
        <v>1269</v>
      </c>
    </row>
    <row r="112" spans="1:79" x14ac:dyDescent="0.25">
      <c r="A112" s="26" t="s">
        <v>577</v>
      </c>
      <c r="B112" s="27" t="s">
        <v>578</v>
      </c>
      <c r="C112" s="27" t="s">
        <v>1270</v>
      </c>
      <c r="D112" s="27">
        <v>430</v>
      </c>
      <c r="E112" s="28">
        <v>46248</v>
      </c>
      <c r="F112" s="27">
        <v>8</v>
      </c>
      <c r="G112" s="35">
        <v>46244</v>
      </c>
      <c r="H112" s="28">
        <v>46248</v>
      </c>
      <c r="I112" s="27">
        <v>4</v>
      </c>
      <c r="J112" s="27" t="s">
        <v>543</v>
      </c>
      <c r="K112" s="35">
        <v>46249</v>
      </c>
      <c r="L112" s="27">
        <v>4</v>
      </c>
      <c r="M112" s="34">
        <f>IFERROR(IF(G112=K112,0,NETWORKDAYS(G112,K112,{"01/01/2026";"02/02/2026";"16/03/2026";"02/04/2026";"03/04/2026";"01/05/2026"})),"Faltan Fechas")</f>
        <v>5</v>
      </c>
      <c r="N112" s="33" t="str">
        <f>IFERROR(IF(OR(G112="",K112=""),"SIN DATO",IF(NETWORKDAYS(G112,K112,{"01/01/2026";"02/02/2026";"16/03/2026";"02/04/2026";"03/04/2026";"01/05/2026"})&lt;=1,"1 día o menos",IF(NETWORKDAYS(G112,K112,{"01/01/2026";"02/02/2026";"16/03/2026";"02/04/2026";"03/04/2026";"01/05/2026"})&lt;=3,"2 a 3 días",IF(NETWORKDAYS(G112,K112,{"01/01/2026";"02/02/2026";"16/03/2026";"02/04/2026";"03/04/2026";"01/05/2026"})&lt;=5,"4 a 5 días",IF(NETWORKDAYS(G112,K112,{"01/01/2026";"02/02/2026";"16/03/2026";"02/04/2026";"03/04/2026";"01/05/2026"})&lt;=10,"6 a 10 días",IF(NETWORKDAYS(G112,K112,{"01/01/2026";"02/02/2026";"16/03/2026";"02/04/2026";"03/04/2026";"01/05/2026"})&lt;=16,"11 a 15 días","más de 16 días")))))),"Aun no se entrega")</f>
        <v>4 a 5 días</v>
      </c>
      <c r="O112" s="34" t="str" cm="1">
        <f t="array" ref="O112">IFERROR(
  IF(
    NETWORKDAYS(G112,K112,{"01/01/2026";"02/02/2026";"16/03/2026";"02/04/2026";"03/04/2026";"01/05/2026"}) &lt;=
    _xlfn.IFS(
      OR(TRIM(A112)="AICM", TRIM(A112)="AÉREO AICM"), 5,
      OR(TRIM(A112)="VERACRUZ", TRIM(A112)="MARÍTIMO VERACRUZ"), 6,
      OR(TRIM(A112)="AIFA", TRIM(A112)="AÉREO AIFA"), 7,
      AND(TRIM(A112)="CORRESPONSALIAS", TRIM(B112)="NUEVO LAREDO"), 6,
      TRIM(A112)="MANZANILLO", 10,
      TRIM(A112)="TOLUCA", 6,
      TRUE, 999
    ),
    "On Time",
    "Delayed"
  ),
  "Faltan fechas"
)</f>
        <v>On Time</v>
      </c>
      <c r="P112" s="36" t="s">
        <v>543</v>
      </c>
      <c r="Q112" s="28">
        <v>46251</v>
      </c>
      <c r="R112" s="5">
        <f>IFERROR(IF(G112=Q112,0,NETWORKDAYS(G112,Q112,{"01/01/2026";"02/02/2026";"16/03/2026";"02/04/2026";"03/04/2026";"01/05/2026"})),"Faltan Fechas")</f>
        <v>6</v>
      </c>
      <c r="S112" s="4" t="str">
        <f>IFERROR(IF(OR(G112="",Q112=""),"SIN DATO",IF(NETWORKDAYS(G112,Q112,{"01/01/2026";"02/02/2026";"16/03/2026";"02/04/2026";"03/04/2026";"01/05/2026"})&lt;=1,"1 día o menos",IF(NETWORKDAYS(G112,Q112,{"01/01/2026";"02/02/2026";"16/03/2026";"02/04/2026";"03/04/2026";"01/05/2026"})&lt;=3,"2 a 3 días",IF(NETWORKDAYS(G112,Q112,{"01/01/2026";"02/02/2026";"16/03/2026";"02/04/2026";"03/04/2026";"01/05/2026"})&lt;=5,"4 a 5 días",IF(NETWORKDAYS(G112,Q112,{"01/01/2026";"02/02/2026";"16/03/2026";"02/04/2026";"03/04/2026";"01/05/2026"})&lt;=10,"6 a 10 días",IF(NETWORKDAYS(G112,Q112,{"01/01/2026";"02/02/2026";"16/03/2026";"02/04/2026";"03/04/2026";"01/05/2026"})&lt;=16,"11 a 15 días","más de 16 días")))))),"Aun no se entrega")</f>
        <v>6 a 10 días</v>
      </c>
      <c r="T112" s="4" t="str" cm="1">
        <f t="array" ref="T112">IFERROR(
  IF(
    NETWORKDAYS(G112,Q112,{"01/01/2026";"02/02/2026";"16/03/2026";"02/04/2026";"03/04/2026";"01/05/2026"}) &lt;=
    _xlfn.IFS(
      OR(TRIM(A112)="AICM", TRIM(A112)="AÉREO AICM"), 5,
      OR(TRIM(A112)="VERACRUZ", TRIM(A112)="MARÍTIMO VERACRUZ"), 6,
      OR(TRIM(A112)="AIFA", TRIM(A112)="AÉREO AIFA"), 7,
      AND(TRIM(A112)="CORRESPONSALIAS", TRIM(B112)="NUEVO LAREDO"), 6,
      TRIM(A112)="MANZANILLO", 10,
      TRIM(A112)="TOLUCA", 6,
      TRUE, 999
    ),
    "On Time",
    "Delayed"
  ),
  "Faltan fechas"
)</f>
        <v>On Time</v>
      </c>
      <c r="U112" s="27">
        <v>5</v>
      </c>
      <c r="V112" s="27" t="s">
        <v>543</v>
      </c>
      <c r="W112" s="27">
        <v>18</v>
      </c>
      <c r="X112" s="27" t="s">
        <v>547</v>
      </c>
      <c r="Y112" s="27">
        <v>1</v>
      </c>
      <c r="Z112" s="27" t="s">
        <v>546</v>
      </c>
      <c r="AA112" s="27">
        <v>1</v>
      </c>
      <c r="AB112" s="27">
        <v>2</v>
      </c>
      <c r="AC112" s="27" t="s">
        <v>579</v>
      </c>
      <c r="AD112" s="28">
        <v>46268</v>
      </c>
      <c r="AE112" s="27">
        <v>11</v>
      </c>
      <c r="AF112" s="27">
        <v>13</v>
      </c>
      <c r="AG112" s="28">
        <v>46266</v>
      </c>
      <c r="AH112" s="28">
        <v>46268</v>
      </c>
      <c r="AI112" s="29">
        <v>2</v>
      </c>
      <c r="AJ112" s="28" t="s">
        <v>547</v>
      </c>
      <c r="AK112" s="28">
        <v>46268</v>
      </c>
      <c r="AL112" s="5">
        <f>IFERROR(IF(Q112=AK112,0,NETWORKDAYS(Q112,AK112,{"01/01/2026";"02/02/2026";"16/03/2026";"02/04/2026";"03/04/2026";"01/05/2026"})),"aun no se factura")</f>
        <v>14</v>
      </c>
      <c r="AM112" s="4" t="str">
        <f>IFERROR(IF(OR(Q112="",AK112=""),"SIN DATO",IF(NETWORKDAYS(Q112,AK112,{"01/01/2026";"02/02/2026";"16/03/2026";"02/04/2026";"03/04/2026";"01/05/2026"})&lt;=1,"1 día o menos",IF(NETWORKDAYS(Q112,AK112,{"01/01/2026";"02/02/2026";"16/03/2026";"02/04/2026";"03/04/2026";"01/05/2026"})&lt;=3,"2 a 3 días",IF(NETWORKDAYS(Q112,AK112,{"01/01/2026";"02/02/2026";"16/03/2026";"02/04/2026";"03/04/2026";"01/05/2026"})&lt;=5,"4 a 5 días",IF(NETWORKDAYS(Q112,AK112,{"01/01/2026";"02/02/2026";"16/03/2026";"02/04/2026";"03/04/2026";"01/05/2026"})&lt;=10,"6 a 10 días",IF(NETWORKDAYS(Q112,AK112,{"01/01/2026";"02/02/2026";"16/03/2026";"02/04/2026";"03/04/2026";"01/05/2026"})&lt;=16,"11 a 15 días","más de 16 días")))))),"aun no se factura")</f>
        <v>11 a 15 días</v>
      </c>
      <c r="AN112" s="4" t="str" cm="1">
        <f t="array" ref="AN112">IFERROR(
  IF(
    NETWORKDAYS(Q112,AK112,{"01/01/2026";"02/02/2026";"16/03/2026";"02/04/2026";"03/04/2026";"01/05/2026"}) &lt;=
    _xlfn.IFS(
      OR(TRIM(A112)="AICM", TRIM(A112)="AÉREO AICM"), 5,
      OR(TRIM(A112)="VERACRUZ", TRIM(A112)="MARÍTIMO VERACRUZ"), 6,
      OR(TRIM(A112)="AIFA", TRIM(A112)="AÉREO AIFA"), 7,
      AND(TRIM(A112)="CORRESPONSALIAS", TRIM(B112)="NUEVO LAREDO"), 6,
      TRIM(A112)="MANZANILLO", 10,
      TRIM(A112)="TOLUCA", 6,
      TRUE, 999
    ),
    "On Time",
    "Delayed"
  ),
  "Faltan fechas"
)</f>
        <v>Delayed</v>
      </c>
      <c r="AO112" s="29">
        <v>1</v>
      </c>
      <c r="AP112" s="28" t="s">
        <v>548</v>
      </c>
      <c r="AQ112" s="27" t="s">
        <v>93</v>
      </c>
      <c r="AR112" s="27" t="s">
        <v>112</v>
      </c>
      <c r="AS112" s="27">
        <v>272820837</v>
      </c>
      <c r="AT112" s="27" t="s">
        <v>223</v>
      </c>
      <c r="AU112" s="29">
        <v>6001158</v>
      </c>
      <c r="AV112" s="27" t="s">
        <v>92</v>
      </c>
      <c r="AW112" s="27" t="s">
        <v>1105</v>
      </c>
      <c r="AX112" s="27" t="s">
        <v>549</v>
      </c>
      <c r="AY112" s="27"/>
      <c r="AZ112" s="27" t="s">
        <v>550</v>
      </c>
      <c r="BA112" s="27" t="s">
        <v>90</v>
      </c>
      <c r="BB112" s="27"/>
      <c r="BC112" s="27" t="s">
        <v>117</v>
      </c>
      <c r="BD112" s="27"/>
      <c r="BE112" s="27" t="s">
        <v>117</v>
      </c>
      <c r="BF112" s="27" t="s">
        <v>576</v>
      </c>
      <c r="BG112" s="27" t="s">
        <v>552</v>
      </c>
      <c r="BH112" s="27" t="s">
        <v>607</v>
      </c>
      <c r="BI112" s="27" t="s">
        <v>1169</v>
      </c>
      <c r="BJ112" s="27"/>
      <c r="BK112" s="27" t="s">
        <v>554</v>
      </c>
      <c r="BL112" s="27">
        <v>0</v>
      </c>
      <c r="BM112" s="27">
        <v>99</v>
      </c>
      <c r="BN112" s="27" t="s">
        <v>1271</v>
      </c>
      <c r="BO112" s="27">
        <v>90</v>
      </c>
      <c r="BP112" s="27" t="s">
        <v>1108</v>
      </c>
      <c r="BQ112" s="27" t="s">
        <v>563</v>
      </c>
      <c r="BR112" s="27"/>
      <c r="BS112" s="27" t="s">
        <v>619</v>
      </c>
      <c r="BT112" s="27" t="s">
        <v>558</v>
      </c>
      <c r="BU112" s="27" t="s">
        <v>189</v>
      </c>
      <c r="BV112" s="27" t="s">
        <v>105</v>
      </c>
      <c r="BW112" s="27">
        <v>1177556</v>
      </c>
      <c r="BX112" s="27" t="s">
        <v>1109</v>
      </c>
      <c r="BY112" s="27" t="s">
        <v>223</v>
      </c>
      <c r="BZ112" s="27" t="s">
        <v>1110</v>
      </c>
      <c r="CA112" s="30" t="s">
        <v>1272</v>
      </c>
    </row>
    <row r="113" spans="1:79" x14ac:dyDescent="0.25">
      <c r="A113" s="26" t="s">
        <v>577</v>
      </c>
      <c r="B113" s="27" t="s">
        <v>578</v>
      </c>
      <c r="C113" s="27" t="s">
        <v>1273</v>
      </c>
      <c r="D113" s="27">
        <v>430</v>
      </c>
      <c r="E113" s="28">
        <v>46252</v>
      </c>
      <c r="F113" s="27">
        <v>8</v>
      </c>
      <c r="G113" s="35">
        <v>46248</v>
      </c>
      <c r="H113" s="28">
        <v>46252</v>
      </c>
      <c r="I113" s="27">
        <v>2</v>
      </c>
      <c r="J113" s="27" t="s">
        <v>579</v>
      </c>
      <c r="K113" s="35">
        <v>46252</v>
      </c>
      <c r="L113" s="27">
        <v>2</v>
      </c>
      <c r="M113" s="34">
        <f>IFERROR(IF(G113=K113,0,NETWORKDAYS(G113,K113,{"01/01/2026";"02/02/2026";"16/03/2026";"02/04/2026";"03/04/2026";"01/05/2026"})),"Faltan Fechas")</f>
        <v>3</v>
      </c>
      <c r="N113" s="33" t="str">
        <f>IFERROR(IF(OR(G113="",K113=""),"SIN DATO",IF(NETWORKDAYS(G113,K113,{"01/01/2026";"02/02/2026";"16/03/2026";"02/04/2026";"03/04/2026";"01/05/2026"})&lt;=1,"1 día o menos",IF(NETWORKDAYS(G113,K113,{"01/01/2026";"02/02/2026";"16/03/2026";"02/04/2026";"03/04/2026";"01/05/2026"})&lt;=3,"2 a 3 días",IF(NETWORKDAYS(G113,K113,{"01/01/2026";"02/02/2026";"16/03/2026";"02/04/2026";"03/04/2026";"01/05/2026"})&lt;=5,"4 a 5 días",IF(NETWORKDAYS(G113,K113,{"01/01/2026";"02/02/2026";"16/03/2026";"02/04/2026";"03/04/2026";"01/05/2026"})&lt;=10,"6 a 10 días",IF(NETWORKDAYS(G113,K113,{"01/01/2026";"02/02/2026";"16/03/2026";"02/04/2026";"03/04/2026";"01/05/2026"})&lt;=16,"11 a 15 días","más de 16 días")))))),"Aun no se entrega")</f>
        <v>2 a 3 días</v>
      </c>
      <c r="O113" s="34" t="str" cm="1">
        <f t="array" ref="O113">IFERROR(
  IF(
    NETWORKDAYS(G113,K113,{"01/01/2026";"02/02/2026";"16/03/2026";"02/04/2026";"03/04/2026";"01/05/2026"}) &lt;=
    _xlfn.IFS(
      OR(TRIM(A113)="AICM", TRIM(A113)="AÉREO AICM"), 5,
      OR(TRIM(A113)="VERACRUZ", TRIM(A113)="MARÍTIMO VERACRUZ"), 6,
      OR(TRIM(A113)="AIFA", TRIM(A113)="AÉREO AIFA"), 7,
      AND(TRIM(A113)="CORRESPONSALIAS", TRIM(B113)="NUEVO LAREDO"), 6,
      TRIM(A113)="MANZANILLO", 10,
      TRIM(A113)="TOLUCA", 6,
      TRUE, 999
    ),
    "On Time",
    "Delayed"
  ),
  "Faltan fechas"
)</f>
        <v>On Time</v>
      </c>
      <c r="P113" s="36" t="s">
        <v>579</v>
      </c>
      <c r="Q113" s="28">
        <v>46253</v>
      </c>
      <c r="R113" s="5">
        <f>IFERROR(IF(G113=Q113,0,NETWORKDAYS(G113,Q113,{"01/01/2026";"02/02/2026";"16/03/2026";"02/04/2026";"03/04/2026";"01/05/2026"})),"Faltan Fechas")</f>
        <v>4</v>
      </c>
      <c r="S113" s="4" t="str">
        <f>IFERROR(IF(OR(G113="",Q113=""),"SIN DATO",IF(NETWORKDAYS(G113,Q113,{"01/01/2026";"02/02/2026";"16/03/2026";"02/04/2026";"03/04/2026";"01/05/2026"})&lt;=1,"1 día o menos",IF(NETWORKDAYS(G113,Q113,{"01/01/2026";"02/02/2026";"16/03/2026";"02/04/2026";"03/04/2026";"01/05/2026"})&lt;=3,"2 a 3 días",IF(NETWORKDAYS(G113,Q113,{"01/01/2026";"02/02/2026";"16/03/2026";"02/04/2026";"03/04/2026";"01/05/2026"})&lt;=5,"4 a 5 días",IF(NETWORKDAYS(G113,Q113,{"01/01/2026";"02/02/2026";"16/03/2026";"02/04/2026";"03/04/2026";"01/05/2026"})&lt;=10,"6 a 10 días",IF(NETWORKDAYS(G113,Q113,{"01/01/2026";"02/02/2026";"16/03/2026";"02/04/2026";"03/04/2026";"01/05/2026"})&lt;=16,"11 a 15 días","más de 16 días")))))),"Aun no se entrega")</f>
        <v>4 a 5 días</v>
      </c>
      <c r="T113" s="4" t="str" cm="1">
        <f t="array" ref="T113">IFERROR(
  IF(
    NETWORKDAYS(G113,Q113,{"01/01/2026";"02/02/2026";"16/03/2026";"02/04/2026";"03/04/2026";"01/05/2026"}) &lt;=
    _xlfn.IFS(
      OR(TRIM(A113)="AICM", TRIM(A113)="AÉREO AICM"), 5,
      OR(TRIM(A113)="VERACRUZ", TRIM(A113)="MARÍTIMO VERACRUZ"), 6,
      OR(TRIM(A113)="AIFA", TRIM(A113)="AÉREO AIFA"), 7,
      AND(TRIM(A113)="CORRESPONSALIAS", TRIM(B113)="NUEVO LAREDO"), 6,
      TRIM(A113)="MANZANILLO", 10,
      TRIM(A113)="TOLUCA", 6,
      TRUE, 999
    ),
    "On Time",
    "Delayed"
  ),
  "Faltan fechas"
)</f>
        <v>On Time</v>
      </c>
      <c r="U113" s="27">
        <v>3</v>
      </c>
      <c r="V113" s="27" t="s">
        <v>579</v>
      </c>
      <c r="W113" s="27">
        <v>12</v>
      </c>
      <c r="X113" s="27" t="s">
        <v>559</v>
      </c>
      <c r="Y113" s="27">
        <v>0</v>
      </c>
      <c r="Z113" s="27" t="s">
        <v>546</v>
      </c>
      <c r="AA113" s="27">
        <v>0</v>
      </c>
      <c r="AB113" s="27">
        <v>1</v>
      </c>
      <c r="AC113" s="27" t="s">
        <v>546</v>
      </c>
      <c r="AD113" s="28">
        <v>46266</v>
      </c>
      <c r="AE113" s="27">
        <v>9</v>
      </c>
      <c r="AF113" s="27">
        <v>9</v>
      </c>
      <c r="AG113" s="28">
        <v>46266</v>
      </c>
      <c r="AH113" s="28">
        <v>46266</v>
      </c>
      <c r="AI113" s="29">
        <v>0</v>
      </c>
      <c r="AJ113" s="28" t="s">
        <v>559</v>
      </c>
      <c r="AK113" s="28">
        <v>46266</v>
      </c>
      <c r="AL113" s="5">
        <f>IFERROR(IF(Q113=AK113,0,NETWORKDAYS(Q113,AK113,{"01/01/2026";"02/02/2026";"16/03/2026";"02/04/2026";"03/04/2026";"01/05/2026"})),"aun no se factura")</f>
        <v>10</v>
      </c>
      <c r="AM113" s="4" t="str">
        <f>IFERROR(IF(OR(Q113="",AK113=""),"SIN DATO",IF(NETWORKDAYS(Q113,AK113,{"01/01/2026";"02/02/2026";"16/03/2026";"02/04/2026";"03/04/2026";"01/05/2026"})&lt;=1,"1 día o menos",IF(NETWORKDAYS(Q113,AK113,{"01/01/2026";"02/02/2026";"16/03/2026";"02/04/2026";"03/04/2026";"01/05/2026"})&lt;=3,"2 a 3 días",IF(NETWORKDAYS(Q113,AK113,{"01/01/2026";"02/02/2026";"16/03/2026";"02/04/2026";"03/04/2026";"01/05/2026"})&lt;=5,"4 a 5 días",IF(NETWORKDAYS(Q113,AK113,{"01/01/2026";"02/02/2026";"16/03/2026";"02/04/2026";"03/04/2026";"01/05/2026"})&lt;=10,"6 a 10 días",IF(NETWORKDAYS(Q113,AK113,{"01/01/2026";"02/02/2026";"16/03/2026";"02/04/2026";"03/04/2026";"01/05/2026"})&lt;=16,"11 a 15 días","más de 16 días")))))),"aun no se factura")</f>
        <v>6 a 10 días</v>
      </c>
      <c r="AN113" s="4" t="str" cm="1">
        <f t="array" ref="AN113">IFERROR(
  IF(
    NETWORKDAYS(Q113,AK113,{"01/01/2026";"02/02/2026";"16/03/2026";"02/04/2026";"03/04/2026";"01/05/2026"}) &lt;=
    _xlfn.IFS(
      OR(TRIM(A113)="AICM", TRIM(A113)="AÉREO AICM"), 5,
      OR(TRIM(A113)="VERACRUZ", TRIM(A113)="MARÍTIMO VERACRUZ"), 6,
      OR(TRIM(A113)="AIFA", TRIM(A113)="AÉREO AIFA"), 7,
      AND(TRIM(A113)="CORRESPONSALIAS", TRIM(B113)="NUEVO LAREDO"), 6,
      TRIM(A113)="MANZANILLO", 10,
      TRIM(A113)="TOLUCA", 6,
      TRUE, 999
    ),
    "On Time",
    "Delayed"
  ),
  "Faltan fechas"
)</f>
        <v>Delayed</v>
      </c>
      <c r="AO113" s="29">
        <v>1</v>
      </c>
      <c r="AP113" s="28" t="s">
        <v>548</v>
      </c>
      <c r="AQ113" s="27" t="s">
        <v>93</v>
      </c>
      <c r="AR113" s="27" t="s">
        <v>112</v>
      </c>
      <c r="AS113" s="27" t="s">
        <v>1274</v>
      </c>
      <c r="AT113" s="27" t="s">
        <v>223</v>
      </c>
      <c r="AU113" s="29">
        <v>6001180</v>
      </c>
      <c r="AV113" s="27" t="s">
        <v>92</v>
      </c>
      <c r="AW113" s="27" t="s">
        <v>386</v>
      </c>
      <c r="AX113" s="27" t="s">
        <v>549</v>
      </c>
      <c r="AY113" s="27"/>
      <c r="AZ113" s="27" t="s">
        <v>550</v>
      </c>
      <c r="BA113" s="27" t="s">
        <v>90</v>
      </c>
      <c r="BB113" s="27"/>
      <c r="BC113" s="27" t="s">
        <v>117</v>
      </c>
      <c r="BD113" s="27"/>
      <c r="BE113" s="27" t="s">
        <v>117</v>
      </c>
      <c r="BF113" s="27" t="s">
        <v>576</v>
      </c>
      <c r="BG113" s="27" t="s">
        <v>552</v>
      </c>
      <c r="BH113" s="27" t="s">
        <v>580</v>
      </c>
      <c r="BI113" s="27"/>
      <c r="BJ113" s="27" t="s">
        <v>597</v>
      </c>
      <c r="BK113" s="27" t="s">
        <v>554</v>
      </c>
      <c r="BL113" s="27">
        <v>0</v>
      </c>
      <c r="BM113" s="27">
        <v>99</v>
      </c>
      <c r="BN113" s="27" t="s">
        <v>1275</v>
      </c>
      <c r="BO113" s="27">
        <v>90</v>
      </c>
      <c r="BP113" s="27" t="s">
        <v>1276</v>
      </c>
      <c r="BQ113" s="27" t="s">
        <v>611</v>
      </c>
      <c r="BR113" s="27"/>
      <c r="BS113" s="27" t="s">
        <v>613</v>
      </c>
      <c r="BT113" s="27" t="s">
        <v>558</v>
      </c>
      <c r="BU113" s="27" t="s">
        <v>133</v>
      </c>
      <c r="BV113" s="27" t="s">
        <v>105</v>
      </c>
      <c r="BW113" s="27">
        <v>7624505</v>
      </c>
      <c r="BX113" s="27" t="s">
        <v>1277</v>
      </c>
      <c r="BY113" s="27" t="s">
        <v>223</v>
      </c>
      <c r="BZ113" s="27" t="s">
        <v>1278</v>
      </c>
      <c r="CA113" s="30" t="s">
        <v>1279</v>
      </c>
    </row>
    <row r="114" spans="1:79" x14ac:dyDescent="0.25">
      <c r="A114" s="26" t="s">
        <v>577</v>
      </c>
      <c r="B114" s="27" t="s">
        <v>578</v>
      </c>
      <c r="C114" s="27" t="s">
        <v>1280</v>
      </c>
      <c r="D114" s="27">
        <v>430</v>
      </c>
      <c r="E114" s="28">
        <v>46252</v>
      </c>
      <c r="F114" s="27">
        <v>8</v>
      </c>
      <c r="G114" s="35">
        <v>46248</v>
      </c>
      <c r="H114" s="28">
        <v>46252</v>
      </c>
      <c r="I114" s="27">
        <v>2</v>
      </c>
      <c r="J114" s="27" t="s">
        <v>579</v>
      </c>
      <c r="K114" s="35">
        <v>46252</v>
      </c>
      <c r="L114" s="27">
        <v>2</v>
      </c>
      <c r="M114" s="34">
        <f>IFERROR(IF(G114=K114,0,NETWORKDAYS(G114,K114,{"01/01/2026";"02/02/2026";"16/03/2026";"02/04/2026";"03/04/2026";"01/05/2026"})),"Faltan Fechas")</f>
        <v>3</v>
      </c>
      <c r="N114" s="33" t="str">
        <f>IFERROR(IF(OR(G114="",K114=""),"SIN DATO",IF(NETWORKDAYS(G114,K114,{"01/01/2026";"02/02/2026";"16/03/2026";"02/04/2026";"03/04/2026";"01/05/2026"})&lt;=1,"1 día o menos",IF(NETWORKDAYS(G114,K114,{"01/01/2026";"02/02/2026";"16/03/2026";"02/04/2026";"03/04/2026";"01/05/2026"})&lt;=3,"2 a 3 días",IF(NETWORKDAYS(G114,K114,{"01/01/2026";"02/02/2026";"16/03/2026";"02/04/2026";"03/04/2026";"01/05/2026"})&lt;=5,"4 a 5 días",IF(NETWORKDAYS(G114,K114,{"01/01/2026";"02/02/2026";"16/03/2026";"02/04/2026";"03/04/2026";"01/05/2026"})&lt;=10,"6 a 10 días",IF(NETWORKDAYS(G114,K114,{"01/01/2026";"02/02/2026";"16/03/2026";"02/04/2026";"03/04/2026";"01/05/2026"})&lt;=16,"11 a 15 días","más de 16 días")))))),"Aun no se entrega")</f>
        <v>2 a 3 días</v>
      </c>
      <c r="O114" s="34" t="str" cm="1">
        <f t="array" ref="O114">IFERROR(
  IF(
    NETWORKDAYS(G114,K114,{"01/01/2026";"02/02/2026";"16/03/2026";"02/04/2026";"03/04/2026";"01/05/2026"}) &lt;=
    _xlfn.IFS(
      OR(TRIM(A114)="AICM", TRIM(A114)="AÉREO AICM"), 5,
      OR(TRIM(A114)="VERACRUZ", TRIM(A114)="MARÍTIMO VERACRUZ"), 6,
      OR(TRIM(A114)="AIFA", TRIM(A114)="AÉREO AIFA"), 7,
      AND(TRIM(A114)="CORRESPONSALIAS", TRIM(B114)="NUEVO LAREDO"), 6,
      TRIM(A114)="MANZANILLO", 10,
      TRIM(A114)="TOLUCA", 6,
      TRUE, 999
    ),
    "On Time",
    "Delayed"
  ),
  "Faltan fechas"
)</f>
        <v>On Time</v>
      </c>
      <c r="P114" s="36" t="s">
        <v>579</v>
      </c>
      <c r="Q114" s="28">
        <v>46253</v>
      </c>
      <c r="R114" s="5">
        <f>IFERROR(IF(G114=Q114,0,NETWORKDAYS(G114,Q114,{"01/01/2026";"02/02/2026";"16/03/2026";"02/04/2026";"03/04/2026";"01/05/2026"})),"Faltan Fechas")</f>
        <v>4</v>
      </c>
      <c r="S114" s="4" t="str">
        <f>IFERROR(IF(OR(G114="",Q114=""),"SIN DATO",IF(NETWORKDAYS(G114,Q114,{"01/01/2026";"02/02/2026";"16/03/2026";"02/04/2026";"03/04/2026";"01/05/2026"})&lt;=1,"1 día o menos",IF(NETWORKDAYS(G114,Q114,{"01/01/2026";"02/02/2026";"16/03/2026";"02/04/2026";"03/04/2026";"01/05/2026"})&lt;=3,"2 a 3 días",IF(NETWORKDAYS(G114,Q114,{"01/01/2026";"02/02/2026";"16/03/2026";"02/04/2026";"03/04/2026";"01/05/2026"})&lt;=5,"4 a 5 días",IF(NETWORKDAYS(G114,Q114,{"01/01/2026";"02/02/2026";"16/03/2026";"02/04/2026";"03/04/2026";"01/05/2026"})&lt;=10,"6 a 10 días",IF(NETWORKDAYS(G114,Q114,{"01/01/2026";"02/02/2026";"16/03/2026";"02/04/2026";"03/04/2026";"01/05/2026"})&lt;=16,"11 a 15 días","más de 16 días")))))),"Aun no se entrega")</f>
        <v>4 a 5 días</v>
      </c>
      <c r="T114" s="4" t="str" cm="1">
        <f t="array" ref="T114">IFERROR(
  IF(
    NETWORKDAYS(G114,Q114,{"01/01/2026";"02/02/2026";"16/03/2026";"02/04/2026";"03/04/2026";"01/05/2026"}) &lt;=
    _xlfn.IFS(
      OR(TRIM(A114)="AICM", TRIM(A114)="AÉREO AICM"), 5,
      OR(TRIM(A114)="VERACRUZ", TRIM(A114)="MARÍTIMO VERACRUZ"), 6,
      OR(TRIM(A114)="AIFA", TRIM(A114)="AÉREO AIFA"), 7,
      AND(TRIM(A114)="CORRESPONSALIAS", TRIM(B114)="NUEVO LAREDO"), 6,
      TRIM(A114)="MANZANILLO", 10,
      TRIM(A114)="TOLUCA", 6,
      TRUE, 999
    ),
    "On Time",
    "Delayed"
  ),
  "Faltan fechas"
)</f>
        <v>On Time</v>
      </c>
      <c r="U114" s="27">
        <v>3</v>
      </c>
      <c r="V114" s="27" t="s">
        <v>579</v>
      </c>
      <c r="W114" s="27">
        <v>12</v>
      </c>
      <c r="X114" s="27" t="s">
        <v>559</v>
      </c>
      <c r="Y114" s="27">
        <v>0</v>
      </c>
      <c r="Z114" s="27" t="s">
        <v>546</v>
      </c>
      <c r="AA114" s="27">
        <v>0</v>
      </c>
      <c r="AB114" s="27">
        <v>1</v>
      </c>
      <c r="AC114" s="27" t="s">
        <v>546</v>
      </c>
      <c r="AD114" s="28">
        <v>46266</v>
      </c>
      <c r="AE114" s="27">
        <v>9</v>
      </c>
      <c r="AF114" s="27">
        <v>9</v>
      </c>
      <c r="AG114" s="28">
        <v>46266</v>
      </c>
      <c r="AH114" s="28">
        <v>46266</v>
      </c>
      <c r="AI114" s="29">
        <v>0</v>
      </c>
      <c r="AJ114" s="28" t="s">
        <v>559</v>
      </c>
      <c r="AK114" s="28">
        <v>46266</v>
      </c>
      <c r="AL114" s="5">
        <f>IFERROR(IF(Q114=AK114,0,NETWORKDAYS(Q114,AK114,{"01/01/2026";"02/02/2026";"16/03/2026";"02/04/2026";"03/04/2026";"01/05/2026"})),"aun no se factura")</f>
        <v>10</v>
      </c>
      <c r="AM114" s="4" t="str">
        <f>IFERROR(IF(OR(Q114="",AK114=""),"SIN DATO",IF(NETWORKDAYS(Q114,AK114,{"01/01/2026";"02/02/2026";"16/03/2026";"02/04/2026";"03/04/2026";"01/05/2026"})&lt;=1,"1 día o menos",IF(NETWORKDAYS(Q114,AK114,{"01/01/2026";"02/02/2026";"16/03/2026";"02/04/2026";"03/04/2026";"01/05/2026"})&lt;=3,"2 a 3 días",IF(NETWORKDAYS(Q114,AK114,{"01/01/2026";"02/02/2026";"16/03/2026";"02/04/2026";"03/04/2026";"01/05/2026"})&lt;=5,"4 a 5 días",IF(NETWORKDAYS(Q114,AK114,{"01/01/2026";"02/02/2026";"16/03/2026";"02/04/2026";"03/04/2026";"01/05/2026"})&lt;=10,"6 a 10 días",IF(NETWORKDAYS(Q114,AK114,{"01/01/2026";"02/02/2026";"16/03/2026";"02/04/2026";"03/04/2026";"01/05/2026"})&lt;=16,"11 a 15 días","más de 16 días")))))),"aun no se factura")</f>
        <v>6 a 10 días</v>
      </c>
      <c r="AN114" s="4" t="str" cm="1">
        <f t="array" ref="AN114">IFERROR(
  IF(
    NETWORKDAYS(Q114,AK114,{"01/01/2026";"02/02/2026";"16/03/2026";"02/04/2026";"03/04/2026";"01/05/2026"}) &lt;=
    _xlfn.IFS(
      OR(TRIM(A114)="AICM", TRIM(A114)="AÉREO AICM"), 5,
      OR(TRIM(A114)="VERACRUZ", TRIM(A114)="MARÍTIMO VERACRUZ"), 6,
      OR(TRIM(A114)="AIFA", TRIM(A114)="AÉREO AIFA"), 7,
      AND(TRIM(A114)="CORRESPONSALIAS", TRIM(B114)="NUEVO LAREDO"), 6,
      TRIM(A114)="MANZANILLO", 10,
      TRIM(A114)="TOLUCA", 6,
      TRUE, 999
    ),
    "On Time",
    "Delayed"
  ),
  "Faltan fechas"
)</f>
        <v>Delayed</v>
      </c>
      <c r="AO114" s="29">
        <v>1</v>
      </c>
      <c r="AP114" s="28" t="s">
        <v>548</v>
      </c>
      <c r="AQ114" s="27" t="s">
        <v>93</v>
      </c>
      <c r="AR114" s="27" t="s">
        <v>112</v>
      </c>
      <c r="AS114" s="27" t="s">
        <v>1281</v>
      </c>
      <c r="AT114" s="27" t="s">
        <v>223</v>
      </c>
      <c r="AU114" s="29">
        <v>6001181</v>
      </c>
      <c r="AV114" s="27" t="s">
        <v>92</v>
      </c>
      <c r="AW114" s="27" t="s">
        <v>256</v>
      </c>
      <c r="AX114" s="27" t="s">
        <v>549</v>
      </c>
      <c r="AY114" s="27"/>
      <c r="AZ114" s="27" t="s">
        <v>550</v>
      </c>
      <c r="BA114" s="27" t="s">
        <v>90</v>
      </c>
      <c r="BB114" s="27"/>
      <c r="BC114" s="27" t="s">
        <v>117</v>
      </c>
      <c r="BD114" s="27"/>
      <c r="BE114" s="27" t="s">
        <v>117</v>
      </c>
      <c r="BF114" s="27" t="s">
        <v>576</v>
      </c>
      <c r="BG114" s="27" t="s">
        <v>552</v>
      </c>
      <c r="BH114" s="27" t="s">
        <v>580</v>
      </c>
      <c r="BI114" s="27"/>
      <c r="BJ114" s="27" t="s">
        <v>597</v>
      </c>
      <c r="BK114" s="27" t="s">
        <v>554</v>
      </c>
      <c r="BL114" s="27">
        <v>0</v>
      </c>
      <c r="BM114" s="27">
        <v>99</v>
      </c>
      <c r="BN114" s="27" t="s">
        <v>1282</v>
      </c>
      <c r="BO114" s="27">
        <v>90</v>
      </c>
      <c r="BP114" s="27" t="s">
        <v>1283</v>
      </c>
      <c r="BQ114" s="27" t="s">
        <v>611</v>
      </c>
      <c r="BR114" s="27"/>
      <c r="BS114" s="27" t="s">
        <v>613</v>
      </c>
      <c r="BT114" s="27" t="s">
        <v>558</v>
      </c>
      <c r="BU114" s="27" t="s">
        <v>133</v>
      </c>
      <c r="BV114" s="27" t="s">
        <v>105</v>
      </c>
      <c r="BW114" s="27">
        <v>6099475</v>
      </c>
      <c r="BX114" s="27" t="s">
        <v>1284</v>
      </c>
      <c r="BY114" s="27" t="s">
        <v>223</v>
      </c>
      <c r="BZ114" s="27" t="s">
        <v>1285</v>
      </c>
      <c r="CA114" s="30" t="s">
        <v>1286</v>
      </c>
    </row>
    <row r="115" spans="1:79" x14ac:dyDescent="0.25">
      <c r="A115" s="26" t="s">
        <v>577</v>
      </c>
      <c r="B115" s="27" t="s">
        <v>578</v>
      </c>
      <c r="C115" s="27" t="s">
        <v>1287</v>
      </c>
      <c r="D115" s="27">
        <v>430</v>
      </c>
      <c r="E115" s="28">
        <v>46255</v>
      </c>
      <c r="F115" s="27">
        <v>8</v>
      </c>
      <c r="G115" s="35">
        <v>46251</v>
      </c>
      <c r="H115" s="28">
        <v>46255</v>
      </c>
      <c r="I115" s="27">
        <v>4</v>
      </c>
      <c r="J115" s="27" t="s">
        <v>543</v>
      </c>
      <c r="K115" s="35">
        <v>46258</v>
      </c>
      <c r="L115" s="27">
        <v>5</v>
      </c>
      <c r="M115" s="34">
        <f>IFERROR(IF(G115=K115,0,NETWORKDAYS(G115,K115,{"01/01/2026";"02/02/2026";"16/03/2026";"02/04/2026";"03/04/2026";"01/05/2026"})),"Faltan Fechas")</f>
        <v>6</v>
      </c>
      <c r="N115" s="33" t="str">
        <f>IFERROR(IF(OR(G115="",K115=""),"SIN DATO",IF(NETWORKDAYS(G115,K115,{"01/01/2026";"02/02/2026";"16/03/2026";"02/04/2026";"03/04/2026";"01/05/2026"})&lt;=1,"1 día o menos",IF(NETWORKDAYS(G115,K115,{"01/01/2026";"02/02/2026";"16/03/2026";"02/04/2026";"03/04/2026";"01/05/2026"})&lt;=3,"2 a 3 días",IF(NETWORKDAYS(G115,K115,{"01/01/2026";"02/02/2026";"16/03/2026";"02/04/2026";"03/04/2026";"01/05/2026"})&lt;=5,"4 a 5 días",IF(NETWORKDAYS(G115,K115,{"01/01/2026";"02/02/2026";"16/03/2026";"02/04/2026";"03/04/2026";"01/05/2026"})&lt;=10,"6 a 10 días",IF(NETWORKDAYS(G115,K115,{"01/01/2026";"02/02/2026";"16/03/2026";"02/04/2026";"03/04/2026";"01/05/2026"})&lt;=16,"11 a 15 días","más de 16 días")))))),"Aun no se entrega")</f>
        <v>6 a 10 días</v>
      </c>
      <c r="O115" s="34" t="str" cm="1">
        <f t="array" ref="O115">IFERROR(
  IF(
    NETWORKDAYS(G115,K115,{"01/01/2026";"02/02/2026";"16/03/2026";"02/04/2026";"03/04/2026";"01/05/2026"}) &lt;=
    _xlfn.IFS(
      OR(TRIM(A115)="AICM", TRIM(A115)="AÉREO AICM"), 5,
      OR(TRIM(A115)="VERACRUZ", TRIM(A115)="MARÍTIMO VERACRUZ"), 6,
      OR(TRIM(A115)="AIFA", TRIM(A115)="AÉREO AIFA"), 7,
      AND(TRIM(A115)="CORRESPONSALIAS", TRIM(B115)="NUEVO LAREDO"), 6,
      TRIM(A115)="MANZANILLO", 10,
      TRIM(A115)="TOLUCA", 6,
      TRUE, 999
    ),
    "On Time",
    "Delayed"
  ),
  "Faltan fechas"
)</f>
        <v>On Time</v>
      </c>
      <c r="P115" s="36" t="s">
        <v>543</v>
      </c>
      <c r="Q115" s="28">
        <v>46259</v>
      </c>
      <c r="R115" s="5">
        <f>IFERROR(IF(G115=Q115,0,NETWORKDAYS(G115,Q115,{"01/01/2026";"02/02/2026";"16/03/2026";"02/04/2026";"03/04/2026";"01/05/2026"})),"Faltan Fechas")</f>
        <v>7</v>
      </c>
      <c r="S115" s="4" t="str">
        <f>IFERROR(IF(OR(G115="",Q115=""),"SIN DATO",IF(NETWORKDAYS(G115,Q115,{"01/01/2026";"02/02/2026";"16/03/2026";"02/04/2026";"03/04/2026";"01/05/2026"})&lt;=1,"1 día o menos",IF(NETWORKDAYS(G115,Q115,{"01/01/2026";"02/02/2026";"16/03/2026";"02/04/2026";"03/04/2026";"01/05/2026"})&lt;=3,"2 a 3 días",IF(NETWORKDAYS(G115,Q115,{"01/01/2026";"02/02/2026";"16/03/2026";"02/04/2026";"03/04/2026";"01/05/2026"})&lt;=5,"4 a 5 días",IF(NETWORKDAYS(G115,Q115,{"01/01/2026";"02/02/2026";"16/03/2026";"02/04/2026";"03/04/2026";"01/05/2026"})&lt;=10,"6 a 10 días",IF(NETWORKDAYS(G115,Q115,{"01/01/2026";"02/02/2026";"16/03/2026";"02/04/2026";"03/04/2026";"01/05/2026"})&lt;=16,"11 a 15 días","más de 16 días")))))),"Aun no se entrega")</f>
        <v>6 a 10 días</v>
      </c>
      <c r="T115" s="4" t="str" cm="1">
        <f t="array" ref="T115">IFERROR(
  IF(
    NETWORKDAYS(G115,Q115,{"01/01/2026";"02/02/2026";"16/03/2026";"02/04/2026";"03/04/2026";"01/05/2026"}) &lt;=
    _xlfn.IFS(
      OR(TRIM(A115)="AICM", TRIM(A115)="AÉREO AICM"), 5,
      OR(TRIM(A115)="VERACRUZ", TRIM(A115)="MARÍTIMO VERACRUZ"), 6,
      OR(TRIM(A115)="AIFA", TRIM(A115)="AÉREO AIFA"), 7,
      AND(TRIM(A115)="CORRESPONSALIAS", TRIM(B115)="NUEVO LAREDO"), 6,
      TRIM(A115)="MANZANILLO", 10,
      TRIM(A115)="TOLUCA", 6,
      TRUE, 999
    ),
    "On Time",
    "Delayed"
  ),
  "Faltan fechas"
)</f>
        <v>Delayed</v>
      </c>
      <c r="U115" s="27">
        <v>6</v>
      </c>
      <c r="V115" s="27" t="s">
        <v>544</v>
      </c>
      <c r="W115" s="27">
        <v>16</v>
      </c>
      <c r="X115" s="27" t="s">
        <v>547</v>
      </c>
      <c r="Y115" s="27">
        <v>1</v>
      </c>
      <c r="Z115" s="27" t="s">
        <v>546</v>
      </c>
      <c r="AA115" s="27">
        <v>1</v>
      </c>
      <c r="AB115" s="27">
        <v>1</v>
      </c>
      <c r="AC115" s="27" t="s">
        <v>546</v>
      </c>
      <c r="AD115" s="28">
        <v>46273</v>
      </c>
      <c r="AE115" s="27">
        <v>10</v>
      </c>
      <c r="AF115" s="27">
        <v>10</v>
      </c>
      <c r="AG115" s="28">
        <v>46273</v>
      </c>
      <c r="AH115" s="28">
        <v>46273</v>
      </c>
      <c r="AI115" s="29">
        <v>0</v>
      </c>
      <c r="AJ115" s="28" t="s">
        <v>559</v>
      </c>
      <c r="AK115" s="28">
        <v>46273</v>
      </c>
      <c r="AL115" s="5">
        <f>IFERROR(IF(Q115=AK115,0,NETWORKDAYS(Q115,AK115,{"01/01/2026";"02/02/2026";"16/03/2026";"02/04/2026";"03/04/2026";"01/05/2026"})),"aun no se factura")</f>
        <v>11</v>
      </c>
      <c r="AM115" s="4" t="str">
        <f>IFERROR(IF(OR(Q115="",AK115=""),"SIN DATO",IF(NETWORKDAYS(Q115,AK115,{"01/01/2026";"02/02/2026";"16/03/2026";"02/04/2026";"03/04/2026";"01/05/2026"})&lt;=1,"1 día o menos",IF(NETWORKDAYS(Q115,AK115,{"01/01/2026";"02/02/2026";"16/03/2026";"02/04/2026";"03/04/2026";"01/05/2026"})&lt;=3,"2 a 3 días",IF(NETWORKDAYS(Q115,AK115,{"01/01/2026";"02/02/2026";"16/03/2026";"02/04/2026";"03/04/2026";"01/05/2026"})&lt;=5,"4 a 5 días",IF(NETWORKDAYS(Q115,AK115,{"01/01/2026";"02/02/2026";"16/03/2026";"02/04/2026";"03/04/2026";"01/05/2026"})&lt;=10,"6 a 10 días",IF(NETWORKDAYS(Q115,AK115,{"01/01/2026";"02/02/2026";"16/03/2026";"02/04/2026";"03/04/2026";"01/05/2026"})&lt;=16,"11 a 15 días","más de 16 días")))))),"aun no se factura")</f>
        <v>11 a 15 días</v>
      </c>
      <c r="AN115" s="4" t="str" cm="1">
        <f t="array" ref="AN115">IFERROR(
  IF(
    NETWORKDAYS(Q115,AK115,{"01/01/2026";"02/02/2026";"16/03/2026";"02/04/2026";"03/04/2026";"01/05/2026"}) &lt;=
    _xlfn.IFS(
      OR(TRIM(A115)="AICM", TRIM(A115)="AÉREO AICM"), 5,
      OR(TRIM(A115)="VERACRUZ", TRIM(A115)="MARÍTIMO VERACRUZ"), 6,
      OR(TRIM(A115)="AIFA", TRIM(A115)="AÉREO AIFA"), 7,
      AND(TRIM(A115)="CORRESPONSALIAS", TRIM(B115)="NUEVO LAREDO"), 6,
      TRIM(A115)="MANZANILLO", 10,
      TRIM(A115)="TOLUCA", 6,
      TRUE, 999
    ),
    "On Time",
    "Delayed"
  ),
  "Faltan fechas"
)</f>
        <v>Delayed</v>
      </c>
      <c r="AO115" s="29">
        <v>1</v>
      </c>
      <c r="AP115" s="28" t="s">
        <v>548</v>
      </c>
      <c r="AQ115" s="27" t="s">
        <v>93</v>
      </c>
      <c r="AR115" s="27" t="s">
        <v>112</v>
      </c>
      <c r="AS115" s="27" t="s">
        <v>1288</v>
      </c>
      <c r="AT115" s="27" t="s">
        <v>223</v>
      </c>
      <c r="AU115" s="29">
        <v>6001196</v>
      </c>
      <c r="AV115" s="27" t="s">
        <v>92</v>
      </c>
      <c r="AW115" s="27" t="s">
        <v>392</v>
      </c>
      <c r="AX115" s="27" t="s">
        <v>549</v>
      </c>
      <c r="AY115" s="27"/>
      <c r="AZ115" s="27" t="s">
        <v>550</v>
      </c>
      <c r="BA115" s="27" t="s">
        <v>90</v>
      </c>
      <c r="BB115" s="27"/>
      <c r="BC115" s="27" t="s">
        <v>117</v>
      </c>
      <c r="BD115" s="27"/>
      <c r="BE115" s="27" t="s">
        <v>117</v>
      </c>
      <c r="BF115" s="27" t="s">
        <v>576</v>
      </c>
      <c r="BG115" s="27" t="s">
        <v>552</v>
      </c>
      <c r="BH115" s="27" t="s">
        <v>580</v>
      </c>
      <c r="BI115" s="27"/>
      <c r="BJ115" s="27" t="s">
        <v>581</v>
      </c>
      <c r="BK115" s="27" t="s">
        <v>554</v>
      </c>
      <c r="BL115" s="27">
        <v>0</v>
      </c>
      <c r="BM115" s="27">
        <v>0</v>
      </c>
      <c r="BN115" s="27" t="s">
        <v>1289</v>
      </c>
      <c r="BO115" s="27">
        <v>90</v>
      </c>
      <c r="BP115" s="27" t="s">
        <v>932</v>
      </c>
      <c r="BQ115" s="27" t="s">
        <v>563</v>
      </c>
      <c r="BR115" s="27"/>
      <c r="BS115" s="27" t="s">
        <v>685</v>
      </c>
      <c r="BT115" s="27" t="s">
        <v>685</v>
      </c>
      <c r="BU115" s="27" t="s">
        <v>396</v>
      </c>
      <c r="BV115" s="27" t="s">
        <v>396</v>
      </c>
      <c r="BW115" s="27">
        <v>23205722</v>
      </c>
      <c r="BX115" s="27" t="s">
        <v>223</v>
      </c>
      <c r="BY115" s="27" t="s">
        <v>223</v>
      </c>
      <c r="BZ115" s="27" t="s">
        <v>223</v>
      </c>
      <c r="CA115" s="30" t="s">
        <v>1290</v>
      </c>
    </row>
    <row r="116" spans="1:79" x14ac:dyDescent="0.25">
      <c r="A116" s="26" t="s">
        <v>577</v>
      </c>
      <c r="B116" s="27" t="s">
        <v>578</v>
      </c>
      <c r="C116" s="27" t="s">
        <v>1291</v>
      </c>
      <c r="D116" s="27">
        <v>430</v>
      </c>
      <c r="E116" s="28">
        <v>46263</v>
      </c>
      <c r="F116" s="27">
        <v>8</v>
      </c>
      <c r="G116" s="35">
        <v>46256</v>
      </c>
      <c r="H116" s="28">
        <v>46263</v>
      </c>
      <c r="I116" s="27">
        <v>4</v>
      </c>
      <c r="J116" s="27" t="s">
        <v>543</v>
      </c>
      <c r="K116" s="35">
        <v>46265</v>
      </c>
      <c r="L116" s="27">
        <v>5</v>
      </c>
      <c r="M116" s="34">
        <f>IFERROR(IF(G116=K116,0,NETWORKDAYS(G116,K116,{"01/01/2026";"02/02/2026";"16/03/2026";"02/04/2026";"03/04/2026";"01/05/2026"})),"Faltan Fechas")</f>
        <v>6</v>
      </c>
      <c r="N116" s="33" t="str">
        <f>IFERROR(IF(OR(G116="",K116=""),"SIN DATO",IF(NETWORKDAYS(G116,K116,{"01/01/2026";"02/02/2026";"16/03/2026";"02/04/2026";"03/04/2026";"01/05/2026"})&lt;=1,"1 día o menos",IF(NETWORKDAYS(G116,K116,{"01/01/2026";"02/02/2026";"16/03/2026";"02/04/2026";"03/04/2026";"01/05/2026"})&lt;=3,"2 a 3 días",IF(NETWORKDAYS(G116,K116,{"01/01/2026";"02/02/2026";"16/03/2026";"02/04/2026";"03/04/2026";"01/05/2026"})&lt;=5,"4 a 5 días",IF(NETWORKDAYS(G116,K116,{"01/01/2026";"02/02/2026";"16/03/2026";"02/04/2026";"03/04/2026";"01/05/2026"})&lt;=10,"6 a 10 días",IF(NETWORKDAYS(G116,K116,{"01/01/2026";"02/02/2026";"16/03/2026";"02/04/2026";"03/04/2026";"01/05/2026"})&lt;=16,"11 a 15 días","más de 16 días")))))),"Aun no se entrega")</f>
        <v>6 a 10 días</v>
      </c>
      <c r="O116" s="34" t="str" cm="1">
        <f t="array" ref="O116">IFERROR(
  IF(
    NETWORKDAYS(G116,K116,{"01/01/2026";"02/02/2026";"16/03/2026";"02/04/2026";"03/04/2026";"01/05/2026"}) &lt;=
    _xlfn.IFS(
      OR(TRIM(A116)="AICM", TRIM(A116)="AÉREO AICM"), 5,
      OR(TRIM(A116)="VERACRUZ", TRIM(A116)="MARÍTIMO VERACRUZ"), 6,
      OR(TRIM(A116)="AIFA", TRIM(A116)="AÉREO AIFA"), 7,
      AND(TRIM(A116)="CORRESPONSALIAS", TRIM(B116)="NUEVO LAREDO"), 6,
      TRIM(A116)="MANZANILLO", 10,
      TRIM(A116)="TOLUCA", 6,
      TRUE, 999
    ),
    "On Time",
    "Delayed"
  ),
  "Faltan fechas"
)</f>
        <v>On Time</v>
      </c>
      <c r="P116" s="36" t="s">
        <v>543</v>
      </c>
      <c r="Q116" s="28">
        <v>46266</v>
      </c>
      <c r="R116" s="5">
        <f>IFERROR(IF(G116=Q116,0,NETWORKDAYS(G116,Q116,{"01/01/2026";"02/02/2026";"16/03/2026";"02/04/2026";"03/04/2026";"01/05/2026"})),"Faltan Fechas")</f>
        <v>7</v>
      </c>
      <c r="S116" s="4" t="str">
        <f>IFERROR(IF(OR(G116="",Q116=""),"SIN DATO",IF(NETWORKDAYS(G116,Q116,{"01/01/2026";"02/02/2026";"16/03/2026";"02/04/2026";"03/04/2026";"01/05/2026"})&lt;=1,"1 día o menos",IF(NETWORKDAYS(G116,Q116,{"01/01/2026";"02/02/2026";"16/03/2026";"02/04/2026";"03/04/2026";"01/05/2026"})&lt;=3,"2 a 3 días",IF(NETWORKDAYS(G116,Q116,{"01/01/2026";"02/02/2026";"16/03/2026";"02/04/2026";"03/04/2026";"01/05/2026"})&lt;=5,"4 a 5 días",IF(NETWORKDAYS(G116,Q116,{"01/01/2026";"02/02/2026";"16/03/2026";"02/04/2026";"03/04/2026";"01/05/2026"})&lt;=10,"6 a 10 días",IF(NETWORKDAYS(G116,Q116,{"01/01/2026";"02/02/2026";"16/03/2026";"02/04/2026";"03/04/2026";"01/05/2026"})&lt;=16,"11 a 15 días","más de 16 días")))))),"Aun no se entrega")</f>
        <v>6 a 10 días</v>
      </c>
      <c r="T116" s="4" t="str" cm="1">
        <f t="array" ref="T116">IFERROR(
  IF(
    NETWORKDAYS(G116,Q116,{"01/01/2026";"02/02/2026";"16/03/2026";"02/04/2026";"03/04/2026";"01/05/2026"}) &lt;=
    _xlfn.IFS(
      OR(TRIM(A116)="AICM", TRIM(A116)="AÉREO AICM"), 5,
      OR(TRIM(A116)="VERACRUZ", TRIM(A116)="MARÍTIMO VERACRUZ"), 6,
      OR(TRIM(A116)="AIFA", TRIM(A116)="AÉREO AIFA"), 7,
      AND(TRIM(A116)="CORRESPONSALIAS", TRIM(B116)="NUEVO LAREDO"), 6,
      TRIM(A116)="MANZANILLO", 10,
      TRIM(A116)="TOLUCA", 6,
      TRUE, 999
    ),
    "On Time",
    "Delayed"
  ),
  "Faltan fechas"
)</f>
        <v>Delayed</v>
      </c>
      <c r="U116" s="27">
        <v>6</v>
      </c>
      <c r="V116" s="27" t="s">
        <v>544</v>
      </c>
      <c r="W116" s="27">
        <v>11</v>
      </c>
      <c r="X116" s="27" t="s">
        <v>559</v>
      </c>
      <c r="Y116" s="27">
        <v>0</v>
      </c>
      <c r="Z116" s="27" t="s">
        <v>546</v>
      </c>
      <c r="AA116" s="27">
        <v>0</v>
      </c>
      <c r="AB116" s="27">
        <v>1</v>
      </c>
      <c r="AC116" s="27" t="s">
        <v>546</v>
      </c>
      <c r="AD116" s="28">
        <v>46273</v>
      </c>
      <c r="AE116" s="27">
        <v>5</v>
      </c>
      <c r="AF116" s="27">
        <v>5</v>
      </c>
      <c r="AG116" s="28">
        <v>46273</v>
      </c>
      <c r="AH116" s="28">
        <v>46273</v>
      </c>
      <c r="AI116" s="29">
        <v>0</v>
      </c>
      <c r="AJ116" s="28" t="s">
        <v>544</v>
      </c>
      <c r="AK116" s="28">
        <v>46273</v>
      </c>
      <c r="AL116" s="5">
        <f>IFERROR(IF(Q116=AK116,0,NETWORKDAYS(Q116,AK116,{"01/01/2026";"02/02/2026";"16/03/2026";"02/04/2026";"03/04/2026";"01/05/2026"})),"aun no se factura")</f>
        <v>6</v>
      </c>
      <c r="AM116" s="4" t="str">
        <f>IFERROR(IF(OR(Q116="",AK116=""),"SIN DATO",IF(NETWORKDAYS(Q116,AK116,{"01/01/2026";"02/02/2026";"16/03/2026";"02/04/2026";"03/04/2026";"01/05/2026"})&lt;=1,"1 día o menos",IF(NETWORKDAYS(Q116,AK116,{"01/01/2026";"02/02/2026";"16/03/2026";"02/04/2026";"03/04/2026";"01/05/2026"})&lt;=3,"2 a 3 días",IF(NETWORKDAYS(Q116,AK116,{"01/01/2026";"02/02/2026";"16/03/2026";"02/04/2026";"03/04/2026";"01/05/2026"})&lt;=5,"4 a 5 días",IF(NETWORKDAYS(Q116,AK116,{"01/01/2026";"02/02/2026";"16/03/2026";"02/04/2026";"03/04/2026";"01/05/2026"})&lt;=10,"6 a 10 días",IF(NETWORKDAYS(Q116,AK116,{"01/01/2026";"02/02/2026";"16/03/2026";"02/04/2026";"03/04/2026";"01/05/2026"})&lt;=16,"11 a 15 días","más de 16 días")))))),"aun no se factura")</f>
        <v>6 a 10 días</v>
      </c>
      <c r="AN116" s="4" t="str" cm="1">
        <f t="array" ref="AN116">IFERROR(
  IF(
    NETWORKDAYS(Q116,AK116,{"01/01/2026";"02/02/2026";"16/03/2026";"02/04/2026";"03/04/2026";"01/05/2026"}) &lt;=
    _xlfn.IFS(
      OR(TRIM(A116)="AICM", TRIM(A116)="AÉREO AICM"), 5,
      OR(TRIM(A116)="VERACRUZ", TRIM(A116)="MARÍTIMO VERACRUZ"), 6,
      OR(TRIM(A116)="AIFA", TRIM(A116)="AÉREO AIFA"), 7,
      AND(TRIM(A116)="CORRESPONSALIAS", TRIM(B116)="NUEVO LAREDO"), 6,
      TRIM(A116)="MANZANILLO", 10,
      TRIM(A116)="TOLUCA", 6,
      TRUE, 999
    ),
    "On Time",
    "Delayed"
  ),
  "Faltan fechas"
)</f>
        <v>On Time</v>
      </c>
      <c r="AO116" s="29">
        <v>1</v>
      </c>
      <c r="AP116" s="28" t="s">
        <v>548</v>
      </c>
      <c r="AQ116" s="27" t="s">
        <v>93</v>
      </c>
      <c r="AR116" s="27" t="s">
        <v>112</v>
      </c>
      <c r="AS116" s="27" t="s">
        <v>1292</v>
      </c>
      <c r="AT116" s="27" t="s">
        <v>223</v>
      </c>
      <c r="AU116" s="29">
        <v>6001197</v>
      </c>
      <c r="AV116" s="27" t="s">
        <v>92</v>
      </c>
      <c r="AW116" s="27" t="s">
        <v>410</v>
      </c>
      <c r="AX116" s="27" t="s">
        <v>549</v>
      </c>
      <c r="AY116" s="27"/>
      <c r="AZ116" s="27" t="s">
        <v>550</v>
      </c>
      <c r="BA116" s="27" t="s">
        <v>90</v>
      </c>
      <c r="BB116" s="27"/>
      <c r="BC116" s="27"/>
      <c r="BD116" s="27"/>
      <c r="BE116" s="27"/>
      <c r="BF116" s="27" t="s">
        <v>576</v>
      </c>
      <c r="BG116" s="27" t="s">
        <v>552</v>
      </c>
      <c r="BH116" s="27" t="s">
        <v>607</v>
      </c>
      <c r="BI116" s="27" t="s">
        <v>1046</v>
      </c>
      <c r="BJ116" s="27"/>
      <c r="BK116" s="27" t="s">
        <v>554</v>
      </c>
      <c r="BL116" s="27">
        <v>0</v>
      </c>
      <c r="BM116" s="27">
        <v>99</v>
      </c>
      <c r="BN116" s="27" t="s">
        <v>223</v>
      </c>
      <c r="BO116" s="27">
        <v>90</v>
      </c>
      <c r="BP116" s="27" t="s">
        <v>934</v>
      </c>
      <c r="BQ116" s="27" t="s">
        <v>103</v>
      </c>
      <c r="BR116" s="27"/>
      <c r="BS116" s="27" t="s">
        <v>688</v>
      </c>
      <c r="BT116" s="27" t="s">
        <v>689</v>
      </c>
      <c r="BU116" s="27" t="s">
        <v>415</v>
      </c>
      <c r="BV116" s="27" t="s">
        <v>416</v>
      </c>
      <c r="BW116" s="27">
        <v>471441</v>
      </c>
      <c r="BX116" s="27" t="s">
        <v>1293</v>
      </c>
      <c r="BY116" s="27" t="s">
        <v>1294</v>
      </c>
      <c r="BZ116" s="27" t="s">
        <v>1295</v>
      </c>
      <c r="CA116" s="30" t="s">
        <v>1296</v>
      </c>
    </row>
    <row r="117" spans="1:79" x14ac:dyDescent="0.25">
      <c r="A117" s="26" t="s">
        <v>577</v>
      </c>
      <c r="B117" s="27" t="s">
        <v>578</v>
      </c>
      <c r="C117" s="27" t="s">
        <v>1297</v>
      </c>
      <c r="D117" s="27">
        <v>430</v>
      </c>
      <c r="E117" s="28">
        <v>46255</v>
      </c>
      <c r="F117" s="27">
        <v>8</v>
      </c>
      <c r="G117" s="35">
        <v>46252</v>
      </c>
      <c r="H117" s="28">
        <v>46255</v>
      </c>
      <c r="I117" s="27">
        <v>3</v>
      </c>
      <c r="J117" s="27" t="s">
        <v>579</v>
      </c>
      <c r="K117" s="35">
        <v>46258</v>
      </c>
      <c r="L117" s="27">
        <v>4</v>
      </c>
      <c r="M117" s="34">
        <f>IFERROR(IF(G117=K117,0,NETWORKDAYS(G117,K117,{"01/01/2026";"02/02/2026";"16/03/2026";"02/04/2026";"03/04/2026";"01/05/2026"})),"Faltan Fechas")</f>
        <v>5</v>
      </c>
      <c r="N117" s="33" t="str">
        <f>IFERROR(IF(OR(G117="",K117=""),"SIN DATO",IF(NETWORKDAYS(G117,K117,{"01/01/2026";"02/02/2026";"16/03/2026";"02/04/2026";"03/04/2026";"01/05/2026"})&lt;=1,"1 día o menos",IF(NETWORKDAYS(G117,K117,{"01/01/2026";"02/02/2026";"16/03/2026";"02/04/2026";"03/04/2026";"01/05/2026"})&lt;=3,"2 a 3 días",IF(NETWORKDAYS(G117,K117,{"01/01/2026";"02/02/2026";"16/03/2026";"02/04/2026";"03/04/2026";"01/05/2026"})&lt;=5,"4 a 5 días",IF(NETWORKDAYS(G117,K117,{"01/01/2026";"02/02/2026";"16/03/2026";"02/04/2026";"03/04/2026";"01/05/2026"})&lt;=10,"6 a 10 días",IF(NETWORKDAYS(G117,K117,{"01/01/2026";"02/02/2026";"16/03/2026";"02/04/2026";"03/04/2026";"01/05/2026"})&lt;=16,"11 a 15 días","más de 16 días")))))),"Aun no se entrega")</f>
        <v>4 a 5 días</v>
      </c>
      <c r="O117" s="34" t="str" cm="1">
        <f t="array" ref="O117">IFERROR(
  IF(
    NETWORKDAYS(G117,K117,{"01/01/2026";"02/02/2026";"16/03/2026";"02/04/2026";"03/04/2026";"01/05/2026"}) &lt;=
    _xlfn.IFS(
      OR(TRIM(A117)="AICM", TRIM(A117)="AÉREO AICM"), 5,
      OR(TRIM(A117)="VERACRUZ", TRIM(A117)="MARÍTIMO VERACRUZ"), 6,
      OR(TRIM(A117)="AIFA", TRIM(A117)="AÉREO AIFA"), 7,
      AND(TRIM(A117)="CORRESPONSALIAS", TRIM(B117)="NUEVO LAREDO"), 6,
      TRIM(A117)="MANZANILLO", 10,
      TRIM(A117)="TOLUCA", 6,
      TRUE, 999
    ),
    "On Time",
    "Delayed"
  ),
  "Faltan fechas"
)</f>
        <v>On Time</v>
      </c>
      <c r="P117" s="36" t="s">
        <v>543</v>
      </c>
      <c r="Q117" s="28">
        <v>46259</v>
      </c>
      <c r="R117" s="5">
        <f>IFERROR(IF(G117=Q117,0,NETWORKDAYS(G117,Q117,{"01/01/2026";"02/02/2026";"16/03/2026";"02/04/2026";"03/04/2026";"01/05/2026"})),"Faltan Fechas")</f>
        <v>6</v>
      </c>
      <c r="S117" s="4" t="str">
        <f>IFERROR(IF(OR(G117="",Q117=""),"SIN DATO",IF(NETWORKDAYS(G117,Q117,{"01/01/2026";"02/02/2026";"16/03/2026";"02/04/2026";"03/04/2026";"01/05/2026"})&lt;=1,"1 día o menos",IF(NETWORKDAYS(G117,Q117,{"01/01/2026";"02/02/2026";"16/03/2026";"02/04/2026";"03/04/2026";"01/05/2026"})&lt;=3,"2 a 3 días",IF(NETWORKDAYS(G117,Q117,{"01/01/2026";"02/02/2026";"16/03/2026";"02/04/2026";"03/04/2026";"01/05/2026"})&lt;=5,"4 a 5 días",IF(NETWORKDAYS(G117,Q117,{"01/01/2026";"02/02/2026";"16/03/2026";"02/04/2026";"03/04/2026";"01/05/2026"})&lt;=10,"6 a 10 días",IF(NETWORKDAYS(G117,Q117,{"01/01/2026";"02/02/2026";"16/03/2026";"02/04/2026";"03/04/2026";"01/05/2026"})&lt;=16,"11 a 15 días","más de 16 días")))))),"Aun no se entrega")</f>
        <v>6 a 10 días</v>
      </c>
      <c r="T117" s="4" t="str" cm="1">
        <f t="array" ref="T117">IFERROR(
  IF(
    NETWORKDAYS(G117,Q117,{"01/01/2026";"02/02/2026";"16/03/2026";"02/04/2026";"03/04/2026";"01/05/2026"}) &lt;=
    _xlfn.IFS(
      OR(TRIM(A117)="AICM", TRIM(A117)="AÉREO AICM"), 5,
      OR(TRIM(A117)="VERACRUZ", TRIM(A117)="MARÍTIMO VERACRUZ"), 6,
      OR(TRIM(A117)="AIFA", TRIM(A117)="AÉREO AIFA"), 7,
      AND(TRIM(A117)="CORRESPONSALIAS", TRIM(B117)="NUEVO LAREDO"), 6,
      TRIM(A117)="MANZANILLO", 10,
      TRIM(A117)="TOLUCA", 6,
      TRUE, 999
    ),
    "On Time",
    "Delayed"
  ),
  "Faltan fechas"
)</f>
        <v>On Time</v>
      </c>
      <c r="U117" s="27">
        <v>5</v>
      </c>
      <c r="V117" s="27" t="s">
        <v>543</v>
      </c>
      <c r="W117" s="27">
        <v>17</v>
      </c>
      <c r="X117" s="27" t="s">
        <v>547</v>
      </c>
      <c r="Y117" s="27">
        <v>1</v>
      </c>
      <c r="Z117" s="27" t="s">
        <v>546</v>
      </c>
      <c r="AA117" s="27">
        <v>1</v>
      </c>
      <c r="AB117" s="27">
        <v>1</v>
      </c>
      <c r="AC117" s="27" t="s">
        <v>546</v>
      </c>
      <c r="AD117" s="28">
        <v>46275</v>
      </c>
      <c r="AE117" s="27">
        <v>12</v>
      </c>
      <c r="AF117" s="27">
        <v>12</v>
      </c>
      <c r="AG117" s="28">
        <v>46275</v>
      </c>
      <c r="AH117" s="28">
        <v>46275</v>
      </c>
      <c r="AI117" s="29">
        <v>0</v>
      </c>
      <c r="AJ117" s="28" t="s">
        <v>547</v>
      </c>
      <c r="AK117" s="28">
        <v>46275</v>
      </c>
      <c r="AL117" s="5">
        <f>IFERROR(IF(Q117=AK117,0,NETWORKDAYS(Q117,AK117,{"01/01/2026";"02/02/2026";"16/03/2026";"02/04/2026";"03/04/2026";"01/05/2026"})),"aun no se factura")</f>
        <v>13</v>
      </c>
      <c r="AM117" s="4" t="str">
        <f>IFERROR(IF(OR(Q117="",AK117=""),"SIN DATO",IF(NETWORKDAYS(Q117,AK117,{"01/01/2026";"02/02/2026";"16/03/2026";"02/04/2026";"03/04/2026";"01/05/2026"})&lt;=1,"1 día o menos",IF(NETWORKDAYS(Q117,AK117,{"01/01/2026";"02/02/2026";"16/03/2026";"02/04/2026";"03/04/2026";"01/05/2026"})&lt;=3,"2 a 3 días",IF(NETWORKDAYS(Q117,AK117,{"01/01/2026";"02/02/2026";"16/03/2026";"02/04/2026";"03/04/2026";"01/05/2026"})&lt;=5,"4 a 5 días",IF(NETWORKDAYS(Q117,AK117,{"01/01/2026";"02/02/2026";"16/03/2026";"02/04/2026";"03/04/2026";"01/05/2026"})&lt;=10,"6 a 10 días",IF(NETWORKDAYS(Q117,AK117,{"01/01/2026";"02/02/2026";"16/03/2026";"02/04/2026";"03/04/2026";"01/05/2026"})&lt;=16,"11 a 15 días","más de 16 días")))))),"aun no se factura")</f>
        <v>11 a 15 días</v>
      </c>
      <c r="AN117" s="4" t="str" cm="1">
        <f t="array" ref="AN117">IFERROR(
  IF(
    NETWORKDAYS(Q117,AK117,{"01/01/2026";"02/02/2026";"16/03/2026";"02/04/2026";"03/04/2026";"01/05/2026"}) &lt;=
    _xlfn.IFS(
      OR(TRIM(A117)="AICM", TRIM(A117)="AÉREO AICM"), 5,
      OR(TRIM(A117)="VERACRUZ", TRIM(A117)="MARÍTIMO VERACRUZ"), 6,
      OR(TRIM(A117)="AIFA", TRIM(A117)="AÉREO AIFA"), 7,
      AND(TRIM(A117)="CORRESPONSALIAS", TRIM(B117)="NUEVO LAREDO"), 6,
      TRIM(A117)="MANZANILLO", 10,
      TRIM(A117)="TOLUCA", 6,
      TRUE, 999
    ),
    "On Time",
    "Delayed"
  ),
  "Faltan fechas"
)</f>
        <v>Delayed</v>
      </c>
      <c r="AO117" s="29">
        <v>1</v>
      </c>
      <c r="AP117" s="28" t="s">
        <v>548</v>
      </c>
      <c r="AQ117" s="27" t="s">
        <v>93</v>
      </c>
      <c r="AR117" s="27" t="s">
        <v>112</v>
      </c>
      <c r="AS117" s="27" t="s">
        <v>1298</v>
      </c>
      <c r="AT117" s="27" t="s">
        <v>223</v>
      </c>
      <c r="AU117" s="29">
        <v>6001198</v>
      </c>
      <c r="AV117" s="27" t="s">
        <v>92</v>
      </c>
      <c r="AW117" s="27" t="s">
        <v>1299</v>
      </c>
      <c r="AX117" s="27" t="s">
        <v>549</v>
      </c>
      <c r="AY117" s="27"/>
      <c r="AZ117" s="27" t="s">
        <v>550</v>
      </c>
      <c r="BA117" s="27" t="s">
        <v>90</v>
      </c>
      <c r="BB117" s="27"/>
      <c r="BC117" s="27" t="s">
        <v>117</v>
      </c>
      <c r="BD117" s="27"/>
      <c r="BE117" s="27" t="s">
        <v>117</v>
      </c>
      <c r="BF117" s="27" t="s">
        <v>576</v>
      </c>
      <c r="BG117" s="27" t="s">
        <v>552</v>
      </c>
      <c r="BH117" s="27" t="s">
        <v>580</v>
      </c>
      <c r="BI117" s="27"/>
      <c r="BJ117" s="27" t="s">
        <v>581</v>
      </c>
      <c r="BK117" s="27" t="s">
        <v>554</v>
      </c>
      <c r="BL117" s="27">
        <v>0</v>
      </c>
      <c r="BM117" s="27">
        <v>0.99</v>
      </c>
      <c r="BN117" s="27" t="s">
        <v>1300</v>
      </c>
      <c r="BO117" s="27">
        <v>90</v>
      </c>
      <c r="BP117" s="27" t="s">
        <v>1301</v>
      </c>
      <c r="BQ117" s="27" t="s">
        <v>646</v>
      </c>
      <c r="BR117" s="27"/>
      <c r="BS117" s="27" t="s">
        <v>1302</v>
      </c>
      <c r="BT117" s="27" t="s">
        <v>558</v>
      </c>
      <c r="BU117" s="27" t="s">
        <v>1303</v>
      </c>
      <c r="BV117" s="27" t="s">
        <v>105</v>
      </c>
      <c r="BW117" s="27">
        <v>2349202</v>
      </c>
      <c r="BX117" s="27" t="s">
        <v>1304</v>
      </c>
      <c r="BY117" s="27" t="s">
        <v>1305</v>
      </c>
      <c r="BZ117" s="27" t="s">
        <v>1306</v>
      </c>
      <c r="CA117" s="30" t="s">
        <v>1307</v>
      </c>
    </row>
    <row r="118" spans="1:79" x14ac:dyDescent="0.25">
      <c r="A118" s="26" t="s">
        <v>577</v>
      </c>
      <c r="B118" s="27" t="s">
        <v>578</v>
      </c>
      <c r="C118" s="27" t="s">
        <v>1308</v>
      </c>
      <c r="D118" s="27">
        <v>430</v>
      </c>
      <c r="E118" s="28">
        <v>46241</v>
      </c>
      <c r="F118" s="27">
        <v>8</v>
      </c>
      <c r="G118" s="35">
        <v>46241</v>
      </c>
      <c r="H118" s="28">
        <v>46241</v>
      </c>
      <c r="I118" s="27">
        <v>0</v>
      </c>
      <c r="J118" s="27" t="s">
        <v>546</v>
      </c>
      <c r="K118" s="35">
        <v>46244</v>
      </c>
      <c r="L118" s="27">
        <v>1</v>
      </c>
      <c r="M118" s="34">
        <f>IFERROR(IF(G118=K118,0,NETWORKDAYS(G118,K118,{"01/01/2026";"02/02/2026";"16/03/2026";"02/04/2026";"03/04/2026";"01/05/2026"})),"Faltan Fechas")</f>
        <v>2</v>
      </c>
      <c r="N118" s="33" t="str">
        <f>IFERROR(IF(OR(G118="",K118=""),"SIN DATO",IF(NETWORKDAYS(G118,K118,{"01/01/2026";"02/02/2026";"16/03/2026";"02/04/2026";"03/04/2026";"01/05/2026"})&lt;=1,"1 día o menos",IF(NETWORKDAYS(G118,K118,{"01/01/2026";"02/02/2026";"16/03/2026";"02/04/2026";"03/04/2026";"01/05/2026"})&lt;=3,"2 a 3 días",IF(NETWORKDAYS(G118,K118,{"01/01/2026";"02/02/2026";"16/03/2026";"02/04/2026";"03/04/2026";"01/05/2026"})&lt;=5,"4 a 5 días",IF(NETWORKDAYS(G118,K118,{"01/01/2026";"02/02/2026";"16/03/2026";"02/04/2026";"03/04/2026";"01/05/2026"})&lt;=10,"6 a 10 días",IF(NETWORKDAYS(G118,K118,{"01/01/2026";"02/02/2026";"16/03/2026";"02/04/2026";"03/04/2026";"01/05/2026"})&lt;=16,"11 a 15 días","más de 16 días")))))),"Aun no se entrega")</f>
        <v>2 a 3 días</v>
      </c>
      <c r="O118" s="34" t="str" cm="1">
        <f t="array" ref="O118">IFERROR(
  IF(
    NETWORKDAYS(G118,K118,{"01/01/2026";"02/02/2026";"16/03/2026";"02/04/2026";"03/04/2026";"01/05/2026"}) &lt;=
    _xlfn.IFS(
      OR(TRIM(A118)="AICM", TRIM(A118)="AÉREO AICM"), 5,
      OR(TRIM(A118)="VERACRUZ", TRIM(A118)="MARÍTIMO VERACRUZ"), 6,
      OR(TRIM(A118)="AIFA", TRIM(A118)="AÉREO AIFA"), 7,
      AND(TRIM(A118)="CORRESPONSALIAS", TRIM(B118)="NUEVO LAREDO"), 6,
      TRIM(A118)="MANZANILLO", 10,
      TRIM(A118)="TOLUCA", 6,
      TRUE, 999
    ),
    "On Time",
    "Delayed"
  ),
  "Faltan fechas"
)</f>
        <v>On Time</v>
      </c>
      <c r="P118" s="36" t="s">
        <v>546</v>
      </c>
      <c r="Q118" s="28"/>
      <c r="R118" s="5">
        <f>IFERROR(IF(G118=Q118,0,NETWORKDAYS(G118,Q118,{"01/01/2026";"02/02/2026";"16/03/2026";"02/04/2026";"03/04/2026";"01/05/2026"})),"Faltan Fechas")</f>
        <v>-33024</v>
      </c>
      <c r="S118" s="4" t="str">
        <f>IFERROR(IF(OR(G118="",Q118=""),"SIN DATO",IF(NETWORKDAYS(G118,Q118,{"01/01/2026";"02/02/2026";"16/03/2026";"02/04/2026";"03/04/2026";"01/05/2026"})&lt;=1,"1 día o menos",IF(NETWORKDAYS(G118,Q118,{"01/01/2026";"02/02/2026";"16/03/2026";"02/04/2026";"03/04/2026";"01/05/2026"})&lt;=3,"2 a 3 días",IF(NETWORKDAYS(G118,Q118,{"01/01/2026";"02/02/2026";"16/03/2026";"02/04/2026";"03/04/2026";"01/05/2026"})&lt;=5,"4 a 5 días",IF(NETWORKDAYS(G118,Q118,{"01/01/2026";"02/02/2026";"16/03/2026";"02/04/2026";"03/04/2026";"01/05/2026"})&lt;=10,"6 a 10 días",IF(NETWORKDAYS(G118,Q118,{"01/01/2026";"02/02/2026";"16/03/2026";"02/04/2026";"03/04/2026";"01/05/2026"})&lt;=16,"11 a 15 días","más de 16 días")))))),"Aun no se entrega")</f>
        <v>SIN DATO</v>
      </c>
      <c r="T118" s="4" t="str" cm="1">
        <f t="array" ref="T118">IFERROR(
  IF(
    NETWORKDAYS(G118,Q118,{"01/01/2026";"02/02/2026";"16/03/2026";"02/04/2026";"03/04/2026";"01/05/2026"}) &lt;=
    _xlfn.IFS(
      OR(TRIM(A118)="AICM", TRIM(A118)="AÉREO AICM"), 5,
      OR(TRIM(A118)="VERACRUZ", TRIM(A118)="MARÍTIMO VERACRUZ"), 6,
      OR(TRIM(A118)="AIFA", TRIM(A118)="AÉREO AIFA"), 7,
      AND(TRIM(A118)="CORRESPONSALIAS", TRIM(B118)="NUEVO LAREDO"), 6,
      TRIM(A118)="MANZANILLO", 10,
      TRIM(A118)="TOLUCA", 6,
      TRUE, 999
    ),
    "On Time",
    "Delayed"
  ),
  "Faltan fechas"
)</f>
        <v>On Time</v>
      </c>
      <c r="U118" s="27">
        <v>0</v>
      </c>
      <c r="V118" s="27" t="s">
        <v>569</v>
      </c>
      <c r="W118" s="27">
        <v>17</v>
      </c>
      <c r="X118" s="27" t="s">
        <v>547</v>
      </c>
      <c r="Y118" s="27">
        <v>1</v>
      </c>
      <c r="Z118" s="27" t="s">
        <v>546</v>
      </c>
      <c r="AA118" s="27">
        <v>1</v>
      </c>
      <c r="AB118" s="27">
        <v>-46242</v>
      </c>
      <c r="AC118" s="27" t="s">
        <v>545</v>
      </c>
      <c r="AD118" s="28">
        <v>46266</v>
      </c>
      <c r="AE118" s="27" t="s">
        <v>223</v>
      </c>
      <c r="AF118" s="27">
        <v>33046</v>
      </c>
      <c r="AG118" s="28"/>
      <c r="AH118" s="28">
        <v>46266</v>
      </c>
      <c r="AI118" s="29" t="s">
        <v>223</v>
      </c>
      <c r="AJ118" s="28" t="s">
        <v>545</v>
      </c>
      <c r="AK118" s="28">
        <v>46266</v>
      </c>
      <c r="AL118" s="5">
        <f>IFERROR(IF(Q118=AK118,0,NETWORKDAYS(Q118,AK118,{"01/01/2026";"02/02/2026";"16/03/2026";"02/04/2026";"03/04/2026";"01/05/2026"})),"aun no se factura")</f>
        <v>33041</v>
      </c>
      <c r="AM118" s="4" t="str">
        <f>IFERROR(IF(OR(Q118="",AK118=""),"SIN DATO",IF(NETWORKDAYS(Q118,AK118,{"01/01/2026";"02/02/2026";"16/03/2026";"02/04/2026";"03/04/2026";"01/05/2026"})&lt;=1,"1 día o menos",IF(NETWORKDAYS(Q118,AK118,{"01/01/2026";"02/02/2026";"16/03/2026";"02/04/2026";"03/04/2026";"01/05/2026"})&lt;=3,"2 a 3 días",IF(NETWORKDAYS(Q118,AK118,{"01/01/2026";"02/02/2026";"16/03/2026";"02/04/2026";"03/04/2026";"01/05/2026"})&lt;=5,"4 a 5 días",IF(NETWORKDAYS(Q118,AK118,{"01/01/2026";"02/02/2026";"16/03/2026";"02/04/2026";"03/04/2026";"01/05/2026"})&lt;=10,"6 a 10 días",IF(NETWORKDAYS(Q118,AK118,{"01/01/2026";"02/02/2026";"16/03/2026";"02/04/2026";"03/04/2026";"01/05/2026"})&lt;=16,"11 a 15 días","más de 16 días")))))),"aun no se factura")</f>
        <v>SIN DATO</v>
      </c>
      <c r="AN118" s="4" t="str" cm="1">
        <f t="array" ref="AN118">IFERROR(
  IF(
    NETWORKDAYS(Q118,AK118,{"01/01/2026";"02/02/2026";"16/03/2026";"02/04/2026";"03/04/2026";"01/05/2026"}) &lt;=
    _xlfn.IFS(
      OR(TRIM(A118)="AICM", TRIM(A118)="AÉREO AICM"), 5,
      OR(TRIM(A118)="VERACRUZ", TRIM(A118)="MARÍTIMO VERACRUZ"), 6,
      OR(TRIM(A118)="AIFA", TRIM(A118)="AÉREO AIFA"), 7,
      AND(TRIM(A118)="CORRESPONSALIAS", TRIM(B118)="NUEVO LAREDO"), 6,
      TRIM(A118)="MANZANILLO", 10,
      TRIM(A118)="TOLUCA", 6,
      TRUE, 999
    ),
    "On Time",
    "Delayed"
  ),
  "Faltan fechas"
)</f>
        <v>Delayed</v>
      </c>
      <c r="AO118" s="29">
        <v>0</v>
      </c>
      <c r="AP118" s="28" t="s">
        <v>548</v>
      </c>
      <c r="AQ118" s="27" t="s">
        <v>93</v>
      </c>
      <c r="AR118" s="27" t="s">
        <v>112</v>
      </c>
      <c r="AS118" s="27" t="s">
        <v>223</v>
      </c>
      <c r="AT118" s="27" t="s">
        <v>223</v>
      </c>
      <c r="AU118" s="29">
        <v>6001166</v>
      </c>
      <c r="AV118" s="27" t="s">
        <v>1309</v>
      </c>
      <c r="AW118" s="27" t="s">
        <v>1310</v>
      </c>
      <c r="AX118" s="27" t="s">
        <v>549</v>
      </c>
      <c r="AY118" s="27"/>
      <c r="AZ118" s="27" t="s">
        <v>1311</v>
      </c>
      <c r="BA118" s="27" t="s">
        <v>90</v>
      </c>
      <c r="BB118" s="27"/>
      <c r="BC118" s="27"/>
      <c r="BD118" s="27"/>
      <c r="BE118" s="27"/>
      <c r="BF118" s="27"/>
      <c r="BG118" s="27" t="s">
        <v>552</v>
      </c>
      <c r="BH118" s="27" t="s">
        <v>223</v>
      </c>
      <c r="BI118" s="27"/>
      <c r="BJ118" s="27"/>
      <c r="BK118" s="27" t="s">
        <v>554</v>
      </c>
      <c r="BL118" s="27">
        <v>0</v>
      </c>
      <c r="BM118" s="27">
        <v>99</v>
      </c>
      <c r="BN118" s="27" t="s">
        <v>1312</v>
      </c>
      <c r="BO118" s="27">
        <v>90</v>
      </c>
      <c r="BP118" s="27" t="s">
        <v>1313</v>
      </c>
      <c r="BQ118" s="27" t="s">
        <v>657</v>
      </c>
      <c r="BR118" s="27"/>
      <c r="BS118" s="27" t="s">
        <v>1314</v>
      </c>
      <c r="BT118" s="27" t="s">
        <v>1315</v>
      </c>
      <c r="BU118" s="27" t="s">
        <v>1316</v>
      </c>
      <c r="BV118" s="27" t="s">
        <v>1317</v>
      </c>
      <c r="BW118" s="27">
        <v>0</v>
      </c>
      <c r="BX118" s="27" t="s">
        <v>1318</v>
      </c>
      <c r="BY118" s="27" t="s">
        <v>223</v>
      </c>
      <c r="BZ118" s="27" t="s">
        <v>223</v>
      </c>
      <c r="CA118" s="30" t="s">
        <v>1319</v>
      </c>
    </row>
    <row r="119" spans="1:79" x14ac:dyDescent="0.25">
      <c r="A119" s="26" t="s">
        <v>577</v>
      </c>
      <c r="B119" s="27" t="s">
        <v>578</v>
      </c>
      <c r="C119" s="27" t="s">
        <v>1320</v>
      </c>
      <c r="D119" s="27">
        <v>430</v>
      </c>
      <c r="E119" s="28">
        <v>46244</v>
      </c>
      <c r="F119" s="27">
        <v>8</v>
      </c>
      <c r="G119" s="35">
        <v>46241</v>
      </c>
      <c r="H119" s="28">
        <v>46244</v>
      </c>
      <c r="I119" s="27">
        <v>1</v>
      </c>
      <c r="J119" s="27" t="s">
        <v>546</v>
      </c>
      <c r="K119" s="35">
        <v>46244</v>
      </c>
      <c r="L119" s="27">
        <v>1</v>
      </c>
      <c r="M119" s="34">
        <f>IFERROR(IF(G119=K119,0,NETWORKDAYS(G119,K119,{"01/01/2026";"02/02/2026";"16/03/2026";"02/04/2026";"03/04/2026";"01/05/2026"})),"Faltan Fechas")</f>
        <v>2</v>
      </c>
      <c r="N119" s="33" t="str">
        <f>IFERROR(IF(OR(G119="",K119=""),"SIN DATO",IF(NETWORKDAYS(G119,K119,{"01/01/2026";"02/02/2026";"16/03/2026";"02/04/2026";"03/04/2026";"01/05/2026"})&lt;=1,"1 día o menos",IF(NETWORKDAYS(G119,K119,{"01/01/2026";"02/02/2026";"16/03/2026";"02/04/2026";"03/04/2026";"01/05/2026"})&lt;=3,"2 a 3 días",IF(NETWORKDAYS(G119,K119,{"01/01/2026";"02/02/2026";"16/03/2026";"02/04/2026";"03/04/2026";"01/05/2026"})&lt;=5,"4 a 5 días",IF(NETWORKDAYS(G119,K119,{"01/01/2026";"02/02/2026";"16/03/2026";"02/04/2026";"03/04/2026";"01/05/2026"})&lt;=10,"6 a 10 días",IF(NETWORKDAYS(G119,K119,{"01/01/2026";"02/02/2026";"16/03/2026";"02/04/2026";"03/04/2026";"01/05/2026"})&lt;=16,"11 a 15 días","más de 16 días")))))),"Aun no se entrega")</f>
        <v>2 a 3 días</v>
      </c>
      <c r="O119" s="34" t="str" cm="1">
        <f t="array" ref="O119">IFERROR(
  IF(
    NETWORKDAYS(G119,K119,{"01/01/2026";"02/02/2026";"16/03/2026";"02/04/2026";"03/04/2026";"01/05/2026"}) &lt;=
    _xlfn.IFS(
      OR(TRIM(A119)="AICM", TRIM(A119)="AÉREO AICM"), 5,
      OR(TRIM(A119)="VERACRUZ", TRIM(A119)="MARÍTIMO VERACRUZ"), 6,
      OR(TRIM(A119)="AIFA", TRIM(A119)="AÉREO AIFA"), 7,
      AND(TRIM(A119)="CORRESPONSALIAS", TRIM(B119)="NUEVO LAREDO"), 6,
      TRIM(A119)="MANZANILLO", 10,
      TRIM(A119)="TOLUCA", 6,
      TRUE, 999
    ),
    "On Time",
    "Delayed"
  ),
  "Faltan fechas"
)</f>
        <v>On Time</v>
      </c>
      <c r="P119" s="36" t="s">
        <v>546</v>
      </c>
      <c r="Q119" s="28"/>
      <c r="R119" s="5">
        <f>IFERROR(IF(G119=Q119,0,NETWORKDAYS(G119,Q119,{"01/01/2026";"02/02/2026";"16/03/2026";"02/04/2026";"03/04/2026";"01/05/2026"})),"Faltan Fechas")</f>
        <v>-33024</v>
      </c>
      <c r="S119" s="4" t="str">
        <f>IFERROR(IF(OR(G119="",Q119=""),"SIN DATO",IF(NETWORKDAYS(G119,Q119,{"01/01/2026";"02/02/2026";"16/03/2026";"02/04/2026";"03/04/2026";"01/05/2026"})&lt;=1,"1 día o menos",IF(NETWORKDAYS(G119,Q119,{"01/01/2026";"02/02/2026";"16/03/2026";"02/04/2026";"03/04/2026";"01/05/2026"})&lt;=3,"2 a 3 días",IF(NETWORKDAYS(G119,Q119,{"01/01/2026";"02/02/2026";"16/03/2026";"02/04/2026";"03/04/2026";"01/05/2026"})&lt;=5,"4 a 5 días",IF(NETWORKDAYS(G119,Q119,{"01/01/2026";"02/02/2026";"16/03/2026";"02/04/2026";"03/04/2026";"01/05/2026"})&lt;=10,"6 a 10 días",IF(NETWORKDAYS(G119,Q119,{"01/01/2026";"02/02/2026";"16/03/2026";"02/04/2026";"03/04/2026";"01/05/2026"})&lt;=16,"11 a 15 días","más de 16 días")))))),"Aun no se entrega")</f>
        <v>SIN DATO</v>
      </c>
      <c r="T119" s="4" t="str" cm="1">
        <f t="array" ref="T119">IFERROR(
  IF(
    NETWORKDAYS(G119,Q119,{"01/01/2026";"02/02/2026";"16/03/2026";"02/04/2026";"03/04/2026";"01/05/2026"}) &lt;=
    _xlfn.IFS(
      OR(TRIM(A119)="AICM", TRIM(A119)="AÉREO AICM"), 5,
      OR(TRIM(A119)="VERACRUZ", TRIM(A119)="MARÍTIMO VERACRUZ"), 6,
      OR(TRIM(A119)="AIFA", TRIM(A119)="AÉREO AIFA"), 7,
      AND(TRIM(A119)="CORRESPONSALIAS", TRIM(B119)="NUEVO LAREDO"), 6,
      TRIM(A119)="MANZANILLO", 10,
      TRIM(A119)="TOLUCA", 6,
      TRUE, 999
    ),
    "On Time",
    "Delayed"
  ),
  "Faltan fechas"
)</f>
        <v>On Time</v>
      </c>
      <c r="U119" s="27">
        <v>0</v>
      </c>
      <c r="V119" s="27" t="s">
        <v>569</v>
      </c>
      <c r="W119" s="27">
        <v>17</v>
      </c>
      <c r="X119" s="27" t="s">
        <v>547</v>
      </c>
      <c r="Y119" s="27">
        <v>0</v>
      </c>
      <c r="Z119" s="27" t="s">
        <v>546</v>
      </c>
      <c r="AA119" s="27">
        <v>0</v>
      </c>
      <c r="AB119" s="27">
        <v>-46242</v>
      </c>
      <c r="AC119" s="27" t="s">
        <v>545</v>
      </c>
      <c r="AD119" s="28">
        <v>46266</v>
      </c>
      <c r="AE119" s="27" t="s">
        <v>223</v>
      </c>
      <c r="AF119" s="27">
        <v>33046</v>
      </c>
      <c r="AG119" s="28"/>
      <c r="AH119" s="28">
        <v>46266</v>
      </c>
      <c r="AI119" s="29" t="s">
        <v>223</v>
      </c>
      <c r="AJ119" s="28" t="s">
        <v>545</v>
      </c>
      <c r="AK119" s="28">
        <v>46266</v>
      </c>
      <c r="AL119" s="5">
        <f>IFERROR(IF(Q119=AK119,0,NETWORKDAYS(Q119,AK119,{"01/01/2026";"02/02/2026";"16/03/2026";"02/04/2026";"03/04/2026";"01/05/2026"})),"aun no se factura")</f>
        <v>33041</v>
      </c>
      <c r="AM119" s="4" t="str">
        <f>IFERROR(IF(OR(Q119="",AK119=""),"SIN DATO",IF(NETWORKDAYS(Q119,AK119,{"01/01/2026";"02/02/2026";"16/03/2026";"02/04/2026";"03/04/2026";"01/05/2026"})&lt;=1,"1 día o menos",IF(NETWORKDAYS(Q119,AK119,{"01/01/2026";"02/02/2026";"16/03/2026";"02/04/2026";"03/04/2026";"01/05/2026"})&lt;=3,"2 a 3 días",IF(NETWORKDAYS(Q119,AK119,{"01/01/2026";"02/02/2026";"16/03/2026";"02/04/2026";"03/04/2026";"01/05/2026"})&lt;=5,"4 a 5 días",IF(NETWORKDAYS(Q119,AK119,{"01/01/2026";"02/02/2026";"16/03/2026";"02/04/2026";"03/04/2026";"01/05/2026"})&lt;=10,"6 a 10 días",IF(NETWORKDAYS(Q119,AK119,{"01/01/2026";"02/02/2026";"16/03/2026";"02/04/2026";"03/04/2026";"01/05/2026"})&lt;=16,"11 a 15 días","más de 16 días")))))),"aun no se factura")</f>
        <v>SIN DATO</v>
      </c>
      <c r="AN119" s="4" t="str" cm="1">
        <f t="array" ref="AN119">IFERROR(
  IF(
    NETWORKDAYS(Q119,AK119,{"01/01/2026";"02/02/2026";"16/03/2026";"02/04/2026";"03/04/2026";"01/05/2026"}) &lt;=
    _xlfn.IFS(
      OR(TRIM(A119)="AICM", TRIM(A119)="AÉREO AICM"), 5,
      OR(TRIM(A119)="VERACRUZ", TRIM(A119)="MARÍTIMO VERACRUZ"), 6,
      OR(TRIM(A119)="AIFA", TRIM(A119)="AÉREO AIFA"), 7,
      AND(TRIM(A119)="CORRESPONSALIAS", TRIM(B119)="NUEVO LAREDO"), 6,
      TRIM(A119)="MANZANILLO", 10,
      TRIM(A119)="TOLUCA", 6,
      TRUE, 999
    ),
    "On Time",
    "Delayed"
  ),
  "Faltan fechas"
)</f>
        <v>Delayed</v>
      </c>
      <c r="AO119" s="29">
        <v>0</v>
      </c>
      <c r="AP119" s="28" t="s">
        <v>548</v>
      </c>
      <c r="AQ119" s="27" t="s">
        <v>342</v>
      </c>
      <c r="AR119" s="27" t="s">
        <v>112</v>
      </c>
      <c r="AS119" s="27" t="s">
        <v>223</v>
      </c>
      <c r="AT119" s="27" t="s">
        <v>223</v>
      </c>
      <c r="AU119" s="29">
        <v>6001178</v>
      </c>
      <c r="AV119" s="27" t="s">
        <v>1309</v>
      </c>
      <c r="AW119" s="27" t="s">
        <v>1310</v>
      </c>
      <c r="AX119" s="27" t="s">
        <v>549</v>
      </c>
      <c r="AY119" s="27"/>
      <c r="AZ119" s="27" t="s">
        <v>1311</v>
      </c>
      <c r="BA119" s="27" t="s">
        <v>90</v>
      </c>
      <c r="BB119" s="27"/>
      <c r="BC119" s="27"/>
      <c r="BD119" s="27"/>
      <c r="BE119" s="27"/>
      <c r="BF119" s="27"/>
      <c r="BG119" s="27" t="s">
        <v>552</v>
      </c>
      <c r="BH119" s="27" t="s">
        <v>223</v>
      </c>
      <c r="BI119" s="27"/>
      <c r="BJ119" s="27"/>
      <c r="BK119" s="27" t="s">
        <v>554</v>
      </c>
      <c r="BL119" s="27">
        <v>0</v>
      </c>
      <c r="BM119" s="27">
        <v>99</v>
      </c>
      <c r="BN119" s="27" t="s">
        <v>1312</v>
      </c>
      <c r="BO119" s="27">
        <v>90</v>
      </c>
      <c r="BP119" s="27" t="s">
        <v>1313</v>
      </c>
      <c r="BQ119" s="27" t="s">
        <v>657</v>
      </c>
      <c r="BR119" s="27"/>
      <c r="BS119" s="27" t="s">
        <v>1314</v>
      </c>
      <c r="BT119" s="27" t="s">
        <v>1315</v>
      </c>
      <c r="BU119" s="27" t="s">
        <v>1316</v>
      </c>
      <c r="BV119" s="27" t="s">
        <v>1317</v>
      </c>
      <c r="BW119" s="27">
        <v>0</v>
      </c>
      <c r="BX119" s="27" t="s">
        <v>795</v>
      </c>
      <c r="BY119" s="27" t="s">
        <v>223</v>
      </c>
      <c r="BZ119" s="27" t="s">
        <v>223</v>
      </c>
      <c r="CA119" s="30" t="s">
        <v>1319</v>
      </c>
    </row>
    <row r="120" spans="1:79" x14ac:dyDescent="0.25">
      <c r="A120" s="26" t="s">
        <v>577</v>
      </c>
      <c r="B120" s="27" t="s">
        <v>578</v>
      </c>
      <c r="C120" s="27" t="s">
        <v>1321</v>
      </c>
      <c r="D120" s="27">
        <v>430</v>
      </c>
      <c r="E120" s="28">
        <v>46248</v>
      </c>
      <c r="F120" s="27">
        <v>8</v>
      </c>
      <c r="G120" s="35">
        <v>46248</v>
      </c>
      <c r="H120" s="28">
        <v>46248</v>
      </c>
      <c r="I120" s="27">
        <v>0</v>
      </c>
      <c r="J120" s="27" t="s">
        <v>546</v>
      </c>
      <c r="K120" s="35">
        <v>46249</v>
      </c>
      <c r="L120" s="27">
        <v>0</v>
      </c>
      <c r="M120" s="34">
        <f>IFERROR(IF(G120=K120,0,NETWORKDAYS(G120,K120,{"01/01/2026";"02/02/2026";"16/03/2026";"02/04/2026";"03/04/2026";"01/05/2026"})),"Faltan Fechas")</f>
        <v>1</v>
      </c>
      <c r="N120" s="33" t="str">
        <f>IFERROR(IF(OR(G120="",K120=""),"SIN DATO",IF(NETWORKDAYS(G120,K120,{"01/01/2026";"02/02/2026";"16/03/2026";"02/04/2026";"03/04/2026";"01/05/2026"})&lt;=1,"1 día o menos",IF(NETWORKDAYS(G120,K120,{"01/01/2026";"02/02/2026";"16/03/2026";"02/04/2026";"03/04/2026";"01/05/2026"})&lt;=3,"2 a 3 días",IF(NETWORKDAYS(G120,K120,{"01/01/2026";"02/02/2026";"16/03/2026";"02/04/2026";"03/04/2026";"01/05/2026"})&lt;=5,"4 a 5 días",IF(NETWORKDAYS(G120,K120,{"01/01/2026";"02/02/2026";"16/03/2026";"02/04/2026";"03/04/2026";"01/05/2026"})&lt;=10,"6 a 10 días",IF(NETWORKDAYS(G120,K120,{"01/01/2026";"02/02/2026";"16/03/2026";"02/04/2026";"03/04/2026";"01/05/2026"})&lt;=16,"11 a 15 días","más de 16 días")))))),"Aun no se entrega")</f>
        <v>1 día o menos</v>
      </c>
      <c r="O120" s="34" t="str" cm="1">
        <f t="array" ref="O120">IFERROR(
  IF(
    NETWORKDAYS(G120,K120,{"01/01/2026";"02/02/2026";"16/03/2026";"02/04/2026";"03/04/2026";"01/05/2026"}) &lt;=
    _xlfn.IFS(
      OR(TRIM(A120)="AICM", TRIM(A120)="AÉREO AICM"), 5,
      OR(TRIM(A120)="VERACRUZ", TRIM(A120)="MARÍTIMO VERACRUZ"), 6,
      OR(TRIM(A120)="AIFA", TRIM(A120)="AÉREO AIFA"), 7,
      AND(TRIM(A120)="CORRESPONSALIAS", TRIM(B120)="NUEVO LAREDO"), 6,
      TRIM(A120)="MANZANILLO", 10,
      TRIM(A120)="TOLUCA", 6,
      TRUE, 999
    ),
    "On Time",
    "Delayed"
  ),
  "Faltan fechas"
)</f>
        <v>On Time</v>
      </c>
      <c r="P120" s="36" t="s">
        <v>546</v>
      </c>
      <c r="Q120" s="28"/>
      <c r="R120" s="5">
        <f>IFERROR(IF(G120=Q120,0,NETWORKDAYS(G120,Q120,{"01/01/2026";"02/02/2026";"16/03/2026";"02/04/2026";"03/04/2026";"01/05/2026"})),"Faltan Fechas")</f>
        <v>-33029</v>
      </c>
      <c r="S120" s="4" t="str">
        <f>IFERROR(IF(OR(G120="",Q120=""),"SIN DATO",IF(NETWORKDAYS(G120,Q120,{"01/01/2026";"02/02/2026";"16/03/2026";"02/04/2026";"03/04/2026";"01/05/2026"})&lt;=1,"1 día o menos",IF(NETWORKDAYS(G120,Q120,{"01/01/2026";"02/02/2026";"16/03/2026";"02/04/2026";"03/04/2026";"01/05/2026"})&lt;=3,"2 a 3 días",IF(NETWORKDAYS(G120,Q120,{"01/01/2026";"02/02/2026";"16/03/2026";"02/04/2026";"03/04/2026";"01/05/2026"})&lt;=5,"4 a 5 días",IF(NETWORKDAYS(G120,Q120,{"01/01/2026";"02/02/2026";"16/03/2026";"02/04/2026";"03/04/2026";"01/05/2026"})&lt;=10,"6 a 10 días",IF(NETWORKDAYS(G120,Q120,{"01/01/2026";"02/02/2026";"16/03/2026";"02/04/2026";"03/04/2026";"01/05/2026"})&lt;=16,"11 a 15 días","más de 16 días")))))),"Aun no se entrega")</f>
        <v>SIN DATO</v>
      </c>
      <c r="T120" s="4" t="str" cm="1">
        <f t="array" ref="T120">IFERROR(
  IF(
    NETWORKDAYS(G120,Q120,{"01/01/2026";"02/02/2026";"16/03/2026";"02/04/2026";"03/04/2026";"01/05/2026"}) &lt;=
    _xlfn.IFS(
      OR(TRIM(A120)="AICM", TRIM(A120)="AÉREO AICM"), 5,
      OR(TRIM(A120)="VERACRUZ", TRIM(A120)="MARÍTIMO VERACRUZ"), 6,
      OR(TRIM(A120)="AIFA", TRIM(A120)="AÉREO AIFA"), 7,
      AND(TRIM(A120)="CORRESPONSALIAS", TRIM(B120)="NUEVO LAREDO"), 6,
      TRIM(A120)="MANZANILLO", 10,
      TRIM(A120)="TOLUCA", 6,
      TRUE, 999
    ),
    "On Time",
    "Delayed"
  ),
  "Faltan fechas"
)</f>
        <v>On Time</v>
      </c>
      <c r="U120" s="27">
        <v>0</v>
      </c>
      <c r="V120" s="27" t="s">
        <v>569</v>
      </c>
      <c r="W120" s="27">
        <v>0</v>
      </c>
      <c r="X120" s="27" t="s">
        <v>569</v>
      </c>
      <c r="Y120" s="27">
        <v>1</v>
      </c>
      <c r="Z120" s="27" t="s">
        <v>546</v>
      </c>
      <c r="AA120" s="27">
        <v>1</v>
      </c>
      <c r="AB120" s="27">
        <v>-46247</v>
      </c>
      <c r="AC120" s="27" t="s">
        <v>545</v>
      </c>
      <c r="AD120" s="28" t="s">
        <v>223</v>
      </c>
      <c r="AE120" s="27" t="s">
        <v>223</v>
      </c>
      <c r="AF120" s="27" t="s">
        <v>223</v>
      </c>
      <c r="AG120" s="28"/>
      <c r="AH120" s="28" t="s">
        <v>223</v>
      </c>
      <c r="AI120" s="29" t="s">
        <v>223</v>
      </c>
      <c r="AJ120" s="28" t="s">
        <v>545</v>
      </c>
      <c r="AK120" s="28" t="s">
        <v>223</v>
      </c>
      <c r="AL120" s="5" t="str">
        <f>IFERROR(IF(Q120=AK120,0,NETWORKDAYS(Q120,AK120,{"01/01/2026";"02/02/2026";"16/03/2026";"02/04/2026";"03/04/2026";"01/05/2026"})),"aun no se factura")</f>
        <v>aun no se factura</v>
      </c>
      <c r="AM120" s="4" t="str">
        <f>IFERROR(IF(OR(Q120="",AK120=""),"SIN DATO",IF(NETWORKDAYS(Q120,AK120,{"01/01/2026";"02/02/2026";"16/03/2026";"02/04/2026";"03/04/2026";"01/05/2026"})&lt;=1,"1 día o menos",IF(NETWORKDAYS(Q120,AK120,{"01/01/2026";"02/02/2026";"16/03/2026";"02/04/2026";"03/04/2026";"01/05/2026"})&lt;=3,"2 a 3 días",IF(NETWORKDAYS(Q120,AK120,{"01/01/2026";"02/02/2026";"16/03/2026";"02/04/2026";"03/04/2026";"01/05/2026"})&lt;=5,"4 a 5 días",IF(NETWORKDAYS(Q120,AK120,{"01/01/2026";"02/02/2026";"16/03/2026";"02/04/2026";"03/04/2026";"01/05/2026"})&lt;=10,"6 a 10 días",IF(NETWORKDAYS(Q120,AK120,{"01/01/2026";"02/02/2026";"16/03/2026";"02/04/2026";"03/04/2026";"01/05/2026"})&lt;=16,"11 a 15 días","más de 16 días")))))),"aun no se factura")</f>
        <v>SIN DATO</v>
      </c>
      <c r="AN120" s="4" t="str" cm="1">
        <f t="array" ref="AN120">IFERROR(
  IF(
    NETWORKDAYS(Q120,AK120,{"01/01/2026";"02/02/2026";"16/03/2026";"02/04/2026";"03/04/2026";"01/05/2026"}) &lt;=
    _xlfn.IFS(
      OR(TRIM(A120)="AICM", TRIM(A120)="AÉREO AICM"), 5,
      OR(TRIM(A120)="VERACRUZ", TRIM(A120)="MARÍTIMO VERACRUZ"), 6,
      OR(TRIM(A120)="AIFA", TRIM(A120)="AÉREO AIFA"), 7,
      AND(TRIM(A120)="CORRESPONSALIAS", TRIM(B120)="NUEVO LAREDO"), 6,
      TRIM(A120)="MANZANILLO", 10,
      TRIM(A120)="TOLUCA", 6,
      TRUE, 999
    ),
    "On Time",
    "Delayed"
  ),
  "Faltan fechas"
)</f>
        <v>Faltan fechas</v>
      </c>
      <c r="AO120" s="29">
        <v>0</v>
      </c>
      <c r="AP120" s="28" t="s">
        <v>548</v>
      </c>
      <c r="AQ120" s="27" t="s">
        <v>93</v>
      </c>
      <c r="AR120" s="27" t="s">
        <v>112</v>
      </c>
      <c r="AS120" s="27" t="s">
        <v>223</v>
      </c>
      <c r="AT120" s="27" t="s">
        <v>223</v>
      </c>
      <c r="AU120" s="29">
        <v>6001191</v>
      </c>
      <c r="AV120" s="27" t="s">
        <v>1309</v>
      </c>
      <c r="AW120" s="27" t="s">
        <v>1322</v>
      </c>
      <c r="AX120" s="27" t="s">
        <v>549</v>
      </c>
      <c r="AY120" s="27"/>
      <c r="AZ120" s="27" t="s">
        <v>1311</v>
      </c>
      <c r="BA120" s="27" t="s">
        <v>90</v>
      </c>
      <c r="BB120" s="27"/>
      <c r="BC120" s="27"/>
      <c r="BD120" s="27"/>
      <c r="BE120" s="27"/>
      <c r="BF120" s="27"/>
      <c r="BG120" s="27" t="s">
        <v>552</v>
      </c>
      <c r="BH120" s="27" t="s">
        <v>223</v>
      </c>
      <c r="BI120" s="27"/>
      <c r="BJ120" s="27"/>
      <c r="BK120" s="27" t="s">
        <v>554</v>
      </c>
      <c r="BL120" s="27">
        <v>0</v>
      </c>
      <c r="BM120" s="27">
        <v>0</v>
      </c>
      <c r="BN120" s="27" t="s">
        <v>223</v>
      </c>
      <c r="BO120" s="27">
        <v>90</v>
      </c>
      <c r="BP120" s="27" t="s">
        <v>1323</v>
      </c>
      <c r="BQ120" s="27" t="s">
        <v>563</v>
      </c>
      <c r="BR120" s="27"/>
      <c r="BS120" s="27" t="s">
        <v>558</v>
      </c>
      <c r="BT120" s="27" t="s">
        <v>558</v>
      </c>
      <c r="BU120" s="27" t="s">
        <v>105</v>
      </c>
      <c r="BV120" s="27" t="s">
        <v>105</v>
      </c>
      <c r="BW120" s="27">
        <v>0</v>
      </c>
      <c r="BX120" s="27" t="s">
        <v>1318</v>
      </c>
      <c r="BY120" s="27" t="s">
        <v>223</v>
      </c>
      <c r="BZ120" s="27" t="s">
        <v>223</v>
      </c>
      <c r="CA120" s="30" t="s">
        <v>223</v>
      </c>
    </row>
    <row r="121" spans="1:79" x14ac:dyDescent="0.25">
      <c r="A121" s="26" t="s">
        <v>577</v>
      </c>
      <c r="B121" s="27" t="s">
        <v>578</v>
      </c>
      <c r="C121" s="27" t="s">
        <v>1324</v>
      </c>
      <c r="D121" s="27">
        <v>430</v>
      </c>
      <c r="E121" s="28">
        <v>46261</v>
      </c>
      <c r="F121" s="27">
        <v>8</v>
      </c>
      <c r="G121" s="35">
        <v>46261</v>
      </c>
      <c r="H121" s="28">
        <v>46261</v>
      </c>
      <c r="I121" s="27">
        <v>0</v>
      </c>
      <c r="J121" s="27" t="s">
        <v>546</v>
      </c>
      <c r="K121" s="35">
        <v>46261</v>
      </c>
      <c r="L121" s="27">
        <v>0</v>
      </c>
      <c r="M121" s="37">
        <f>IFERROR(IF(G121=K121,0,NETWORKDAYS(G121,K121,{"01/01/2026";"02/02/2026";"16/03/2026";"02/04/2026";"03/04/2026";"01/05/2026"})),"Faltan Fechas")</f>
        <v>0</v>
      </c>
      <c r="N121" s="38" t="str">
        <f>IFERROR(IF(OR(G121="",K121=""),"SIN DATO",IF(NETWORKDAYS(G121,K121,{"01/01/2026";"02/02/2026";"16/03/2026";"02/04/2026";"03/04/2026";"01/05/2026"})&lt;=1,"1 día o menos",IF(NETWORKDAYS(G121,K121,{"01/01/2026";"02/02/2026";"16/03/2026";"02/04/2026";"03/04/2026";"01/05/2026"})&lt;=3,"2 a 3 días",IF(NETWORKDAYS(G121,K121,{"01/01/2026";"02/02/2026";"16/03/2026";"02/04/2026";"03/04/2026";"01/05/2026"})&lt;=5,"4 a 5 días",IF(NETWORKDAYS(G121,K121,{"01/01/2026";"02/02/2026";"16/03/2026";"02/04/2026";"03/04/2026";"01/05/2026"})&lt;=10,"6 a 10 días",IF(NETWORKDAYS(G121,K121,{"01/01/2026";"02/02/2026";"16/03/2026";"02/04/2026";"03/04/2026";"01/05/2026"})&lt;=16,"11 a 15 días","más de 16 días")))))),"Aun no se entrega")</f>
        <v>1 día o menos</v>
      </c>
      <c r="O121" s="37" t="str" cm="1">
        <f t="array" ref="O121">IFERROR(
  IF(
    NETWORKDAYS(G121,K121,{"01/01/2026";"02/02/2026";"16/03/2026";"02/04/2026";"03/04/2026";"01/05/2026"}) &lt;=
    _xlfn.IFS(
      OR(TRIM(A121)="AICM", TRIM(A121)="AÉREO AICM"), 5,
      OR(TRIM(A121)="VERACRUZ", TRIM(A121)="MARÍTIMO VERACRUZ"), 6,
      OR(TRIM(A121)="AIFA", TRIM(A121)="AÉREO AIFA"), 7,
      AND(TRIM(A121)="CORRESPONSALIAS", TRIM(B121)="NUEVO LAREDO"), 6,
      TRIM(A121)="MANZANILLO", 10,
      TRIM(A121)="TOLUCA", 6,
      TRUE, 999
    ),
    "On Time",
    "Delayed"
  ),
  "Faltan fechas"
)</f>
        <v>On Time</v>
      </c>
      <c r="P121" s="36" t="s">
        <v>546</v>
      </c>
      <c r="Q121" s="28" t="s">
        <v>223</v>
      </c>
      <c r="R121" s="39" t="str">
        <f>IFERROR(IF(G121=Q121,0,NETWORKDAYS(G121,Q121,{"01/01/2026";"02/02/2026";"16/03/2026";"02/04/2026";"03/04/2026";"01/05/2026"})),"Faltan Fechas")</f>
        <v>Faltan Fechas</v>
      </c>
      <c r="S121" s="40" t="str">
        <f>IFERROR(IF(OR(G121="",Q121=""),"SIN DATO",IF(NETWORKDAYS(G121,Q121,{"01/01/2026";"02/02/2026";"16/03/2026";"02/04/2026";"03/04/2026";"01/05/2026"})&lt;=1,"1 día o menos",IF(NETWORKDAYS(G121,Q121,{"01/01/2026";"02/02/2026";"16/03/2026";"02/04/2026";"03/04/2026";"01/05/2026"})&lt;=3,"2 a 3 días",IF(NETWORKDAYS(G121,Q121,{"01/01/2026";"02/02/2026";"16/03/2026";"02/04/2026";"03/04/2026";"01/05/2026"})&lt;=5,"4 a 5 días",IF(NETWORKDAYS(G121,Q121,{"01/01/2026";"02/02/2026";"16/03/2026";"02/04/2026";"03/04/2026";"01/05/2026"})&lt;=10,"6 a 10 días",IF(NETWORKDAYS(G121,Q121,{"01/01/2026";"02/02/2026";"16/03/2026";"02/04/2026";"03/04/2026";"01/05/2026"})&lt;=16,"11 a 15 días","más de 16 días")))))),"Aun no se entrega")</f>
        <v>Aun no se entrega</v>
      </c>
      <c r="T121" s="40" t="str" cm="1">
        <f t="array" ref="T121">IFERROR(
  IF(
    NETWORKDAYS(G121,Q121,{"01/01/2026";"02/02/2026";"16/03/2026";"02/04/2026";"03/04/2026";"01/05/2026"}) &lt;=
    _xlfn.IFS(
      OR(TRIM(A121)="AICM", TRIM(A121)="AÉREO AICM"), 5,
      OR(TRIM(A121)="VERACRUZ", TRIM(A121)="MARÍTIMO VERACRUZ"), 6,
      OR(TRIM(A121)="AIFA", TRIM(A121)="AÉREO AIFA"), 7,
      AND(TRIM(A121)="CORRESPONSALIAS", TRIM(B121)="NUEVO LAREDO"), 6,
      TRIM(A121)="MANZANILLO", 10,
      TRIM(A121)="TOLUCA", 6,
      TRUE, 999
    ),
    "On Time",
    "Delayed"
  ),
  "Faltan fechas"
)</f>
        <v>Faltan fechas</v>
      </c>
      <c r="U121" s="27">
        <v>0</v>
      </c>
      <c r="V121" s="27" t="s">
        <v>569</v>
      </c>
      <c r="W121" s="27">
        <v>0</v>
      </c>
      <c r="X121" s="27" t="s">
        <v>569</v>
      </c>
      <c r="Y121" s="27">
        <v>0</v>
      </c>
      <c r="Z121" s="27" t="s">
        <v>546</v>
      </c>
      <c r="AA121" s="27">
        <v>0</v>
      </c>
      <c r="AB121" s="27" t="s">
        <v>223</v>
      </c>
      <c r="AC121" s="27" t="s">
        <v>545</v>
      </c>
      <c r="AD121" s="28" t="s">
        <v>223</v>
      </c>
      <c r="AE121" s="27" t="s">
        <v>223</v>
      </c>
      <c r="AF121" s="27" t="s">
        <v>223</v>
      </c>
      <c r="AG121" s="28" t="s">
        <v>223</v>
      </c>
      <c r="AH121" s="28" t="s">
        <v>223</v>
      </c>
      <c r="AI121" s="29" t="s">
        <v>223</v>
      </c>
      <c r="AJ121" s="28" t="s">
        <v>545</v>
      </c>
      <c r="AK121" s="28" t="s">
        <v>223</v>
      </c>
      <c r="AL121" s="39">
        <f>IFERROR(IF(Q121=AK121,0,NETWORKDAYS(Q121,AK121,{"01/01/2026";"02/02/2026";"16/03/2026";"02/04/2026";"03/04/2026";"01/05/2026"})),"aun no se factura")</f>
        <v>0</v>
      </c>
      <c r="AM121" s="40" t="str">
        <f>IFERROR(IF(OR(Q121="",AK121=""),"SIN DATO",IF(NETWORKDAYS(Q121,AK121,{"01/01/2026";"02/02/2026";"16/03/2026";"02/04/2026";"03/04/2026";"01/05/2026"})&lt;=1,"1 día o menos",IF(NETWORKDAYS(Q121,AK121,{"01/01/2026";"02/02/2026";"16/03/2026";"02/04/2026";"03/04/2026";"01/05/2026"})&lt;=3,"2 a 3 días",IF(NETWORKDAYS(Q121,AK121,{"01/01/2026";"02/02/2026";"16/03/2026";"02/04/2026";"03/04/2026";"01/05/2026"})&lt;=5,"4 a 5 días",IF(NETWORKDAYS(Q121,AK121,{"01/01/2026";"02/02/2026";"16/03/2026";"02/04/2026";"03/04/2026";"01/05/2026"})&lt;=10,"6 a 10 días",IF(NETWORKDAYS(Q121,AK121,{"01/01/2026";"02/02/2026";"16/03/2026";"02/04/2026";"03/04/2026";"01/05/2026"})&lt;=16,"11 a 15 días","más de 16 días")))))),"aun no se factura")</f>
        <v>aun no se factura</v>
      </c>
      <c r="AN121" s="40" t="str" cm="1">
        <f t="array" ref="AN121">IFERROR(
  IF(
    NETWORKDAYS(Q121,AK121,{"01/01/2026";"02/02/2026";"16/03/2026";"02/04/2026";"03/04/2026";"01/05/2026"}) &lt;=
    _xlfn.IFS(
      OR(TRIM(A121)="AICM", TRIM(A121)="AÉREO AICM"), 5,
      OR(TRIM(A121)="VERACRUZ", TRIM(A121)="MARÍTIMO VERACRUZ"), 6,
      OR(TRIM(A121)="AIFA", TRIM(A121)="AÉREO AIFA"), 7,
      AND(TRIM(A121)="CORRESPONSALIAS", TRIM(B121)="NUEVO LAREDO"), 6,
      TRIM(A121)="MANZANILLO", 10,
      TRIM(A121)="TOLUCA", 6,
      TRUE, 999
    ),
    "On Time",
    "Delayed"
  ),
  "Faltan fechas"
)</f>
        <v>Faltan fechas</v>
      </c>
      <c r="AO121" s="29">
        <v>0</v>
      </c>
      <c r="AP121" s="28" t="s">
        <v>548</v>
      </c>
      <c r="AQ121" s="27" t="s">
        <v>342</v>
      </c>
      <c r="AR121" s="27" t="s">
        <v>223</v>
      </c>
      <c r="AS121" s="27" t="s">
        <v>223</v>
      </c>
      <c r="AT121" s="27" t="s">
        <v>223</v>
      </c>
      <c r="AU121" s="29">
        <v>6001249</v>
      </c>
      <c r="AV121" s="27" t="s">
        <v>1309</v>
      </c>
      <c r="AW121" s="27" t="s">
        <v>1322</v>
      </c>
      <c r="AX121" s="27" t="s">
        <v>549</v>
      </c>
      <c r="AY121" s="27"/>
      <c r="AZ121" s="27" t="s">
        <v>1311</v>
      </c>
      <c r="BA121" s="27" t="s">
        <v>90</v>
      </c>
      <c r="BB121" s="27" t="s">
        <v>223</v>
      </c>
      <c r="BC121" s="27" t="s">
        <v>223</v>
      </c>
      <c r="BD121" s="27" t="s">
        <v>223</v>
      </c>
      <c r="BE121" s="27" t="s">
        <v>223</v>
      </c>
      <c r="BF121" s="27" t="s">
        <v>223</v>
      </c>
      <c r="BG121" s="27" t="s">
        <v>552</v>
      </c>
      <c r="BH121" s="27" t="s">
        <v>223</v>
      </c>
      <c r="BI121" s="27" t="s">
        <v>223</v>
      </c>
      <c r="BJ121" s="27" t="s">
        <v>223</v>
      </c>
      <c r="BK121" s="27" t="s">
        <v>554</v>
      </c>
      <c r="BL121" s="27">
        <v>0</v>
      </c>
      <c r="BM121" s="27">
        <v>0</v>
      </c>
      <c r="BN121" s="27" t="s">
        <v>223</v>
      </c>
      <c r="BO121" s="27">
        <v>90</v>
      </c>
      <c r="BP121" s="27" t="s">
        <v>1323</v>
      </c>
      <c r="BQ121" s="27" t="s">
        <v>563</v>
      </c>
      <c r="BR121" s="27"/>
      <c r="BS121" s="27" t="s">
        <v>558</v>
      </c>
      <c r="BT121" s="27" t="s">
        <v>558</v>
      </c>
      <c r="BU121" s="27" t="s">
        <v>105</v>
      </c>
      <c r="BV121" s="27" t="s">
        <v>105</v>
      </c>
      <c r="BW121" s="31">
        <v>0</v>
      </c>
      <c r="BX121" s="31" t="s">
        <v>795</v>
      </c>
      <c r="BY121" s="31" t="s">
        <v>223</v>
      </c>
      <c r="BZ121" s="31" t="s">
        <v>223</v>
      </c>
      <c r="CA121" s="32" t="s">
        <v>223</v>
      </c>
    </row>
  </sheetData>
  <phoneticPr fontId="1" type="noConversion"/>
  <conditionalFormatting sqref="U56 V57:V121 Z57:Z121 O1:O121">
    <cfRule type="containsText" dxfId="2" priority="4" operator="containsText" text="on time">
      <formula>NOT(ISERROR(SEARCH("on time",O1)))</formula>
    </cfRule>
  </conditionalFormatting>
  <conditionalFormatting sqref="C1:C1048576">
    <cfRule type="duplicateValues" dxfId="1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836C-42E2-44BF-946C-F25087B30B88}">
  <dimension ref="A1:BT121"/>
  <sheetViews>
    <sheetView workbookViewId="0">
      <pane ySplit="1" topLeftCell="A2" activePane="bottomLeft" state="frozen"/>
      <selection pane="bottomLeft" sqref="A1:XFD1"/>
    </sheetView>
  </sheetViews>
  <sheetFormatPr baseColWidth="10" defaultRowHeight="15" x14ac:dyDescent="0.25"/>
  <cols>
    <col min="1" max="1" width="18.140625" bestFit="1" customWidth="1"/>
    <col min="2" max="2" width="20.28515625" bestFit="1" customWidth="1"/>
    <col min="3" max="3" width="15.7109375" bestFit="1" customWidth="1"/>
    <col min="4" max="4" width="29.140625" bestFit="1" customWidth="1"/>
    <col min="5" max="5" width="18.5703125" bestFit="1" customWidth="1"/>
    <col min="6" max="6" width="9.42578125" bestFit="1" customWidth="1"/>
    <col min="7" max="7" width="30.5703125" bestFit="1" customWidth="1"/>
    <col min="8" max="8" width="25.42578125" bestFit="1" customWidth="1"/>
    <col min="9" max="9" width="19.7109375" bestFit="1" customWidth="1"/>
    <col min="10" max="10" width="26.5703125" bestFit="1" customWidth="1"/>
    <col min="11" max="11" width="27.28515625" bestFit="1" customWidth="1"/>
    <col min="12" max="12" width="19.140625" bestFit="1" customWidth="1"/>
    <col min="13" max="13" width="27.42578125" bestFit="1" customWidth="1"/>
    <col min="14" max="14" width="27.28515625" bestFit="1" customWidth="1"/>
    <col min="15" max="15" width="35.28515625" bestFit="1" customWidth="1"/>
    <col min="16" max="16" width="16.7109375" bestFit="1" customWidth="1"/>
    <col min="17" max="17" width="22" bestFit="1" customWidth="1"/>
    <col min="18" max="18" width="31.42578125" bestFit="1" customWidth="1"/>
    <col min="19" max="19" width="34.85546875" bestFit="1" customWidth="1"/>
    <col min="20" max="20" width="21" bestFit="1" customWidth="1"/>
    <col min="21" max="21" width="29" bestFit="1" customWidth="1"/>
    <col min="22" max="22" width="20.7109375" bestFit="1" customWidth="1"/>
    <col min="23" max="23" width="28.7109375" bestFit="1" customWidth="1"/>
    <col min="24" max="24" width="27.5703125" bestFit="1" customWidth="1"/>
    <col min="25" max="25" width="36.7109375" bestFit="1" customWidth="1"/>
    <col min="26" max="26" width="24.42578125" bestFit="1" customWidth="1"/>
    <col min="27" max="27" width="33.85546875" bestFit="1" customWidth="1"/>
    <col min="28" max="28" width="22.7109375" bestFit="1" customWidth="1"/>
    <col min="29" max="29" width="27" bestFit="1" customWidth="1"/>
    <col min="30" max="30" width="28.85546875" bestFit="1" customWidth="1"/>
    <col min="31" max="31" width="26.140625" bestFit="1" customWidth="1"/>
    <col min="32" max="32" width="17.42578125" bestFit="1" customWidth="1"/>
    <col min="33" max="33" width="17.140625" bestFit="1" customWidth="1"/>
    <col min="34" max="34" width="20.85546875" bestFit="1" customWidth="1"/>
    <col min="35" max="35" width="19" bestFit="1" customWidth="1"/>
    <col min="36" max="36" width="20.42578125" bestFit="1" customWidth="1"/>
    <col min="37" max="37" width="15.7109375" bestFit="1" customWidth="1"/>
    <col min="38" max="38" width="15.42578125" bestFit="1" customWidth="1"/>
    <col min="39" max="39" width="23.7109375" bestFit="1" customWidth="1"/>
    <col min="40" max="40" width="106.7109375" bestFit="1" customWidth="1"/>
    <col min="41" max="41" width="24.140625" bestFit="1" customWidth="1"/>
    <col min="42" max="42" width="33.42578125" bestFit="1" customWidth="1"/>
    <col min="43" max="43" width="23.85546875" bestFit="1" customWidth="1"/>
    <col min="44" max="44" width="25.42578125" bestFit="1" customWidth="1"/>
    <col min="45" max="45" width="22.28515625" bestFit="1" customWidth="1"/>
    <col min="46" max="46" width="48.140625" bestFit="1" customWidth="1"/>
    <col min="47" max="47" width="255.7109375" bestFit="1" customWidth="1"/>
    <col min="48" max="48" width="191.140625" bestFit="1" customWidth="1"/>
    <col min="49" max="49" width="29" bestFit="1" customWidth="1"/>
    <col min="50" max="50" width="21.5703125" bestFit="1" customWidth="1"/>
    <col min="51" max="51" width="43.5703125" bestFit="1" customWidth="1"/>
    <col min="52" max="52" width="31.140625" bestFit="1" customWidth="1"/>
    <col min="53" max="53" width="27.140625" bestFit="1" customWidth="1"/>
    <col min="54" max="54" width="19.85546875" bestFit="1" customWidth="1"/>
    <col min="55" max="55" width="16.42578125" bestFit="1" customWidth="1"/>
    <col min="56" max="56" width="9.5703125" bestFit="1" customWidth="1"/>
    <col min="57" max="57" width="223.7109375" bestFit="1" customWidth="1"/>
    <col min="58" max="58" width="16.28515625" bestFit="1" customWidth="1"/>
    <col min="59" max="59" width="66.28515625" bestFit="1" customWidth="1"/>
    <col min="60" max="60" width="61.140625" bestFit="1" customWidth="1"/>
    <col min="61" max="61" width="34" bestFit="1" customWidth="1"/>
    <col min="62" max="62" width="121.42578125" bestFit="1" customWidth="1"/>
    <col min="63" max="63" width="53.42578125" bestFit="1" customWidth="1"/>
    <col min="64" max="64" width="31.7109375" bestFit="1" customWidth="1"/>
    <col min="65" max="65" width="37.7109375" bestFit="1" customWidth="1"/>
    <col min="66" max="66" width="17.42578125" bestFit="1" customWidth="1"/>
    <col min="67" max="67" width="20.28515625" bestFit="1" customWidth="1"/>
    <col min="68" max="68" width="17.7109375" bestFit="1" customWidth="1"/>
    <col min="69" max="69" width="10.5703125" bestFit="1" customWidth="1"/>
    <col min="70" max="70" width="24.7109375" bestFit="1" customWidth="1"/>
    <col min="71" max="72" width="14.42578125" bestFit="1" customWidth="1"/>
  </cols>
  <sheetData>
    <row r="1" spans="1:72" x14ac:dyDescent="0.25">
      <c r="A1" s="3" t="s">
        <v>469</v>
      </c>
      <c r="B1" s="3" t="s">
        <v>470</v>
      </c>
      <c r="C1" s="3" t="s">
        <v>471</v>
      </c>
      <c r="D1" s="3" t="s">
        <v>472</v>
      </c>
      <c r="E1" s="3" t="s">
        <v>473</v>
      </c>
      <c r="F1" s="3" t="s">
        <v>474</v>
      </c>
      <c r="G1" s="3" t="s">
        <v>475</v>
      </c>
      <c r="H1" s="3" t="s">
        <v>476</v>
      </c>
      <c r="I1" s="3" t="s">
        <v>477</v>
      </c>
      <c r="J1" s="3" t="s">
        <v>478</v>
      </c>
      <c r="K1" s="3" t="s">
        <v>479</v>
      </c>
      <c r="L1" s="3" t="s">
        <v>480</v>
      </c>
      <c r="M1" s="3" t="s">
        <v>712</v>
      </c>
      <c r="N1" s="3" t="s">
        <v>493</v>
      </c>
      <c r="O1" s="3" t="s">
        <v>494</v>
      </c>
      <c r="P1" s="3" t="s">
        <v>495</v>
      </c>
      <c r="Q1" s="3" t="s">
        <v>496</v>
      </c>
      <c r="R1" s="3" t="s">
        <v>497</v>
      </c>
      <c r="S1" s="3" t="s">
        <v>485</v>
      </c>
      <c r="T1" s="3" t="s">
        <v>489</v>
      </c>
      <c r="U1" s="3" t="s">
        <v>490</v>
      </c>
      <c r="V1" s="3" t="s">
        <v>491</v>
      </c>
      <c r="W1" s="3" t="s">
        <v>492</v>
      </c>
      <c r="X1" s="3" t="s">
        <v>498</v>
      </c>
      <c r="Y1" s="3" t="s">
        <v>499</v>
      </c>
      <c r="Z1" s="3" t="s">
        <v>500</v>
      </c>
      <c r="AA1" s="3" t="s">
        <v>504</v>
      </c>
      <c r="AB1" s="3" t="s">
        <v>501</v>
      </c>
      <c r="AC1" s="3" t="s">
        <v>502</v>
      </c>
      <c r="AD1" s="5" t="s">
        <v>503</v>
      </c>
      <c r="AE1" s="3" t="s">
        <v>505</v>
      </c>
      <c r="AF1" s="3" t="s">
        <v>509</v>
      </c>
      <c r="AG1" s="3" t="s">
        <v>510</v>
      </c>
      <c r="AH1" s="3" t="s">
        <v>511</v>
      </c>
      <c r="AI1" s="3" t="s">
        <v>89</v>
      </c>
      <c r="AJ1" s="3" t="s">
        <v>512</v>
      </c>
      <c r="AK1" s="3" t="s">
        <v>513</v>
      </c>
      <c r="AL1" s="3" t="s">
        <v>514</v>
      </c>
      <c r="AM1" s="3" t="s">
        <v>515</v>
      </c>
      <c r="AN1" s="3" t="s">
        <v>516</v>
      </c>
      <c r="AO1" s="3" t="s">
        <v>517</v>
      </c>
      <c r="AP1" s="3" t="s">
        <v>518</v>
      </c>
      <c r="AQ1" s="3" t="s">
        <v>519</v>
      </c>
      <c r="AR1" s="3" t="s">
        <v>97</v>
      </c>
      <c r="AS1" s="3" t="s">
        <v>520</v>
      </c>
      <c r="AT1" s="3" t="s">
        <v>521</v>
      </c>
      <c r="AU1" s="3" t="s">
        <v>522</v>
      </c>
      <c r="AV1" s="3" t="s">
        <v>523</v>
      </c>
      <c r="AW1" s="3" t="s">
        <v>524</v>
      </c>
      <c r="AX1" s="3" t="s">
        <v>525</v>
      </c>
      <c r="AY1" s="3" t="s">
        <v>526</v>
      </c>
      <c r="AZ1" s="3" t="s">
        <v>527</v>
      </c>
      <c r="BA1" s="3" t="s">
        <v>528</v>
      </c>
      <c r="BB1" s="3" t="s">
        <v>529</v>
      </c>
      <c r="BC1" s="3" t="s">
        <v>530</v>
      </c>
      <c r="BD1" s="3" t="s">
        <v>531</v>
      </c>
      <c r="BE1" s="3" t="s">
        <v>532</v>
      </c>
      <c r="BF1" s="3" t="s">
        <v>533</v>
      </c>
      <c r="BG1" s="3" t="s">
        <v>534</v>
      </c>
      <c r="BH1" s="3" t="s">
        <v>535</v>
      </c>
      <c r="BI1" s="3" t="s">
        <v>536</v>
      </c>
      <c r="BJ1" s="3" t="s">
        <v>537</v>
      </c>
      <c r="BK1" s="3" t="s">
        <v>538</v>
      </c>
      <c r="BL1" s="3" t="s">
        <v>539</v>
      </c>
      <c r="BM1" s="3" t="s">
        <v>540</v>
      </c>
      <c r="BN1" s="3" t="s">
        <v>713</v>
      </c>
      <c r="BO1" s="3" t="s">
        <v>714</v>
      </c>
      <c r="BP1" s="3" t="s">
        <v>715</v>
      </c>
      <c r="BQ1" s="3" t="s">
        <v>716</v>
      </c>
      <c r="BR1" s="3" t="s">
        <v>717</v>
      </c>
      <c r="BS1" s="3" t="s">
        <v>1325</v>
      </c>
      <c r="BT1" s="3" t="s">
        <v>1326</v>
      </c>
    </row>
    <row r="2" spans="1:72" x14ac:dyDescent="0.25">
      <c r="A2" s="3" t="s">
        <v>565</v>
      </c>
      <c r="B2" s="3" t="s">
        <v>707</v>
      </c>
      <c r="C2" s="3" t="s">
        <v>824</v>
      </c>
      <c r="D2" s="3">
        <v>160</v>
      </c>
      <c r="E2" s="4" t="s">
        <v>223</v>
      </c>
      <c r="F2" s="3">
        <v>1</v>
      </c>
      <c r="G2" s="4" t="s">
        <v>223</v>
      </c>
      <c r="H2" s="4">
        <v>46042</v>
      </c>
      <c r="I2" s="3" t="s">
        <v>223</v>
      </c>
      <c r="J2" s="3" t="s">
        <v>568</v>
      </c>
      <c r="K2" s="4">
        <v>46044</v>
      </c>
      <c r="L2" s="3" t="s">
        <v>223</v>
      </c>
      <c r="M2" s="3" t="s">
        <v>545</v>
      </c>
      <c r="N2" s="3">
        <v>0</v>
      </c>
      <c r="O2" s="3" t="s">
        <v>569</v>
      </c>
      <c r="P2" s="3">
        <v>0</v>
      </c>
      <c r="Q2" s="3">
        <v>-46042</v>
      </c>
      <c r="R2" s="3" t="s">
        <v>545</v>
      </c>
      <c r="S2" s="4"/>
      <c r="T2" s="3">
        <v>0</v>
      </c>
      <c r="U2" s="3" t="s">
        <v>569</v>
      </c>
      <c r="V2" s="3">
        <v>0</v>
      </c>
      <c r="W2" s="3" t="s">
        <v>569</v>
      </c>
      <c r="X2" s="4">
        <v>46220</v>
      </c>
      <c r="Y2" s="3" t="s">
        <v>223</v>
      </c>
      <c r="Z2" s="3">
        <v>0</v>
      </c>
      <c r="AA2" s="4" t="s">
        <v>545</v>
      </c>
      <c r="AB2" s="4">
        <v>46220</v>
      </c>
      <c r="AC2" s="4">
        <v>46220</v>
      </c>
      <c r="AD2" s="5">
        <v>0</v>
      </c>
      <c r="AE2" s="4">
        <v>46220</v>
      </c>
      <c r="AF2" s="4">
        <v>0</v>
      </c>
      <c r="AG2" s="4" t="s">
        <v>548</v>
      </c>
      <c r="AH2" s="3" t="s">
        <v>93</v>
      </c>
      <c r="AI2" s="3" t="s">
        <v>285</v>
      </c>
      <c r="AJ2" s="3" t="s">
        <v>223</v>
      </c>
      <c r="AK2" s="3" t="s">
        <v>223</v>
      </c>
      <c r="AL2" s="3">
        <v>6000592</v>
      </c>
      <c r="AM2" s="3" t="s">
        <v>92</v>
      </c>
      <c r="AN2" s="3" t="s">
        <v>825</v>
      </c>
      <c r="AO2" s="3" t="s">
        <v>549</v>
      </c>
      <c r="AP2" s="3"/>
      <c r="AQ2" s="3" t="s">
        <v>550</v>
      </c>
      <c r="AR2" s="3" t="s">
        <v>90</v>
      </c>
      <c r="AS2" s="3"/>
      <c r="AT2" s="3"/>
      <c r="AU2" s="3"/>
      <c r="AV2" s="3"/>
      <c r="AW2" s="3" t="s">
        <v>397</v>
      </c>
      <c r="AX2" s="3" t="s">
        <v>552</v>
      </c>
      <c r="AY2" s="3" t="s">
        <v>223</v>
      </c>
      <c r="AZ2" s="3"/>
      <c r="BA2" s="3"/>
      <c r="BB2" s="3" t="s">
        <v>554</v>
      </c>
      <c r="BC2" s="3" t="s">
        <v>223</v>
      </c>
      <c r="BD2" s="3" t="s">
        <v>223</v>
      </c>
      <c r="BE2" s="3" t="s">
        <v>223</v>
      </c>
      <c r="BF2" s="3">
        <v>90</v>
      </c>
      <c r="BG2" s="3" t="s">
        <v>223</v>
      </c>
      <c r="BH2" s="3" t="s">
        <v>223</v>
      </c>
      <c r="BI2" s="3"/>
      <c r="BJ2" s="3" t="s">
        <v>223</v>
      </c>
      <c r="BK2" s="3" t="s">
        <v>223</v>
      </c>
      <c r="BL2" s="3" t="s">
        <v>223</v>
      </c>
      <c r="BM2" s="3" t="s">
        <v>223</v>
      </c>
      <c r="BN2" s="3" t="s">
        <v>223</v>
      </c>
      <c r="BO2" s="3" t="s">
        <v>223</v>
      </c>
      <c r="BP2" s="3" t="s">
        <v>223</v>
      </c>
      <c r="BQ2" s="3" t="s">
        <v>223</v>
      </c>
      <c r="BR2" s="3" t="s">
        <v>826</v>
      </c>
    </row>
    <row r="3" spans="1:72" x14ac:dyDescent="0.25">
      <c r="A3" s="3" t="s">
        <v>565</v>
      </c>
      <c r="B3" s="3" t="s">
        <v>566</v>
      </c>
      <c r="C3" s="3" t="s">
        <v>567</v>
      </c>
      <c r="D3" s="3">
        <v>240</v>
      </c>
      <c r="E3" s="4" t="s">
        <v>223</v>
      </c>
      <c r="F3" s="3">
        <v>1</v>
      </c>
      <c r="G3" s="4">
        <v>46024</v>
      </c>
      <c r="H3" s="4">
        <v>46024</v>
      </c>
      <c r="I3" s="3">
        <v>0</v>
      </c>
      <c r="J3" s="3" t="s">
        <v>546</v>
      </c>
      <c r="K3" s="4">
        <v>46027</v>
      </c>
      <c r="L3" s="3">
        <v>1</v>
      </c>
      <c r="M3" s="3" t="s">
        <v>546</v>
      </c>
      <c r="N3" s="3">
        <v>0</v>
      </c>
      <c r="O3" s="3" t="s">
        <v>569</v>
      </c>
      <c r="P3" s="3">
        <v>0</v>
      </c>
      <c r="Q3" s="3">
        <v>0</v>
      </c>
      <c r="R3" s="3" t="s">
        <v>546</v>
      </c>
      <c r="S3" s="4">
        <v>46027</v>
      </c>
      <c r="T3" s="3">
        <v>1</v>
      </c>
      <c r="U3" s="3" t="s">
        <v>546</v>
      </c>
      <c r="V3" s="3">
        <v>18</v>
      </c>
      <c r="W3" s="3" t="s">
        <v>547</v>
      </c>
      <c r="X3" s="4">
        <v>46050</v>
      </c>
      <c r="Y3" s="3">
        <v>13</v>
      </c>
      <c r="Z3" s="3">
        <v>0</v>
      </c>
      <c r="AA3" s="4" t="s">
        <v>547</v>
      </c>
      <c r="AB3" s="4">
        <v>46044</v>
      </c>
      <c r="AC3" s="4">
        <v>46050</v>
      </c>
      <c r="AD3" s="5">
        <v>4</v>
      </c>
      <c r="AE3" s="4">
        <v>46050</v>
      </c>
      <c r="AF3" s="4">
        <v>1</v>
      </c>
      <c r="AG3" s="4" t="s">
        <v>548</v>
      </c>
      <c r="AH3" s="3" t="s">
        <v>93</v>
      </c>
      <c r="AI3" s="3" t="s">
        <v>285</v>
      </c>
      <c r="AJ3" s="3" t="s">
        <v>223</v>
      </c>
      <c r="AK3" s="3" t="s">
        <v>223</v>
      </c>
      <c r="AL3" s="3">
        <v>6014299</v>
      </c>
      <c r="AM3" s="3" t="s">
        <v>92</v>
      </c>
      <c r="AN3" s="3" t="s">
        <v>570</v>
      </c>
      <c r="AO3" s="3" t="s">
        <v>549</v>
      </c>
      <c r="AP3" s="3"/>
      <c r="AQ3" s="3" t="s">
        <v>550</v>
      </c>
      <c r="AR3" s="3" t="s">
        <v>90</v>
      </c>
      <c r="AS3" s="3"/>
      <c r="AT3" s="3"/>
      <c r="AU3" s="3"/>
      <c r="AV3" s="3"/>
      <c r="AW3" s="3"/>
      <c r="AX3" s="3" t="s">
        <v>552</v>
      </c>
      <c r="AY3" s="3" t="s">
        <v>223</v>
      </c>
      <c r="AZ3" s="3"/>
      <c r="BA3" s="3"/>
      <c r="BB3" s="3" t="s">
        <v>554</v>
      </c>
      <c r="BC3" s="3" t="s">
        <v>223</v>
      </c>
      <c r="BD3" s="3" t="s">
        <v>223</v>
      </c>
      <c r="BE3" s="3" t="s">
        <v>223</v>
      </c>
      <c r="BF3" s="3">
        <v>90</v>
      </c>
      <c r="BG3" s="3" t="s">
        <v>223</v>
      </c>
      <c r="BH3" s="3" t="s">
        <v>223</v>
      </c>
      <c r="BI3" s="3"/>
      <c r="BJ3" s="3" t="s">
        <v>223</v>
      </c>
      <c r="BK3" s="3" t="s">
        <v>223</v>
      </c>
      <c r="BL3" s="3" t="s">
        <v>223</v>
      </c>
      <c r="BM3" s="3" t="s">
        <v>223</v>
      </c>
      <c r="BN3" s="3" t="s">
        <v>223</v>
      </c>
      <c r="BO3" s="3" t="s">
        <v>223</v>
      </c>
      <c r="BP3" s="3" t="s">
        <v>223</v>
      </c>
      <c r="BQ3" s="3" t="s">
        <v>223</v>
      </c>
      <c r="BR3" s="3" t="s">
        <v>833</v>
      </c>
    </row>
    <row r="4" spans="1:72" x14ac:dyDescent="0.25">
      <c r="A4" s="3" t="s">
        <v>565</v>
      </c>
      <c r="B4" s="3" t="s">
        <v>566</v>
      </c>
      <c r="C4" s="3" t="s">
        <v>571</v>
      </c>
      <c r="D4" s="3">
        <v>240</v>
      </c>
      <c r="E4" s="4" t="s">
        <v>223</v>
      </c>
      <c r="F4" s="3">
        <v>1</v>
      </c>
      <c r="G4" s="4">
        <v>46050</v>
      </c>
      <c r="H4" s="4">
        <v>46050</v>
      </c>
      <c r="I4" s="3">
        <v>0</v>
      </c>
      <c r="J4" s="3" t="s">
        <v>546</v>
      </c>
      <c r="K4" s="4">
        <v>46050</v>
      </c>
      <c r="L4" s="3">
        <v>0</v>
      </c>
      <c r="M4" s="3" t="s">
        <v>546</v>
      </c>
      <c r="N4" s="3">
        <v>0</v>
      </c>
      <c r="O4" s="3" t="s">
        <v>569</v>
      </c>
      <c r="P4" s="3">
        <v>0</v>
      </c>
      <c r="Q4" s="3">
        <v>2</v>
      </c>
      <c r="R4" s="3" t="s">
        <v>579</v>
      </c>
      <c r="S4" s="4">
        <v>46052</v>
      </c>
      <c r="T4" s="3">
        <v>2</v>
      </c>
      <c r="U4" s="3" t="s">
        <v>579</v>
      </c>
      <c r="V4" s="3">
        <v>14</v>
      </c>
      <c r="W4" s="3" t="s">
        <v>559</v>
      </c>
      <c r="X4" s="4">
        <v>46070</v>
      </c>
      <c r="Y4" s="3">
        <v>12</v>
      </c>
      <c r="Z4" s="3">
        <v>0</v>
      </c>
      <c r="AA4" s="4" t="s">
        <v>547</v>
      </c>
      <c r="AB4" s="4">
        <v>46070</v>
      </c>
      <c r="AC4" s="4">
        <v>46070</v>
      </c>
      <c r="AD4" s="5">
        <v>0</v>
      </c>
      <c r="AE4" s="4">
        <v>46070</v>
      </c>
      <c r="AF4" s="4">
        <v>1</v>
      </c>
      <c r="AG4" s="4" t="s">
        <v>548</v>
      </c>
      <c r="AH4" s="3" t="s">
        <v>93</v>
      </c>
      <c r="AI4" s="3" t="s">
        <v>285</v>
      </c>
      <c r="AJ4" s="3" t="s">
        <v>223</v>
      </c>
      <c r="AK4" s="3" t="s">
        <v>223</v>
      </c>
      <c r="AL4" s="3">
        <v>6015396</v>
      </c>
      <c r="AM4" s="3" t="s">
        <v>92</v>
      </c>
      <c r="AN4" s="3" t="s">
        <v>572</v>
      </c>
      <c r="AO4" s="3" t="s">
        <v>549</v>
      </c>
      <c r="AP4" s="3"/>
      <c r="AQ4" s="3" t="s">
        <v>550</v>
      </c>
      <c r="AR4" s="3" t="s">
        <v>90</v>
      </c>
      <c r="AS4" s="3"/>
      <c r="AT4" s="3"/>
      <c r="AU4" s="3"/>
      <c r="AV4" s="3"/>
      <c r="AW4" s="3" t="s">
        <v>397</v>
      </c>
      <c r="AX4" s="3" t="s">
        <v>552</v>
      </c>
      <c r="AY4" s="3" t="s">
        <v>223</v>
      </c>
      <c r="AZ4" s="3"/>
      <c r="BA4" s="3"/>
      <c r="BB4" s="3" t="s">
        <v>554</v>
      </c>
      <c r="BC4" s="3" t="s">
        <v>223</v>
      </c>
      <c r="BD4" s="3" t="s">
        <v>223</v>
      </c>
      <c r="BE4" s="3" t="s">
        <v>223</v>
      </c>
      <c r="BF4" s="3">
        <v>90</v>
      </c>
      <c r="BG4" s="3" t="s">
        <v>223</v>
      </c>
      <c r="BH4" s="3" t="s">
        <v>223</v>
      </c>
      <c r="BI4" s="3"/>
      <c r="BJ4" s="3" t="s">
        <v>223</v>
      </c>
      <c r="BK4" s="3" t="s">
        <v>223</v>
      </c>
      <c r="BL4" s="3" t="s">
        <v>223</v>
      </c>
      <c r="BM4" s="3" t="s">
        <v>223</v>
      </c>
      <c r="BN4" s="3" t="s">
        <v>223</v>
      </c>
      <c r="BO4" s="3" t="s">
        <v>223</v>
      </c>
      <c r="BP4" s="3" t="s">
        <v>223</v>
      </c>
      <c r="BQ4" s="3" t="s">
        <v>223</v>
      </c>
      <c r="BR4" s="3" t="s">
        <v>834</v>
      </c>
    </row>
    <row r="5" spans="1:72" x14ac:dyDescent="0.25">
      <c r="A5" s="3" t="s">
        <v>577</v>
      </c>
      <c r="B5" s="3" t="s">
        <v>578</v>
      </c>
      <c r="C5" s="3" t="s">
        <v>113</v>
      </c>
      <c r="D5" s="3">
        <v>430</v>
      </c>
      <c r="E5" s="4">
        <v>46029</v>
      </c>
      <c r="F5" s="3">
        <v>1</v>
      </c>
      <c r="G5" s="4">
        <v>46025</v>
      </c>
      <c r="H5" s="4">
        <v>46029</v>
      </c>
      <c r="I5" s="3">
        <v>2</v>
      </c>
      <c r="J5" s="3" t="s">
        <v>579</v>
      </c>
      <c r="K5" s="4">
        <v>46030</v>
      </c>
      <c r="L5" s="3">
        <v>3</v>
      </c>
      <c r="M5" s="3" t="s">
        <v>579</v>
      </c>
      <c r="N5" s="3">
        <v>1</v>
      </c>
      <c r="O5" s="3" t="s">
        <v>546</v>
      </c>
      <c r="P5" s="3">
        <v>1</v>
      </c>
      <c r="Q5" s="3">
        <v>1</v>
      </c>
      <c r="R5" s="3" t="s">
        <v>546</v>
      </c>
      <c r="S5" s="4">
        <v>46031</v>
      </c>
      <c r="T5" s="3">
        <v>4</v>
      </c>
      <c r="U5" s="3" t="s">
        <v>543</v>
      </c>
      <c r="V5" s="3">
        <v>9</v>
      </c>
      <c r="W5" s="3" t="s">
        <v>544</v>
      </c>
      <c r="X5" s="4">
        <v>46038</v>
      </c>
      <c r="Y5" s="3">
        <v>5</v>
      </c>
      <c r="Z5" s="3">
        <v>5</v>
      </c>
      <c r="AA5" s="4" t="s">
        <v>544</v>
      </c>
      <c r="AB5" s="4">
        <v>46038</v>
      </c>
      <c r="AC5" s="4">
        <v>46038</v>
      </c>
      <c r="AD5" s="5">
        <v>0</v>
      </c>
      <c r="AE5" s="4">
        <v>46038</v>
      </c>
      <c r="AF5" s="4">
        <v>1</v>
      </c>
      <c r="AG5" s="4" t="s">
        <v>548</v>
      </c>
      <c r="AH5" s="3" t="s">
        <v>93</v>
      </c>
      <c r="AI5" s="3" t="s">
        <v>112</v>
      </c>
      <c r="AJ5" s="3" t="s">
        <v>116</v>
      </c>
      <c r="AK5" s="3" t="s">
        <v>223</v>
      </c>
      <c r="AL5" s="3">
        <v>6000072</v>
      </c>
      <c r="AM5" s="3" t="s">
        <v>92</v>
      </c>
      <c r="AN5" s="3" t="s">
        <v>115</v>
      </c>
      <c r="AO5" s="3" t="s">
        <v>549</v>
      </c>
      <c r="AP5" s="3"/>
      <c r="AQ5" s="3" t="s">
        <v>550</v>
      </c>
      <c r="AR5" s="3" t="s">
        <v>90</v>
      </c>
      <c r="AS5" s="3"/>
      <c r="AT5" s="3" t="s">
        <v>117</v>
      </c>
      <c r="AU5" s="3"/>
      <c r="AV5" s="3" t="s">
        <v>117</v>
      </c>
      <c r="AW5" s="3" t="s">
        <v>576</v>
      </c>
      <c r="AX5" s="3" t="s">
        <v>552</v>
      </c>
      <c r="AY5" s="3" t="s">
        <v>580</v>
      </c>
      <c r="AZ5" s="3"/>
      <c r="BA5" s="3" t="s">
        <v>581</v>
      </c>
      <c r="BB5" s="3" t="s">
        <v>554</v>
      </c>
      <c r="BC5" s="3">
        <v>0</v>
      </c>
      <c r="BD5" s="3">
        <v>0.99</v>
      </c>
      <c r="BE5" s="3" t="s">
        <v>845</v>
      </c>
      <c r="BF5" s="3">
        <v>90</v>
      </c>
      <c r="BG5" s="3" t="s">
        <v>584</v>
      </c>
      <c r="BH5" s="3" t="s">
        <v>585</v>
      </c>
      <c r="BI5" s="3"/>
      <c r="BJ5" s="3" t="s">
        <v>586</v>
      </c>
      <c r="BK5" s="3" t="s">
        <v>558</v>
      </c>
      <c r="BL5" s="3" t="s">
        <v>587</v>
      </c>
      <c r="BM5" s="3" t="s">
        <v>105</v>
      </c>
      <c r="BN5" s="3">
        <v>3997122</v>
      </c>
      <c r="BO5" s="3" t="s">
        <v>802</v>
      </c>
      <c r="BP5" s="3" t="s">
        <v>223</v>
      </c>
      <c r="BQ5" s="3" t="s">
        <v>223</v>
      </c>
      <c r="BR5" s="3" t="s">
        <v>846</v>
      </c>
    </row>
    <row r="6" spans="1:72" x14ac:dyDescent="0.25">
      <c r="A6" s="3" t="s">
        <v>577</v>
      </c>
      <c r="B6" s="3" t="s">
        <v>578</v>
      </c>
      <c r="C6" s="3" t="s">
        <v>91</v>
      </c>
      <c r="D6" s="3">
        <v>430</v>
      </c>
      <c r="E6" s="4">
        <v>46027</v>
      </c>
      <c r="F6" s="3">
        <v>1</v>
      </c>
      <c r="G6" s="4">
        <v>46006</v>
      </c>
      <c r="H6" s="4">
        <v>46027</v>
      </c>
      <c r="I6" s="3">
        <v>15</v>
      </c>
      <c r="J6" s="3" t="s">
        <v>559</v>
      </c>
      <c r="K6" s="4">
        <v>46028</v>
      </c>
      <c r="L6" s="3">
        <v>16</v>
      </c>
      <c r="M6" s="3" t="s">
        <v>568</v>
      </c>
      <c r="N6" s="3">
        <v>1</v>
      </c>
      <c r="O6" s="3" t="s">
        <v>546</v>
      </c>
      <c r="P6" s="3">
        <v>1</v>
      </c>
      <c r="Q6" s="3">
        <v>1</v>
      </c>
      <c r="R6" s="3" t="s">
        <v>546</v>
      </c>
      <c r="S6" s="4">
        <v>46029</v>
      </c>
      <c r="T6" s="3">
        <v>17</v>
      </c>
      <c r="U6" s="3" t="s">
        <v>588</v>
      </c>
      <c r="V6" s="3">
        <v>21</v>
      </c>
      <c r="W6" s="3" t="s">
        <v>547</v>
      </c>
      <c r="X6" s="4">
        <v>46035</v>
      </c>
      <c r="Y6" s="3">
        <v>4</v>
      </c>
      <c r="Z6" s="3">
        <v>4</v>
      </c>
      <c r="AA6" s="4" t="s">
        <v>544</v>
      </c>
      <c r="AB6" s="4">
        <v>46035</v>
      </c>
      <c r="AC6" s="4">
        <v>46035</v>
      </c>
      <c r="AD6" s="5">
        <v>0</v>
      </c>
      <c r="AE6" s="4">
        <v>46035</v>
      </c>
      <c r="AF6" s="4">
        <v>1</v>
      </c>
      <c r="AG6" s="4" t="s">
        <v>548</v>
      </c>
      <c r="AH6" s="3" t="s">
        <v>93</v>
      </c>
      <c r="AI6" s="3" t="s">
        <v>112</v>
      </c>
      <c r="AJ6" s="3" t="s">
        <v>101</v>
      </c>
      <c r="AK6" s="3" t="s">
        <v>223</v>
      </c>
      <c r="AL6" s="3">
        <v>6000083</v>
      </c>
      <c r="AM6" s="3" t="s">
        <v>92</v>
      </c>
      <c r="AN6" s="3" t="s">
        <v>96</v>
      </c>
      <c r="AO6" s="3" t="s">
        <v>549</v>
      </c>
      <c r="AP6" s="3"/>
      <c r="AQ6" s="3" t="s">
        <v>550</v>
      </c>
      <c r="AR6" s="3" t="s">
        <v>90</v>
      </c>
      <c r="AS6" s="3"/>
      <c r="AT6" s="3" t="s">
        <v>107</v>
      </c>
      <c r="AU6" s="3"/>
      <c r="AV6" s="3" t="s">
        <v>107</v>
      </c>
      <c r="AW6" s="3" t="s">
        <v>576</v>
      </c>
      <c r="AX6" s="3" t="s">
        <v>552</v>
      </c>
      <c r="AY6" s="3" t="s">
        <v>580</v>
      </c>
      <c r="AZ6" s="3"/>
      <c r="BA6" s="3" t="s">
        <v>589</v>
      </c>
      <c r="BB6" s="3" t="s">
        <v>554</v>
      </c>
      <c r="BC6" s="3">
        <v>0</v>
      </c>
      <c r="BD6" s="3">
        <v>99</v>
      </c>
      <c r="BE6" s="3" t="s">
        <v>590</v>
      </c>
      <c r="BF6" s="3">
        <v>90</v>
      </c>
      <c r="BG6" s="3" t="s">
        <v>847</v>
      </c>
      <c r="BH6" s="3" t="s">
        <v>563</v>
      </c>
      <c r="BI6" s="3"/>
      <c r="BJ6" s="3" t="s">
        <v>591</v>
      </c>
      <c r="BK6" s="3" t="s">
        <v>558</v>
      </c>
      <c r="BL6" s="3" t="s">
        <v>104</v>
      </c>
      <c r="BM6" s="3" t="s">
        <v>105</v>
      </c>
      <c r="BN6" s="3">
        <v>12581182</v>
      </c>
      <c r="BO6" s="3" t="s">
        <v>848</v>
      </c>
      <c r="BP6" s="3" t="s">
        <v>223</v>
      </c>
      <c r="BQ6" s="3" t="s">
        <v>223</v>
      </c>
      <c r="BR6" s="3" t="s">
        <v>849</v>
      </c>
    </row>
    <row r="7" spans="1:72" x14ac:dyDescent="0.25">
      <c r="A7" s="3" t="s">
        <v>577</v>
      </c>
      <c r="B7" s="3" t="s">
        <v>578</v>
      </c>
      <c r="C7" s="3" t="s">
        <v>165</v>
      </c>
      <c r="D7" s="3">
        <v>430</v>
      </c>
      <c r="E7" s="4">
        <v>46038</v>
      </c>
      <c r="F7" s="3">
        <v>1</v>
      </c>
      <c r="G7" s="4">
        <v>46006</v>
      </c>
      <c r="H7" s="4">
        <v>46038</v>
      </c>
      <c r="I7" s="3">
        <v>24</v>
      </c>
      <c r="J7" s="3" t="s">
        <v>568</v>
      </c>
      <c r="K7" s="4">
        <v>46041</v>
      </c>
      <c r="L7" s="3">
        <v>25</v>
      </c>
      <c r="M7" s="3" t="s">
        <v>568</v>
      </c>
      <c r="N7" s="3">
        <v>1</v>
      </c>
      <c r="O7" s="3" t="s">
        <v>546</v>
      </c>
      <c r="P7" s="3">
        <v>1</v>
      </c>
      <c r="Q7" s="3">
        <v>1</v>
      </c>
      <c r="R7" s="3" t="s">
        <v>546</v>
      </c>
      <c r="S7" s="4">
        <v>46042</v>
      </c>
      <c r="T7" s="3">
        <v>26</v>
      </c>
      <c r="U7" s="3" t="s">
        <v>588</v>
      </c>
      <c r="V7" s="3">
        <v>28</v>
      </c>
      <c r="W7" s="3" t="s">
        <v>547</v>
      </c>
      <c r="X7" s="4">
        <v>46044</v>
      </c>
      <c r="Y7" s="3">
        <v>2</v>
      </c>
      <c r="Z7" s="3">
        <v>2</v>
      </c>
      <c r="AA7" s="4" t="s">
        <v>579</v>
      </c>
      <c r="AB7" s="4">
        <v>46044</v>
      </c>
      <c r="AC7" s="4">
        <v>46044</v>
      </c>
      <c r="AD7" s="5">
        <v>0</v>
      </c>
      <c r="AE7" s="4">
        <v>46044</v>
      </c>
      <c r="AF7" s="4">
        <v>1</v>
      </c>
      <c r="AG7" s="4" t="s">
        <v>548</v>
      </c>
      <c r="AH7" s="3" t="s">
        <v>93</v>
      </c>
      <c r="AI7" s="3" t="s">
        <v>112</v>
      </c>
      <c r="AJ7" s="3" t="s">
        <v>168</v>
      </c>
      <c r="AK7" s="3" t="s">
        <v>223</v>
      </c>
      <c r="AL7" s="3">
        <v>6000133</v>
      </c>
      <c r="AM7" s="3" t="s">
        <v>92</v>
      </c>
      <c r="AN7" s="3" t="s">
        <v>167</v>
      </c>
      <c r="AO7" s="3" t="s">
        <v>549</v>
      </c>
      <c r="AP7" s="3"/>
      <c r="AQ7" s="3" t="s">
        <v>550</v>
      </c>
      <c r="AR7" s="3" t="s">
        <v>90</v>
      </c>
      <c r="AS7" s="3"/>
      <c r="AT7" s="3" t="s">
        <v>107</v>
      </c>
      <c r="AU7" s="3" t="s">
        <v>594</v>
      </c>
      <c r="AV7" s="3" t="s">
        <v>107</v>
      </c>
      <c r="AW7" s="3" t="s">
        <v>576</v>
      </c>
      <c r="AX7" s="3" t="s">
        <v>552</v>
      </c>
      <c r="AY7" s="3" t="s">
        <v>592</v>
      </c>
      <c r="AZ7" s="3" t="s">
        <v>595</v>
      </c>
      <c r="BA7" s="3"/>
      <c r="BB7" s="3" t="s">
        <v>554</v>
      </c>
      <c r="BC7" s="3">
        <v>0</v>
      </c>
      <c r="BD7" s="3">
        <v>99</v>
      </c>
      <c r="BE7" s="3" t="s">
        <v>596</v>
      </c>
      <c r="BF7" s="3">
        <v>90</v>
      </c>
      <c r="BG7" s="3" t="s">
        <v>853</v>
      </c>
      <c r="BH7" s="3" t="s">
        <v>563</v>
      </c>
      <c r="BI7" s="3"/>
      <c r="BJ7" s="3" t="s">
        <v>558</v>
      </c>
      <c r="BK7" s="3" t="s">
        <v>558</v>
      </c>
      <c r="BL7" s="3" t="s">
        <v>105</v>
      </c>
      <c r="BM7" s="3" t="s">
        <v>105</v>
      </c>
      <c r="BN7" s="3">
        <v>4939600</v>
      </c>
      <c r="BO7" s="3" t="s">
        <v>802</v>
      </c>
      <c r="BP7" s="3" t="s">
        <v>223</v>
      </c>
      <c r="BQ7" s="3" t="s">
        <v>223</v>
      </c>
      <c r="BR7" s="3" t="s">
        <v>854</v>
      </c>
    </row>
    <row r="8" spans="1:72" x14ac:dyDescent="0.25">
      <c r="A8" s="3" t="s">
        <v>577</v>
      </c>
      <c r="B8" s="3" t="s">
        <v>578</v>
      </c>
      <c r="C8" s="3" t="s">
        <v>128</v>
      </c>
      <c r="D8" s="3">
        <v>430</v>
      </c>
      <c r="E8" s="4">
        <v>46045</v>
      </c>
      <c r="F8" s="3">
        <v>1</v>
      </c>
      <c r="G8" s="4">
        <v>46043</v>
      </c>
      <c r="H8" s="4">
        <v>46045</v>
      </c>
      <c r="I8" s="3">
        <v>2</v>
      </c>
      <c r="J8" s="3" t="s">
        <v>579</v>
      </c>
      <c r="K8" s="4">
        <v>46046</v>
      </c>
      <c r="L8" s="3">
        <v>2</v>
      </c>
      <c r="M8" s="3" t="s">
        <v>579</v>
      </c>
      <c r="N8" s="3">
        <v>1</v>
      </c>
      <c r="O8" s="3" t="s">
        <v>546</v>
      </c>
      <c r="P8" s="3">
        <v>1</v>
      </c>
      <c r="Q8" s="3">
        <v>2</v>
      </c>
      <c r="R8" s="3" t="s">
        <v>579</v>
      </c>
      <c r="S8" s="4">
        <v>46048</v>
      </c>
      <c r="T8" s="3">
        <v>3</v>
      </c>
      <c r="U8" s="3" t="s">
        <v>579</v>
      </c>
      <c r="V8" s="3">
        <v>9</v>
      </c>
      <c r="W8" s="3" t="s">
        <v>544</v>
      </c>
      <c r="X8" s="4">
        <v>46056</v>
      </c>
      <c r="Y8" s="3">
        <v>6</v>
      </c>
      <c r="Z8" s="3">
        <v>6</v>
      </c>
      <c r="AA8" s="4" t="s">
        <v>544</v>
      </c>
      <c r="AB8" s="4">
        <v>46056</v>
      </c>
      <c r="AC8" s="4">
        <v>46056</v>
      </c>
      <c r="AD8" s="5">
        <v>0</v>
      </c>
      <c r="AE8" s="4">
        <v>46056</v>
      </c>
      <c r="AF8" s="4">
        <v>1</v>
      </c>
      <c r="AG8" s="4" t="s">
        <v>548</v>
      </c>
      <c r="AH8" s="3" t="s">
        <v>93</v>
      </c>
      <c r="AI8" s="3" t="s">
        <v>112</v>
      </c>
      <c r="AJ8" s="3" t="s">
        <v>132</v>
      </c>
      <c r="AK8" s="3" t="s">
        <v>223</v>
      </c>
      <c r="AL8" s="3">
        <v>6000095</v>
      </c>
      <c r="AM8" s="3" t="s">
        <v>92</v>
      </c>
      <c r="AN8" s="3" t="s">
        <v>131</v>
      </c>
      <c r="AO8" s="3" t="s">
        <v>549</v>
      </c>
      <c r="AP8" s="3"/>
      <c r="AQ8" s="3" t="s">
        <v>550</v>
      </c>
      <c r="AR8" s="3" t="s">
        <v>90</v>
      </c>
      <c r="AS8" s="3"/>
      <c r="AT8" s="3"/>
      <c r="AU8" s="3"/>
      <c r="AV8" s="3"/>
      <c r="AW8" s="3" t="s">
        <v>576</v>
      </c>
      <c r="AX8" s="3" t="s">
        <v>552</v>
      </c>
      <c r="AY8" s="3" t="s">
        <v>580</v>
      </c>
      <c r="AZ8" s="3"/>
      <c r="BA8" s="3" t="s">
        <v>597</v>
      </c>
      <c r="BB8" s="3" t="s">
        <v>554</v>
      </c>
      <c r="BC8" s="3">
        <v>0</v>
      </c>
      <c r="BD8" s="3">
        <v>0.99</v>
      </c>
      <c r="BE8" s="3" t="s">
        <v>598</v>
      </c>
      <c r="BF8" s="3">
        <v>90</v>
      </c>
      <c r="BG8" s="3" t="s">
        <v>599</v>
      </c>
      <c r="BH8" s="3" t="s">
        <v>600</v>
      </c>
      <c r="BI8" s="3"/>
      <c r="BJ8" s="3" t="s">
        <v>601</v>
      </c>
      <c r="BK8" s="3" t="s">
        <v>558</v>
      </c>
      <c r="BL8" s="3" t="s">
        <v>602</v>
      </c>
      <c r="BM8" s="3" t="s">
        <v>105</v>
      </c>
      <c r="BN8" s="3">
        <v>5941983</v>
      </c>
      <c r="BO8" s="3" t="s">
        <v>855</v>
      </c>
      <c r="BP8" s="3" t="s">
        <v>223</v>
      </c>
      <c r="BQ8" s="3" t="s">
        <v>856</v>
      </c>
      <c r="BR8" s="3" t="s">
        <v>857</v>
      </c>
    </row>
    <row r="9" spans="1:72" x14ac:dyDescent="0.25">
      <c r="A9" s="3" t="s">
        <v>577</v>
      </c>
      <c r="B9" s="3" t="s">
        <v>578</v>
      </c>
      <c r="C9" s="3" t="s">
        <v>141</v>
      </c>
      <c r="D9" s="3">
        <v>430</v>
      </c>
      <c r="E9" s="4">
        <v>46045</v>
      </c>
      <c r="F9" s="3">
        <v>1</v>
      </c>
      <c r="G9" s="4">
        <v>46043</v>
      </c>
      <c r="H9" s="4">
        <v>46045</v>
      </c>
      <c r="I9" s="3">
        <v>2</v>
      </c>
      <c r="J9" s="3" t="s">
        <v>579</v>
      </c>
      <c r="K9" s="4">
        <v>46048</v>
      </c>
      <c r="L9" s="3">
        <v>3</v>
      </c>
      <c r="M9" s="3" t="s">
        <v>579</v>
      </c>
      <c r="N9" s="3">
        <v>1</v>
      </c>
      <c r="O9" s="3" t="s">
        <v>546</v>
      </c>
      <c r="P9" s="3">
        <v>1</v>
      </c>
      <c r="Q9" s="3">
        <v>1</v>
      </c>
      <c r="R9" s="3" t="s">
        <v>546</v>
      </c>
      <c r="S9" s="4">
        <v>46049</v>
      </c>
      <c r="T9" s="3">
        <v>4</v>
      </c>
      <c r="U9" s="3" t="s">
        <v>543</v>
      </c>
      <c r="V9" s="3">
        <v>7</v>
      </c>
      <c r="W9" s="3" t="s">
        <v>544</v>
      </c>
      <c r="X9" s="4">
        <v>46052</v>
      </c>
      <c r="Y9" s="3">
        <v>3</v>
      </c>
      <c r="Z9" s="3">
        <v>3</v>
      </c>
      <c r="AA9" s="4" t="s">
        <v>579</v>
      </c>
      <c r="AB9" s="4">
        <v>46052</v>
      </c>
      <c r="AC9" s="4">
        <v>46052</v>
      </c>
      <c r="AD9" s="5">
        <v>0</v>
      </c>
      <c r="AE9" s="4">
        <v>46052</v>
      </c>
      <c r="AF9" s="4">
        <v>1</v>
      </c>
      <c r="AG9" s="4" t="s">
        <v>548</v>
      </c>
      <c r="AH9" s="3" t="s">
        <v>93</v>
      </c>
      <c r="AI9" s="3" t="s">
        <v>112</v>
      </c>
      <c r="AJ9" s="3" t="s">
        <v>145</v>
      </c>
      <c r="AK9" s="3" t="s">
        <v>223</v>
      </c>
      <c r="AL9" s="3">
        <v>6000096</v>
      </c>
      <c r="AM9" s="3" t="s">
        <v>92</v>
      </c>
      <c r="AN9" s="3" t="s">
        <v>144</v>
      </c>
      <c r="AO9" s="3" t="s">
        <v>549</v>
      </c>
      <c r="AP9" s="3"/>
      <c r="AQ9" s="3" t="s">
        <v>550</v>
      </c>
      <c r="AR9" s="3" t="s">
        <v>90</v>
      </c>
      <c r="AS9" s="3"/>
      <c r="AT9" s="3" t="s">
        <v>117</v>
      </c>
      <c r="AU9" s="3"/>
      <c r="AV9" s="3" t="s">
        <v>117</v>
      </c>
      <c r="AW9" s="3" t="s">
        <v>576</v>
      </c>
      <c r="AX9" s="3" t="s">
        <v>552</v>
      </c>
      <c r="AY9" s="3" t="s">
        <v>580</v>
      </c>
      <c r="AZ9" s="3"/>
      <c r="BA9" s="3" t="s">
        <v>603</v>
      </c>
      <c r="BB9" s="3" t="s">
        <v>554</v>
      </c>
      <c r="BC9" s="3">
        <v>0</v>
      </c>
      <c r="BD9" s="3">
        <v>0.99</v>
      </c>
      <c r="BE9" s="3" t="s">
        <v>604</v>
      </c>
      <c r="BF9" s="3">
        <v>90</v>
      </c>
      <c r="BG9" s="3" t="s">
        <v>605</v>
      </c>
      <c r="BH9" s="3" t="s">
        <v>606</v>
      </c>
      <c r="BI9" s="3"/>
      <c r="BJ9" s="3" t="s">
        <v>558</v>
      </c>
      <c r="BK9" s="3" t="s">
        <v>558</v>
      </c>
      <c r="BL9" s="3" t="s">
        <v>105</v>
      </c>
      <c r="BM9" s="3" t="s">
        <v>105</v>
      </c>
      <c r="BN9" s="3">
        <v>22156123</v>
      </c>
      <c r="BO9" s="3" t="s">
        <v>802</v>
      </c>
      <c r="BP9" s="3" t="s">
        <v>223</v>
      </c>
      <c r="BQ9" s="3" t="s">
        <v>223</v>
      </c>
      <c r="BR9" s="3" t="s">
        <v>858</v>
      </c>
    </row>
    <row r="10" spans="1:72" x14ac:dyDescent="0.25">
      <c r="A10" s="3" t="s">
        <v>577</v>
      </c>
      <c r="B10" s="3" t="s">
        <v>578</v>
      </c>
      <c r="C10" s="3" t="s">
        <v>170</v>
      </c>
      <c r="D10" s="3">
        <v>430</v>
      </c>
      <c r="E10" s="4">
        <v>46050</v>
      </c>
      <c r="F10" s="3">
        <v>1</v>
      </c>
      <c r="G10" s="4">
        <v>46046</v>
      </c>
      <c r="H10" s="4">
        <v>46050</v>
      </c>
      <c r="I10" s="3">
        <v>2</v>
      </c>
      <c r="J10" s="3" t="s">
        <v>579</v>
      </c>
      <c r="K10" s="4">
        <v>46051</v>
      </c>
      <c r="L10" s="3">
        <v>3</v>
      </c>
      <c r="M10" s="3" t="s">
        <v>579</v>
      </c>
      <c r="N10" s="3">
        <v>1</v>
      </c>
      <c r="O10" s="3" t="s">
        <v>546</v>
      </c>
      <c r="P10" s="3">
        <v>1</v>
      </c>
      <c r="Q10" s="3">
        <v>1</v>
      </c>
      <c r="R10" s="3" t="s">
        <v>546</v>
      </c>
      <c r="S10" s="4">
        <v>46052</v>
      </c>
      <c r="T10" s="3">
        <v>4</v>
      </c>
      <c r="U10" s="3" t="s">
        <v>543</v>
      </c>
      <c r="V10" s="3">
        <v>12</v>
      </c>
      <c r="W10" s="3" t="s">
        <v>559</v>
      </c>
      <c r="X10" s="4">
        <v>46064</v>
      </c>
      <c r="Y10" s="3">
        <v>8</v>
      </c>
      <c r="Z10" s="3">
        <v>8</v>
      </c>
      <c r="AA10" s="4" t="s">
        <v>559</v>
      </c>
      <c r="AB10" s="4">
        <v>46064</v>
      </c>
      <c r="AC10" s="4">
        <v>46064</v>
      </c>
      <c r="AD10" s="5">
        <v>0</v>
      </c>
      <c r="AE10" s="4">
        <v>46064</v>
      </c>
      <c r="AF10" s="4">
        <v>1</v>
      </c>
      <c r="AG10" s="4" t="s">
        <v>548</v>
      </c>
      <c r="AH10" s="3" t="s">
        <v>93</v>
      </c>
      <c r="AI10" s="3" t="s">
        <v>112</v>
      </c>
      <c r="AJ10" s="3" t="s">
        <v>173</v>
      </c>
      <c r="AK10" s="3" t="s">
        <v>223</v>
      </c>
      <c r="AL10" s="3">
        <v>6000136</v>
      </c>
      <c r="AM10" s="3" t="s">
        <v>92</v>
      </c>
      <c r="AN10" s="3" t="s">
        <v>172</v>
      </c>
      <c r="AO10" s="3" t="s">
        <v>549</v>
      </c>
      <c r="AP10" s="3"/>
      <c r="AQ10" s="3" t="s">
        <v>550</v>
      </c>
      <c r="AR10" s="3" t="s">
        <v>90</v>
      </c>
      <c r="AS10" s="3"/>
      <c r="AT10" s="3" t="s">
        <v>117</v>
      </c>
      <c r="AU10" s="3"/>
      <c r="AV10" s="3" t="s">
        <v>117</v>
      </c>
      <c r="AW10" s="3" t="s">
        <v>576</v>
      </c>
      <c r="AX10" s="3" t="s">
        <v>552</v>
      </c>
      <c r="AY10" s="3" t="s">
        <v>607</v>
      </c>
      <c r="AZ10" s="3" t="s">
        <v>608</v>
      </c>
      <c r="BA10" s="3"/>
      <c r="BB10" s="3" t="s">
        <v>554</v>
      </c>
      <c r="BC10" s="3">
        <v>0</v>
      </c>
      <c r="BD10" s="3">
        <v>99</v>
      </c>
      <c r="BE10" s="3" t="s">
        <v>609</v>
      </c>
      <c r="BF10" s="3">
        <v>90</v>
      </c>
      <c r="BG10" s="3" t="s">
        <v>610</v>
      </c>
      <c r="BH10" s="3" t="s">
        <v>611</v>
      </c>
      <c r="BI10" s="3"/>
      <c r="BJ10" s="3" t="s">
        <v>591</v>
      </c>
      <c r="BK10" s="3" t="s">
        <v>558</v>
      </c>
      <c r="BL10" s="3" t="s">
        <v>104</v>
      </c>
      <c r="BM10" s="3" t="s">
        <v>105</v>
      </c>
      <c r="BN10" s="3">
        <v>7104469</v>
      </c>
      <c r="BO10" s="3" t="s">
        <v>802</v>
      </c>
      <c r="BP10" s="3" t="s">
        <v>223</v>
      </c>
      <c r="BQ10" s="3" t="s">
        <v>223</v>
      </c>
      <c r="BR10" s="3" t="s">
        <v>859</v>
      </c>
    </row>
    <row r="11" spans="1:72" x14ac:dyDescent="0.25">
      <c r="A11" s="3" t="s">
        <v>565</v>
      </c>
      <c r="B11" s="3" t="s">
        <v>566</v>
      </c>
      <c r="C11" s="3" t="s">
        <v>573</v>
      </c>
      <c r="D11" s="3">
        <v>240</v>
      </c>
      <c r="E11" s="4" t="s">
        <v>223</v>
      </c>
      <c r="F11" s="3">
        <v>2</v>
      </c>
      <c r="G11" s="4">
        <v>46071</v>
      </c>
      <c r="H11" s="4">
        <v>46071</v>
      </c>
      <c r="I11" s="3">
        <v>0</v>
      </c>
      <c r="J11" s="3" t="s">
        <v>546</v>
      </c>
      <c r="K11" s="4">
        <v>46072</v>
      </c>
      <c r="L11" s="3">
        <v>1</v>
      </c>
      <c r="M11" s="3" t="s">
        <v>546</v>
      </c>
      <c r="N11" s="3">
        <v>0</v>
      </c>
      <c r="O11" s="3" t="s">
        <v>569</v>
      </c>
      <c r="P11" s="3">
        <v>0</v>
      </c>
      <c r="Q11" s="3">
        <v>1</v>
      </c>
      <c r="R11" s="3" t="s">
        <v>546</v>
      </c>
      <c r="S11" s="4">
        <v>46073</v>
      </c>
      <c r="T11" s="3">
        <v>2</v>
      </c>
      <c r="U11" s="3" t="s">
        <v>579</v>
      </c>
      <c r="V11" s="3">
        <v>17</v>
      </c>
      <c r="W11" s="3" t="s">
        <v>547</v>
      </c>
      <c r="X11" s="4">
        <v>46094</v>
      </c>
      <c r="Y11" s="3">
        <v>15</v>
      </c>
      <c r="Z11" s="3">
        <v>0</v>
      </c>
      <c r="AA11" s="4" t="s">
        <v>547</v>
      </c>
      <c r="AB11" s="4">
        <v>46094</v>
      </c>
      <c r="AC11" s="4">
        <v>46094</v>
      </c>
      <c r="AD11" s="5">
        <v>0</v>
      </c>
      <c r="AE11" s="4">
        <v>46094</v>
      </c>
      <c r="AF11" s="4">
        <v>1</v>
      </c>
      <c r="AG11" s="4" t="s">
        <v>548</v>
      </c>
      <c r="AH11" s="3" t="s">
        <v>93</v>
      </c>
      <c r="AI11" s="3" t="s">
        <v>285</v>
      </c>
      <c r="AJ11" s="3" t="s">
        <v>223</v>
      </c>
      <c r="AK11" s="3" t="s">
        <v>223</v>
      </c>
      <c r="AL11" s="3">
        <v>6016928</v>
      </c>
      <c r="AM11" s="3" t="s">
        <v>92</v>
      </c>
      <c r="AN11" s="3" t="s">
        <v>570</v>
      </c>
      <c r="AO11" s="3" t="s">
        <v>549</v>
      </c>
      <c r="AP11" s="3"/>
      <c r="AQ11" s="3" t="s">
        <v>550</v>
      </c>
      <c r="AR11" s="3" t="s">
        <v>90</v>
      </c>
      <c r="AS11" s="3"/>
      <c r="AT11" s="3"/>
      <c r="AU11" s="3"/>
      <c r="AV11" s="3"/>
      <c r="AW11" s="3"/>
      <c r="AX11" s="3" t="s">
        <v>552</v>
      </c>
      <c r="AY11" s="3" t="s">
        <v>223</v>
      </c>
      <c r="AZ11" s="3"/>
      <c r="BA11" s="3"/>
      <c r="BB11" s="3" t="s">
        <v>554</v>
      </c>
      <c r="BC11" s="3" t="s">
        <v>223</v>
      </c>
      <c r="BD11" s="3" t="s">
        <v>223</v>
      </c>
      <c r="BE11" s="3" t="s">
        <v>223</v>
      </c>
      <c r="BF11" s="3">
        <v>90</v>
      </c>
      <c r="BG11" s="3" t="s">
        <v>223</v>
      </c>
      <c r="BH11" s="3" t="s">
        <v>223</v>
      </c>
      <c r="BI11" s="3"/>
      <c r="BJ11" s="3" t="s">
        <v>223</v>
      </c>
      <c r="BK11" s="3" t="s">
        <v>223</v>
      </c>
      <c r="BL11" s="3" t="s">
        <v>223</v>
      </c>
      <c r="BM11" s="3" t="s">
        <v>223</v>
      </c>
      <c r="BN11" s="3" t="s">
        <v>223</v>
      </c>
      <c r="BO11" s="3" t="s">
        <v>223</v>
      </c>
      <c r="BP11" s="3" t="s">
        <v>223</v>
      </c>
      <c r="BQ11" s="3" t="s">
        <v>223</v>
      </c>
      <c r="BR11" s="3" t="s">
        <v>835</v>
      </c>
    </row>
    <row r="12" spans="1:72" x14ac:dyDescent="0.25">
      <c r="A12" s="3" t="s">
        <v>577</v>
      </c>
      <c r="B12" s="3" t="s">
        <v>578</v>
      </c>
      <c r="C12" s="3" t="s">
        <v>248</v>
      </c>
      <c r="D12" s="3">
        <v>430</v>
      </c>
      <c r="E12" s="4">
        <v>46078</v>
      </c>
      <c r="F12" s="3">
        <v>2</v>
      </c>
      <c r="G12" s="4">
        <v>46006</v>
      </c>
      <c r="H12" s="4">
        <v>46078</v>
      </c>
      <c r="I12" s="3">
        <v>52</v>
      </c>
      <c r="J12" s="3" t="s">
        <v>568</v>
      </c>
      <c r="K12" s="4">
        <v>46079</v>
      </c>
      <c r="L12" s="3">
        <v>53</v>
      </c>
      <c r="M12" s="3" t="s">
        <v>568</v>
      </c>
      <c r="N12" s="3">
        <v>1</v>
      </c>
      <c r="O12" s="3" t="s">
        <v>546</v>
      </c>
      <c r="P12" s="3">
        <v>1</v>
      </c>
      <c r="Q12" s="3">
        <v>1</v>
      </c>
      <c r="R12" s="3" t="s">
        <v>546</v>
      </c>
      <c r="S12" s="4">
        <v>46080</v>
      </c>
      <c r="T12" s="3">
        <v>54</v>
      </c>
      <c r="U12" s="3" t="s">
        <v>588</v>
      </c>
      <c r="V12" s="3">
        <v>58</v>
      </c>
      <c r="W12" s="3" t="s">
        <v>547</v>
      </c>
      <c r="X12" s="4">
        <v>46086</v>
      </c>
      <c r="Y12" s="3">
        <v>4</v>
      </c>
      <c r="Z12" s="3">
        <v>4</v>
      </c>
      <c r="AA12" s="4" t="s">
        <v>544</v>
      </c>
      <c r="AB12" s="4">
        <v>46086</v>
      </c>
      <c r="AC12" s="4">
        <v>46086</v>
      </c>
      <c r="AD12" s="5">
        <v>0</v>
      </c>
      <c r="AE12" s="4">
        <v>46086</v>
      </c>
      <c r="AF12" s="4">
        <v>1</v>
      </c>
      <c r="AG12" s="4" t="s">
        <v>548</v>
      </c>
      <c r="AH12" s="3" t="s">
        <v>93</v>
      </c>
      <c r="AI12" s="3" t="s">
        <v>112</v>
      </c>
      <c r="AJ12" s="3" t="s">
        <v>101</v>
      </c>
      <c r="AK12" s="3" t="s">
        <v>223</v>
      </c>
      <c r="AL12" s="3">
        <v>6000299</v>
      </c>
      <c r="AM12" s="3" t="s">
        <v>92</v>
      </c>
      <c r="AN12" s="3" t="s">
        <v>96</v>
      </c>
      <c r="AO12" s="3" t="s">
        <v>549</v>
      </c>
      <c r="AP12" s="3"/>
      <c r="AQ12" s="3" t="s">
        <v>550</v>
      </c>
      <c r="AR12" s="3" t="s">
        <v>90</v>
      </c>
      <c r="AS12" s="3"/>
      <c r="AT12" s="3" t="s">
        <v>107</v>
      </c>
      <c r="AU12" s="3"/>
      <c r="AV12" s="3" t="s">
        <v>107</v>
      </c>
      <c r="AW12" s="3" t="s">
        <v>576</v>
      </c>
      <c r="AX12" s="3" t="s">
        <v>552</v>
      </c>
      <c r="AY12" s="3" t="s">
        <v>592</v>
      </c>
      <c r="AZ12" s="3" t="s">
        <v>593</v>
      </c>
      <c r="BA12" s="3"/>
      <c r="BB12" s="3" t="s">
        <v>554</v>
      </c>
      <c r="BC12" s="3">
        <v>0</v>
      </c>
      <c r="BD12" s="3">
        <v>99</v>
      </c>
      <c r="BE12" s="3" t="s">
        <v>590</v>
      </c>
      <c r="BF12" s="3">
        <v>90</v>
      </c>
      <c r="BG12" s="3" t="s">
        <v>850</v>
      </c>
      <c r="BH12" s="3" t="s">
        <v>563</v>
      </c>
      <c r="BI12" s="3"/>
      <c r="BJ12" s="3" t="s">
        <v>591</v>
      </c>
      <c r="BK12" s="3" t="s">
        <v>558</v>
      </c>
      <c r="BL12" s="3" t="s">
        <v>104</v>
      </c>
      <c r="BM12" s="3" t="s">
        <v>105</v>
      </c>
      <c r="BN12" s="3">
        <v>741815</v>
      </c>
      <c r="BO12" s="3" t="s">
        <v>851</v>
      </c>
      <c r="BP12" s="3" t="s">
        <v>223</v>
      </c>
      <c r="BQ12" s="3" t="s">
        <v>223</v>
      </c>
      <c r="BR12" s="3" t="s">
        <v>852</v>
      </c>
    </row>
    <row r="13" spans="1:72" x14ac:dyDescent="0.25">
      <c r="A13" s="3" t="s">
        <v>577</v>
      </c>
      <c r="B13" s="3" t="s">
        <v>578</v>
      </c>
      <c r="C13" s="3" t="s">
        <v>177</v>
      </c>
      <c r="D13" s="3">
        <v>430</v>
      </c>
      <c r="E13" s="4">
        <v>46063</v>
      </c>
      <c r="F13" s="3">
        <v>2</v>
      </c>
      <c r="G13" s="4">
        <v>46060</v>
      </c>
      <c r="H13" s="4">
        <v>46063</v>
      </c>
      <c r="I13" s="3">
        <v>1</v>
      </c>
      <c r="J13" s="3" t="s">
        <v>546</v>
      </c>
      <c r="K13" s="4">
        <v>46064</v>
      </c>
      <c r="L13" s="3">
        <v>2</v>
      </c>
      <c r="M13" s="3" t="s">
        <v>579</v>
      </c>
      <c r="N13" s="3">
        <v>1</v>
      </c>
      <c r="O13" s="3" t="s">
        <v>546</v>
      </c>
      <c r="P13" s="3">
        <v>1</v>
      </c>
      <c r="Q13" s="3">
        <v>1</v>
      </c>
      <c r="R13" s="3" t="s">
        <v>546</v>
      </c>
      <c r="S13" s="4">
        <v>46065</v>
      </c>
      <c r="T13" s="3">
        <v>3</v>
      </c>
      <c r="U13" s="3" t="s">
        <v>579</v>
      </c>
      <c r="V13" s="3">
        <v>9</v>
      </c>
      <c r="W13" s="3" t="s">
        <v>544</v>
      </c>
      <c r="X13" s="4">
        <v>46073</v>
      </c>
      <c r="Y13" s="3">
        <v>6</v>
      </c>
      <c r="Z13" s="3">
        <v>6</v>
      </c>
      <c r="AA13" s="4" t="s">
        <v>544</v>
      </c>
      <c r="AB13" s="4">
        <v>46073</v>
      </c>
      <c r="AC13" s="4">
        <v>46073</v>
      </c>
      <c r="AD13" s="5">
        <v>0</v>
      </c>
      <c r="AE13" s="4">
        <v>46073</v>
      </c>
      <c r="AF13" s="4">
        <v>1</v>
      </c>
      <c r="AG13" s="4" t="s">
        <v>548</v>
      </c>
      <c r="AH13" s="3" t="s">
        <v>93</v>
      </c>
      <c r="AI13" s="3" t="s">
        <v>112</v>
      </c>
      <c r="AJ13" s="3" t="s">
        <v>181</v>
      </c>
      <c r="AK13" s="3" t="s">
        <v>223</v>
      </c>
      <c r="AL13" s="3">
        <v>6000160</v>
      </c>
      <c r="AM13" s="3" t="s">
        <v>92</v>
      </c>
      <c r="AN13" s="3" t="s">
        <v>179</v>
      </c>
      <c r="AO13" s="3" t="s">
        <v>549</v>
      </c>
      <c r="AP13" s="3"/>
      <c r="AQ13" s="3" t="s">
        <v>550</v>
      </c>
      <c r="AR13" s="3" t="s">
        <v>90</v>
      </c>
      <c r="AS13" s="3"/>
      <c r="AT13" s="3" t="s">
        <v>117</v>
      </c>
      <c r="AU13" s="3"/>
      <c r="AV13" s="3" t="s">
        <v>117</v>
      </c>
      <c r="AW13" s="3" t="s">
        <v>576</v>
      </c>
      <c r="AX13" s="3" t="s">
        <v>552</v>
      </c>
      <c r="AY13" s="3" t="s">
        <v>580</v>
      </c>
      <c r="AZ13" s="3"/>
      <c r="BA13" s="3" t="s">
        <v>589</v>
      </c>
      <c r="BB13" s="3" t="s">
        <v>554</v>
      </c>
      <c r="BC13" s="3">
        <v>0</v>
      </c>
      <c r="BD13" s="3">
        <v>99</v>
      </c>
      <c r="BE13" s="3" t="s">
        <v>612</v>
      </c>
      <c r="BF13" s="3">
        <v>90</v>
      </c>
      <c r="BG13" s="3" t="s">
        <v>860</v>
      </c>
      <c r="BH13" s="3" t="s">
        <v>611</v>
      </c>
      <c r="BI13" s="3"/>
      <c r="BJ13" s="3" t="s">
        <v>613</v>
      </c>
      <c r="BK13" s="3" t="s">
        <v>558</v>
      </c>
      <c r="BL13" s="3" t="s">
        <v>133</v>
      </c>
      <c r="BM13" s="3" t="s">
        <v>105</v>
      </c>
      <c r="BN13" s="3">
        <v>11147127</v>
      </c>
      <c r="BO13" s="3" t="s">
        <v>861</v>
      </c>
      <c r="BP13" s="3" t="s">
        <v>223</v>
      </c>
      <c r="BQ13" s="3" t="s">
        <v>862</v>
      </c>
      <c r="BR13" s="3" t="s">
        <v>863</v>
      </c>
    </row>
    <row r="14" spans="1:72" x14ac:dyDescent="0.25">
      <c r="A14" s="3" t="s">
        <v>577</v>
      </c>
      <c r="B14" s="3" t="s">
        <v>578</v>
      </c>
      <c r="C14" s="3" t="s">
        <v>183</v>
      </c>
      <c r="D14" s="3">
        <v>430</v>
      </c>
      <c r="E14" s="4">
        <v>46063</v>
      </c>
      <c r="F14" s="3">
        <v>2</v>
      </c>
      <c r="G14" s="4">
        <v>46059</v>
      </c>
      <c r="H14" s="4">
        <v>46063</v>
      </c>
      <c r="I14" s="3">
        <v>2</v>
      </c>
      <c r="J14" s="3" t="s">
        <v>579</v>
      </c>
      <c r="K14" s="4">
        <v>46064</v>
      </c>
      <c r="L14" s="3">
        <v>3</v>
      </c>
      <c r="M14" s="3" t="s">
        <v>579</v>
      </c>
      <c r="N14" s="3">
        <v>1</v>
      </c>
      <c r="O14" s="3" t="s">
        <v>546</v>
      </c>
      <c r="P14" s="3">
        <v>1</v>
      </c>
      <c r="Q14" s="3">
        <v>1</v>
      </c>
      <c r="R14" s="3" t="s">
        <v>546</v>
      </c>
      <c r="S14" s="4">
        <v>46065</v>
      </c>
      <c r="T14" s="3">
        <v>4</v>
      </c>
      <c r="U14" s="3" t="s">
        <v>543</v>
      </c>
      <c r="V14" s="3">
        <v>11</v>
      </c>
      <c r="W14" s="3" t="s">
        <v>559</v>
      </c>
      <c r="X14" s="4">
        <v>46076</v>
      </c>
      <c r="Y14" s="3">
        <v>7</v>
      </c>
      <c r="Z14" s="3">
        <v>7</v>
      </c>
      <c r="AA14" s="4" t="s">
        <v>559</v>
      </c>
      <c r="AB14" s="4">
        <v>46076</v>
      </c>
      <c r="AC14" s="4">
        <v>46076</v>
      </c>
      <c r="AD14" s="5">
        <v>0</v>
      </c>
      <c r="AE14" s="4">
        <v>46076</v>
      </c>
      <c r="AF14" s="4">
        <v>1</v>
      </c>
      <c r="AG14" s="4" t="s">
        <v>548</v>
      </c>
      <c r="AH14" s="3" t="s">
        <v>93</v>
      </c>
      <c r="AI14" s="3" t="s">
        <v>112</v>
      </c>
      <c r="AJ14" s="3">
        <v>265002013</v>
      </c>
      <c r="AK14" s="3" t="s">
        <v>223</v>
      </c>
      <c r="AL14" s="3">
        <v>6000171</v>
      </c>
      <c r="AM14" s="3" t="s">
        <v>92</v>
      </c>
      <c r="AN14" s="3" t="s">
        <v>186</v>
      </c>
      <c r="AO14" s="3" t="s">
        <v>549</v>
      </c>
      <c r="AP14" s="3"/>
      <c r="AQ14" s="3" t="s">
        <v>550</v>
      </c>
      <c r="AR14" s="3" t="s">
        <v>90</v>
      </c>
      <c r="AS14" s="3"/>
      <c r="AT14" s="3" t="s">
        <v>117</v>
      </c>
      <c r="AU14" s="3"/>
      <c r="AV14" s="3" t="s">
        <v>117</v>
      </c>
      <c r="AW14" s="3" t="s">
        <v>576</v>
      </c>
      <c r="AX14" s="3" t="s">
        <v>552</v>
      </c>
      <c r="AY14" s="3" t="s">
        <v>580</v>
      </c>
      <c r="AZ14" s="3"/>
      <c r="BA14" s="3" t="s">
        <v>589</v>
      </c>
      <c r="BB14" s="3" t="s">
        <v>554</v>
      </c>
      <c r="BC14" s="3">
        <v>0</v>
      </c>
      <c r="BD14" s="3">
        <v>99</v>
      </c>
      <c r="BE14" s="3" t="s">
        <v>618</v>
      </c>
      <c r="BF14" s="3">
        <v>90</v>
      </c>
      <c r="BG14" s="3" t="s">
        <v>868</v>
      </c>
      <c r="BH14" s="3" t="s">
        <v>563</v>
      </c>
      <c r="BI14" s="3"/>
      <c r="BJ14" s="3" t="s">
        <v>619</v>
      </c>
      <c r="BK14" s="3" t="s">
        <v>558</v>
      </c>
      <c r="BL14" s="3" t="s">
        <v>189</v>
      </c>
      <c r="BM14" s="3" t="s">
        <v>105</v>
      </c>
      <c r="BN14" s="3">
        <v>1235000</v>
      </c>
      <c r="BO14" s="3" t="s">
        <v>869</v>
      </c>
      <c r="BP14" s="3" t="s">
        <v>870</v>
      </c>
      <c r="BQ14" s="3" t="s">
        <v>871</v>
      </c>
      <c r="BR14" s="3" t="s">
        <v>872</v>
      </c>
    </row>
    <row r="15" spans="1:72" x14ac:dyDescent="0.25">
      <c r="A15" s="3" t="s">
        <v>577</v>
      </c>
      <c r="B15" s="3" t="s">
        <v>578</v>
      </c>
      <c r="C15" s="3" t="s">
        <v>222</v>
      </c>
      <c r="D15" s="3">
        <v>430</v>
      </c>
      <c r="E15" s="4">
        <v>46078</v>
      </c>
      <c r="F15" s="3">
        <v>2</v>
      </c>
      <c r="G15" s="4">
        <v>46065</v>
      </c>
      <c r="H15" s="4">
        <v>46078</v>
      </c>
      <c r="I15" s="3">
        <v>9</v>
      </c>
      <c r="J15" s="3" t="s">
        <v>544</v>
      </c>
      <c r="K15" s="4">
        <v>46079</v>
      </c>
      <c r="L15" s="3">
        <v>10</v>
      </c>
      <c r="M15" s="3" t="s">
        <v>544</v>
      </c>
      <c r="N15" s="3">
        <v>1</v>
      </c>
      <c r="O15" s="3" t="s">
        <v>546</v>
      </c>
      <c r="P15" s="3">
        <v>1</v>
      </c>
      <c r="Q15" s="3">
        <v>1</v>
      </c>
      <c r="R15" s="3" t="s">
        <v>546</v>
      </c>
      <c r="S15" s="4">
        <v>46080</v>
      </c>
      <c r="T15" s="3">
        <v>11</v>
      </c>
      <c r="U15" s="3" t="s">
        <v>559</v>
      </c>
      <c r="V15" s="3">
        <v>17</v>
      </c>
      <c r="W15" s="3" t="s">
        <v>547</v>
      </c>
      <c r="X15" s="4">
        <v>46090</v>
      </c>
      <c r="Y15" s="3">
        <v>5</v>
      </c>
      <c r="Z15" s="3">
        <v>6</v>
      </c>
      <c r="AA15" s="4" t="s">
        <v>544</v>
      </c>
      <c r="AB15" s="4">
        <v>46087</v>
      </c>
      <c r="AC15" s="4">
        <v>46090</v>
      </c>
      <c r="AD15" s="5">
        <v>1</v>
      </c>
      <c r="AE15" s="4">
        <v>46090</v>
      </c>
      <c r="AF15" s="4">
        <v>1</v>
      </c>
      <c r="AG15" s="4" t="s">
        <v>548</v>
      </c>
      <c r="AH15" s="3" t="s">
        <v>93</v>
      </c>
      <c r="AI15" s="3" t="s">
        <v>112</v>
      </c>
      <c r="AJ15" s="3">
        <v>265080842</v>
      </c>
      <c r="AK15" s="3" t="s">
        <v>223</v>
      </c>
      <c r="AL15" s="3">
        <v>6000186</v>
      </c>
      <c r="AM15" s="3" t="s">
        <v>92</v>
      </c>
      <c r="AN15" s="3" t="s">
        <v>226</v>
      </c>
      <c r="AO15" s="3" t="s">
        <v>549</v>
      </c>
      <c r="AP15" s="3"/>
      <c r="AQ15" s="3" t="s">
        <v>550</v>
      </c>
      <c r="AR15" s="3" t="s">
        <v>90</v>
      </c>
      <c r="AS15" s="3"/>
      <c r="AT15" s="3" t="s">
        <v>107</v>
      </c>
      <c r="AU15" s="3"/>
      <c r="AV15" s="3" t="s">
        <v>107</v>
      </c>
      <c r="AW15" s="3" t="s">
        <v>576</v>
      </c>
      <c r="AX15" s="3" t="s">
        <v>620</v>
      </c>
      <c r="AY15" s="3" t="s">
        <v>607</v>
      </c>
      <c r="AZ15" s="3" t="s">
        <v>621</v>
      </c>
      <c r="BA15" s="3"/>
      <c r="BB15" s="3" t="s">
        <v>554</v>
      </c>
      <c r="BC15" s="3">
        <v>0</v>
      </c>
      <c r="BD15" s="3">
        <v>99</v>
      </c>
      <c r="BE15" s="3" t="s">
        <v>622</v>
      </c>
      <c r="BF15" s="3">
        <v>90</v>
      </c>
      <c r="BG15" s="3" t="s">
        <v>623</v>
      </c>
      <c r="BH15" s="3" t="s">
        <v>611</v>
      </c>
      <c r="BI15" s="3"/>
      <c r="BJ15" s="3" t="s">
        <v>619</v>
      </c>
      <c r="BK15" s="3" t="s">
        <v>558</v>
      </c>
      <c r="BL15" s="3" t="s">
        <v>189</v>
      </c>
      <c r="BM15" s="3" t="s">
        <v>105</v>
      </c>
      <c r="BN15" s="3">
        <v>3614532</v>
      </c>
      <c r="BO15" s="3" t="s">
        <v>873</v>
      </c>
      <c r="BP15" s="3" t="s">
        <v>223</v>
      </c>
      <c r="BQ15" s="3" t="s">
        <v>223</v>
      </c>
      <c r="BR15" s="3" t="s">
        <v>874</v>
      </c>
    </row>
    <row r="16" spans="1:72" x14ac:dyDescent="0.25">
      <c r="A16" s="3" t="s">
        <v>577</v>
      </c>
      <c r="B16" s="3" t="s">
        <v>578</v>
      </c>
      <c r="C16" s="3" t="s">
        <v>271</v>
      </c>
      <c r="D16" s="3">
        <v>430</v>
      </c>
      <c r="E16" s="4">
        <v>46078</v>
      </c>
      <c r="F16" s="3">
        <v>2</v>
      </c>
      <c r="G16" s="4">
        <v>46065</v>
      </c>
      <c r="H16" s="4">
        <v>46078</v>
      </c>
      <c r="I16" s="3">
        <v>9</v>
      </c>
      <c r="J16" s="3" t="s">
        <v>544</v>
      </c>
      <c r="K16" s="4">
        <v>46079</v>
      </c>
      <c r="L16" s="3">
        <v>10</v>
      </c>
      <c r="M16" s="3" t="s">
        <v>544</v>
      </c>
      <c r="N16" s="3">
        <v>1</v>
      </c>
      <c r="O16" s="3" t="s">
        <v>546</v>
      </c>
      <c r="P16" s="3">
        <v>1</v>
      </c>
      <c r="Q16" s="3">
        <v>1</v>
      </c>
      <c r="R16" s="3" t="s">
        <v>546</v>
      </c>
      <c r="S16" s="4">
        <v>46080</v>
      </c>
      <c r="T16" s="3">
        <v>11</v>
      </c>
      <c r="U16" s="3" t="s">
        <v>559</v>
      </c>
      <c r="V16" s="3">
        <v>17</v>
      </c>
      <c r="W16" s="3" t="s">
        <v>547</v>
      </c>
      <c r="X16" s="4">
        <v>46090</v>
      </c>
      <c r="Y16" s="3">
        <v>5</v>
      </c>
      <c r="Z16" s="3">
        <v>6</v>
      </c>
      <c r="AA16" s="4" t="s">
        <v>544</v>
      </c>
      <c r="AB16" s="4">
        <v>46087</v>
      </c>
      <c r="AC16" s="4">
        <v>46090</v>
      </c>
      <c r="AD16" s="5">
        <v>1</v>
      </c>
      <c r="AE16" s="4">
        <v>46090</v>
      </c>
      <c r="AF16" s="4">
        <v>1</v>
      </c>
      <c r="AG16" s="4" t="s">
        <v>548</v>
      </c>
      <c r="AH16" s="3" t="s">
        <v>93</v>
      </c>
      <c r="AI16" s="3" t="s">
        <v>112</v>
      </c>
      <c r="AJ16" s="3">
        <v>265080842</v>
      </c>
      <c r="AK16" s="3" t="s">
        <v>223</v>
      </c>
      <c r="AL16" s="3">
        <v>6000301</v>
      </c>
      <c r="AM16" s="3" t="s">
        <v>92</v>
      </c>
      <c r="AN16" s="3" t="s">
        <v>226</v>
      </c>
      <c r="AO16" s="3" t="s">
        <v>549</v>
      </c>
      <c r="AP16" s="3"/>
      <c r="AQ16" s="3" t="s">
        <v>550</v>
      </c>
      <c r="AR16" s="3" t="s">
        <v>90</v>
      </c>
      <c r="AS16" s="3"/>
      <c r="AT16" s="3" t="s">
        <v>107</v>
      </c>
      <c r="AU16" s="3"/>
      <c r="AV16" s="3" t="s">
        <v>107</v>
      </c>
      <c r="AW16" s="3" t="s">
        <v>576</v>
      </c>
      <c r="AX16" s="3" t="s">
        <v>552</v>
      </c>
      <c r="AY16" s="3" t="s">
        <v>607</v>
      </c>
      <c r="AZ16" s="3" t="s">
        <v>624</v>
      </c>
      <c r="BA16" s="3"/>
      <c r="BB16" s="3" t="s">
        <v>554</v>
      </c>
      <c r="BC16" s="3">
        <v>0</v>
      </c>
      <c r="BD16" s="3">
        <v>99</v>
      </c>
      <c r="BE16" s="3" t="s">
        <v>625</v>
      </c>
      <c r="BF16" s="3">
        <v>90</v>
      </c>
      <c r="BG16" s="3" t="s">
        <v>875</v>
      </c>
      <c r="BH16" s="3" t="s">
        <v>563</v>
      </c>
      <c r="BI16" s="3"/>
      <c r="BJ16" s="3" t="s">
        <v>619</v>
      </c>
      <c r="BK16" s="3" t="s">
        <v>558</v>
      </c>
      <c r="BL16" s="3" t="s">
        <v>189</v>
      </c>
      <c r="BM16" s="3" t="s">
        <v>105</v>
      </c>
      <c r="BN16" s="3">
        <v>1809775</v>
      </c>
      <c r="BO16" s="3" t="s">
        <v>876</v>
      </c>
      <c r="BP16" s="3" t="s">
        <v>223</v>
      </c>
      <c r="BQ16" s="3" t="s">
        <v>223</v>
      </c>
      <c r="BR16" s="3" t="s">
        <v>877</v>
      </c>
    </row>
    <row r="17" spans="1:70" x14ac:dyDescent="0.25">
      <c r="A17" s="3" t="s">
        <v>577</v>
      </c>
      <c r="B17" s="3" t="s">
        <v>578</v>
      </c>
      <c r="C17" s="3" t="s">
        <v>201</v>
      </c>
      <c r="D17" s="3">
        <v>430</v>
      </c>
      <c r="E17" s="4">
        <v>46078</v>
      </c>
      <c r="F17" s="3">
        <v>2</v>
      </c>
      <c r="G17" s="4">
        <v>46066</v>
      </c>
      <c r="H17" s="4">
        <v>46078</v>
      </c>
      <c r="I17" s="3">
        <v>8</v>
      </c>
      <c r="J17" s="3" t="s">
        <v>544</v>
      </c>
      <c r="K17" s="4">
        <v>46079</v>
      </c>
      <c r="L17" s="3">
        <v>9</v>
      </c>
      <c r="M17" s="3" t="s">
        <v>544</v>
      </c>
      <c r="N17" s="3">
        <v>1</v>
      </c>
      <c r="O17" s="3" t="s">
        <v>546</v>
      </c>
      <c r="P17" s="3">
        <v>1</v>
      </c>
      <c r="Q17" s="3">
        <v>1</v>
      </c>
      <c r="R17" s="3" t="s">
        <v>546</v>
      </c>
      <c r="S17" s="4">
        <v>46080</v>
      </c>
      <c r="T17" s="3">
        <v>10</v>
      </c>
      <c r="U17" s="3" t="s">
        <v>544</v>
      </c>
      <c r="V17" s="3">
        <v>19</v>
      </c>
      <c r="W17" s="3" t="s">
        <v>547</v>
      </c>
      <c r="X17" s="4">
        <v>46093</v>
      </c>
      <c r="Y17" s="3">
        <v>9</v>
      </c>
      <c r="Z17" s="3">
        <v>9</v>
      </c>
      <c r="AA17" s="4" t="s">
        <v>559</v>
      </c>
      <c r="AB17" s="4">
        <v>46093</v>
      </c>
      <c r="AC17" s="4">
        <v>46093</v>
      </c>
      <c r="AD17" s="5">
        <v>0</v>
      </c>
      <c r="AE17" s="4">
        <v>46093</v>
      </c>
      <c r="AF17" s="4">
        <v>1</v>
      </c>
      <c r="AG17" s="4" t="s">
        <v>548</v>
      </c>
      <c r="AH17" s="3" t="s">
        <v>93</v>
      </c>
      <c r="AI17" s="3" t="s">
        <v>112</v>
      </c>
      <c r="AJ17" s="3" t="s">
        <v>204</v>
      </c>
      <c r="AK17" s="3" t="s">
        <v>223</v>
      </c>
      <c r="AL17" s="3">
        <v>6000204</v>
      </c>
      <c r="AM17" s="3" t="s">
        <v>92</v>
      </c>
      <c r="AN17" s="3" t="s">
        <v>203</v>
      </c>
      <c r="AO17" s="3" t="s">
        <v>549</v>
      </c>
      <c r="AP17" s="3"/>
      <c r="AQ17" s="3" t="s">
        <v>550</v>
      </c>
      <c r="AR17" s="3" t="s">
        <v>90</v>
      </c>
      <c r="AS17" s="3"/>
      <c r="AT17" s="3" t="s">
        <v>107</v>
      </c>
      <c r="AU17" s="3"/>
      <c r="AV17" s="3" t="s">
        <v>107</v>
      </c>
      <c r="AW17" s="3" t="s">
        <v>576</v>
      </c>
      <c r="AX17" s="3" t="s">
        <v>552</v>
      </c>
      <c r="AY17" s="3" t="s">
        <v>607</v>
      </c>
      <c r="AZ17" s="3" t="s">
        <v>626</v>
      </c>
      <c r="BA17" s="3"/>
      <c r="BB17" s="3" t="s">
        <v>554</v>
      </c>
      <c r="BC17" s="3">
        <v>0</v>
      </c>
      <c r="BD17" s="3">
        <v>0</v>
      </c>
      <c r="BE17" s="3" t="s">
        <v>627</v>
      </c>
      <c r="BF17" s="3">
        <v>90</v>
      </c>
      <c r="BG17" s="3" t="s">
        <v>878</v>
      </c>
      <c r="BH17" s="3" t="s">
        <v>611</v>
      </c>
      <c r="BI17" s="3"/>
      <c r="BJ17" s="3" t="s">
        <v>564</v>
      </c>
      <c r="BK17" s="3" t="s">
        <v>558</v>
      </c>
      <c r="BL17" s="3" t="s">
        <v>126</v>
      </c>
      <c r="BM17" s="3" t="s">
        <v>105</v>
      </c>
      <c r="BN17" s="3">
        <v>2368554</v>
      </c>
      <c r="BO17" s="3" t="s">
        <v>802</v>
      </c>
      <c r="BP17" s="3" t="s">
        <v>223</v>
      </c>
      <c r="BQ17" s="3" t="s">
        <v>223</v>
      </c>
      <c r="BR17" s="3" t="s">
        <v>879</v>
      </c>
    </row>
    <row r="18" spans="1:70" x14ac:dyDescent="0.25">
      <c r="A18" s="3" t="s">
        <v>577</v>
      </c>
      <c r="B18" s="3" t="s">
        <v>578</v>
      </c>
      <c r="C18" s="3" t="s">
        <v>209</v>
      </c>
      <c r="D18" s="3">
        <v>430</v>
      </c>
      <c r="E18" s="4">
        <v>46070</v>
      </c>
      <c r="F18" s="3">
        <v>2</v>
      </c>
      <c r="G18" s="4">
        <v>46066</v>
      </c>
      <c r="H18" s="4">
        <v>46070</v>
      </c>
      <c r="I18" s="3">
        <v>2</v>
      </c>
      <c r="J18" s="3" t="s">
        <v>579</v>
      </c>
      <c r="K18" s="4">
        <v>46071</v>
      </c>
      <c r="L18" s="3">
        <v>3</v>
      </c>
      <c r="M18" s="3" t="s">
        <v>579</v>
      </c>
      <c r="N18" s="3">
        <v>1</v>
      </c>
      <c r="O18" s="3" t="s">
        <v>546</v>
      </c>
      <c r="P18" s="3">
        <v>1</v>
      </c>
      <c r="Q18" s="3">
        <v>1</v>
      </c>
      <c r="R18" s="3" t="s">
        <v>546</v>
      </c>
      <c r="S18" s="4">
        <v>46072</v>
      </c>
      <c r="T18" s="3">
        <v>4</v>
      </c>
      <c r="U18" s="3" t="s">
        <v>543</v>
      </c>
      <c r="V18" s="3">
        <v>9</v>
      </c>
      <c r="W18" s="3" t="s">
        <v>544</v>
      </c>
      <c r="X18" s="4">
        <v>46079</v>
      </c>
      <c r="Y18" s="3">
        <v>4</v>
      </c>
      <c r="Z18" s="3">
        <v>5</v>
      </c>
      <c r="AA18" s="4" t="s">
        <v>544</v>
      </c>
      <c r="AB18" s="4">
        <v>46078</v>
      </c>
      <c r="AC18" s="4">
        <v>46079</v>
      </c>
      <c r="AD18" s="5">
        <v>1</v>
      </c>
      <c r="AE18" s="4">
        <v>46079</v>
      </c>
      <c r="AF18" s="4">
        <v>1</v>
      </c>
      <c r="AG18" s="4" t="s">
        <v>548</v>
      </c>
      <c r="AH18" s="3" t="s">
        <v>93</v>
      </c>
      <c r="AI18" s="3" t="s">
        <v>112</v>
      </c>
      <c r="AJ18" s="3" t="s">
        <v>212</v>
      </c>
      <c r="AK18" s="3" t="s">
        <v>223</v>
      </c>
      <c r="AL18" s="3">
        <v>6000222</v>
      </c>
      <c r="AM18" s="3" t="s">
        <v>92</v>
      </c>
      <c r="AN18" s="3" t="s">
        <v>211</v>
      </c>
      <c r="AO18" s="3" t="s">
        <v>549</v>
      </c>
      <c r="AP18" s="3"/>
      <c r="AQ18" s="3" t="s">
        <v>550</v>
      </c>
      <c r="AR18" s="3" t="s">
        <v>90</v>
      </c>
      <c r="AS18" s="3"/>
      <c r="AT18" s="3" t="s">
        <v>117</v>
      </c>
      <c r="AU18" s="3"/>
      <c r="AV18" s="3" t="s">
        <v>117</v>
      </c>
      <c r="AW18" s="3" t="s">
        <v>576</v>
      </c>
      <c r="AX18" s="3" t="s">
        <v>552</v>
      </c>
      <c r="AY18" s="3" t="s">
        <v>580</v>
      </c>
      <c r="AZ18" s="3"/>
      <c r="BA18" s="3" t="s">
        <v>589</v>
      </c>
      <c r="BB18" s="3" t="s">
        <v>554</v>
      </c>
      <c r="BC18" s="3">
        <v>0</v>
      </c>
      <c r="BD18" s="3">
        <v>99</v>
      </c>
      <c r="BE18" s="3" t="s">
        <v>628</v>
      </c>
      <c r="BF18" s="3">
        <v>90</v>
      </c>
      <c r="BG18" s="3" t="s">
        <v>629</v>
      </c>
      <c r="BH18" s="3" t="s">
        <v>600</v>
      </c>
      <c r="BI18" s="3"/>
      <c r="BJ18" s="3" t="s">
        <v>558</v>
      </c>
      <c r="BK18" s="3" t="s">
        <v>558</v>
      </c>
      <c r="BL18" s="3" t="s">
        <v>105</v>
      </c>
      <c r="BM18" s="3" t="s">
        <v>105</v>
      </c>
      <c r="BN18" s="3">
        <v>16399589</v>
      </c>
      <c r="BO18" s="3" t="s">
        <v>802</v>
      </c>
      <c r="BP18" s="3" t="s">
        <v>223</v>
      </c>
      <c r="BQ18" s="3" t="s">
        <v>223</v>
      </c>
      <c r="BR18" s="3" t="s">
        <v>880</v>
      </c>
    </row>
    <row r="19" spans="1:70" x14ac:dyDescent="0.25">
      <c r="A19" s="3" t="s">
        <v>577</v>
      </c>
      <c r="B19" s="3" t="s">
        <v>578</v>
      </c>
      <c r="C19" s="3" t="s">
        <v>250</v>
      </c>
      <c r="D19" s="3">
        <v>430</v>
      </c>
      <c r="E19" s="4">
        <v>46080</v>
      </c>
      <c r="F19" s="3">
        <v>2</v>
      </c>
      <c r="G19" s="4">
        <v>46077</v>
      </c>
      <c r="H19" s="4">
        <v>46080</v>
      </c>
      <c r="I19" s="3">
        <v>3</v>
      </c>
      <c r="J19" s="3" t="s">
        <v>579</v>
      </c>
      <c r="K19" s="4">
        <v>46083</v>
      </c>
      <c r="L19" s="3">
        <v>4</v>
      </c>
      <c r="M19" s="3" t="s">
        <v>543</v>
      </c>
      <c r="N19" s="3">
        <v>1</v>
      </c>
      <c r="O19" s="3" t="s">
        <v>546</v>
      </c>
      <c r="P19" s="3">
        <v>1</v>
      </c>
      <c r="Q19" s="3">
        <v>1</v>
      </c>
      <c r="R19" s="3" t="s">
        <v>546</v>
      </c>
      <c r="S19" s="4">
        <v>46084</v>
      </c>
      <c r="T19" s="3">
        <v>5</v>
      </c>
      <c r="U19" s="3" t="s">
        <v>543</v>
      </c>
      <c r="V19" s="3">
        <v>18</v>
      </c>
      <c r="W19" s="3" t="s">
        <v>547</v>
      </c>
      <c r="X19" s="4">
        <v>46101</v>
      </c>
      <c r="Y19" s="3">
        <v>12</v>
      </c>
      <c r="Z19" s="3">
        <v>13</v>
      </c>
      <c r="AA19" s="4" t="s">
        <v>547</v>
      </c>
      <c r="AB19" s="4">
        <v>46100</v>
      </c>
      <c r="AC19" s="4">
        <v>46101</v>
      </c>
      <c r="AD19" s="5">
        <v>1</v>
      </c>
      <c r="AE19" s="4">
        <v>46101</v>
      </c>
      <c r="AF19" s="4">
        <v>1</v>
      </c>
      <c r="AG19" s="4" t="s">
        <v>548</v>
      </c>
      <c r="AH19" s="3" t="s">
        <v>93</v>
      </c>
      <c r="AI19" s="3" t="s">
        <v>112</v>
      </c>
      <c r="AJ19" s="3" t="s">
        <v>254</v>
      </c>
      <c r="AK19" s="3" t="s">
        <v>223</v>
      </c>
      <c r="AL19" s="3">
        <v>6000276</v>
      </c>
      <c r="AM19" s="3" t="s">
        <v>92</v>
      </c>
      <c r="AN19" s="3" t="s">
        <v>179</v>
      </c>
      <c r="AO19" s="3" t="s">
        <v>549</v>
      </c>
      <c r="AP19" s="3"/>
      <c r="AQ19" s="3" t="s">
        <v>550</v>
      </c>
      <c r="AR19" s="3" t="s">
        <v>90</v>
      </c>
      <c r="AS19" s="3"/>
      <c r="AT19" s="3" t="s">
        <v>117</v>
      </c>
      <c r="AU19" s="3"/>
      <c r="AV19" s="3" t="s">
        <v>117</v>
      </c>
      <c r="AW19" s="3" t="s">
        <v>576</v>
      </c>
      <c r="AX19" s="3" t="s">
        <v>552</v>
      </c>
      <c r="AY19" s="3" t="s">
        <v>607</v>
      </c>
      <c r="AZ19" s="3" t="s">
        <v>647</v>
      </c>
      <c r="BA19" s="3"/>
      <c r="BB19" s="3" t="s">
        <v>554</v>
      </c>
      <c r="BC19" s="3">
        <v>0</v>
      </c>
      <c r="BD19" s="3">
        <v>99</v>
      </c>
      <c r="BE19" s="3" t="s">
        <v>648</v>
      </c>
      <c r="BF19" s="3">
        <v>90</v>
      </c>
      <c r="BG19" s="3" t="s">
        <v>892</v>
      </c>
      <c r="BH19" s="3" t="s">
        <v>611</v>
      </c>
      <c r="BI19" s="3"/>
      <c r="BJ19" s="3" t="s">
        <v>613</v>
      </c>
      <c r="BK19" s="3" t="s">
        <v>558</v>
      </c>
      <c r="BL19" s="3" t="s">
        <v>133</v>
      </c>
      <c r="BM19" s="3" t="s">
        <v>105</v>
      </c>
      <c r="BN19" s="3">
        <v>17387126</v>
      </c>
      <c r="BO19" s="3" t="s">
        <v>893</v>
      </c>
      <c r="BP19" s="3" t="s">
        <v>223</v>
      </c>
      <c r="BQ19" s="3" t="s">
        <v>894</v>
      </c>
      <c r="BR19" s="3" t="s">
        <v>895</v>
      </c>
    </row>
    <row r="20" spans="1:70" x14ac:dyDescent="0.25">
      <c r="A20" s="3" t="s">
        <v>541</v>
      </c>
      <c r="B20" s="3" t="s">
        <v>542</v>
      </c>
      <c r="C20" s="3" t="s">
        <v>276</v>
      </c>
      <c r="D20" s="3">
        <v>470</v>
      </c>
      <c r="E20" s="4">
        <v>46086</v>
      </c>
      <c r="F20" s="3">
        <v>3</v>
      </c>
      <c r="G20" s="4">
        <v>46080</v>
      </c>
      <c r="H20" s="4">
        <v>46086</v>
      </c>
      <c r="I20" s="3">
        <v>4</v>
      </c>
      <c r="J20" s="3" t="s">
        <v>543</v>
      </c>
      <c r="K20" s="4">
        <v>46087</v>
      </c>
      <c r="L20" s="3">
        <v>5</v>
      </c>
      <c r="M20" s="3" t="s">
        <v>543</v>
      </c>
      <c r="N20" s="3">
        <v>1</v>
      </c>
      <c r="O20" s="3" t="s">
        <v>546</v>
      </c>
      <c r="P20" s="3">
        <v>1</v>
      </c>
      <c r="Q20" s="3">
        <v>0</v>
      </c>
      <c r="R20" s="3" t="s">
        <v>546</v>
      </c>
      <c r="S20" s="4">
        <v>46087</v>
      </c>
      <c r="T20" s="3">
        <v>5</v>
      </c>
      <c r="U20" s="3" t="s">
        <v>543</v>
      </c>
      <c r="V20" s="3">
        <v>23</v>
      </c>
      <c r="W20" s="3" t="s">
        <v>547</v>
      </c>
      <c r="X20" s="4">
        <v>46113</v>
      </c>
      <c r="Y20" s="3">
        <v>3</v>
      </c>
      <c r="Z20" s="3">
        <v>18</v>
      </c>
      <c r="AA20" s="4" t="s">
        <v>547</v>
      </c>
      <c r="AB20" s="4">
        <v>46092</v>
      </c>
      <c r="AC20" s="4">
        <v>46093</v>
      </c>
      <c r="AD20" s="5">
        <v>15</v>
      </c>
      <c r="AE20" s="4">
        <v>46113</v>
      </c>
      <c r="AF20" s="4">
        <v>1</v>
      </c>
      <c r="AG20" s="4" t="s">
        <v>548</v>
      </c>
      <c r="AH20" s="3" t="s">
        <v>93</v>
      </c>
      <c r="AI20" s="3" t="s">
        <v>285</v>
      </c>
      <c r="AJ20" s="3" t="s">
        <v>281</v>
      </c>
      <c r="AK20" s="3" t="s">
        <v>223</v>
      </c>
      <c r="AL20" s="3">
        <v>6001223</v>
      </c>
      <c r="AM20" s="3" t="s">
        <v>92</v>
      </c>
      <c r="AN20" s="3" t="s">
        <v>278</v>
      </c>
      <c r="AO20" s="3" t="s">
        <v>549</v>
      </c>
      <c r="AP20" s="3"/>
      <c r="AQ20" s="3" t="s">
        <v>550</v>
      </c>
      <c r="AR20" s="3" t="s">
        <v>90</v>
      </c>
      <c r="AS20" s="3"/>
      <c r="AT20" s="3"/>
      <c r="AU20" s="3"/>
      <c r="AV20" s="3"/>
      <c r="AW20" s="3" t="s">
        <v>551</v>
      </c>
      <c r="AX20" s="3" t="s">
        <v>552</v>
      </c>
      <c r="AY20" s="3" t="s">
        <v>223</v>
      </c>
      <c r="AZ20" s="3"/>
      <c r="BA20" s="3" t="s">
        <v>553</v>
      </c>
      <c r="BB20" s="3" t="s">
        <v>554</v>
      </c>
      <c r="BC20" s="3">
        <v>0</v>
      </c>
      <c r="BD20" s="3">
        <v>0</v>
      </c>
      <c r="BE20" s="3" t="s">
        <v>555</v>
      </c>
      <c r="BF20" s="3">
        <v>90</v>
      </c>
      <c r="BG20" s="3" t="s">
        <v>797</v>
      </c>
      <c r="BH20" s="3" t="s">
        <v>556</v>
      </c>
      <c r="BI20" s="3"/>
      <c r="BJ20" s="3" t="s">
        <v>557</v>
      </c>
      <c r="BK20" s="3" t="s">
        <v>558</v>
      </c>
      <c r="BL20" s="3" t="s">
        <v>197</v>
      </c>
      <c r="BM20" s="3" t="s">
        <v>105</v>
      </c>
      <c r="BN20" s="3">
        <v>586895</v>
      </c>
      <c r="BO20" s="3" t="s">
        <v>798</v>
      </c>
      <c r="BP20" s="3" t="s">
        <v>799</v>
      </c>
      <c r="BQ20" s="3" t="s">
        <v>223</v>
      </c>
      <c r="BR20" s="3" t="s">
        <v>800</v>
      </c>
    </row>
    <row r="21" spans="1:70" x14ac:dyDescent="0.25">
      <c r="A21" s="3" t="s">
        <v>565</v>
      </c>
      <c r="B21" s="3" t="s">
        <v>566</v>
      </c>
      <c r="C21" s="3" t="s">
        <v>574</v>
      </c>
      <c r="D21" s="3">
        <v>240</v>
      </c>
      <c r="E21" s="4" t="s">
        <v>223</v>
      </c>
      <c r="F21" s="3">
        <v>3</v>
      </c>
      <c r="G21" s="4">
        <v>46093</v>
      </c>
      <c r="H21" s="4">
        <v>46093</v>
      </c>
      <c r="I21" s="3">
        <v>0</v>
      </c>
      <c r="J21" s="3" t="s">
        <v>546</v>
      </c>
      <c r="K21" s="4">
        <v>46093</v>
      </c>
      <c r="L21" s="3">
        <v>0</v>
      </c>
      <c r="M21" s="3" t="s">
        <v>546</v>
      </c>
      <c r="N21" s="3">
        <v>0</v>
      </c>
      <c r="O21" s="3" t="s">
        <v>569</v>
      </c>
      <c r="P21" s="3">
        <v>0</v>
      </c>
      <c r="Q21" s="3">
        <v>2</v>
      </c>
      <c r="R21" s="3" t="s">
        <v>579</v>
      </c>
      <c r="S21" s="4">
        <v>46095</v>
      </c>
      <c r="T21" s="3">
        <v>2</v>
      </c>
      <c r="U21" s="3" t="s">
        <v>579</v>
      </c>
      <c r="V21" s="3">
        <v>12</v>
      </c>
      <c r="W21" s="3" t="s">
        <v>559</v>
      </c>
      <c r="X21" s="4">
        <v>46111</v>
      </c>
      <c r="Y21" s="3">
        <v>10</v>
      </c>
      <c r="Z21" s="3">
        <v>0</v>
      </c>
      <c r="AA21" s="4" t="s">
        <v>547</v>
      </c>
      <c r="AB21" s="4">
        <v>46111</v>
      </c>
      <c r="AC21" s="4">
        <v>46111</v>
      </c>
      <c r="AD21" s="5">
        <v>0</v>
      </c>
      <c r="AE21" s="4">
        <v>46111</v>
      </c>
      <c r="AF21" s="4">
        <v>1</v>
      </c>
      <c r="AG21" s="4" t="s">
        <v>548</v>
      </c>
      <c r="AH21" s="3" t="s">
        <v>93</v>
      </c>
      <c r="AI21" s="3" t="s">
        <v>285</v>
      </c>
      <c r="AJ21" s="3" t="s">
        <v>223</v>
      </c>
      <c r="AK21" s="3" t="s">
        <v>223</v>
      </c>
      <c r="AL21" s="3">
        <v>6018215</v>
      </c>
      <c r="AM21" s="3" t="s">
        <v>92</v>
      </c>
      <c r="AN21" s="3" t="s">
        <v>572</v>
      </c>
      <c r="AO21" s="3" t="s">
        <v>549</v>
      </c>
      <c r="AP21" s="3"/>
      <c r="AQ21" s="3" t="s">
        <v>550</v>
      </c>
      <c r="AR21" s="3" t="s">
        <v>90</v>
      </c>
      <c r="AS21" s="3"/>
      <c r="AT21" s="3"/>
      <c r="AU21" s="3"/>
      <c r="AV21" s="3"/>
      <c r="AW21" s="3"/>
      <c r="AX21" s="3" t="s">
        <v>552</v>
      </c>
      <c r="AY21" s="3" t="s">
        <v>223</v>
      </c>
      <c r="AZ21" s="3"/>
      <c r="BA21" s="3"/>
      <c r="BB21" s="3" t="s">
        <v>554</v>
      </c>
      <c r="BC21" s="3" t="s">
        <v>223</v>
      </c>
      <c r="BD21" s="3" t="s">
        <v>223</v>
      </c>
      <c r="BE21" s="3" t="s">
        <v>223</v>
      </c>
      <c r="BF21" s="3">
        <v>90</v>
      </c>
      <c r="BG21" s="3" t="s">
        <v>223</v>
      </c>
      <c r="BH21" s="3" t="s">
        <v>223</v>
      </c>
      <c r="BI21" s="3"/>
      <c r="BJ21" s="3" t="s">
        <v>223</v>
      </c>
      <c r="BK21" s="3" t="s">
        <v>223</v>
      </c>
      <c r="BL21" s="3" t="s">
        <v>223</v>
      </c>
      <c r="BM21" s="3" t="s">
        <v>223</v>
      </c>
      <c r="BN21" s="3" t="s">
        <v>223</v>
      </c>
      <c r="BO21" s="3" t="s">
        <v>223</v>
      </c>
      <c r="BP21" s="3" t="s">
        <v>223</v>
      </c>
      <c r="BQ21" s="3" t="s">
        <v>223</v>
      </c>
      <c r="BR21" s="3" t="s">
        <v>836</v>
      </c>
    </row>
    <row r="22" spans="1:70" x14ac:dyDescent="0.25">
      <c r="A22" s="3" t="s">
        <v>577</v>
      </c>
      <c r="B22" s="3" t="s">
        <v>578</v>
      </c>
      <c r="C22" s="3" t="s">
        <v>193</v>
      </c>
      <c r="D22" s="3">
        <v>430</v>
      </c>
      <c r="E22" s="4">
        <v>46111</v>
      </c>
      <c r="F22" s="3">
        <v>3</v>
      </c>
      <c r="G22" s="4">
        <v>46105</v>
      </c>
      <c r="H22" s="4">
        <v>46111</v>
      </c>
      <c r="I22" s="3">
        <v>4</v>
      </c>
      <c r="J22" s="3" t="s">
        <v>543</v>
      </c>
      <c r="K22" s="4">
        <v>46112</v>
      </c>
      <c r="L22" s="3">
        <v>5</v>
      </c>
      <c r="M22" s="3" t="s">
        <v>543</v>
      </c>
      <c r="N22" s="3">
        <v>1</v>
      </c>
      <c r="O22" s="3" t="s">
        <v>546</v>
      </c>
      <c r="P22" s="3">
        <v>1</v>
      </c>
      <c r="Q22" s="3">
        <v>1</v>
      </c>
      <c r="R22" s="3" t="s">
        <v>546</v>
      </c>
      <c r="S22" s="4">
        <v>46113</v>
      </c>
      <c r="T22" s="3">
        <v>6</v>
      </c>
      <c r="U22" s="3" t="s">
        <v>544</v>
      </c>
      <c r="V22" s="3">
        <v>11</v>
      </c>
      <c r="W22" s="3" t="s">
        <v>559</v>
      </c>
      <c r="X22" s="4">
        <v>46120</v>
      </c>
      <c r="Y22" s="3">
        <v>5</v>
      </c>
      <c r="Z22" s="3">
        <v>5</v>
      </c>
      <c r="AA22" s="4" t="s">
        <v>544</v>
      </c>
      <c r="AB22" s="4">
        <v>46120</v>
      </c>
      <c r="AC22" s="4">
        <v>46120</v>
      </c>
      <c r="AD22" s="5">
        <v>0</v>
      </c>
      <c r="AE22" s="4">
        <v>46120</v>
      </c>
      <c r="AF22" s="4">
        <v>1</v>
      </c>
      <c r="AG22" s="4" t="s">
        <v>548</v>
      </c>
      <c r="AH22" s="3" t="s">
        <v>93</v>
      </c>
      <c r="AI22" s="3" t="s">
        <v>112</v>
      </c>
      <c r="AJ22" s="3">
        <v>265457533</v>
      </c>
      <c r="AK22" s="3" t="s">
        <v>223</v>
      </c>
      <c r="AL22" s="3">
        <v>6000168</v>
      </c>
      <c r="AM22" s="3" t="s">
        <v>92</v>
      </c>
      <c r="AN22" s="3" t="s">
        <v>195</v>
      </c>
      <c r="AO22" s="3" t="s">
        <v>549</v>
      </c>
      <c r="AP22" s="3"/>
      <c r="AQ22" s="3" t="s">
        <v>550</v>
      </c>
      <c r="AR22" s="3" t="s">
        <v>90</v>
      </c>
      <c r="AS22" s="3"/>
      <c r="AT22" s="3" t="s">
        <v>117</v>
      </c>
      <c r="AU22" s="3"/>
      <c r="AV22" s="3" t="s">
        <v>117</v>
      </c>
      <c r="AW22" s="3" t="s">
        <v>397</v>
      </c>
      <c r="AX22" s="3" t="s">
        <v>552</v>
      </c>
      <c r="AY22" s="3" t="s">
        <v>607</v>
      </c>
      <c r="AZ22" s="3" t="s">
        <v>614</v>
      </c>
      <c r="BA22" s="3"/>
      <c r="BB22" s="3" t="s">
        <v>554</v>
      </c>
      <c r="BC22" s="3">
        <v>0</v>
      </c>
      <c r="BD22" s="3" t="s">
        <v>615</v>
      </c>
      <c r="BE22" s="3" t="s">
        <v>616</v>
      </c>
      <c r="BF22" s="3">
        <v>90</v>
      </c>
      <c r="BG22" s="3" t="s">
        <v>864</v>
      </c>
      <c r="BH22" s="3" t="s">
        <v>617</v>
      </c>
      <c r="BI22" s="3"/>
      <c r="BJ22" s="3" t="s">
        <v>557</v>
      </c>
      <c r="BK22" s="3" t="s">
        <v>558</v>
      </c>
      <c r="BL22" s="3" t="s">
        <v>197</v>
      </c>
      <c r="BM22" s="3" t="s">
        <v>105</v>
      </c>
      <c r="BN22" s="3">
        <v>114376</v>
      </c>
      <c r="BO22" s="3" t="s">
        <v>865</v>
      </c>
      <c r="BP22" s="3" t="s">
        <v>866</v>
      </c>
      <c r="BQ22" s="3" t="s">
        <v>223</v>
      </c>
      <c r="BR22" s="3" t="s">
        <v>867</v>
      </c>
    </row>
    <row r="23" spans="1:70" x14ac:dyDescent="0.25">
      <c r="A23" s="3" t="s">
        <v>577</v>
      </c>
      <c r="B23" s="3" t="s">
        <v>578</v>
      </c>
      <c r="C23" s="3" t="s">
        <v>233</v>
      </c>
      <c r="D23" s="3">
        <v>430</v>
      </c>
      <c r="E23" s="4">
        <v>46084</v>
      </c>
      <c r="F23" s="3">
        <v>3</v>
      </c>
      <c r="G23" s="4">
        <v>46069</v>
      </c>
      <c r="H23" s="4">
        <v>46084</v>
      </c>
      <c r="I23" s="3">
        <v>11</v>
      </c>
      <c r="J23" s="3" t="s">
        <v>559</v>
      </c>
      <c r="K23" s="4">
        <v>46090</v>
      </c>
      <c r="L23" s="3">
        <v>15</v>
      </c>
      <c r="M23" s="3" t="s">
        <v>559</v>
      </c>
      <c r="N23" s="3">
        <v>4</v>
      </c>
      <c r="O23" s="3" t="s">
        <v>543</v>
      </c>
      <c r="P23" s="3">
        <v>4</v>
      </c>
      <c r="Q23" s="3">
        <v>3</v>
      </c>
      <c r="R23" s="3" t="s">
        <v>579</v>
      </c>
      <c r="S23" s="4">
        <v>46093</v>
      </c>
      <c r="T23" s="3">
        <v>18</v>
      </c>
      <c r="U23" s="3" t="s">
        <v>588</v>
      </c>
      <c r="V23" s="3">
        <v>31</v>
      </c>
      <c r="W23" s="3" t="s">
        <v>547</v>
      </c>
      <c r="X23" s="4">
        <v>46112</v>
      </c>
      <c r="Y23" s="3">
        <v>12</v>
      </c>
      <c r="Z23" s="3">
        <v>13</v>
      </c>
      <c r="AA23" s="4" t="s">
        <v>547</v>
      </c>
      <c r="AB23" s="4">
        <v>46111</v>
      </c>
      <c r="AC23" s="4">
        <v>46112</v>
      </c>
      <c r="AD23" s="5">
        <v>1</v>
      </c>
      <c r="AE23" s="4">
        <v>46112</v>
      </c>
      <c r="AF23" s="4">
        <v>1</v>
      </c>
      <c r="AG23" s="4" t="s">
        <v>548</v>
      </c>
      <c r="AH23" s="3" t="s">
        <v>93</v>
      </c>
      <c r="AI23" s="3" t="s">
        <v>112</v>
      </c>
      <c r="AJ23" s="3" t="s">
        <v>236</v>
      </c>
      <c r="AK23" s="3" t="s">
        <v>223</v>
      </c>
      <c r="AL23" s="3">
        <v>6000244</v>
      </c>
      <c r="AM23" s="3" t="s">
        <v>92</v>
      </c>
      <c r="AN23" s="3" t="s">
        <v>235</v>
      </c>
      <c r="AO23" s="3" t="s">
        <v>549</v>
      </c>
      <c r="AP23" s="3"/>
      <c r="AQ23" s="3" t="s">
        <v>550</v>
      </c>
      <c r="AR23" s="3" t="s">
        <v>90</v>
      </c>
      <c r="AS23" s="3"/>
      <c r="AT23" s="3" t="s">
        <v>107</v>
      </c>
      <c r="AU23" s="3"/>
      <c r="AV23" s="3" t="s">
        <v>107</v>
      </c>
      <c r="AW23" s="3" t="s">
        <v>576</v>
      </c>
      <c r="AX23" s="3" t="s">
        <v>552</v>
      </c>
      <c r="AY23" s="3" t="s">
        <v>607</v>
      </c>
      <c r="AZ23" s="3" t="s">
        <v>632</v>
      </c>
      <c r="BA23" s="3"/>
      <c r="BB23" s="3" t="s">
        <v>554</v>
      </c>
      <c r="BC23" s="3">
        <v>0</v>
      </c>
      <c r="BD23" s="3">
        <v>0.99</v>
      </c>
      <c r="BE23" s="3" t="s">
        <v>633</v>
      </c>
      <c r="BF23" s="3">
        <v>90</v>
      </c>
      <c r="BG23" s="3" t="s">
        <v>634</v>
      </c>
      <c r="BH23" s="3" t="s">
        <v>611</v>
      </c>
      <c r="BI23" s="3"/>
      <c r="BJ23" s="3" t="s">
        <v>635</v>
      </c>
      <c r="BK23" s="3" t="s">
        <v>558</v>
      </c>
      <c r="BL23" s="3" t="s">
        <v>636</v>
      </c>
      <c r="BM23" s="3" t="s">
        <v>105</v>
      </c>
      <c r="BN23" s="3">
        <v>1074755</v>
      </c>
      <c r="BO23" s="3" t="s">
        <v>802</v>
      </c>
      <c r="BP23" s="3" t="s">
        <v>883</v>
      </c>
      <c r="BQ23" s="3" t="s">
        <v>223</v>
      </c>
      <c r="BR23" s="3" t="s">
        <v>884</v>
      </c>
    </row>
    <row r="24" spans="1:70" x14ac:dyDescent="0.25">
      <c r="A24" s="3" t="s">
        <v>577</v>
      </c>
      <c r="B24" s="3" t="s">
        <v>578</v>
      </c>
      <c r="C24" s="3" t="s">
        <v>341</v>
      </c>
      <c r="D24" s="3">
        <v>430</v>
      </c>
      <c r="E24" s="4">
        <v>46090</v>
      </c>
      <c r="F24" s="3">
        <v>3</v>
      </c>
      <c r="G24" s="4">
        <v>46069</v>
      </c>
      <c r="H24" s="4">
        <v>46090</v>
      </c>
      <c r="I24" s="3">
        <v>15</v>
      </c>
      <c r="J24" s="3" t="s">
        <v>559</v>
      </c>
      <c r="K24" s="4">
        <v>46092</v>
      </c>
      <c r="L24" s="3">
        <v>17</v>
      </c>
      <c r="M24" s="3" t="s">
        <v>568</v>
      </c>
      <c r="N24" s="3">
        <v>2</v>
      </c>
      <c r="O24" s="3" t="s">
        <v>579</v>
      </c>
      <c r="P24" s="3">
        <v>2</v>
      </c>
      <c r="Q24" s="3">
        <v>1</v>
      </c>
      <c r="R24" s="3" t="s">
        <v>546</v>
      </c>
      <c r="S24" s="4">
        <v>46093</v>
      </c>
      <c r="T24" s="3">
        <v>18</v>
      </c>
      <c r="U24" s="3" t="s">
        <v>588</v>
      </c>
      <c r="V24" s="3">
        <v>31</v>
      </c>
      <c r="W24" s="3" t="s">
        <v>547</v>
      </c>
      <c r="X24" s="4">
        <v>46112</v>
      </c>
      <c r="Y24" s="3">
        <v>12</v>
      </c>
      <c r="Z24" s="3">
        <v>13</v>
      </c>
      <c r="AA24" s="4" t="s">
        <v>547</v>
      </c>
      <c r="AB24" s="4">
        <v>46111</v>
      </c>
      <c r="AC24" s="4">
        <v>46112</v>
      </c>
      <c r="AD24" s="5">
        <v>1</v>
      </c>
      <c r="AE24" s="4">
        <v>46112</v>
      </c>
      <c r="AF24" s="4">
        <v>1</v>
      </c>
      <c r="AG24" s="4" t="s">
        <v>548</v>
      </c>
      <c r="AH24" s="3" t="s">
        <v>342</v>
      </c>
      <c r="AI24" s="3" t="s">
        <v>112</v>
      </c>
      <c r="AJ24" s="3" t="s">
        <v>236</v>
      </c>
      <c r="AK24" s="3" t="s">
        <v>223</v>
      </c>
      <c r="AL24" s="3">
        <v>6000406</v>
      </c>
      <c r="AM24" s="3" t="s">
        <v>92</v>
      </c>
      <c r="AN24" s="3" t="s">
        <v>235</v>
      </c>
      <c r="AO24" s="3" t="s">
        <v>549</v>
      </c>
      <c r="AP24" s="3"/>
      <c r="AQ24" s="3" t="s">
        <v>550</v>
      </c>
      <c r="AR24" s="3" t="s">
        <v>90</v>
      </c>
      <c r="AS24" s="3"/>
      <c r="AT24" s="3" t="s">
        <v>107</v>
      </c>
      <c r="AU24" s="3"/>
      <c r="AV24" s="3" t="s">
        <v>107</v>
      </c>
      <c r="AW24" s="3" t="s">
        <v>576</v>
      </c>
      <c r="AX24" s="3" t="s">
        <v>552</v>
      </c>
      <c r="AY24" s="3" t="s">
        <v>607</v>
      </c>
      <c r="AZ24" s="3" t="s">
        <v>637</v>
      </c>
      <c r="BA24" s="3"/>
      <c r="BB24" s="3" t="s">
        <v>554</v>
      </c>
      <c r="BC24" s="3">
        <v>0</v>
      </c>
      <c r="BD24" s="3">
        <v>0.99</v>
      </c>
      <c r="BE24" s="3" t="s">
        <v>633</v>
      </c>
      <c r="BF24" s="3">
        <v>90</v>
      </c>
      <c r="BG24" s="3" t="s">
        <v>634</v>
      </c>
      <c r="BH24" s="3" t="s">
        <v>611</v>
      </c>
      <c r="BI24" s="3"/>
      <c r="BJ24" s="3" t="s">
        <v>635</v>
      </c>
      <c r="BK24" s="3" t="s">
        <v>558</v>
      </c>
      <c r="BL24" s="3" t="s">
        <v>636</v>
      </c>
      <c r="BM24" s="3" t="s">
        <v>105</v>
      </c>
      <c r="BN24" s="3">
        <v>1074755</v>
      </c>
      <c r="BO24" s="3" t="s">
        <v>795</v>
      </c>
      <c r="BP24" s="3" t="s">
        <v>223</v>
      </c>
      <c r="BQ24" s="3" t="s">
        <v>223</v>
      </c>
      <c r="BR24" s="3" t="s">
        <v>884</v>
      </c>
    </row>
    <row r="25" spans="1:70" x14ac:dyDescent="0.25">
      <c r="A25" s="3" t="s">
        <v>577</v>
      </c>
      <c r="B25" s="3" t="s">
        <v>578</v>
      </c>
      <c r="C25" s="3" t="s">
        <v>240</v>
      </c>
      <c r="D25" s="3">
        <v>430</v>
      </c>
      <c r="E25" s="4">
        <v>46087</v>
      </c>
      <c r="F25" s="3">
        <v>3</v>
      </c>
      <c r="G25" s="4">
        <v>46080</v>
      </c>
      <c r="H25" s="4">
        <v>46087</v>
      </c>
      <c r="I25" s="3">
        <v>5</v>
      </c>
      <c r="J25" s="3" t="s">
        <v>543</v>
      </c>
      <c r="K25" s="4">
        <v>46088</v>
      </c>
      <c r="L25" s="3">
        <v>5</v>
      </c>
      <c r="M25" s="3" t="s">
        <v>543</v>
      </c>
      <c r="N25" s="3">
        <v>1</v>
      </c>
      <c r="O25" s="3" t="s">
        <v>546</v>
      </c>
      <c r="P25" s="3">
        <v>1</v>
      </c>
      <c r="Q25" s="3">
        <v>2</v>
      </c>
      <c r="R25" s="3" t="s">
        <v>579</v>
      </c>
      <c r="S25" s="4">
        <v>46090</v>
      </c>
      <c r="T25" s="3">
        <v>6</v>
      </c>
      <c r="U25" s="3" t="s">
        <v>544</v>
      </c>
      <c r="V25" s="3">
        <v>12</v>
      </c>
      <c r="W25" s="3" t="s">
        <v>559</v>
      </c>
      <c r="X25" s="4">
        <v>46098</v>
      </c>
      <c r="Y25" s="3">
        <v>6</v>
      </c>
      <c r="Z25" s="3">
        <v>6</v>
      </c>
      <c r="AA25" s="4" t="s">
        <v>544</v>
      </c>
      <c r="AB25" s="4">
        <v>46098</v>
      </c>
      <c r="AC25" s="4">
        <v>46098</v>
      </c>
      <c r="AD25" s="5">
        <v>0</v>
      </c>
      <c r="AE25" s="4">
        <v>46098</v>
      </c>
      <c r="AF25" s="4">
        <v>1</v>
      </c>
      <c r="AG25" s="4" t="s">
        <v>548</v>
      </c>
      <c r="AH25" s="3" t="s">
        <v>93</v>
      </c>
      <c r="AI25" s="3" t="s">
        <v>112</v>
      </c>
      <c r="AJ25" s="3">
        <v>265571225</v>
      </c>
      <c r="AK25" s="3" t="s">
        <v>223</v>
      </c>
      <c r="AL25" s="3">
        <v>6000245</v>
      </c>
      <c r="AM25" s="3" t="s">
        <v>92</v>
      </c>
      <c r="AN25" s="3" t="s">
        <v>242</v>
      </c>
      <c r="AO25" s="3" t="s">
        <v>549</v>
      </c>
      <c r="AP25" s="3"/>
      <c r="AQ25" s="3" t="s">
        <v>550</v>
      </c>
      <c r="AR25" s="3" t="s">
        <v>90</v>
      </c>
      <c r="AS25" s="3"/>
      <c r="AT25" s="3" t="s">
        <v>107</v>
      </c>
      <c r="AU25" s="3"/>
      <c r="AV25" s="3" t="s">
        <v>107</v>
      </c>
      <c r="AW25" s="3" t="s">
        <v>576</v>
      </c>
      <c r="AX25" s="3" t="s">
        <v>552</v>
      </c>
      <c r="AY25" s="3" t="s">
        <v>607</v>
      </c>
      <c r="AZ25" s="3" t="s">
        <v>638</v>
      </c>
      <c r="BA25" s="3"/>
      <c r="BB25" s="3" t="s">
        <v>554</v>
      </c>
      <c r="BC25" s="3">
        <v>0</v>
      </c>
      <c r="BD25" s="3">
        <v>99</v>
      </c>
      <c r="BE25" s="3" t="s">
        <v>639</v>
      </c>
      <c r="BF25" s="3">
        <v>90</v>
      </c>
      <c r="BG25" s="3" t="s">
        <v>640</v>
      </c>
      <c r="BH25" s="3" t="s">
        <v>611</v>
      </c>
      <c r="BI25" s="3"/>
      <c r="BJ25" s="3" t="s">
        <v>619</v>
      </c>
      <c r="BK25" s="3" t="s">
        <v>558</v>
      </c>
      <c r="BL25" s="3" t="s">
        <v>189</v>
      </c>
      <c r="BM25" s="3" t="s">
        <v>105</v>
      </c>
      <c r="BN25" s="3">
        <v>3230831</v>
      </c>
      <c r="BO25" s="3" t="s">
        <v>885</v>
      </c>
      <c r="BP25" s="3" t="s">
        <v>223</v>
      </c>
      <c r="BQ25" s="3" t="s">
        <v>223</v>
      </c>
      <c r="BR25" s="3" t="s">
        <v>886</v>
      </c>
    </row>
    <row r="26" spans="1:70" x14ac:dyDescent="0.25">
      <c r="A26" s="3" t="s">
        <v>577</v>
      </c>
      <c r="B26" s="3" t="s">
        <v>578</v>
      </c>
      <c r="C26" s="3" t="s">
        <v>287</v>
      </c>
      <c r="D26" s="3">
        <v>430</v>
      </c>
      <c r="E26" s="4">
        <v>46087</v>
      </c>
      <c r="F26" s="3">
        <v>3</v>
      </c>
      <c r="G26" s="4">
        <v>46079</v>
      </c>
      <c r="H26" s="4">
        <v>46087</v>
      </c>
      <c r="I26" s="3">
        <v>6</v>
      </c>
      <c r="J26" s="3" t="s">
        <v>544</v>
      </c>
      <c r="K26" s="4">
        <v>46088</v>
      </c>
      <c r="L26" s="3">
        <v>6</v>
      </c>
      <c r="M26" s="3" t="s">
        <v>544</v>
      </c>
      <c r="N26" s="3">
        <v>1</v>
      </c>
      <c r="O26" s="3" t="s">
        <v>546</v>
      </c>
      <c r="P26" s="3">
        <v>1</v>
      </c>
      <c r="Q26" s="3">
        <v>2</v>
      </c>
      <c r="R26" s="3" t="s">
        <v>579</v>
      </c>
      <c r="S26" s="4">
        <v>46090</v>
      </c>
      <c r="T26" s="3">
        <v>7</v>
      </c>
      <c r="U26" s="3" t="s">
        <v>544</v>
      </c>
      <c r="V26" s="3">
        <v>13</v>
      </c>
      <c r="W26" s="3" t="s">
        <v>559</v>
      </c>
      <c r="X26" s="4">
        <v>46098</v>
      </c>
      <c r="Y26" s="3">
        <v>6</v>
      </c>
      <c r="Z26" s="3">
        <v>6</v>
      </c>
      <c r="AA26" s="4" t="s">
        <v>544</v>
      </c>
      <c r="AB26" s="4">
        <v>46098</v>
      </c>
      <c r="AC26" s="4">
        <v>46098</v>
      </c>
      <c r="AD26" s="5">
        <v>0</v>
      </c>
      <c r="AE26" s="4">
        <v>46098</v>
      </c>
      <c r="AF26" s="4">
        <v>1</v>
      </c>
      <c r="AG26" s="4" t="s">
        <v>548</v>
      </c>
      <c r="AH26" s="3" t="s">
        <v>93</v>
      </c>
      <c r="AI26" s="3" t="s">
        <v>112</v>
      </c>
      <c r="AJ26" s="3">
        <v>265571440</v>
      </c>
      <c r="AK26" s="3" t="s">
        <v>223</v>
      </c>
      <c r="AL26" s="3">
        <v>6000257</v>
      </c>
      <c r="AM26" s="3" t="s">
        <v>92</v>
      </c>
      <c r="AN26" s="3" t="s">
        <v>290</v>
      </c>
      <c r="AO26" s="3" t="s">
        <v>549</v>
      </c>
      <c r="AP26" s="3"/>
      <c r="AQ26" s="3" t="s">
        <v>550</v>
      </c>
      <c r="AR26" s="3" t="s">
        <v>90</v>
      </c>
      <c r="AS26" s="3"/>
      <c r="AT26" s="3" t="s">
        <v>117</v>
      </c>
      <c r="AU26" s="3"/>
      <c r="AV26" s="3" t="s">
        <v>117</v>
      </c>
      <c r="AW26" s="3" t="s">
        <v>576</v>
      </c>
      <c r="AX26" s="3" t="s">
        <v>552</v>
      </c>
      <c r="AY26" s="3" t="s">
        <v>607</v>
      </c>
      <c r="AZ26" s="3" t="s">
        <v>641</v>
      </c>
      <c r="BA26" s="3"/>
      <c r="BB26" s="3" t="s">
        <v>554</v>
      </c>
      <c r="BC26" s="3">
        <v>0</v>
      </c>
      <c r="BD26" s="3">
        <v>99</v>
      </c>
      <c r="BE26" s="3" t="s">
        <v>642</v>
      </c>
      <c r="BF26" s="3">
        <v>90</v>
      </c>
      <c r="BG26" s="3" t="s">
        <v>887</v>
      </c>
      <c r="BH26" s="3" t="s">
        <v>611</v>
      </c>
      <c r="BI26" s="3"/>
      <c r="BJ26" s="3" t="s">
        <v>619</v>
      </c>
      <c r="BK26" s="3" t="s">
        <v>558</v>
      </c>
      <c r="BL26" s="3" t="s">
        <v>189</v>
      </c>
      <c r="BM26" s="3" t="s">
        <v>105</v>
      </c>
      <c r="BN26" s="3">
        <v>2517252</v>
      </c>
      <c r="BO26" s="3" t="s">
        <v>888</v>
      </c>
      <c r="BP26" s="3" t="s">
        <v>223</v>
      </c>
      <c r="BQ26" s="3" t="s">
        <v>889</v>
      </c>
      <c r="BR26" s="3" t="s">
        <v>890</v>
      </c>
    </row>
    <row r="27" spans="1:70" x14ac:dyDescent="0.25">
      <c r="A27" s="3" t="s">
        <v>577</v>
      </c>
      <c r="B27" s="3" t="s">
        <v>578</v>
      </c>
      <c r="C27" s="3" t="s">
        <v>305</v>
      </c>
      <c r="D27" s="3">
        <v>430</v>
      </c>
      <c r="E27" s="4">
        <v>46093</v>
      </c>
      <c r="F27" s="3">
        <v>3</v>
      </c>
      <c r="G27" s="4">
        <v>46090</v>
      </c>
      <c r="H27" s="4">
        <v>46093</v>
      </c>
      <c r="I27" s="3">
        <v>3</v>
      </c>
      <c r="J27" s="3" t="s">
        <v>579</v>
      </c>
      <c r="K27" s="4">
        <v>46094</v>
      </c>
      <c r="L27" s="3">
        <v>4</v>
      </c>
      <c r="M27" s="3" t="s">
        <v>543</v>
      </c>
      <c r="N27" s="3">
        <v>1</v>
      </c>
      <c r="O27" s="3" t="s">
        <v>546</v>
      </c>
      <c r="P27" s="3">
        <v>1</v>
      </c>
      <c r="Q27" s="3">
        <v>1</v>
      </c>
      <c r="R27" s="3" t="s">
        <v>546</v>
      </c>
      <c r="S27" s="4">
        <v>46095</v>
      </c>
      <c r="T27" s="3">
        <v>5</v>
      </c>
      <c r="U27" s="3" t="s">
        <v>543</v>
      </c>
      <c r="V27" s="3">
        <v>16</v>
      </c>
      <c r="W27" s="3" t="s">
        <v>547</v>
      </c>
      <c r="X27" s="4">
        <v>46112</v>
      </c>
      <c r="Y27" s="3">
        <v>10</v>
      </c>
      <c r="Z27" s="3">
        <v>11</v>
      </c>
      <c r="AA27" s="4" t="s">
        <v>547</v>
      </c>
      <c r="AB27" s="4">
        <v>46111</v>
      </c>
      <c r="AC27" s="4">
        <v>46112</v>
      </c>
      <c r="AD27" s="5">
        <v>1</v>
      </c>
      <c r="AE27" s="4">
        <v>46112</v>
      </c>
      <c r="AF27" s="4">
        <v>1</v>
      </c>
      <c r="AG27" s="4" t="s">
        <v>548</v>
      </c>
      <c r="AH27" s="3" t="s">
        <v>93</v>
      </c>
      <c r="AI27" s="3" t="s">
        <v>112</v>
      </c>
      <c r="AJ27" s="3" t="s">
        <v>308</v>
      </c>
      <c r="AK27" s="3" t="s">
        <v>223</v>
      </c>
      <c r="AL27" s="3">
        <v>6000273</v>
      </c>
      <c r="AM27" s="3" t="s">
        <v>92</v>
      </c>
      <c r="AN27" s="3" t="s">
        <v>124</v>
      </c>
      <c r="AO27" s="3" t="s">
        <v>549</v>
      </c>
      <c r="AP27" s="3"/>
      <c r="AQ27" s="3" t="s">
        <v>550</v>
      </c>
      <c r="AR27" s="3" t="s">
        <v>90</v>
      </c>
      <c r="AS27" s="3"/>
      <c r="AT27" s="3"/>
      <c r="AU27" s="3"/>
      <c r="AV27" s="3"/>
      <c r="AW27" s="3" t="s">
        <v>576</v>
      </c>
      <c r="AX27" s="3" t="s">
        <v>552</v>
      </c>
      <c r="AY27" s="3" t="s">
        <v>580</v>
      </c>
      <c r="AZ27" s="3"/>
      <c r="BA27" s="3" t="s">
        <v>643</v>
      </c>
      <c r="BB27" s="3" t="s">
        <v>554</v>
      </c>
      <c r="BC27" s="3">
        <v>0</v>
      </c>
      <c r="BD27" s="3">
        <v>99</v>
      </c>
      <c r="BE27" s="3" t="s">
        <v>644</v>
      </c>
      <c r="BF27" s="3">
        <v>90</v>
      </c>
      <c r="BG27" s="3" t="s">
        <v>645</v>
      </c>
      <c r="BH27" s="3" t="s">
        <v>646</v>
      </c>
      <c r="BI27" s="3"/>
      <c r="BJ27" s="3" t="s">
        <v>558</v>
      </c>
      <c r="BK27" s="3" t="s">
        <v>558</v>
      </c>
      <c r="BL27" s="3" t="s">
        <v>105</v>
      </c>
      <c r="BM27" s="3" t="s">
        <v>105</v>
      </c>
      <c r="BN27" s="3">
        <v>3508360</v>
      </c>
      <c r="BO27" s="3" t="s">
        <v>802</v>
      </c>
      <c r="BP27" s="3" t="s">
        <v>223</v>
      </c>
      <c r="BQ27" s="3" t="s">
        <v>223</v>
      </c>
      <c r="BR27" s="3" t="s">
        <v>891</v>
      </c>
    </row>
    <row r="28" spans="1:70" x14ac:dyDescent="0.25">
      <c r="A28" s="3" t="s">
        <v>577</v>
      </c>
      <c r="B28" s="3" t="s">
        <v>578</v>
      </c>
      <c r="C28" s="3" t="s">
        <v>257</v>
      </c>
      <c r="D28" s="3">
        <v>430</v>
      </c>
      <c r="E28" s="4">
        <v>46084</v>
      </c>
      <c r="F28" s="3">
        <v>3</v>
      </c>
      <c r="G28" s="4">
        <v>46077</v>
      </c>
      <c r="H28" s="4">
        <v>46084</v>
      </c>
      <c r="I28" s="3">
        <v>5</v>
      </c>
      <c r="J28" s="3" t="s">
        <v>543</v>
      </c>
      <c r="K28" s="4">
        <v>46085</v>
      </c>
      <c r="L28" s="3">
        <v>6</v>
      </c>
      <c r="M28" s="3" t="s">
        <v>544</v>
      </c>
      <c r="N28" s="3">
        <v>1</v>
      </c>
      <c r="O28" s="3" t="s">
        <v>546</v>
      </c>
      <c r="P28" s="3">
        <v>1</v>
      </c>
      <c r="Q28" s="3">
        <v>1</v>
      </c>
      <c r="R28" s="3" t="s">
        <v>546</v>
      </c>
      <c r="S28" s="4">
        <v>46086</v>
      </c>
      <c r="T28" s="3">
        <v>7</v>
      </c>
      <c r="U28" s="3" t="s">
        <v>544</v>
      </c>
      <c r="V28" s="3">
        <v>20</v>
      </c>
      <c r="W28" s="3" t="s">
        <v>547</v>
      </c>
      <c r="X28" s="4">
        <v>46105</v>
      </c>
      <c r="Y28" s="3">
        <v>12</v>
      </c>
      <c r="Z28" s="3">
        <v>13</v>
      </c>
      <c r="AA28" s="4" t="s">
        <v>547</v>
      </c>
      <c r="AB28" s="4">
        <v>46104</v>
      </c>
      <c r="AC28" s="4">
        <v>46105</v>
      </c>
      <c r="AD28" s="5">
        <v>1</v>
      </c>
      <c r="AE28" s="4">
        <v>46105</v>
      </c>
      <c r="AF28" s="4">
        <v>1</v>
      </c>
      <c r="AG28" s="4" t="s">
        <v>548</v>
      </c>
      <c r="AH28" s="3" t="s">
        <v>93</v>
      </c>
      <c r="AI28" s="3" t="s">
        <v>112</v>
      </c>
      <c r="AJ28" s="3" t="s">
        <v>259</v>
      </c>
      <c r="AK28" s="3" t="s">
        <v>223</v>
      </c>
      <c r="AL28" s="3">
        <v>6000303</v>
      </c>
      <c r="AM28" s="3" t="s">
        <v>92</v>
      </c>
      <c r="AN28" s="3" t="s">
        <v>220</v>
      </c>
      <c r="AO28" s="3" t="s">
        <v>549</v>
      </c>
      <c r="AP28" s="3"/>
      <c r="AQ28" s="3" t="s">
        <v>550</v>
      </c>
      <c r="AR28" s="3" t="s">
        <v>90</v>
      </c>
      <c r="AS28" s="3"/>
      <c r="AT28" s="3" t="s">
        <v>107</v>
      </c>
      <c r="AU28" s="3"/>
      <c r="AV28" s="3" t="s">
        <v>107</v>
      </c>
      <c r="AW28" s="3" t="s">
        <v>576</v>
      </c>
      <c r="AX28" s="3" t="s">
        <v>552</v>
      </c>
      <c r="AY28" s="3" t="s">
        <v>607</v>
      </c>
      <c r="AZ28" s="3" t="s">
        <v>649</v>
      </c>
      <c r="BA28" s="3"/>
      <c r="BB28" s="3" t="s">
        <v>554</v>
      </c>
      <c r="BC28" s="3">
        <v>0</v>
      </c>
      <c r="BD28" s="3">
        <v>0.99</v>
      </c>
      <c r="BE28" s="3" t="s">
        <v>658</v>
      </c>
      <c r="BF28" s="3">
        <v>90</v>
      </c>
      <c r="BG28" s="3" t="s">
        <v>651</v>
      </c>
      <c r="BH28" s="3" t="s">
        <v>652</v>
      </c>
      <c r="BI28" s="3"/>
      <c r="BJ28" s="3" t="s">
        <v>558</v>
      </c>
      <c r="BK28" s="3" t="s">
        <v>558</v>
      </c>
      <c r="BL28" s="3" t="s">
        <v>105</v>
      </c>
      <c r="BM28" s="3" t="s">
        <v>105</v>
      </c>
      <c r="BN28" s="3">
        <v>17566160</v>
      </c>
      <c r="BO28" s="3" t="s">
        <v>802</v>
      </c>
      <c r="BP28" s="3" t="s">
        <v>223</v>
      </c>
      <c r="BQ28" s="3" t="s">
        <v>223</v>
      </c>
      <c r="BR28" s="3" t="s">
        <v>896</v>
      </c>
    </row>
    <row r="29" spans="1:70" x14ac:dyDescent="0.25">
      <c r="A29" s="3" t="s">
        <v>577</v>
      </c>
      <c r="B29" s="3" t="s">
        <v>578</v>
      </c>
      <c r="C29" s="3" t="s">
        <v>293</v>
      </c>
      <c r="D29" s="3">
        <v>430</v>
      </c>
      <c r="E29" s="4">
        <v>46092</v>
      </c>
      <c r="F29" s="3">
        <v>3</v>
      </c>
      <c r="G29" s="4">
        <v>46077</v>
      </c>
      <c r="H29" s="4">
        <v>46092</v>
      </c>
      <c r="I29" s="3">
        <v>11</v>
      </c>
      <c r="J29" s="3" t="s">
        <v>559</v>
      </c>
      <c r="K29" s="4">
        <v>46093</v>
      </c>
      <c r="L29" s="3">
        <v>12</v>
      </c>
      <c r="M29" s="3" t="s">
        <v>559</v>
      </c>
      <c r="N29" s="3">
        <v>1</v>
      </c>
      <c r="O29" s="3" t="s">
        <v>546</v>
      </c>
      <c r="P29" s="3">
        <v>1</v>
      </c>
      <c r="Q29" s="3">
        <v>1</v>
      </c>
      <c r="R29" s="3" t="s">
        <v>546</v>
      </c>
      <c r="S29" s="4">
        <v>46094</v>
      </c>
      <c r="T29" s="3">
        <v>13</v>
      </c>
      <c r="U29" s="3" t="s">
        <v>559</v>
      </c>
      <c r="V29" s="3">
        <v>20</v>
      </c>
      <c r="W29" s="3" t="s">
        <v>547</v>
      </c>
      <c r="X29" s="4">
        <v>46105</v>
      </c>
      <c r="Y29" s="3">
        <v>7</v>
      </c>
      <c r="Z29" s="3">
        <v>7</v>
      </c>
      <c r="AA29" s="4" t="s">
        <v>559</v>
      </c>
      <c r="AB29" s="4">
        <v>46105</v>
      </c>
      <c r="AC29" s="4">
        <v>46105</v>
      </c>
      <c r="AD29" s="5">
        <v>0</v>
      </c>
      <c r="AE29" s="4">
        <v>46105</v>
      </c>
      <c r="AF29" s="4">
        <v>1</v>
      </c>
      <c r="AG29" s="4" t="s">
        <v>548</v>
      </c>
      <c r="AH29" s="3" t="s">
        <v>93</v>
      </c>
      <c r="AI29" s="3" t="s">
        <v>112</v>
      </c>
      <c r="AJ29" s="3" t="s">
        <v>259</v>
      </c>
      <c r="AK29" s="3" t="s">
        <v>223</v>
      </c>
      <c r="AL29" s="3">
        <v>6000375</v>
      </c>
      <c r="AM29" s="3" t="s">
        <v>92</v>
      </c>
      <c r="AN29" s="3" t="s">
        <v>295</v>
      </c>
      <c r="AO29" s="3" t="s">
        <v>549</v>
      </c>
      <c r="AP29" s="3"/>
      <c r="AQ29" s="3" t="s">
        <v>550</v>
      </c>
      <c r="AR29" s="3" t="s">
        <v>90</v>
      </c>
      <c r="AS29" s="3"/>
      <c r="AT29" s="3" t="s">
        <v>107</v>
      </c>
      <c r="AU29" s="3" t="s">
        <v>653</v>
      </c>
      <c r="AV29" s="3" t="s">
        <v>107</v>
      </c>
      <c r="AW29" s="3" t="s">
        <v>576</v>
      </c>
      <c r="AX29" s="3" t="s">
        <v>552</v>
      </c>
      <c r="AY29" s="3" t="s">
        <v>592</v>
      </c>
      <c r="AZ29" s="3" t="s">
        <v>654</v>
      </c>
      <c r="BA29" s="3"/>
      <c r="BB29" s="3" t="s">
        <v>554</v>
      </c>
      <c r="BC29" s="3">
        <v>0</v>
      </c>
      <c r="BD29" s="3">
        <v>99</v>
      </c>
      <c r="BE29" s="3" t="s">
        <v>655</v>
      </c>
      <c r="BF29" s="3">
        <v>90</v>
      </c>
      <c r="BG29" s="3" t="s">
        <v>656</v>
      </c>
      <c r="BH29" s="3" t="s">
        <v>657</v>
      </c>
      <c r="BI29" s="3"/>
      <c r="BJ29" s="3" t="s">
        <v>558</v>
      </c>
      <c r="BK29" s="3" t="s">
        <v>558</v>
      </c>
      <c r="BL29" s="3" t="s">
        <v>105</v>
      </c>
      <c r="BM29" s="3" t="s">
        <v>105</v>
      </c>
      <c r="BN29" s="3">
        <v>36277920</v>
      </c>
      <c r="BO29" s="3" t="s">
        <v>802</v>
      </c>
      <c r="BP29" s="3" t="s">
        <v>223</v>
      </c>
      <c r="BQ29" s="3" t="s">
        <v>223</v>
      </c>
      <c r="BR29" s="3" t="s">
        <v>897</v>
      </c>
    </row>
    <row r="30" spans="1:70" x14ac:dyDescent="0.25">
      <c r="A30" s="3" t="s">
        <v>577</v>
      </c>
      <c r="B30" s="3" t="s">
        <v>578</v>
      </c>
      <c r="C30" s="3" t="s">
        <v>343</v>
      </c>
      <c r="D30" s="3">
        <v>430</v>
      </c>
      <c r="E30" s="4">
        <v>46091</v>
      </c>
      <c r="F30" s="3">
        <v>3</v>
      </c>
      <c r="G30" s="4">
        <v>46077</v>
      </c>
      <c r="H30" s="4">
        <v>46091</v>
      </c>
      <c r="I30" s="3">
        <v>10</v>
      </c>
      <c r="J30" s="3" t="s">
        <v>544</v>
      </c>
      <c r="K30" s="4">
        <v>46091</v>
      </c>
      <c r="L30" s="3">
        <v>10</v>
      </c>
      <c r="M30" s="3" t="s">
        <v>544</v>
      </c>
      <c r="N30" s="3">
        <v>0</v>
      </c>
      <c r="O30" s="3" t="s">
        <v>546</v>
      </c>
      <c r="P30" s="3">
        <v>0</v>
      </c>
      <c r="Q30" s="3">
        <v>0</v>
      </c>
      <c r="R30" s="3" t="s">
        <v>546</v>
      </c>
      <c r="S30" s="4">
        <v>46091</v>
      </c>
      <c r="T30" s="3">
        <v>10</v>
      </c>
      <c r="U30" s="3" t="s">
        <v>544</v>
      </c>
      <c r="V30" s="3">
        <v>20</v>
      </c>
      <c r="W30" s="3" t="s">
        <v>547</v>
      </c>
      <c r="X30" s="4">
        <v>46105</v>
      </c>
      <c r="Y30" s="3">
        <v>9</v>
      </c>
      <c r="Z30" s="3">
        <v>10</v>
      </c>
      <c r="AA30" s="4" t="s">
        <v>559</v>
      </c>
      <c r="AB30" s="4">
        <v>46104</v>
      </c>
      <c r="AC30" s="4">
        <v>46105</v>
      </c>
      <c r="AD30" s="5">
        <v>1</v>
      </c>
      <c r="AE30" s="4">
        <v>46105</v>
      </c>
      <c r="AF30" s="4">
        <v>1</v>
      </c>
      <c r="AG30" s="4" t="s">
        <v>548</v>
      </c>
      <c r="AH30" s="3" t="s">
        <v>342</v>
      </c>
      <c r="AI30" s="3" t="s">
        <v>112</v>
      </c>
      <c r="AJ30" s="3" t="s">
        <v>259</v>
      </c>
      <c r="AK30" s="3" t="s">
        <v>223</v>
      </c>
      <c r="AL30" s="3">
        <v>6000418</v>
      </c>
      <c r="AM30" s="3" t="s">
        <v>92</v>
      </c>
      <c r="AN30" s="3" t="s">
        <v>220</v>
      </c>
      <c r="AO30" s="3" t="s">
        <v>549</v>
      </c>
      <c r="AP30" s="3"/>
      <c r="AQ30" s="3" t="s">
        <v>550</v>
      </c>
      <c r="AR30" s="3" t="s">
        <v>90</v>
      </c>
      <c r="AS30" s="3"/>
      <c r="AT30" s="3"/>
      <c r="AU30" s="3"/>
      <c r="AV30" s="3"/>
      <c r="AW30" s="3"/>
      <c r="AX30" s="3" t="s">
        <v>552</v>
      </c>
      <c r="AY30" s="3" t="s">
        <v>223</v>
      </c>
      <c r="AZ30" s="3"/>
      <c r="BA30" s="3"/>
      <c r="BB30" s="3" t="s">
        <v>554</v>
      </c>
      <c r="BC30" s="3">
        <v>0</v>
      </c>
      <c r="BD30" s="3">
        <v>0.99</v>
      </c>
      <c r="BE30" s="3" t="s">
        <v>658</v>
      </c>
      <c r="BF30" s="3">
        <v>90</v>
      </c>
      <c r="BG30" s="3" t="s">
        <v>651</v>
      </c>
      <c r="BH30" s="3" t="s">
        <v>652</v>
      </c>
      <c r="BI30" s="3"/>
      <c r="BJ30" s="3" t="s">
        <v>558</v>
      </c>
      <c r="BK30" s="3" t="s">
        <v>558</v>
      </c>
      <c r="BL30" s="3" t="s">
        <v>105</v>
      </c>
      <c r="BM30" s="3" t="s">
        <v>105</v>
      </c>
      <c r="BN30" s="3">
        <v>17566160</v>
      </c>
      <c r="BO30" s="3" t="s">
        <v>795</v>
      </c>
      <c r="BP30" s="3" t="s">
        <v>223</v>
      </c>
      <c r="BQ30" s="3" t="s">
        <v>223</v>
      </c>
      <c r="BR30" s="3" t="s">
        <v>896</v>
      </c>
    </row>
    <row r="31" spans="1:70" x14ac:dyDescent="0.25">
      <c r="A31" s="3" t="s">
        <v>577</v>
      </c>
      <c r="B31" s="3" t="s">
        <v>578</v>
      </c>
      <c r="C31" s="3" t="s">
        <v>346</v>
      </c>
      <c r="D31" s="3">
        <v>430</v>
      </c>
      <c r="E31" s="4">
        <v>46093</v>
      </c>
      <c r="F31" s="3">
        <v>3</v>
      </c>
      <c r="G31" s="4">
        <v>46077</v>
      </c>
      <c r="H31" s="4">
        <v>46093</v>
      </c>
      <c r="I31" s="3">
        <v>12</v>
      </c>
      <c r="J31" s="3" t="s">
        <v>559</v>
      </c>
      <c r="K31" s="4">
        <v>46093</v>
      </c>
      <c r="L31" s="3">
        <v>12</v>
      </c>
      <c r="M31" s="3" t="s">
        <v>559</v>
      </c>
      <c r="N31" s="3">
        <v>0</v>
      </c>
      <c r="O31" s="3" t="s">
        <v>546</v>
      </c>
      <c r="P31" s="3">
        <v>0</v>
      </c>
      <c r="Q31" s="3">
        <v>-2</v>
      </c>
      <c r="R31" s="3" t="s">
        <v>718</v>
      </c>
      <c r="S31" s="4">
        <v>46091</v>
      </c>
      <c r="T31" s="3">
        <v>10</v>
      </c>
      <c r="U31" s="3" t="s">
        <v>544</v>
      </c>
      <c r="V31" s="3">
        <v>20</v>
      </c>
      <c r="W31" s="3" t="s">
        <v>547</v>
      </c>
      <c r="X31" s="4">
        <v>46105</v>
      </c>
      <c r="Y31" s="3">
        <v>9</v>
      </c>
      <c r="Z31" s="3">
        <v>10</v>
      </c>
      <c r="AA31" s="4" t="s">
        <v>559</v>
      </c>
      <c r="AB31" s="4">
        <v>46104</v>
      </c>
      <c r="AC31" s="4">
        <v>46105</v>
      </c>
      <c r="AD31" s="5">
        <v>1</v>
      </c>
      <c r="AE31" s="4">
        <v>46105</v>
      </c>
      <c r="AF31" s="4">
        <v>1</v>
      </c>
      <c r="AG31" s="4" t="s">
        <v>548</v>
      </c>
      <c r="AH31" s="3" t="s">
        <v>342</v>
      </c>
      <c r="AI31" s="3" t="s">
        <v>112</v>
      </c>
      <c r="AJ31" s="3" t="s">
        <v>259</v>
      </c>
      <c r="AK31" s="3" t="s">
        <v>223</v>
      </c>
      <c r="AL31" s="3">
        <v>6000421</v>
      </c>
      <c r="AM31" s="3" t="s">
        <v>92</v>
      </c>
      <c r="AN31" s="3" t="s">
        <v>220</v>
      </c>
      <c r="AO31" s="3" t="s">
        <v>549</v>
      </c>
      <c r="AP31" s="3"/>
      <c r="AQ31" s="3" t="s">
        <v>550</v>
      </c>
      <c r="AR31" s="3" t="s">
        <v>90</v>
      </c>
      <c r="AS31" s="3"/>
      <c r="AT31" s="3"/>
      <c r="AU31" s="3"/>
      <c r="AV31" s="3"/>
      <c r="AW31" s="3"/>
      <c r="AX31" s="3" t="s">
        <v>552</v>
      </c>
      <c r="AY31" s="3" t="s">
        <v>223</v>
      </c>
      <c r="AZ31" s="3"/>
      <c r="BA31" s="3"/>
      <c r="BB31" s="3" t="s">
        <v>554</v>
      </c>
      <c r="BC31" s="3">
        <v>0</v>
      </c>
      <c r="BD31" s="3">
        <v>0.99</v>
      </c>
      <c r="BE31" s="3" t="s">
        <v>658</v>
      </c>
      <c r="BF31" s="3">
        <v>90</v>
      </c>
      <c r="BG31" s="3" t="s">
        <v>651</v>
      </c>
      <c r="BH31" s="3" t="s">
        <v>652</v>
      </c>
      <c r="BI31" s="3"/>
      <c r="BJ31" s="3" t="s">
        <v>558</v>
      </c>
      <c r="BK31" s="3" t="s">
        <v>558</v>
      </c>
      <c r="BL31" s="3" t="s">
        <v>105</v>
      </c>
      <c r="BM31" s="3" t="s">
        <v>105</v>
      </c>
      <c r="BN31" s="3">
        <v>17566160</v>
      </c>
      <c r="BO31" s="3" t="s">
        <v>795</v>
      </c>
      <c r="BP31" s="3" t="s">
        <v>223</v>
      </c>
      <c r="BQ31" s="3" t="s">
        <v>223</v>
      </c>
      <c r="BR31" s="3" t="s">
        <v>896</v>
      </c>
    </row>
    <row r="32" spans="1:70" x14ac:dyDescent="0.25">
      <c r="A32" s="3" t="s">
        <v>577</v>
      </c>
      <c r="B32" s="3" t="s">
        <v>578</v>
      </c>
      <c r="C32" s="3" t="s">
        <v>312</v>
      </c>
      <c r="D32" s="3">
        <v>430</v>
      </c>
      <c r="E32" s="4">
        <v>46092</v>
      </c>
      <c r="F32" s="3">
        <v>3</v>
      </c>
      <c r="G32" s="4">
        <v>46090</v>
      </c>
      <c r="H32" s="4">
        <v>46092</v>
      </c>
      <c r="I32" s="3">
        <v>2</v>
      </c>
      <c r="J32" s="3" t="s">
        <v>579</v>
      </c>
      <c r="K32" s="4">
        <v>46093</v>
      </c>
      <c r="L32" s="3">
        <v>3</v>
      </c>
      <c r="M32" s="3" t="s">
        <v>579</v>
      </c>
      <c r="N32" s="3">
        <v>1</v>
      </c>
      <c r="O32" s="3" t="s">
        <v>546</v>
      </c>
      <c r="P32" s="3">
        <v>1</v>
      </c>
      <c r="Q32" s="3">
        <v>1</v>
      </c>
      <c r="R32" s="3" t="s">
        <v>546</v>
      </c>
      <c r="S32" s="4">
        <v>46094</v>
      </c>
      <c r="T32" s="3">
        <v>4</v>
      </c>
      <c r="U32" s="3" t="s">
        <v>543</v>
      </c>
      <c r="V32" s="3">
        <v>10</v>
      </c>
      <c r="W32" s="3" t="s">
        <v>544</v>
      </c>
      <c r="X32" s="4">
        <v>46104</v>
      </c>
      <c r="Y32" s="3">
        <v>6</v>
      </c>
      <c r="Z32" s="3">
        <v>6</v>
      </c>
      <c r="AA32" s="4" t="s">
        <v>544</v>
      </c>
      <c r="AB32" s="4">
        <v>46104</v>
      </c>
      <c r="AC32" s="4">
        <v>46104</v>
      </c>
      <c r="AD32" s="5">
        <v>0</v>
      </c>
      <c r="AE32" s="4">
        <v>46104</v>
      </c>
      <c r="AF32" s="4">
        <v>1</v>
      </c>
      <c r="AG32" s="4" t="s">
        <v>548</v>
      </c>
      <c r="AH32" s="3" t="s">
        <v>93</v>
      </c>
      <c r="AI32" s="3" t="s">
        <v>112</v>
      </c>
      <c r="AJ32" s="3" t="s">
        <v>314</v>
      </c>
      <c r="AK32" s="3" t="s">
        <v>223</v>
      </c>
      <c r="AL32" s="3">
        <v>6000328</v>
      </c>
      <c r="AM32" s="3" t="s">
        <v>92</v>
      </c>
      <c r="AN32" s="3" t="s">
        <v>256</v>
      </c>
      <c r="AO32" s="3" t="s">
        <v>549</v>
      </c>
      <c r="AP32" s="3"/>
      <c r="AQ32" s="3" t="s">
        <v>550</v>
      </c>
      <c r="AR32" s="3" t="s">
        <v>90</v>
      </c>
      <c r="AS32" s="3"/>
      <c r="AT32" s="3"/>
      <c r="AU32" s="3"/>
      <c r="AV32" s="3"/>
      <c r="AW32" s="3" t="s">
        <v>576</v>
      </c>
      <c r="AX32" s="3" t="s">
        <v>552</v>
      </c>
      <c r="AY32" s="3" t="s">
        <v>580</v>
      </c>
      <c r="AZ32" s="3"/>
      <c r="BA32" s="3" t="s">
        <v>581</v>
      </c>
      <c r="BB32" s="3" t="s">
        <v>554</v>
      </c>
      <c r="BC32" s="3">
        <v>0</v>
      </c>
      <c r="BD32" s="3">
        <v>99</v>
      </c>
      <c r="BE32" s="3" t="s">
        <v>659</v>
      </c>
      <c r="BF32" s="3">
        <v>90</v>
      </c>
      <c r="BG32" s="3" t="s">
        <v>898</v>
      </c>
      <c r="BH32" s="3" t="s">
        <v>611</v>
      </c>
      <c r="BI32" s="3"/>
      <c r="BJ32" s="3" t="s">
        <v>613</v>
      </c>
      <c r="BK32" s="3" t="s">
        <v>558</v>
      </c>
      <c r="BL32" s="3" t="s">
        <v>133</v>
      </c>
      <c r="BM32" s="3" t="s">
        <v>105</v>
      </c>
      <c r="BN32" s="3">
        <v>7747845</v>
      </c>
      <c r="BO32" s="3" t="s">
        <v>899</v>
      </c>
      <c r="BP32" s="3" t="s">
        <v>223</v>
      </c>
      <c r="BQ32" s="3" t="s">
        <v>900</v>
      </c>
      <c r="BR32" s="3" t="s">
        <v>901</v>
      </c>
    </row>
    <row r="33" spans="1:70" x14ac:dyDescent="0.25">
      <c r="A33" s="3" t="s">
        <v>577</v>
      </c>
      <c r="B33" s="3" t="s">
        <v>578</v>
      </c>
      <c r="C33" s="3" t="s">
        <v>317</v>
      </c>
      <c r="D33" s="3">
        <v>430</v>
      </c>
      <c r="E33" s="4">
        <v>46092</v>
      </c>
      <c r="F33" s="3">
        <v>3</v>
      </c>
      <c r="G33" s="4">
        <v>46090</v>
      </c>
      <c r="H33" s="4">
        <v>46092</v>
      </c>
      <c r="I33" s="3">
        <v>2</v>
      </c>
      <c r="J33" s="3" t="s">
        <v>579</v>
      </c>
      <c r="K33" s="4">
        <v>46092</v>
      </c>
      <c r="L33" s="3">
        <v>2</v>
      </c>
      <c r="M33" s="3" t="s">
        <v>579</v>
      </c>
      <c r="N33" s="3">
        <v>0</v>
      </c>
      <c r="O33" s="3" t="s">
        <v>546</v>
      </c>
      <c r="P33" s="3">
        <v>0</v>
      </c>
      <c r="Q33" s="3">
        <v>2</v>
      </c>
      <c r="R33" s="3" t="s">
        <v>579</v>
      </c>
      <c r="S33" s="4">
        <v>46094</v>
      </c>
      <c r="T33" s="3">
        <v>4</v>
      </c>
      <c r="U33" s="3" t="s">
        <v>543</v>
      </c>
      <c r="V33" s="3">
        <v>10</v>
      </c>
      <c r="W33" s="3" t="s">
        <v>544</v>
      </c>
      <c r="X33" s="4">
        <v>46104</v>
      </c>
      <c r="Y33" s="3">
        <v>6</v>
      </c>
      <c r="Z33" s="3">
        <v>6</v>
      </c>
      <c r="AA33" s="4" t="s">
        <v>544</v>
      </c>
      <c r="AB33" s="4">
        <v>46104</v>
      </c>
      <c r="AC33" s="4">
        <v>46104</v>
      </c>
      <c r="AD33" s="5">
        <v>0</v>
      </c>
      <c r="AE33" s="4">
        <v>46104</v>
      </c>
      <c r="AF33" s="4">
        <v>1</v>
      </c>
      <c r="AG33" s="4" t="s">
        <v>548</v>
      </c>
      <c r="AH33" s="3" t="s">
        <v>93</v>
      </c>
      <c r="AI33" s="3" t="s">
        <v>112</v>
      </c>
      <c r="AJ33" s="3" t="s">
        <v>320</v>
      </c>
      <c r="AK33" s="3" t="s">
        <v>223</v>
      </c>
      <c r="AL33" s="3">
        <v>6000329</v>
      </c>
      <c r="AM33" s="3" t="s">
        <v>92</v>
      </c>
      <c r="AN33" s="3" t="s">
        <v>319</v>
      </c>
      <c r="AO33" s="3" t="s">
        <v>549</v>
      </c>
      <c r="AP33" s="3"/>
      <c r="AQ33" s="3" t="s">
        <v>550</v>
      </c>
      <c r="AR33" s="3" t="s">
        <v>90</v>
      </c>
      <c r="AS33" s="3"/>
      <c r="AT33" s="3"/>
      <c r="AU33" s="3"/>
      <c r="AV33" s="3"/>
      <c r="AW33" s="3"/>
      <c r="AX33" s="3" t="s">
        <v>552</v>
      </c>
      <c r="AY33" s="3" t="s">
        <v>223</v>
      </c>
      <c r="AZ33" s="3"/>
      <c r="BA33" s="3"/>
      <c r="BB33" s="3" t="s">
        <v>554</v>
      </c>
      <c r="BC33" s="3">
        <v>0</v>
      </c>
      <c r="BD33" s="3">
        <v>99</v>
      </c>
      <c r="BE33" s="3" t="s">
        <v>660</v>
      </c>
      <c r="BF33" s="3">
        <v>90</v>
      </c>
      <c r="BG33" s="3" t="s">
        <v>902</v>
      </c>
      <c r="BH33" s="3" t="s">
        <v>611</v>
      </c>
      <c r="BI33" s="3"/>
      <c r="BJ33" s="3" t="s">
        <v>613</v>
      </c>
      <c r="BK33" s="3" t="s">
        <v>558</v>
      </c>
      <c r="BL33" s="3" t="s">
        <v>133</v>
      </c>
      <c r="BM33" s="3" t="s">
        <v>105</v>
      </c>
      <c r="BN33" s="3">
        <v>5465054</v>
      </c>
      <c r="BO33" s="3" t="s">
        <v>802</v>
      </c>
      <c r="BP33" s="3" t="s">
        <v>223</v>
      </c>
      <c r="BQ33" s="3" t="s">
        <v>223</v>
      </c>
      <c r="BR33" s="3" t="s">
        <v>903</v>
      </c>
    </row>
    <row r="34" spans="1:70" x14ac:dyDescent="0.25">
      <c r="A34" s="3" t="s">
        <v>577</v>
      </c>
      <c r="B34" s="3" t="s">
        <v>578</v>
      </c>
      <c r="C34" s="3" t="s">
        <v>356</v>
      </c>
      <c r="D34" s="3">
        <v>430</v>
      </c>
      <c r="E34" s="4">
        <v>46092</v>
      </c>
      <c r="F34" s="3">
        <v>3</v>
      </c>
      <c r="G34" s="4">
        <v>46090</v>
      </c>
      <c r="H34" s="4">
        <v>46092</v>
      </c>
      <c r="I34" s="3">
        <v>2</v>
      </c>
      <c r="J34" s="3" t="s">
        <v>579</v>
      </c>
      <c r="K34" s="4">
        <v>46093</v>
      </c>
      <c r="L34" s="3">
        <v>3</v>
      </c>
      <c r="M34" s="3" t="s">
        <v>579</v>
      </c>
      <c r="N34" s="3">
        <v>1</v>
      </c>
      <c r="O34" s="3" t="s">
        <v>546</v>
      </c>
      <c r="P34" s="3">
        <v>1</v>
      </c>
      <c r="Q34" s="3">
        <v>1</v>
      </c>
      <c r="R34" s="3" t="s">
        <v>546</v>
      </c>
      <c r="S34" s="4">
        <v>46094</v>
      </c>
      <c r="T34" s="3">
        <v>4</v>
      </c>
      <c r="U34" s="3" t="s">
        <v>543</v>
      </c>
      <c r="V34" s="3">
        <v>10</v>
      </c>
      <c r="W34" s="3" t="s">
        <v>544</v>
      </c>
      <c r="X34" s="4">
        <v>46104</v>
      </c>
      <c r="Y34" s="3">
        <v>6</v>
      </c>
      <c r="Z34" s="3">
        <v>6</v>
      </c>
      <c r="AA34" s="4" t="s">
        <v>544</v>
      </c>
      <c r="AB34" s="4">
        <v>46104</v>
      </c>
      <c r="AC34" s="4">
        <v>46104</v>
      </c>
      <c r="AD34" s="5">
        <v>0</v>
      </c>
      <c r="AE34" s="4">
        <v>46104</v>
      </c>
      <c r="AF34" s="4">
        <v>1</v>
      </c>
      <c r="AG34" s="4" t="s">
        <v>548</v>
      </c>
      <c r="AH34" s="3" t="s">
        <v>342</v>
      </c>
      <c r="AI34" s="3" t="s">
        <v>112</v>
      </c>
      <c r="AJ34" s="3" t="s">
        <v>320</v>
      </c>
      <c r="AK34" s="3" t="s">
        <v>223</v>
      </c>
      <c r="AL34" s="3">
        <v>6000432</v>
      </c>
      <c r="AM34" s="3" t="s">
        <v>92</v>
      </c>
      <c r="AN34" s="3" t="s">
        <v>319</v>
      </c>
      <c r="AO34" s="3" t="s">
        <v>549</v>
      </c>
      <c r="AP34" s="3"/>
      <c r="AQ34" s="3" t="s">
        <v>550</v>
      </c>
      <c r="AR34" s="3" t="s">
        <v>90</v>
      </c>
      <c r="AS34" s="3"/>
      <c r="AT34" s="3"/>
      <c r="AU34" s="3"/>
      <c r="AV34" s="3"/>
      <c r="AW34" s="3" t="s">
        <v>576</v>
      </c>
      <c r="AX34" s="3" t="s">
        <v>552</v>
      </c>
      <c r="AY34" s="3" t="s">
        <v>580</v>
      </c>
      <c r="AZ34" s="3"/>
      <c r="BA34" s="3" t="s">
        <v>581</v>
      </c>
      <c r="BB34" s="3" t="s">
        <v>554</v>
      </c>
      <c r="BC34" s="3">
        <v>0</v>
      </c>
      <c r="BD34" s="3">
        <v>99</v>
      </c>
      <c r="BE34" s="3" t="s">
        <v>660</v>
      </c>
      <c r="BF34" s="3">
        <v>90</v>
      </c>
      <c r="BG34" s="3" t="s">
        <v>902</v>
      </c>
      <c r="BH34" s="3" t="s">
        <v>611</v>
      </c>
      <c r="BI34" s="3"/>
      <c r="BJ34" s="3" t="s">
        <v>613</v>
      </c>
      <c r="BK34" s="3" t="s">
        <v>558</v>
      </c>
      <c r="BL34" s="3" t="s">
        <v>133</v>
      </c>
      <c r="BM34" s="3" t="s">
        <v>105</v>
      </c>
      <c r="BN34" s="3">
        <v>5465054</v>
      </c>
      <c r="BO34" s="3" t="s">
        <v>795</v>
      </c>
      <c r="BP34" s="3" t="s">
        <v>223</v>
      </c>
      <c r="BQ34" s="3" t="s">
        <v>223</v>
      </c>
      <c r="BR34" s="3" t="s">
        <v>903</v>
      </c>
    </row>
    <row r="35" spans="1:70" x14ac:dyDescent="0.25">
      <c r="A35" s="3" t="s">
        <v>577</v>
      </c>
      <c r="B35" s="3" t="s">
        <v>578</v>
      </c>
      <c r="C35" s="3" t="s">
        <v>329</v>
      </c>
      <c r="D35" s="3">
        <v>430</v>
      </c>
      <c r="E35" s="4">
        <v>46105</v>
      </c>
      <c r="F35" s="3">
        <v>3</v>
      </c>
      <c r="G35" s="4">
        <v>46097</v>
      </c>
      <c r="H35" s="4">
        <v>46105</v>
      </c>
      <c r="I35" s="3">
        <v>6</v>
      </c>
      <c r="J35" s="3" t="s">
        <v>544</v>
      </c>
      <c r="K35" s="4">
        <v>46105</v>
      </c>
      <c r="L35" s="3">
        <v>6</v>
      </c>
      <c r="M35" s="3" t="s">
        <v>544</v>
      </c>
      <c r="N35" s="3">
        <v>0</v>
      </c>
      <c r="O35" s="3" t="s">
        <v>546</v>
      </c>
      <c r="P35" s="3">
        <v>0</v>
      </c>
      <c r="Q35" s="3">
        <v>1</v>
      </c>
      <c r="R35" s="3" t="s">
        <v>546</v>
      </c>
      <c r="S35" s="4">
        <v>46106</v>
      </c>
      <c r="T35" s="3">
        <v>7</v>
      </c>
      <c r="U35" s="3" t="s">
        <v>544</v>
      </c>
      <c r="V35" s="3">
        <v>18</v>
      </c>
      <c r="W35" s="3" t="s">
        <v>547</v>
      </c>
      <c r="X35" s="4">
        <v>46121</v>
      </c>
      <c r="Y35" s="3">
        <v>11</v>
      </c>
      <c r="Z35" s="3">
        <v>11</v>
      </c>
      <c r="AA35" s="4" t="s">
        <v>559</v>
      </c>
      <c r="AB35" s="4">
        <v>46121</v>
      </c>
      <c r="AC35" s="4">
        <v>46121</v>
      </c>
      <c r="AD35" s="5">
        <v>0</v>
      </c>
      <c r="AE35" s="4">
        <v>46121</v>
      </c>
      <c r="AF35" s="4">
        <v>1</v>
      </c>
      <c r="AG35" s="4" t="s">
        <v>548</v>
      </c>
      <c r="AH35" s="3" t="s">
        <v>93</v>
      </c>
      <c r="AI35" s="3" t="s">
        <v>112</v>
      </c>
      <c r="AJ35" s="3" t="s">
        <v>332</v>
      </c>
      <c r="AK35" s="3" t="s">
        <v>223</v>
      </c>
      <c r="AL35" s="3">
        <v>6000363</v>
      </c>
      <c r="AM35" s="3" t="s">
        <v>92</v>
      </c>
      <c r="AN35" s="3" t="s">
        <v>331</v>
      </c>
      <c r="AO35" s="3" t="s">
        <v>549</v>
      </c>
      <c r="AP35" s="3"/>
      <c r="AQ35" s="3" t="s">
        <v>550</v>
      </c>
      <c r="AR35" s="3" t="s">
        <v>90</v>
      </c>
      <c r="AS35" s="3"/>
      <c r="AT35" s="3" t="s">
        <v>333</v>
      </c>
      <c r="AU35" s="3"/>
      <c r="AV35" s="3" t="s">
        <v>333</v>
      </c>
      <c r="AW35" s="3" t="s">
        <v>576</v>
      </c>
      <c r="AX35" s="3" t="s">
        <v>620</v>
      </c>
      <c r="AY35" s="3" t="s">
        <v>580</v>
      </c>
      <c r="AZ35" s="3"/>
      <c r="BA35" s="3" t="s">
        <v>643</v>
      </c>
      <c r="BB35" s="3" t="s">
        <v>554</v>
      </c>
      <c r="BC35" s="3">
        <v>0</v>
      </c>
      <c r="BD35" s="3">
        <v>99</v>
      </c>
      <c r="BE35" s="3" t="s">
        <v>904</v>
      </c>
      <c r="BF35" s="3">
        <v>90</v>
      </c>
      <c r="BG35" s="3" t="s">
        <v>662</v>
      </c>
      <c r="BH35" s="3" t="s">
        <v>652</v>
      </c>
      <c r="BI35" s="3"/>
      <c r="BJ35" s="3" t="s">
        <v>558</v>
      </c>
      <c r="BK35" s="3" t="s">
        <v>558</v>
      </c>
      <c r="BL35" s="3" t="s">
        <v>105</v>
      </c>
      <c r="BM35" s="3" t="s">
        <v>105</v>
      </c>
      <c r="BN35" s="3">
        <v>32484777</v>
      </c>
      <c r="BO35" s="3" t="s">
        <v>802</v>
      </c>
      <c r="BP35" s="3" t="s">
        <v>223</v>
      </c>
      <c r="BQ35" s="3" t="s">
        <v>223</v>
      </c>
      <c r="BR35" s="3" t="s">
        <v>905</v>
      </c>
    </row>
    <row r="36" spans="1:70" x14ac:dyDescent="0.25">
      <c r="A36" s="3" t="s">
        <v>577</v>
      </c>
      <c r="B36" s="3" t="s">
        <v>578</v>
      </c>
      <c r="C36" s="3" t="s">
        <v>322</v>
      </c>
      <c r="D36" s="3">
        <v>430</v>
      </c>
      <c r="E36" s="4">
        <v>46093</v>
      </c>
      <c r="F36" s="3">
        <v>3</v>
      </c>
      <c r="G36" s="4">
        <v>46090</v>
      </c>
      <c r="H36" s="4">
        <v>46093</v>
      </c>
      <c r="I36" s="3">
        <v>3</v>
      </c>
      <c r="J36" s="3" t="s">
        <v>579</v>
      </c>
      <c r="K36" s="4">
        <v>46094</v>
      </c>
      <c r="L36" s="3">
        <v>4</v>
      </c>
      <c r="M36" s="3" t="s">
        <v>543</v>
      </c>
      <c r="N36" s="3">
        <v>1</v>
      </c>
      <c r="O36" s="3" t="s">
        <v>546</v>
      </c>
      <c r="P36" s="3">
        <v>1</v>
      </c>
      <c r="Q36" s="3">
        <v>1</v>
      </c>
      <c r="R36" s="3" t="s">
        <v>546</v>
      </c>
      <c r="S36" s="4">
        <v>46095</v>
      </c>
      <c r="T36" s="3">
        <v>5</v>
      </c>
      <c r="U36" s="3" t="s">
        <v>543</v>
      </c>
      <c r="V36" s="3">
        <v>16</v>
      </c>
      <c r="W36" s="3" t="s">
        <v>547</v>
      </c>
      <c r="X36" s="4">
        <v>46112</v>
      </c>
      <c r="Y36" s="3">
        <v>10</v>
      </c>
      <c r="Z36" s="3">
        <v>11</v>
      </c>
      <c r="AA36" s="4" t="s">
        <v>547</v>
      </c>
      <c r="AB36" s="4">
        <v>46111</v>
      </c>
      <c r="AC36" s="4">
        <v>46112</v>
      </c>
      <c r="AD36" s="5">
        <v>1</v>
      </c>
      <c r="AE36" s="4">
        <v>46112</v>
      </c>
      <c r="AF36" s="4">
        <v>1</v>
      </c>
      <c r="AG36" s="4" t="s">
        <v>548</v>
      </c>
      <c r="AH36" s="3" t="s">
        <v>93</v>
      </c>
      <c r="AI36" s="3" t="s">
        <v>112</v>
      </c>
      <c r="AJ36" s="3" t="s">
        <v>325</v>
      </c>
      <c r="AK36" s="3" t="s">
        <v>223</v>
      </c>
      <c r="AL36" s="3">
        <v>6000371</v>
      </c>
      <c r="AM36" s="3" t="s">
        <v>92</v>
      </c>
      <c r="AN36" s="3" t="s">
        <v>324</v>
      </c>
      <c r="AO36" s="3" t="s">
        <v>549</v>
      </c>
      <c r="AP36" s="3"/>
      <c r="AQ36" s="3" t="s">
        <v>550</v>
      </c>
      <c r="AR36" s="3" t="s">
        <v>90</v>
      </c>
      <c r="AS36" s="3"/>
      <c r="AT36" s="3"/>
      <c r="AU36" s="3"/>
      <c r="AV36" s="3"/>
      <c r="AW36" s="3" t="s">
        <v>576</v>
      </c>
      <c r="AX36" s="3" t="s">
        <v>552</v>
      </c>
      <c r="AY36" s="3" t="s">
        <v>580</v>
      </c>
      <c r="AZ36" s="3"/>
      <c r="BA36" s="3" t="s">
        <v>643</v>
      </c>
      <c r="BB36" s="3" t="s">
        <v>554</v>
      </c>
      <c r="BC36" s="3">
        <v>0</v>
      </c>
      <c r="BD36" s="3">
        <v>99</v>
      </c>
      <c r="BE36" s="3" t="s">
        <v>663</v>
      </c>
      <c r="BF36" s="3">
        <v>90</v>
      </c>
      <c r="BG36" s="3" t="s">
        <v>906</v>
      </c>
      <c r="BH36" s="3" t="s">
        <v>657</v>
      </c>
      <c r="BI36" s="3"/>
      <c r="BJ36" s="3" t="s">
        <v>613</v>
      </c>
      <c r="BK36" s="3" t="s">
        <v>558</v>
      </c>
      <c r="BL36" s="3" t="s">
        <v>133</v>
      </c>
      <c r="BM36" s="3" t="s">
        <v>105</v>
      </c>
      <c r="BN36" s="3">
        <v>10515563</v>
      </c>
      <c r="BO36" s="3" t="s">
        <v>907</v>
      </c>
      <c r="BP36" s="3" t="s">
        <v>223</v>
      </c>
      <c r="BQ36" s="3" t="s">
        <v>908</v>
      </c>
      <c r="BR36" s="3" t="s">
        <v>909</v>
      </c>
    </row>
    <row r="37" spans="1:70" x14ac:dyDescent="0.25">
      <c r="A37" s="3" t="s">
        <v>577</v>
      </c>
      <c r="B37" s="3" t="s">
        <v>578</v>
      </c>
      <c r="C37" s="3" t="s">
        <v>301</v>
      </c>
      <c r="D37" s="3">
        <v>430</v>
      </c>
      <c r="E37" s="4">
        <v>46105</v>
      </c>
      <c r="F37" s="3">
        <v>3</v>
      </c>
      <c r="G37" s="4">
        <v>46097</v>
      </c>
      <c r="H37" s="4">
        <v>46105</v>
      </c>
      <c r="I37" s="3">
        <v>6</v>
      </c>
      <c r="J37" s="3" t="s">
        <v>544</v>
      </c>
      <c r="K37" s="4">
        <v>46105</v>
      </c>
      <c r="L37" s="3">
        <v>6</v>
      </c>
      <c r="M37" s="3" t="s">
        <v>544</v>
      </c>
      <c r="N37" s="3">
        <v>0</v>
      </c>
      <c r="O37" s="3" t="s">
        <v>546</v>
      </c>
      <c r="P37" s="3">
        <v>0</v>
      </c>
      <c r="Q37" s="3">
        <v>1</v>
      </c>
      <c r="R37" s="3" t="s">
        <v>546</v>
      </c>
      <c r="S37" s="4">
        <v>46106</v>
      </c>
      <c r="T37" s="3">
        <v>7</v>
      </c>
      <c r="U37" s="3" t="s">
        <v>544</v>
      </c>
      <c r="V37" s="3">
        <v>12</v>
      </c>
      <c r="W37" s="3" t="s">
        <v>559</v>
      </c>
      <c r="X37" s="4">
        <v>46113</v>
      </c>
      <c r="Y37" s="3">
        <v>5</v>
      </c>
      <c r="Z37" s="3">
        <v>5</v>
      </c>
      <c r="AA37" s="4" t="s">
        <v>544</v>
      </c>
      <c r="AB37" s="4">
        <v>46113</v>
      </c>
      <c r="AC37" s="4">
        <v>46113</v>
      </c>
      <c r="AD37" s="5">
        <v>0</v>
      </c>
      <c r="AE37" s="4">
        <v>46113</v>
      </c>
      <c r="AF37" s="4">
        <v>1</v>
      </c>
      <c r="AG37" s="4" t="s">
        <v>548</v>
      </c>
      <c r="AH37" s="3" t="s">
        <v>93</v>
      </c>
      <c r="AI37" s="3" t="s">
        <v>112</v>
      </c>
      <c r="AJ37" s="3" t="s">
        <v>303</v>
      </c>
      <c r="AK37" s="3" t="s">
        <v>223</v>
      </c>
      <c r="AL37" s="3">
        <v>6000372</v>
      </c>
      <c r="AM37" s="3" t="s">
        <v>92</v>
      </c>
      <c r="AN37" s="3" t="s">
        <v>96</v>
      </c>
      <c r="AO37" s="3" t="s">
        <v>549</v>
      </c>
      <c r="AP37" s="3"/>
      <c r="AQ37" s="3" t="s">
        <v>550</v>
      </c>
      <c r="AR37" s="3" t="s">
        <v>90</v>
      </c>
      <c r="AS37" s="3"/>
      <c r="AT37" s="3" t="s">
        <v>107</v>
      </c>
      <c r="AU37" s="3"/>
      <c r="AV37" s="3" t="s">
        <v>107</v>
      </c>
      <c r="AW37" s="3" t="s">
        <v>576</v>
      </c>
      <c r="AX37" s="3" t="s">
        <v>620</v>
      </c>
      <c r="AY37" s="3" t="s">
        <v>580</v>
      </c>
      <c r="AZ37" s="3"/>
      <c r="BA37" s="3" t="s">
        <v>643</v>
      </c>
      <c r="BB37" s="3" t="s">
        <v>554</v>
      </c>
      <c r="BC37" s="3">
        <v>0</v>
      </c>
      <c r="BD37" s="3">
        <v>99</v>
      </c>
      <c r="BE37" s="3" t="s">
        <v>664</v>
      </c>
      <c r="BF37" s="3">
        <v>90</v>
      </c>
      <c r="BG37" s="3" t="s">
        <v>910</v>
      </c>
      <c r="BH37" s="3" t="s">
        <v>563</v>
      </c>
      <c r="BI37" s="3"/>
      <c r="BJ37" s="3" t="s">
        <v>591</v>
      </c>
      <c r="BK37" s="3" t="s">
        <v>558</v>
      </c>
      <c r="BL37" s="3" t="s">
        <v>104</v>
      </c>
      <c r="BM37" s="3" t="s">
        <v>105</v>
      </c>
      <c r="BN37" s="3">
        <v>12690063</v>
      </c>
      <c r="BO37" s="3" t="s">
        <v>911</v>
      </c>
      <c r="BP37" s="3" t="s">
        <v>223</v>
      </c>
      <c r="BQ37" s="3" t="s">
        <v>223</v>
      </c>
      <c r="BR37" s="3" t="s">
        <v>912</v>
      </c>
    </row>
    <row r="38" spans="1:70" x14ac:dyDescent="0.25">
      <c r="A38" s="3" t="s">
        <v>577</v>
      </c>
      <c r="B38" s="3" t="s">
        <v>578</v>
      </c>
      <c r="C38" s="3" t="s">
        <v>347</v>
      </c>
      <c r="D38" s="3">
        <v>430</v>
      </c>
      <c r="E38" s="4">
        <v>46108</v>
      </c>
      <c r="F38" s="3">
        <v>3</v>
      </c>
      <c r="G38" s="4">
        <v>46102</v>
      </c>
      <c r="H38" s="4">
        <v>46108</v>
      </c>
      <c r="I38" s="3">
        <v>4</v>
      </c>
      <c r="J38" s="3" t="s">
        <v>543</v>
      </c>
      <c r="K38" s="4">
        <v>46109</v>
      </c>
      <c r="L38" s="3">
        <v>4</v>
      </c>
      <c r="M38" s="3" t="s">
        <v>543</v>
      </c>
      <c r="N38" s="3">
        <v>1</v>
      </c>
      <c r="O38" s="3" t="s">
        <v>546</v>
      </c>
      <c r="P38" s="3">
        <v>1</v>
      </c>
      <c r="Q38" s="3">
        <v>2</v>
      </c>
      <c r="R38" s="3" t="s">
        <v>579</v>
      </c>
      <c r="S38" s="4">
        <v>46111</v>
      </c>
      <c r="T38" s="3">
        <v>5</v>
      </c>
      <c r="U38" s="3" t="s">
        <v>543</v>
      </c>
      <c r="V38" s="3">
        <v>13</v>
      </c>
      <c r="W38" s="3" t="s">
        <v>559</v>
      </c>
      <c r="X38" s="4">
        <v>46121</v>
      </c>
      <c r="Y38" s="3">
        <v>8</v>
      </c>
      <c r="Z38" s="3">
        <v>8</v>
      </c>
      <c r="AA38" s="4" t="s">
        <v>544</v>
      </c>
      <c r="AB38" s="4">
        <v>46121</v>
      </c>
      <c r="AC38" s="4">
        <v>46121</v>
      </c>
      <c r="AD38" s="5">
        <v>0</v>
      </c>
      <c r="AE38" s="4">
        <v>46121</v>
      </c>
      <c r="AF38" s="4">
        <v>1</v>
      </c>
      <c r="AG38" s="4" t="s">
        <v>548</v>
      </c>
      <c r="AH38" s="3" t="s">
        <v>93</v>
      </c>
      <c r="AI38" s="3" t="s">
        <v>112</v>
      </c>
      <c r="AJ38" s="3" t="s">
        <v>351</v>
      </c>
      <c r="AK38" s="3" t="s">
        <v>223</v>
      </c>
      <c r="AL38" s="3">
        <v>6000428</v>
      </c>
      <c r="AM38" s="3" t="s">
        <v>92</v>
      </c>
      <c r="AN38" s="3" t="s">
        <v>350</v>
      </c>
      <c r="AO38" s="3" t="s">
        <v>549</v>
      </c>
      <c r="AP38" s="3"/>
      <c r="AQ38" s="3" t="s">
        <v>550</v>
      </c>
      <c r="AR38" s="3" t="s">
        <v>90</v>
      </c>
      <c r="AS38" s="3"/>
      <c r="AT38" s="3"/>
      <c r="AU38" s="3"/>
      <c r="AV38" s="3"/>
      <c r="AW38" s="3" t="s">
        <v>576</v>
      </c>
      <c r="AX38" s="3" t="s">
        <v>552</v>
      </c>
      <c r="AY38" s="3" t="s">
        <v>607</v>
      </c>
      <c r="AZ38" s="3" t="s">
        <v>669</v>
      </c>
      <c r="BA38" s="3"/>
      <c r="BB38" s="3" t="s">
        <v>554</v>
      </c>
      <c r="BC38" s="3">
        <v>0</v>
      </c>
      <c r="BD38" s="3">
        <v>0</v>
      </c>
      <c r="BE38" s="3" t="s">
        <v>670</v>
      </c>
      <c r="BF38" s="3">
        <v>90</v>
      </c>
      <c r="BG38" s="3" t="s">
        <v>914</v>
      </c>
      <c r="BH38" s="3" t="s">
        <v>611</v>
      </c>
      <c r="BI38" s="3"/>
      <c r="BJ38" s="3" t="s">
        <v>671</v>
      </c>
      <c r="BK38" s="3" t="s">
        <v>558</v>
      </c>
      <c r="BL38" s="3" t="s">
        <v>352</v>
      </c>
      <c r="BM38" s="3" t="s">
        <v>105</v>
      </c>
      <c r="BN38" s="3">
        <v>1624558</v>
      </c>
      <c r="BO38" s="3" t="s">
        <v>915</v>
      </c>
      <c r="BP38" s="3" t="s">
        <v>223</v>
      </c>
      <c r="BQ38" s="3" t="s">
        <v>916</v>
      </c>
      <c r="BR38" s="3" t="s">
        <v>917</v>
      </c>
    </row>
    <row r="39" spans="1:70" x14ac:dyDescent="0.25">
      <c r="A39" s="3" t="s">
        <v>577</v>
      </c>
      <c r="B39" s="3" t="s">
        <v>578</v>
      </c>
      <c r="C39" s="3" t="s">
        <v>357</v>
      </c>
      <c r="D39" s="3">
        <v>430</v>
      </c>
      <c r="E39" s="4">
        <v>46108</v>
      </c>
      <c r="F39" s="3">
        <v>3</v>
      </c>
      <c r="G39" s="4">
        <v>46101</v>
      </c>
      <c r="H39" s="4">
        <v>46108</v>
      </c>
      <c r="I39" s="3">
        <v>5</v>
      </c>
      <c r="J39" s="3" t="s">
        <v>543</v>
      </c>
      <c r="K39" s="4">
        <v>46109</v>
      </c>
      <c r="L39" s="3">
        <v>5</v>
      </c>
      <c r="M39" s="3" t="s">
        <v>543</v>
      </c>
      <c r="N39" s="3">
        <v>1</v>
      </c>
      <c r="O39" s="3" t="s">
        <v>546</v>
      </c>
      <c r="P39" s="3">
        <v>1</v>
      </c>
      <c r="Q39" s="3">
        <v>2</v>
      </c>
      <c r="R39" s="3" t="s">
        <v>579</v>
      </c>
      <c r="S39" s="4">
        <v>46111</v>
      </c>
      <c r="T39" s="3">
        <v>6</v>
      </c>
      <c r="U39" s="3" t="s">
        <v>544</v>
      </c>
      <c r="V39" s="3">
        <v>11</v>
      </c>
      <c r="W39" s="3" t="s">
        <v>559</v>
      </c>
      <c r="X39" s="4">
        <v>46118</v>
      </c>
      <c r="Y39" s="3">
        <v>5</v>
      </c>
      <c r="Z39" s="3">
        <v>5</v>
      </c>
      <c r="AA39" s="4" t="s">
        <v>544</v>
      </c>
      <c r="AB39" s="4">
        <v>46118</v>
      </c>
      <c r="AC39" s="4">
        <v>46118</v>
      </c>
      <c r="AD39" s="5">
        <v>0</v>
      </c>
      <c r="AE39" s="4">
        <v>46118</v>
      </c>
      <c r="AF39" s="4">
        <v>1</v>
      </c>
      <c r="AG39" s="4" t="s">
        <v>548</v>
      </c>
      <c r="AH39" s="3" t="s">
        <v>93</v>
      </c>
      <c r="AI39" s="3" t="s">
        <v>112</v>
      </c>
      <c r="AJ39" s="3">
        <v>266207695</v>
      </c>
      <c r="AK39" s="3" t="s">
        <v>223</v>
      </c>
      <c r="AL39" s="3">
        <v>6000431</v>
      </c>
      <c r="AM39" s="3" t="s">
        <v>92</v>
      </c>
      <c r="AN39" s="3" t="s">
        <v>359</v>
      </c>
      <c r="AO39" s="3" t="s">
        <v>549</v>
      </c>
      <c r="AP39" s="3"/>
      <c r="AQ39" s="3" t="s">
        <v>550</v>
      </c>
      <c r="AR39" s="3" t="s">
        <v>90</v>
      </c>
      <c r="AS39" s="3"/>
      <c r="AT39" s="3" t="s">
        <v>107</v>
      </c>
      <c r="AU39" s="3"/>
      <c r="AV39" s="3" t="s">
        <v>107</v>
      </c>
      <c r="AW39" s="3" t="s">
        <v>576</v>
      </c>
      <c r="AX39" s="3" t="s">
        <v>552</v>
      </c>
      <c r="AY39" s="3" t="s">
        <v>607</v>
      </c>
      <c r="AZ39" s="3" t="s">
        <v>669</v>
      </c>
      <c r="BA39" s="3"/>
      <c r="BB39" s="3" t="s">
        <v>554</v>
      </c>
      <c r="BC39" s="3">
        <v>0</v>
      </c>
      <c r="BD39" s="3">
        <v>0.99</v>
      </c>
      <c r="BE39" s="3" t="s">
        <v>672</v>
      </c>
      <c r="BF39" s="3">
        <v>90</v>
      </c>
      <c r="BG39" s="3" t="s">
        <v>918</v>
      </c>
      <c r="BH39" s="3" t="s">
        <v>646</v>
      </c>
      <c r="BI39" s="3"/>
      <c r="BJ39" s="3" t="s">
        <v>619</v>
      </c>
      <c r="BK39" s="3" t="s">
        <v>558</v>
      </c>
      <c r="BL39" s="3" t="s">
        <v>189</v>
      </c>
      <c r="BM39" s="3" t="s">
        <v>105</v>
      </c>
      <c r="BN39" s="3">
        <v>2189088</v>
      </c>
      <c r="BO39" s="3" t="s">
        <v>919</v>
      </c>
      <c r="BP39" s="3" t="s">
        <v>920</v>
      </c>
      <c r="BQ39" s="3" t="s">
        <v>921</v>
      </c>
      <c r="BR39" s="3" t="s">
        <v>922</v>
      </c>
    </row>
    <row r="40" spans="1:70" x14ac:dyDescent="0.25">
      <c r="A40" s="3" t="s">
        <v>541</v>
      </c>
      <c r="B40" s="3" t="s">
        <v>542</v>
      </c>
      <c r="C40" s="3" t="s">
        <v>461</v>
      </c>
      <c r="D40" s="3">
        <v>470</v>
      </c>
      <c r="E40" s="4">
        <v>46141</v>
      </c>
      <c r="F40" s="3">
        <v>4</v>
      </c>
      <c r="G40" s="4">
        <v>46132</v>
      </c>
      <c r="H40" s="4">
        <v>46141</v>
      </c>
      <c r="I40" s="3">
        <v>7</v>
      </c>
      <c r="J40" s="3" t="s">
        <v>544</v>
      </c>
      <c r="K40" s="4">
        <v>46142</v>
      </c>
      <c r="L40" s="3">
        <v>8</v>
      </c>
      <c r="M40" s="3" t="s">
        <v>544</v>
      </c>
      <c r="N40" s="3">
        <v>1</v>
      </c>
      <c r="O40" s="3" t="s">
        <v>546</v>
      </c>
      <c r="P40" s="3">
        <v>1</v>
      </c>
      <c r="Q40" s="3">
        <v>0</v>
      </c>
      <c r="R40" s="3" t="s">
        <v>546</v>
      </c>
      <c r="S40" s="4">
        <v>46142</v>
      </c>
      <c r="T40" s="3">
        <v>8</v>
      </c>
      <c r="U40" s="3" t="s">
        <v>544</v>
      </c>
      <c r="V40" s="3">
        <v>14</v>
      </c>
      <c r="W40" s="3" t="s">
        <v>559</v>
      </c>
      <c r="X40" s="4">
        <v>46150</v>
      </c>
      <c r="Y40" s="3">
        <v>6</v>
      </c>
      <c r="Z40" s="3">
        <v>6</v>
      </c>
      <c r="AA40" s="4" t="s">
        <v>544</v>
      </c>
      <c r="AB40" s="4">
        <v>46150</v>
      </c>
      <c r="AC40" s="4">
        <v>46150</v>
      </c>
      <c r="AD40" s="5">
        <v>0</v>
      </c>
      <c r="AE40" s="4">
        <v>46150</v>
      </c>
      <c r="AF40" s="4">
        <v>1</v>
      </c>
      <c r="AG40" s="4" t="s">
        <v>548</v>
      </c>
      <c r="AH40" s="3" t="s">
        <v>93</v>
      </c>
      <c r="AI40" s="3" t="s">
        <v>285</v>
      </c>
      <c r="AJ40" s="3" t="s">
        <v>463</v>
      </c>
      <c r="AK40" s="3">
        <v>1073938896</v>
      </c>
      <c r="AL40" s="3">
        <v>6002421</v>
      </c>
      <c r="AM40" s="3" t="s">
        <v>92</v>
      </c>
      <c r="AN40" s="3" t="s">
        <v>462</v>
      </c>
      <c r="AO40" s="3" t="s">
        <v>549</v>
      </c>
      <c r="AP40" s="3"/>
      <c r="AQ40" s="3" t="s">
        <v>550</v>
      </c>
      <c r="AR40" s="3" t="s">
        <v>90</v>
      </c>
      <c r="AS40" s="3"/>
      <c r="AT40" s="3"/>
      <c r="AU40" s="3"/>
      <c r="AV40" s="3"/>
      <c r="AW40" s="3" t="s">
        <v>560</v>
      </c>
      <c r="AX40" s="3" t="s">
        <v>552</v>
      </c>
      <c r="AY40" s="3" t="s">
        <v>223</v>
      </c>
      <c r="AZ40" s="3"/>
      <c r="BA40" s="3" t="s">
        <v>561</v>
      </c>
      <c r="BB40" s="3" t="s">
        <v>554</v>
      </c>
      <c r="BC40" s="3">
        <v>0</v>
      </c>
      <c r="BD40" s="3">
        <v>0</v>
      </c>
      <c r="BE40" s="3" t="s">
        <v>562</v>
      </c>
      <c r="BF40" s="3">
        <v>90</v>
      </c>
      <c r="BG40" s="3" t="s">
        <v>801</v>
      </c>
      <c r="BH40" s="3" t="s">
        <v>563</v>
      </c>
      <c r="BI40" s="3"/>
      <c r="BJ40" s="3" t="s">
        <v>564</v>
      </c>
      <c r="BK40" s="3" t="s">
        <v>558</v>
      </c>
      <c r="BL40" s="3" t="s">
        <v>126</v>
      </c>
      <c r="BM40" s="3" t="s">
        <v>105</v>
      </c>
      <c r="BN40" s="3">
        <v>356771</v>
      </c>
      <c r="BO40" s="3" t="s">
        <v>802</v>
      </c>
      <c r="BP40" s="3" t="s">
        <v>223</v>
      </c>
      <c r="BQ40" s="3" t="s">
        <v>223</v>
      </c>
      <c r="BR40" s="3" t="s">
        <v>803</v>
      </c>
    </row>
    <row r="41" spans="1:70" x14ac:dyDescent="0.25">
      <c r="A41" s="3" t="s">
        <v>565</v>
      </c>
      <c r="B41" s="3" t="s">
        <v>707</v>
      </c>
      <c r="C41" s="3" t="s">
        <v>708</v>
      </c>
      <c r="D41" s="3">
        <v>160</v>
      </c>
      <c r="E41" s="4" t="s">
        <v>223</v>
      </c>
      <c r="F41" s="3">
        <v>4</v>
      </c>
      <c r="G41" s="4" t="s">
        <v>223</v>
      </c>
      <c r="H41" s="4">
        <v>46133</v>
      </c>
      <c r="I41" s="3" t="s">
        <v>223</v>
      </c>
      <c r="J41" s="3" t="s">
        <v>568</v>
      </c>
      <c r="K41" s="4">
        <v>46141</v>
      </c>
      <c r="L41" s="3" t="s">
        <v>223</v>
      </c>
      <c r="M41" s="3" t="s">
        <v>545</v>
      </c>
      <c r="N41" s="3">
        <v>0</v>
      </c>
      <c r="O41" s="3" t="s">
        <v>569</v>
      </c>
      <c r="P41" s="3">
        <v>0</v>
      </c>
      <c r="Q41" s="3">
        <v>0</v>
      </c>
      <c r="R41" s="3" t="s">
        <v>546</v>
      </c>
      <c r="S41" s="4">
        <v>46141</v>
      </c>
      <c r="T41" s="3" t="s">
        <v>223</v>
      </c>
      <c r="U41" s="3" t="s">
        <v>588</v>
      </c>
      <c r="V41" s="3">
        <v>0</v>
      </c>
      <c r="W41" s="3" t="s">
        <v>569</v>
      </c>
      <c r="X41" s="4">
        <v>46164</v>
      </c>
      <c r="Y41" s="3">
        <v>17</v>
      </c>
      <c r="Z41" s="3">
        <v>0</v>
      </c>
      <c r="AA41" s="4" t="s">
        <v>547</v>
      </c>
      <c r="AB41" s="4">
        <v>46164</v>
      </c>
      <c r="AC41" s="4">
        <v>46164</v>
      </c>
      <c r="AD41" s="5">
        <v>0</v>
      </c>
      <c r="AE41" s="4">
        <v>46164</v>
      </c>
      <c r="AF41" s="4">
        <v>1</v>
      </c>
      <c r="AG41" s="4" t="s">
        <v>548</v>
      </c>
      <c r="AH41" s="3" t="s">
        <v>93</v>
      </c>
      <c r="AI41" s="3" t="s">
        <v>285</v>
      </c>
      <c r="AJ41" s="3" t="s">
        <v>223</v>
      </c>
      <c r="AK41" s="3" t="s">
        <v>223</v>
      </c>
      <c r="AL41" s="3">
        <v>6004257</v>
      </c>
      <c r="AM41" s="3" t="s">
        <v>92</v>
      </c>
      <c r="AN41" s="3" t="s">
        <v>711</v>
      </c>
      <c r="AO41" s="3" t="s">
        <v>549</v>
      </c>
      <c r="AP41" s="3"/>
      <c r="AQ41" s="3" t="s">
        <v>550</v>
      </c>
      <c r="AR41" s="3" t="s">
        <v>90</v>
      </c>
      <c r="AS41" s="3"/>
      <c r="AT41" s="3"/>
      <c r="AU41" s="3"/>
      <c r="AV41" s="3"/>
      <c r="AW41" s="3" t="s">
        <v>576</v>
      </c>
      <c r="AX41" s="3" t="s">
        <v>552</v>
      </c>
      <c r="AY41" s="3" t="s">
        <v>223</v>
      </c>
      <c r="AZ41" s="3"/>
      <c r="BA41" s="3"/>
      <c r="BB41" s="3" t="s">
        <v>554</v>
      </c>
      <c r="BC41" s="3" t="s">
        <v>223</v>
      </c>
      <c r="BD41" s="3" t="s">
        <v>223</v>
      </c>
      <c r="BE41" s="3" t="s">
        <v>223</v>
      </c>
      <c r="BF41" s="3">
        <v>90</v>
      </c>
      <c r="BG41" s="3" t="s">
        <v>223</v>
      </c>
      <c r="BH41" s="3" t="s">
        <v>223</v>
      </c>
      <c r="BI41" s="3"/>
      <c r="BJ41" s="3" t="s">
        <v>223</v>
      </c>
      <c r="BK41" s="3" t="s">
        <v>223</v>
      </c>
      <c r="BL41" s="3" t="s">
        <v>223</v>
      </c>
      <c r="BM41" s="3" t="s">
        <v>223</v>
      </c>
      <c r="BN41" s="3" t="s">
        <v>223</v>
      </c>
      <c r="BO41" s="3" t="s">
        <v>223</v>
      </c>
      <c r="BP41" s="3" t="s">
        <v>223</v>
      </c>
      <c r="BQ41" s="3" t="s">
        <v>223</v>
      </c>
      <c r="BR41" s="3" t="s">
        <v>827</v>
      </c>
    </row>
    <row r="42" spans="1:70" x14ac:dyDescent="0.25">
      <c r="A42" s="3" t="s">
        <v>565</v>
      </c>
      <c r="B42" s="3" t="s">
        <v>566</v>
      </c>
      <c r="C42" s="3" t="s">
        <v>575</v>
      </c>
      <c r="D42" s="3">
        <v>240</v>
      </c>
      <c r="E42" s="4" t="s">
        <v>223</v>
      </c>
      <c r="F42" s="3">
        <v>4</v>
      </c>
      <c r="G42" s="4">
        <v>46128</v>
      </c>
      <c r="H42" s="4">
        <v>46128</v>
      </c>
      <c r="I42" s="3">
        <v>0</v>
      </c>
      <c r="J42" s="3" t="s">
        <v>546</v>
      </c>
      <c r="K42" s="4">
        <v>46128</v>
      </c>
      <c r="L42" s="3">
        <v>0</v>
      </c>
      <c r="M42" s="3" t="s">
        <v>546</v>
      </c>
      <c r="N42" s="3">
        <v>0</v>
      </c>
      <c r="O42" s="3" t="s">
        <v>569</v>
      </c>
      <c r="P42" s="3">
        <v>0</v>
      </c>
      <c r="Q42" s="3">
        <v>2</v>
      </c>
      <c r="R42" s="3" t="s">
        <v>579</v>
      </c>
      <c r="S42" s="4">
        <v>46130</v>
      </c>
      <c r="T42" s="3">
        <v>2</v>
      </c>
      <c r="U42" s="3" t="s">
        <v>579</v>
      </c>
      <c r="V42" s="3">
        <v>18</v>
      </c>
      <c r="W42" s="3" t="s">
        <v>547</v>
      </c>
      <c r="X42" s="4">
        <v>46154</v>
      </c>
      <c r="Y42" s="3">
        <v>16</v>
      </c>
      <c r="Z42" s="3">
        <v>0</v>
      </c>
      <c r="AA42" s="4" t="s">
        <v>547</v>
      </c>
      <c r="AB42" s="4">
        <v>46154</v>
      </c>
      <c r="AC42" s="4">
        <v>46154</v>
      </c>
      <c r="AD42" s="5">
        <v>0</v>
      </c>
      <c r="AE42" s="4">
        <v>46154</v>
      </c>
      <c r="AF42" s="4">
        <v>1</v>
      </c>
      <c r="AG42" s="4" t="s">
        <v>548</v>
      </c>
      <c r="AH42" s="3" t="s">
        <v>93</v>
      </c>
      <c r="AI42" s="3" t="s">
        <v>285</v>
      </c>
      <c r="AJ42" s="3" t="s">
        <v>223</v>
      </c>
      <c r="AK42" s="3" t="s">
        <v>223</v>
      </c>
      <c r="AL42" s="3">
        <v>6019948</v>
      </c>
      <c r="AM42" s="3" t="s">
        <v>92</v>
      </c>
      <c r="AN42" s="3" t="s">
        <v>572</v>
      </c>
      <c r="AO42" s="3" t="s">
        <v>549</v>
      </c>
      <c r="AP42" s="3"/>
      <c r="AQ42" s="3" t="s">
        <v>550</v>
      </c>
      <c r="AR42" s="3" t="s">
        <v>90</v>
      </c>
      <c r="AS42" s="3"/>
      <c r="AT42" s="3"/>
      <c r="AU42" s="3"/>
      <c r="AV42" s="3"/>
      <c r="AW42" s="3" t="s">
        <v>576</v>
      </c>
      <c r="AX42" s="3" t="s">
        <v>552</v>
      </c>
      <c r="AY42" s="3" t="s">
        <v>223</v>
      </c>
      <c r="AZ42" s="3"/>
      <c r="BA42" s="3"/>
      <c r="BB42" s="3" t="s">
        <v>554</v>
      </c>
      <c r="BC42" s="3" t="s">
        <v>223</v>
      </c>
      <c r="BD42" s="3" t="s">
        <v>223</v>
      </c>
      <c r="BE42" s="3" t="s">
        <v>223</v>
      </c>
      <c r="BF42" s="3">
        <v>90</v>
      </c>
      <c r="BG42" s="3" t="s">
        <v>223</v>
      </c>
      <c r="BH42" s="3" t="s">
        <v>223</v>
      </c>
      <c r="BI42" s="3"/>
      <c r="BJ42" s="3" t="s">
        <v>223</v>
      </c>
      <c r="BK42" s="3" t="s">
        <v>223</v>
      </c>
      <c r="BL42" s="3" t="s">
        <v>223</v>
      </c>
      <c r="BM42" s="3" t="s">
        <v>223</v>
      </c>
      <c r="BN42" s="3" t="s">
        <v>223</v>
      </c>
      <c r="BO42" s="3" t="s">
        <v>223</v>
      </c>
      <c r="BP42" s="3" t="s">
        <v>223</v>
      </c>
      <c r="BQ42" s="3" t="s">
        <v>223</v>
      </c>
      <c r="BR42" s="3" t="s">
        <v>837</v>
      </c>
    </row>
    <row r="43" spans="1:70" x14ac:dyDescent="0.25">
      <c r="A43" s="3" t="s">
        <v>577</v>
      </c>
      <c r="B43" s="3" t="s">
        <v>578</v>
      </c>
      <c r="C43" s="3" t="s">
        <v>246</v>
      </c>
      <c r="D43" s="3">
        <v>430</v>
      </c>
      <c r="E43" s="4">
        <v>46127</v>
      </c>
      <c r="F43" s="3">
        <v>4</v>
      </c>
      <c r="G43" s="4">
        <v>46066</v>
      </c>
      <c r="H43" s="4">
        <v>46127</v>
      </c>
      <c r="I43" s="3">
        <v>43</v>
      </c>
      <c r="J43" s="3" t="s">
        <v>568</v>
      </c>
      <c r="K43" s="4">
        <v>46128</v>
      </c>
      <c r="L43" s="3">
        <v>44</v>
      </c>
      <c r="M43" s="3" t="s">
        <v>568</v>
      </c>
      <c r="N43" s="3">
        <v>1</v>
      </c>
      <c r="O43" s="3" t="s">
        <v>546</v>
      </c>
      <c r="P43" s="3">
        <v>1</v>
      </c>
      <c r="Q43" s="3">
        <v>1</v>
      </c>
      <c r="R43" s="3" t="s">
        <v>546</v>
      </c>
      <c r="S43" s="4">
        <v>46129</v>
      </c>
      <c r="T43" s="3">
        <v>45</v>
      </c>
      <c r="U43" s="3" t="s">
        <v>588</v>
      </c>
      <c r="V43" s="3">
        <v>50</v>
      </c>
      <c r="W43" s="3" t="s">
        <v>547</v>
      </c>
      <c r="X43" s="4">
        <v>46136</v>
      </c>
      <c r="Y43" s="3">
        <v>5</v>
      </c>
      <c r="Z43" s="3">
        <v>5</v>
      </c>
      <c r="AA43" s="4" t="s">
        <v>544</v>
      </c>
      <c r="AB43" s="4">
        <v>46136</v>
      </c>
      <c r="AC43" s="4">
        <v>46136</v>
      </c>
      <c r="AD43" s="5">
        <v>0</v>
      </c>
      <c r="AE43" s="4">
        <v>46136</v>
      </c>
      <c r="AF43" s="4">
        <v>1</v>
      </c>
      <c r="AG43" s="4" t="s">
        <v>548</v>
      </c>
      <c r="AH43" s="3" t="s">
        <v>93</v>
      </c>
      <c r="AI43" s="3" t="s">
        <v>112</v>
      </c>
      <c r="AJ43" s="3" t="s">
        <v>212</v>
      </c>
      <c r="AK43" s="3" t="s">
        <v>223</v>
      </c>
      <c r="AL43" s="3">
        <v>6000300</v>
      </c>
      <c r="AM43" s="3" t="s">
        <v>92</v>
      </c>
      <c r="AN43" s="3" t="s">
        <v>167</v>
      </c>
      <c r="AO43" s="3" t="s">
        <v>549</v>
      </c>
      <c r="AP43" s="3"/>
      <c r="AQ43" s="3" t="s">
        <v>550</v>
      </c>
      <c r="AR43" s="3" t="s">
        <v>90</v>
      </c>
      <c r="AS43" s="3"/>
      <c r="AT43" s="3" t="s">
        <v>107</v>
      </c>
      <c r="AU43" s="3"/>
      <c r="AV43" s="3" t="s">
        <v>107</v>
      </c>
      <c r="AW43" s="3" t="s">
        <v>576</v>
      </c>
      <c r="AX43" s="3" t="s">
        <v>552</v>
      </c>
      <c r="AY43" s="3" t="s">
        <v>592</v>
      </c>
      <c r="AZ43" s="3" t="s">
        <v>630</v>
      </c>
      <c r="BA43" s="3"/>
      <c r="BB43" s="3" t="s">
        <v>554</v>
      </c>
      <c r="BC43" s="3">
        <v>0</v>
      </c>
      <c r="BD43" s="3">
        <v>99</v>
      </c>
      <c r="BE43" s="3" t="s">
        <v>631</v>
      </c>
      <c r="BF43" s="3">
        <v>90</v>
      </c>
      <c r="BG43" s="3" t="s">
        <v>881</v>
      </c>
      <c r="BH43" s="3" t="s">
        <v>563</v>
      </c>
      <c r="BI43" s="3"/>
      <c r="BJ43" s="3" t="s">
        <v>558</v>
      </c>
      <c r="BK43" s="3" t="s">
        <v>558</v>
      </c>
      <c r="BL43" s="3" t="s">
        <v>105</v>
      </c>
      <c r="BM43" s="3" t="s">
        <v>105</v>
      </c>
      <c r="BN43" s="3">
        <v>5668365</v>
      </c>
      <c r="BO43" s="3" t="s">
        <v>802</v>
      </c>
      <c r="BP43" s="3" t="s">
        <v>223</v>
      </c>
      <c r="BQ43" s="3" t="s">
        <v>223</v>
      </c>
      <c r="BR43" s="3" t="s">
        <v>882</v>
      </c>
    </row>
    <row r="44" spans="1:70" x14ac:dyDescent="0.25">
      <c r="A44" s="3" t="s">
        <v>577</v>
      </c>
      <c r="B44" s="3" t="s">
        <v>578</v>
      </c>
      <c r="C44" s="3" t="s">
        <v>374</v>
      </c>
      <c r="D44" s="3">
        <v>430</v>
      </c>
      <c r="E44" s="4">
        <v>46118</v>
      </c>
      <c r="F44" s="3">
        <v>4</v>
      </c>
      <c r="G44" s="4">
        <v>46111</v>
      </c>
      <c r="H44" s="4">
        <v>46118</v>
      </c>
      <c r="I44" s="3">
        <v>5</v>
      </c>
      <c r="J44" s="3" t="s">
        <v>543</v>
      </c>
      <c r="K44" s="4">
        <v>46118</v>
      </c>
      <c r="L44" s="3">
        <v>5</v>
      </c>
      <c r="M44" s="3" t="s">
        <v>543</v>
      </c>
      <c r="N44" s="3">
        <v>0</v>
      </c>
      <c r="O44" s="3" t="s">
        <v>546</v>
      </c>
      <c r="P44" s="3">
        <v>0</v>
      </c>
      <c r="Q44" s="3">
        <v>1</v>
      </c>
      <c r="R44" s="3" t="s">
        <v>546</v>
      </c>
      <c r="S44" s="4">
        <v>46119</v>
      </c>
      <c r="T44" s="3">
        <v>6</v>
      </c>
      <c r="U44" s="3" t="s">
        <v>544</v>
      </c>
      <c r="V44" s="3">
        <v>18</v>
      </c>
      <c r="W44" s="3" t="s">
        <v>547</v>
      </c>
      <c r="X44" s="4">
        <v>46135</v>
      </c>
      <c r="Y44" s="3">
        <v>12</v>
      </c>
      <c r="Z44" s="3">
        <v>12</v>
      </c>
      <c r="AA44" s="4" t="s">
        <v>547</v>
      </c>
      <c r="AB44" s="4">
        <v>46135</v>
      </c>
      <c r="AC44" s="4">
        <v>46135</v>
      </c>
      <c r="AD44" s="5">
        <v>0</v>
      </c>
      <c r="AE44" s="4">
        <v>46135</v>
      </c>
      <c r="AF44" s="4">
        <v>1</v>
      </c>
      <c r="AG44" s="4" t="s">
        <v>548</v>
      </c>
      <c r="AH44" s="3" t="s">
        <v>93</v>
      </c>
      <c r="AI44" s="3" t="s">
        <v>112</v>
      </c>
      <c r="AJ44" s="3" t="s">
        <v>377</v>
      </c>
      <c r="AK44" s="3" t="s">
        <v>223</v>
      </c>
      <c r="AL44" s="3">
        <v>6000401</v>
      </c>
      <c r="AM44" s="3" t="s">
        <v>92</v>
      </c>
      <c r="AN44" s="3" t="s">
        <v>376</v>
      </c>
      <c r="AO44" s="3" t="s">
        <v>549</v>
      </c>
      <c r="AP44" s="3"/>
      <c r="AQ44" s="3" t="s">
        <v>550</v>
      </c>
      <c r="AR44" s="3" t="s">
        <v>90</v>
      </c>
      <c r="AS44" s="3"/>
      <c r="AT44" s="3"/>
      <c r="AU44" s="3"/>
      <c r="AV44" s="3"/>
      <c r="AW44" s="3" t="s">
        <v>576</v>
      </c>
      <c r="AX44" s="3" t="s">
        <v>552</v>
      </c>
      <c r="AY44" s="3" t="s">
        <v>580</v>
      </c>
      <c r="AZ44" s="3"/>
      <c r="BA44" s="3" t="s">
        <v>643</v>
      </c>
      <c r="BB44" s="3" t="s">
        <v>554</v>
      </c>
      <c r="BC44" s="3">
        <v>0</v>
      </c>
      <c r="BD44" s="3">
        <v>0.99</v>
      </c>
      <c r="BE44" s="3" t="s">
        <v>665</v>
      </c>
      <c r="BF44" s="3">
        <v>90</v>
      </c>
      <c r="BG44" s="3" t="s">
        <v>666</v>
      </c>
      <c r="BH44" s="3" t="s">
        <v>600</v>
      </c>
      <c r="BI44" s="3"/>
      <c r="BJ44" s="3" t="s">
        <v>667</v>
      </c>
      <c r="BK44" s="3" t="s">
        <v>558</v>
      </c>
      <c r="BL44" s="3" t="s">
        <v>668</v>
      </c>
      <c r="BM44" s="3" t="s">
        <v>105</v>
      </c>
      <c r="BN44" s="3">
        <v>6964896</v>
      </c>
      <c r="BO44" s="3" t="s">
        <v>802</v>
      </c>
      <c r="BP44" s="3" t="s">
        <v>223</v>
      </c>
      <c r="BQ44" s="3" t="s">
        <v>223</v>
      </c>
      <c r="BR44" s="3" t="s">
        <v>913</v>
      </c>
    </row>
    <row r="45" spans="1:70" x14ac:dyDescent="0.25">
      <c r="A45" s="3" t="s">
        <v>577</v>
      </c>
      <c r="B45" s="3" t="s">
        <v>578</v>
      </c>
      <c r="C45" s="3" t="s">
        <v>399</v>
      </c>
      <c r="D45" s="3">
        <v>430</v>
      </c>
      <c r="E45" s="4">
        <v>46126</v>
      </c>
      <c r="F45" s="3">
        <v>4</v>
      </c>
      <c r="G45" s="4">
        <v>46120</v>
      </c>
      <c r="H45" s="4">
        <v>46126</v>
      </c>
      <c r="I45" s="3">
        <v>4</v>
      </c>
      <c r="J45" s="3" t="s">
        <v>543</v>
      </c>
      <c r="K45" s="4">
        <v>46127</v>
      </c>
      <c r="L45" s="3">
        <v>5</v>
      </c>
      <c r="M45" s="3" t="s">
        <v>543</v>
      </c>
      <c r="N45" s="3">
        <v>1</v>
      </c>
      <c r="O45" s="3" t="s">
        <v>546</v>
      </c>
      <c r="P45" s="3">
        <v>1</v>
      </c>
      <c r="Q45" s="3">
        <v>1</v>
      </c>
      <c r="R45" s="3" t="s">
        <v>546</v>
      </c>
      <c r="S45" s="4">
        <v>46128</v>
      </c>
      <c r="T45" s="3">
        <v>6</v>
      </c>
      <c r="U45" s="3" t="s">
        <v>544</v>
      </c>
      <c r="V45" s="3">
        <v>23</v>
      </c>
      <c r="W45" s="3" t="s">
        <v>547</v>
      </c>
      <c r="X45" s="4">
        <v>46153</v>
      </c>
      <c r="Y45" s="3">
        <v>17</v>
      </c>
      <c r="Z45" s="3">
        <v>17</v>
      </c>
      <c r="AA45" s="4" t="s">
        <v>547</v>
      </c>
      <c r="AB45" s="4">
        <v>46153</v>
      </c>
      <c r="AC45" s="4">
        <v>46153</v>
      </c>
      <c r="AD45" s="5">
        <v>0</v>
      </c>
      <c r="AE45" s="4">
        <v>46153</v>
      </c>
      <c r="AF45" s="4">
        <v>1</v>
      </c>
      <c r="AG45" s="4" t="s">
        <v>548</v>
      </c>
      <c r="AH45" s="3" t="s">
        <v>93</v>
      </c>
      <c r="AI45" s="3" t="s">
        <v>112</v>
      </c>
      <c r="AJ45" s="3" t="s">
        <v>402</v>
      </c>
      <c r="AK45" s="3" t="s">
        <v>223</v>
      </c>
      <c r="AL45" s="3">
        <v>6000433</v>
      </c>
      <c r="AM45" s="3" t="s">
        <v>92</v>
      </c>
      <c r="AN45" s="3" t="s">
        <v>401</v>
      </c>
      <c r="AO45" s="3" t="s">
        <v>549</v>
      </c>
      <c r="AP45" s="3"/>
      <c r="AQ45" s="3" t="s">
        <v>550</v>
      </c>
      <c r="AR45" s="3" t="s">
        <v>90</v>
      </c>
      <c r="AS45" s="3"/>
      <c r="AT45" s="3" t="s">
        <v>117</v>
      </c>
      <c r="AU45" s="3"/>
      <c r="AV45" s="3" t="s">
        <v>117</v>
      </c>
      <c r="AW45" s="3" t="s">
        <v>576</v>
      </c>
      <c r="AX45" s="3" t="s">
        <v>620</v>
      </c>
      <c r="AY45" s="3" t="s">
        <v>607</v>
      </c>
      <c r="AZ45" s="3" t="s">
        <v>673</v>
      </c>
      <c r="BA45" s="3"/>
      <c r="BB45" s="3" t="s">
        <v>554</v>
      </c>
      <c r="BC45" s="3">
        <v>0</v>
      </c>
      <c r="BD45" s="3">
        <v>99</v>
      </c>
      <c r="BE45" s="3" t="s">
        <v>674</v>
      </c>
      <c r="BF45" s="3">
        <v>90</v>
      </c>
      <c r="BG45" s="3" t="s">
        <v>675</v>
      </c>
      <c r="BH45" s="3" t="s">
        <v>646</v>
      </c>
      <c r="BI45" s="3"/>
      <c r="BJ45" s="3" t="s">
        <v>676</v>
      </c>
      <c r="BK45" s="3" t="s">
        <v>558</v>
      </c>
      <c r="BL45" s="3" t="s">
        <v>677</v>
      </c>
      <c r="BM45" s="3" t="s">
        <v>105</v>
      </c>
      <c r="BN45" s="3">
        <v>8920265</v>
      </c>
      <c r="BO45" s="3" t="s">
        <v>923</v>
      </c>
      <c r="BP45" s="3" t="s">
        <v>223</v>
      </c>
      <c r="BQ45" s="3" t="s">
        <v>924</v>
      </c>
      <c r="BR45" s="3" t="s">
        <v>925</v>
      </c>
    </row>
    <row r="46" spans="1:70" x14ac:dyDescent="0.25">
      <c r="A46" s="3" t="s">
        <v>577</v>
      </c>
      <c r="B46" s="3" t="s">
        <v>578</v>
      </c>
      <c r="C46" s="3" t="s">
        <v>366</v>
      </c>
      <c r="D46" s="3">
        <v>430</v>
      </c>
      <c r="E46" s="4">
        <v>46118</v>
      </c>
      <c r="F46" s="3">
        <v>4</v>
      </c>
      <c r="G46" s="4">
        <v>46111</v>
      </c>
      <c r="H46" s="4">
        <v>46118</v>
      </c>
      <c r="I46" s="3">
        <v>5</v>
      </c>
      <c r="J46" s="3" t="s">
        <v>543</v>
      </c>
      <c r="K46" s="4">
        <v>46118</v>
      </c>
      <c r="L46" s="3">
        <v>5</v>
      </c>
      <c r="M46" s="3" t="s">
        <v>543</v>
      </c>
      <c r="N46" s="3">
        <v>0</v>
      </c>
      <c r="O46" s="3" t="s">
        <v>546</v>
      </c>
      <c r="P46" s="3">
        <v>0</v>
      </c>
      <c r="Q46" s="3">
        <v>1</v>
      </c>
      <c r="R46" s="3" t="s">
        <v>546</v>
      </c>
      <c r="S46" s="4">
        <v>46119</v>
      </c>
      <c r="T46" s="3">
        <v>6</v>
      </c>
      <c r="U46" s="3" t="s">
        <v>544</v>
      </c>
      <c r="V46" s="3">
        <v>14</v>
      </c>
      <c r="W46" s="3" t="s">
        <v>559</v>
      </c>
      <c r="X46" s="4">
        <v>46129</v>
      </c>
      <c r="Y46" s="3">
        <v>7</v>
      </c>
      <c r="Z46" s="3">
        <v>8</v>
      </c>
      <c r="AA46" s="4" t="s">
        <v>544</v>
      </c>
      <c r="AB46" s="4">
        <v>46128</v>
      </c>
      <c r="AC46" s="4">
        <v>46129</v>
      </c>
      <c r="AD46" s="5">
        <v>1</v>
      </c>
      <c r="AE46" s="4">
        <v>46129</v>
      </c>
      <c r="AF46" s="4">
        <v>1</v>
      </c>
      <c r="AG46" s="4" t="s">
        <v>548</v>
      </c>
      <c r="AH46" s="3" t="s">
        <v>93</v>
      </c>
      <c r="AI46" s="3" t="s">
        <v>112</v>
      </c>
      <c r="AJ46" s="3" t="s">
        <v>368</v>
      </c>
      <c r="AK46" s="3" t="s">
        <v>223</v>
      </c>
      <c r="AL46" s="3">
        <v>6000434</v>
      </c>
      <c r="AM46" s="3" t="s">
        <v>92</v>
      </c>
      <c r="AN46" s="3" t="s">
        <v>159</v>
      </c>
      <c r="AO46" s="3" t="s">
        <v>549</v>
      </c>
      <c r="AP46" s="3"/>
      <c r="AQ46" s="3" t="s">
        <v>550</v>
      </c>
      <c r="AR46" s="3" t="s">
        <v>90</v>
      </c>
      <c r="AS46" s="3"/>
      <c r="AT46" s="3" t="s">
        <v>117</v>
      </c>
      <c r="AU46" s="3"/>
      <c r="AV46" s="3" t="s">
        <v>117</v>
      </c>
      <c r="AW46" s="3" t="s">
        <v>576</v>
      </c>
      <c r="AX46" s="3" t="s">
        <v>620</v>
      </c>
      <c r="AY46" s="3" t="s">
        <v>607</v>
      </c>
      <c r="AZ46" s="3" t="s">
        <v>678</v>
      </c>
      <c r="BA46" s="3"/>
      <c r="BB46" s="3" t="s">
        <v>554</v>
      </c>
      <c r="BC46" s="3">
        <v>0</v>
      </c>
      <c r="BD46" s="3">
        <v>99</v>
      </c>
      <c r="BE46" s="3" t="s">
        <v>926</v>
      </c>
      <c r="BF46" s="3">
        <v>90</v>
      </c>
      <c r="BG46" s="3" t="s">
        <v>680</v>
      </c>
      <c r="BH46" s="3" t="s">
        <v>606</v>
      </c>
      <c r="BI46" s="3"/>
      <c r="BJ46" s="3" t="s">
        <v>558</v>
      </c>
      <c r="BK46" s="3" t="s">
        <v>558</v>
      </c>
      <c r="BL46" s="3" t="s">
        <v>105</v>
      </c>
      <c r="BM46" s="3" t="s">
        <v>105</v>
      </c>
      <c r="BN46" s="3">
        <v>41757683</v>
      </c>
      <c r="BO46" s="3" t="s">
        <v>802</v>
      </c>
      <c r="BP46" s="3" t="s">
        <v>223</v>
      </c>
      <c r="BQ46" s="3" t="s">
        <v>223</v>
      </c>
      <c r="BR46" s="3" t="s">
        <v>927</v>
      </c>
    </row>
    <row r="47" spans="1:70" x14ac:dyDescent="0.25">
      <c r="A47" s="3" t="s">
        <v>577</v>
      </c>
      <c r="B47" s="3" t="s">
        <v>578</v>
      </c>
      <c r="C47" s="3" t="s">
        <v>383</v>
      </c>
      <c r="D47" s="3">
        <v>430</v>
      </c>
      <c r="E47" s="4">
        <v>46118</v>
      </c>
      <c r="F47" s="3">
        <v>4</v>
      </c>
      <c r="G47" s="4">
        <v>46111</v>
      </c>
      <c r="H47" s="4">
        <v>46118</v>
      </c>
      <c r="I47" s="3">
        <v>5</v>
      </c>
      <c r="J47" s="3" t="s">
        <v>543</v>
      </c>
      <c r="K47" s="4">
        <v>46118</v>
      </c>
      <c r="L47" s="3">
        <v>5</v>
      </c>
      <c r="M47" s="3" t="s">
        <v>543</v>
      </c>
      <c r="N47" s="3">
        <v>0</v>
      </c>
      <c r="O47" s="3" t="s">
        <v>546</v>
      </c>
      <c r="P47" s="3">
        <v>0</v>
      </c>
      <c r="Q47" s="3">
        <v>1</v>
      </c>
      <c r="R47" s="3" t="s">
        <v>546</v>
      </c>
      <c r="S47" s="4">
        <v>46119</v>
      </c>
      <c r="T47" s="3">
        <v>6</v>
      </c>
      <c r="U47" s="3" t="s">
        <v>544</v>
      </c>
      <c r="V47" s="3">
        <v>18</v>
      </c>
      <c r="W47" s="3" t="s">
        <v>547</v>
      </c>
      <c r="X47" s="4">
        <v>46135</v>
      </c>
      <c r="Y47" s="3">
        <v>12</v>
      </c>
      <c r="Z47" s="3">
        <v>12</v>
      </c>
      <c r="AA47" s="4" t="s">
        <v>547</v>
      </c>
      <c r="AB47" s="4">
        <v>46135</v>
      </c>
      <c r="AC47" s="4">
        <v>46135</v>
      </c>
      <c r="AD47" s="5">
        <v>0</v>
      </c>
      <c r="AE47" s="4">
        <v>46135</v>
      </c>
      <c r="AF47" s="4">
        <v>1</v>
      </c>
      <c r="AG47" s="4" t="s">
        <v>548</v>
      </c>
      <c r="AH47" s="3" t="s">
        <v>93</v>
      </c>
      <c r="AI47" s="3" t="s">
        <v>112</v>
      </c>
      <c r="AJ47" s="3" t="s">
        <v>387</v>
      </c>
      <c r="AK47" s="3" t="s">
        <v>223</v>
      </c>
      <c r="AL47" s="3">
        <v>6000516</v>
      </c>
      <c r="AM47" s="3" t="s">
        <v>92</v>
      </c>
      <c r="AN47" s="3" t="s">
        <v>386</v>
      </c>
      <c r="AO47" s="3" t="s">
        <v>549</v>
      </c>
      <c r="AP47" s="3"/>
      <c r="AQ47" s="3" t="s">
        <v>550</v>
      </c>
      <c r="AR47" s="3" t="s">
        <v>90</v>
      </c>
      <c r="AS47" s="3"/>
      <c r="AT47" s="3" t="s">
        <v>117</v>
      </c>
      <c r="AU47" s="3"/>
      <c r="AV47" s="3" t="s">
        <v>117</v>
      </c>
      <c r="AW47" s="3" t="s">
        <v>576</v>
      </c>
      <c r="AX47" s="3" t="s">
        <v>552</v>
      </c>
      <c r="AY47" s="3" t="s">
        <v>580</v>
      </c>
      <c r="AZ47" s="3"/>
      <c r="BA47" s="3" t="s">
        <v>643</v>
      </c>
      <c r="BB47" s="3" t="s">
        <v>554</v>
      </c>
      <c r="BC47" s="3">
        <v>0</v>
      </c>
      <c r="BD47" s="3">
        <v>99</v>
      </c>
      <c r="BE47" s="3" t="s">
        <v>681</v>
      </c>
      <c r="BF47" s="3">
        <v>90</v>
      </c>
      <c r="BG47" s="3" t="s">
        <v>928</v>
      </c>
      <c r="BH47" s="3" t="s">
        <v>563</v>
      </c>
      <c r="BI47" s="3"/>
      <c r="BJ47" s="3" t="s">
        <v>613</v>
      </c>
      <c r="BK47" s="3" t="s">
        <v>558</v>
      </c>
      <c r="BL47" s="3" t="s">
        <v>133</v>
      </c>
      <c r="BM47" s="3" t="s">
        <v>105</v>
      </c>
      <c r="BN47" s="3">
        <v>10052424</v>
      </c>
      <c r="BO47" s="3" t="s">
        <v>929</v>
      </c>
      <c r="BP47" s="3" t="s">
        <v>223</v>
      </c>
      <c r="BQ47" s="3" t="s">
        <v>930</v>
      </c>
      <c r="BR47" s="3" t="s">
        <v>931</v>
      </c>
    </row>
    <row r="48" spans="1:70" x14ac:dyDescent="0.25">
      <c r="A48" s="3" t="s">
        <v>577</v>
      </c>
      <c r="B48" s="3" t="s">
        <v>578</v>
      </c>
      <c r="C48" s="3" t="s">
        <v>390</v>
      </c>
      <c r="D48" s="3">
        <v>430</v>
      </c>
      <c r="E48" s="4">
        <v>46126</v>
      </c>
      <c r="F48" s="3">
        <v>4</v>
      </c>
      <c r="G48" s="4">
        <v>46115</v>
      </c>
      <c r="H48" s="4">
        <v>46126</v>
      </c>
      <c r="I48" s="3">
        <v>7</v>
      </c>
      <c r="J48" s="3" t="s">
        <v>544</v>
      </c>
      <c r="K48" s="4">
        <v>46127</v>
      </c>
      <c r="L48" s="3">
        <v>8</v>
      </c>
      <c r="M48" s="3" t="s">
        <v>544</v>
      </c>
      <c r="N48" s="3">
        <v>1</v>
      </c>
      <c r="O48" s="3" t="s">
        <v>546</v>
      </c>
      <c r="P48" s="3">
        <v>1</v>
      </c>
      <c r="Q48" s="3">
        <v>1</v>
      </c>
      <c r="R48" s="3" t="s">
        <v>546</v>
      </c>
      <c r="S48" s="4">
        <v>46128</v>
      </c>
      <c r="T48" s="3">
        <v>9</v>
      </c>
      <c r="U48" s="3" t="s">
        <v>544</v>
      </c>
      <c r="V48" s="3">
        <v>15</v>
      </c>
      <c r="W48" s="3" t="s">
        <v>559</v>
      </c>
      <c r="X48" s="4">
        <v>46136</v>
      </c>
      <c r="Y48" s="3">
        <v>6</v>
      </c>
      <c r="Z48" s="3">
        <v>6</v>
      </c>
      <c r="AA48" s="4" t="s">
        <v>544</v>
      </c>
      <c r="AB48" s="4">
        <v>46136</v>
      </c>
      <c r="AC48" s="4">
        <v>46136</v>
      </c>
      <c r="AD48" s="5">
        <v>0</v>
      </c>
      <c r="AE48" s="4">
        <v>46136</v>
      </c>
      <c r="AF48" s="4">
        <v>1</v>
      </c>
      <c r="AG48" s="4" t="s">
        <v>548</v>
      </c>
      <c r="AH48" s="3" t="s">
        <v>93</v>
      </c>
      <c r="AI48" s="3" t="s">
        <v>112</v>
      </c>
      <c r="AJ48" s="3" t="s">
        <v>395</v>
      </c>
      <c r="AK48" s="3" t="s">
        <v>223</v>
      </c>
      <c r="AL48" s="3">
        <v>6000517</v>
      </c>
      <c r="AM48" s="3" t="s">
        <v>92</v>
      </c>
      <c r="AN48" s="3" t="s">
        <v>392</v>
      </c>
      <c r="AO48" s="3" t="s">
        <v>549</v>
      </c>
      <c r="AP48" s="3"/>
      <c r="AQ48" s="3" t="s">
        <v>550</v>
      </c>
      <c r="AR48" s="3" t="s">
        <v>90</v>
      </c>
      <c r="AS48" s="3"/>
      <c r="AT48" s="3" t="s">
        <v>397</v>
      </c>
      <c r="AU48" s="3" t="s">
        <v>682</v>
      </c>
      <c r="AV48" s="3" t="s">
        <v>682</v>
      </c>
      <c r="AW48" s="3" t="s">
        <v>576</v>
      </c>
      <c r="AX48" s="3" t="s">
        <v>620</v>
      </c>
      <c r="AY48" s="3" t="s">
        <v>607</v>
      </c>
      <c r="AZ48" s="3" t="s">
        <v>683</v>
      </c>
      <c r="BA48" s="3"/>
      <c r="BB48" s="3" t="s">
        <v>554</v>
      </c>
      <c r="BC48" s="3">
        <v>0</v>
      </c>
      <c r="BD48" s="3">
        <v>0</v>
      </c>
      <c r="BE48" s="3" t="s">
        <v>684</v>
      </c>
      <c r="BF48" s="3">
        <v>90</v>
      </c>
      <c r="BG48" s="3" t="s">
        <v>932</v>
      </c>
      <c r="BH48" s="3" t="s">
        <v>563</v>
      </c>
      <c r="BI48" s="3"/>
      <c r="BJ48" s="3" t="s">
        <v>685</v>
      </c>
      <c r="BK48" s="3" t="s">
        <v>685</v>
      </c>
      <c r="BL48" s="3" t="s">
        <v>396</v>
      </c>
      <c r="BM48" s="3" t="s">
        <v>396</v>
      </c>
      <c r="BN48" s="3">
        <v>24498891</v>
      </c>
      <c r="BO48" s="3" t="s">
        <v>223</v>
      </c>
      <c r="BP48" s="3" t="s">
        <v>223</v>
      </c>
      <c r="BQ48" s="3" t="s">
        <v>223</v>
      </c>
      <c r="BR48" s="3" t="s">
        <v>933</v>
      </c>
    </row>
    <row r="49" spans="1:70" x14ac:dyDescent="0.25">
      <c r="A49" s="3" t="s">
        <v>577</v>
      </c>
      <c r="B49" s="3" t="s">
        <v>578</v>
      </c>
      <c r="C49" s="3" t="s">
        <v>408</v>
      </c>
      <c r="D49" s="3">
        <v>430</v>
      </c>
      <c r="E49" s="4">
        <v>46136</v>
      </c>
      <c r="F49" s="3">
        <v>4</v>
      </c>
      <c r="G49" s="4">
        <v>46125</v>
      </c>
      <c r="H49" s="4">
        <v>46136</v>
      </c>
      <c r="I49" s="3">
        <v>9</v>
      </c>
      <c r="J49" s="3" t="s">
        <v>544</v>
      </c>
      <c r="K49" s="4">
        <v>46137</v>
      </c>
      <c r="L49" s="3">
        <v>9</v>
      </c>
      <c r="M49" s="3" t="s">
        <v>544</v>
      </c>
      <c r="N49" s="3">
        <v>1</v>
      </c>
      <c r="O49" s="3" t="s">
        <v>546</v>
      </c>
      <c r="P49" s="3">
        <v>1</v>
      </c>
      <c r="Q49" s="3">
        <v>2</v>
      </c>
      <c r="R49" s="3" t="s">
        <v>579</v>
      </c>
      <c r="S49" s="4">
        <v>46139</v>
      </c>
      <c r="T49" s="3">
        <v>10</v>
      </c>
      <c r="U49" s="3" t="s">
        <v>544</v>
      </c>
      <c r="V49" s="3">
        <v>21</v>
      </c>
      <c r="W49" s="3" t="s">
        <v>547</v>
      </c>
      <c r="X49" s="4">
        <v>46154</v>
      </c>
      <c r="Y49" s="3">
        <v>10</v>
      </c>
      <c r="Z49" s="3">
        <v>11</v>
      </c>
      <c r="AA49" s="4" t="s">
        <v>559</v>
      </c>
      <c r="AB49" s="4">
        <v>46153</v>
      </c>
      <c r="AC49" s="4">
        <v>46154</v>
      </c>
      <c r="AD49" s="5">
        <v>1</v>
      </c>
      <c r="AE49" s="4">
        <v>46154</v>
      </c>
      <c r="AF49" s="4">
        <v>1</v>
      </c>
      <c r="AG49" s="4" t="s">
        <v>548</v>
      </c>
      <c r="AH49" s="3" t="s">
        <v>93</v>
      </c>
      <c r="AI49" s="3" t="s">
        <v>112</v>
      </c>
      <c r="AJ49" s="3" t="s">
        <v>414</v>
      </c>
      <c r="AK49" s="3" t="s">
        <v>223</v>
      </c>
      <c r="AL49" s="3">
        <v>6000577</v>
      </c>
      <c r="AM49" s="3" t="s">
        <v>92</v>
      </c>
      <c r="AN49" s="3" t="s">
        <v>410</v>
      </c>
      <c r="AO49" s="3" t="s">
        <v>549</v>
      </c>
      <c r="AP49" s="3"/>
      <c r="AQ49" s="3" t="s">
        <v>550</v>
      </c>
      <c r="AR49" s="3" t="s">
        <v>90</v>
      </c>
      <c r="AS49" s="3"/>
      <c r="AT49" s="3" t="s">
        <v>397</v>
      </c>
      <c r="AU49" s="3" t="s">
        <v>686</v>
      </c>
      <c r="AV49" s="3" t="s">
        <v>686</v>
      </c>
      <c r="AW49" s="3" t="s">
        <v>576</v>
      </c>
      <c r="AX49" s="3" t="s">
        <v>620</v>
      </c>
      <c r="AY49" s="3" t="s">
        <v>607</v>
      </c>
      <c r="AZ49" s="3" t="s">
        <v>687</v>
      </c>
      <c r="BA49" s="3"/>
      <c r="BB49" s="3" t="s">
        <v>554</v>
      </c>
      <c r="BC49" s="3">
        <v>0</v>
      </c>
      <c r="BD49" s="3">
        <v>99</v>
      </c>
      <c r="BE49" s="3" t="s">
        <v>223</v>
      </c>
      <c r="BF49" s="3">
        <v>90</v>
      </c>
      <c r="BG49" s="3" t="s">
        <v>934</v>
      </c>
      <c r="BH49" s="3" t="s">
        <v>103</v>
      </c>
      <c r="BI49" s="3"/>
      <c r="BJ49" s="3" t="s">
        <v>688</v>
      </c>
      <c r="BK49" s="3" t="s">
        <v>689</v>
      </c>
      <c r="BL49" s="3" t="s">
        <v>415</v>
      </c>
      <c r="BM49" s="3" t="s">
        <v>416</v>
      </c>
      <c r="BN49" s="3">
        <v>482589</v>
      </c>
      <c r="BO49" s="3" t="s">
        <v>935</v>
      </c>
      <c r="BP49" s="3" t="s">
        <v>936</v>
      </c>
      <c r="BQ49" s="3" t="s">
        <v>937</v>
      </c>
      <c r="BR49" s="3" t="s">
        <v>938</v>
      </c>
    </row>
    <row r="50" spans="1:70" x14ac:dyDescent="0.25">
      <c r="A50" s="3" t="s">
        <v>577</v>
      </c>
      <c r="B50" s="3" t="s">
        <v>578</v>
      </c>
      <c r="C50" s="3" t="s">
        <v>418</v>
      </c>
      <c r="D50" s="3">
        <v>430</v>
      </c>
      <c r="E50" s="4">
        <v>46136</v>
      </c>
      <c r="F50" s="3">
        <v>4</v>
      </c>
      <c r="G50" s="4">
        <v>46128</v>
      </c>
      <c r="H50" s="4">
        <v>46136</v>
      </c>
      <c r="I50" s="3">
        <v>6</v>
      </c>
      <c r="J50" s="3" t="s">
        <v>544</v>
      </c>
      <c r="K50" s="4">
        <v>46137</v>
      </c>
      <c r="L50" s="3">
        <v>6</v>
      </c>
      <c r="M50" s="3" t="s">
        <v>544</v>
      </c>
      <c r="N50" s="3">
        <v>1</v>
      </c>
      <c r="O50" s="3" t="s">
        <v>546</v>
      </c>
      <c r="P50" s="3">
        <v>1</v>
      </c>
      <c r="Q50" s="3">
        <v>2</v>
      </c>
      <c r="R50" s="3" t="s">
        <v>579</v>
      </c>
      <c r="S50" s="4">
        <v>46139</v>
      </c>
      <c r="T50" s="3">
        <v>7</v>
      </c>
      <c r="U50" s="3" t="s">
        <v>544</v>
      </c>
      <c r="V50" s="3">
        <v>17</v>
      </c>
      <c r="W50" s="3" t="s">
        <v>547</v>
      </c>
      <c r="X50" s="4">
        <v>46153</v>
      </c>
      <c r="Y50" s="3">
        <v>10</v>
      </c>
      <c r="Z50" s="3">
        <v>10</v>
      </c>
      <c r="AA50" s="4" t="s">
        <v>559</v>
      </c>
      <c r="AB50" s="4">
        <v>46153</v>
      </c>
      <c r="AC50" s="4">
        <v>46153</v>
      </c>
      <c r="AD50" s="5">
        <v>0</v>
      </c>
      <c r="AE50" s="4">
        <v>46153</v>
      </c>
      <c r="AF50" s="4">
        <v>1</v>
      </c>
      <c r="AG50" s="4" t="s">
        <v>548</v>
      </c>
      <c r="AH50" s="3" t="s">
        <v>93</v>
      </c>
      <c r="AI50" s="3" t="s">
        <v>112</v>
      </c>
      <c r="AJ50" s="3">
        <v>266794386</v>
      </c>
      <c r="AK50" s="3" t="s">
        <v>223</v>
      </c>
      <c r="AL50" s="3">
        <v>6000578</v>
      </c>
      <c r="AM50" s="3" t="s">
        <v>92</v>
      </c>
      <c r="AN50" s="3" t="s">
        <v>690</v>
      </c>
      <c r="AO50" s="3" t="s">
        <v>549</v>
      </c>
      <c r="AP50" s="3"/>
      <c r="AQ50" s="3" t="s">
        <v>550</v>
      </c>
      <c r="AR50" s="3" t="s">
        <v>90</v>
      </c>
      <c r="AS50" s="3"/>
      <c r="AT50" s="3" t="s">
        <v>397</v>
      </c>
      <c r="AU50" s="3" t="s">
        <v>719</v>
      </c>
      <c r="AV50" s="3" t="s">
        <v>719</v>
      </c>
      <c r="AW50" s="3" t="s">
        <v>576</v>
      </c>
      <c r="AX50" s="3" t="s">
        <v>552</v>
      </c>
      <c r="AY50" s="3" t="s">
        <v>607</v>
      </c>
      <c r="AZ50" s="3" t="s">
        <v>691</v>
      </c>
      <c r="BA50" s="3"/>
      <c r="BB50" s="3" t="s">
        <v>554</v>
      </c>
      <c r="BC50" s="3">
        <v>0</v>
      </c>
      <c r="BD50" s="3">
        <v>99</v>
      </c>
      <c r="BE50" s="3" t="s">
        <v>692</v>
      </c>
      <c r="BF50" s="3">
        <v>90</v>
      </c>
      <c r="BG50" s="3" t="s">
        <v>939</v>
      </c>
      <c r="BH50" s="3" t="s">
        <v>563</v>
      </c>
      <c r="BI50" s="3"/>
      <c r="BJ50" s="3" t="s">
        <v>619</v>
      </c>
      <c r="BK50" s="3" t="s">
        <v>558</v>
      </c>
      <c r="BL50" s="3" t="s">
        <v>189</v>
      </c>
      <c r="BM50" s="3" t="s">
        <v>105</v>
      </c>
      <c r="BN50" s="3">
        <v>928967</v>
      </c>
      <c r="BO50" s="3" t="s">
        <v>940</v>
      </c>
      <c r="BP50" s="3" t="s">
        <v>941</v>
      </c>
      <c r="BQ50" s="3" t="s">
        <v>942</v>
      </c>
      <c r="BR50" s="3" t="s">
        <v>943</v>
      </c>
    </row>
    <row r="51" spans="1:70" x14ac:dyDescent="0.25">
      <c r="A51" s="3" t="s">
        <v>577</v>
      </c>
      <c r="B51" s="3" t="s">
        <v>578</v>
      </c>
      <c r="C51" s="3" t="s">
        <v>422</v>
      </c>
      <c r="D51" s="3">
        <v>430</v>
      </c>
      <c r="E51" s="4">
        <v>46136</v>
      </c>
      <c r="F51" s="3">
        <v>4</v>
      </c>
      <c r="G51" s="4">
        <v>46127</v>
      </c>
      <c r="H51" s="4">
        <v>46136</v>
      </c>
      <c r="I51" s="3">
        <v>7</v>
      </c>
      <c r="J51" s="3" t="s">
        <v>544</v>
      </c>
      <c r="K51" s="4">
        <v>46139</v>
      </c>
      <c r="L51" s="3">
        <v>8</v>
      </c>
      <c r="M51" s="3" t="s">
        <v>544</v>
      </c>
      <c r="N51" s="3">
        <v>1</v>
      </c>
      <c r="O51" s="3" t="s">
        <v>546</v>
      </c>
      <c r="P51" s="3">
        <v>1</v>
      </c>
      <c r="Q51" s="3">
        <v>1</v>
      </c>
      <c r="R51" s="3" t="s">
        <v>546</v>
      </c>
      <c r="S51" s="4">
        <v>46140</v>
      </c>
      <c r="T51" s="3">
        <v>9</v>
      </c>
      <c r="U51" s="3" t="s">
        <v>544</v>
      </c>
      <c r="V51" s="3">
        <v>16</v>
      </c>
      <c r="W51" s="3" t="s">
        <v>547</v>
      </c>
      <c r="X51" s="4">
        <v>46149</v>
      </c>
      <c r="Y51" s="3">
        <v>6</v>
      </c>
      <c r="Z51" s="3">
        <v>7</v>
      </c>
      <c r="AA51" s="4" t="s">
        <v>544</v>
      </c>
      <c r="AB51" s="4">
        <v>46148</v>
      </c>
      <c r="AC51" s="4">
        <v>46149</v>
      </c>
      <c r="AD51" s="5">
        <v>1</v>
      </c>
      <c r="AE51" s="4">
        <v>46149</v>
      </c>
      <c r="AF51" s="4">
        <v>1</v>
      </c>
      <c r="AG51" s="4" t="s">
        <v>548</v>
      </c>
      <c r="AH51" s="3" t="s">
        <v>93</v>
      </c>
      <c r="AI51" s="3" t="s">
        <v>112</v>
      </c>
      <c r="AJ51" s="3" t="s">
        <v>424</v>
      </c>
      <c r="AK51" s="3" t="s">
        <v>223</v>
      </c>
      <c r="AL51" s="3">
        <v>6000580</v>
      </c>
      <c r="AM51" s="3" t="s">
        <v>92</v>
      </c>
      <c r="AN51" s="3" t="s">
        <v>96</v>
      </c>
      <c r="AO51" s="3" t="s">
        <v>549</v>
      </c>
      <c r="AP51" s="3"/>
      <c r="AQ51" s="3" t="s">
        <v>550</v>
      </c>
      <c r="AR51" s="3" t="s">
        <v>90</v>
      </c>
      <c r="AS51" s="3"/>
      <c r="AT51" s="3" t="s">
        <v>107</v>
      </c>
      <c r="AU51" s="3"/>
      <c r="AV51" s="3" t="s">
        <v>107</v>
      </c>
      <c r="AW51" s="3" t="s">
        <v>576</v>
      </c>
      <c r="AX51" s="3" t="s">
        <v>552</v>
      </c>
      <c r="AY51" s="3" t="s">
        <v>607</v>
      </c>
      <c r="AZ51" s="3" t="s">
        <v>693</v>
      </c>
      <c r="BA51" s="3"/>
      <c r="BB51" s="3" t="s">
        <v>554</v>
      </c>
      <c r="BC51" s="3">
        <v>0</v>
      </c>
      <c r="BD51" s="3">
        <v>99</v>
      </c>
      <c r="BE51" s="3" t="s">
        <v>694</v>
      </c>
      <c r="BF51" s="3">
        <v>90</v>
      </c>
      <c r="BG51" s="3" t="s">
        <v>910</v>
      </c>
      <c r="BH51" s="3" t="s">
        <v>563</v>
      </c>
      <c r="BI51" s="3"/>
      <c r="BJ51" s="3" t="s">
        <v>591</v>
      </c>
      <c r="BK51" s="3" t="s">
        <v>558</v>
      </c>
      <c r="BL51" s="3" t="s">
        <v>104</v>
      </c>
      <c r="BM51" s="3" t="s">
        <v>105</v>
      </c>
      <c r="BN51" s="3">
        <v>12690063</v>
      </c>
      <c r="BO51" s="3" t="s">
        <v>911</v>
      </c>
      <c r="BP51" s="3" t="s">
        <v>223</v>
      </c>
      <c r="BQ51" s="3" t="s">
        <v>223</v>
      </c>
      <c r="BR51" s="3" t="s">
        <v>944</v>
      </c>
    </row>
    <row r="52" spans="1:70" x14ac:dyDescent="0.25">
      <c r="A52" s="3" t="s">
        <v>577</v>
      </c>
      <c r="B52" s="3" t="s">
        <v>578</v>
      </c>
      <c r="C52" s="3" t="s">
        <v>426</v>
      </c>
      <c r="D52" s="3">
        <v>430</v>
      </c>
      <c r="E52" s="4">
        <v>46132</v>
      </c>
      <c r="F52" s="3">
        <v>4</v>
      </c>
      <c r="G52" s="4">
        <v>46127</v>
      </c>
      <c r="H52" s="4">
        <v>46132</v>
      </c>
      <c r="I52" s="3">
        <v>3</v>
      </c>
      <c r="J52" s="3" t="s">
        <v>579</v>
      </c>
      <c r="K52" s="4">
        <v>46133</v>
      </c>
      <c r="L52" s="3">
        <v>4</v>
      </c>
      <c r="M52" s="3" t="s">
        <v>543</v>
      </c>
      <c r="N52" s="3">
        <v>1</v>
      </c>
      <c r="O52" s="3" t="s">
        <v>546</v>
      </c>
      <c r="P52" s="3">
        <v>1</v>
      </c>
      <c r="Q52" s="3">
        <v>1</v>
      </c>
      <c r="R52" s="3" t="s">
        <v>546</v>
      </c>
      <c r="S52" s="4">
        <v>46134</v>
      </c>
      <c r="T52" s="3">
        <v>5</v>
      </c>
      <c r="U52" s="3" t="s">
        <v>543</v>
      </c>
      <c r="V52" s="3">
        <v>18</v>
      </c>
      <c r="W52" s="3" t="s">
        <v>547</v>
      </c>
      <c r="X52" s="4">
        <v>46153</v>
      </c>
      <c r="Y52" s="3">
        <v>13</v>
      </c>
      <c r="Z52" s="3">
        <v>13</v>
      </c>
      <c r="AA52" s="4" t="s">
        <v>547</v>
      </c>
      <c r="AB52" s="4">
        <v>46153</v>
      </c>
      <c r="AC52" s="4">
        <v>46153</v>
      </c>
      <c r="AD52" s="5">
        <v>0</v>
      </c>
      <c r="AE52" s="4">
        <v>46153</v>
      </c>
      <c r="AF52" s="4">
        <v>1</v>
      </c>
      <c r="AG52" s="4" t="s">
        <v>548</v>
      </c>
      <c r="AH52" s="3" t="s">
        <v>93</v>
      </c>
      <c r="AI52" s="3" t="s">
        <v>112</v>
      </c>
      <c r="AJ52" s="3" t="s">
        <v>428</v>
      </c>
      <c r="AK52" s="3" t="s">
        <v>223</v>
      </c>
      <c r="AL52" s="3">
        <v>6000581</v>
      </c>
      <c r="AM52" s="3" t="s">
        <v>92</v>
      </c>
      <c r="AN52" s="3" t="s">
        <v>401</v>
      </c>
      <c r="AO52" s="3" t="s">
        <v>549</v>
      </c>
      <c r="AP52" s="3"/>
      <c r="AQ52" s="3" t="s">
        <v>550</v>
      </c>
      <c r="AR52" s="3" t="s">
        <v>90</v>
      </c>
      <c r="AS52" s="3"/>
      <c r="AT52" s="3" t="s">
        <v>107</v>
      </c>
      <c r="AU52" s="3"/>
      <c r="AV52" s="3" t="s">
        <v>107</v>
      </c>
      <c r="AW52" s="3" t="s">
        <v>576</v>
      </c>
      <c r="AX52" s="3" t="s">
        <v>620</v>
      </c>
      <c r="AY52" s="3" t="s">
        <v>580</v>
      </c>
      <c r="AZ52" s="3"/>
      <c r="BA52" s="3" t="s">
        <v>597</v>
      </c>
      <c r="BB52" s="3" t="s">
        <v>554</v>
      </c>
      <c r="BC52" s="3">
        <v>0</v>
      </c>
      <c r="BD52" s="3">
        <v>99</v>
      </c>
      <c r="BE52" s="3" t="s">
        <v>695</v>
      </c>
      <c r="BF52" s="3">
        <v>90</v>
      </c>
      <c r="BG52" s="3" t="s">
        <v>945</v>
      </c>
      <c r="BH52" s="3" t="s">
        <v>657</v>
      </c>
      <c r="BI52" s="3"/>
      <c r="BJ52" s="3" t="s">
        <v>613</v>
      </c>
      <c r="BK52" s="3" t="s">
        <v>558</v>
      </c>
      <c r="BL52" s="3" t="s">
        <v>133</v>
      </c>
      <c r="BM52" s="3" t="s">
        <v>105</v>
      </c>
      <c r="BN52" s="3">
        <v>11116744</v>
      </c>
      <c r="BO52" s="3" t="s">
        <v>946</v>
      </c>
      <c r="BP52" s="3" t="s">
        <v>223</v>
      </c>
      <c r="BQ52" s="3" t="s">
        <v>947</v>
      </c>
      <c r="BR52" s="3" t="s">
        <v>948</v>
      </c>
    </row>
    <row r="53" spans="1:70" x14ac:dyDescent="0.25">
      <c r="A53" s="3" t="s">
        <v>577</v>
      </c>
      <c r="B53" s="3" t="s">
        <v>578</v>
      </c>
      <c r="C53" s="3" t="s">
        <v>433</v>
      </c>
      <c r="D53" s="3">
        <v>430</v>
      </c>
      <c r="E53" s="4">
        <v>46139</v>
      </c>
      <c r="F53" s="3">
        <v>4</v>
      </c>
      <c r="G53" s="4">
        <v>46127</v>
      </c>
      <c r="H53" s="4">
        <v>46139</v>
      </c>
      <c r="I53" s="3">
        <v>8</v>
      </c>
      <c r="J53" s="3" t="s">
        <v>544</v>
      </c>
      <c r="K53" s="4">
        <v>46139</v>
      </c>
      <c r="L53" s="3">
        <v>8</v>
      </c>
      <c r="M53" s="3" t="s">
        <v>544</v>
      </c>
      <c r="N53" s="3">
        <v>0</v>
      </c>
      <c r="O53" s="3" t="s">
        <v>546</v>
      </c>
      <c r="P53" s="3">
        <v>0</v>
      </c>
      <c r="Q53" s="3">
        <v>1</v>
      </c>
      <c r="R53" s="3" t="s">
        <v>546</v>
      </c>
      <c r="S53" s="4">
        <v>46140</v>
      </c>
      <c r="T53" s="3">
        <v>9</v>
      </c>
      <c r="U53" s="3" t="s">
        <v>544</v>
      </c>
      <c r="V53" s="3">
        <v>18</v>
      </c>
      <c r="W53" s="3" t="s">
        <v>547</v>
      </c>
      <c r="X53" s="4">
        <v>46153</v>
      </c>
      <c r="Y53" s="3">
        <v>9</v>
      </c>
      <c r="Z53" s="3">
        <v>9</v>
      </c>
      <c r="AA53" s="4" t="s">
        <v>559</v>
      </c>
      <c r="AB53" s="4">
        <v>46153</v>
      </c>
      <c r="AC53" s="4">
        <v>46153</v>
      </c>
      <c r="AD53" s="5">
        <v>0</v>
      </c>
      <c r="AE53" s="4">
        <v>46153</v>
      </c>
      <c r="AF53" s="4">
        <v>1</v>
      </c>
      <c r="AG53" s="4" t="s">
        <v>548</v>
      </c>
      <c r="AH53" s="3" t="s">
        <v>93</v>
      </c>
      <c r="AI53" s="3" t="s">
        <v>112</v>
      </c>
      <c r="AJ53" s="3" t="s">
        <v>436</v>
      </c>
      <c r="AK53" s="3" t="s">
        <v>223</v>
      </c>
      <c r="AL53" s="3">
        <v>6000582</v>
      </c>
      <c r="AM53" s="3" t="s">
        <v>92</v>
      </c>
      <c r="AN53" s="3" t="s">
        <v>435</v>
      </c>
      <c r="AO53" s="3" t="s">
        <v>549</v>
      </c>
      <c r="AP53" s="3"/>
      <c r="AQ53" s="3" t="s">
        <v>550</v>
      </c>
      <c r="AR53" s="3" t="s">
        <v>90</v>
      </c>
      <c r="AS53" s="3"/>
      <c r="AT53" s="3" t="s">
        <v>107</v>
      </c>
      <c r="AU53" s="3"/>
      <c r="AV53" s="3" t="s">
        <v>107</v>
      </c>
      <c r="AW53" s="3" t="s">
        <v>576</v>
      </c>
      <c r="AX53" s="3" t="s">
        <v>552</v>
      </c>
      <c r="AY53" s="3" t="s">
        <v>580</v>
      </c>
      <c r="AZ53" s="3"/>
      <c r="BA53" s="3" t="s">
        <v>581</v>
      </c>
      <c r="BB53" s="3" t="s">
        <v>554</v>
      </c>
      <c r="BC53" s="3">
        <v>0</v>
      </c>
      <c r="BD53" s="3">
        <v>99</v>
      </c>
      <c r="BE53" s="3" t="s">
        <v>949</v>
      </c>
      <c r="BF53" s="3">
        <v>90</v>
      </c>
      <c r="BG53" s="3" t="s">
        <v>697</v>
      </c>
      <c r="BH53" s="3" t="s">
        <v>657</v>
      </c>
      <c r="BI53" s="3"/>
      <c r="BJ53" s="3" t="s">
        <v>613</v>
      </c>
      <c r="BK53" s="3" t="s">
        <v>558</v>
      </c>
      <c r="BL53" s="3" t="s">
        <v>133</v>
      </c>
      <c r="BM53" s="3" t="s">
        <v>105</v>
      </c>
      <c r="BN53" s="3">
        <v>15215720</v>
      </c>
      <c r="BO53" s="3" t="s">
        <v>950</v>
      </c>
      <c r="BP53" s="3" t="s">
        <v>223</v>
      </c>
      <c r="BQ53" s="3" t="s">
        <v>951</v>
      </c>
      <c r="BR53" s="3" t="s">
        <v>952</v>
      </c>
    </row>
    <row r="54" spans="1:70" x14ac:dyDescent="0.25">
      <c r="A54" s="3" t="s">
        <v>577</v>
      </c>
      <c r="B54" s="3" t="s">
        <v>578</v>
      </c>
      <c r="C54" s="3" t="s">
        <v>440</v>
      </c>
      <c r="D54" s="3">
        <v>430</v>
      </c>
      <c r="E54" s="4">
        <v>46132</v>
      </c>
      <c r="F54" s="3">
        <v>4</v>
      </c>
      <c r="G54" s="4">
        <v>46127</v>
      </c>
      <c r="H54" s="4">
        <v>46132</v>
      </c>
      <c r="I54" s="3">
        <v>3</v>
      </c>
      <c r="J54" s="3" t="s">
        <v>579</v>
      </c>
      <c r="K54" s="4">
        <v>46133</v>
      </c>
      <c r="L54" s="3">
        <v>4</v>
      </c>
      <c r="M54" s="3" t="s">
        <v>543</v>
      </c>
      <c r="N54" s="3">
        <v>1</v>
      </c>
      <c r="O54" s="3" t="s">
        <v>546</v>
      </c>
      <c r="P54" s="3">
        <v>1</v>
      </c>
      <c r="Q54" s="3">
        <v>1</v>
      </c>
      <c r="R54" s="3" t="s">
        <v>546</v>
      </c>
      <c r="S54" s="4">
        <v>46134</v>
      </c>
      <c r="T54" s="3">
        <v>5</v>
      </c>
      <c r="U54" s="3" t="s">
        <v>543</v>
      </c>
      <c r="V54" s="3">
        <v>18</v>
      </c>
      <c r="W54" s="3" t="s">
        <v>547</v>
      </c>
      <c r="X54" s="4">
        <v>46153</v>
      </c>
      <c r="Y54" s="3">
        <v>13</v>
      </c>
      <c r="Z54" s="3">
        <v>13</v>
      </c>
      <c r="AA54" s="4" t="s">
        <v>547</v>
      </c>
      <c r="AB54" s="4">
        <v>46153</v>
      </c>
      <c r="AC54" s="4">
        <v>46153</v>
      </c>
      <c r="AD54" s="5">
        <v>0</v>
      </c>
      <c r="AE54" s="4">
        <v>46153</v>
      </c>
      <c r="AF54" s="4">
        <v>1</v>
      </c>
      <c r="AG54" s="4" t="s">
        <v>548</v>
      </c>
      <c r="AH54" s="3" t="s">
        <v>93</v>
      </c>
      <c r="AI54" s="3" t="s">
        <v>112</v>
      </c>
      <c r="AJ54" s="3" t="s">
        <v>442</v>
      </c>
      <c r="AK54" s="3" t="s">
        <v>223</v>
      </c>
      <c r="AL54" s="3">
        <v>6000583</v>
      </c>
      <c r="AM54" s="3" t="s">
        <v>92</v>
      </c>
      <c r="AN54" s="3" t="s">
        <v>136</v>
      </c>
      <c r="AO54" s="3" t="s">
        <v>549</v>
      </c>
      <c r="AP54" s="3"/>
      <c r="AQ54" s="3" t="s">
        <v>550</v>
      </c>
      <c r="AR54" s="3" t="s">
        <v>90</v>
      </c>
      <c r="AS54" s="3"/>
      <c r="AT54" s="3" t="s">
        <v>117</v>
      </c>
      <c r="AU54" s="3"/>
      <c r="AV54" s="3" t="s">
        <v>117</v>
      </c>
      <c r="AW54" s="3" t="s">
        <v>576</v>
      </c>
      <c r="AX54" s="3" t="s">
        <v>620</v>
      </c>
      <c r="AY54" s="3" t="s">
        <v>580</v>
      </c>
      <c r="AZ54" s="3"/>
      <c r="BA54" s="3" t="s">
        <v>597</v>
      </c>
      <c r="BB54" s="3" t="s">
        <v>554</v>
      </c>
      <c r="BC54" s="3">
        <v>0</v>
      </c>
      <c r="BD54" s="3">
        <v>99</v>
      </c>
      <c r="BE54" s="3" t="s">
        <v>698</v>
      </c>
      <c r="BF54" s="3">
        <v>90</v>
      </c>
      <c r="BG54" s="3" t="s">
        <v>953</v>
      </c>
      <c r="BH54" s="3" t="s">
        <v>646</v>
      </c>
      <c r="BI54" s="3"/>
      <c r="BJ54" s="3" t="s">
        <v>613</v>
      </c>
      <c r="BK54" s="3" t="s">
        <v>558</v>
      </c>
      <c r="BL54" s="3" t="s">
        <v>133</v>
      </c>
      <c r="BM54" s="3" t="s">
        <v>105</v>
      </c>
      <c r="BN54" s="3">
        <v>10797531</v>
      </c>
      <c r="BO54" s="3" t="s">
        <v>954</v>
      </c>
      <c r="BP54" s="3" t="s">
        <v>223</v>
      </c>
      <c r="BQ54" s="3" t="s">
        <v>955</v>
      </c>
      <c r="BR54" s="3" t="s">
        <v>956</v>
      </c>
    </row>
    <row r="55" spans="1:70" x14ac:dyDescent="0.25">
      <c r="A55" s="3" t="s">
        <v>577</v>
      </c>
      <c r="B55" s="3" t="s">
        <v>578</v>
      </c>
      <c r="C55" s="3" t="s">
        <v>444</v>
      </c>
      <c r="D55" s="3">
        <v>430</v>
      </c>
      <c r="E55" s="4">
        <v>46136</v>
      </c>
      <c r="F55" s="3">
        <v>4</v>
      </c>
      <c r="G55" s="4">
        <v>46128</v>
      </c>
      <c r="H55" s="4">
        <v>46136</v>
      </c>
      <c r="I55" s="3">
        <v>6</v>
      </c>
      <c r="J55" s="3" t="s">
        <v>544</v>
      </c>
      <c r="K55" s="4">
        <v>46137</v>
      </c>
      <c r="L55" s="3">
        <v>6</v>
      </c>
      <c r="M55" s="3" t="s">
        <v>544</v>
      </c>
      <c r="N55" s="3">
        <v>1</v>
      </c>
      <c r="O55" s="3" t="s">
        <v>546</v>
      </c>
      <c r="P55" s="3">
        <v>1</v>
      </c>
      <c r="Q55" s="3">
        <v>2</v>
      </c>
      <c r="R55" s="3" t="s">
        <v>579</v>
      </c>
      <c r="S55" s="4">
        <v>46139</v>
      </c>
      <c r="T55" s="3">
        <v>7</v>
      </c>
      <c r="U55" s="3" t="s">
        <v>544</v>
      </c>
      <c r="V55" s="3">
        <v>17</v>
      </c>
      <c r="W55" s="3" t="s">
        <v>547</v>
      </c>
      <c r="X55" s="4">
        <v>46153</v>
      </c>
      <c r="Y55" s="3">
        <v>10</v>
      </c>
      <c r="Z55" s="3">
        <v>10</v>
      </c>
      <c r="AA55" s="4" t="s">
        <v>559</v>
      </c>
      <c r="AB55" s="4">
        <v>46153</v>
      </c>
      <c r="AC55" s="4">
        <v>46153</v>
      </c>
      <c r="AD55" s="5">
        <v>0</v>
      </c>
      <c r="AE55" s="4">
        <v>46153</v>
      </c>
      <c r="AF55" s="4">
        <v>1</v>
      </c>
      <c r="AG55" s="4" t="s">
        <v>548</v>
      </c>
      <c r="AH55" s="3" t="s">
        <v>93</v>
      </c>
      <c r="AI55" s="3" t="s">
        <v>112</v>
      </c>
      <c r="AJ55" s="3">
        <v>267273161</v>
      </c>
      <c r="AK55" s="3" t="s">
        <v>223</v>
      </c>
      <c r="AL55" s="3">
        <v>6000612</v>
      </c>
      <c r="AM55" s="3" t="s">
        <v>92</v>
      </c>
      <c r="AN55" s="3" t="s">
        <v>364</v>
      </c>
      <c r="AO55" s="3" t="s">
        <v>549</v>
      </c>
      <c r="AP55" s="3"/>
      <c r="AQ55" s="3" t="s">
        <v>550</v>
      </c>
      <c r="AR55" s="3" t="s">
        <v>90</v>
      </c>
      <c r="AS55" s="3"/>
      <c r="AT55" s="3" t="s">
        <v>107</v>
      </c>
      <c r="AU55" s="3"/>
      <c r="AV55" s="3" t="s">
        <v>107</v>
      </c>
      <c r="AW55" s="3" t="s">
        <v>576</v>
      </c>
      <c r="AX55" s="3" t="s">
        <v>552</v>
      </c>
      <c r="AY55" s="3" t="s">
        <v>607</v>
      </c>
      <c r="AZ55" s="3" t="s">
        <v>691</v>
      </c>
      <c r="BA55" s="3"/>
      <c r="BB55" s="3" t="s">
        <v>554</v>
      </c>
      <c r="BC55" s="3">
        <v>0</v>
      </c>
      <c r="BD55" s="3">
        <v>0</v>
      </c>
      <c r="BE55" s="3" t="s">
        <v>699</v>
      </c>
      <c r="BF55" s="3">
        <v>90</v>
      </c>
      <c r="BG55" s="3" t="s">
        <v>974</v>
      </c>
      <c r="BH55" s="3" t="s">
        <v>563</v>
      </c>
      <c r="BI55" s="3"/>
      <c r="BJ55" s="3" t="s">
        <v>619</v>
      </c>
      <c r="BK55" s="3" t="s">
        <v>558</v>
      </c>
      <c r="BL55" s="3" t="s">
        <v>189</v>
      </c>
      <c r="BM55" s="3" t="s">
        <v>105</v>
      </c>
      <c r="BN55" s="3">
        <v>1048831</v>
      </c>
      <c r="BO55" s="3" t="s">
        <v>975</v>
      </c>
      <c r="BP55" s="3" t="s">
        <v>920</v>
      </c>
      <c r="BQ55" s="3" t="s">
        <v>223</v>
      </c>
      <c r="BR55" s="3" t="s">
        <v>976</v>
      </c>
    </row>
    <row r="56" spans="1:70" x14ac:dyDescent="0.25">
      <c r="A56" s="3" t="s">
        <v>577</v>
      </c>
      <c r="B56" s="3" t="s">
        <v>578</v>
      </c>
      <c r="C56" s="3" t="s">
        <v>450</v>
      </c>
      <c r="D56" s="3">
        <v>430</v>
      </c>
      <c r="E56" s="4">
        <v>46139</v>
      </c>
      <c r="F56" s="3">
        <v>4</v>
      </c>
      <c r="G56" s="4">
        <v>46133</v>
      </c>
      <c r="H56" s="4">
        <v>46139</v>
      </c>
      <c r="I56" s="3">
        <v>4</v>
      </c>
      <c r="J56" s="3" t="s">
        <v>543</v>
      </c>
      <c r="K56" s="4">
        <v>46139</v>
      </c>
      <c r="L56" s="3">
        <v>4</v>
      </c>
      <c r="M56" s="3" t="s">
        <v>543</v>
      </c>
      <c r="N56" s="3">
        <v>0</v>
      </c>
      <c r="O56" s="3" t="s">
        <v>546</v>
      </c>
      <c r="P56" s="3">
        <v>0</v>
      </c>
      <c r="Q56" s="3">
        <v>1</v>
      </c>
      <c r="R56" s="3" t="s">
        <v>546</v>
      </c>
      <c r="S56" s="4">
        <v>46140</v>
      </c>
      <c r="T56" s="3">
        <v>5</v>
      </c>
      <c r="U56" s="3" t="s">
        <v>543</v>
      </c>
      <c r="V56" s="3">
        <v>14</v>
      </c>
      <c r="W56" s="3" t="s">
        <v>559</v>
      </c>
      <c r="X56" s="4">
        <v>46153</v>
      </c>
      <c r="Y56" s="3">
        <v>9</v>
      </c>
      <c r="Z56" s="3">
        <v>9</v>
      </c>
      <c r="AA56" s="4" t="s">
        <v>559</v>
      </c>
      <c r="AB56" s="4">
        <v>46153</v>
      </c>
      <c r="AC56" s="4">
        <v>46153</v>
      </c>
      <c r="AD56" s="5">
        <v>0</v>
      </c>
      <c r="AE56" s="4">
        <v>46153</v>
      </c>
      <c r="AF56" s="4">
        <v>1</v>
      </c>
      <c r="AG56" s="4" t="s">
        <v>548</v>
      </c>
      <c r="AH56" s="3" t="s">
        <v>93</v>
      </c>
      <c r="AI56" s="3" t="s">
        <v>112</v>
      </c>
      <c r="AJ56" s="3" t="s">
        <v>456</v>
      </c>
      <c r="AK56" s="3" t="s">
        <v>223</v>
      </c>
      <c r="AL56" s="3">
        <v>6000613</v>
      </c>
      <c r="AM56" s="3" t="s">
        <v>92</v>
      </c>
      <c r="AN56" s="3" t="s">
        <v>217</v>
      </c>
      <c r="AO56" s="3" t="s">
        <v>549</v>
      </c>
      <c r="AP56" s="3"/>
      <c r="AQ56" s="3" t="s">
        <v>550</v>
      </c>
      <c r="AR56" s="3" t="s">
        <v>90</v>
      </c>
      <c r="AS56" s="3"/>
      <c r="AT56" s="3" t="s">
        <v>117</v>
      </c>
      <c r="AU56" s="3"/>
      <c r="AV56" s="3" t="s">
        <v>117</v>
      </c>
      <c r="AW56" s="3" t="s">
        <v>576</v>
      </c>
      <c r="AX56" s="3" t="s">
        <v>552</v>
      </c>
      <c r="AY56" s="3" t="s">
        <v>580</v>
      </c>
      <c r="AZ56" s="3"/>
      <c r="BA56" s="3" t="s">
        <v>581</v>
      </c>
      <c r="BB56" s="3" t="s">
        <v>554</v>
      </c>
      <c r="BC56" s="3">
        <v>0</v>
      </c>
      <c r="BD56" s="3">
        <v>99</v>
      </c>
      <c r="BE56" s="3" t="s">
        <v>700</v>
      </c>
      <c r="BF56" s="3">
        <v>90</v>
      </c>
      <c r="BG56" s="3" t="s">
        <v>701</v>
      </c>
      <c r="BH56" s="3" t="s">
        <v>702</v>
      </c>
      <c r="BI56" s="3"/>
      <c r="BJ56" s="3" t="s">
        <v>558</v>
      </c>
      <c r="BK56" s="3" t="s">
        <v>558</v>
      </c>
      <c r="BL56" s="3" t="s">
        <v>105</v>
      </c>
      <c r="BM56" s="3" t="s">
        <v>105</v>
      </c>
      <c r="BN56" s="3">
        <v>23204810</v>
      </c>
      <c r="BO56" s="3" t="s">
        <v>802</v>
      </c>
      <c r="BP56" s="3" t="s">
        <v>223</v>
      </c>
      <c r="BQ56" s="3" t="s">
        <v>223</v>
      </c>
      <c r="BR56" s="3" t="s">
        <v>977</v>
      </c>
    </row>
    <row r="57" spans="1:70" x14ac:dyDescent="0.25">
      <c r="A57" s="3" t="s">
        <v>577</v>
      </c>
      <c r="B57" s="3" t="s">
        <v>578</v>
      </c>
      <c r="C57" s="3" t="s">
        <v>703</v>
      </c>
      <c r="D57" s="3">
        <v>430</v>
      </c>
      <c r="E57" s="4">
        <v>46142</v>
      </c>
      <c r="F57" s="3">
        <v>4</v>
      </c>
      <c r="G57" s="4">
        <v>46139</v>
      </c>
      <c r="H57" s="4">
        <v>46142</v>
      </c>
      <c r="I57" s="3">
        <v>3</v>
      </c>
      <c r="J57" s="3" t="s">
        <v>579</v>
      </c>
      <c r="K57" s="4">
        <v>46146</v>
      </c>
      <c r="L57" s="3">
        <v>5</v>
      </c>
      <c r="M57" s="3" t="s">
        <v>543</v>
      </c>
      <c r="N57" s="3">
        <v>2</v>
      </c>
      <c r="O57" s="3" t="s">
        <v>579</v>
      </c>
      <c r="P57" s="3">
        <v>2</v>
      </c>
      <c r="Q57" s="3">
        <v>1</v>
      </c>
      <c r="R57" s="3" t="s">
        <v>546</v>
      </c>
      <c r="S57" s="4">
        <v>46147</v>
      </c>
      <c r="T57" s="3">
        <v>6</v>
      </c>
      <c r="U57" s="3" t="s">
        <v>544</v>
      </c>
      <c r="V57" s="3">
        <v>18</v>
      </c>
      <c r="W57" s="3" t="s">
        <v>547</v>
      </c>
      <c r="X57" s="4">
        <v>46163</v>
      </c>
      <c r="Y57" s="3">
        <v>12</v>
      </c>
      <c r="Z57" s="3">
        <v>12</v>
      </c>
      <c r="AA57" s="4" t="s">
        <v>547</v>
      </c>
      <c r="AB57" s="4">
        <v>46163</v>
      </c>
      <c r="AC57" s="4">
        <v>46163</v>
      </c>
      <c r="AD57" s="5">
        <v>0</v>
      </c>
      <c r="AE57" s="4">
        <v>46163</v>
      </c>
      <c r="AF57" s="4">
        <v>1</v>
      </c>
      <c r="AG57" s="4" t="s">
        <v>548</v>
      </c>
      <c r="AH57" s="3" t="s">
        <v>93</v>
      </c>
      <c r="AI57" s="3" t="s">
        <v>112</v>
      </c>
      <c r="AJ57" s="3" t="s">
        <v>704</v>
      </c>
      <c r="AK57" s="3" t="s">
        <v>223</v>
      </c>
      <c r="AL57" s="3">
        <v>6000658</v>
      </c>
      <c r="AM57" s="3" t="s">
        <v>92</v>
      </c>
      <c r="AN57" s="3" t="s">
        <v>705</v>
      </c>
      <c r="AO57" s="3" t="s">
        <v>549</v>
      </c>
      <c r="AP57" s="3"/>
      <c r="AQ57" s="3" t="s">
        <v>550</v>
      </c>
      <c r="AR57" s="3" t="s">
        <v>90</v>
      </c>
      <c r="AS57" s="3"/>
      <c r="AT57" s="3" t="s">
        <v>117</v>
      </c>
      <c r="AU57" s="3"/>
      <c r="AV57" s="3" t="s">
        <v>117</v>
      </c>
      <c r="AW57" s="3" t="s">
        <v>576</v>
      </c>
      <c r="AX57" s="3" t="s">
        <v>552</v>
      </c>
      <c r="AY57" s="3" t="s">
        <v>580</v>
      </c>
      <c r="AZ57" s="3"/>
      <c r="BA57" s="3" t="s">
        <v>597</v>
      </c>
      <c r="BB57" s="3" t="s">
        <v>554</v>
      </c>
      <c r="BC57" s="3">
        <v>0</v>
      </c>
      <c r="BD57" s="3">
        <v>99</v>
      </c>
      <c r="BE57" s="3" t="s">
        <v>706</v>
      </c>
      <c r="BF57" s="3">
        <v>90</v>
      </c>
      <c r="BG57" s="3" t="s">
        <v>987</v>
      </c>
      <c r="BH57" s="3" t="s">
        <v>611</v>
      </c>
      <c r="BI57" s="3"/>
      <c r="BJ57" s="3" t="s">
        <v>613</v>
      </c>
      <c r="BK57" s="3" t="s">
        <v>558</v>
      </c>
      <c r="BL57" s="3" t="s">
        <v>133</v>
      </c>
      <c r="BM57" s="3" t="s">
        <v>105</v>
      </c>
      <c r="BN57" s="3">
        <v>5259733</v>
      </c>
      <c r="BO57" s="3" t="s">
        <v>802</v>
      </c>
      <c r="BP57" s="3" t="s">
        <v>223</v>
      </c>
      <c r="BQ57" s="3" t="s">
        <v>223</v>
      </c>
      <c r="BR57" s="3" t="s">
        <v>988</v>
      </c>
    </row>
    <row r="58" spans="1:70" x14ac:dyDescent="0.25">
      <c r="A58" s="3" t="s">
        <v>541</v>
      </c>
      <c r="B58" s="3" t="s">
        <v>542</v>
      </c>
      <c r="C58" s="3" t="s">
        <v>804</v>
      </c>
      <c r="D58" s="3">
        <v>470</v>
      </c>
      <c r="E58" s="4">
        <v>46168</v>
      </c>
      <c r="F58" s="3">
        <v>5</v>
      </c>
      <c r="G58" s="4">
        <v>46167</v>
      </c>
      <c r="H58" s="4">
        <v>46168</v>
      </c>
      <c r="I58" s="3">
        <v>1</v>
      </c>
      <c r="J58" s="3" t="s">
        <v>546</v>
      </c>
      <c r="K58" s="4">
        <v>46169</v>
      </c>
      <c r="L58" s="3">
        <v>2</v>
      </c>
      <c r="M58" s="3" t="s">
        <v>579</v>
      </c>
      <c r="N58" s="3">
        <v>1</v>
      </c>
      <c r="O58" s="3" t="s">
        <v>546</v>
      </c>
      <c r="P58" s="3">
        <v>1</v>
      </c>
      <c r="Q58" s="3">
        <v>0</v>
      </c>
      <c r="R58" s="3" t="s">
        <v>546</v>
      </c>
      <c r="S58" s="4">
        <v>46169</v>
      </c>
      <c r="T58" s="3">
        <v>2</v>
      </c>
      <c r="U58" s="3" t="s">
        <v>579</v>
      </c>
      <c r="V58" s="3">
        <v>5</v>
      </c>
      <c r="W58" s="3" t="s">
        <v>543</v>
      </c>
      <c r="X58" s="4">
        <v>46174</v>
      </c>
      <c r="Y58" s="3">
        <v>3</v>
      </c>
      <c r="Z58" s="3">
        <v>3</v>
      </c>
      <c r="AA58" s="4" t="s">
        <v>543</v>
      </c>
      <c r="AB58" s="4">
        <v>46174</v>
      </c>
      <c r="AC58" s="4">
        <v>46174</v>
      </c>
      <c r="AD58" s="5">
        <v>0</v>
      </c>
      <c r="AE58" s="4">
        <v>46174</v>
      </c>
      <c r="AF58" s="4">
        <v>1</v>
      </c>
      <c r="AG58" s="4" t="s">
        <v>548</v>
      </c>
      <c r="AH58" s="3" t="s">
        <v>93</v>
      </c>
      <c r="AI58" s="3" t="s">
        <v>285</v>
      </c>
      <c r="AJ58" s="3" t="s">
        <v>805</v>
      </c>
      <c r="AK58" s="3" t="s">
        <v>806</v>
      </c>
      <c r="AL58" s="3">
        <v>6003063</v>
      </c>
      <c r="AM58" s="3" t="s">
        <v>92</v>
      </c>
      <c r="AN58" s="3" t="s">
        <v>807</v>
      </c>
      <c r="AO58" s="3" t="s">
        <v>549</v>
      </c>
      <c r="AP58" s="3"/>
      <c r="AQ58" s="3" t="s">
        <v>550</v>
      </c>
      <c r="AR58" s="3" t="s">
        <v>90</v>
      </c>
      <c r="AS58" s="3"/>
      <c r="AT58" s="3"/>
      <c r="AU58" s="3"/>
      <c r="AV58" s="3"/>
      <c r="AW58" s="3" t="s">
        <v>397</v>
      </c>
      <c r="AX58" s="3" t="s">
        <v>552</v>
      </c>
      <c r="AY58" s="3" t="s">
        <v>223</v>
      </c>
      <c r="AZ58" s="3"/>
      <c r="BA58" s="3" t="s">
        <v>808</v>
      </c>
      <c r="BB58" s="3" t="s">
        <v>554</v>
      </c>
      <c r="BC58" s="3">
        <v>0</v>
      </c>
      <c r="BD58" s="3">
        <v>1</v>
      </c>
      <c r="BE58" s="3" t="s">
        <v>809</v>
      </c>
      <c r="BF58" s="3">
        <v>90</v>
      </c>
      <c r="BG58" s="3" t="s">
        <v>810</v>
      </c>
      <c r="BH58" s="3" t="s">
        <v>563</v>
      </c>
      <c r="BI58" s="3"/>
      <c r="BJ58" s="3" t="s">
        <v>557</v>
      </c>
      <c r="BK58" s="3" t="s">
        <v>558</v>
      </c>
      <c r="BL58" s="3" t="s">
        <v>197</v>
      </c>
      <c r="BM58" s="3" t="s">
        <v>105</v>
      </c>
      <c r="BN58" s="3">
        <v>249786</v>
      </c>
      <c r="BO58" s="3" t="s">
        <v>811</v>
      </c>
      <c r="BP58" s="3" t="s">
        <v>812</v>
      </c>
      <c r="BQ58" s="3" t="s">
        <v>223</v>
      </c>
      <c r="BR58" s="3" t="s">
        <v>813</v>
      </c>
    </row>
    <row r="59" spans="1:70" x14ac:dyDescent="0.25">
      <c r="A59" s="3" t="s">
        <v>565</v>
      </c>
      <c r="B59" s="3" t="s">
        <v>707</v>
      </c>
      <c r="C59" s="3" t="s">
        <v>828</v>
      </c>
      <c r="D59" s="3">
        <v>160</v>
      </c>
      <c r="E59" s="4" t="s">
        <v>223</v>
      </c>
      <c r="F59" s="3">
        <v>5</v>
      </c>
      <c r="G59" s="4" t="s">
        <v>223</v>
      </c>
      <c r="H59" s="4">
        <v>46153</v>
      </c>
      <c r="I59" s="3" t="s">
        <v>223</v>
      </c>
      <c r="J59" s="3" t="s">
        <v>568</v>
      </c>
      <c r="K59" s="4">
        <v>46162</v>
      </c>
      <c r="L59" s="3" t="s">
        <v>223</v>
      </c>
      <c r="M59" s="3" t="s">
        <v>545</v>
      </c>
      <c r="N59" s="3">
        <v>0</v>
      </c>
      <c r="O59" s="3" t="s">
        <v>569</v>
      </c>
      <c r="P59" s="3">
        <v>0</v>
      </c>
      <c r="Q59" s="3">
        <v>-46160</v>
      </c>
      <c r="R59" s="3" t="s">
        <v>545</v>
      </c>
      <c r="S59" s="4"/>
      <c r="T59" s="3">
        <v>0</v>
      </c>
      <c r="U59" s="3" t="s">
        <v>569</v>
      </c>
      <c r="V59" s="3">
        <v>0</v>
      </c>
      <c r="W59" s="3" t="s">
        <v>569</v>
      </c>
      <c r="X59" s="4">
        <v>46174</v>
      </c>
      <c r="Y59" s="3" t="s">
        <v>223</v>
      </c>
      <c r="Z59" s="3">
        <v>0</v>
      </c>
      <c r="AA59" s="4" t="s">
        <v>545</v>
      </c>
      <c r="AB59" s="4">
        <v>46174</v>
      </c>
      <c r="AC59" s="4">
        <v>46174</v>
      </c>
      <c r="AD59" s="5">
        <v>0</v>
      </c>
      <c r="AE59" s="4">
        <v>46174</v>
      </c>
      <c r="AF59" s="4">
        <v>0</v>
      </c>
      <c r="AG59" s="4" t="s">
        <v>548</v>
      </c>
      <c r="AH59" s="3" t="s">
        <v>93</v>
      </c>
      <c r="AI59" s="3" t="s">
        <v>285</v>
      </c>
      <c r="AJ59" s="3" t="s">
        <v>223</v>
      </c>
      <c r="AK59" s="3" t="s">
        <v>223</v>
      </c>
      <c r="AL59" s="3">
        <v>6004835</v>
      </c>
      <c r="AM59" s="3" t="s">
        <v>92</v>
      </c>
      <c r="AN59" s="3" t="s">
        <v>829</v>
      </c>
      <c r="AO59" s="3" t="s">
        <v>549</v>
      </c>
      <c r="AP59" s="3"/>
      <c r="AQ59" s="3" t="s">
        <v>550</v>
      </c>
      <c r="AR59" s="3" t="s">
        <v>90</v>
      </c>
      <c r="AS59" s="3"/>
      <c r="AT59" s="3"/>
      <c r="AU59" s="3"/>
      <c r="AV59" s="3"/>
      <c r="AW59" s="3" t="s">
        <v>576</v>
      </c>
      <c r="AX59" s="3" t="s">
        <v>620</v>
      </c>
      <c r="AY59" s="3" t="s">
        <v>223</v>
      </c>
      <c r="AZ59" s="3"/>
      <c r="BA59" s="3"/>
      <c r="BB59" s="3" t="s">
        <v>554</v>
      </c>
      <c r="BC59" s="3" t="s">
        <v>223</v>
      </c>
      <c r="BD59" s="3" t="s">
        <v>223</v>
      </c>
      <c r="BE59" s="3" t="s">
        <v>223</v>
      </c>
      <c r="BF59" s="3">
        <v>90</v>
      </c>
      <c r="BG59" s="3" t="s">
        <v>223</v>
      </c>
      <c r="BH59" s="3" t="s">
        <v>223</v>
      </c>
      <c r="BI59" s="3"/>
      <c r="BJ59" s="3" t="s">
        <v>223</v>
      </c>
      <c r="BK59" s="3" t="s">
        <v>223</v>
      </c>
      <c r="BL59" s="3" t="s">
        <v>223</v>
      </c>
      <c r="BM59" s="3" t="s">
        <v>223</v>
      </c>
      <c r="BN59" s="3" t="s">
        <v>223</v>
      </c>
      <c r="BO59" s="3" t="s">
        <v>223</v>
      </c>
      <c r="BP59" s="3" t="s">
        <v>223</v>
      </c>
      <c r="BQ59" s="3" t="s">
        <v>223</v>
      </c>
      <c r="BR59" s="3" t="s">
        <v>830</v>
      </c>
    </row>
    <row r="60" spans="1:70" x14ac:dyDescent="0.25">
      <c r="A60" s="3" t="s">
        <v>565</v>
      </c>
      <c r="B60" s="3" t="s">
        <v>566</v>
      </c>
      <c r="C60" s="3" t="s">
        <v>838</v>
      </c>
      <c r="D60" s="3">
        <v>240</v>
      </c>
      <c r="E60" s="4" t="s">
        <v>223</v>
      </c>
      <c r="F60" s="3">
        <v>5</v>
      </c>
      <c r="G60" s="4">
        <v>46162</v>
      </c>
      <c r="H60" s="4">
        <v>46162</v>
      </c>
      <c r="I60" s="3">
        <v>0</v>
      </c>
      <c r="J60" s="3" t="s">
        <v>546</v>
      </c>
      <c r="K60" s="4">
        <v>46174</v>
      </c>
      <c r="L60" s="3">
        <v>8</v>
      </c>
      <c r="M60" s="3" t="s">
        <v>544</v>
      </c>
      <c r="N60" s="3">
        <v>0</v>
      </c>
      <c r="O60" s="3" t="s">
        <v>569</v>
      </c>
      <c r="P60" s="3">
        <v>0</v>
      </c>
      <c r="Q60" s="3">
        <v>-46172</v>
      </c>
      <c r="R60" s="3" t="s">
        <v>545</v>
      </c>
      <c r="S60" s="4"/>
      <c r="T60" s="3">
        <v>0</v>
      </c>
      <c r="U60" s="3" t="s">
        <v>569</v>
      </c>
      <c r="V60" s="3">
        <v>13</v>
      </c>
      <c r="W60" s="3" t="s">
        <v>559</v>
      </c>
      <c r="X60" s="4">
        <v>46181</v>
      </c>
      <c r="Y60" s="3" t="s">
        <v>223</v>
      </c>
      <c r="Z60" s="3">
        <v>0</v>
      </c>
      <c r="AA60" s="4" t="s">
        <v>545</v>
      </c>
      <c r="AB60" s="4">
        <v>46181</v>
      </c>
      <c r="AC60" s="4">
        <v>46181</v>
      </c>
      <c r="AD60" s="5">
        <v>0</v>
      </c>
      <c r="AE60" s="4">
        <v>46181</v>
      </c>
      <c r="AF60" s="4">
        <v>0</v>
      </c>
      <c r="AG60" s="4" t="s">
        <v>548</v>
      </c>
      <c r="AH60" s="3" t="s">
        <v>93</v>
      </c>
      <c r="AI60" s="3" t="s">
        <v>285</v>
      </c>
      <c r="AJ60" s="3" t="s">
        <v>223</v>
      </c>
      <c r="AK60" s="3" t="s">
        <v>223</v>
      </c>
      <c r="AL60" s="3">
        <v>6021701</v>
      </c>
      <c r="AM60" s="3" t="s">
        <v>92</v>
      </c>
      <c r="AN60" s="3" t="s">
        <v>839</v>
      </c>
      <c r="AO60" s="3" t="s">
        <v>549</v>
      </c>
      <c r="AP60" s="3"/>
      <c r="AQ60" s="3" t="s">
        <v>550</v>
      </c>
      <c r="AR60" s="3" t="s">
        <v>90</v>
      </c>
      <c r="AS60" s="3"/>
      <c r="AT60" s="3"/>
      <c r="AU60" s="3"/>
      <c r="AV60" s="3"/>
      <c r="AW60" s="3" t="s">
        <v>576</v>
      </c>
      <c r="AX60" s="3" t="s">
        <v>552</v>
      </c>
      <c r="AY60" s="3" t="s">
        <v>223</v>
      </c>
      <c r="AZ60" s="3"/>
      <c r="BA60" s="3"/>
      <c r="BB60" s="3" t="s">
        <v>554</v>
      </c>
      <c r="BC60" s="3" t="s">
        <v>223</v>
      </c>
      <c r="BD60" s="3" t="s">
        <v>223</v>
      </c>
      <c r="BE60" s="3" t="s">
        <v>223</v>
      </c>
      <c r="BF60" s="3">
        <v>90</v>
      </c>
      <c r="BG60" s="3" t="s">
        <v>223</v>
      </c>
      <c r="BH60" s="3" t="s">
        <v>223</v>
      </c>
      <c r="BI60" s="3"/>
      <c r="BJ60" s="3" t="s">
        <v>223</v>
      </c>
      <c r="BK60" s="3" t="s">
        <v>223</v>
      </c>
      <c r="BL60" s="3" t="s">
        <v>223</v>
      </c>
      <c r="BM60" s="3" t="s">
        <v>223</v>
      </c>
      <c r="BN60" s="3" t="s">
        <v>223</v>
      </c>
      <c r="BO60" s="3" t="s">
        <v>223</v>
      </c>
      <c r="BP60" s="3" t="s">
        <v>223</v>
      </c>
      <c r="BQ60" s="3" t="s">
        <v>223</v>
      </c>
      <c r="BR60" s="3" t="s">
        <v>840</v>
      </c>
    </row>
    <row r="61" spans="1:70" x14ac:dyDescent="0.25">
      <c r="A61" s="3" t="s">
        <v>577</v>
      </c>
      <c r="B61" s="3" t="s">
        <v>578</v>
      </c>
      <c r="C61" s="3" t="s">
        <v>957</v>
      </c>
      <c r="D61" s="3">
        <v>430</v>
      </c>
      <c r="E61" s="4">
        <v>46147</v>
      </c>
      <c r="F61" s="3">
        <v>5</v>
      </c>
      <c r="G61" s="4">
        <v>46114</v>
      </c>
      <c r="H61" s="4">
        <v>46147</v>
      </c>
      <c r="I61" s="3">
        <v>23</v>
      </c>
      <c r="J61" s="3" t="s">
        <v>568</v>
      </c>
      <c r="K61" s="4">
        <v>46148</v>
      </c>
      <c r="L61" s="3">
        <v>24</v>
      </c>
      <c r="M61" s="3" t="s">
        <v>568</v>
      </c>
      <c r="N61" s="3">
        <v>1</v>
      </c>
      <c r="O61" s="3" t="s">
        <v>546</v>
      </c>
      <c r="P61" s="3">
        <v>1</v>
      </c>
      <c r="Q61" s="3">
        <v>1</v>
      </c>
      <c r="R61" s="3" t="s">
        <v>546</v>
      </c>
      <c r="S61" s="4">
        <v>46149</v>
      </c>
      <c r="T61" s="3">
        <v>25</v>
      </c>
      <c r="U61" s="3" t="s">
        <v>588</v>
      </c>
      <c r="V61" s="3">
        <v>31</v>
      </c>
      <c r="W61" s="3" t="s">
        <v>547</v>
      </c>
      <c r="X61" s="4">
        <v>46157</v>
      </c>
      <c r="Y61" s="3">
        <v>6</v>
      </c>
      <c r="Z61" s="3">
        <v>6</v>
      </c>
      <c r="AA61" s="4" t="s">
        <v>544</v>
      </c>
      <c r="AB61" s="4">
        <v>46157</v>
      </c>
      <c r="AC61" s="4">
        <v>46157</v>
      </c>
      <c r="AD61" s="5">
        <v>0</v>
      </c>
      <c r="AE61" s="4">
        <v>46157</v>
      </c>
      <c r="AF61" s="4">
        <v>1</v>
      </c>
      <c r="AG61" s="4" t="s">
        <v>548</v>
      </c>
      <c r="AH61" s="3" t="s">
        <v>93</v>
      </c>
      <c r="AI61" s="3" t="s">
        <v>112</v>
      </c>
      <c r="AJ61" s="3">
        <v>266640330</v>
      </c>
      <c r="AK61" s="3" t="s">
        <v>223</v>
      </c>
      <c r="AL61" s="3">
        <v>6000610</v>
      </c>
      <c r="AM61" s="3" t="s">
        <v>92</v>
      </c>
      <c r="AN61" s="3" t="s">
        <v>958</v>
      </c>
      <c r="AO61" s="3" t="s">
        <v>549</v>
      </c>
      <c r="AP61" s="3"/>
      <c r="AQ61" s="3" t="s">
        <v>550</v>
      </c>
      <c r="AR61" s="3" t="s">
        <v>90</v>
      </c>
      <c r="AS61" s="3"/>
      <c r="AT61" s="3" t="s">
        <v>959</v>
      </c>
      <c r="AU61" s="3"/>
      <c r="AV61" s="3" t="s">
        <v>959</v>
      </c>
      <c r="AW61" s="3" t="s">
        <v>576</v>
      </c>
      <c r="AX61" s="3" t="s">
        <v>552</v>
      </c>
      <c r="AY61" s="3" t="s">
        <v>607</v>
      </c>
      <c r="AZ61" s="3" t="s">
        <v>960</v>
      </c>
      <c r="BA61" s="3"/>
      <c r="BB61" s="3" t="s">
        <v>554</v>
      </c>
      <c r="BC61" s="3">
        <v>0</v>
      </c>
      <c r="BD61" s="3">
        <v>0.99</v>
      </c>
      <c r="BE61" s="3" t="s">
        <v>961</v>
      </c>
      <c r="BF61" s="3">
        <v>90</v>
      </c>
      <c r="BG61" s="3" t="s">
        <v>962</v>
      </c>
      <c r="BH61" s="3" t="s">
        <v>963</v>
      </c>
      <c r="BI61" s="3"/>
      <c r="BJ61" s="3" t="s">
        <v>619</v>
      </c>
      <c r="BK61" s="3" t="s">
        <v>558</v>
      </c>
      <c r="BL61" s="3" t="s">
        <v>189</v>
      </c>
      <c r="BM61" s="3" t="s">
        <v>105</v>
      </c>
      <c r="BN61" s="3">
        <v>6855362</v>
      </c>
      <c r="BO61" s="3" t="s">
        <v>964</v>
      </c>
      <c r="BP61" s="3" t="s">
        <v>965</v>
      </c>
      <c r="BQ61" s="3" t="s">
        <v>223</v>
      </c>
      <c r="BR61" s="3" t="s">
        <v>966</v>
      </c>
    </row>
    <row r="62" spans="1:70" x14ac:dyDescent="0.25">
      <c r="A62" s="3" t="s">
        <v>577</v>
      </c>
      <c r="B62" s="3" t="s">
        <v>578</v>
      </c>
      <c r="C62" s="3" t="s">
        <v>967</v>
      </c>
      <c r="D62" s="3">
        <v>430</v>
      </c>
      <c r="E62" s="4">
        <v>46147</v>
      </c>
      <c r="F62" s="3">
        <v>5</v>
      </c>
      <c r="G62" s="4">
        <v>46114</v>
      </c>
      <c r="H62" s="4">
        <v>46147</v>
      </c>
      <c r="I62" s="3">
        <v>23</v>
      </c>
      <c r="J62" s="3" t="s">
        <v>568</v>
      </c>
      <c r="K62" s="4">
        <v>46148</v>
      </c>
      <c r="L62" s="3">
        <v>24</v>
      </c>
      <c r="M62" s="3" t="s">
        <v>568</v>
      </c>
      <c r="N62" s="3">
        <v>1</v>
      </c>
      <c r="O62" s="3" t="s">
        <v>546</v>
      </c>
      <c r="P62" s="3">
        <v>1</v>
      </c>
      <c r="Q62" s="3">
        <v>1</v>
      </c>
      <c r="R62" s="3" t="s">
        <v>546</v>
      </c>
      <c r="S62" s="4">
        <v>46149</v>
      </c>
      <c r="T62" s="3">
        <v>25</v>
      </c>
      <c r="U62" s="3" t="s">
        <v>588</v>
      </c>
      <c r="V62" s="3">
        <v>31</v>
      </c>
      <c r="W62" s="3" t="s">
        <v>547</v>
      </c>
      <c r="X62" s="4">
        <v>46157</v>
      </c>
      <c r="Y62" s="3">
        <v>6</v>
      </c>
      <c r="Z62" s="3">
        <v>6</v>
      </c>
      <c r="AA62" s="4" t="s">
        <v>544</v>
      </c>
      <c r="AB62" s="4">
        <v>46157</v>
      </c>
      <c r="AC62" s="4">
        <v>46157</v>
      </c>
      <c r="AD62" s="5">
        <v>0</v>
      </c>
      <c r="AE62" s="4">
        <v>46157</v>
      </c>
      <c r="AF62" s="4">
        <v>1</v>
      </c>
      <c r="AG62" s="4" t="s">
        <v>548</v>
      </c>
      <c r="AH62" s="3" t="s">
        <v>93</v>
      </c>
      <c r="AI62" s="3" t="s">
        <v>112</v>
      </c>
      <c r="AJ62" s="3">
        <v>266640330</v>
      </c>
      <c r="AK62" s="3" t="s">
        <v>223</v>
      </c>
      <c r="AL62" s="3">
        <v>6000611</v>
      </c>
      <c r="AM62" s="3" t="s">
        <v>92</v>
      </c>
      <c r="AN62" s="3" t="s">
        <v>292</v>
      </c>
      <c r="AO62" s="3" t="s">
        <v>549</v>
      </c>
      <c r="AP62" s="3"/>
      <c r="AQ62" s="3" t="s">
        <v>550</v>
      </c>
      <c r="AR62" s="3" t="s">
        <v>90</v>
      </c>
      <c r="AS62" s="3"/>
      <c r="AT62" s="3" t="s">
        <v>959</v>
      </c>
      <c r="AU62" s="3"/>
      <c r="AV62" s="3" t="s">
        <v>959</v>
      </c>
      <c r="AW62" s="3" t="s">
        <v>576</v>
      </c>
      <c r="AX62" s="3" t="s">
        <v>620</v>
      </c>
      <c r="AY62" s="3" t="s">
        <v>607</v>
      </c>
      <c r="AZ62" s="3" t="s">
        <v>968</v>
      </c>
      <c r="BA62" s="3"/>
      <c r="BB62" s="3" t="s">
        <v>554</v>
      </c>
      <c r="BC62" s="3">
        <v>0</v>
      </c>
      <c r="BD62" s="3">
        <v>99</v>
      </c>
      <c r="BE62" s="3" t="s">
        <v>969</v>
      </c>
      <c r="BF62" s="3">
        <v>90</v>
      </c>
      <c r="BG62" s="3" t="s">
        <v>970</v>
      </c>
      <c r="BH62" s="3" t="s">
        <v>611</v>
      </c>
      <c r="BI62" s="3"/>
      <c r="BJ62" s="3" t="s">
        <v>619</v>
      </c>
      <c r="BK62" s="3" t="s">
        <v>558</v>
      </c>
      <c r="BL62" s="3" t="s">
        <v>189</v>
      </c>
      <c r="BM62" s="3" t="s">
        <v>105</v>
      </c>
      <c r="BN62" s="3">
        <v>2808770</v>
      </c>
      <c r="BO62" s="3" t="s">
        <v>971</v>
      </c>
      <c r="BP62" s="3" t="s">
        <v>223</v>
      </c>
      <c r="BQ62" s="3" t="s">
        <v>972</v>
      </c>
      <c r="BR62" s="3" t="s">
        <v>973</v>
      </c>
    </row>
    <row r="63" spans="1:70" x14ac:dyDescent="0.25">
      <c r="A63" s="3" t="s">
        <v>577</v>
      </c>
      <c r="B63" s="3" t="s">
        <v>578</v>
      </c>
      <c r="C63" s="3" t="s">
        <v>978</v>
      </c>
      <c r="D63" s="3">
        <v>430</v>
      </c>
      <c r="E63" s="4">
        <v>46162</v>
      </c>
      <c r="F63" s="3">
        <v>5</v>
      </c>
      <c r="G63" s="4">
        <v>46133</v>
      </c>
      <c r="H63" s="4">
        <v>46162</v>
      </c>
      <c r="I63" s="3">
        <v>21</v>
      </c>
      <c r="J63" s="3" t="s">
        <v>568</v>
      </c>
      <c r="K63" s="4">
        <v>46163</v>
      </c>
      <c r="L63" s="3">
        <v>22</v>
      </c>
      <c r="M63" s="3" t="s">
        <v>568</v>
      </c>
      <c r="N63" s="3">
        <v>1</v>
      </c>
      <c r="O63" s="3" t="s">
        <v>546</v>
      </c>
      <c r="P63" s="3">
        <v>1</v>
      </c>
      <c r="Q63" s="3">
        <v>1</v>
      </c>
      <c r="R63" s="3" t="s">
        <v>546</v>
      </c>
      <c r="S63" s="4">
        <v>46164</v>
      </c>
      <c r="T63" s="3">
        <v>23</v>
      </c>
      <c r="U63" s="3" t="s">
        <v>588</v>
      </c>
      <c r="V63" s="3">
        <v>34</v>
      </c>
      <c r="W63" s="3" t="s">
        <v>547</v>
      </c>
      <c r="X63" s="4">
        <v>46181</v>
      </c>
      <c r="Y63" s="3">
        <v>8</v>
      </c>
      <c r="Z63" s="3">
        <v>11</v>
      </c>
      <c r="AA63" s="4" t="s">
        <v>547</v>
      </c>
      <c r="AB63" s="4">
        <v>46176</v>
      </c>
      <c r="AC63" s="4">
        <v>46181</v>
      </c>
      <c r="AD63" s="5">
        <v>3</v>
      </c>
      <c r="AE63" s="4">
        <v>46181</v>
      </c>
      <c r="AF63" s="4">
        <v>1</v>
      </c>
      <c r="AG63" s="4" t="s">
        <v>548</v>
      </c>
      <c r="AH63" s="3" t="s">
        <v>93</v>
      </c>
      <c r="AI63" s="3" t="s">
        <v>112</v>
      </c>
      <c r="AJ63" s="3" t="s">
        <v>979</v>
      </c>
      <c r="AK63" s="3" t="s">
        <v>223</v>
      </c>
      <c r="AL63" s="3">
        <v>6000633</v>
      </c>
      <c r="AM63" s="3" t="s">
        <v>92</v>
      </c>
      <c r="AN63" s="3" t="s">
        <v>980</v>
      </c>
      <c r="AO63" s="3" t="s">
        <v>549</v>
      </c>
      <c r="AP63" s="3"/>
      <c r="AQ63" s="3" t="s">
        <v>550</v>
      </c>
      <c r="AR63" s="3" t="s">
        <v>90</v>
      </c>
      <c r="AS63" s="3"/>
      <c r="AT63" s="3" t="s">
        <v>107</v>
      </c>
      <c r="AU63" s="3" t="s">
        <v>981</v>
      </c>
      <c r="AV63" s="3" t="s">
        <v>107</v>
      </c>
      <c r="AW63" s="3" t="s">
        <v>576</v>
      </c>
      <c r="AX63" s="3" t="s">
        <v>552</v>
      </c>
      <c r="AY63" s="3" t="s">
        <v>607</v>
      </c>
      <c r="AZ63" s="3" t="s">
        <v>982</v>
      </c>
      <c r="BA63" s="3"/>
      <c r="BB63" s="3" t="s">
        <v>554</v>
      </c>
      <c r="BC63" s="3">
        <v>0</v>
      </c>
      <c r="BD63" s="3">
        <v>0.99</v>
      </c>
      <c r="BE63" s="3" t="s">
        <v>983</v>
      </c>
      <c r="BF63" s="3">
        <v>90</v>
      </c>
      <c r="BG63" s="3" t="s">
        <v>984</v>
      </c>
      <c r="BH63" s="3" t="s">
        <v>646</v>
      </c>
      <c r="BI63" s="3"/>
      <c r="BJ63" s="3" t="s">
        <v>635</v>
      </c>
      <c r="BK63" s="3" t="s">
        <v>558</v>
      </c>
      <c r="BL63" s="3" t="s">
        <v>636</v>
      </c>
      <c r="BM63" s="3" t="s">
        <v>105</v>
      </c>
      <c r="BN63" s="3">
        <v>2907612</v>
      </c>
      <c r="BO63" s="3" t="s">
        <v>802</v>
      </c>
      <c r="BP63" s="3" t="s">
        <v>985</v>
      </c>
      <c r="BQ63" s="3" t="s">
        <v>223</v>
      </c>
      <c r="BR63" s="3" t="s">
        <v>986</v>
      </c>
    </row>
    <row r="64" spans="1:70" x14ac:dyDescent="0.25">
      <c r="A64" s="3" t="s">
        <v>577</v>
      </c>
      <c r="B64" s="3" t="s">
        <v>578</v>
      </c>
      <c r="C64" s="3" t="s">
        <v>989</v>
      </c>
      <c r="D64" s="3">
        <v>430</v>
      </c>
      <c r="E64" s="4">
        <v>46151</v>
      </c>
      <c r="F64" s="3">
        <v>5</v>
      </c>
      <c r="G64" s="4">
        <v>46143</v>
      </c>
      <c r="H64" s="4">
        <v>46151</v>
      </c>
      <c r="I64" s="3">
        <v>5</v>
      </c>
      <c r="J64" s="3" t="s">
        <v>543</v>
      </c>
      <c r="K64" s="4">
        <v>46153</v>
      </c>
      <c r="L64" s="3">
        <v>6</v>
      </c>
      <c r="M64" s="3" t="s">
        <v>544</v>
      </c>
      <c r="N64" s="3">
        <v>0</v>
      </c>
      <c r="O64" s="3" t="s">
        <v>546</v>
      </c>
      <c r="P64" s="3">
        <v>0</v>
      </c>
      <c r="Q64" s="3">
        <v>2</v>
      </c>
      <c r="R64" s="3" t="s">
        <v>579</v>
      </c>
      <c r="S64" s="4">
        <v>46155</v>
      </c>
      <c r="T64" s="3">
        <v>8</v>
      </c>
      <c r="U64" s="3" t="s">
        <v>544</v>
      </c>
      <c r="V64" s="3">
        <v>22</v>
      </c>
      <c r="W64" s="3" t="s">
        <v>547</v>
      </c>
      <c r="X64" s="4">
        <v>46175</v>
      </c>
      <c r="Y64" s="3">
        <v>13</v>
      </c>
      <c r="Z64" s="3">
        <v>14</v>
      </c>
      <c r="AA64" s="4" t="s">
        <v>547</v>
      </c>
      <c r="AB64" s="4">
        <v>46174</v>
      </c>
      <c r="AC64" s="4">
        <v>46175</v>
      </c>
      <c r="AD64" s="5">
        <v>1</v>
      </c>
      <c r="AE64" s="4">
        <v>46175</v>
      </c>
      <c r="AF64" s="4">
        <v>1</v>
      </c>
      <c r="AG64" s="4" t="s">
        <v>548</v>
      </c>
      <c r="AH64" s="3" t="s">
        <v>93</v>
      </c>
      <c r="AI64" s="3" t="s">
        <v>112</v>
      </c>
      <c r="AJ64" s="3" t="s">
        <v>990</v>
      </c>
      <c r="AK64" s="3" t="s">
        <v>223</v>
      </c>
      <c r="AL64" s="3">
        <v>6000696</v>
      </c>
      <c r="AM64" s="3" t="s">
        <v>92</v>
      </c>
      <c r="AN64" s="3" t="s">
        <v>410</v>
      </c>
      <c r="AO64" s="3" t="s">
        <v>549</v>
      </c>
      <c r="AP64" s="3"/>
      <c r="AQ64" s="3" t="s">
        <v>550</v>
      </c>
      <c r="AR64" s="3" t="s">
        <v>90</v>
      </c>
      <c r="AS64" s="3"/>
      <c r="AT64" s="3" t="s">
        <v>397</v>
      </c>
      <c r="AU64" s="3" t="s">
        <v>991</v>
      </c>
      <c r="AV64" s="3" t="s">
        <v>991</v>
      </c>
      <c r="AW64" s="3" t="s">
        <v>576</v>
      </c>
      <c r="AX64" s="3" t="s">
        <v>620</v>
      </c>
      <c r="AY64" s="3" t="s">
        <v>607</v>
      </c>
      <c r="AZ64" s="3" t="s">
        <v>992</v>
      </c>
      <c r="BA64" s="3"/>
      <c r="BB64" s="3" t="s">
        <v>554</v>
      </c>
      <c r="BC64" s="3">
        <v>0</v>
      </c>
      <c r="BD64" s="3">
        <v>99</v>
      </c>
      <c r="BE64" s="3" t="s">
        <v>223</v>
      </c>
      <c r="BF64" s="3">
        <v>90</v>
      </c>
      <c r="BG64" s="3" t="s">
        <v>934</v>
      </c>
      <c r="BH64" s="3" t="s">
        <v>103</v>
      </c>
      <c r="BI64" s="3"/>
      <c r="BJ64" s="3" t="s">
        <v>688</v>
      </c>
      <c r="BK64" s="3" t="s">
        <v>689</v>
      </c>
      <c r="BL64" s="3" t="s">
        <v>415</v>
      </c>
      <c r="BM64" s="3" t="s">
        <v>416</v>
      </c>
      <c r="BN64" s="3">
        <v>486355</v>
      </c>
      <c r="BO64" s="3" t="s">
        <v>993</v>
      </c>
      <c r="BP64" s="3" t="s">
        <v>994</v>
      </c>
      <c r="BQ64" s="3" t="s">
        <v>995</v>
      </c>
      <c r="BR64" s="3" t="s">
        <v>996</v>
      </c>
    </row>
    <row r="65" spans="1:70" x14ac:dyDescent="0.25">
      <c r="A65" s="3" t="s">
        <v>577</v>
      </c>
      <c r="B65" s="3" t="s">
        <v>578</v>
      </c>
      <c r="C65" s="3" t="s">
        <v>997</v>
      </c>
      <c r="D65" s="3">
        <v>430</v>
      </c>
      <c r="E65" s="4">
        <v>46155</v>
      </c>
      <c r="F65" s="3">
        <v>5</v>
      </c>
      <c r="G65" s="4">
        <v>46150</v>
      </c>
      <c r="H65" s="4">
        <v>46155</v>
      </c>
      <c r="I65" s="3">
        <v>3</v>
      </c>
      <c r="J65" s="3" t="s">
        <v>579</v>
      </c>
      <c r="K65" s="4">
        <v>46156</v>
      </c>
      <c r="L65" s="3">
        <v>4</v>
      </c>
      <c r="M65" s="3" t="s">
        <v>543</v>
      </c>
      <c r="N65" s="3">
        <v>1</v>
      </c>
      <c r="O65" s="3" t="s">
        <v>546</v>
      </c>
      <c r="P65" s="3">
        <v>1</v>
      </c>
      <c r="Q65" s="3">
        <v>1</v>
      </c>
      <c r="R65" s="3" t="s">
        <v>546</v>
      </c>
      <c r="S65" s="4">
        <v>46157</v>
      </c>
      <c r="T65" s="3">
        <v>5</v>
      </c>
      <c r="U65" s="3" t="s">
        <v>543</v>
      </c>
      <c r="V65" s="3">
        <v>17</v>
      </c>
      <c r="W65" s="3" t="s">
        <v>547</v>
      </c>
      <c r="X65" s="4">
        <v>46175</v>
      </c>
      <c r="Y65" s="3">
        <v>11</v>
      </c>
      <c r="Z65" s="3">
        <v>12</v>
      </c>
      <c r="AA65" s="4" t="s">
        <v>547</v>
      </c>
      <c r="AB65" s="4">
        <v>46174</v>
      </c>
      <c r="AC65" s="4">
        <v>46175</v>
      </c>
      <c r="AD65" s="5">
        <v>1</v>
      </c>
      <c r="AE65" s="4">
        <v>46175</v>
      </c>
      <c r="AF65" s="4">
        <v>1</v>
      </c>
      <c r="AG65" s="4" t="s">
        <v>548</v>
      </c>
      <c r="AH65" s="3" t="s">
        <v>93</v>
      </c>
      <c r="AI65" s="3" t="s">
        <v>112</v>
      </c>
      <c r="AJ65" s="3">
        <v>268933963</v>
      </c>
      <c r="AK65" s="3" t="s">
        <v>223</v>
      </c>
      <c r="AL65" s="3">
        <v>6000700</v>
      </c>
      <c r="AM65" s="3" t="s">
        <v>92</v>
      </c>
      <c r="AN65" s="3" t="s">
        <v>998</v>
      </c>
      <c r="AO65" s="3" t="s">
        <v>549</v>
      </c>
      <c r="AP65" s="3"/>
      <c r="AQ65" s="3" t="s">
        <v>550</v>
      </c>
      <c r="AR65" s="3" t="s">
        <v>90</v>
      </c>
      <c r="AS65" s="3"/>
      <c r="AT65" s="3" t="s">
        <v>117</v>
      </c>
      <c r="AU65" s="3"/>
      <c r="AV65" s="3" t="s">
        <v>117</v>
      </c>
      <c r="AW65" s="3" t="s">
        <v>576</v>
      </c>
      <c r="AX65" s="3" t="s">
        <v>620</v>
      </c>
      <c r="AY65" s="3" t="s">
        <v>607</v>
      </c>
      <c r="AZ65" s="3" t="s">
        <v>999</v>
      </c>
      <c r="BA65" s="3"/>
      <c r="BB65" s="3" t="s">
        <v>554</v>
      </c>
      <c r="BC65" s="3">
        <v>0</v>
      </c>
      <c r="BD65" s="3">
        <v>0.99</v>
      </c>
      <c r="BE65" s="3" t="s">
        <v>1000</v>
      </c>
      <c r="BF65" s="3">
        <v>90</v>
      </c>
      <c r="BG65" s="3" t="s">
        <v>1001</v>
      </c>
      <c r="BH65" s="3" t="s">
        <v>657</v>
      </c>
      <c r="BI65" s="3"/>
      <c r="BJ65" s="3" t="s">
        <v>619</v>
      </c>
      <c r="BK65" s="3" t="s">
        <v>558</v>
      </c>
      <c r="BL65" s="3" t="s">
        <v>189</v>
      </c>
      <c r="BM65" s="3" t="s">
        <v>105</v>
      </c>
      <c r="BN65" s="3">
        <v>1402736</v>
      </c>
      <c r="BO65" s="3" t="s">
        <v>1002</v>
      </c>
      <c r="BP65" s="3" t="s">
        <v>1003</v>
      </c>
      <c r="BQ65" s="3" t="s">
        <v>1004</v>
      </c>
      <c r="BR65" s="3" t="s">
        <v>1005</v>
      </c>
    </row>
    <row r="66" spans="1:70" x14ac:dyDescent="0.25">
      <c r="A66" s="3" t="s">
        <v>577</v>
      </c>
      <c r="B66" s="3" t="s">
        <v>578</v>
      </c>
      <c r="C66" s="3" t="s">
        <v>1006</v>
      </c>
      <c r="D66" s="3">
        <v>430</v>
      </c>
      <c r="E66" s="4">
        <v>46157</v>
      </c>
      <c r="F66" s="3">
        <v>5</v>
      </c>
      <c r="G66" s="4">
        <v>46155</v>
      </c>
      <c r="H66" s="4">
        <v>46157</v>
      </c>
      <c r="I66" s="3">
        <v>2</v>
      </c>
      <c r="J66" s="3" t="s">
        <v>579</v>
      </c>
      <c r="K66" s="4">
        <v>46158</v>
      </c>
      <c r="L66" s="3">
        <v>2</v>
      </c>
      <c r="M66" s="3" t="s">
        <v>579</v>
      </c>
      <c r="N66" s="3">
        <v>1</v>
      </c>
      <c r="O66" s="3" t="s">
        <v>546</v>
      </c>
      <c r="P66" s="3">
        <v>1</v>
      </c>
      <c r="Q66" s="3">
        <v>2</v>
      </c>
      <c r="R66" s="3" t="s">
        <v>579</v>
      </c>
      <c r="S66" s="4">
        <v>46160</v>
      </c>
      <c r="T66" s="3">
        <v>3</v>
      </c>
      <c r="U66" s="3" t="s">
        <v>579</v>
      </c>
      <c r="V66" s="3">
        <v>14</v>
      </c>
      <c r="W66" s="3" t="s">
        <v>559</v>
      </c>
      <c r="X66" s="4">
        <v>46175</v>
      </c>
      <c r="Y66" s="3" t="s">
        <v>223</v>
      </c>
      <c r="Z66" s="3">
        <v>11</v>
      </c>
      <c r="AA66" s="4" t="s">
        <v>559</v>
      </c>
      <c r="AB66" s="4"/>
      <c r="AC66" s="4">
        <v>46175</v>
      </c>
      <c r="AD66" s="5" t="s">
        <v>223</v>
      </c>
      <c r="AE66" s="4">
        <v>46175</v>
      </c>
      <c r="AF66" s="4">
        <v>1</v>
      </c>
      <c r="AG66" s="4" t="s">
        <v>548</v>
      </c>
      <c r="AH66" s="3" t="s">
        <v>93</v>
      </c>
      <c r="AI66" s="3" t="s">
        <v>112</v>
      </c>
      <c r="AJ66" s="3" t="s">
        <v>1007</v>
      </c>
      <c r="AK66" s="3" t="s">
        <v>223</v>
      </c>
      <c r="AL66" s="3">
        <v>6000701</v>
      </c>
      <c r="AM66" s="3" t="s">
        <v>92</v>
      </c>
      <c r="AN66" s="3" t="s">
        <v>1008</v>
      </c>
      <c r="AO66" s="3" t="s">
        <v>549</v>
      </c>
      <c r="AP66" s="3"/>
      <c r="AQ66" s="3" t="s">
        <v>550</v>
      </c>
      <c r="AR66" s="3" t="s">
        <v>90</v>
      </c>
      <c r="AS66" s="3"/>
      <c r="AT66" s="3" t="s">
        <v>117</v>
      </c>
      <c r="AU66" s="3"/>
      <c r="AV66" s="3" t="s">
        <v>117</v>
      </c>
      <c r="AW66" s="3" t="s">
        <v>576</v>
      </c>
      <c r="AX66" s="3" t="s">
        <v>552</v>
      </c>
      <c r="AY66" s="3" t="s">
        <v>580</v>
      </c>
      <c r="AZ66" s="3"/>
      <c r="BA66" s="3" t="s">
        <v>643</v>
      </c>
      <c r="BB66" s="3" t="s">
        <v>554</v>
      </c>
      <c r="BC66" s="3">
        <v>0</v>
      </c>
      <c r="BD66" s="3">
        <v>99</v>
      </c>
      <c r="BE66" s="3" t="s">
        <v>1009</v>
      </c>
      <c r="BF66" s="3">
        <v>90</v>
      </c>
      <c r="BG66" s="3" t="s">
        <v>1010</v>
      </c>
      <c r="BH66" s="3" t="s">
        <v>646</v>
      </c>
      <c r="BI66" s="3"/>
      <c r="BJ66" s="3" t="s">
        <v>613</v>
      </c>
      <c r="BK66" s="3" t="s">
        <v>558</v>
      </c>
      <c r="BL66" s="3" t="s">
        <v>133</v>
      </c>
      <c r="BM66" s="3" t="s">
        <v>105</v>
      </c>
      <c r="BN66" s="3">
        <v>15753546</v>
      </c>
      <c r="BO66" s="3" t="s">
        <v>1011</v>
      </c>
      <c r="BP66" s="3" t="s">
        <v>223</v>
      </c>
      <c r="BQ66" s="3" t="s">
        <v>1012</v>
      </c>
      <c r="BR66" s="3" t="s">
        <v>1013</v>
      </c>
    </row>
    <row r="67" spans="1:70" x14ac:dyDescent="0.25">
      <c r="A67" s="3" t="s">
        <v>577</v>
      </c>
      <c r="B67" s="3" t="s">
        <v>578</v>
      </c>
      <c r="C67" s="3" t="s">
        <v>1014</v>
      </c>
      <c r="D67" s="3">
        <v>430</v>
      </c>
      <c r="E67" s="4">
        <v>46170</v>
      </c>
      <c r="F67" s="3">
        <v>5</v>
      </c>
      <c r="G67" s="4">
        <v>46155</v>
      </c>
      <c r="H67" s="4">
        <v>46170</v>
      </c>
      <c r="I67" s="3">
        <v>11</v>
      </c>
      <c r="J67" s="3" t="s">
        <v>559</v>
      </c>
      <c r="K67" s="4">
        <v>46170</v>
      </c>
      <c r="L67" s="3">
        <v>11</v>
      </c>
      <c r="M67" s="3" t="s">
        <v>559</v>
      </c>
      <c r="N67" s="3">
        <v>0</v>
      </c>
      <c r="O67" s="3" t="s">
        <v>546</v>
      </c>
      <c r="P67" s="3">
        <v>0</v>
      </c>
      <c r="Q67" s="3">
        <v>-46168</v>
      </c>
      <c r="R67" s="3" t="s">
        <v>545</v>
      </c>
      <c r="S67" s="4"/>
      <c r="T67" s="3">
        <v>0</v>
      </c>
      <c r="U67" s="3" t="s">
        <v>569</v>
      </c>
      <c r="V67" s="3">
        <v>14</v>
      </c>
      <c r="W67" s="3" t="s">
        <v>559</v>
      </c>
      <c r="X67" s="4">
        <v>46175</v>
      </c>
      <c r="Y67" s="3" t="s">
        <v>223</v>
      </c>
      <c r="Z67" s="3">
        <v>32981</v>
      </c>
      <c r="AA67" s="4" t="s">
        <v>545</v>
      </c>
      <c r="AB67" s="4">
        <v>46174</v>
      </c>
      <c r="AC67" s="4">
        <v>46175</v>
      </c>
      <c r="AD67" s="5">
        <v>1</v>
      </c>
      <c r="AE67" s="4">
        <v>46175</v>
      </c>
      <c r="AF67" s="4">
        <v>0</v>
      </c>
      <c r="AG67" s="4" t="s">
        <v>548</v>
      </c>
      <c r="AH67" s="3" t="s">
        <v>342</v>
      </c>
      <c r="AI67" s="3" t="s">
        <v>112</v>
      </c>
      <c r="AJ67" s="3" t="s">
        <v>1007</v>
      </c>
      <c r="AK67" s="3" t="s">
        <v>223</v>
      </c>
      <c r="AL67" s="3">
        <v>6000848</v>
      </c>
      <c r="AM67" s="3" t="s">
        <v>92</v>
      </c>
      <c r="AN67" s="3" t="s">
        <v>1008</v>
      </c>
      <c r="AO67" s="3" t="s">
        <v>549</v>
      </c>
      <c r="AP67" s="3"/>
      <c r="AQ67" s="3" t="s">
        <v>550</v>
      </c>
      <c r="AR67" s="3" t="s">
        <v>90</v>
      </c>
      <c r="AS67" s="3"/>
      <c r="AT67" s="3"/>
      <c r="AU67" s="3"/>
      <c r="AV67" s="3"/>
      <c r="AW67" s="3"/>
      <c r="AX67" s="3" t="s">
        <v>552</v>
      </c>
      <c r="AY67" s="3" t="s">
        <v>223</v>
      </c>
      <c r="AZ67" s="3"/>
      <c r="BA67" s="3"/>
      <c r="BB67" s="3" t="s">
        <v>554</v>
      </c>
      <c r="BC67" s="3">
        <v>0</v>
      </c>
      <c r="BD67" s="3">
        <v>99</v>
      </c>
      <c r="BE67" s="3" t="s">
        <v>1009</v>
      </c>
      <c r="BF67" s="3">
        <v>90</v>
      </c>
      <c r="BG67" s="3" t="s">
        <v>1010</v>
      </c>
      <c r="BH67" s="3" t="s">
        <v>646</v>
      </c>
      <c r="BI67" s="3"/>
      <c r="BJ67" s="3" t="s">
        <v>613</v>
      </c>
      <c r="BK67" s="3" t="s">
        <v>558</v>
      </c>
      <c r="BL67" s="3" t="s">
        <v>133</v>
      </c>
      <c r="BM67" s="3" t="s">
        <v>105</v>
      </c>
      <c r="BN67" s="3">
        <v>15753546</v>
      </c>
      <c r="BO67" s="3" t="s">
        <v>795</v>
      </c>
      <c r="BP67" s="3" t="s">
        <v>223</v>
      </c>
      <c r="BQ67" s="3" t="s">
        <v>223</v>
      </c>
      <c r="BR67" s="3" t="s">
        <v>1013</v>
      </c>
    </row>
    <row r="68" spans="1:70" x14ac:dyDescent="0.25">
      <c r="A68" s="3" t="s">
        <v>577</v>
      </c>
      <c r="B68" s="3" t="s">
        <v>578</v>
      </c>
      <c r="C68" s="3" t="s">
        <v>1015</v>
      </c>
      <c r="D68" s="3">
        <v>430</v>
      </c>
      <c r="E68" s="4">
        <v>46160</v>
      </c>
      <c r="F68" s="3">
        <v>5</v>
      </c>
      <c r="G68" s="4">
        <v>46156</v>
      </c>
      <c r="H68" s="4">
        <v>46160</v>
      </c>
      <c r="I68" s="3">
        <v>2</v>
      </c>
      <c r="J68" s="3" t="s">
        <v>579</v>
      </c>
      <c r="K68" s="4">
        <v>46161</v>
      </c>
      <c r="L68" s="3">
        <v>3</v>
      </c>
      <c r="M68" s="3" t="s">
        <v>579</v>
      </c>
      <c r="N68" s="3">
        <v>1</v>
      </c>
      <c r="O68" s="3" t="s">
        <v>546</v>
      </c>
      <c r="P68" s="3">
        <v>1</v>
      </c>
      <c r="Q68" s="3">
        <v>1</v>
      </c>
      <c r="R68" s="3" t="s">
        <v>546</v>
      </c>
      <c r="S68" s="4">
        <v>46162</v>
      </c>
      <c r="T68" s="3">
        <v>4</v>
      </c>
      <c r="U68" s="3" t="s">
        <v>543</v>
      </c>
      <c r="V68" s="3">
        <v>18</v>
      </c>
      <c r="W68" s="3" t="s">
        <v>547</v>
      </c>
      <c r="X68" s="4">
        <v>46182</v>
      </c>
      <c r="Y68" s="3">
        <v>13</v>
      </c>
      <c r="Z68" s="3">
        <v>14</v>
      </c>
      <c r="AA68" s="4" t="s">
        <v>547</v>
      </c>
      <c r="AB68" s="4">
        <v>46181</v>
      </c>
      <c r="AC68" s="4">
        <v>46182</v>
      </c>
      <c r="AD68" s="5">
        <v>1</v>
      </c>
      <c r="AE68" s="4">
        <v>46182</v>
      </c>
      <c r="AF68" s="4">
        <v>1</v>
      </c>
      <c r="AG68" s="4" t="s">
        <v>548</v>
      </c>
      <c r="AH68" s="3" t="s">
        <v>93</v>
      </c>
      <c r="AI68" s="3" t="s">
        <v>112</v>
      </c>
      <c r="AJ68" s="3">
        <v>268806936</v>
      </c>
      <c r="AK68" s="3" t="s">
        <v>223</v>
      </c>
      <c r="AL68" s="3">
        <v>6000702</v>
      </c>
      <c r="AM68" s="3" t="s">
        <v>92</v>
      </c>
      <c r="AN68" s="3" t="s">
        <v>1016</v>
      </c>
      <c r="AO68" s="3" t="s">
        <v>549</v>
      </c>
      <c r="AP68" s="3"/>
      <c r="AQ68" s="3" t="s">
        <v>550</v>
      </c>
      <c r="AR68" s="3" t="s">
        <v>90</v>
      </c>
      <c r="AS68" s="3"/>
      <c r="AT68" s="3"/>
      <c r="AU68" s="3"/>
      <c r="AV68" s="3"/>
      <c r="AW68" s="3" t="s">
        <v>576</v>
      </c>
      <c r="AX68" s="3" t="s">
        <v>552</v>
      </c>
      <c r="AY68" s="3" t="s">
        <v>580</v>
      </c>
      <c r="AZ68" s="3"/>
      <c r="BA68" s="3" t="s">
        <v>581</v>
      </c>
      <c r="BB68" s="3" t="s">
        <v>554</v>
      </c>
      <c r="BC68" s="3">
        <v>0</v>
      </c>
      <c r="BD68" s="3">
        <v>99</v>
      </c>
      <c r="BE68" s="3" t="s">
        <v>1017</v>
      </c>
      <c r="BF68" s="3">
        <v>90</v>
      </c>
      <c r="BG68" s="3" t="s">
        <v>1018</v>
      </c>
      <c r="BH68" s="3" t="s">
        <v>563</v>
      </c>
      <c r="BI68" s="3"/>
      <c r="BJ68" s="3" t="s">
        <v>619</v>
      </c>
      <c r="BK68" s="3" t="s">
        <v>558</v>
      </c>
      <c r="BL68" s="3" t="s">
        <v>189</v>
      </c>
      <c r="BM68" s="3" t="s">
        <v>105</v>
      </c>
      <c r="BN68" s="3">
        <v>934400</v>
      </c>
      <c r="BO68" s="3" t="s">
        <v>1019</v>
      </c>
      <c r="BP68" s="3" t="s">
        <v>1020</v>
      </c>
      <c r="BQ68" s="3" t="s">
        <v>1021</v>
      </c>
      <c r="BR68" s="3" t="s">
        <v>1022</v>
      </c>
    </row>
    <row r="69" spans="1:70" x14ac:dyDescent="0.25">
      <c r="A69" s="3" t="s">
        <v>577</v>
      </c>
      <c r="B69" s="3" t="s">
        <v>578</v>
      </c>
      <c r="C69" s="3" t="s">
        <v>1028</v>
      </c>
      <c r="D69" s="3">
        <v>430</v>
      </c>
      <c r="E69" s="4">
        <v>46170</v>
      </c>
      <c r="F69" s="3">
        <v>5</v>
      </c>
      <c r="G69" s="4">
        <v>46155</v>
      </c>
      <c r="H69" s="4">
        <v>46170</v>
      </c>
      <c r="I69" s="3">
        <v>11</v>
      </c>
      <c r="J69" s="3" t="s">
        <v>559</v>
      </c>
      <c r="K69" s="4">
        <v>46172</v>
      </c>
      <c r="L69" s="3">
        <v>12</v>
      </c>
      <c r="M69" s="3" t="s">
        <v>559</v>
      </c>
      <c r="N69" s="3">
        <v>2</v>
      </c>
      <c r="O69" s="3" t="s">
        <v>579</v>
      </c>
      <c r="P69" s="3">
        <v>2</v>
      </c>
      <c r="Q69" s="3">
        <v>2</v>
      </c>
      <c r="R69" s="3" t="s">
        <v>579</v>
      </c>
      <c r="S69" s="4">
        <v>46174</v>
      </c>
      <c r="T69" s="3">
        <v>13</v>
      </c>
      <c r="U69" s="3" t="s">
        <v>559</v>
      </c>
      <c r="V69" s="3">
        <v>22</v>
      </c>
      <c r="W69" s="3" t="s">
        <v>547</v>
      </c>
      <c r="X69" s="4">
        <v>46185</v>
      </c>
      <c r="Y69" s="3" t="s">
        <v>223</v>
      </c>
      <c r="Z69" s="3">
        <v>9</v>
      </c>
      <c r="AA69" s="4" t="s">
        <v>559</v>
      </c>
      <c r="AB69" s="4"/>
      <c r="AC69" s="4">
        <v>46185</v>
      </c>
      <c r="AD69" s="5" t="s">
        <v>223</v>
      </c>
      <c r="AE69" s="4">
        <v>46185</v>
      </c>
      <c r="AF69" s="4">
        <v>1</v>
      </c>
      <c r="AG69" s="4" t="s">
        <v>548</v>
      </c>
      <c r="AH69" s="3" t="s">
        <v>93</v>
      </c>
      <c r="AI69" s="3" t="s">
        <v>112</v>
      </c>
      <c r="AJ69" s="3" t="s">
        <v>1029</v>
      </c>
      <c r="AK69" s="3" t="s">
        <v>223</v>
      </c>
      <c r="AL69" s="3">
        <v>6000704</v>
      </c>
      <c r="AM69" s="3" t="s">
        <v>92</v>
      </c>
      <c r="AN69" s="3" t="s">
        <v>96</v>
      </c>
      <c r="AO69" s="3" t="s">
        <v>549</v>
      </c>
      <c r="AP69" s="3"/>
      <c r="AQ69" s="3" t="s">
        <v>550</v>
      </c>
      <c r="AR69" s="3" t="s">
        <v>90</v>
      </c>
      <c r="AS69" s="3"/>
      <c r="AT69" s="3" t="s">
        <v>107</v>
      </c>
      <c r="AU69" s="3" t="s">
        <v>1025</v>
      </c>
      <c r="AV69" s="3" t="s">
        <v>107</v>
      </c>
      <c r="AW69" s="3" t="s">
        <v>576</v>
      </c>
      <c r="AX69" s="3" t="s">
        <v>552</v>
      </c>
      <c r="AY69" s="3" t="s">
        <v>580</v>
      </c>
      <c r="AZ69" s="3"/>
      <c r="BA69" s="3" t="s">
        <v>643</v>
      </c>
      <c r="BB69" s="3" t="s">
        <v>554</v>
      </c>
      <c r="BC69" s="3">
        <v>0</v>
      </c>
      <c r="BD69" s="3">
        <v>99</v>
      </c>
      <c r="BE69" s="3" t="s">
        <v>1030</v>
      </c>
      <c r="BF69" s="3">
        <v>90</v>
      </c>
      <c r="BG69" s="3" t="s">
        <v>910</v>
      </c>
      <c r="BH69" s="3" t="s">
        <v>563</v>
      </c>
      <c r="BI69" s="3"/>
      <c r="BJ69" s="3" t="s">
        <v>591</v>
      </c>
      <c r="BK69" s="3" t="s">
        <v>558</v>
      </c>
      <c r="BL69" s="3" t="s">
        <v>104</v>
      </c>
      <c r="BM69" s="3" t="s">
        <v>105</v>
      </c>
      <c r="BN69" s="3">
        <v>12690063</v>
      </c>
      <c r="BO69" s="3" t="s">
        <v>911</v>
      </c>
      <c r="BP69" s="3" t="s">
        <v>223</v>
      </c>
      <c r="BQ69" s="3" t="s">
        <v>223</v>
      </c>
      <c r="BR69" s="3" t="s">
        <v>1031</v>
      </c>
    </row>
    <row r="70" spans="1:70" x14ac:dyDescent="0.25">
      <c r="A70" s="3" t="s">
        <v>577</v>
      </c>
      <c r="B70" s="3" t="s">
        <v>578</v>
      </c>
      <c r="C70" s="3" t="s">
        <v>1038</v>
      </c>
      <c r="D70" s="3">
        <v>430</v>
      </c>
      <c r="E70" s="4">
        <v>46160</v>
      </c>
      <c r="F70" s="3">
        <v>5</v>
      </c>
      <c r="G70" s="4">
        <v>46155</v>
      </c>
      <c r="H70" s="4">
        <v>46160</v>
      </c>
      <c r="I70" s="3">
        <v>3</v>
      </c>
      <c r="J70" s="3" t="s">
        <v>579</v>
      </c>
      <c r="K70" s="4">
        <v>46161</v>
      </c>
      <c r="L70" s="3">
        <v>4</v>
      </c>
      <c r="M70" s="3" t="s">
        <v>543</v>
      </c>
      <c r="N70" s="3">
        <v>1</v>
      </c>
      <c r="O70" s="3" t="s">
        <v>546</v>
      </c>
      <c r="P70" s="3">
        <v>1</v>
      </c>
      <c r="Q70" s="3">
        <v>1</v>
      </c>
      <c r="R70" s="3" t="s">
        <v>546</v>
      </c>
      <c r="S70" s="4">
        <v>46162</v>
      </c>
      <c r="T70" s="3">
        <v>5</v>
      </c>
      <c r="U70" s="3" t="s">
        <v>543</v>
      </c>
      <c r="V70" s="3">
        <v>14</v>
      </c>
      <c r="W70" s="3" t="s">
        <v>559</v>
      </c>
      <c r="X70" s="4">
        <v>46175</v>
      </c>
      <c r="Y70" s="3">
        <v>8</v>
      </c>
      <c r="Z70" s="3">
        <v>9</v>
      </c>
      <c r="AA70" s="4" t="s">
        <v>559</v>
      </c>
      <c r="AB70" s="4">
        <v>46174</v>
      </c>
      <c r="AC70" s="4">
        <v>46175</v>
      </c>
      <c r="AD70" s="5">
        <v>1</v>
      </c>
      <c r="AE70" s="4">
        <v>46175</v>
      </c>
      <c r="AF70" s="4">
        <v>1</v>
      </c>
      <c r="AG70" s="4" t="s">
        <v>548</v>
      </c>
      <c r="AH70" s="3" t="s">
        <v>93</v>
      </c>
      <c r="AI70" s="3" t="s">
        <v>112</v>
      </c>
      <c r="AJ70" s="3" t="s">
        <v>1039</v>
      </c>
      <c r="AK70" s="3" t="s">
        <v>223</v>
      </c>
      <c r="AL70" s="3">
        <v>6000706</v>
      </c>
      <c r="AM70" s="3" t="s">
        <v>92</v>
      </c>
      <c r="AN70" s="3" t="s">
        <v>1040</v>
      </c>
      <c r="AO70" s="3" t="s">
        <v>549</v>
      </c>
      <c r="AP70" s="3"/>
      <c r="AQ70" s="3" t="s">
        <v>550</v>
      </c>
      <c r="AR70" s="3" t="s">
        <v>90</v>
      </c>
      <c r="AS70" s="3"/>
      <c r="AT70" s="3" t="s">
        <v>117</v>
      </c>
      <c r="AU70" s="3"/>
      <c r="AV70" s="3" t="s">
        <v>117</v>
      </c>
      <c r="AW70" s="3" t="s">
        <v>576</v>
      </c>
      <c r="AX70" s="3" t="s">
        <v>552</v>
      </c>
      <c r="AY70" s="3" t="s">
        <v>607</v>
      </c>
      <c r="AZ70" s="3" t="s">
        <v>1041</v>
      </c>
      <c r="BA70" s="3"/>
      <c r="BB70" s="3" t="s">
        <v>554</v>
      </c>
      <c r="BC70" s="3">
        <v>0</v>
      </c>
      <c r="BD70" s="3">
        <v>99</v>
      </c>
      <c r="BE70" s="3" t="s">
        <v>1042</v>
      </c>
      <c r="BF70" s="3">
        <v>90</v>
      </c>
      <c r="BG70" s="3" t="s">
        <v>1043</v>
      </c>
      <c r="BH70" s="3" t="s">
        <v>702</v>
      </c>
      <c r="BI70" s="3"/>
      <c r="BJ70" s="3" t="s">
        <v>558</v>
      </c>
      <c r="BK70" s="3" t="s">
        <v>558</v>
      </c>
      <c r="BL70" s="3" t="s">
        <v>105</v>
      </c>
      <c r="BM70" s="3" t="s">
        <v>105</v>
      </c>
      <c r="BN70" s="3">
        <v>21842392</v>
      </c>
      <c r="BO70" s="3" t="s">
        <v>802</v>
      </c>
      <c r="BP70" s="3" t="s">
        <v>223</v>
      </c>
      <c r="BQ70" s="3" t="s">
        <v>223</v>
      </c>
      <c r="BR70" s="3" t="s">
        <v>1044</v>
      </c>
    </row>
    <row r="71" spans="1:70" x14ac:dyDescent="0.25">
      <c r="A71" s="3" t="s">
        <v>577</v>
      </c>
      <c r="B71" s="3" t="s">
        <v>578</v>
      </c>
      <c r="C71" s="3" t="s">
        <v>1056</v>
      </c>
      <c r="D71" s="3">
        <v>430</v>
      </c>
      <c r="E71" s="4">
        <v>46157</v>
      </c>
      <c r="F71" s="3">
        <v>5</v>
      </c>
      <c r="G71" s="4">
        <v>46155</v>
      </c>
      <c r="H71" s="4">
        <v>46157</v>
      </c>
      <c r="I71" s="3">
        <v>2</v>
      </c>
      <c r="J71" s="3" t="s">
        <v>579</v>
      </c>
      <c r="K71" s="4">
        <v>46158</v>
      </c>
      <c r="L71" s="3">
        <v>2</v>
      </c>
      <c r="M71" s="3" t="s">
        <v>579</v>
      </c>
      <c r="N71" s="3">
        <v>1</v>
      </c>
      <c r="O71" s="3" t="s">
        <v>546</v>
      </c>
      <c r="P71" s="3">
        <v>1</v>
      </c>
      <c r="Q71" s="3">
        <v>4</v>
      </c>
      <c r="R71" s="3" t="s">
        <v>543</v>
      </c>
      <c r="S71" s="4">
        <v>46162</v>
      </c>
      <c r="T71" s="3">
        <v>5</v>
      </c>
      <c r="U71" s="3" t="s">
        <v>543</v>
      </c>
      <c r="V71" s="3">
        <v>14</v>
      </c>
      <c r="W71" s="3" t="s">
        <v>559</v>
      </c>
      <c r="X71" s="4">
        <v>46175</v>
      </c>
      <c r="Y71" s="3">
        <v>8</v>
      </c>
      <c r="Z71" s="3">
        <v>9</v>
      </c>
      <c r="AA71" s="4" t="s">
        <v>559</v>
      </c>
      <c r="AB71" s="4">
        <v>46174</v>
      </c>
      <c r="AC71" s="4">
        <v>46175</v>
      </c>
      <c r="AD71" s="5">
        <v>1</v>
      </c>
      <c r="AE71" s="4">
        <v>46175</v>
      </c>
      <c r="AF71" s="4">
        <v>1</v>
      </c>
      <c r="AG71" s="4" t="s">
        <v>548</v>
      </c>
      <c r="AH71" s="3" t="s">
        <v>93</v>
      </c>
      <c r="AI71" s="3" t="s">
        <v>112</v>
      </c>
      <c r="AJ71" s="3" t="s">
        <v>1057</v>
      </c>
      <c r="AK71" s="3" t="s">
        <v>223</v>
      </c>
      <c r="AL71" s="3">
        <v>6000714</v>
      </c>
      <c r="AM71" s="3" t="s">
        <v>92</v>
      </c>
      <c r="AN71" s="3" t="s">
        <v>401</v>
      </c>
      <c r="AO71" s="3" t="s">
        <v>549</v>
      </c>
      <c r="AP71" s="3"/>
      <c r="AQ71" s="3" t="s">
        <v>550</v>
      </c>
      <c r="AR71" s="3" t="s">
        <v>90</v>
      </c>
      <c r="AS71" s="3"/>
      <c r="AT71" s="3" t="s">
        <v>117</v>
      </c>
      <c r="AU71" s="3"/>
      <c r="AV71" s="3" t="s">
        <v>117</v>
      </c>
      <c r="AW71" s="3" t="s">
        <v>576</v>
      </c>
      <c r="AX71" s="3" t="s">
        <v>552</v>
      </c>
      <c r="AY71" s="3" t="s">
        <v>580</v>
      </c>
      <c r="AZ71" s="3"/>
      <c r="BA71" s="3" t="s">
        <v>643</v>
      </c>
      <c r="BB71" s="3" t="s">
        <v>554</v>
      </c>
      <c r="BC71" s="3">
        <v>0</v>
      </c>
      <c r="BD71" s="3">
        <v>99</v>
      </c>
      <c r="BE71" s="3" t="s">
        <v>1058</v>
      </c>
      <c r="BF71" s="3">
        <v>90</v>
      </c>
      <c r="BG71" s="3" t="s">
        <v>1059</v>
      </c>
      <c r="BH71" s="3" t="s">
        <v>563</v>
      </c>
      <c r="BI71" s="3"/>
      <c r="BJ71" s="3" t="s">
        <v>613</v>
      </c>
      <c r="BK71" s="3" t="s">
        <v>558</v>
      </c>
      <c r="BL71" s="3" t="s">
        <v>133</v>
      </c>
      <c r="BM71" s="3" t="s">
        <v>105</v>
      </c>
      <c r="BN71" s="3">
        <v>8811845</v>
      </c>
      <c r="BO71" s="3" t="s">
        <v>1060</v>
      </c>
      <c r="BP71" s="3" t="s">
        <v>223</v>
      </c>
      <c r="BQ71" s="3" t="s">
        <v>1061</v>
      </c>
      <c r="BR71" s="3" t="s">
        <v>1062</v>
      </c>
    </row>
    <row r="72" spans="1:70" x14ac:dyDescent="0.25">
      <c r="A72" s="3" t="s">
        <v>577</v>
      </c>
      <c r="B72" s="3" t="s">
        <v>578</v>
      </c>
      <c r="C72" s="3" t="s">
        <v>1063</v>
      </c>
      <c r="D72" s="3">
        <v>430</v>
      </c>
      <c r="E72" s="4">
        <v>46160</v>
      </c>
      <c r="F72" s="3">
        <v>5</v>
      </c>
      <c r="G72" s="4">
        <v>46155</v>
      </c>
      <c r="H72" s="4">
        <v>46160</v>
      </c>
      <c r="I72" s="3">
        <v>3</v>
      </c>
      <c r="J72" s="3" t="s">
        <v>579</v>
      </c>
      <c r="K72" s="4">
        <v>46161</v>
      </c>
      <c r="L72" s="3">
        <v>4</v>
      </c>
      <c r="M72" s="3" t="s">
        <v>543</v>
      </c>
      <c r="N72" s="3">
        <v>1</v>
      </c>
      <c r="O72" s="3" t="s">
        <v>546</v>
      </c>
      <c r="P72" s="3">
        <v>1</v>
      </c>
      <c r="Q72" s="3">
        <v>1</v>
      </c>
      <c r="R72" s="3" t="s">
        <v>546</v>
      </c>
      <c r="S72" s="4">
        <v>46162</v>
      </c>
      <c r="T72" s="3">
        <v>5</v>
      </c>
      <c r="U72" s="3" t="s">
        <v>543</v>
      </c>
      <c r="V72" s="3">
        <v>18</v>
      </c>
      <c r="W72" s="3" t="s">
        <v>547</v>
      </c>
      <c r="X72" s="4">
        <v>46181</v>
      </c>
      <c r="Y72" s="3">
        <v>10</v>
      </c>
      <c r="Z72" s="3">
        <v>13</v>
      </c>
      <c r="AA72" s="4" t="s">
        <v>547</v>
      </c>
      <c r="AB72" s="4">
        <v>46176</v>
      </c>
      <c r="AC72" s="4">
        <v>46181</v>
      </c>
      <c r="AD72" s="5">
        <v>3</v>
      </c>
      <c r="AE72" s="4">
        <v>46181</v>
      </c>
      <c r="AF72" s="4">
        <v>1</v>
      </c>
      <c r="AG72" s="4" t="s">
        <v>548</v>
      </c>
      <c r="AH72" s="3" t="s">
        <v>93</v>
      </c>
      <c r="AI72" s="3" t="s">
        <v>112</v>
      </c>
      <c r="AJ72" s="3" t="s">
        <v>1064</v>
      </c>
      <c r="AK72" s="3" t="s">
        <v>223</v>
      </c>
      <c r="AL72" s="3">
        <v>6000715</v>
      </c>
      <c r="AM72" s="3" t="s">
        <v>92</v>
      </c>
      <c r="AN72" s="3" t="s">
        <v>1065</v>
      </c>
      <c r="AO72" s="3" t="s">
        <v>549</v>
      </c>
      <c r="AP72" s="3"/>
      <c r="AQ72" s="3" t="s">
        <v>550</v>
      </c>
      <c r="AR72" s="3" t="s">
        <v>90</v>
      </c>
      <c r="AS72" s="3"/>
      <c r="AT72" s="3" t="s">
        <v>117</v>
      </c>
      <c r="AU72" s="3"/>
      <c r="AV72" s="3" t="s">
        <v>117</v>
      </c>
      <c r="AW72" s="3" t="s">
        <v>576</v>
      </c>
      <c r="AX72" s="3" t="s">
        <v>552</v>
      </c>
      <c r="AY72" s="3" t="s">
        <v>580</v>
      </c>
      <c r="AZ72" s="3"/>
      <c r="BA72" s="3" t="s">
        <v>581</v>
      </c>
      <c r="BB72" s="3" t="s">
        <v>554</v>
      </c>
      <c r="BC72" s="3">
        <v>0</v>
      </c>
      <c r="BD72" s="3">
        <v>99</v>
      </c>
      <c r="BE72" s="3" t="s">
        <v>1066</v>
      </c>
      <c r="BF72" s="3">
        <v>90</v>
      </c>
      <c r="BG72" s="3" t="s">
        <v>1067</v>
      </c>
      <c r="BH72" s="3" t="s">
        <v>563</v>
      </c>
      <c r="BI72" s="3"/>
      <c r="BJ72" s="3" t="s">
        <v>613</v>
      </c>
      <c r="BK72" s="3" t="s">
        <v>558</v>
      </c>
      <c r="BL72" s="3" t="s">
        <v>133</v>
      </c>
      <c r="BM72" s="3" t="s">
        <v>105</v>
      </c>
      <c r="BN72" s="3">
        <v>3620505</v>
      </c>
      <c r="BO72" s="3" t="s">
        <v>802</v>
      </c>
      <c r="BP72" s="3" t="s">
        <v>223</v>
      </c>
      <c r="BQ72" s="3" t="s">
        <v>223</v>
      </c>
      <c r="BR72" s="3" t="s">
        <v>1068</v>
      </c>
    </row>
    <row r="73" spans="1:70" x14ac:dyDescent="0.25">
      <c r="A73" s="3" t="s">
        <v>577</v>
      </c>
      <c r="B73" s="3" t="s">
        <v>578</v>
      </c>
      <c r="C73" s="3" t="s">
        <v>1079</v>
      </c>
      <c r="D73" s="3">
        <v>430</v>
      </c>
      <c r="E73" s="4">
        <v>46170</v>
      </c>
      <c r="F73" s="3">
        <v>5</v>
      </c>
      <c r="G73" s="4">
        <v>46160</v>
      </c>
      <c r="H73" s="4">
        <v>46170</v>
      </c>
      <c r="I73" s="3">
        <v>8</v>
      </c>
      <c r="J73" s="3" t="s">
        <v>544</v>
      </c>
      <c r="K73" s="4">
        <v>46172</v>
      </c>
      <c r="L73" s="3">
        <v>9</v>
      </c>
      <c r="M73" s="3" t="s">
        <v>544</v>
      </c>
      <c r="N73" s="3">
        <v>2</v>
      </c>
      <c r="O73" s="3" t="s">
        <v>579</v>
      </c>
      <c r="P73" s="3">
        <v>2</v>
      </c>
      <c r="Q73" s="3">
        <v>2</v>
      </c>
      <c r="R73" s="3" t="s">
        <v>579</v>
      </c>
      <c r="S73" s="4">
        <v>46174</v>
      </c>
      <c r="T73" s="3">
        <v>10</v>
      </c>
      <c r="U73" s="3" t="s">
        <v>544</v>
      </c>
      <c r="V73" s="3">
        <v>19</v>
      </c>
      <c r="W73" s="3" t="s">
        <v>547</v>
      </c>
      <c r="X73" s="4">
        <v>46185</v>
      </c>
      <c r="Y73" s="3">
        <v>9</v>
      </c>
      <c r="Z73" s="3">
        <v>9</v>
      </c>
      <c r="AA73" s="4" t="s">
        <v>559</v>
      </c>
      <c r="AB73" s="4">
        <v>46185</v>
      </c>
      <c r="AC73" s="4">
        <v>46185</v>
      </c>
      <c r="AD73" s="5">
        <v>0</v>
      </c>
      <c r="AE73" s="4">
        <v>46185</v>
      </c>
      <c r="AF73" s="4">
        <v>1</v>
      </c>
      <c r="AG73" s="4" t="s">
        <v>548</v>
      </c>
      <c r="AH73" s="3" t="s">
        <v>93</v>
      </c>
      <c r="AI73" s="3" t="s">
        <v>112</v>
      </c>
      <c r="AJ73" s="3" t="s">
        <v>1080</v>
      </c>
      <c r="AK73" s="3" t="s">
        <v>223</v>
      </c>
      <c r="AL73" s="3">
        <v>6000779</v>
      </c>
      <c r="AM73" s="3" t="s">
        <v>92</v>
      </c>
      <c r="AN73" s="3" t="s">
        <v>96</v>
      </c>
      <c r="AO73" s="3" t="s">
        <v>549</v>
      </c>
      <c r="AP73" s="3"/>
      <c r="AQ73" s="3" t="s">
        <v>550</v>
      </c>
      <c r="AR73" s="3" t="s">
        <v>90</v>
      </c>
      <c r="AS73" s="3"/>
      <c r="AT73" s="3" t="s">
        <v>107</v>
      </c>
      <c r="AU73" s="3" t="s">
        <v>1025</v>
      </c>
      <c r="AV73" s="3" t="s">
        <v>107</v>
      </c>
      <c r="AW73" s="3" t="s">
        <v>576</v>
      </c>
      <c r="AX73" s="3" t="s">
        <v>552</v>
      </c>
      <c r="AY73" s="3" t="s">
        <v>580</v>
      </c>
      <c r="AZ73" s="3"/>
      <c r="BA73" s="3" t="s">
        <v>643</v>
      </c>
      <c r="BB73" s="3" t="s">
        <v>554</v>
      </c>
      <c r="BC73" s="3">
        <v>0</v>
      </c>
      <c r="BD73" s="3">
        <v>99</v>
      </c>
      <c r="BE73" s="3" t="s">
        <v>1081</v>
      </c>
      <c r="BF73" s="3">
        <v>90</v>
      </c>
      <c r="BG73" s="3" t="s">
        <v>910</v>
      </c>
      <c r="BH73" s="3" t="s">
        <v>563</v>
      </c>
      <c r="BI73" s="3"/>
      <c r="BJ73" s="3" t="s">
        <v>591</v>
      </c>
      <c r="BK73" s="3" t="s">
        <v>558</v>
      </c>
      <c r="BL73" s="3" t="s">
        <v>104</v>
      </c>
      <c r="BM73" s="3" t="s">
        <v>105</v>
      </c>
      <c r="BN73" s="3">
        <v>12690063</v>
      </c>
      <c r="BO73" s="3" t="s">
        <v>911</v>
      </c>
      <c r="BP73" s="3" t="s">
        <v>223</v>
      </c>
      <c r="BQ73" s="3" t="s">
        <v>223</v>
      </c>
      <c r="BR73" s="3" t="s">
        <v>1082</v>
      </c>
    </row>
    <row r="74" spans="1:70" x14ac:dyDescent="0.25">
      <c r="A74" s="3" t="s">
        <v>541</v>
      </c>
      <c r="B74" s="3" t="s">
        <v>542</v>
      </c>
      <c r="C74" s="3" t="s">
        <v>790</v>
      </c>
      <c r="D74" s="3">
        <v>470</v>
      </c>
      <c r="E74" s="4">
        <v>46192</v>
      </c>
      <c r="F74" s="3">
        <v>6</v>
      </c>
      <c r="G74" s="4">
        <v>45789</v>
      </c>
      <c r="H74" s="4">
        <v>46192</v>
      </c>
      <c r="I74" s="3">
        <v>289</v>
      </c>
      <c r="J74" s="3" t="s">
        <v>568</v>
      </c>
      <c r="K74" s="4">
        <v>46192</v>
      </c>
      <c r="L74" s="3">
        <v>289</v>
      </c>
      <c r="M74" s="3" t="s">
        <v>568</v>
      </c>
      <c r="N74" s="3">
        <v>0</v>
      </c>
      <c r="O74" s="3" t="s">
        <v>546</v>
      </c>
      <c r="P74" s="3">
        <v>0</v>
      </c>
      <c r="Q74" s="3">
        <v>-46190</v>
      </c>
      <c r="R74" s="3" t="s">
        <v>545</v>
      </c>
      <c r="S74" s="4"/>
      <c r="T74" s="3">
        <v>0</v>
      </c>
      <c r="U74" s="3" t="s">
        <v>569</v>
      </c>
      <c r="V74" s="3">
        <v>302</v>
      </c>
      <c r="W74" s="3" t="s">
        <v>547</v>
      </c>
      <c r="X74" s="4">
        <v>46211</v>
      </c>
      <c r="Y74" s="3" t="s">
        <v>223</v>
      </c>
      <c r="Z74" s="3">
        <v>33007</v>
      </c>
      <c r="AA74" s="4" t="s">
        <v>545</v>
      </c>
      <c r="AB74" s="4">
        <v>46210</v>
      </c>
      <c r="AC74" s="4">
        <v>46211</v>
      </c>
      <c r="AD74" s="5">
        <v>1</v>
      </c>
      <c r="AE74" s="4">
        <v>46211</v>
      </c>
      <c r="AF74" s="4">
        <v>0</v>
      </c>
      <c r="AG74" s="4" t="s">
        <v>548</v>
      </c>
      <c r="AH74" s="3" t="s">
        <v>342</v>
      </c>
      <c r="AI74" s="3" t="s">
        <v>285</v>
      </c>
      <c r="AJ74" s="3" t="s">
        <v>791</v>
      </c>
      <c r="AK74" s="3" t="s">
        <v>792</v>
      </c>
      <c r="AL74" s="3">
        <v>6003712</v>
      </c>
      <c r="AM74" s="3" t="s">
        <v>92</v>
      </c>
      <c r="AN74" s="3" t="s">
        <v>570</v>
      </c>
      <c r="AO74" s="3" t="s">
        <v>549</v>
      </c>
      <c r="AP74" s="3"/>
      <c r="AQ74" s="3" t="s">
        <v>550</v>
      </c>
      <c r="AR74" s="3" t="s">
        <v>90</v>
      </c>
      <c r="AS74" s="3"/>
      <c r="AT74" s="3"/>
      <c r="AU74" s="3"/>
      <c r="AV74" s="3"/>
      <c r="AW74" s="3"/>
      <c r="AX74" s="3" t="s">
        <v>552</v>
      </c>
      <c r="AY74" s="3" t="s">
        <v>223</v>
      </c>
      <c r="AZ74" s="3"/>
      <c r="BA74" s="3"/>
      <c r="BB74" s="3" t="s">
        <v>554</v>
      </c>
      <c r="BC74" s="3">
        <v>0</v>
      </c>
      <c r="BD74" s="3">
        <v>0</v>
      </c>
      <c r="BE74" s="3" t="s">
        <v>223</v>
      </c>
      <c r="BF74" s="3">
        <v>90</v>
      </c>
      <c r="BG74" s="3" t="s">
        <v>793</v>
      </c>
      <c r="BH74" s="3" t="s">
        <v>103</v>
      </c>
      <c r="BI74" s="3" t="s">
        <v>794</v>
      </c>
      <c r="BJ74" s="3" t="s">
        <v>558</v>
      </c>
      <c r="BK74" s="3" t="s">
        <v>558</v>
      </c>
      <c r="BL74" s="3" t="s">
        <v>105</v>
      </c>
      <c r="BM74" s="3" t="s">
        <v>105</v>
      </c>
      <c r="BN74" s="3">
        <v>279681</v>
      </c>
      <c r="BO74" s="3" t="s">
        <v>795</v>
      </c>
      <c r="BP74" s="3" t="s">
        <v>223</v>
      </c>
      <c r="BQ74" s="3" t="s">
        <v>223</v>
      </c>
      <c r="BR74" s="3" t="s">
        <v>796</v>
      </c>
    </row>
    <row r="75" spans="1:70" x14ac:dyDescent="0.25">
      <c r="A75" s="3" t="s">
        <v>565</v>
      </c>
      <c r="B75" s="3" t="s">
        <v>707</v>
      </c>
      <c r="C75" s="3" t="s">
        <v>831</v>
      </c>
      <c r="D75" s="3">
        <v>160</v>
      </c>
      <c r="E75" s="4" t="s">
        <v>223</v>
      </c>
      <c r="F75" s="3">
        <v>6</v>
      </c>
      <c r="G75" s="4" t="s">
        <v>223</v>
      </c>
      <c r="H75" s="4">
        <v>46190</v>
      </c>
      <c r="I75" s="3" t="s">
        <v>223</v>
      </c>
      <c r="J75" s="3" t="s">
        <v>568</v>
      </c>
      <c r="K75" s="4">
        <v>46198</v>
      </c>
      <c r="L75" s="3" t="s">
        <v>223</v>
      </c>
      <c r="M75" s="3" t="s">
        <v>545</v>
      </c>
      <c r="N75" s="3">
        <v>0</v>
      </c>
      <c r="O75" s="3" t="s">
        <v>569</v>
      </c>
      <c r="P75" s="3">
        <v>0</v>
      </c>
      <c r="Q75" s="3">
        <v>-46196</v>
      </c>
      <c r="R75" s="3" t="s">
        <v>545</v>
      </c>
      <c r="S75" s="4"/>
      <c r="T75" s="3">
        <v>0</v>
      </c>
      <c r="U75" s="3" t="s">
        <v>569</v>
      </c>
      <c r="V75" s="3">
        <v>0</v>
      </c>
      <c r="W75" s="3" t="s">
        <v>569</v>
      </c>
      <c r="X75" s="4">
        <v>46219</v>
      </c>
      <c r="Y75" s="3" t="s">
        <v>223</v>
      </c>
      <c r="Z75" s="3">
        <v>0</v>
      </c>
      <c r="AA75" s="4" t="s">
        <v>545</v>
      </c>
      <c r="AB75" s="4">
        <v>46219</v>
      </c>
      <c r="AC75" s="4">
        <v>46219</v>
      </c>
      <c r="AD75" s="5">
        <v>0</v>
      </c>
      <c r="AE75" s="4">
        <v>46219</v>
      </c>
      <c r="AF75" s="4">
        <v>0</v>
      </c>
      <c r="AG75" s="4" t="s">
        <v>548</v>
      </c>
      <c r="AH75" s="3" t="s">
        <v>93</v>
      </c>
      <c r="AI75" s="3" t="s">
        <v>285</v>
      </c>
      <c r="AJ75" s="3" t="s">
        <v>223</v>
      </c>
      <c r="AK75" s="3" t="s">
        <v>223</v>
      </c>
      <c r="AL75" s="3">
        <v>6006053</v>
      </c>
      <c r="AM75" s="3" t="s">
        <v>92</v>
      </c>
      <c r="AN75" s="3" t="s">
        <v>825</v>
      </c>
      <c r="AO75" s="3" t="s">
        <v>549</v>
      </c>
      <c r="AP75" s="3"/>
      <c r="AQ75" s="3" t="s">
        <v>550</v>
      </c>
      <c r="AR75" s="3" t="s">
        <v>90</v>
      </c>
      <c r="AS75" s="3"/>
      <c r="AT75" s="3"/>
      <c r="AU75" s="3"/>
      <c r="AV75" s="3"/>
      <c r="AW75" s="3" t="s">
        <v>397</v>
      </c>
      <c r="AX75" s="3" t="s">
        <v>552</v>
      </c>
      <c r="AY75" s="3" t="s">
        <v>223</v>
      </c>
      <c r="AZ75" s="3"/>
      <c r="BA75" s="3"/>
      <c r="BB75" s="3" t="s">
        <v>554</v>
      </c>
      <c r="BC75" s="3" t="s">
        <v>223</v>
      </c>
      <c r="BD75" s="3" t="s">
        <v>223</v>
      </c>
      <c r="BE75" s="3" t="s">
        <v>223</v>
      </c>
      <c r="BF75" s="3">
        <v>90</v>
      </c>
      <c r="BG75" s="3" t="s">
        <v>223</v>
      </c>
      <c r="BH75" s="3" t="s">
        <v>223</v>
      </c>
      <c r="BI75" s="3"/>
      <c r="BJ75" s="3" t="s">
        <v>223</v>
      </c>
      <c r="BK75" s="3" t="s">
        <v>223</v>
      </c>
      <c r="BL75" s="3" t="s">
        <v>223</v>
      </c>
      <c r="BM75" s="3" t="s">
        <v>223</v>
      </c>
      <c r="BN75" s="3" t="s">
        <v>223</v>
      </c>
      <c r="BO75" s="3" t="s">
        <v>223</v>
      </c>
      <c r="BP75" s="3" t="s">
        <v>223</v>
      </c>
      <c r="BQ75" s="3" t="s">
        <v>223</v>
      </c>
      <c r="BR75" s="3" t="s">
        <v>832</v>
      </c>
    </row>
    <row r="76" spans="1:70" x14ac:dyDescent="0.25">
      <c r="A76" s="3" t="s">
        <v>565</v>
      </c>
      <c r="B76" s="3" t="s">
        <v>566</v>
      </c>
      <c r="C76" s="3" t="s">
        <v>841</v>
      </c>
      <c r="D76" s="3">
        <v>240</v>
      </c>
      <c r="E76" s="4" t="s">
        <v>223</v>
      </c>
      <c r="F76" s="3">
        <v>6</v>
      </c>
      <c r="G76" s="4">
        <v>46193</v>
      </c>
      <c r="H76" s="4">
        <v>46193</v>
      </c>
      <c r="I76" s="3">
        <v>-1</v>
      </c>
      <c r="J76" s="3" t="s">
        <v>568</v>
      </c>
      <c r="K76" s="4">
        <v>46195</v>
      </c>
      <c r="L76" s="3">
        <v>0</v>
      </c>
      <c r="M76" s="3" t="s">
        <v>546</v>
      </c>
      <c r="N76" s="3">
        <v>0</v>
      </c>
      <c r="O76" s="3" t="s">
        <v>569</v>
      </c>
      <c r="P76" s="3">
        <v>0</v>
      </c>
      <c r="Q76" s="3">
        <v>-46193</v>
      </c>
      <c r="R76" s="3" t="s">
        <v>545</v>
      </c>
      <c r="S76" s="4"/>
      <c r="T76" s="3">
        <v>0</v>
      </c>
      <c r="U76" s="3" t="s">
        <v>569</v>
      </c>
      <c r="V76" s="3">
        <v>15</v>
      </c>
      <c r="W76" s="3" t="s">
        <v>559</v>
      </c>
      <c r="X76" s="4">
        <v>46216</v>
      </c>
      <c r="Y76" s="3" t="s">
        <v>223</v>
      </c>
      <c r="Z76" s="3">
        <v>0</v>
      </c>
      <c r="AA76" s="4" t="s">
        <v>545</v>
      </c>
      <c r="AB76" s="4">
        <v>46213</v>
      </c>
      <c r="AC76" s="4">
        <v>46216</v>
      </c>
      <c r="AD76" s="5">
        <v>1</v>
      </c>
      <c r="AE76" s="4">
        <v>46216</v>
      </c>
      <c r="AF76" s="4">
        <v>0</v>
      </c>
      <c r="AG76" s="4" t="s">
        <v>548</v>
      </c>
      <c r="AH76" s="3" t="s">
        <v>93</v>
      </c>
      <c r="AI76" s="3" t="s">
        <v>285</v>
      </c>
      <c r="AJ76" s="3" t="s">
        <v>223</v>
      </c>
      <c r="AK76" s="3" t="s">
        <v>223</v>
      </c>
      <c r="AL76" s="3">
        <v>6023391</v>
      </c>
      <c r="AM76" s="3" t="s">
        <v>92</v>
      </c>
      <c r="AN76" s="3" t="s">
        <v>570</v>
      </c>
      <c r="AO76" s="3" t="s">
        <v>549</v>
      </c>
      <c r="AP76" s="3"/>
      <c r="AQ76" s="3" t="s">
        <v>550</v>
      </c>
      <c r="AR76" s="3" t="s">
        <v>90</v>
      </c>
      <c r="AS76" s="3"/>
      <c r="AT76" s="3"/>
      <c r="AU76" s="3"/>
      <c r="AV76" s="3"/>
      <c r="AW76" s="3" t="s">
        <v>397</v>
      </c>
      <c r="AX76" s="3" t="s">
        <v>552</v>
      </c>
      <c r="AY76" s="3" t="s">
        <v>223</v>
      </c>
      <c r="AZ76" s="3"/>
      <c r="BA76" s="3"/>
      <c r="BB76" s="3" t="s">
        <v>554</v>
      </c>
      <c r="BC76" s="3" t="s">
        <v>223</v>
      </c>
      <c r="BD76" s="3" t="s">
        <v>223</v>
      </c>
      <c r="BE76" s="3" t="s">
        <v>223</v>
      </c>
      <c r="BF76" s="3">
        <v>90</v>
      </c>
      <c r="BG76" s="3" t="s">
        <v>223</v>
      </c>
      <c r="BH76" s="3" t="s">
        <v>223</v>
      </c>
      <c r="BI76" s="3"/>
      <c r="BJ76" s="3" t="s">
        <v>223</v>
      </c>
      <c r="BK76" s="3" t="s">
        <v>223</v>
      </c>
      <c r="BL76" s="3" t="s">
        <v>223</v>
      </c>
      <c r="BM76" s="3" t="s">
        <v>223</v>
      </c>
      <c r="BN76" s="3" t="s">
        <v>223</v>
      </c>
      <c r="BO76" s="3" t="s">
        <v>223</v>
      </c>
      <c r="BP76" s="3" t="s">
        <v>223</v>
      </c>
      <c r="BQ76" s="3" t="s">
        <v>223</v>
      </c>
      <c r="BR76" s="3" t="s">
        <v>842</v>
      </c>
    </row>
    <row r="77" spans="1:70" x14ac:dyDescent="0.25">
      <c r="A77" s="3" t="s">
        <v>577</v>
      </c>
      <c r="B77" s="3" t="s">
        <v>578</v>
      </c>
      <c r="C77" s="3" t="s">
        <v>1023</v>
      </c>
      <c r="D77" s="3">
        <v>430</v>
      </c>
      <c r="E77" s="4">
        <v>46175</v>
      </c>
      <c r="F77" s="3">
        <v>6</v>
      </c>
      <c r="G77" s="4">
        <v>46160</v>
      </c>
      <c r="H77" s="4">
        <v>46175</v>
      </c>
      <c r="I77" s="3">
        <v>11</v>
      </c>
      <c r="J77" s="3" t="s">
        <v>559</v>
      </c>
      <c r="K77" s="4">
        <v>46175</v>
      </c>
      <c r="L77" s="3">
        <v>11</v>
      </c>
      <c r="M77" s="3" t="s">
        <v>559</v>
      </c>
      <c r="N77" s="3">
        <v>0</v>
      </c>
      <c r="O77" s="3" t="s">
        <v>546</v>
      </c>
      <c r="P77" s="3">
        <v>0</v>
      </c>
      <c r="Q77" s="3">
        <v>1</v>
      </c>
      <c r="R77" s="3" t="s">
        <v>546</v>
      </c>
      <c r="S77" s="4">
        <v>46176</v>
      </c>
      <c r="T77" s="3">
        <v>12</v>
      </c>
      <c r="U77" s="3" t="s">
        <v>559</v>
      </c>
      <c r="V77" s="3">
        <v>19</v>
      </c>
      <c r="W77" s="3" t="s">
        <v>547</v>
      </c>
      <c r="X77" s="4">
        <v>46185</v>
      </c>
      <c r="Y77" s="3">
        <v>7</v>
      </c>
      <c r="Z77" s="3">
        <v>7</v>
      </c>
      <c r="AA77" s="4" t="s">
        <v>544</v>
      </c>
      <c r="AB77" s="4">
        <v>46185</v>
      </c>
      <c r="AC77" s="4">
        <v>46185</v>
      </c>
      <c r="AD77" s="5">
        <v>0</v>
      </c>
      <c r="AE77" s="4">
        <v>46185</v>
      </c>
      <c r="AF77" s="4">
        <v>1</v>
      </c>
      <c r="AG77" s="4" t="s">
        <v>548</v>
      </c>
      <c r="AH77" s="3" t="s">
        <v>93</v>
      </c>
      <c r="AI77" s="3" t="s">
        <v>112</v>
      </c>
      <c r="AJ77" s="3" t="s">
        <v>1024</v>
      </c>
      <c r="AK77" s="3" t="s">
        <v>223</v>
      </c>
      <c r="AL77" s="3">
        <v>6000703</v>
      </c>
      <c r="AM77" s="3" t="s">
        <v>92</v>
      </c>
      <c r="AN77" s="3" t="s">
        <v>96</v>
      </c>
      <c r="AO77" s="3" t="s">
        <v>549</v>
      </c>
      <c r="AP77" s="3"/>
      <c r="AQ77" s="3" t="s">
        <v>550</v>
      </c>
      <c r="AR77" s="3" t="s">
        <v>90</v>
      </c>
      <c r="AS77" s="3"/>
      <c r="AT77" s="3" t="s">
        <v>107</v>
      </c>
      <c r="AU77" s="3" t="s">
        <v>1025</v>
      </c>
      <c r="AV77" s="3" t="s">
        <v>107</v>
      </c>
      <c r="AW77" s="3" t="s">
        <v>576</v>
      </c>
      <c r="AX77" s="3" t="s">
        <v>552</v>
      </c>
      <c r="AY77" s="3" t="s">
        <v>580</v>
      </c>
      <c r="AZ77" s="3"/>
      <c r="BA77" s="3" t="s">
        <v>597</v>
      </c>
      <c r="BB77" s="3" t="s">
        <v>554</v>
      </c>
      <c r="BC77" s="3">
        <v>0</v>
      </c>
      <c r="BD77" s="3">
        <v>99</v>
      </c>
      <c r="BE77" s="3" t="s">
        <v>1026</v>
      </c>
      <c r="BF77" s="3">
        <v>90</v>
      </c>
      <c r="BG77" s="3" t="s">
        <v>910</v>
      </c>
      <c r="BH77" s="3" t="s">
        <v>563</v>
      </c>
      <c r="BI77" s="3"/>
      <c r="BJ77" s="3" t="s">
        <v>591</v>
      </c>
      <c r="BK77" s="3" t="s">
        <v>558</v>
      </c>
      <c r="BL77" s="3" t="s">
        <v>104</v>
      </c>
      <c r="BM77" s="3" t="s">
        <v>105</v>
      </c>
      <c r="BN77" s="3">
        <v>12690063</v>
      </c>
      <c r="BO77" s="3" t="s">
        <v>911</v>
      </c>
      <c r="BP77" s="3" t="s">
        <v>223</v>
      </c>
      <c r="BQ77" s="3" t="s">
        <v>223</v>
      </c>
      <c r="BR77" s="3" t="s">
        <v>1027</v>
      </c>
    </row>
    <row r="78" spans="1:70" x14ac:dyDescent="0.25">
      <c r="A78" s="3" t="s">
        <v>577</v>
      </c>
      <c r="B78" s="3" t="s">
        <v>578</v>
      </c>
      <c r="C78" s="3" t="s">
        <v>1032</v>
      </c>
      <c r="D78" s="3">
        <v>430</v>
      </c>
      <c r="E78" s="4">
        <v>46176</v>
      </c>
      <c r="F78" s="3">
        <v>6</v>
      </c>
      <c r="G78" s="4">
        <v>46155</v>
      </c>
      <c r="H78" s="4">
        <v>46176</v>
      </c>
      <c r="I78" s="3">
        <v>15</v>
      </c>
      <c r="J78" s="3" t="s">
        <v>559</v>
      </c>
      <c r="K78" s="4">
        <v>46177</v>
      </c>
      <c r="L78" s="3">
        <v>16</v>
      </c>
      <c r="M78" s="3" t="s">
        <v>568</v>
      </c>
      <c r="N78" s="3">
        <v>1</v>
      </c>
      <c r="O78" s="3" t="s">
        <v>546</v>
      </c>
      <c r="P78" s="3">
        <v>1</v>
      </c>
      <c r="Q78" s="3">
        <v>1</v>
      </c>
      <c r="R78" s="3" t="s">
        <v>546</v>
      </c>
      <c r="S78" s="4">
        <v>46178</v>
      </c>
      <c r="T78" s="3">
        <v>17</v>
      </c>
      <c r="U78" s="3" t="s">
        <v>588</v>
      </c>
      <c r="V78" s="3">
        <v>23</v>
      </c>
      <c r="W78" s="3" t="s">
        <v>547</v>
      </c>
      <c r="X78" s="4">
        <v>46188</v>
      </c>
      <c r="Y78" s="3">
        <v>6</v>
      </c>
      <c r="Z78" s="3">
        <v>6</v>
      </c>
      <c r="AA78" s="4" t="s">
        <v>544</v>
      </c>
      <c r="AB78" s="4">
        <v>46188</v>
      </c>
      <c r="AC78" s="4">
        <v>46188</v>
      </c>
      <c r="AD78" s="5">
        <v>0</v>
      </c>
      <c r="AE78" s="4">
        <v>46188</v>
      </c>
      <c r="AF78" s="4">
        <v>1</v>
      </c>
      <c r="AG78" s="4" t="s">
        <v>548</v>
      </c>
      <c r="AH78" s="3" t="s">
        <v>93</v>
      </c>
      <c r="AI78" s="3" t="s">
        <v>112</v>
      </c>
      <c r="AJ78" s="3" t="s">
        <v>1033</v>
      </c>
      <c r="AK78" s="3" t="s">
        <v>223</v>
      </c>
      <c r="AL78" s="3">
        <v>6000705</v>
      </c>
      <c r="AM78" s="3" t="s">
        <v>92</v>
      </c>
      <c r="AN78" s="3" t="s">
        <v>96</v>
      </c>
      <c r="AO78" s="3" t="s">
        <v>549</v>
      </c>
      <c r="AP78" s="3"/>
      <c r="AQ78" s="3" t="s">
        <v>550</v>
      </c>
      <c r="AR78" s="3" t="s">
        <v>90</v>
      </c>
      <c r="AS78" s="3"/>
      <c r="AT78" s="3" t="s">
        <v>107</v>
      </c>
      <c r="AU78" s="3" t="s">
        <v>1025</v>
      </c>
      <c r="AV78" s="3" t="s">
        <v>107</v>
      </c>
      <c r="AW78" s="3" t="s">
        <v>576</v>
      </c>
      <c r="AX78" s="3" t="s">
        <v>552</v>
      </c>
      <c r="AY78" s="3" t="s">
        <v>580</v>
      </c>
      <c r="AZ78" s="3"/>
      <c r="BA78" s="3" t="s">
        <v>597</v>
      </c>
      <c r="BB78" s="3" t="s">
        <v>554</v>
      </c>
      <c r="BC78" s="3">
        <v>0</v>
      </c>
      <c r="BD78" s="3">
        <v>99</v>
      </c>
      <c r="BE78" s="3" t="s">
        <v>1034</v>
      </c>
      <c r="BF78" s="3">
        <v>90</v>
      </c>
      <c r="BG78" s="3" t="s">
        <v>1035</v>
      </c>
      <c r="BH78" s="3" t="s">
        <v>563</v>
      </c>
      <c r="BI78" s="3"/>
      <c r="BJ78" s="3" t="s">
        <v>591</v>
      </c>
      <c r="BK78" s="3" t="s">
        <v>558</v>
      </c>
      <c r="BL78" s="3" t="s">
        <v>104</v>
      </c>
      <c r="BM78" s="3" t="s">
        <v>105</v>
      </c>
      <c r="BN78" s="3">
        <v>12675963</v>
      </c>
      <c r="BO78" s="3" t="s">
        <v>1036</v>
      </c>
      <c r="BP78" s="3" t="s">
        <v>223</v>
      </c>
      <c r="BQ78" s="3" t="s">
        <v>223</v>
      </c>
      <c r="BR78" s="3" t="s">
        <v>1037</v>
      </c>
    </row>
    <row r="79" spans="1:70" x14ac:dyDescent="0.25">
      <c r="A79" s="3" t="s">
        <v>577</v>
      </c>
      <c r="B79" s="3" t="s">
        <v>578</v>
      </c>
      <c r="C79" s="3" t="s">
        <v>1052</v>
      </c>
      <c r="D79" s="3">
        <v>430</v>
      </c>
      <c r="E79" s="4">
        <v>46179</v>
      </c>
      <c r="F79" s="3">
        <v>6</v>
      </c>
      <c r="G79" s="4">
        <v>46160</v>
      </c>
      <c r="H79" s="4">
        <v>46179</v>
      </c>
      <c r="I79" s="3">
        <v>14</v>
      </c>
      <c r="J79" s="3" t="s">
        <v>559</v>
      </c>
      <c r="K79" s="4">
        <v>46181</v>
      </c>
      <c r="L79" s="3">
        <v>15</v>
      </c>
      <c r="M79" s="3" t="s">
        <v>559</v>
      </c>
      <c r="N79" s="3">
        <v>0</v>
      </c>
      <c r="O79" s="3" t="s">
        <v>546</v>
      </c>
      <c r="P79" s="3">
        <v>0</v>
      </c>
      <c r="Q79" s="3">
        <v>1</v>
      </c>
      <c r="R79" s="3" t="s">
        <v>546</v>
      </c>
      <c r="S79" s="4">
        <v>46182</v>
      </c>
      <c r="T79" s="3">
        <v>16</v>
      </c>
      <c r="U79" s="3" t="s">
        <v>588</v>
      </c>
      <c r="V79" s="3">
        <v>31</v>
      </c>
      <c r="W79" s="3" t="s">
        <v>547</v>
      </c>
      <c r="X79" s="4">
        <v>46203</v>
      </c>
      <c r="Y79" s="3">
        <v>14</v>
      </c>
      <c r="Z79" s="3">
        <v>15</v>
      </c>
      <c r="AA79" s="4" t="s">
        <v>547</v>
      </c>
      <c r="AB79" s="4">
        <v>46202</v>
      </c>
      <c r="AC79" s="4">
        <v>46203</v>
      </c>
      <c r="AD79" s="5">
        <v>1</v>
      </c>
      <c r="AE79" s="4">
        <v>46203</v>
      </c>
      <c r="AF79" s="4">
        <v>1</v>
      </c>
      <c r="AG79" s="4" t="s">
        <v>548</v>
      </c>
      <c r="AH79" s="3" t="s">
        <v>93</v>
      </c>
      <c r="AI79" s="3" t="s">
        <v>112</v>
      </c>
      <c r="AJ79" s="3" t="s">
        <v>1053</v>
      </c>
      <c r="AK79" s="3" t="s">
        <v>223</v>
      </c>
      <c r="AL79" s="3">
        <v>6000709</v>
      </c>
      <c r="AM79" s="3" t="s">
        <v>92</v>
      </c>
      <c r="AN79" s="3" t="s">
        <v>96</v>
      </c>
      <c r="AO79" s="3" t="s">
        <v>549</v>
      </c>
      <c r="AP79" s="3"/>
      <c r="AQ79" s="3" t="s">
        <v>550</v>
      </c>
      <c r="AR79" s="3" t="s">
        <v>90</v>
      </c>
      <c r="AS79" s="3"/>
      <c r="AT79" s="3" t="s">
        <v>107</v>
      </c>
      <c r="AU79" s="3" t="s">
        <v>1025</v>
      </c>
      <c r="AV79" s="3" t="s">
        <v>107</v>
      </c>
      <c r="AW79" s="3" t="s">
        <v>576</v>
      </c>
      <c r="AX79" s="3" t="s">
        <v>552</v>
      </c>
      <c r="AY79" s="3" t="s">
        <v>580</v>
      </c>
      <c r="AZ79" s="3"/>
      <c r="BA79" s="3" t="s">
        <v>603</v>
      </c>
      <c r="BB79" s="3" t="s">
        <v>554</v>
      </c>
      <c r="BC79" s="3">
        <v>0</v>
      </c>
      <c r="BD79" s="3">
        <v>99</v>
      </c>
      <c r="BE79" s="3" t="s">
        <v>1054</v>
      </c>
      <c r="BF79" s="3">
        <v>90</v>
      </c>
      <c r="BG79" s="3" t="s">
        <v>910</v>
      </c>
      <c r="BH79" s="3" t="s">
        <v>563</v>
      </c>
      <c r="BI79" s="3"/>
      <c r="BJ79" s="3" t="s">
        <v>591</v>
      </c>
      <c r="BK79" s="3" t="s">
        <v>558</v>
      </c>
      <c r="BL79" s="3" t="s">
        <v>104</v>
      </c>
      <c r="BM79" s="3" t="s">
        <v>105</v>
      </c>
      <c r="BN79" s="3">
        <v>12690063</v>
      </c>
      <c r="BO79" s="3" t="s">
        <v>911</v>
      </c>
      <c r="BP79" s="3" t="s">
        <v>223</v>
      </c>
      <c r="BQ79" s="3" t="s">
        <v>223</v>
      </c>
      <c r="BR79" s="3" t="s">
        <v>1055</v>
      </c>
    </row>
    <row r="80" spans="1:70" x14ac:dyDescent="0.25">
      <c r="A80" s="3" t="s">
        <v>577</v>
      </c>
      <c r="B80" s="3" t="s">
        <v>578</v>
      </c>
      <c r="C80" s="3" t="s">
        <v>1069</v>
      </c>
      <c r="D80" s="3">
        <v>430</v>
      </c>
      <c r="E80" s="4">
        <v>46197</v>
      </c>
      <c r="F80" s="3">
        <v>6</v>
      </c>
      <c r="G80" s="4">
        <v>46160</v>
      </c>
      <c r="H80" s="4">
        <v>46197</v>
      </c>
      <c r="I80" s="3">
        <v>27</v>
      </c>
      <c r="J80" s="3" t="s">
        <v>568</v>
      </c>
      <c r="K80" s="4">
        <v>46198</v>
      </c>
      <c r="L80" s="3">
        <v>28</v>
      </c>
      <c r="M80" s="3" t="s">
        <v>568</v>
      </c>
      <c r="N80" s="3">
        <v>1</v>
      </c>
      <c r="O80" s="3" t="s">
        <v>546</v>
      </c>
      <c r="P80" s="3">
        <v>1</v>
      </c>
      <c r="Q80" s="3">
        <v>1</v>
      </c>
      <c r="R80" s="3" t="s">
        <v>546</v>
      </c>
      <c r="S80" s="4">
        <v>46199</v>
      </c>
      <c r="T80" s="3">
        <v>29</v>
      </c>
      <c r="U80" s="3" t="s">
        <v>588</v>
      </c>
      <c r="V80" s="3">
        <v>41</v>
      </c>
      <c r="W80" s="3" t="s">
        <v>547</v>
      </c>
      <c r="X80" s="4">
        <v>46217</v>
      </c>
      <c r="Y80" s="3">
        <v>12</v>
      </c>
      <c r="Z80" s="3">
        <v>12</v>
      </c>
      <c r="AA80" s="4" t="s">
        <v>547</v>
      </c>
      <c r="AB80" s="4">
        <v>46217</v>
      </c>
      <c r="AC80" s="4">
        <v>46217</v>
      </c>
      <c r="AD80" s="5">
        <v>0</v>
      </c>
      <c r="AE80" s="4">
        <v>46217</v>
      </c>
      <c r="AF80" s="4">
        <v>1</v>
      </c>
      <c r="AG80" s="4" t="s">
        <v>548</v>
      </c>
      <c r="AH80" s="3" t="s">
        <v>93</v>
      </c>
      <c r="AI80" s="3" t="s">
        <v>112</v>
      </c>
      <c r="AJ80" s="3" t="s">
        <v>1070</v>
      </c>
      <c r="AK80" s="3" t="s">
        <v>223</v>
      </c>
      <c r="AL80" s="3">
        <v>6000716</v>
      </c>
      <c r="AM80" s="3" t="s">
        <v>92</v>
      </c>
      <c r="AN80" s="3" t="s">
        <v>139</v>
      </c>
      <c r="AO80" s="3" t="s">
        <v>549</v>
      </c>
      <c r="AP80" s="3"/>
      <c r="AQ80" s="3" t="s">
        <v>550</v>
      </c>
      <c r="AR80" s="3" t="s">
        <v>90</v>
      </c>
      <c r="AS80" s="3"/>
      <c r="AT80" s="3"/>
      <c r="AU80" s="3"/>
      <c r="AV80" s="3"/>
      <c r="AW80" s="3" t="s">
        <v>576</v>
      </c>
      <c r="AX80" s="3" t="s">
        <v>552</v>
      </c>
      <c r="AY80" s="3" t="s">
        <v>607</v>
      </c>
      <c r="AZ80" s="3" t="s">
        <v>1071</v>
      </c>
      <c r="BA80" s="3"/>
      <c r="BB80" s="3" t="s">
        <v>554</v>
      </c>
      <c r="BC80" s="3">
        <v>0</v>
      </c>
      <c r="BD80" s="3">
        <v>0.99</v>
      </c>
      <c r="BE80" s="3" t="s">
        <v>1072</v>
      </c>
      <c r="BF80" s="3">
        <v>90</v>
      </c>
      <c r="BG80" s="3" t="s">
        <v>1073</v>
      </c>
      <c r="BH80" s="3" t="s">
        <v>963</v>
      </c>
      <c r="BI80" s="3"/>
      <c r="BJ80" s="3" t="s">
        <v>635</v>
      </c>
      <c r="BK80" s="3" t="s">
        <v>558</v>
      </c>
      <c r="BL80" s="3" t="s">
        <v>636</v>
      </c>
      <c r="BM80" s="3" t="s">
        <v>105</v>
      </c>
      <c r="BN80" s="3">
        <v>2899331</v>
      </c>
      <c r="BO80" s="3" t="s">
        <v>802</v>
      </c>
      <c r="BP80" s="3" t="s">
        <v>223</v>
      </c>
      <c r="BQ80" s="3" t="s">
        <v>223</v>
      </c>
      <c r="BR80" s="3" t="s">
        <v>1074</v>
      </c>
    </row>
    <row r="81" spans="1:70" x14ac:dyDescent="0.25">
      <c r="A81" s="3" t="s">
        <v>577</v>
      </c>
      <c r="B81" s="3" t="s">
        <v>578</v>
      </c>
      <c r="C81" s="3" t="s">
        <v>1075</v>
      </c>
      <c r="D81" s="3">
        <v>430</v>
      </c>
      <c r="E81" s="4">
        <v>46176</v>
      </c>
      <c r="F81" s="3">
        <v>6</v>
      </c>
      <c r="G81" s="4">
        <v>46160</v>
      </c>
      <c r="H81" s="4">
        <v>46176</v>
      </c>
      <c r="I81" s="3">
        <v>12</v>
      </c>
      <c r="J81" s="3" t="s">
        <v>559</v>
      </c>
      <c r="K81" s="4">
        <v>46177</v>
      </c>
      <c r="L81" s="3">
        <v>13</v>
      </c>
      <c r="M81" s="3" t="s">
        <v>559</v>
      </c>
      <c r="N81" s="3">
        <v>1</v>
      </c>
      <c r="O81" s="3" t="s">
        <v>546</v>
      </c>
      <c r="P81" s="3">
        <v>1</v>
      </c>
      <c r="Q81" s="3">
        <v>1</v>
      </c>
      <c r="R81" s="3" t="s">
        <v>546</v>
      </c>
      <c r="S81" s="4">
        <v>46178</v>
      </c>
      <c r="T81" s="3">
        <v>14</v>
      </c>
      <c r="U81" s="3" t="s">
        <v>559</v>
      </c>
      <c r="V81" s="3">
        <v>20</v>
      </c>
      <c r="W81" s="3" t="s">
        <v>547</v>
      </c>
      <c r="X81" s="4">
        <v>46188</v>
      </c>
      <c r="Y81" s="3">
        <v>6</v>
      </c>
      <c r="Z81" s="3">
        <v>6</v>
      </c>
      <c r="AA81" s="4" t="s">
        <v>544</v>
      </c>
      <c r="AB81" s="4">
        <v>46188</v>
      </c>
      <c r="AC81" s="4">
        <v>46188</v>
      </c>
      <c r="AD81" s="5">
        <v>0</v>
      </c>
      <c r="AE81" s="4">
        <v>46188</v>
      </c>
      <c r="AF81" s="4">
        <v>1</v>
      </c>
      <c r="AG81" s="4" t="s">
        <v>548</v>
      </c>
      <c r="AH81" s="3" t="s">
        <v>93</v>
      </c>
      <c r="AI81" s="3" t="s">
        <v>112</v>
      </c>
      <c r="AJ81" s="3" t="s">
        <v>1076</v>
      </c>
      <c r="AK81" s="3" t="s">
        <v>223</v>
      </c>
      <c r="AL81" s="3">
        <v>6000778</v>
      </c>
      <c r="AM81" s="3" t="s">
        <v>92</v>
      </c>
      <c r="AN81" s="3" t="s">
        <v>96</v>
      </c>
      <c r="AO81" s="3" t="s">
        <v>549</v>
      </c>
      <c r="AP81" s="3"/>
      <c r="AQ81" s="3" t="s">
        <v>550</v>
      </c>
      <c r="AR81" s="3" t="s">
        <v>90</v>
      </c>
      <c r="AS81" s="3"/>
      <c r="AT81" s="3" t="s">
        <v>107</v>
      </c>
      <c r="AU81" s="3" t="s">
        <v>1025</v>
      </c>
      <c r="AV81" s="3" t="s">
        <v>107</v>
      </c>
      <c r="AW81" s="3" t="s">
        <v>576</v>
      </c>
      <c r="AX81" s="3" t="s">
        <v>552</v>
      </c>
      <c r="AY81" s="3" t="s">
        <v>580</v>
      </c>
      <c r="AZ81" s="3"/>
      <c r="BA81" s="3" t="s">
        <v>597</v>
      </c>
      <c r="BB81" s="3" t="s">
        <v>554</v>
      </c>
      <c r="BC81" s="3">
        <v>0</v>
      </c>
      <c r="BD81" s="3">
        <v>99</v>
      </c>
      <c r="BE81" s="3" t="s">
        <v>1077</v>
      </c>
      <c r="BF81" s="3">
        <v>90</v>
      </c>
      <c r="BG81" s="3" t="s">
        <v>910</v>
      </c>
      <c r="BH81" s="3" t="s">
        <v>563</v>
      </c>
      <c r="BI81" s="3"/>
      <c r="BJ81" s="3" t="s">
        <v>591</v>
      </c>
      <c r="BK81" s="3" t="s">
        <v>558</v>
      </c>
      <c r="BL81" s="3" t="s">
        <v>104</v>
      </c>
      <c r="BM81" s="3" t="s">
        <v>105</v>
      </c>
      <c r="BN81" s="3">
        <v>12690063</v>
      </c>
      <c r="BO81" s="3" t="s">
        <v>911</v>
      </c>
      <c r="BP81" s="3" t="s">
        <v>223</v>
      </c>
      <c r="BQ81" s="3" t="s">
        <v>223</v>
      </c>
      <c r="BR81" s="3" t="s">
        <v>1078</v>
      </c>
    </row>
    <row r="82" spans="1:70" x14ac:dyDescent="0.25">
      <c r="A82" s="3" t="s">
        <v>577</v>
      </c>
      <c r="B82" s="3" t="s">
        <v>578</v>
      </c>
      <c r="C82" s="3" t="s">
        <v>1083</v>
      </c>
      <c r="D82" s="3">
        <v>430</v>
      </c>
      <c r="E82" s="4">
        <v>46182</v>
      </c>
      <c r="F82" s="3">
        <v>6</v>
      </c>
      <c r="G82" s="4">
        <v>46175</v>
      </c>
      <c r="H82" s="4">
        <v>46182</v>
      </c>
      <c r="I82" s="3">
        <v>5</v>
      </c>
      <c r="J82" s="3" t="s">
        <v>543</v>
      </c>
      <c r="K82" s="4">
        <v>46184</v>
      </c>
      <c r="L82" s="3">
        <v>7</v>
      </c>
      <c r="M82" s="3" t="s">
        <v>544</v>
      </c>
      <c r="N82" s="3">
        <v>2</v>
      </c>
      <c r="O82" s="3" t="s">
        <v>579</v>
      </c>
      <c r="P82" s="3">
        <v>2</v>
      </c>
      <c r="Q82" s="3">
        <v>1</v>
      </c>
      <c r="R82" s="3" t="s">
        <v>546</v>
      </c>
      <c r="S82" s="4">
        <v>46185</v>
      </c>
      <c r="T82" s="3">
        <v>8</v>
      </c>
      <c r="U82" s="3" t="s">
        <v>544</v>
      </c>
      <c r="V82" s="3">
        <v>25</v>
      </c>
      <c r="W82" s="3" t="s">
        <v>547</v>
      </c>
      <c r="X82" s="4">
        <v>46210</v>
      </c>
      <c r="Y82" s="3">
        <v>17</v>
      </c>
      <c r="Z82" s="3">
        <v>17</v>
      </c>
      <c r="AA82" s="4" t="s">
        <v>547</v>
      </c>
      <c r="AB82" s="4">
        <v>46210</v>
      </c>
      <c r="AC82" s="4">
        <v>46210</v>
      </c>
      <c r="AD82" s="5">
        <v>0</v>
      </c>
      <c r="AE82" s="4">
        <v>46210</v>
      </c>
      <c r="AF82" s="4">
        <v>1</v>
      </c>
      <c r="AG82" s="4" t="s">
        <v>548</v>
      </c>
      <c r="AH82" s="3" t="s">
        <v>93</v>
      </c>
      <c r="AI82" s="3" t="s">
        <v>112</v>
      </c>
      <c r="AJ82" s="3" t="s">
        <v>1084</v>
      </c>
      <c r="AK82" s="3" t="s">
        <v>223</v>
      </c>
      <c r="AL82" s="3">
        <v>6000856</v>
      </c>
      <c r="AM82" s="3" t="s">
        <v>92</v>
      </c>
      <c r="AN82" s="3" t="s">
        <v>115</v>
      </c>
      <c r="AO82" s="3" t="s">
        <v>549</v>
      </c>
      <c r="AP82" s="3"/>
      <c r="AQ82" s="3" t="s">
        <v>550</v>
      </c>
      <c r="AR82" s="3" t="s">
        <v>90</v>
      </c>
      <c r="AS82" s="3"/>
      <c r="AT82" s="3" t="s">
        <v>107</v>
      </c>
      <c r="AU82" s="3" t="s">
        <v>1085</v>
      </c>
      <c r="AV82" s="3" t="s">
        <v>107</v>
      </c>
      <c r="AW82" s="3" t="s">
        <v>576</v>
      </c>
      <c r="AX82" s="3" t="s">
        <v>620</v>
      </c>
      <c r="AY82" s="3" t="s">
        <v>580</v>
      </c>
      <c r="AZ82" s="3"/>
      <c r="BA82" s="3" t="s">
        <v>597</v>
      </c>
      <c r="BB82" s="3" t="s">
        <v>554</v>
      </c>
      <c r="BC82" s="3">
        <v>0</v>
      </c>
      <c r="BD82" s="3">
        <v>0.99</v>
      </c>
      <c r="BE82" s="3" t="s">
        <v>1086</v>
      </c>
      <c r="BF82" s="3">
        <v>90</v>
      </c>
      <c r="BG82" s="3" t="s">
        <v>1087</v>
      </c>
      <c r="BH82" s="3" t="s">
        <v>963</v>
      </c>
      <c r="BI82" s="3"/>
      <c r="BJ82" s="3" t="s">
        <v>1088</v>
      </c>
      <c r="BK82" s="3" t="s">
        <v>558</v>
      </c>
      <c r="BL82" s="3" t="s">
        <v>1089</v>
      </c>
      <c r="BM82" s="3" t="s">
        <v>105</v>
      </c>
      <c r="BN82" s="3">
        <v>2451594</v>
      </c>
      <c r="BO82" s="3" t="s">
        <v>802</v>
      </c>
      <c r="BP82" s="3" t="s">
        <v>223</v>
      </c>
      <c r="BQ82" s="3" t="s">
        <v>223</v>
      </c>
      <c r="BR82" s="3" t="s">
        <v>1090</v>
      </c>
    </row>
    <row r="83" spans="1:70" x14ac:dyDescent="0.25">
      <c r="A83" s="3" t="s">
        <v>577</v>
      </c>
      <c r="B83" s="3" t="s">
        <v>578</v>
      </c>
      <c r="C83" s="3" t="s">
        <v>1091</v>
      </c>
      <c r="D83" s="3">
        <v>430</v>
      </c>
      <c r="E83" s="4">
        <v>46183</v>
      </c>
      <c r="F83" s="3">
        <v>6</v>
      </c>
      <c r="G83" s="4">
        <v>46175</v>
      </c>
      <c r="H83" s="4">
        <v>46183</v>
      </c>
      <c r="I83" s="3">
        <v>6</v>
      </c>
      <c r="J83" s="3" t="s">
        <v>544</v>
      </c>
      <c r="K83" s="4">
        <v>46184</v>
      </c>
      <c r="L83" s="3">
        <v>7</v>
      </c>
      <c r="M83" s="3" t="s">
        <v>544</v>
      </c>
      <c r="N83" s="3">
        <v>1</v>
      </c>
      <c r="O83" s="3" t="s">
        <v>546</v>
      </c>
      <c r="P83" s="3">
        <v>1</v>
      </c>
      <c r="Q83" s="3">
        <v>1</v>
      </c>
      <c r="R83" s="3" t="s">
        <v>546</v>
      </c>
      <c r="S83" s="4">
        <v>46185</v>
      </c>
      <c r="T83" s="3">
        <v>8</v>
      </c>
      <c r="U83" s="3" t="s">
        <v>544</v>
      </c>
      <c r="V83" s="3">
        <v>27</v>
      </c>
      <c r="W83" s="3" t="s">
        <v>547</v>
      </c>
      <c r="X83" s="4">
        <v>46212</v>
      </c>
      <c r="Y83" s="3">
        <v>18</v>
      </c>
      <c r="Z83" s="3">
        <v>19</v>
      </c>
      <c r="AA83" s="4" t="s">
        <v>547</v>
      </c>
      <c r="AB83" s="4">
        <v>46211</v>
      </c>
      <c r="AC83" s="4">
        <v>46212</v>
      </c>
      <c r="AD83" s="5">
        <v>1</v>
      </c>
      <c r="AE83" s="4">
        <v>46212</v>
      </c>
      <c r="AF83" s="4">
        <v>1</v>
      </c>
      <c r="AG83" s="4" t="s">
        <v>548</v>
      </c>
      <c r="AH83" s="3" t="s">
        <v>93</v>
      </c>
      <c r="AI83" s="3" t="s">
        <v>112</v>
      </c>
      <c r="AJ83" s="3" t="s">
        <v>1092</v>
      </c>
      <c r="AK83" s="3" t="s">
        <v>223</v>
      </c>
      <c r="AL83" s="3">
        <v>6000857</v>
      </c>
      <c r="AM83" s="3" t="s">
        <v>92</v>
      </c>
      <c r="AN83" s="3" t="s">
        <v>1093</v>
      </c>
      <c r="AO83" s="3" t="s">
        <v>549</v>
      </c>
      <c r="AP83" s="3"/>
      <c r="AQ83" s="3" t="s">
        <v>550</v>
      </c>
      <c r="AR83" s="3" t="s">
        <v>90</v>
      </c>
      <c r="AS83" s="3"/>
      <c r="AT83" s="3" t="s">
        <v>107</v>
      </c>
      <c r="AU83" s="3"/>
      <c r="AV83" s="3" t="s">
        <v>107</v>
      </c>
      <c r="AW83" s="3" t="s">
        <v>576</v>
      </c>
      <c r="AX83" s="3" t="s">
        <v>620</v>
      </c>
      <c r="AY83" s="3" t="s">
        <v>580</v>
      </c>
      <c r="AZ83" s="3"/>
      <c r="BA83" s="3" t="s">
        <v>597</v>
      </c>
      <c r="BB83" s="3" t="s">
        <v>554</v>
      </c>
      <c r="BC83" s="3">
        <v>0</v>
      </c>
      <c r="BD83" s="3">
        <v>0.99</v>
      </c>
      <c r="BE83" s="3" t="s">
        <v>1094</v>
      </c>
      <c r="BF83" s="3">
        <v>90</v>
      </c>
      <c r="BG83" s="3" t="s">
        <v>1095</v>
      </c>
      <c r="BH83" s="3" t="s">
        <v>646</v>
      </c>
      <c r="BI83" s="3"/>
      <c r="BJ83" s="3" t="s">
        <v>601</v>
      </c>
      <c r="BK83" s="3" t="s">
        <v>558</v>
      </c>
      <c r="BL83" s="3" t="s">
        <v>602</v>
      </c>
      <c r="BM83" s="3" t="s">
        <v>105</v>
      </c>
      <c r="BN83" s="3">
        <v>8453362</v>
      </c>
      <c r="BO83" s="3" t="s">
        <v>802</v>
      </c>
      <c r="BP83" s="3" t="s">
        <v>223</v>
      </c>
      <c r="BQ83" s="3" t="s">
        <v>223</v>
      </c>
      <c r="BR83" s="3" t="s">
        <v>1096</v>
      </c>
    </row>
    <row r="84" spans="1:70" x14ac:dyDescent="0.25">
      <c r="A84" s="3" t="s">
        <v>577</v>
      </c>
      <c r="B84" s="3" t="s">
        <v>578</v>
      </c>
      <c r="C84" s="3" t="s">
        <v>1097</v>
      </c>
      <c r="D84" s="3">
        <v>430</v>
      </c>
      <c r="E84" s="4">
        <v>46196</v>
      </c>
      <c r="F84" s="3">
        <v>6</v>
      </c>
      <c r="G84" s="4">
        <v>46189</v>
      </c>
      <c r="H84" s="4">
        <v>46196</v>
      </c>
      <c r="I84" s="3">
        <v>5</v>
      </c>
      <c r="J84" s="3" t="s">
        <v>543</v>
      </c>
      <c r="K84" s="4">
        <v>46197</v>
      </c>
      <c r="L84" s="3">
        <v>6</v>
      </c>
      <c r="M84" s="3" t="s">
        <v>544</v>
      </c>
      <c r="N84" s="3">
        <v>1</v>
      </c>
      <c r="O84" s="3" t="s">
        <v>546</v>
      </c>
      <c r="P84" s="3">
        <v>1</v>
      </c>
      <c r="Q84" s="3">
        <v>1</v>
      </c>
      <c r="R84" s="3" t="s">
        <v>546</v>
      </c>
      <c r="S84" s="4">
        <v>46198</v>
      </c>
      <c r="T84" s="3">
        <v>7</v>
      </c>
      <c r="U84" s="3" t="s">
        <v>544</v>
      </c>
      <c r="V84" s="3">
        <v>18</v>
      </c>
      <c r="W84" s="3" t="s">
        <v>547</v>
      </c>
      <c r="X84" s="4">
        <v>46213</v>
      </c>
      <c r="Y84" s="3">
        <v>11</v>
      </c>
      <c r="Z84" s="3">
        <v>11</v>
      </c>
      <c r="AA84" s="4" t="s">
        <v>559</v>
      </c>
      <c r="AB84" s="4">
        <v>46213</v>
      </c>
      <c r="AC84" s="4">
        <v>46213</v>
      </c>
      <c r="AD84" s="5">
        <v>0</v>
      </c>
      <c r="AE84" s="4">
        <v>46213</v>
      </c>
      <c r="AF84" s="4">
        <v>1</v>
      </c>
      <c r="AG84" s="4" t="s">
        <v>548</v>
      </c>
      <c r="AH84" s="3" t="s">
        <v>93</v>
      </c>
      <c r="AI84" s="3" t="s">
        <v>112</v>
      </c>
      <c r="AJ84" s="3" t="s">
        <v>1098</v>
      </c>
      <c r="AK84" s="3" t="s">
        <v>223</v>
      </c>
      <c r="AL84" s="3">
        <v>6000858</v>
      </c>
      <c r="AM84" s="3" t="s">
        <v>92</v>
      </c>
      <c r="AN84" s="3" t="s">
        <v>150</v>
      </c>
      <c r="AO84" s="3" t="s">
        <v>549</v>
      </c>
      <c r="AP84" s="3"/>
      <c r="AQ84" s="3" t="s">
        <v>550</v>
      </c>
      <c r="AR84" s="3" t="s">
        <v>90</v>
      </c>
      <c r="AS84" s="3"/>
      <c r="AT84" s="3" t="s">
        <v>107</v>
      </c>
      <c r="AU84" s="3"/>
      <c r="AV84" s="3" t="s">
        <v>107</v>
      </c>
      <c r="AW84" s="3" t="s">
        <v>576</v>
      </c>
      <c r="AX84" s="3" t="s">
        <v>552</v>
      </c>
      <c r="AY84" s="3" t="s">
        <v>607</v>
      </c>
      <c r="AZ84" s="3" t="s">
        <v>1099</v>
      </c>
      <c r="BA84" s="3"/>
      <c r="BB84" s="3" t="s">
        <v>554</v>
      </c>
      <c r="BC84" s="3">
        <v>0</v>
      </c>
      <c r="BD84" s="3">
        <v>0.99</v>
      </c>
      <c r="BE84" s="3" t="s">
        <v>1100</v>
      </c>
      <c r="BF84" s="3">
        <v>90</v>
      </c>
      <c r="BG84" s="3" t="s">
        <v>1101</v>
      </c>
      <c r="BH84" s="3" t="s">
        <v>1102</v>
      </c>
      <c r="BI84" s="3"/>
      <c r="BJ84" s="3" t="s">
        <v>558</v>
      </c>
      <c r="BK84" s="3" t="s">
        <v>558</v>
      </c>
      <c r="BL84" s="3" t="s">
        <v>105</v>
      </c>
      <c r="BM84" s="3" t="s">
        <v>105</v>
      </c>
      <c r="BN84" s="3">
        <v>21285067</v>
      </c>
      <c r="BO84" s="3" t="s">
        <v>802</v>
      </c>
      <c r="BP84" s="3" t="s">
        <v>223</v>
      </c>
      <c r="BQ84" s="3" t="s">
        <v>223</v>
      </c>
      <c r="BR84" s="3" t="s">
        <v>1103</v>
      </c>
    </row>
    <row r="85" spans="1:70" x14ac:dyDescent="0.25">
      <c r="A85" s="3" t="s">
        <v>577</v>
      </c>
      <c r="B85" s="3" t="s">
        <v>578</v>
      </c>
      <c r="C85" s="3" t="s">
        <v>1104</v>
      </c>
      <c r="D85" s="3">
        <v>430</v>
      </c>
      <c r="E85" s="4">
        <v>46176</v>
      </c>
      <c r="F85" s="3">
        <v>6</v>
      </c>
      <c r="G85" s="4">
        <v>46171</v>
      </c>
      <c r="H85" s="4">
        <v>46176</v>
      </c>
      <c r="I85" s="3">
        <v>3</v>
      </c>
      <c r="J85" s="3" t="s">
        <v>579</v>
      </c>
      <c r="K85" s="4">
        <v>46177</v>
      </c>
      <c r="L85" s="3">
        <v>4</v>
      </c>
      <c r="M85" s="3" t="s">
        <v>543</v>
      </c>
      <c r="N85" s="3">
        <v>1</v>
      </c>
      <c r="O85" s="3" t="s">
        <v>546</v>
      </c>
      <c r="P85" s="3">
        <v>1</v>
      </c>
      <c r="Q85" s="3">
        <v>1</v>
      </c>
      <c r="R85" s="3" t="s">
        <v>546</v>
      </c>
      <c r="S85" s="4">
        <v>46178</v>
      </c>
      <c r="T85" s="3">
        <v>5</v>
      </c>
      <c r="U85" s="3" t="s">
        <v>543</v>
      </c>
      <c r="V85" s="3">
        <v>14</v>
      </c>
      <c r="W85" s="3" t="s">
        <v>559</v>
      </c>
      <c r="X85" s="4">
        <v>46191</v>
      </c>
      <c r="Y85" s="3">
        <v>9</v>
      </c>
      <c r="Z85" s="3">
        <v>9</v>
      </c>
      <c r="AA85" s="4" t="s">
        <v>559</v>
      </c>
      <c r="AB85" s="4">
        <v>46191</v>
      </c>
      <c r="AC85" s="4">
        <v>46191</v>
      </c>
      <c r="AD85" s="5">
        <v>0</v>
      </c>
      <c r="AE85" s="4">
        <v>46191</v>
      </c>
      <c r="AF85" s="4">
        <v>1</v>
      </c>
      <c r="AG85" s="4" t="s">
        <v>548</v>
      </c>
      <c r="AH85" s="3" t="s">
        <v>93</v>
      </c>
      <c r="AI85" s="3" t="s">
        <v>112</v>
      </c>
      <c r="AJ85" s="3">
        <v>270218505</v>
      </c>
      <c r="AK85" s="3" t="s">
        <v>223</v>
      </c>
      <c r="AL85" s="3">
        <v>6000859</v>
      </c>
      <c r="AM85" s="3" t="s">
        <v>92</v>
      </c>
      <c r="AN85" s="3" t="s">
        <v>1105</v>
      </c>
      <c r="AO85" s="3" t="s">
        <v>549</v>
      </c>
      <c r="AP85" s="3"/>
      <c r="AQ85" s="3" t="s">
        <v>550</v>
      </c>
      <c r="AR85" s="3" t="s">
        <v>90</v>
      </c>
      <c r="AS85" s="3"/>
      <c r="AT85" s="3" t="s">
        <v>117</v>
      </c>
      <c r="AU85" s="3"/>
      <c r="AV85" s="3" t="s">
        <v>117</v>
      </c>
      <c r="AW85" s="3" t="s">
        <v>576</v>
      </c>
      <c r="AX85" s="3" t="s">
        <v>552</v>
      </c>
      <c r="AY85" s="3" t="s">
        <v>607</v>
      </c>
      <c r="AZ85" s="3" t="s">
        <v>1106</v>
      </c>
      <c r="BA85" s="3"/>
      <c r="BB85" s="3" t="s">
        <v>554</v>
      </c>
      <c r="BC85" s="3">
        <v>0</v>
      </c>
      <c r="BD85" s="3">
        <v>99</v>
      </c>
      <c r="BE85" s="3" t="s">
        <v>1107</v>
      </c>
      <c r="BF85" s="3">
        <v>90</v>
      </c>
      <c r="BG85" s="3" t="s">
        <v>1108</v>
      </c>
      <c r="BH85" s="3" t="s">
        <v>563</v>
      </c>
      <c r="BI85" s="3"/>
      <c r="BJ85" s="3" t="s">
        <v>619</v>
      </c>
      <c r="BK85" s="3" t="s">
        <v>558</v>
      </c>
      <c r="BL85" s="3" t="s">
        <v>189</v>
      </c>
      <c r="BM85" s="3" t="s">
        <v>105</v>
      </c>
      <c r="BN85" s="3">
        <v>1177556</v>
      </c>
      <c r="BO85" s="3" t="s">
        <v>1109</v>
      </c>
      <c r="BP85" s="3" t="s">
        <v>223</v>
      </c>
      <c r="BQ85" s="3" t="s">
        <v>1110</v>
      </c>
      <c r="BR85" s="3" t="s">
        <v>1111</v>
      </c>
    </row>
    <row r="86" spans="1:70" x14ac:dyDescent="0.25">
      <c r="A86" s="3" t="s">
        <v>577</v>
      </c>
      <c r="B86" s="3" t="s">
        <v>578</v>
      </c>
      <c r="C86" s="3" t="s">
        <v>1112</v>
      </c>
      <c r="D86" s="3">
        <v>430</v>
      </c>
      <c r="E86" s="4">
        <v>46185</v>
      </c>
      <c r="F86" s="3">
        <v>6</v>
      </c>
      <c r="G86" s="4">
        <v>46182</v>
      </c>
      <c r="H86" s="4">
        <v>46185</v>
      </c>
      <c r="I86" s="3">
        <v>3</v>
      </c>
      <c r="J86" s="3" t="s">
        <v>579</v>
      </c>
      <c r="K86" s="4">
        <v>46186</v>
      </c>
      <c r="L86" s="3">
        <v>3</v>
      </c>
      <c r="M86" s="3" t="s">
        <v>579</v>
      </c>
      <c r="N86" s="3">
        <v>1</v>
      </c>
      <c r="O86" s="3" t="s">
        <v>546</v>
      </c>
      <c r="P86" s="3">
        <v>1</v>
      </c>
      <c r="Q86" s="3">
        <v>2</v>
      </c>
      <c r="R86" s="3" t="s">
        <v>579</v>
      </c>
      <c r="S86" s="4">
        <v>46188</v>
      </c>
      <c r="T86" s="3">
        <v>4</v>
      </c>
      <c r="U86" s="3" t="s">
        <v>543</v>
      </c>
      <c r="V86" s="3">
        <v>16</v>
      </c>
      <c r="W86" s="3" t="s">
        <v>547</v>
      </c>
      <c r="X86" s="4">
        <v>46204</v>
      </c>
      <c r="Y86" s="3">
        <v>12</v>
      </c>
      <c r="Z86" s="3">
        <v>12</v>
      </c>
      <c r="AA86" s="4" t="s">
        <v>547</v>
      </c>
      <c r="AB86" s="4">
        <v>46204</v>
      </c>
      <c r="AC86" s="4">
        <v>46204</v>
      </c>
      <c r="AD86" s="5">
        <v>0</v>
      </c>
      <c r="AE86" s="4">
        <v>46204</v>
      </c>
      <c r="AF86" s="4">
        <v>1</v>
      </c>
      <c r="AG86" s="4" t="s">
        <v>548</v>
      </c>
      <c r="AH86" s="3" t="s">
        <v>93</v>
      </c>
      <c r="AI86" s="3" t="s">
        <v>112</v>
      </c>
      <c r="AJ86" s="3" t="s">
        <v>1113</v>
      </c>
      <c r="AK86" s="3" t="s">
        <v>223</v>
      </c>
      <c r="AL86" s="3">
        <v>6000860</v>
      </c>
      <c r="AM86" s="3" t="s">
        <v>92</v>
      </c>
      <c r="AN86" s="3" t="s">
        <v>256</v>
      </c>
      <c r="AO86" s="3" t="s">
        <v>549</v>
      </c>
      <c r="AP86" s="3"/>
      <c r="AQ86" s="3" t="s">
        <v>550</v>
      </c>
      <c r="AR86" s="3" t="s">
        <v>90</v>
      </c>
      <c r="AS86" s="3"/>
      <c r="AT86" s="3" t="s">
        <v>117</v>
      </c>
      <c r="AU86" s="3"/>
      <c r="AV86" s="3" t="s">
        <v>117</v>
      </c>
      <c r="AW86" s="3" t="s">
        <v>576</v>
      </c>
      <c r="AX86" s="3" t="s">
        <v>552</v>
      </c>
      <c r="AY86" s="3" t="s">
        <v>607</v>
      </c>
      <c r="AZ86" s="3" t="s">
        <v>1114</v>
      </c>
      <c r="BA86" s="3"/>
      <c r="BB86" s="3" t="s">
        <v>554</v>
      </c>
      <c r="BC86" s="3">
        <v>0</v>
      </c>
      <c r="BD86" s="3">
        <v>99</v>
      </c>
      <c r="BE86" s="3" t="s">
        <v>1115</v>
      </c>
      <c r="BF86" s="3">
        <v>90</v>
      </c>
      <c r="BG86" s="3" t="s">
        <v>1116</v>
      </c>
      <c r="BH86" s="3" t="s">
        <v>563</v>
      </c>
      <c r="BI86" s="3"/>
      <c r="BJ86" s="3" t="s">
        <v>613</v>
      </c>
      <c r="BK86" s="3" t="s">
        <v>558</v>
      </c>
      <c r="BL86" s="3" t="s">
        <v>133</v>
      </c>
      <c r="BM86" s="3" t="s">
        <v>105</v>
      </c>
      <c r="BN86" s="3">
        <v>3779623</v>
      </c>
      <c r="BO86" s="3" t="s">
        <v>1117</v>
      </c>
      <c r="BP86" s="3" t="s">
        <v>223</v>
      </c>
      <c r="BQ86" s="3" t="s">
        <v>1118</v>
      </c>
      <c r="BR86" s="3" t="s">
        <v>1119</v>
      </c>
    </row>
    <row r="87" spans="1:70" x14ac:dyDescent="0.25">
      <c r="A87" s="3" t="s">
        <v>577</v>
      </c>
      <c r="B87" s="3" t="s">
        <v>578</v>
      </c>
      <c r="C87" s="3" t="s">
        <v>1131</v>
      </c>
      <c r="D87" s="3">
        <v>430</v>
      </c>
      <c r="E87" s="4">
        <v>46179</v>
      </c>
      <c r="F87" s="3">
        <v>6</v>
      </c>
      <c r="G87" s="4">
        <v>46174</v>
      </c>
      <c r="H87" s="4">
        <v>46179</v>
      </c>
      <c r="I87" s="3">
        <v>4</v>
      </c>
      <c r="J87" s="3" t="s">
        <v>543</v>
      </c>
      <c r="K87" s="4">
        <v>46181</v>
      </c>
      <c r="L87" s="3">
        <v>5</v>
      </c>
      <c r="M87" s="3" t="s">
        <v>543</v>
      </c>
      <c r="N87" s="3">
        <v>0</v>
      </c>
      <c r="O87" s="3" t="s">
        <v>546</v>
      </c>
      <c r="P87" s="3">
        <v>0</v>
      </c>
      <c r="Q87" s="3">
        <v>1</v>
      </c>
      <c r="R87" s="3" t="s">
        <v>546</v>
      </c>
      <c r="S87" s="4">
        <v>46182</v>
      </c>
      <c r="T87" s="3">
        <v>6</v>
      </c>
      <c r="U87" s="3" t="s">
        <v>544</v>
      </c>
      <c r="V87" s="3">
        <v>21</v>
      </c>
      <c r="W87" s="3" t="s">
        <v>547</v>
      </c>
      <c r="X87" s="4">
        <v>46203</v>
      </c>
      <c r="Y87" s="3">
        <v>14</v>
      </c>
      <c r="Z87" s="3">
        <v>15</v>
      </c>
      <c r="AA87" s="4" t="s">
        <v>547</v>
      </c>
      <c r="AB87" s="4">
        <v>46202</v>
      </c>
      <c r="AC87" s="4">
        <v>46203</v>
      </c>
      <c r="AD87" s="5">
        <v>1</v>
      </c>
      <c r="AE87" s="4">
        <v>46203</v>
      </c>
      <c r="AF87" s="4">
        <v>1</v>
      </c>
      <c r="AG87" s="4" t="s">
        <v>548</v>
      </c>
      <c r="AH87" s="3" t="s">
        <v>93</v>
      </c>
      <c r="AI87" s="3" t="s">
        <v>112</v>
      </c>
      <c r="AJ87" s="3" t="s">
        <v>1132</v>
      </c>
      <c r="AK87" s="3" t="s">
        <v>223</v>
      </c>
      <c r="AL87" s="3">
        <v>6000862</v>
      </c>
      <c r="AM87" s="3" t="s">
        <v>92</v>
      </c>
      <c r="AN87" s="3" t="s">
        <v>392</v>
      </c>
      <c r="AO87" s="3" t="s">
        <v>549</v>
      </c>
      <c r="AP87" s="3"/>
      <c r="AQ87" s="3" t="s">
        <v>550</v>
      </c>
      <c r="AR87" s="3" t="s">
        <v>90</v>
      </c>
      <c r="AS87" s="3"/>
      <c r="AT87" s="3" t="s">
        <v>117</v>
      </c>
      <c r="AU87" s="3"/>
      <c r="AV87" s="3" t="s">
        <v>117</v>
      </c>
      <c r="AW87" s="3" t="s">
        <v>576</v>
      </c>
      <c r="AX87" s="3" t="s">
        <v>552</v>
      </c>
      <c r="AY87" s="3" t="s">
        <v>580</v>
      </c>
      <c r="AZ87" s="3"/>
      <c r="BA87" s="3" t="s">
        <v>603</v>
      </c>
      <c r="BB87" s="3" t="s">
        <v>554</v>
      </c>
      <c r="BC87" s="3">
        <v>0</v>
      </c>
      <c r="BD87" s="3">
        <v>0</v>
      </c>
      <c r="BE87" s="3" t="s">
        <v>1133</v>
      </c>
      <c r="BF87" s="3">
        <v>90</v>
      </c>
      <c r="BG87" s="3" t="s">
        <v>932</v>
      </c>
      <c r="BH87" s="3" t="s">
        <v>563</v>
      </c>
      <c r="BI87" s="3"/>
      <c r="BJ87" s="3" t="s">
        <v>685</v>
      </c>
      <c r="BK87" s="3" t="s">
        <v>685</v>
      </c>
      <c r="BL87" s="3" t="s">
        <v>396</v>
      </c>
      <c r="BM87" s="3" t="s">
        <v>396</v>
      </c>
      <c r="BN87" s="3">
        <v>23570825</v>
      </c>
      <c r="BO87" s="3" t="s">
        <v>223</v>
      </c>
      <c r="BP87" s="3" t="s">
        <v>223</v>
      </c>
      <c r="BQ87" s="3" t="s">
        <v>223</v>
      </c>
      <c r="BR87" s="3" t="s">
        <v>1134</v>
      </c>
    </row>
    <row r="88" spans="1:70" x14ac:dyDescent="0.25">
      <c r="A88" s="3" t="s">
        <v>577</v>
      </c>
      <c r="B88" s="3" t="s">
        <v>578</v>
      </c>
      <c r="C88" s="3" t="s">
        <v>1135</v>
      </c>
      <c r="D88" s="3">
        <v>430</v>
      </c>
      <c r="E88" s="4">
        <v>46185</v>
      </c>
      <c r="F88" s="3">
        <v>6</v>
      </c>
      <c r="G88" s="4">
        <v>46182</v>
      </c>
      <c r="H88" s="4">
        <v>46185</v>
      </c>
      <c r="I88" s="3">
        <v>3</v>
      </c>
      <c r="J88" s="3" t="s">
        <v>579</v>
      </c>
      <c r="K88" s="4">
        <v>46186</v>
      </c>
      <c r="L88" s="3">
        <v>3</v>
      </c>
      <c r="M88" s="3" t="s">
        <v>579</v>
      </c>
      <c r="N88" s="3">
        <v>1</v>
      </c>
      <c r="O88" s="3" t="s">
        <v>546</v>
      </c>
      <c r="P88" s="3">
        <v>1</v>
      </c>
      <c r="Q88" s="3">
        <v>2</v>
      </c>
      <c r="R88" s="3" t="s">
        <v>579</v>
      </c>
      <c r="S88" s="4">
        <v>46188</v>
      </c>
      <c r="T88" s="3">
        <v>4</v>
      </c>
      <c r="U88" s="3" t="s">
        <v>543</v>
      </c>
      <c r="V88" s="3">
        <v>25</v>
      </c>
      <c r="W88" s="3" t="s">
        <v>547</v>
      </c>
      <c r="X88" s="4">
        <v>46217</v>
      </c>
      <c r="Y88" s="3">
        <v>21</v>
      </c>
      <c r="Z88" s="3">
        <v>21</v>
      </c>
      <c r="AA88" s="4" t="s">
        <v>547</v>
      </c>
      <c r="AB88" s="4">
        <v>46217</v>
      </c>
      <c r="AC88" s="4">
        <v>46217</v>
      </c>
      <c r="AD88" s="5">
        <v>0</v>
      </c>
      <c r="AE88" s="4">
        <v>46217</v>
      </c>
      <c r="AF88" s="4">
        <v>1</v>
      </c>
      <c r="AG88" s="4" t="s">
        <v>548</v>
      </c>
      <c r="AH88" s="3" t="s">
        <v>93</v>
      </c>
      <c r="AI88" s="3" t="s">
        <v>112</v>
      </c>
      <c r="AJ88" s="3" t="s">
        <v>1136</v>
      </c>
      <c r="AK88" s="3" t="s">
        <v>223</v>
      </c>
      <c r="AL88" s="3">
        <v>6000863</v>
      </c>
      <c r="AM88" s="3" t="s">
        <v>92</v>
      </c>
      <c r="AN88" s="3" t="s">
        <v>324</v>
      </c>
      <c r="AO88" s="3" t="s">
        <v>549</v>
      </c>
      <c r="AP88" s="3"/>
      <c r="AQ88" s="3" t="s">
        <v>550</v>
      </c>
      <c r="AR88" s="3" t="s">
        <v>90</v>
      </c>
      <c r="AS88" s="3"/>
      <c r="AT88" s="3" t="s">
        <v>117</v>
      </c>
      <c r="AU88" s="3"/>
      <c r="AV88" s="3" t="s">
        <v>117</v>
      </c>
      <c r="AW88" s="3" t="s">
        <v>576</v>
      </c>
      <c r="AX88" s="3" t="s">
        <v>552</v>
      </c>
      <c r="AY88" s="3" t="s">
        <v>580</v>
      </c>
      <c r="AZ88" s="3"/>
      <c r="BA88" s="3" t="s">
        <v>603</v>
      </c>
      <c r="BB88" s="3" t="s">
        <v>554</v>
      </c>
      <c r="BC88" s="3">
        <v>0</v>
      </c>
      <c r="BD88" s="3">
        <v>99</v>
      </c>
      <c r="BE88" s="3" t="s">
        <v>1137</v>
      </c>
      <c r="BF88" s="3">
        <v>90</v>
      </c>
      <c r="BG88" s="3" t="s">
        <v>1138</v>
      </c>
      <c r="BH88" s="3" t="s">
        <v>611</v>
      </c>
      <c r="BI88" s="3"/>
      <c r="BJ88" s="3" t="s">
        <v>613</v>
      </c>
      <c r="BK88" s="3" t="s">
        <v>558</v>
      </c>
      <c r="BL88" s="3" t="s">
        <v>133</v>
      </c>
      <c r="BM88" s="3" t="s">
        <v>105</v>
      </c>
      <c r="BN88" s="3">
        <v>12529420</v>
      </c>
      <c r="BO88" s="3" t="s">
        <v>1139</v>
      </c>
      <c r="BP88" s="3" t="s">
        <v>223</v>
      </c>
      <c r="BQ88" s="3" t="s">
        <v>1140</v>
      </c>
      <c r="BR88" s="3" t="s">
        <v>1141</v>
      </c>
    </row>
    <row r="89" spans="1:70" x14ac:dyDescent="0.25">
      <c r="A89" s="3" t="s">
        <v>577</v>
      </c>
      <c r="B89" s="3" t="s">
        <v>578</v>
      </c>
      <c r="C89" s="3" t="s">
        <v>1142</v>
      </c>
      <c r="D89" s="3">
        <v>430</v>
      </c>
      <c r="E89" s="4">
        <v>46185</v>
      </c>
      <c r="F89" s="3">
        <v>6</v>
      </c>
      <c r="G89" s="4">
        <v>46182</v>
      </c>
      <c r="H89" s="4">
        <v>46185</v>
      </c>
      <c r="I89" s="3">
        <v>3</v>
      </c>
      <c r="J89" s="3" t="s">
        <v>579</v>
      </c>
      <c r="K89" s="4">
        <v>46186</v>
      </c>
      <c r="L89" s="3">
        <v>3</v>
      </c>
      <c r="M89" s="3" t="s">
        <v>579</v>
      </c>
      <c r="N89" s="3">
        <v>1</v>
      </c>
      <c r="O89" s="3" t="s">
        <v>546</v>
      </c>
      <c r="P89" s="3">
        <v>1</v>
      </c>
      <c r="Q89" s="3">
        <v>2</v>
      </c>
      <c r="R89" s="3" t="s">
        <v>579</v>
      </c>
      <c r="S89" s="4">
        <v>46188</v>
      </c>
      <c r="T89" s="3">
        <v>4</v>
      </c>
      <c r="U89" s="3" t="s">
        <v>543</v>
      </c>
      <c r="V89" s="3">
        <v>25</v>
      </c>
      <c r="W89" s="3" t="s">
        <v>547</v>
      </c>
      <c r="X89" s="4">
        <v>46217</v>
      </c>
      <c r="Y89" s="3">
        <v>21</v>
      </c>
      <c r="Z89" s="3">
        <v>21</v>
      </c>
      <c r="AA89" s="4" t="s">
        <v>547</v>
      </c>
      <c r="AB89" s="4">
        <v>46217</v>
      </c>
      <c r="AC89" s="4">
        <v>46217</v>
      </c>
      <c r="AD89" s="5">
        <v>0</v>
      </c>
      <c r="AE89" s="4">
        <v>46217</v>
      </c>
      <c r="AF89" s="4">
        <v>1</v>
      </c>
      <c r="AG89" s="4" t="s">
        <v>548</v>
      </c>
      <c r="AH89" s="3" t="s">
        <v>93</v>
      </c>
      <c r="AI89" s="3" t="s">
        <v>112</v>
      </c>
      <c r="AJ89" s="3" t="s">
        <v>1143</v>
      </c>
      <c r="AK89" s="3" t="s">
        <v>223</v>
      </c>
      <c r="AL89" s="3">
        <v>6000864</v>
      </c>
      <c r="AM89" s="3" t="s">
        <v>92</v>
      </c>
      <c r="AN89" s="3" t="s">
        <v>327</v>
      </c>
      <c r="AO89" s="3" t="s">
        <v>549</v>
      </c>
      <c r="AP89" s="3"/>
      <c r="AQ89" s="3" t="s">
        <v>550</v>
      </c>
      <c r="AR89" s="3" t="s">
        <v>90</v>
      </c>
      <c r="AS89" s="3"/>
      <c r="AT89" s="3"/>
      <c r="AU89" s="3"/>
      <c r="AV89" s="3"/>
      <c r="AW89" s="3" t="s">
        <v>576</v>
      </c>
      <c r="AX89" s="3" t="s">
        <v>552</v>
      </c>
      <c r="AY89" s="3" t="s">
        <v>580</v>
      </c>
      <c r="AZ89" s="3"/>
      <c r="BA89" s="3" t="s">
        <v>603</v>
      </c>
      <c r="BB89" s="3" t="s">
        <v>554</v>
      </c>
      <c r="BC89" s="3">
        <v>0</v>
      </c>
      <c r="BD89" s="3">
        <v>99</v>
      </c>
      <c r="BE89" s="3" t="s">
        <v>1144</v>
      </c>
      <c r="BF89" s="3">
        <v>90</v>
      </c>
      <c r="BG89" s="3" t="s">
        <v>1145</v>
      </c>
      <c r="BH89" s="3" t="s">
        <v>611</v>
      </c>
      <c r="BI89" s="3"/>
      <c r="BJ89" s="3" t="s">
        <v>613</v>
      </c>
      <c r="BK89" s="3" t="s">
        <v>558</v>
      </c>
      <c r="BL89" s="3" t="s">
        <v>133</v>
      </c>
      <c r="BM89" s="3" t="s">
        <v>105</v>
      </c>
      <c r="BN89" s="3">
        <v>8971854</v>
      </c>
      <c r="BO89" s="3" t="s">
        <v>1146</v>
      </c>
      <c r="BP89" s="3" t="s">
        <v>223</v>
      </c>
      <c r="BQ89" s="3" t="s">
        <v>1147</v>
      </c>
      <c r="BR89" s="3" t="s">
        <v>1148</v>
      </c>
    </row>
    <row r="90" spans="1:70" x14ac:dyDescent="0.25">
      <c r="A90" s="3" t="s">
        <v>577</v>
      </c>
      <c r="B90" s="3" t="s">
        <v>578</v>
      </c>
      <c r="C90" s="3" t="s">
        <v>1156</v>
      </c>
      <c r="D90" s="3">
        <v>430</v>
      </c>
      <c r="E90" s="4">
        <v>46193</v>
      </c>
      <c r="F90" s="3">
        <v>6</v>
      </c>
      <c r="G90" s="4">
        <v>46179</v>
      </c>
      <c r="H90" s="4">
        <v>46193</v>
      </c>
      <c r="I90" s="3">
        <v>9</v>
      </c>
      <c r="J90" s="3" t="s">
        <v>544</v>
      </c>
      <c r="K90" s="4">
        <v>46196</v>
      </c>
      <c r="L90" s="3">
        <v>11</v>
      </c>
      <c r="M90" s="3" t="s">
        <v>559</v>
      </c>
      <c r="N90" s="3">
        <v>1</v>
      </c>
      <c r="O90" s="3" t="s">
        <v>546</v>
      </c>
      <c r="P90" s="3">
        <v>1</v>
      </c>
      <c r="Q90" s="3">
        <v>-46194</v>
      </c>
      <c r="R90" s="3" t="s">
        <v>545</v>
      </c>
      <c r="S90" s="4"/>
      <c r="T90" s="3">
        <v>0</v>
      </c>
      <c r="U90" s="3" t="s">
        <v>569</v>
      </c>
      <c r="V90" s="3">
        <v>25</v>
      </c>
      <c r="W90" s="3" t="s">
        <v>547</v>
      </c>
      <c r="X90" s="4">
        <v>46216</v>
      </c>
      <c r="Y90" s="3" t="s">
        <v>223</v>
      </c>
      <c r="Z90" s="3">
        <v>33010</v>
      </c>
      <c r="AA90" s="4" t="s">
        <v>545</v>
      </c>
      <c r="AB90" s="4"/>
      <c r="AC90" s="4">
        <v>46216</v>
      </c>
      <c r="AD90" s="5" t="s">
        <v>223</v>
      </c>
      <c r="AE90" s="4">
        <v>46216</v>
      </c>
      <c r="AF90" s="4">
        <v>0</v>
      </c>
      <c r="AG90" s="4" t="s">
        <v>548</v>
      </c>
      <c r="AH90" s="3" t="s">
        <v>93</v>
      </c>
      <c r="AI90" s="3" t="s">
        <v>112</v>
      </c>
      <c r="AJ90" s="3" t="s">
        <v>1150</v>
      </c>
      <c r="AK90" s="3" t="s">
        <v>223</v>
      </c>
      <c r="AL90" s="3">
        <v>6000969</v>
      </c>
      <c r="AM90" s="3" t="s">
        <v>92</v>
      </c>
      <c r="AN90" s="3" t="s">
        <v>1157</v>
      </c>
      <c r="AO90" s="3" t="s">
        <v>549</v>
      </c>
      <c r="AP90" s="3"/>
      <c r="AQ90" s="3" t="s">
        <v>550</v>
      </c>
      <c r="AR90" s="3" t="s">
        <v>90</v>
      </c>
      <c r="AS90" s="3"/>
      <c r="AT90" s="3"/>
      <c r="AU90" s="3"/>
      <c r="AV90" s="3"/>
      <c r="AW90" s="3"/>
      <c r="AX90" s="3" t="s">
        <v>552</v>
      </c>
      <c r="AY90" s="3" t="s">
        <v>223</v>
      </c>
      <c r="AZ90" s="3"/>
      <c r="BA90" s="3"/>
      <c r="BB90" s="3" t="s">
        <v>554</v>
      </c>
      <c r="BC90" s="3">
        <v>0</v>
      </c>
      <c r="BD90" s="3" t="s">
        <v>615</v>
      </c>
      <c r="BE90" s="3" t="s">
        <v>1158</v>
      </c>
      <c r="BF90" s="3">
        <v>90</v>
      </c>
      <c r="BG90" s="3" t="s">
        <v>1159</v>
      </c>
      <c r="BH90" s="3" t="s">
        <v>1160</v>
      </c>
      <c r="BI90" s="3"/>
      <c r="BJ90" s="3" t="s">
        <v>557</v>
      </c>
      <c r="BK90" s="3" t="s">
        <v>558</v>
      </c>
      <c r="BL90" s="3" t="s">
        <v>197</v>
      </c>
      <c r="BM90" s="3" t="s">
        <v>105</v>
      </c>
      <c r="BN90" s="3">
        <v>1417149</v>
      </c>
      <c r="BO90" s="3" t="s">
        <v>1161</v>
      </c>
      <c r="BP90" s="3" t="s">
        <v>1162</v>
      </c>
      <c r="BQ90" s="3" t="s">
        <v>1163</v>
      </c>
      <c r="BR90" s="3" t="s">
        <v>1164</v>
      </c>
    </row>
    <row r="91" spans="1:70" x14ac:dyDescent="0.25">
      <c r="A91" s="3" t="s">
        <v>577</v>
      </c>
      <c r="B91" s="3" t="s">
        <v>578</v>
      </c>
      <c r="C91" s="3" t="s">
        <v>1165</v>
      </c>
      <c r="D91" s="3">
        <v>430</v>
      </c>
      <c r="E91" s="4">
        <v>46196</v>
      </c>
      <c r="F91" s="3">
        <v>6</v>
      </c>
      <c r="G91" s="4">
        <v>46179</v>
      </c>
      <c r="H91" s="4">
        <v>46196</v>
      </c>
      <c r="I91" s="3">
        <v>11</v>
      </c>
      <c r="J91" s="3" t="s">
        <v>559</v>
      </c>
      <c r="K91" s="4">
        <v>46198</v>
      </c>
      <c r="L91" s="3">
        <v>13</v>
      </c>
      <c r="M91" s="3" t="s">
        <v>559</v>
      </c>
      <c r="N91" s="3">
        <v>2</v>
      </c>
      <c r="O91" s="3" t="s">
        <v>579</v>
      </c>
      <c r="P91" s="3">
        <v>2</v>
      </c>
      <c r="Q91" s="3">
        <v>1</v>
      </c>
      <c r="R91" s="3" t="s">
        <v>546</v>
      </c>
      <c r="S91" s="4">
        <v>46199</v>
      </c>
      <c r="T91" s="3">
        <v>14</v>
      </c>
      <c r="U91" s="3" t="s">
        <v>559</v>
      </c>
      <c r="V91" s="3">
        <v>25</v>
      </c>
      <c r="W91" s="3" t="s">
        <v>547</v>
      </c>
      <c r="X91" s="4">
        <v>46216</v>
      </c>
      <c r="Y91" s="3">
        <v>10</v>
      </c>
      <c r="Z91" s="3">
        <v>11</v>
      </c>
      <c r="AA91" s="4" t="s">
        <v>547</v>
      </c>
      <c r="AB91" s="4">
        <v>46213</v>
      </c>
      <c r="AC91" s="4">
        <v>46216</v>
      </c>
      <c r="AD91" s="5">
        <v>1</v>
      </c>
      <c r="AE91" s="4">
        <v>46216</v>
      </c>
      <c r="AF91" s="4">
        <v>1</v>
      </c>
      <c r="AG91" s="4" t="s">
        <v>548</v>
      </c>
      <c r="AH91" s="3" t="s">
        <v>342</v>
      </c>
      <c r="AI91" s="3" t="s">
        <v>112</v>
      </c>
      <c r="AJ91" s="3" t="s">
        <v>1150</v>
      </c>
      <c r="AK91" s="3" t="s">
        <v>223</v>
      </c>
      <c r="AL91" s="3">
        <v>6000977</v>
      </c>
      <c r="AM91" s="3" t="s">
        <v>92</v>
      </c>
      <c r="AN91" s="3" t="s">
        <v>1157</v>
      </c>
      <c r="AO91" s="3" t="s">
        <v>549</v>
      </c>
      <c r="AP91" s="3"/>
      <c r="AQ91" s="3" t="s">
        <v>550</v>
      </c>
      <c r="AR91" s="3" t="s">
        <v>90</v>
      </c>
      <c r="AS91" s="3"/>
      <c r="AT91" s="3" t="s">
        <v>397</v>
      </c>
      <c r="AU91" s="3"/>
      <c r="AV91" s="3"/>
      <c r="AW91" s="3" t="s">
        <v>576</v>
      </c>
      <c r="AX91" s="3" t="s">
        <v>552</v>
      </c>
      <c r="AY91" s="3" t="s">
        <v>607</v>
      </c>
      <c r="AZ91" s="3" t="s">
        <v>1166</v>
      </c>
      <c r="BA91" s="3"/>
      <c r="BB91" s="3" t="s">
        <v>554</v>
      </c>
      <c r="BC91" s="3">
        <v>0</v>
      </c>
      <c r="BD91" s="3" t="s">
        <v>615</v>
      </c>
      <c r="BE91" s="3" t="s">
        <v>1158</v>
      </c>
      <c r="BF91" s="3">
        <v>90</v>
      </c>
      <c r="BG91" s="3" t="s">
        <v>1159</v>
      </c>
      <c r="BH91" s="3" t="s">
        <v>1160</v>
      </c>
      <c r="BI91" s="3"/>
      <c r="BJ91" s="3" t="s">
        <v>557</v>
      </c>
      <c r="BK91" s="3" t="s">
        <v>558</v>
      </c>
      <c r="BL91" s="3" t="s">
        <v>197</v>
      </c>
      <c r="BM91" s="3" t="s">
        <v>105</v>
      </c>
      <c r="BN91" s="3">
        <v>1417149</v>
      </c>
      <c r="BO91" s="3" t="s">
        <v>795</v>
      </c>
      <c r="BP91" s="3" t="s">
        <v>223</v>
      </c>
      <c r="BQ91" s="3" t="s">
        <v>223</v>
      </c>
      <c r="BR91" s="3" t="s">
        <v>1164</v>
      </c>
    </row>
    <row r="92" spans="1:70" x14ac:dyDescent="0.25">
      <c r="A92" s="3" t="s">
        <v>565</v>
      </c>
      <c r="B92" s="3" t="s">
        <v>566</v>
      </c>
      <c r="C92" s="3" t="s">
        <v>843</v>
      </c>
      <c r="D92" s="3">
        <v>240</v>
      </c>
      <c r="E92" s="4" t="s">
        <v>223</v>
      </c>
      <c r="F92" s="3">
        <v>7</v>
      </c>
      <c r="G92" s="4">
        <v>46214</v>
      </c>
      <c r="H92" s="4">
        <v>46214</v>
      </c>
      <c r="I92" s="3">
        <v>-1</v>
      </c>
      <c r="J92" s="3" t="s">
        <v>568</v>
      </c>
      <c r="K92" s="4">
        <v>46216</v>
      </c>
      <c r="L92" s="3">
        <v>0</v>
      </c>
      <c r="M92" s="3" t="s">
        <v>546</v>
      </c>
      <c r="N92" s="3">
        <v>0</v>
      </c>
      <c r="O92" s="3" t="s">
        <v>569</v>
      </c>
      <c r="P92" s="3">
        <v>0</v>
      </c>
      <c r="Q92" s="3">
        <v>-46214</v>
      </c>
      <c r="R92" s="3" t="s">
        <v>545</v>
      </c>
      <c r="S92" s="4"/>
      <c r="T92" s="3">
        <v>0</v>
      </c>
      <c r="U92" s="3" t="s">
        <v>569</v>
      </c>
      <c r="V92" s="3">
        <v>30</v>
      </c>
      <c r="W92" s="3" t="s">
        <v>547</v>
      </c>
      <c r="X92" s="4">
        <v>46258</v>
      </c>
      <c r="Y92" s="3" t="s">
        <v>223</v>
      </c>
      <c r="Z92" s="3">
        <v>0</v>
      </c>
      <c r="AA92" s="4" t="s">
        <v>545</v>
      </c>
      <c r="AB92" s="4">
        <v>46239</v>
      </c>
      <c r="AC92" s="4">
        <v>46239</v>
      </c>
      <c r="AD92" s="5">
        <v>13</v>
      </c>
      <c r="AE92" s="4">
        <v>46258</v>
      </c>
      <c r="AF92" s="4">
        <v>0</v>
      </c>
      <c r="AG92" s="4" t="s">
        <v>548</v>
      </c>
      <c r="AH92" s="3" t="s">
        <v>93</v>
      </c>
      <c r="AI92" s="3" t="s">
        <v>285</v>
      </c>
      <c r="AJ92" s="3" t="s">
        <v>223</v>
      </c>
      <c r="AK92" s="3" t="s">
        <v>223</v>
      </c>
      <c r="AL92" s="3">
        <v>6024571</v>
      </c>
      <c r="AM92" s="3" t="s">
        <v>92</v>
      </c>
      <c r="AN92" s="3" t="s">
        <v>570</v>
      </c>
      <c r="AO92" s="3" t="s">
        <v>549</v>
      </c>
      <c r="AP92" s="3"/>
      <c r="AQ92" s="3" t="s">
        <v>550</v>
      </c>
      <c r="AR92" s="3" t="s">
        <v>90</v>
      </c>
      <c r="AS92" s="3"/>
      <c r="AT92" s="3"/>
      <c r="AU92" s="3"/>
      <c r="AV92" s="3"/>
      <c r="AW92" s="3" t="s">
        <v>397</v>
      </c>
      <c r="AX92" s="3" t="s">
        <v>552</v>
      </c>
      <c r="AY92" s="3" t="s">
        <v>223</v>
      </c>
      <c r="AZ92" s="3"/>
      <c r="BA92" s="3"/>
      <c r="BB92" s="3" t="s">
        <v>554</v>
      </c>
      <c r="BC92" s="3" t="s">
        <v>223</v>
      </c>
      <c r="BD92" s="3" t="s">
        <v>223</v>
      </c>
      <c r="BE92" s="3" t="s">
        <v>223</v>
      </c>
      <c r="BF92" s="3">
        <v>90</v>
      </c>
      <c r="BG92" s="3" t="s">
        <v>223</v>
      </c>
      <c r="BH92" s="3" t="s">
        <v>223</v>
      </c>
      <c r="BI92" s="3"/>
      <c r="BJ92" s="3" t="s">
        <v>223</v>
      </c>
      <c r="BK92" s="3" t="s">
        <v>223</v>
      </c>
      <c r="BL92" s="3" t="s">
        <v>223</v>
      </c>
      <c r="BM92" s="3" t="s">
        <v>223</v>
      </c>
      <c r="BN92" s="3" t="s">
        <v>223</v>
      </c>
      <c r="BO92" s="3" t="s">
        <v>223</v>
      </c>
      <c r="BP92" s="3" t="s">
        <v>223</v>
      </c>
      <c r="BQ92" s="3" t="s">
        <v>223</v>
      </c>
      <c r="BR92" s="3" t="s">
        <v>844</v>
      </c>
    </row>
    <row r="93" spans="1:70" x14ac:dyDescent="0.25">
      <c r="A93" s="3" t="s">
        <v>577</v>
      </c>
      <c r="B93" s="3" t="s">
        <v>578</v>
      </c>
      <c r="C93" s="3" t="s">
        <v>1120</v>
      </c>
      <c r="D93" s="3">
        <v>430</v>
      </c>
      <c r="E93" s="4">
        <v>46212</v>
      </c>
      <c r="F93" s="3">
        <v>7</v>
      </c>
      <c r="G93" s="4">
        <v>46203</v>
      </c>
      <c r="H93" s="4">
        <v>46212</v>
      </c>
      <c r="I93" s="3">
        <v>7</v>
      </c>
      <c r="J93" s="3" t="s">
        <v>544</v>
      </c>
      <c r="K93" s="4">
        <v>46214</v>
      </c>
      <c r="L93" s="3">
        <v>8</v>
      </c>
      <c r="M93" s="3" t="s">
        <v>544</v>
      </c>
      <c r="N93" s="3">
        <v>2</v>
      </c>
      <c r="O93" s="3" t="s">
        <v>579</v>
      </c>
      <c r="P93" s="3">
        <v>2</v>
      </c>
      <c r="Q93" s="3">
        <v>2</v>
      </c>
      <c r="R93" s="3" t="s">
        <v>579</v>
      </c>
      <c r="S93" s="4">
        <v>46216</v>
      </c>
      <c r="T93" s="3">
        <v>9</v>
      </c>
      <c r="U93" s="3" t="s">
        <v>544</v>
      </c>
      <c r="V93" s="3">
        <v>24</v>
      </c>
      <c r="W93" s="3" t="s">
        <v>547</v>
      </c>
      <c r="X93" s="4">
        <v>46237</v>
      </c>
      <c r="Y93" s="3">
        <v>15</v>
      </c>
      <c r="Z93" s="3">
        <v>15</v>
      </c>
      <c r="AA93" s="4" t="s">
        <v>547</v>
      </c>
      <c r="AB93" s="4">
        <v>46237</v>
      </c>
      <c r="AC93" s="4">
        <v>46237</v>
      </c>
      <c r="AD93" s="5">
        <v>0</v>
      </c>
      <c r="AE93" s="4">
        <v>46237</v>
      </c>
      <c r="AF93" s="4">
        <v>1</v>
      </c>
      <c r="AG93" s="4" t="s">
        <v>548</v>
      </c>
      <c r="AH93" s="3" t="s">
        <v>93</v>
      </c>
      <c r="AI93" s="3" t="s">
        <v>112</v>
      </c>
      <c r="AJ93" s="3" t="s">
        <v>1121</v>
      </c>
      <c r="AK93" s="3" t="s">
        <v>223</v>
      </c>
      <c r="AL93" s="3">
        <v>6000861</v>
      </c>
      <c r="AM93" s="3" t="s">
        <v>92</v>
      </c>
      <c r="AN93" s="3" t="s">
        <v>203</v>
      </c>
      <c r="AO93" s="3" t="s">
        <v>549</v>
      </c>
      <c r="AP93" s="3"/>
      <c r="AQ93" s="3" t="s">
        <v>550</v>
      </c>
      <c r="AR93" s="3" t="s">
        <v>90</v>
      </c>
      <c r="AS93" s="3"/>
      <c r="AT93" s="3" t="s">
        <v>107</v>
      </c>
      <c r="AU93" s="3" t="s">
        <v>1122</v>
      </c>
      <c r="AV93" s="3" t="s">
        <v>107</v>
      </c>
      <c r="AW93" s="3" t="s">
        <v>576</v>
      </c>
      <c r="AX93" s="3" t="s">
        <v>552</v>
      </c>
      <c r="AY93" s="3" t="s">
        <v>580</v>
      </c>
      <c r="AZ93" s="3"/>
      <c r="BA93" s="3" t="s">
        <v>597</v>
      </c>
      <c r="BB93" s="3" t="s">
        <v>554</v>
      </c>
      <c r="BC93" s="3">
        <v>0</v>
      </c>
      <c r="BD93" s="3">
        <v>0.99</v>
      </c>
      <c r="BE93" s="3" t="s">
        <v>1123</v>
      </c>
      <c r="BF93" s="3">
        <v>90</v>
      </c>
      <c r="BG93" s="3" t="s">
        <v>1124</v>
      </c>
      <c r="BH93" s="3" t="s">
        <v>1125</v>
      </c>
      <c r="BI93" s="3"/>
      <c r="BJ93" s="3" t="s">
        <v>1126</v>
      </c>
      <c r="BK93" s="3" t="s">
        <v>558</v>
      </c>
      <c r="BL93" s="3" t="s">
        <v>1127</v>
      </c>
      <c r="BM93" s="3" t="s">
        <v>105</v>
      </c>
      <c r="BN93" s="3">
        <v>5242088</v>
      </c>
      <c r="BO93" s="3" t="s">
        <v>802</v>
      </c>
      <c r="BP93" s="3" t="s">
        <v>1128</v>
      </c>
      <c r="BQ93" s="3" t="s">
        <v>1129</v>
      </c>
      <c r="BR93" s="3" t="s">
        <v>1130</v>
      </c>
    </row>
    <row r="94" spans="1:70" x14ac:dyDescent="0.25">
      <c r="A94" s="3" t="s">
        <v>577</v>
      </c>
      <c r="B94" s="3" t="s">
        <v>578</v>
      </c>
      <c r="C94" s="3" t="s">
        <v>1149</v>
      </c>
      <c r="D94" s="3">
        <v>430</v>
      </c>
      <c r="E94" s="4">
        <v>46216</v>
      </c>
      <c r="F94" s="3">
        <v>7</v>
      </c>
      <c r="G94" s="4">
        <v>46179</v>
      </c>
      <c r="H94" s="4">
        <v>46216</v>
      </c>
      <c r="I94" s="3">
        <v>25</v>
      </c>
      <c r="J94" s="3" t="s">
        <v>568</v>
      </c>
      <c r="K94" s="4">
        <v>46218</v>
      </c>
      <c r="L94" s="3">
        <v>27</v>
      </c>
      <c r="M94" s="3" t="s">
        <v>568</v>
      </c>
      <c r="N94" s="3">
        <v>2</v>
      </c>
      <c r="O94" s="3" t="s">
        <v>579</v>
      </c>
      <c r="P94" s="3">
        <v>2</v>
      </c>
      <c r="Q94" s="3">
        <v>-46216</v>
      </c>
      <c r="R94" s="3" t="s">
        <v>545</v>
      </c>
      <c r="S94" s="4"/>
      <c r="T94" s="3">
        <v>0</v>
      </c>
      <c r="U94" s="3" t="s">
        <v>569</v>
      </c>
      <c r="V94" s="3">
        <v>40</v>
      </c>
      <c r="W94" s="3" t="s">
        <v>547</v>
      </c>
      <c r="X94" s="4">
        <v>46237</v>
      </c>
      <c r="Y94" s="3" t="s">
        <v>223</v>
      </c>
      <c r="Z94" s="3">
        <v>33025</v>
      </c>
      <c r="AA94" s="4" t="s">
        <v>545</v>
      </c>
      <c r="AB94" s="4">
        <v>46237</v>
      </c>
      <c r="AC94" s="4">
        <v>46237</v>
      </c>
      <c r="AD94" s="5">
        <v>0</v>
      </c>
      <c r="AE94" s="4">
        <v>46237</v>
      </c>
      <c r="AF94" s="4">
        <v>0</v>
      </c>
      <c r="AG94" s="4" t="s">
        <v>548</v>
      </c>
      <c r="AH94" s="3" t="s">
        <v>93</v>
      </c>
      <c r="AI94" s="3" t="s">
        <v>112</v>
      </c>
      <c r="AJ94" s="3" t="s">
        <v>1150</v>
      </c>
      <c r="AK94" s="3" t="s">
        <v>223</v>
      </c>
      <c r="AL94" s="3">
        <v>6000865</v>
      </c>
      <c r="AM94" s="3" t="s">
        <v>92</v>
      </c>
      <c r="AN94" s="3" t="s">
        <v>1151</v>
      </c>
      <c r="AO94" s="3" t="s">
        <v>549</v>
      </c>
      <c r="AP94" s="3"/>
      <c r="AQ94" s="3" t="s">
        <v>550</v>
      </c>
      <c r="AR94" s="3" t="s">
        <v>90</v>
      </c>
      <c r="AS94" s="3"/>
      <c r="AT94" s="3"/>
      <c r="AU94" s="3"/>
      <c r="AV94" s="3"/>
      <c r="AW94" s="3"/>
      <c r="AX94" s="3" t="s">
        <v>552</v>
      </c>
      <c r="AY94" s="3" t="s">
        <v>223</v>
      </c>
      <c r="AZ94" s="3"/>
      <c r="BA94" s="3"/>
      <c r="BB94" s="3" t="s">
        <v>554</v>
      </c>
      <c r="BC94" s="3">
        <v>0</v>
      </c>
      <c r="BD94" s="3">
        <v>99</v>
      </c>
      <c r="BE94" s="3" t="s">
        <v>555</v>
      </c>
      <c r="BF94" s="3">
        <v>90</v>
      </c>
      <c r="BG94" s="3" t="s">
        <v>1152</v>
      </c>
      <c r="BH94" s="3" t="s">
        <v>103</v>
      </c>
      <c r="BI94" s="3"/>
      <c r="BJ94" s="3" t="s">
        <v>557</v>
      </c>
      <c r="BK94" s="3" t="s">
        <v>558</v>
      </c>
      <c r="BL94" s="3" t="s">
        <v>197</v>
      </c>
      <c r="BM94" s="3" t="s">
        <v>105</v>
      </c>
      <c r="BN94" s="3">
        <v>180865</v>
      </c>
      <c r="BO94" s="3" t="s">
        <v>1153</v>
      </c>
      <c r="BP94" s="3" t="s">
        <v>1154</v>
      </c>
      <c r="BQ94" s="3" t="s">
        <v>223</v>
      </c>
      <c r="BR94" s="3" t="s">
        <v>1155</v>
      </c>
    </row>
    <row r="95" spans="1:70" x14ac:dyDescent="0.25">
      <c r="A95" s="3" t="s">
        <v>577</v>
      </c>
      <c r="B95" s="3" t="s">
        <v>578</v>
      </c>
      <c r="C95" s="3" t="s">
        <v>1167</v>
      </c>
      <c r="D95" s="3">
        <v>430</v>
      </c>
      <c r="E95" s="4">
        <v>46204</v>
      </c>
      <c r="F95" s="3">
        <v>7</v>
      </c>
      <c r="G95" s="4">
        <v>46199</v>
      </c>
      <c r="H95" s="4">
        <v>46204</v>
      </c>
      <c r="I95" s="3">
        <v>3</v>
      </c>
      <c r="J95" s="3" t="s">
        <v>579</v>
      </c>
      <c r="K95" s="4">
        <v>46205</v>
      </c>
      <c r="L95" s="3">
        <v>4</v>
      </c>
      <c r="M95" s="3" t="s">
        <v>543</v>
      </c>
      <c r="N95" s="3">
        <v>1</v>
      </c>
      <c r="O95" s="3" t="s">
        <v>546</v>
      </c>
      <c r="P95" s="3">
        <v>1</v>
      </c>
      <c r="Q95" s="3">
        <v>1</v>
      </c>
      <c r="R95" s="3" t="s">
        <v>546</v>
      </c>
      <c r="S95" s="4">
        <v>46206</v>
      </c>
      <c r="T95" s="3">
        <v>5</v>
      </c>
      <c r="U95" s="3" t="s">
        <v>543</v>
      </c>
      <c r="V95" s="3">
        <v>12</v>
      </c>
      <c r="W95" s="3" t="s">
        <v>559</v>
      </c>
      <c r="X95" s="4">
        <v>46217</v>
      </c>
      <c r="Y95" s="3">
        <v>7</v>
      </c>
      <c r="Z95" s="3">
        <v>7</v>
      </c>
      <c r="AA95" s="4" t="s">
        <v>559</v>
      </c>
      <c r="AB95" s="4">
        <v>46217</v>
      </c>
      <c r="AC95" s="4">
        <v>46217</v>
      </c>
      <c r="AD95" s="5">
        <v>0</v>
      </c>
      <c r="AE95" s="4">
        <v>46217</v>
      </c>
      <c r="AF95" s="4">
        <v>1</v>
      </c>
      <c r="AG95" s="4" t="s">
        <v>548</v>
      </c>
      <c r="AH95" s="3" t="s">
        <v>93</v>
      </c>
      <c r="AI95" s="3" t="s">
        <v>112</v>
      </c>
      <c r="AJ95" s="3">
        <v>271106971</v>
      </c>
      <c r="AK95" s="3" t="s">
        <v>223</v>
      </c>
      <c r="AL95" s="3">
        <v>6000978</v>
      </c>
      <c r="AM95" s="3" t="s">
        <v>92</v>
      </c>
      <c r="AN95" s="3" t="s">
        <v>1168</v>
      </c>
      <c r="AO95" s="3" t="s">
        <v>549</v>
      </c>
      <c r="AP95" s="3"/>
      <c r="AQ95" s="3" t="s">
        <v>550</v>
      </c>
      <c r="AR95" s="3" t="s">
        <v>90</v>
      </c>
      <c r="AS95" s="3"/>
      <c r="AT95" s="3" t="s">
        <v>117</v>
      </c>
      <c r="AU95" s="3"/>
      <c r="AV95" s="3" t="s">
        <v>117</v>
      </c>
      <c r="AW95" s="3" t="s">
        <v>576</v>
      </c>
      <c r="AX95" s="3" t="s">
        <v>552</v>
      </c>
      <c r="AY95" s="3" t="s">
        <v>607</v>
      </c>
      <c r="AZ95" s="3" t="s">
        <v>1169</v>
      </c>
      <c r="BA95" s="3"/>
      <c r="BB95" s="3" t="s">
        <v>554</v>
      </c>
      <c r="BC95" s="3">
        <v>0</v>
      </c>
      <c r="BD95" s="3">
        <v>99</v>
      </c>
      <c r="BE95" s="3" t="s">
        <v>1170</v>
      </c>
      <c r="BF95" s="3">
        <v>90</v>
      </c>
      <c r="BG95" s="3" t="s">
        <v>1171</v>
      </c>
      <c r="BH95" s="3" t="s">
        <v>563</v>
      </c>
      <c r="BI95" s="3"/>
      <c r="BJ95" s="3" t="s">
        <v>619</v>
      </c>
      <c r="BK95" s="3" t="s">
        <v>558</v>
      </c>
      <c r="BL95" s="3" t="s">
        <v>189</v>
      </c>
      <c r="BM95" s="3" t="s">
        <v>105</v>
      </c>
      <c r="BN95" s="3">
        <v>2829962</v>
      </c>
      <c r="BO95" s="3" t="s">
        <v>1172</v>
      </c>
      <c r="BP95" s="3" t="s">
        <v>223</v>
      </c>
      <c r="BQ95" s="3" t="s">
        <v>1173</v>
      </c>
      <c r="BR95" s="3" t="s">
        <v>1174</v>
      </c>
    </row>
    <row r="96" spans="1:70" x14ac:dyDescent="0.25">
      <c r="A96" s="3" t="s">
        <v>577</v>
      </c>
      <c r="B96" s="3" t="s">
        <v>578</v>
      </c>
      <c r="C96" s="3" t="s">
        <v>1175</v>
      </c>
      <c r="D96" s="3">
        <v>430</v>
      </c>
      <c r="E96" s="4">
        <v>46219</v>
      </c>
      <c r="F96" s="3">
        <v>7</v>
      </c>
      <c r="G96" s="4">
        <v>46210</v>
      </c>
      <c r="H96" s="4">
        <v>46219</v>
      </c>
      <c r="I96" s="3">
        <v>7</v>
      </c>
      <c r="J96" s="3" t="s">
        <v>544</v>
      </c>
      <c r="K96" s="4">
        <v>46219</v>
      </c>
      <c r="L96" s="3">
        <v>7</v>
      </c>
      <c r="M96" s="3" t="s">
        <v>544</v>
      </c>
      <c r="N96" s="3">
        <v>0</v>
      </c>
      <c r="O96" s="3" t="s">
        <v>546</v>
      </c>
      <c r="P96" s="3">
        <v>0</v>
      </c>
      <c r="Q96" s="3">
        <v>1</v>
      </c>
      <c r="R96" s="3" t="s">
        <v>546</v>
      </c>
      <c r="S96" s="4">
        <v>46220</v>
      </c>
      <c r="T96" s="3">
        <v>8</v>
      </c>
      <c r="U96" s="3" t="s">
        <v>544</v>
      </c>
      <c r="V96" s="3">
        <v>19</v>
      </c>
      <c r="W96" s="3" t="s">
        <v>547</v>
      </c>
      <c r="X96" s="4">
        <v>46237</v>
      </c>
      <c r="Y96" s="3">
        <v>11</v>
      </c>
      <c r="Z96" s="3">
        <v>11</v>
      </c>
      <c r="AA96" s="4" t="s">
        <v>547</v>
      </c>
      <c r="AB96" s="4">
        <v>46237</v>
      </c>
      <c r="AC96" s="4">
        <v>46237</v>
      </c>
      <c r="AD96" s="5">
        <v>0</v>
      </c>
      <c r="AE96" s="4">
        <v>46237</v>
      </c>
      <c r="AF96" s="4">
        <v>1</v>
      </c>
      <c r="AG96" s="4" t="s">
        <v>548</v>
      </c>
      <c r="AH96" s="3" t="s">
        <v>93</v>
      </c>
      <c r="AI96" s="3" t="s">
        <v>112</v>
      </c>
      <c r="AJ96" s="3" t="s">
        <v>1176</v>
      </c>
      <c r="AK96" s="3" t="s">
        <v>223</v>
      </c>
      <c r="AL96" s="3">
        <v>6000980</v>
      </c>
      <c r="AM96" s="3" t="s">
        <v>92</v>
      </c>
      <c r="AN96" s="3" t="s">
        <v>1177</v>
      </c>
      <c r="AO96" s="3" t="s">
        <v>549</v>
      </c>
      <c r="AP96" s="3"/>
      <c r="AQ96" s="3" t="s">
        <v>550</v>
      </c>
      <c r="AR96" s="3" t="s">
        <v>90</v>
      </c>
      <c r="AS96" s="3"/>
      <c r="AT96" s="3" t="s">
        <v>107</v>
      </c>
      <c r="AU96" s="3" t="s">
        <v>1178</v>
      </c>
      <c r="AV96" s="3" t="s">
        <v>107</v>
      </c>
      <c r="AW96" s="3" t="s">
        <v>576</v>
      </c>
      <c r="AX96" s="3" t="s">
        <v>552</v>
      </c>
      <c r="AY96" s="3" t="s">
        <v>580</v>
      </c>
      <c r="AZ96" s="3"/>
      <c r="BA96" s="3" t="s">
        <v>643</v>
      </c>
      <c r="BB96" s="3" t="s">
        <v>554</v>
      </c>
      <c r="BC96" s="3">
        <v>0</v>
      </c>
      <c r="BD96" s="3">
        <v>99</v>
      </c>
      <c r="BE96" s="3" t="s">
        <v>1179</v>
      </c>
      <c r="BF96" s="3">
        <v>90</v>
      </c>
      <c r="BG96" s="3" t="s">
        <v>1180</v>
      </c>
      <c r="BH96" s="3" t="s">
        <v>702</v>
      </c>
      <c r="BI96" s="3"/>
      <c r="BJ96" s="3" t="s">
        <v>558</v>
      </c>
      <c r="BK96" s="3" t="s">
        <v>558</v>
      </c>
      <c r="BL96" s="3" t="s">
        <v>105</v>
      </c>
      <c r="BM96" s="3" t="s">
        <v>105</v>
      </c>
      <c r="BN96" s="3">
        <v>15278616</v>
      </c>
      <c r="BO96" s="3" t="s">
        <v>802</v>
      </c>
      <c r="BP96" s="3" t="s">
        <v>223</v>
      </c>
      <c r="BQ96" s="3" t="s">
        <v>223</v>
      </c>
      <c r="BR96" s="3" t="s">
        <v>1181</v>
      </c>
    </row>
    <row r="97" spans="1:70" x14ac:dyDescent="0.25">
      <c r="A97" s="3" t="s">
        <v>577</v>
      </c>
      <c r="B97" s="3" t="s">
        <v>578</v>
      </c>
      <c r="C97" s="3" t="s">
        <v>1182</v>
      </c>
      <c r="D97" s="3">
        <v>430</v>
      </c>
      <c r="E97" s="4">
        <v>46220</v>
      </c>
      <c r="F97" s="3">
        <v>7</v>
      </c>
      <c r="G97" s="4">
        <v>46210</v>
      </c>
      <c r="H97" s="4">
        <v>46220</v>
      </c>
      <c r="I97" s="3">
        <v>8</v>
      </c>
      <c r="J97" s="3" t="s">
        <v>544</v>
      </c>
      <c r="K97" s="4">
        <v>46221</v>
      </c>
      <c r="L97" s="3">
        <v>8</v>
      </c>
      <c r="M97" s="3" t="s">
        <v>544</v>
      </c>
      <c r="N97" s="3">
        <v>1</v>
      </c>
      <c r="O97" s="3" t="s">
        <v>546</v>
      </c>
      <c r="P97" s="3">
        <v>1</v>
      </c>
      <c r="Q97" s="3">
        <v>2</v>
      </c>
      <c r="R97" s="3" t="s">
        <v>579</v>
      </c>
      <c r="S97" s="4">
        <v>46223</v>
      </c>
      <c r="T97" s="3">
        <v>9</v>
      </c>
      <c r="U97" s="3" t="s">
        <v>544</v>
      </c>
      <c r="V97" s="3">
        <v>33</v>
      </c>
      <c r="W97" s="3" t="s">
        <v>547</v>
      </c>
      <c r="X97" s="4">
        <v>46255</v>
      </c>
      <c r="Y97" s="3">
        <v>23</v>
      </c>
      <c r="Z97" s="3">
        <v>24</v>
      </c>
      <c r="AA97" s="4" t="s">
        <v>547</v>
      </c>
      <c r="AB97" s="4">
        <v>46254</v>
      </c>
      <c r="AC97" s="4">
        <v>46255</v>
      </c>
      <c r="AD97" s="5">
        <v>1</v>
      </c>
      <c r="AE97" s="4">
        <v>46255</v>
      </c>
      <c r="AF97" s="4">
        <v>1</v>
      </c>
      <c r="AG97" s="4" t="s">
        <v>548</v>
      </c>
      <c r="AH97" s="3" t="s">
        <v>93</v>
      </c>
      <c r="AI97" s="3" t="s">
        <v>112</v>
      </c>
      <c r="AJ97" s="3" t="s">
        <v>1183</v>
      </c>
      <c r="AK97" s="3" t="s">
        <v>223</v>
      </c>
      <c r="AL97" s="3">
        <v>6001019</v>
      </c>
      <c r="AM97" s="3" t="s">
        <v>92</v>
      </c>
      <c r="AN97" s="3" t="s">
        <v>96</v>
      </c>
      <c r="AO97" s="3" t="s">
        <v>549</v>
      </c>
      <c r="AP97" s="3"/>
      <c r="AQ97" s="3" t="s">
        <v>550</v>
      </c>
      <c r="AR97" s="3" t="s">
        <v>90</v>
      </c>
      <c r="AS97" s="3"/>
      <c r="AT97" s="3" t="s">
        <v>107</v>
      </c>
      <c r="AU97" s="3" t="s">
        <v>1184</v>
      </c>
      <c r="AV97" s="3" t="s">
        <v>107</v>
      </c>
      <c r="AW97" s="3" t="s">
        <v>576</v>
      </c>
      <c r="AX97" s="3" t="s">
        <v>552</v>
      </c>
      <c r="AY97" s="3" t="s">
        <v>580</v>
      </c>
      <c r="AZ97" s="3"/>
      <c r="BA97" s="3" t="s">
        <v>1185</v>
      </c>
      <c r="BB97" s="3" t="s">
        <v>554</v>
      </c>
      <c r="BC97" s="3">
        <v>0</v>
      </c>
      <c r="BD97" s="3">
        <v>99</v>
      </c>
      <c r="BE97" s="3" t="s">
        <v>1186</v>
      </c>
      <c r="BF97" s="3">
        <v>90</v>
      </c>
      <c r="BG97" s="3" t="s">
        <v>910</v>
      </c>
      <c r="BH97" s="3" t="s">
        <v>563</v>
      </c>
      <c r="BI97" s="3"/>
      <c r="BJ97" s="3" t="s">
        <v>591</v>
      </c>
      <c r="BK97" s="3" t="s">
        <v>558</v>
      </c>
      <c r="BL97" s="3" t="s">
        <v>104</v>
      </c>
      <c r="BM97" s="3" t="s">
        <v>105</v>
      </c>
      <c r="BN97" s="3">
        <v>12690063</v>
      </c>
      <c r="BO97" s="3" t="s">
        <v>911</v>
      </c>
      <c r="BP97" s="3" t="s">
        <v>223</v>
      </c>
      <c r="BQ97" s="3" t="s">
        <v>223</v>
      </c>
      <c r="BR97" s="3" t="s">
        <v>1187</v>
      </c>
    </row>
    <row r="98" spans="1:70" x14ac:dyDescent="0.25">
      <c r="A98" s="3" t="s">
        <v>577</v>
      </c>
      <c r="B98" s="3" t="s">
        <v>578</v>
      </c>
      <c r="C98" s="3" t="s">
        <v>1188</v>
      </c>
      <c r="D98" s="3">
        <v>430</v>
      </c>
      <c r="E98" s="4">
        <v>46217</v>
      </c>
      <c r="F98" s="3">
        <v>7</v>
      </c>
      <c r="G98" s="4">
        <v>46213</v>
      </c>
      <c r="H98" s="4">
        <v>46217</v>
      </c>
      <c r="I98" s="3">
        <v>2</v>
      </c>
      <c r="J98" s="3" t="s">
        <v>579</v>
      </c>
      <c r="K98" s="4">
        <v>46218</v>
      </c>
      <c r="L98" s="3">
        <v>3</v>
      </c>
      <c r="M98" s="3" t="s">
        <v>579</v>
      </c>
      <c r="N98" s="3">
        <v>1</v>
      </c>
      <c r="O98" s="3" t="s">
        <v>546</v>
      </c>
      <c r="P98" s="3">
        <v>1</v>
      </c>
      <c r="Q98" s="3">
        <v>1</v>
      </c>
      <c r="R98" s="3" t="s">
        <v>546</v>
      </c>
      <c r="S98" s="4">
        <v>46219</v>
      </c>
      <c r="T98" s="3">
        <v>4</v>
      </c>
      <c r="U98" s="3" t="s">
        <v>543</v>
      </c>
      <c r="V98" s="3">
        <v>16</v>
      </c>
      <c r="W98" s="3" t="s">
        <v>547</v>
      </c>
      <c r="X98" s="4">
        <v>46237</v>
      </c>
      <c r="Y98" s="3">
        <v>12</v>
      </c>
      <c r="Z98" s="3">
        <v>12</v>
      </c>
      <c r="AA98" s="4" t="s">
        <v>547</v>
      </c>
      <c r="AB98" s="4">
        <v>46237</v>
      </c>
      <c r="AC98" s="4">
        <v>46237</v>
      </c>
      <c r="AD98" s="5">
        <v>0</v>
      </c>
      <c r="AE98" s="4">
        <v>46237</v>
      </c>
      <c r="AF98" s="4">
        <v>1</v>
      </c>
      <c r="AG98" s="4" t="s">
        <v>548</v>
      </c>
      <c r="AH98" s="3" t="s">
        <v>93</v>
      </c>
      <c r="AI98" s="3" t="s">
        <v>112</v>
      </c>
      <c r="AJ98" s="3">
        <v>271673075</v>
      </c>
      <c r="AK98" s="3" t="s">
        <v>223</v>
      </c>
      <c r="AL98" s="3">
        <v>6001028</v>
      </c>
      <c r="AM98" s="3" t="s">
        <v>92</v>
      </c>
      <c r="AN98" s="3" t="s">
        <v>1189</v>
      </c>
      <c r="AO98" s="3" t="s">
        <v>549</v>
      </c>
      <c r="AP98" s="3"/>
      <c r="AQ98" s="3" t="s">
        <v>550</v>
      </c>
      <c r="AR98" s="3" t="s">
        <v>90</v>
      </c>
      <c r="AS98" s="3"/>
      <c r="AT98" s="3" t="s">
        <v>117</v>
      </c>
      <c r="AU98" s="3"/>
      <c r="AV98" s="3" t="s">
        <v>117</v>
      </c>
      <c r="AW98" s="3" t="s">
        <v>576</v>
      </c>
      <c r="AX98" s="3" t="s">
        <v>620</v>
      </c>
      <c r="AY98" s="3" t="s">
        <v>223</v>
      </c>
      <c r="AZ98" s="3" t="s">
        <v>1190</v>
      </c>
      <c r="BA98" s="3"/>
      <c r="BB98" s="3" t="s">
        <v>554</v>
      </c>
      <c r="BC98" s="3">
        <v>0</v>
      </c>
      <c r="BD98" s="3">
        <v>99</v>
      </c>
      <c r="BE98" s="3" t="s">
        <v>1191</v>
      </c>
      <c r="BF98" s="3">
        <v>90</v>
      </c>
      <c r="BG98" s="3" t="s">
        <v>1192</v>
      </c>
      <c r="BH98" s="3" t="s">
        <v>563</v>
      </c>
      <c r="BI98" s="3"/>
      <c r="BJ98" s="3" t="s">
        <v>619</v>
      </c>
      <c r="BK98" s="3" t="s">
        <v>558</v>
      </c>
      <c r="BL98" s="3" t="s">
        <v>189</v>
      </c>
      <c r="BM98" s="3" t="s">
        <v>105</v>
      </c>
      <c r="BN98" s="3">
        <v>1036772</v>
      </c>
      <c r="BO98" s="3" t="s">
        <v>1193</v>
      </c>
      <c r="BP98" s="3" t="s">
        <v>223</v>
      </c>
      <c r="BQ98" s="3" t="s">
        <v>223</v>
      </c>
      <c r="BR98" s="3" t="s">
        <v>1194</v>
      </c>
    </row>
    <row r="99" spans="1:70" x14ac:dyDescent="0.25">
      <c r="A99" s="3" t="s">
        <v>577</v>
      </c>
      <c r="B99" s="3" t="s">
        <v>578</v>
      </c>
      <c r="C99" s="3" t="s">
        <v>1195</v>
      </c>
      <c r="D99" s="3">
        <v>430</v>
      </c>
      <c r="E99" s="4">
        <v>46213</v>
      </c>
      <c r="F99" s="3">
        <v>7</v>
      </c>
      <c r="G99" s="4">
        <v>46210</v>
      </c>
      <c r="H99" s="4">
        <v>46213</v>
      </c>
      <c r="I99" s="3">
        <v>3</v>
      </c>
      <c r="J99" s="3" t="s">
        <v>579</v>
      </c>
      <c r="K99" s="4">
        <v>46214</v>
      </c>
      <c r="L99" s="3">
        <v>3</v>
      </c>
      <c r="M99" s="3" t="s">
        <v>579</v>
      </c>
      <c r="N99" s="3">
        <v>1</v>
      </c>
      <c r="O99" s="3" t="s">
        <v>546</v>
      </c>
      <c r="P99" s="3">
        <v>1</v>
      </c>
      <c r="Q99" s="3">
        <v>2</v>
      </c>
      <c r="R99" s="3" t="s">
        <v>579</v>
      </c>
      <c r="S99" s="4">
        <v>46216</v>
      </c>
      <c r="T99" s="3">
        <v>4</v>
      </c>
      <c r="U99" s="3" t="s">
        <v>543</v>
      </c>
      <c r="V99" s="3">
        <v>19</v>
      </c>
      <c r="W99" s="3" t="s">
        <v>547</v>
      </c>
      <c r="X99" s="4">
        <v>46237</v>
      </c>
      <c r="Y99" s="3">
        <v>15</v>
      </c>
      <c r="Z99" s="3">
        <v>15</v>
      </c>
      <c r="AA99" s="4" t="s">
        <v>547</v>
      </c>
      <c r="AB99" s="4">
        <v>46237</v>
      </c>
      <c r="AC99" s="4">
        <v>46237</v>
      </c>
      <c r="AD99" s="5">
        <v>0</v>
      </c>
      <c r="AE99" s="4">
        <v>46237</v>
      </c>
      <c r="AF99" s="4">
        <v>1</v>
      </c>
      <c r="AG99" s="4" t="s">
        <v>548</v>
      </c>
      <c r="AH99" s="3" t="s">
        <v>93</v>
      </c>
      <c r="AI99" s="3" t="s">
        <v>112</v>
      </c>
      <c r="AJ99" s="3" t="s">
        <v>1196</v>
      </c>
      <c r="AK99" s="3" t="s">
        <v>223</v>
      </c>
      <c r="AL99" s="3">
        <v>6001029</v>
      </c>
      <c r="AM99" s="3" t="s">
        <v>92</v>
      </c>
      <c r="AN99" s="3" t="s">
        <v>328</v>
      </c>
      <c r="AO99" s="3" t="s">
        <v>549</v>
      </c>
      <c r="AP99" s="3"/>
      <c r="AQ99" s="3" t="s">
        <v>550</v>
      </c>
      <c r="AR99" s="3" t="s">
        <v>90</v>
      </c>
      <c r="AS99" s="3"/>
      <c r="AT99" s="3" t="s">
        <v>117</v>
      </c>
      <c r="AU99" s="3"/>
      <c r="AV99" s="3" t="s">
        <v>117</v>
      </c>
      <c r="AW99" s="3" t="s">
        <v>576</v>
      </c>
      <c r="AX99" s="3" t="s">
        <v>552</v>
      </c>
      <c r="AY99" s="3" t="s">
        <v>580</v>
      </c>
      <c r="AZ99" s="3"/>
      <c r="BA99" s="3" t="s">
        <v>597</v>
      </c>
      <c r="BB99" s="3" t="s">
        <v>554</v>
      </c>
      <c r="BC99" s="3">
        <v>0</v>
      </c>
      <c r="BD99" s="3">
        <v>99</v>
      </c>
      <c r="BE99" s="3" t="s">
        <v>1197</v>
      </c>
      <c r="BF99" s="3">
        <v>90</v>
      </c>
      <c r="BG99" s="3" t="s">
        <v>1198</v>
      </c>
      <c r="BH99" s="3" t="s">
        <v>611</v>
      </c>
      <c r="BI99" s="3"/>
      <c r="BJ99" s="3" t="s">
        <v>613</v>
      </c>
      <c r="BK99" s="3" t="s">
        <v>558</v>
      </c>
      <c r="BL99" s="3" t="s">
        <v>133</v>
      </c>
      <c r="BM99" s="3" t="s">
        <v>105</v>
      </c>
      <c r="BN99" s="3">
        <v>5408525</v>
      </c>
      <c r="BO99" s="3" t="s">
        <v>802</v>
      </c>
      <c r="BP99" s="3" t="s">
        <v>223</v>
      </c>
      <c r="BQ99" s="3" t="s">
        <v>223</v>
      </c>
      <c r="BR99" s="3" t="s">
        <v>1199</v>
      </c>
    </row>
    <row r="100" spans="1:70" x14ac:dyDescent="0.25">
      <c r="A100" s="3" t="s">
        <v>577</v>
      </c>
      <c r="B100" s="3" t="s">
        <v>578</v>
      </c>
      <c r="C100" s="3" t="s">
        <v>1200</v>
      </c>
      <c r="D100" s="3">
        <v>430</v>
      </c>
      <c r="E100" s="4">
        <v>46219</v>
      </c>
      <c r="F100" s="3">
        <v>7</v>
      </c>
      <c r="G100" s="4">
        <v>46210</v>
      </c>
      <c r="H100" s="4">
        <v>46219</v>
      </c>
      <c r="I100" s="3">
        <v>7</v>
      </c>
      <c r="J100" s="3" t="s">
        <v>544</v>
      </c>
      <c r="K100" s="4">
        <v>46219</v>
      </c>
      <c r="L100" s="3">
        <v>7</v>
      </c>
      <c r="M100" s="3" t="s">
        <v>544</v>
      </c>
      <c r="N100" s="3">
        <v>0</v>
      </c>
      <c r="O100" s="3" t="s">
        <v>546</v>
      </c>
      <c r="P100" s="3">
        <v>0</v>
      </c>
      <c r="Q100" s="3">
        <v>1</v>
      </c>
      <c r="R100" s="3" t="s">
        <v>546</v>
      </c>
      <c r="S100" s="4">
        <v>46220</v>
      </c>
      <c r="T100" s="3">
        <v>8</v>
      </c>
      <c r="U100" s="3" t="s">
        <v>544</v>
      </c>
      <c r="V100" s="3">
        <v>19</v>
      </c>
      <c r="W100" s="3" t="s">
        <v>547</v>
      </c>
      <c r="X100" s="4">
        <v>46237</v>
      </c>
      <c r="Y100" s="3">
        <v>11</v>
      </c>
      <c r="Z100" s="3">
        <v>11</v>
      </c>
      <c r="AA100" s="4" t="s">
        <v>547</v>
      </c>
      <c r="AB100" s="4">
        <v>46237</v>
      </c>
      <c r="AC100" s="4">
        <v>46237</v>
      </c>
      <c r="AD100" s="5">
        <v>0</v>
      </c>
      <c r="AE100" s="4">
        <v>46237</v>
      </c>
      <c r="AF100" s="4">
        <v>1</v>
      </c>
      <c r="AG100" s="4" t="s">
        <v>548</v>
      </c>
      <c r="AH100" s="3" t="s">
        <v>93</v>
      </c>
      <c r="AI100" s="3" t="s">
        <v>112</v>
      </c>
      <c r="AJ100" s="3" t="s">
        <v>1201</v>
      </c>
      <c r="AK100" s="3" t="s">
        <v>223</v>
      </c>
      <c r="AL100" s="3">
        <v>6001030</v>
      </c>
      <c r="AM100" s="3" t="s">
        <v>92</v>
      </c>
      <c r="AN100" s="3" t="s">
        <v>324</v>
      </c>
      <c r="AO100" s="3" t="s">
        <v>549</v>
      </c>
      <c r="AP100" s="3"/>
      <c r="AQ100" s="3" t="s">
        <v>550</v>
      </c>
      <c r="AR100" s="3" t="s">
        <v>90</v>
      </c>
      <c r="AS100" s="3"/>
      <c r="AT100" s="3" t="s">
        <v>397</v>
      </c>
      <c r="AU100" s="3" t="s">
        <v>1202</v>
      </c>
      <c r="AV100" s="3" t="s">
        <v>1202</v>
      </c>
      <c r="AW100" s="3" t="s">
        <v>576</v>
      </c>
      <c r="AX100" s="3" t="s">
        <v>552</v>
      </c>
      <c r="AY100" s="3" t="s">
        <v>580</v>
      </c>
      <c r="AZ100" s="3"/>
      <c r="BA100" s="3" t="s">
        <v>643</v>
      </c>
      <c r="BB100" s="3" t="s">
        <v>554</v>
      </c>
      <c r="BC100" s="3">
        <v>0</v>
      </c>
      <c r="BD100" s="3">
        <v>99</v>
      </c>
      <c r="BE100" s="3" t="s">
        <v>1203</v>
      </c>
      <c r="BF100" s="3">
        <v>90</v>
      </c>
      <c r="BG100" s="3" t="s">
        <v>1204</v>
      </c>
      <c r="BH100" s="3" t="s">
        <v>611</v>
      </c>
      <c r="BI100" s="3"/>
      <c r="BJ100" s="3" t="s">
        <v>613</v>
      </c>
      <c r="BK100" s="3" t="s">
        <v>558</v>
      </c>
      <c r="BL100" s="3" t="s">
        <v>133</v>
      </c>
      <c r="BM100" s="3" t="s">
        <v>105</v>
      </c>
      <c r="BN100" s="3">
        <v>10833581</v>
      </c>
      <c r="BO100" s="3" t="s">
        <v>1205</v>
      </c>
      <c r="BP100" s="3" t="s">
        <v>223</v>
      </c>
      <c r="BQ100" s="3" t="s">
        <v>1206</v>
      </c>
      <c r="BR100" s="3" t="s">
        <v>1207</v>
      </c>
    </row>
    <row r="101" spans="1:70" x14ac:dyDescent="0.25">
      <c r="A101" s="3" t="s">
        <v>577</v>
      </c>
      <c r="B101" s="3" t="s">
        <v>578</v>
      </c>
      <c r="C101" s="3" t="s">
        <v>1208</v>
      </c>
      <c r="D101" s="3">
        <v>430</v>
      </c>
      <c r="E101" s="4">
        <v>46223</v>
      </c>
      <c r="F101" s="3">
        <v>7</v>
      </c>
      <c r="G101" s="4">
        <v>46217</v>
      </c>
      <c r="H101" s="4">
        <v>46223</v>
      </c>
      <c r="I101" s="3">
        <v>4</v>
      </c>
      <c r="J101" s="3" t="s">
        <v>543</v>
      </c>
      <c r="K101" s="4">
        <v>46224</v>
      </c>
      <c r="L101" s="3">
        <v>5</v>
      </c>
      <c r="M101" s="3" t="s">
        <v>543</v>
      </c>
      <c r="N101" s="3">
        <v>1</v>
      </c>
      <c r="O101" s="3" t="s">
        <v>546</v>
      </c>
      <c r="P101" s="3">
        <v>1</v>
      </c>
      <c r="Q101" s="3">
        <v>1</v>
      </c>
      <c r="R101" s="3" t="s">
        <v>546</v>
      </c>
      <c r="S101" s="4">
        <v>46225</v>
      </c>
      <c r="T101" s="3">
        <v>6</v>
      </c>
      <c r="U101" s="3" t="s">
        <v>544</v>
      </c>
      <c r="V101" s="3">
        <v>29</v>
      </c>
      <c r="W101" s="3" t="s">
        <v>547</v>
      </c>
      <c r="X101" s="4">
        <v>46258</v>
      </c>
      <c r="Y101" s="3">
        <v>22</v>
      </c>
      <c r="Z101" s="3">
        <v>23</v>
      </c>
      <c r="AA101" s="4" t="s">
        <v>547</v>
      </c>
      <c r="AB101" s="4">
        <v>46255</v>
      </c>
      <c r="AC101" s="4">
        <v>46258</v>
      </c>
      <c r="AD101" s="5">
        <v>1</v>
      </c>
      <c r="AE101" s="4">
        <v>46258</v>
      </c>
      <c r="AF101" s="4">
        <v>1</v>
      </c>
      <c r="AG101" s="4" t="s">
        <v>548</v>
      </c>
      <c r="AH101" s="3" t="s">
        <v>93</v>
      </c>
      <c r="AI101" s="3" t="s">
        <v>112</v>
      </c>
      <c r="AJ101" s="3" t="s">
        <v>1209</v>
      </c>
      <c r="AK101" s="3" t="s">
        <v>223</v>
      </c>
      <c r="AL101" s="3">
        <v>6001054</v>
      </c>
      <c r="AM101" s="3" t="s">
        <v>92</v>
      </c>
      <c r="AN101" s="3" t="s">
        <v>238</v>
      </c>
      <c r="AO101" s="3" t="s">
        <v>549</v>
      </c>
      <c r="AP101" s="3"/>
      <c r="AQ101" s="3" t="s">
        <v>550</v>
      </c>
      <c r="AR101" s="3" t="s">
        <v>90</v>
      </c>
      <c r="AS101" s="3"/>
      <c r="AT101" s="3" t="s">
        <v>117</v>
      </c>
      <c r="AU101" s="3"/>
      <c r="AV101" s="3" t="s">
        <v>117</v>
      </c>
      <c r="AW101" s="3" t="s">
        <v>576</v>
      </c>
      <c r="AX101" s="3" t="s">
        <v>552</v>
      </c>
      <c r="AY101" s="3" t="s">
        <v>607</v>
      </c>
      <c r="AZ101" s="3" t="s">
        <v>1210</v>
      </c>
      <c r="BA101" s="3"/>
      <c r="BB101" s="3" t="s">
        <v>554</v>
      </c>
      <c r="BC101" s="3">
        <v>0</v>
      </c>
      <c r="BD101" s="3">
        <v>0.99</v>
      </c>
      <c r="BE101" s="3" t="s">
        <v>1211</v>
      </c>
      <c r="BF101" s="3">
        <v>90</v>
      </c>
      <c r="BG101" s="3" t="s">
        <v>1212</v>
      </c>
      <c r="BH101" s="3" t="s">
        <v>611</v>
      </c>
      <c r="BI101" s="3"/>
      <c r="BJ101" s="3" t="s">
        <v>1213</v>
      </c>
      <c r="BK101" s="3" t="s">
        <v>558</v>
      </c>
      <c r="BL101" s="3" t="s">
        <v>1214</v>
      </c>
      <c r="BM101" s="3" t="s">
        <v>105</v>
      </c>
      <c r="BN101" s="3">
        <v>2416656</v>
      </c>
      <c r="BO101" s="3" t="s">
        <v>802</v>
      </c>
      <c r="BP101" s="3" t="s">
        <v>1215</v>
      </c>
      <c r="BQ101" s="3" t="s">
        <v>223</v>
      </c>
      <c r="BR101" s="3" t="s">
        <v>1216</v>
      </c>
    </row>
    <row r="102" spans="1:70" x14ac:dyDescent="0.25">
      <c r="A102" s="3" t="s">
        <v>577</v>
      </c>
      <c r="B102" s="3" t="s">
        <v>578</v>
      </c>
      <c r="C102" s="3" t="s">
        <v>1217</v>
      </c>
      <c r="D102" s="3">
        <v>430</v>
      </c>
      <c r="E102" s="4">
        <v>46220</v>
      </c>
      <c r="F102" s="3">
        <v>7</v>
      </c>
      <c r="G102" s="4">
        <v>46217</v>
      </c>
      <c r="H102" s="4">
        <v>46220</v>
      </c>
      <c r="I102" s="3">
        <v>3</v>
      </c>
      <c r="J102" s="3" t="s">
        <v>579</v>
      </c>
      <c r="K102" s="4">
        <v>46221</v>
      </c>
      <c r="L102" s="3">
        <v>3</v>
      </c>
      <c r="M102" s="3" t="s">
        <v>579</v>
      </c>
      <c r="N102" s="3">
        <v>1</v>
      </c>
      <c r="O102" s="3" t="s">
        <v>546</v>
      </c>
      <c r="P102" s="3">
        <v>1</v>
      </c>
      <c r="Q102" s="3">
        <v>2</v>
      </c>
      <c r="R102" s="3" t="s">
        <v>579</v>
      </c>
      <c r="S102" s="4">
        <v>46223</v>
      </c>
      <c r="T102" s="3">
        <v>4</v>
      </c>
      <c r="U102" s="3" t="s">
        <v>543</v>
      </c>
      <c r="V102" s="3">
        <v>28</v>
      </c>
      <c r="W102" s="3" t="s">
        <v>547</v>
      </c>
      <c r="X102" s="4">
        <v>46255</v>
      </c>
      <c r="Y102" s="3">
        <v>23</v>
      </c>
      <c r="Z102" s="3">
        <v>24</v>
      </c>
      <c r="AA102" s="4" t="s">
        <v>547</v>
      </c>
      <c r="AB102" s="4">
        <v>46254</v>
      </c>
      <c r="AC102" s="4">
        <v>46255</v>
      </c>
      <c r="AD102" s="5">
        <v>1</v>
      </c>
      <c r="AE102" s="4">
        <v>46255</v>
      </c>
      <c r="AF102" s="4">
        <v>1</v>
      </c>
      <c r="AG102" s="4" t="s">
        <v>548</v>
      </c>
      <c r="AH102" s="3" t="s">
        <v>93</v>
      </c>
      <c r="AI102" s="3" t="s">
        <v>112</v>
      </c>
      <c r="AJ102" s="3" t="s">
        <v>1218</v>
      </c>
      <c r="AK102" s="3" t="s">
        <v>223</v>
      </c>
      <c r="AL102" s="3">
        <v>6001055</v>
      </c>
      <c r="AM102" s="3" t="s">
        <v>92</v>
      </c>
      <c r="AN102" s="3" t="s">
        <v>401</v>
      </c>
      <c r="AO102" s="3" t="s">
        <v>549</v>
      </c>
      <c r="AP102" s="3"/>
      <c r="AQ102" s="3" t="s">
        <v>550</v>
      </c>
      <c r="AR102" s="3" t="s">
        <v>90</v>
      </c>
      <c r="AS102" s="3"/>
      <c r="AT102" s="3" t="s">
        <v>117</v>
      </c>
      <c r="AU102" s="3"/>
      <c r="AV102" s="3" t="s">
        <v>117</v>
      </c>
      <c r="AW102" s="3" t="s">
        <v>576</v>
      </c>
      <c r="AX102" s="3" t="s">
        <v>552</v>
      </c>
      <c r="AY102" s="3" t="s">
        <v>580</v>
      </c>
      <c r="AZ102" s="3"/>
      <c r="BA102" s="3" t="s">
        <v>1185</v>
      </c>
      <c r="BB102" s="3" t="s">
        <v>554</v>
      </c>
      <c r="BC102" s="3">
        <v>0</v>
      </c>
      <c r="BD102" s="3">
        <v>99</v>
      </c>
      <c r="BE102" s="3" t="s">
        <v>1219</v>
      </c>
      <c r="BF102" s="3">
        <v>90</v>
      </c>
      <c r="BG102" s="3" t="s">
        <v>1220</v>
      </c>
      <c r="BH102" s="3" t="s">
        <v>563</v>
      </c>
      <c r="BI102" s="3"/>
      <c r="BJ102" s="3" t="s">
        <v>613</v>
      </c>
      <c r="BK102" s="3" t="s">
        <v>558</v>
      </c>
      <c r="BL102" s="3" t="s">
        <v>133</v>
      </c>
      <c r="BM102" s="3" t="s">
        <v>105</v>
      </c>
      <c r="BN102" s="3">
        <v>7963564</v>
      </c>
      <c r="BO102" s="3" t="s">
        <v>1221</v>
      </c>
      <c r="BP102" s="3" t="s">
        <v>223</v>
      </c>
      <c r="BQ102" s="3" t="s">
        <v>1222</v>
      </c>
      <c r="BR102" s="3" t="s">
        <v>1223</v>
      </c>
    </row>
    <row r="103" spans="1:70" x14ac:dyDescent="0.25">
      <c r="A103" s="3" t="s">
        <v>577</v>
      </c>
      <c r="B103" s="3" t="s">
        <v>578</v>
      </c>
      <c r="C103" s="3" t="s">
        <v>1224</v>
      </c>
      <c r="D103" s="3">
        <v>430</v>
      </c>
      <c r="E103" s="4">
        <v>46233</v>
      </c>
      <c r="F103" s="3">
        <v>7</v>
      </c>
      <c r="G103" s="4">
        <v>46220</v>
      </c>
      <c r="H103" s="4">
        <v>46233</v>
      </c>
      <c r="I103" s="3">
        <v>9</v>
      </c>
      <c r="J103" s="3" t="s">
        <v>544</v>
      </c>
      <c r="K103" s="4">
        <v>46234</v>
      </c>
      <c r="L103" s="3">
        <v>10</v>
      </c>
      <c r="M103" s="3" t="s">
        <v>544</v>
      </c>
      <c r="N103" s="3">
        <v>1</v>
      </c>
      <c r="O103" s="3" t="s">
        <v>546</v>
      </c>
      <c r="P103" s="3">
        <v>1</v>
      </c>
      <c r="Q103" s="3">
        <v>-46232</v>
      </c>
      <c r="R103" s="3" t="s">
        <v>545</v>
      </c>
      <c r="S103" s="4"/>
      <c r="T103" s="3">
        <v>0</v>
      </c>
      <c r="U103" s="3" t="s">
        <v>569</v>
      </c>
      <c r="V103" s="3">
        <v>29</v>
      </c>
      <c r="W103" s="3" t="s">
        <v>547</v>
      </c>
      <c r="X103" s="4">
        <v>46261</v>
      </c>
      <c r="Y103" s="3" t="s">
        <v>223</v>
      </c>
      <c r="Z103" s="3">
        <v>33043</v>
      </c>
      <c r="AA103" s="4" t="s">
        <v>545</v>
      </c>
      <c r="AB103" s="4"/>
      <c r="AC103" s="4">
        <v>46261</v>
      </c>
      <c r="AD103" s="5" t="s">
        <v>223</v>
      </c>
      <c r="AE103" s="4">
        <v>46261</v>
      </c>
      <c r="AF103" s="4">
        <v>0</v>
      </c>
      <c r="AG103" s="4" t="s">
        <v>548</v>
      </c>
      <c r="AH103" s="3" t="s">
        <v>93</v>
      </c>
      <c r="AI103" s="3" t="s">
        <v>112</v>
      </c>
      <c r="AJ103" s="3" t="s">
        <v>1225</v>
      </c>
      <c r="AK103" s="3" t="s">
        <v>223</v>
      </c>
      <c r="AL103" s="3">
        <v>6001056</v>
      </c>
      <c r="AM103" s="3" t="s">
        <v>92</v>
      </c>
      <c r="AN103" s="3" t="s">
        <v>1226</v>
      </c>
      <c r="AO103" s="3" t="s">
        <v>549</v>
      </c>
      <c r="AP103" s="3"/>
      <c r="AQ103" s="3" t="s">
        <v>550</v>
      </c>
      <c r="AR103" s="3" t="s">
        <v>90</v>
      </c>
      <c r="AS103" s="3"/>
      <c r="AT103" s="3"/>
      <c r="AU103" s="3"/>
      <c r="AV103" s="3"/>
      <c r="AW103" s="3"/>
      <c r="AX103" s="3" t="s">
        <v>620</v>
      </c>
      <c r="AY103" s="3" t="s">
        <v>607</v>
      </c>
      <c r="AZ103" s="3"/>
      <c r="BA103" s="3"/>
      <c r="BB103" s="3" t="s">
        <v>554</v>
      </c>
      <c r="BC103" s="3">
        <v>0</v>
      </c>
      <c r="BD103" s="3" t="s">
        <v>1227</v>
      </c>
      <c r="BE103" s="3" t="s">
        <v>1228</v>
      </c>
      <c r="BF103" s="3">
        <v>90</v>
      </c>
      <c r="BG103" s="3" t="s">
        <v>1229</v>
      </c>
      <c r="BH103" s="3" t="s">
        <v>1230</v>
      </c>
      <c r="BI103" s="3"/>
      <c r="BJ103" s="3" t="s">
        <v>557</v>
      </c>
      <c r="BK103" s="3" t="s">
        <v>558</v>
      </c>
      <c r="BL103" s="3" t="s">
        <v>197</v>
      </c>
      <c r="BM103" s="3" t="s">
        <v>105</v>
      </c>
      <c r="BN103" s="3">
        <v>714986</v>
      </c>
      <c r="BO103" s="3" t="s">
        <v>1231</v>
      </c>
      <c r="BP103" s="3" t="s">
        <v>1232</v>
      </c>
      <c r="BQ103" s="3" t="s">
        <v>1233</v>
      </c>
      <c r="BR103" s="3" t="s">
        <v>1234</v>
      </c>
    </row>
    <row r="104" spans="1:70" x14ac:dyDescent="0.25">
      <c r="A104" s="3" t="s">
        <v>577</v>
      </c>
      <c r="B104" s="3" t="s">
        <v>578</v>
      </c>
      <c r="C104" s="3" t="s">
        <v>1236</v>
      </c>
      <c r="D104" s="3">
        <v>430</v>
      </c>
      <c r="E104" s="4">
        <v>46234</v>
      </c>
      <c r="F104" s="3">
        <v>7</v>
      </c>
      <c r="G104" s="4">
        <v>46231</v>
      </c>
      <c r="H104" s="4">
        <v>46234</v>
      </c>
      <c r="I104" s="3">
        <v>3</v>
      </c>
      <c r="J104" s="3" t="s">
        <v>579</v>
      </c>
      <c r="K104" s="4">
        <v>46235</v>
      </c>
      <c r="L104" s="3">
        <v>3</v>
      </c>
      <c r="M104" s="3" t="s">
        <v>579</v>
      </c>
      <c r="N104" s="3">
        <v>1</v>
      </c>
      <c r="O104" s="3" t="s">
        <v>546</v>
      </c>
      <c r="P104" s="3">
        <v>1</v>
      </c>
      <c r="Q104" s="3">
        <v>2</v>
      </c>
      <c r="R104" s="3" t="s">
        <v>579</v>
      </c>
      <c r="S104" s="4">
        <v>46237</v>
      </c>
      <c r="T104" s="3">
        <v>4</v>
      </c>
      <c r="U104" s="3" t="s">
        <v>543</v>
      </c>
      <c r="V104" s="3">
        <v>20</v>
      </c>
      <c r="W104" s="3" t="s">
        <v>547</v>
      </c>
      <c r="X104" s="4">
        <v>46259</v>
      </c>
      <c r="Y104" s="3">
        <v>15</v>
      </c>
      <c r="Z104" s="3">
        <v>16</v>
      </c>
      <c r="AA104" s="4" t="s">
        <v>547</v>
      </c>
      <c r="AB104" s="4">
        <v>46258</v>
      </c>
      <c r="AC104" s="4">
        <v>46259</v>
      </c>
      <c r="AD104" s="5">
        <v>1</v>
      </c>
      <c r="AE104" s="4">
        <v>46259</v>
      </c>
      <c r="AF104" s="4">
        <v>1</v>
      </c>
      <c r="AG104" s="4" t="s">
        <v>548</v>
      </c>
      <c r="AH104" s="3" t="s">
        <v>93</v>
      </c>
      <c r="AI104" s="3" t="s">
        <v>112</v>
      </c>
      <c r="AJ104" s="3" t="s">
        <v>1237</v>
      </c>
      <c r="AK104" s="3" t="s">
        <v>223</v>
      </c>
      <c r="AL104" s="3">
        <v>6001098</v>
      </c>
      <c r="AM104" s="3" t="s">
        <v>92</v>
      </c>
      <c r="AN104" s="3" t="s">
        <v>96</v>
      </c>
      <c r="AO104" s="3" t="s">
        <v>549</v>
      </c>
      <c r="AP104" s="3"/>
      <c r="AQ104" s="3" t="s">
        <v>550</v>
      </c>
      <c r="AR104" s="3" t="s">
        <v>90</v>
      </c>
      <c r="AS104" s="3"/>
      <c r="AT104" s="3" t="s">
        <v>117</v>
      </c>
      <c r="AU104" s="3"/>
      <c r="AV104" s="3" t="s">
        <v>117</v>
      </c>
      <c r="AW104" s="3" t="s">
        <v>576</v>
      </c>
      <c r="AX104" s="3" t="s">
        <v>552</v>
      </c>
      <c r="AY104" s="3" t="s">
        <v>580</v>
      </c>
      <c r="AZ104" s="3"/>
      <c r="BA104" s="3" t="s">
        <v>1185</v>
      </c>
      <c r="BB104" s="3" t="s">
        <v>554</v>
      </c>
      <c r="BC104" s="3">
        <v>0</v>
      </c>
      <c r="BD104" s="3">
        <v>99</v>
      </c>
      <c r="BE104" s="3" t="s">
        <v>1238</v>
      </c>
      <c r="BF104" s="3">
        <v>90</v>
      </c>
      <c r="BG104" s="3" t="s">
        <v>1239</v>
      </c>
      <c r="BH104" s="3" t="s">
        <v>563</v>
      </c>
      <c r="BI104" s="3"/>
      <c r="BJ104" s="3" t="s">
        <v>591</v>
      </c>
      <c r="BK104" s="3" t="s">
        <v>558</v>
      </c>
      <c r="BL104" s="3" t="s">
        <v>104</v>
      </c>
      <c r="BM104" s="3" t="s">
        <v>105</v>
      </c>
      <c r="BN104" s="3">
        <v>11985060</v>
      </c>
      <c r="BO104" s="3" t="s">
        <v>1240</v>
      </c>
      <c r="BP104" s="3" t="s">
        <v>223</v>
      </c>
      <c r="BQ104" s="3" t="s">
        <v>223</v>
      </c>
      <c r="BR104" s="3" t="s">
        <v>1241</v>
      </c>
    </row>
    <row r="105" spans="1:70" x14ac:dyDescent="0.25">
      <c r="A105" s="3" t="s">
        <v>577</v>
      </c>
      <c r="B105" s="3" t="s">
        <v>578</v>
      </c>
      <c r="C105" s="3" t="s">
        <v>1242</v>
      </c>
      <c r="D105" s="3">
        <v>430</v>
      </c>
      <c r="E105" s="4">
        <v>46227</v>
      </c>
      <c r="F105" s="3">
        <v>7</v>
      </c>
      <c r="G105" s="4">
        <v>46224</v>
      </c>
      <c r="H105" s="4">
        <v>46227</v>
      </c>
      <c r="I105" s="3">
        <v>3</v>
      </c>
      <c r="J105" s="3" t="s">
        <v>579</v>
      </c>
      <c r="K105" s="4">
        <v>46228</v>
      </c>
      <c r="L105" s="3">
        <v>3</v>
      </c>
      <c r="M105" s="3" t="s">
        <v>579</v>
      </c>
      <c r="N105" s="3">
        <v>1</v>
      </c>
      <c r="O105" s="3" t="s">
        <v>546</v>
      </c>
      <c r="P105" s="3">
        <v>1</v>
      </c>
      <c r="Q105" s="3">
        <v>2</v>
      </c>
      <c r="R105" s="3" t="s">
        <v>579</v>
      </c>
      <c r="S105" s="4">
        <v>46230</v>
      </c>
      <c r="T105" s="3">
        <v>4</v>
      </c>
      <c r="U105" s="3" t="s">
        <v>543</v>
      </c>
      <c r="V105" s="3">
        <v>21</v>
      </c>
      <c r="W105" s="3" t="s">
        <v>547</v>
      </c>
      <c r="X105" s="4">
        <v>46253</v>
      </c>
      <c r="Y105" s="3">
        <v>17</v>
      </c>
      <c r="Z105" s="3">
        <v>17</v>
      </c>
      <c r="AA105" s="4" t="s">
        <v>547</v>
      </c>
      <c r="AB105" s="4">
        <v>46253</v>
      </c>
      <c r="AC105" s="4">
        <v>46253</v>
      </c>
      <c r="AD105" s="5">
        <v>0</v>
      </c>
      <c r="AE105" s="4">
        <v>46253</v>
      </c>
      <c r="AF105" s="4">
        <v>1</v>
      </c>
      <c r="AG105" s="4" t="s">
        <v>548</v>
      </c>
      <c r="AH105" s="3" t="s">
        <v>93</v>
      </c>
      <c r="AI105" s="3" t="s">
        <v>112</v>
      </c>
      <c r="AJ105" s="3" t="s">
        <v>1243</v>
      </c>
      <c r="AK105" s="3" t="s">
        <v>223</v>
      </c>
      <c r="AL105" s="3">
        <v>6001099</v>
      </c>
      <c r="AM105" s="3" t="s">
        <v>92</v>
      </c>
      <c r="AN105" s="3" t="s">
        <v>431</v>
      </c>
      <c r="AO105" s="3" t="s">
        <v>549</v>
      </c>
      <c r="AP105" s="3"/>
      <c r="AQ105" s="3" t="s">
        <v>550</v>
      </c>
      <c r="AR105" s="3" t="s">
        <v>90</v>
      </c>
      <c r="AS105" s="3"/>
      <c r="AT105" s="3" t="s">
        <v>117</v>
      </c>
      <c r="AU105" s="3"/>
      <c r="AV105" s="3" t="s">
        <v>117</v>
      </c>
      <c r="AW105" s="3" t="s">
        <v>576</v>
      </c>
      <c r="AX105" s="3" t="s">
        <v>552</v>
      </c>
      <c r="AY105" s="3" t="s">
        <v>580</v>
      </c>
      <c r="AZ105" s="3"/>
      <c r="BA105" s="3" t="s">
        <v>1185</v>
      </c>
      <c r="BB105" s="3" t="s">
        <v>554</v>
      </c>
      <c r="BC105" s="3">
        <v>0</v>
      </c>
      <c r="BD105" s="3">
        <v>99</v>
      </c>
      <c r="BE105" s="3" t="s">
        <v>1244</v>
      </c>
      <c r="BF105" s="3">
        <v>90</v>
      </c>
      <c r="BG105" s="3" t="s">
        <v>1245</v>
      </c>
      <c r="BH105" s="3" t="s">
        <v>611</v>
      </c>
      <c r="BI105" s="3"/>
      <c r="BJ105" s="3" t="s">
        <v>613</v>
      </c>
      <c r="BK105" s="3" t="s">
        <v>558</v>
      </c>
      <c r="BL105" s="3" t="s">
        <v>133</v>
      </c>
      <c r="BM105" s="3" t="s">
        <v>105</v>
      </c>
      <c r="BN105" s="3">
        <v>10665652</v>
      </c>
      <c r="BO105" s="3" t="s">
        <v>1246</v>
      </c>
      <c r="BP105" s="3" t="s">
        <v>223</v>
      </c>
      <c r="BQ105" s="3" t="s">
        <v>1247</v>
      </c>
      <c r="BR105" s="3" t="s">
        <v>1248</v>
      </c>
    </row>
    <row r="106" spans="1:70" x14ac:dyDescent="0.25">
      <c r="A106" s="3" t="s">
        <v>541</v>
      </c>
      <c r="B106" s="3" t="s">
        <v>542</v>
      </c>
      <c r="C106" s="3" t="s">
        <v>814</v>
      </c>
      <c r="D106" s="3">
        <v>470</v>
      </c>
      <c r="E106" s="4">
        <v>46261</v>
      </c>
      <c r="F106" s="3">
        <v>8</v>
      </c>
      <c r="G106" s="4">
        <v>46256</v>
      </c>
      <c r="H106" s="4">
        <v>46261</v>
      </c>
      <c r="I106" s="3">
        <v>3</v>
      </c>
      <c r="J106" s="3" t="s">
        <v>579</v>
      </c>
      <c r="K106" s="4">
        <v>46262</v>
      </c>
      <c r="L106" s="3">
        <v>4</v>
      </c>
      <c r="M106" s="3" t="s">
        <v>543</v>
      </c>
      <c r="N106" s="3">
        <v>1</v>
      </c>
      <c r="O106" s="3" t="s">
        <v>546</v>
      </c>
      <c r="P106" s="3">
        <v>1</v>
      </c>
      <c r="Q106" s="3">
        <v>0</v>
      </c>
      <c r="R106" s="3" t="s">
        <v>546</v>
      </c>
      <c r="S106" s="4">
        <v>46262</v>
      </c>
      <c r="T106" s="3">
        <v>4</v>
      </c>
      <c r="U106" s="3" t="s">
        <v>543</v>
      </c>
      <c r="V106" s="3">
        <v>11</v>
      </c>
      <c r="W106" s="3" t="s">
        <v>559</v>
      </c>
      <c r="X106" s="4">
        <v>46273</v>
      </c>
      <c r="Y106" s="3">
        <v>7</v>
      </c>
      <c r="Z106" s="3">
        <v>7</v>
      </c>
      <c r="AA106" s="4" t="s">
        <v>559</v>
      </c>
      <c r="AB106" s="4">
        <v>46273</v>
      </c>
      <c r="AC106" s="4">
        <v>46273</v>
      </c>
      <c r="AD106" s="5">
        <v>0</v>
      </c>
      <c r="AE106" s="4">
        <v>46273</v>
      </c>
      <c r="AF106" s="4">
        <v>1</v>
      </c>
      <c r="AG106" s="4" t="s">
        <v>548</v>
      </c>
      <c r="AH106" s="3" t="s">
        <v>93</v>
      </c>
      <c r="AI106" s="3" t="s">
        <v>285</v>
      </c>
      <c r="AJ106" s="3" t="s">
        <v>815</v>
      </c>
      <c r="AK106" s="3">
        <v>1076475068</v>
      </c>
      <c r="AL106" s="3">
        <v>6005227</v>
      </c>
      <c r="AM106" s="3" t="s">
        <v>92</v>
      </c>
      <c r="AN106" s="3" t="s">
        <v>570</v>
      </c>
      <c r="AO106" s="3" t="s">
        <v>549</v>
      </c>
      <c r="AP106" s="3"/>
      <c r="AQ106" s="3" t="s">
        <v>550</v>
      </c>
      <c r="AR106" s="3" t="s">
        <v>90</v>
      </c>
      <c r="AS106" s="3"/>
      <c r="AT106" s="3"/>
      <c r="AU106" s="3"/>
      <c r="AV106" s="3"/>
      <c r="AW106" s="3"/>
      <c r="AX106" s="3" t="s">
        <v>552</v>
      </c>
      <c r="AY106" s="3" t="s">
        <v>223</v>
      </c>
      <c r="AZ106" s="3"/>
      <c r="BA106" s="3" t="s">
        <v>816</v>
      </c>
      <c r="BB106" s="3" t="s">
        <v>554</v>
      </c>
      <c r="BC106" s="3">
        <v>0</v>
      </c>
      <c r="BD106" s="3">
        <v>99</v>
      </c>
      <c r="BE106" s="3" t="s">
        <v>817</v>
      </c>
      <c r="BF106" s="3">
        <v>90</v>
      </c>
      <c r="BG106" s="3" t="s">
        <v>818</v>
      </c>
      <c r="BH106" s="3" t="s">
        <v>563</v>
      </c>
      <c r="BI106" s="3"/>
      <c r="BJ106" s="3" t="s">
        <v>819</v>
      </c>
      <c r="BK106" s="3" t="s">
        <v>558</v>
      </c>
      <c r="BL106" s="3" t="s">
        <v>820</v>
      </c>
      <c r="BM106" s="3" t="s">
        <v>105</v>
      </c>
      <c r="BN106" s="3">
        <v>98564</v>
      </c>
      <c r="BO106" s="3" t="s">
        <v>821</v>
      </c>
      <c r="BP106" s="3" t="s">
        <v>822</v>
      </c>
      <c r="BQ106" s="3" t="s">
        <v>223</v>
      </c>
      <c r="BR106" s="3" t="s">
        <v>823</v>
      </c>
    </row>
    <row r="107" spans="1:70" x14ac:dyDescent="0.25">
      <c r="A107" s="3" t="s">
        <v>577</v>
      </c>
      <c r="B107" s="3" t="s">
        <v>578</v>
      </c>
      <c r="C107" s="3" t="s">
        <v>1045</v>
      </c>
      <c r="D107" s="3">
        <v>430</v>
      </c>
      <c r="E107" s="4">
        <v>46263</v>
      </c>
      <c r="F107" s="3">
        <v>8</v>
      </c>
      <c r="G107" s="4">
        <v>46257</v>
      </c>
      <c r="H107" s="4">
        <v>46263</v>
      </c>
      <c r="I107" s="3">
        <v>4</v>
      </c>
      <c r="J107" s="3" t="s">
        <v>543</v>
      </c>
      <c r="K107" s="4">
        <v>46266</v>
      </c>
      <c r="L107" s="3">
        <v>6</v>
      </c>
      <c r="M107" s="3" t="s">
        <v>544</v>
      </c>
      <c r="N107" s="3">
        <v>1</v>
      </c>
      <c r="O107" s="3" t="s">
        <v>546</v>
      </c>
      <c r="P107" s="3">
        <v>1</v>
      </c>
      <c r="Q107" s="3">
        <v>1</v>
      </c>
      <c r="R107" s="3" t="s">
        <v>546</v>
      </c>
      <c r="S107" s="4">
        <v>46267</v>
      </c>
      <c r="T107" s="3">
        <v>8</v>
      </c>
      <c r="U107" s="3" t="s">
        <v>544</v>
      </c>
      <c r="V107" s="3">
        <v>14</v>
      </c>
      <c r="W107" s="3" t="s">
        <v>559</v>
      </c>
      <c r="X107" s="4">
        <v>46275</v>
      </c>
      <c r="Y107" s="3">
        <v>5</v>
      </c>
      <c r="Z107" s="3">
        <v>6</v>
      </c>
      <c r="AA107" s="4" t="s">
        <v>544</v>
      </c>
      <c r="AB107" s="4">
        <v>46274</v>
      </c>
      <c r="AC107" s="4">
        <v>46275</v>
      </c>
      <c r="AD107" s="5">
        <v>1</v>
      </c>
      <c r="AE107" s="4">
        <v>46275</v>
      </c>
      <c r="AF107" s="4">
        <v>1</v>
      </c>
      <c r="AG107" s="4" t="s">
        <v>548</v>
      </c>
      <c r="AH107" s="3" t="s">
        <v>93</v>
      </c>
      <c r="AI107" s="3" t="s">
        <v>112</v>
      </c>
      <c r="AJ107" s="3">
        <v>272480287</v>
      </c>
      <c r="AK107" s="3" t="s">
        <v>223</v>
      </c>
      <c r="AL107" s="3">
        <v>6000708</v>
      </c>
      <c r="AM107" s="3" t="s">
        <v>92</v>
      </c>
      <c r="AN107" s="3" t="s">
        <v>199</v>
      </c>
      <c r="AO107" s="3" t="s">
        <v>549</v>
      </c>
      <c r="AP107" s="3"/>
      <c r="AQ107" s="3" t="s">
        <v>550</v>
      </c>
      <c r="AR107" s="3" t="s">
        <v>90</v>
      </c>
      <c r="AS107" s="3"/>
      <c r="AT107" s="3" t="s">
        <v>397</v>
      </c>
      <c r="AU107" s="3"/>
      <c r="AV107" s="3"/>
      <c r="AW107" s="3" t="s">
        <v>576</v>
      </c>
      <c r="AX107" s="3" t="s">
        <v>552</v>
      </c>
      <c r="AY107" s="3" t="s">
        <v>607</v>
      </c>
      <c r="AZ107" s="3" t="s">
        <v>1046</v>
      </c>
      <c r="BA107" s="3"/>
      <c r="BB107" s="3" t="s">
        <v>554</v>
      </c>
      <c r="BC107" s="3">
        <v>0</v>
      </c>
      <c r="BD107" s="3" t="s">
        <v>615</v>
      </c>
      <c r="BE107" s="3" t="s">
        <v>1047</v>
      </c>
      <c r="BF107" s="3">
        <v>90</v>
      </c>
      <c r="BG107" s="3" t="s">
        <v>1048</v>
      </c>
      <c r="BH107" s="3" t="s">
        <v>617</v>
      </c>
      <c r="BI107" s="3"/>
      <c r="BJ107" s="3" t="s">
        <v>557</v>
      </c>
      <c r="BK107" s="3" t="s">
        <v>558</v>
      </c>
      <c r="BL107" s="3" t="s">
        <v>197</v>
      </c>
      <c r="BM107" s="3" t="s">
        <v>105</v>
      </c>
      <c r="BN107" s="3">
        <v>492005</v>
      </c>
      <c r="BO107" s="3" t="s">
        <v>1049</v>
      </c>
      <c r="BP107" s="3" t="s">
        <v>1050</v>
      </c>
      <c r="BQ107" s="3" t="s">
        <v>223</v>
      </c>
      <c r="BR107" s="3" t="s">
        <v>1051</v>
      </c>
    </row>
    <row r="108" spans="1:70" x14ac:dyDescent="0.25">
      <c r="A108" s="3" t="s">
        <v>577</v>
      </c>
      <c r="B108" s="3" t="s">
        <v>578</v>
      </c>
      <c r="C108" s="3" t="s">
        <v>1235</v>
      </c>
      <c r="D108" s="3">
        <v>430</v>
      </c>
      <c r="E108" s="4">
        <v>46242</v>
      </c>
      <c r="F108" s="3">
        <v>8</v>
      </c>
      <c r="G108" s="4">
        <v>46220</v>
      </c>
      <c r="H108" s="4">
        <v>46242</v>
      </c>
      <c r="I108" s="3">
        <v>15</v>
      </c>
      <c r="J108" s="3" t="s">
        <v>559</v>
      </c>
      <c r="K108" s="4">
        <v>46242</v>
      </c>
      <c r="L108" s="3">
        <v>15</v>
      </c>
      <c r="M108" s="3" t="s">
        <v>559</v>
      </c>
      <c r="N108" s="3">
        <v>0</v>
      </c>
      <c r="O108" s="3" t="s">
        <v>546</v>
      </c>
      <c r="P108" s="3">
        <v>0</v>
      </c>
      <c r="Q108" s="3">
        <v>-46240</v>
      </c>
      <c r="R108" s="3" t="s">
        <v>545</v>
      </c>
      <c r="S108" s="4"/>
      <c r="T108" s="3">
        <v>0</v>
      </c>
      <c r="U108" s="3" t="s">
        <v>569</v>
      </c>
      <c r="V108" s="3">
        <v>29</v>
      </c>
      <c r="W108" s="3" t="s">
        <v>547</v>
      </c>
      <c r="X108" s="4">
        <v>46261</v>
      </c>
      <c r="Y108" s="3" t="s">
        <v>223</v>
      </c>
      <c r="Z108" s="3">
        <v>33043</v>
      </c>
      <c r="AA108" s="4" t="s">
        <v>545</v>
      </c>
      <c r="AB108" s="4">
        <v>46260</v>
      </c>
      <c r="AC108" s="4">
        <v>46261</v>
      </c>
      <c r="AD108" s="5">
        <v>1</v>
      </c>
      <c r="AE108" s="4">
        <v>46261</v>
      </c>
      <c r="AF108" s="4">
        <v>0</v>
      </c>
      <c r="AG108" s="4" t="s">
        <v>548</v>
      </c>
      <c r="AH108" s="3" t="s">
        <v>342</v>
      </c>
      <c r="AI108" s="3" t="s">
        <v>112</v>
      </c>
      <c r="AJ108" s="3" t="s">
        <v>1225</v>
      </c>
      <c r="AK108" s="3" t="s">
        <v>223</v>
      </c>
      <c r="AL108" s="3">
        <v>6001174</v>
      </c>
      <c r="AM108" s="3" t="s">
        <v>92</v>
      </c>
      <c r="AN108" s="3" t="s">
        <v>1226</v>
      </c>
      <c r="AO108" s="3" t="s">
        <v>549</v>
      </c>
      <c r="AP108" s="3"/>
      <c r="AQ108" s="3" t="s">
        <v>550</v>
      </c>
      <c r="AR108" s="3" t="s">
        <v>90</v>
      </c>
      <c r="AS108" s="3"/>
      <c r="AT108" s="3"/>
      <c r="AU108" s="3"/>
      <c r="AV108" s="3"/>
      <c r="AW108" s="3"/>
      <c r="AX108" s="3" t="s">
        <v>620</v>
      </c>
      <c r="AY108" s="3" t="s">
        <v>223</v>
      </c>
      <c r="AZ108" s="3"/>
      <c r="BA108" s="3"/>
      <c r="BB108" s="3" t="s">
        <v>554</v>
      </c>
      <c r="BC108" s="3">
        <v>0</v>
      </c>
      <c r="BD108" s="3" t="s">
        <v>1227</v>
      </c>
      <c r="BE108" s="3" t="s">
        <v>1228</v>
      </c>
      <c r="BF108" s="3">
        <v>90</v>
      </c>
      <c r="BG108" s="3" t="s">
        <v>1229</v>
      </c>
      <c r="BH108" s="3" t="s">
        <v>1230</v>
      </c>
      <c r="BI108" s="3"/>
      <c r="BJ108" s="3" t="s">
        <v>557</v>
      </c>
      <c r="BK108" s="3" t="s">
        <v>558</v>
      </c>
      <c r="BL108" s="3" t="s">
        <v>197</v>
      </c>
      <c r="BM108" s="3" t="s">
        <v>105</v>
      </c>
      <c r="BN108" s="3">
        <v>714986</v>
      </c>
      <c r="BO108" s="3" t="s">
        <v>795</v>
      </c>
      <c r="BP108" s="3" t="s">
        <v>223</v>
      </c>
      <c r="BQ108" s="3" t="s">
        <v>223</v>
      </c>
      <c r="BR108" s="3" t="s">
        <v>1234</v>
      </c>
    </row>
    <row r="109" spans="1:70" x14ac:dyDescent="0.25">
      <c r="A109" s="3" t="s">
        <v>577</v>
      </c>
      <c r="B109" s="3" t="s">
        <v>578</v>
      </c>
      <c r="C109" s="3" t="s">
        <v>1249</v>
      </c>
      <c r="D109" s="3">
        <v>430</v>
      </c>
      <c r="E109" s="4">
        <v>46241</v>
      </c>
      <c r="F109" s="3">
        <v>8</v>
      </c>
      <c r="G109" s="4">
        <v>46238</v>
      </c>
      <c r="H109" s="4">
        <v>46241</v>
      </c>
      <c r="I109" s="3">
        <v>3</v>
      </c>
      <c r="J109" s="3" t="s">
        <v>579</v>
      </c>
      <c r="K109" s="4">
        <v>46242</v>
      </c>
      <c r="L109" s="3">
        <v>3</v>
      </c>
      <c r="M109" s="3" t="s">
        <v>579</v>
      </c>
      <c r="N109" s="3">
        <v>1</v>
      </c>
      <c r="O109" s="3" t="s">
        <v>546</v>
      </c>
      <c r="P109" s="3">
        <v>1</v>
      </c>
      <c r="Q109" s="3">
        <v>2</v>
      </c>
      <c r="R109" s="3" t="s">
        <v>579</v>
      </c>
      <c r="S109" s="4">
        <v>46244</v>
      </c>
      <c r="T109" s="3">
        <v>4</v>
      </c>
      <c r="U109" s="3" t="s">
        <v>543</v>
      </c>
      <c r="V109" s="3">
        <v>15</v>
      </c>
      <c r="W109" s="3" t="s">
        <v>559</v>
      </c>
      <c r="X109" s="4">
        <v>46259</v>
      </c>
      <c r="Y109" s="3">
        <v>10</v>
      </c>
      <c r="Z109" s="3">
        <v>11</v>
      </c>
      <c r="AA109" s="4" t="s">
        <v>559</v>
      </c>
      <c r="AB109" s="4">
        <v>46258</v>
      </c>
      <c r="AC109" s="4">
        <v>46259</v>
      </c>
      <c r="AD109" s="5">
        <v>1</v>
      </c>
      <c r="AE109" s="4">
        <v>46259</v>
      </c>
      <c r="AF109" s="4">
        <v>1</v>
      </c>
      <c r="AG109" s="4" t="s">
        <v>548</v>
      </c>
      <c r="AH109" s="3" t="s">
        <v>93</v>
      </c>
      <c r="AI109" s="3" t="s">
        <v>112</v>
      </c>
      <c r="AJ109" s="3" t="s">
        <v>1250</v>
      </c>
      <c r="AK109" s="3" t="s">
        <v>223</v>
      </c>
      <c r="AL109" s="3">
        <v>6001134</v>
      </c>
      <c r="AM109" s="3" t="s">
        <v>92</v>
      </c>
      <c r="AN109" s="3" t="s">
        <v>386</v>
      </c>
      <c r="AO109" s="3" t="s">
        <v>549</v>
      </c>
      <c r="AP109" s="3"/>
      <c r="AQ109" s="3" t="s">
        <v>550</v>
      </c>
      <c r="AR109" s="3" t="s">
        <v>90</v>
      </c>
      <c r="AS109" s="3"/>
      <c r="AT109" s="3"/>
      <c r="AU109" s="3"/>
      <c r="AV109" s="3"/>
      <c r="AW109" s="3" t="s">
        <v>576</v>
      </c>
      <c r="AX109" s="3" t="s">
        <v>552</v>
      </c>
      <c r="AY109" s="3" t="s">
        <v>580</v>
      </c>
      <c r="AZ109" s="3"/>
      <c r="BA109" s="3" t="s">
        <v>589</v>
      </c>
      <c r="BB109" s="3" t="s">
        <v>554</v>
      </c>
      <c r="BC109" s="3">
        <v>0</v>
      </c>
      <c r="BD109" s="3">
        <v>99</v>
      </c>
      <c r="BE109" s="3" t="s">
        <v>1251</v>
      </c>
      <c r="BF109" s="3">
        <v>90</v>
      </c>
      <c r="BG109" s="3" t="s">
        <v>1252</v>
      </c>
      <c r="BH109" s="3" t="s">
        <v>563</v>
      </c>
      <c r="BI109" s="3"/>
      <c r="BJ109" s="3" t="s">
        <v>613</v>
      </c>
      <c r="BK109" s="3" t="s">
        <v>558</v>
      </c>
      <c r="BL109" s="3" t="s">
        <v>133</v>
      </c>
      <c r="BM109" s="3" t="s">
        <v>105</v>
      </c>
      <c r="BN109" s="3">
        <v>11169360</v>
      </c>
      <c r="BO109" s="3" t="s">
        <v>1253</v>
      </c>
      <c r="BP109" s="3" t="s">
        <v>223</v>
      </c>
      <c r="BQ109" s="3" t="s">
        <v>1254</v>
      </c>
      <c r="BR109" s="3" t="s">
        <v>1255</v>
      </c>
    </row>
    <row r="110" spans="1:70" x14ac:dyDescent="0.25">
      <c r="A110" s="3" t="s">
        <v>577</v>
      </c>
      <c r="B110" s="3" t="s">
        <v>578</v>
      </c>
      <c r="C110" s="3" t="s">
        <v>1256</v>
      </c>
      <c r="D110" s="3">
        <v>430</v>
      </c>
      <c r="E110" s="4">
        <v>46249</v>
      </c>
      <c r="F110" s="3">
        <v>8</v>
      </c>
      <c r="G110" s="4">
        <v>46238</v>
      </c>
      <c r="H110" s="4">
        <v>46249</v>
      </c>
      <c r="I110" s="3">
        <v>8</v>
      </c>
      <c r="J110" s="3" t="s">
        <v>544</v>
      </c>
      <c r="K110" s="4">
        <v>46251</v>
      </c>
      <c r="L110" s="3">
        <v>9</v>
      </c>
      <c r="M110" s="3" t="s">
        <v>544</v>
      </c>
      <c r="N110" s="3">
        <v>0</v>
      </c>
      <c r="O110" s="3" t="s">
        <v>546</v>
      </c>
      <c r="P110" s="3">
        <v>0</v>
      </c>
      <c r="Q110" s="3">
        <v>1</v>
      </c>
      <c r="R110" s="3" t="s">
        <v>546</v>
      </c>
      <c r="S110" s="4">
        <v>46252</v>
      </c>
      <c r="T110" s="3">
        <v>10</v>
      </c>
      <c r="U110" s="3" t="s">
        <v>544</v>
      </c>
      <c r="V110" s="3">
        <v>20</v>
      </c>
      <c r="W110" s="3" t="s">
        <v>547</v>
      </c>
      <c r="X110" s="4">
        <v>46266</v>
      </c>
      <c r="Y110" s="3" t="s">
        <v>223</v>
      </c>
      <c r="Z110" s="3">
        <v>10</v>
      </c>
      <c r="AA110" s="4" t="s">
        <v>559</v>
      </c>
      <c r="AB110" s="4"/>
      <c r="AC110" s="4">
        <v>46266</v>
      </c>
      <c r="AD110" s="5" t="s">
        <v>223</v>
      </c>
      <c r="AE110" s="4">
        <v>46266</v>
      </c>
      <c r="AF110" s="4">
        <v>1</v>
      </c>
      <c r="AG110" s="4" t="s">
        <v>548</v>
      </c>
      <c r="AH110" s="3" t="s">
        <v>93</v>
      </c>
      <c r="AI110" s="3" t="s">
        <v>112</v>
      </c>
      <c r="AJ110" s="3" t="s">
        <v>1257</v>
      </c>
      <c r="AK110" s="3" t="s">
        <v>223</v>
      </c>
      <c r="AL110" s="3">
        <v>6001135</v>
      </c>
      <c r="AM110" s="3" t="s">
        <v>92</v>
      </c>
      <c r="AN110" s="3" t="s">
        <v>1258</v>
      </c>
      <c r="AO110" s="3" t="s">
        <v>549</v>
      </c>
      <c r="AP110" s="3"/>
      <c r="AQ110" s="3" t="s">
        <v>550</v>
      </c>
      <c r="AR110" s="3" t="s">
        <v>90</v>
      </c>
      <c r="AS110" s="3"/>
      <c r="AT110" s="3" t="s">
        <v>107</v>
      </c>
      <c r="AU110" s="3"/>
      <c r="AV110" s="3" t="s">
        <v>107</v>
      </c>
      <c r="AW110" s="3" t="s">
        <v>576</v>
      </c>
      <c r="AX110" s="3" t="s">
        <v>552</v>
      </c>
      <c r="AY110" s="3" t="s">
        <v>580</v>
      </c>
      <c r="AZ110" s="3"/>
      <c r="BA110" s="3" t="s">
        <v>643</v>
      </c>
      <c r="BB110" s="3" t="s">
        <v>554</v>
      </c>
      <c r="BC110" s="3">
        <v>0</v>
      </c>
      <c r="BD110" s="3">
        <v>99</v>
      </c>
      <c r="BE110" s="3" t="s">
        <v>1259</v>
      </c>
      <c r="BF110" s="3">
        <v>90</v>
      </c>
      <c r="BG110" s="3" t="s">
        <v>1260</v>
      </c>
      <c r="BH110" s="3" t="s">
        <v>702</v>
      </c>
      <c r="BI110" s="3"/>
      <c r="BJ110" s="3" t="s">
        <v>558</v>
      </c>
      <c r="BK110" s="3" t="s">
        <v>558</v>
      </c>
      <c r="BL110" s="3" t="s">
        <v>105</v>
      </c>
      <c r="BM110" s="3" t="s">
        <v>105</v>
      </c>
      <c r="BN110" s="3">
        <v>32940828</v>
      </c>
      <c r="BO110" s="3" t="s">
        <v>802</v>
      </c>
      <c r="BP110" s="3" t="s">
        <v>223</v>
      </c>
      <c r="BQ110" s="3" t="s">
        <v>223</v>
      </c>
      <c r="BR110" s="3" t="s">
        <v>1261</v>
      </c>
    </row>
    <row r="111" spans="1:70" x14ac:dyDescent="0.25">
      <c r="A111" s="3" t="s">
        <v>577</v>
      </c>
      <c r="B111" s="3" t="s">
        <v>578</v>
      </c>
      <c r="C111" s="3" t="s">
        <v>1262</v>
      </c>
      <c r="D111" s="3">
        <v>430</v>
      </c>
      <c r="E111" s="4">
        <v>46252</v>
      </c>
      <c r="F111" s="3">
        <v>8</v>
      </c>
      <c r="G111" s="4">
        <v>46238</v>
      </c>
      <c r="H111" s="4">
        <v>46252</v>
      </c>
      <c r="I111" s="3">
        <v>10</v>
      </c>
      <c r="J111" s="3" t="s">
        <v>544</v>
      </c>
      <c r="K111" s="4">
        <v>46252</v>
      </c>
      <c r="L111" s="3">
        <v>10</v>
      </c>
      <c r="M111" s="3" t="s">
        <v>544</v>
      </c>
      <c r="N111" s="3">
        <v>0</v>
      </c>
      <c r="O111" s="3" t="s">
        <v>546</v>
      </c>
      <c r="P111" s="3">
        <v>0</v>
      </c>
      <c r="Q111" s="3">
        <v>1</v>
      </c>
      <c r="R111" s="3" t="s">
        <v>546</v>
      </c>
      <c r="S111" s="4">
        <v>46253</v>
      </c>
      <c r="T111" s="3">
        <v>11</v>
      </c>
      <c r="U111" s="3" t="s">
        <v>559</v>
      </c>
      <c r="V111" s="3">
        <v>20</v>
      </c>
      <c r="W111" s="3" t="s">
        <v>547</v>
      </c>
      <c r="X111" s="4">
        <v>46266</v>
      </c>
      <c r="Y111" s="3">
        <v>9</v>
      </c>
      <c r="Z111" s="3">
        <v>9</v>
      </c>
      <c r="AA111" s="4" t="s">
        <v>559</v>
      </c>
      <c r="AB111" s="4">
        <v>46266</v>
      </c>
      <c r="AC111" s="4">
        <v>46266</v>
      </c>
      <c r="AD111" s="5">
        <v>0</v>
      </c>
      <c r="AE111" s="4">
        <v>46266</v>
      </c>
      <c r="AF111" s="4">
        <v>1</v>
      </c>
      <c r="AG111" s="4" t="s">
        <v>548</v>
      </c>
      <c r="AH111" s="3" t="s">
        <v>93</v>
      </c>
      <c r="AI111" s="3" t="s">
        <v>112</v>
      </c>
      <c r="AJ111" s="3" t="s">
        <v>1263</v>
      </c>
      <c r="AK111" s="3" t="s">
        <v>223</v>
      </c>
      <c r="AL111" s="3">
        <v>6001136</v>
      </c>
      <c r="AM111" s="3" t="s">
        <v>92</v>
      </c>
      <c r="AN111" s="3" t="s">
        <v>137</v>
      </c>
      <c r="AO111" s="3" t="s">
        <v>549</v>
      </c>
      <c r="AP111" s="3"/>
      <c r="AQ111" s="3" t="s">
        <v>550</v>
      </c>
      <c r="AR111" s="3" t="s">
        <v>90</v>
      </c>
      <c r="AS111" s="3"/>
      <c r="AT111" s="3"/>
      <c r="AU111" s="3"/>
      <c r="AV111" s="3"/>
      <c r="AW111" s="3" t="s">
        <v>576</v>
      </c>
      <c r="AX111" s="3" t="s">
        <v>552</v>
      </c>
      <c r="AY111" s="3" t="s">
        <v>607</v>
      </c>
      <c r="AZ111" s="3" t="s">
        <v>1264</v>
      </c>
      <c r="BA111" s="3"/>
      <c r="BB111" s="3" t="s">
        <v>554</v>
      </c>
      <c r="BC111" s="3">
        <v>0</v>
      </c>
      <c r="BD111" s="3">
        <v>99</v>
      </c>
      <c r="BE111" s="3" t="s">
        <v>1265</v>
      </c>
      <c r="BF111" s="3">
        <v>90</v>
      </c>
      <c r="BG111" s="3" t="s">
        <v>1266</v>
      </c>
      <c r="BH111" s="3" t="s">
        <v>646</v>
      </c>
      <c r="BI111" s="3"/>
      <c r="BJ111" s="3" t="s">
        <v>613</v>
      </c>
      <c r="BK111" s="3" t="s">
        <v>558</v>
      </c>
      <c r="BL111" s="3" t="s">
        <v>133</v>
      </c>
      <c r="BM111" s="3" t="s">
        <v>105</v>
      </c>
      <c r="BN111" s="3">
        <v>13828615</v>
      </c>
      <c r="BO111" s="3" t="s">
        <v>1267</v>
      </c>
      <c r="BP111" s="3" t="s">
        <v>223</v>
      </c>
      <c r="BQ111" s="3" t="s">
        <v>1268</v>
      </c>
      <c r="BR111" s="3" t="s">
        <v>1269</v>
      </c>
    </row>
    <row r="112" spans="1:70" x14ac:dyDescent="0.25">
      <c r="A112" s="3" t="s">
        <v>577</v>
      </c>
      <c r="B112" s="3" t="s">
        <v>578</v>
      </c>
      <c r="C112" s="3" t="s">
        <v>1270</v>
      </c>
      <c r="D112" s="3">
        <v>430</v>
      </c>
      <c r="E112" s="4">
        <v>46248</v>
      </c>
      <c r="F112" s="3">
        <v>8</v>
      </c>
      <c r="G112" s="4">
        <v>46244</v>
      </c>
      <c r="H112" s="4">
        <v>46248</v>
      </c>
      <c r="I112" s="3">
        <v>4</v>
      </c>
      <c r="J112" s="3" t="s">
        <v>543</v>
      </c>
      <c r="K112" s="4">
        <v>46249</v>
      </c>
      <c r="L112" s="3">
        <v>4</v>
      </c>
      <c r="M112" s="3" t="s">
        <v>543</v>
      </c>
      <c r="N112" s="3">
        <v>1</v>
      </c>
      <c r="O112" s="3" t="s">
        <v>546</v>
      </c>
      <c r="P112" s="3">
        <v>1</v>
      </c>
      <c r="Q112" s="3">
        <v>2</v>
      </c>
      <c r="R112" s="3" t="s">
        <v>579</v>
      </c>
      <c r="S112" s="4">
        <v>46251</v>
      </c>
      <c r="T112" s="3">
        <v>5</v>
      </c>
      <c r="U112" s="3" t="s">
        <v>543</v>
      </c>
      <c r="V112" s="3">
        <v>18</v>
      </c>
      <c r="W112" s="3" t="s">
        <v>547</v>
      </c>
      <c r="X112" s="4">
        <v>46268</v>
      </c>
      <c r="Y112" s="3">
        <v>11</v>
      </c>
      <c r="Z112" s="3">
        <v>13</v>
      </c>
      <c r="AA112" s="4" t="s">
        <v>547</v>
      </c>
      <c r="AB112" s="4">
        <v>46266</v>
      </c>
      <c r="AC112" s="4">
        <v>46268</v>
      </c>
      <c r="AD112" s="5">
        <v>2</v>
      </c>
      <c r="AE112" s="4">
        <v>46268</v>
      </c>
      <c r="AF112" s="4">
        <v>1</v>
      </c>
      <c r="AG112" s="4" t="s">
        <v>548</v>
      </c>
      <c r="AH112" s="3" t="s">
        <v>93</v>
      </c>
      <c r="AI112" s="3" t="s">
        <v>112</v>
      </c>
      <c r="AJ112" s="3">
        <v>272820837</v>
      </c>
      <c r="AK112" s="3" t="s">
        <v>223</v>
      </c>
      <c r="AL112" s="3">
        <v>6001158</v>
      </c>
      <c r="AM112" s="3" t="s">
        <v>92</v>
      </c>
      <c r="AN112" s="3" t="s">
        <v>1105</v>
      </c>
      <c r="AO112" s="3" t="s">
        <v>549</v>
      </c>
      <c r="AP112" s="3"/>
      <c r="AQ112" s="3" t="s">
        <v>550</v>
      </c>
      <c r="AR112" s="3" t="s">
        <v>90</v>
      </c>
      <c r="AS112" s="3"/>
      <c r="AT112" s="3" t="s">
        <v>117</v>
      </c>
      <c r="AU112" s="3"/>
      <c r="AV112" s="3" t="s">
        <v>117</v>
      </c>
      <c r="AW112" s="3" t="s">
        <v>576</v>
      </c>
      <c r="AX112" s="3" t="s">
        <v>552</v>
      </c>
      <c r="AY112" s="3" t="s">
        <v>607</v>
      </c>
      <c r="AZ112" s="3" t="s">
        <v>1169</v>
      </c>
      <c r="BA112" s="3"/>
      <c r="BB112" s="3" t="s">
        <v>554</v>
      </c>
      <c r="BC112" s="3">
        <v>0</v>
      </c>
      <c r="BD112" s="3">
        <v>99</v>
      </c>
      <c r="BE112" s="3" t="s">
        <v>1271</v>
      </c>
      <c r="BF112" s="3">
        <v>90</v>
      </c>
      <c r="BG112" s="3" t="s">
        <v>1108</v>
      </c>
      <c r="BH112" s="3" t="s">
        <v>563</v>
      </c>
      <c r="BI112" s="3"/>
      <c r="BJ112" s="3" t="s">
        <v>619</v>
      </c>
      <c r="BK112" s="3" t="s">
        <v>558</v>
      </c>
      <c r="BL112" s="3" t="s">
        <v>189</v>
      </c>
      <c r="BM112" s="3" t="s">
        <v>105</v>
      </c>
      <c r="BN112" s="3">
        <v>1177556</v>
      </c>
      <c r="BO112" s="3" t="s">
        <v>1109</v>
      </c>
      <c r="BP112" s="3" t="s">
        <v>223</v>
      </c>
      <c r="BQ112" s="3" t="s">
        <v>1110</v>
      </c>
      <c r="BR112" s="3" t="s">
        <v>1272</v>
      </c>
    </row>
    <row r="113" spans="1:70" x14ac:dyDescent="0.25">
      <c r="A113" s="3" t="s">
        <v>577</v>
      </c>
      <c r="B113" s="3" t="s">
        <v>578</v>
      </c>
      <c r="C113" s="3" t="s">
        <v>1273</v>
      </c>
      <c r="D113" s="3">
        <v>430</v>
      </c>
      <c r="E113" s="4">
        <v>46252</v>
      </c>
      <c r="F113" s="3">
        <v>8</v>
      </c>
      <c r="G113" s="4">
        <v>46248</v>
      </c>
      <c r="H113" s="4">
        <v>46252</v>
      </c>
      <c r="I113" s="3">
        <v>2</v>
      </c>
      <c r="J113" s="3" t="s">
        <v>579</v>
      </c>
      <c r="K113" s="4">
        <v>46252</v>
      </c>
      <c r="L113" s="3">
        <v>2</v>
      </c>
      <c r="M113" s="3" t="s">
        <v>579</v>
      </c>
      <c r="N113" s="3">
        <v>0</v>
      </c>
      <c r="O113" s="3" t="s">
        <v>546</v>
      </c>
      <c r="P113" s="3">
        <v>0</v>
      </c>
      <c r="Q113" s="3">
        <v>1</v>
      </c>
      <c r="R113" s="3" t="s">
        <v>546</v>
      </c>
      <c r="S113" s="4">
        <v>46253</v>
      </c>
      <c r="T113" s="3">
        <v>3</v>
      </c>
      <c r="U113" s="3" t="s">
        <v>579</v>
      </c>
      <c r="V113" s="3">
        <v>12</v>
      </c>
      <c r="W113" s="3" t="s">
        <v>559</v>
      </c>
      <c r="X113" s="4">
        <v>46266</v>
      </c>
      <c r="Y113" s="3">
        <v>9</v>
      </c>
      <c r="Z113" s="3">
        <v>9</v>
      </c>
      <c r="AA113" s="4" t="s">
        <v>559</v>
      </c>
      <c r="AB113" s="4">
        <v>46266</v>
      </c>
      <c r="AC113" s="4">
        <v>46266</v>
      </c>
      <c r="AD113" s="5">
        <v>0</v>
      </c>
      <c r="AE113" s="4">
        <v>46266</v>
      </c>
      <c r="AF113" s="4">
        <v>1</v>
      </c>
      <c r="AG113" s="4" t="s">
        <v>548</v>
      </c>
      <c r="AH113" s="3" t="s">
        <v>93</v>
      </c>
      <c r="AI113" s="3" t="s">
        <v>112</v>
      </c>
      <c r="AJ113" s="3" t="s">
        <v>1274</v>
      </c>
      <c r="AK113" s="3" t="s">
        <v>223</v>
      </c>
      <c r="AL113" s="3">
        <v>6001180</v>
      </c>
      <c r="AM113" s="3" t="s">
        <v>92</v>
      </c>
      <c r="AN113" s="3" t="s">
        <v>386</v>
      </c>
      <c r="AO113" s="3" t="s">
        <v>549</v>
      </c>
      <c r="AP113" s="3"/>
      <c r="AQ113" s="3" t="s">
        <v>550</v>
      </c>
      <c r="AR113" s="3" t="s">
        <v>90</v>
      </c>
      <c r="AS113" s="3"/>
      <c r="AT113" s="3" t="s">
        <v>117</v>
      </c>
      <c r="AU113" s="3"/>
      <c r="AV113" s="3" t="s">
        <v>117</v>
      </c>
      <c r="AW113" s="3" t="s">
        <v>576</v>
      </c>
      <c r="AX113" s="3" t="s">
        <v>552</v>
      </c>
      <c r="AY113" s="3" t="s">
        <v>580</v>
      </c>
      <c r="AZ113" s="3"/>
      <c r="BA113" s="3" t="s">
        <v>597</v>
      </c>
      <c r="BB113" s="3" t="s">
        <v>554</v>
      </c>
      <c r="BC113" s="3">
        <v>0</v>
      </c>
      <c r="BD113" s="3">
        <v>99</v>
      </c>
      <c r="BE113" s="3" t="s">
        <v>1275</v>
      </c>
      <c r="BF113" s="3">
        <v>90</v>
      </c>
      <c r="BG113" s="3" t="s">
        <v>1276</v>
      </c>
      <c r="BH113" s="3" t="s">
        <v>611</v>
      </c>
      <c r="BI113" s="3"/>
      <c r="BJ113" s="3" t="s">
        <v>613</v>
      </c>
      <c r="BK113" s="3" t="s">
        <v>558</v>
      </c>
      <c r="BL113" s="3" t="s">
        <v>133</v>
      </c>
      <c r="BM113" s="3" t="s">
        <v>105</v>
      </c>
      <c r="BN113" s="3">
        <v>7624505</v>
      </c>
      <c r="BO113" s="3" t="s">
        <v>1277</v>
      </c>
      <c r="BP113" s="3" t="s">
        <v>223</v>
      </c>
      <c r="BQ113" s="3" t="s">
        <v>1278</v>
      </c>
      <c r="BR113" s="3" t="s">
        <v>1279</v>
      </c>
    </row>
    <row r="114" spans="1:70" x14ac:dyDescent="0.25">
      <c r="A114" s="3" t="s">
        <v>577</v>
      </c>
      <c r="B114" s="3" t="s">
        <v>578</v>
      </c>
      <c r="C114" s="3" t="s">
        <v>1280</v>
      </c>
      <c r="D114" s="3">
        <v>430</v>
      </c>
      <c r="E114" s="4">
        <v>46252</v>
      </c>
      <c r="F114" s="3">
        <v>8</v>
      </c>
      <c r="G114" s="4">
        <v>46248</v>
      </c>
      <c r="H114" s="4">
        <v>46252</v>
      </c>
      <c r="I114" s="3">
        <v>2</v>
      </c>
      <c r="J114" s="3" t="s">
        <v>579</v>
      </c>
      <c r="K114" s="4">
        <v>46252</v>
      </c>
      <c r="L114" s="3">
        <v>2</v>
      </c>
      <c r="M114" s="3" t="s">
        <v>579</v>
      </c>
      <c r="N114" s="3">
        <v>0</v>
      </c>
      <c r="O114" s="3" t="s">
        <v>546</v>
      </c>
      <c r="P114" s="3">
        <v>0</v>
      </c>
      <c r="Q114" s="3">
        <v>1</v>
      </c>
      <c r="R114" s="3" t="s">
        <v>546</v>
      </c>
      <c r="S114" s="4">
        <v>46253</v>
      </c>
      <c r="T114" s="3">
        <v>3</v>
      </c>
      <c r="U114" s="3" t="s">
        <v>579</v>
      </c>
      <c r="V114" s="3">
        <v>12</v>
      </c>
      <c r="W114" s="3" t="s">
        <v>559</v>
      </c>
      <c r="X114" s="4">
        <v>46266</v>
      </c>
      <c r="Y114" s="3">
        <v>9</v>
      </c>
      <c r="Z114" s="3">
        <v>9</v>
      </c>
      <c r="AA114" s="4" t="s">
        <v>559</v>
      </c>
      <c r="AB114" s="4">
        <v>46266</v>
      </c>
      <c r="AC114" s="4">
        <v>46266</v>
      </c>
      <c r="AD114" s="5">
        <v>0</v>
      </c>
      <c r="AE114" s="4">
        <v>46266</v>
      </c>
      <c r="AF114" s="4">
        <v>1</v>
      </c>
      <c r="AG114" s="4" t="s">
        <v>548</v>
      </c>
      <c r="AH114" s="3" t="s">
        <v>93</v>
      </c>
      <c r="AI114" s="3" t="s">
        <v>112</v>
      </c>
      <c r="AJ114" s="3" t="s">
        <v>1281</v>
      </c>
      <c r="AK114" s="3" t="s">
        <v>223</v>
      </c>
      <c r="AL114" s="3">
        <v>6001181</v>
      </c>
      <c r="AM114" s="3" t="s">
        <v>92</v>
      </c>
      <c r="AN114" s="3" t="s">
        <v>256</v>
      </c>
      <c r="AO114" s="3" t="s">
        <v>549</v>
      </c>
      <c r="AP114" s="3"/>
      <c r="AQ114" s="3" t="s">
        <v>550</v>
      </c>
      <c r="AR114" s="3" t="s">
        <v>90</v>
      </c>
      <c r="AS114" s="3"/>
      <c r="AT114" s="3" t="s">
        <v>117</v>
      </c>
      <c r="AU114" s="3"/>
      <c r="AV114" s="3" t="s">
        <v>117</v>
      </c>
      <c r="AW114" s="3" t="s">
        <v>576</v>
      </c>
      <c r="AX114" s="3" t="s">
        <v>552</v>
      </c>
      <c r="AY114" s="3" t="s">
        <v>580</v>
      </c>
      <c r="AZ114" s="3"/>
      <c r="BA114" s="3" t="s">
        <v>597</v>
      </c>
      <c r="BB114" s="3" t="s">
        <v>554</v>
      </c>
      <c r="BC114" s="3">
        <v>0</v>
      </c>
      <c r="BD114" s="3">
        <v>99</v>
      </c>
      <c r="BE114" s="3" t="s">
        <v>1282</v>
      </c>
      <c r="BF114" s="3">
        <v>90</v>
      </c>
      <c r="BG114" s="3" t="s">
        <v>1283</v>
      </c>
      <c r="BH114" s="3" t="s">
        <v>611</v>
      </c>
      <c r="BI114" s="3"/>
      <c r="BJ114" s="3" t="s">
        <v>613</v>
      </c>
      <c r="BK114" s="3" t="s">
        <v>558</v>
      </c>
      <c r="BL114" s="3" t="s">
        <v>133</v>
      </c>
      <c r="BM114" s="3" t="s">
        <v>105</v>
      </c>
      <c r="BN114" s="3">
        <v>6099475</v>
      </c>
      <c r="BO114" s="3" t="s">
        <v>1284</v>
      </c>
      <c r="BP114" s="3" t="s">
        <v>223</v>
      </c>
      <c r="BQ114" s="3" t="s">
        <v>1285</v>
      </c>
      <c r="BR114" s="3" t="s">
        <v>1286</v>
      </c>
    </row>
    <row r="115" spans="1:70" x14ac:dyDescent="0.25">
      <c r="A115" s="3" t="s">
        <v>577</v>
      </c>
      <c r="B115" s="3" t="s">
        <v>578</v>
      </c>
      <c r="C115" s="3" t="s">
        <v>1287</v>
      </c>
      <c r="D115" s="3">
        <v>430</v>
      </c>
      <c r="E115" s="4">
        <v>46255</v>
      </c>
      <c r="F115" s="3">
        <v>8</v>
      </c>
      <c r="G115" s="4">
        <v>46251</v>
      </c>
      <c r="H115" s="4">
        <v>46255</v>
      </c>
      <c r="I115" s="3">
        <v>4</v>
      </c>
      <c r="J115" s="3" t="s">
        <v>543</v>
      </c>
      <c r="K115" s="4">
        <v>46258</v>
      </c>
      <c r="L115" s="3">
        <v>5</v>
      </c>
      <c r="M115" s="3" t="s">
        <v>543</v>
      </c>
      <c r="N115" s="3">
        <v>1</v>
      </c>
      <c r="O115" s="3" t="s">
        <v>546</v>
      </c>
      <c r="P115" s="3">
        <v>1</v>
      </c>
      <c r="Q115" s="3">
        <v>1</v>
      </c>
      <c r="R115" s="3" t="s">
        <v>546</v>
      </c>
      <c r="S115" s="4">
        <v>46259</v>
      </c>
      <c r="T115" s="3">
        <v>6</v>
      </c>
      <c r="U115" s="3" t="s">
        <v>544</v>
      </c>
      <c r="V115" s="3">
        <v>16</v>
      </c>
      <c r="W115" s="3" t="s">
        <v>547</v>
      </c>
      <c r="X115" s="4">
        <v>46273</v>
      </c>
      <c r="Y115" s="3">
        <v>10</v>
      </c>
      <c r="Z115" s="3">
        <v>10</v>
      </c>
      <c r="AA115" s="4" t="s">
        <v>559</v>
      </c>
      <c r="AB115" s="4">
        <v>46273</v>
      </c>
      <c r="AC115" s="4">
        <v>46273</v>
      </c>
      <c r="AD115" s="5">
        <v>0</v>
      </c>
      <c r="AE115" s="4">
        <v>46273</v>
      </c>
      <c r="AF115" s="4">
        <v>1</v>
      </c>
      <c r="AG115" s="4" t="s">
        <v>548</v>
      </c>
      <c r="AH115" s="3" t="s">
        <v>93</v>
      </c>
      <c r="AI115" s="3" t="s">
        <v>112</v>
      </c>
      <c r="AJ115" s="3" t="s">
        <v>1288</v>
      </c>
      <c r="AK115" s="3" t="s">
        <v>223</v>
      </c>
      <c r="AL115" s="3">
        <v>6001196</v>
      </c>
      <c r="AM115" s="3" t="s">
        <v>92</v>
      </c>
      <c r="AN115" s="3" t="s">
        <v>392</v>
      </c>
      <c r="AO115" s="3" t="s">
        <v>549</v>
      </c>
      <c r="AP115" s="3"/>
      <c r="AQ115" s="3" t="s">
        <v>550</v>
      </c>
      <c r="AR115" s="3" t="s">
        <v>90</v>
      </c>
      <c r="AS115" s="3"/>
      <c r="AT115" s="3" t="s">
        <v>117</v>
      </c>
      <c r="AU115" s="3"/>
      <c r="AV115" s="3" t="s">
        <v>117</v>
      </c>
      <c r="AW115" s="3" t="s">
        <v>576</v>
      </c>
      <c r="AX115" s="3" t="s">
        <v>552</v>
      </c>
      <c r="AY115" s="3" t="s">
        <v>580</v>
      </c>
      <c r="AZ115" s="3"/>
      <c r="BA115" s="3" t="s">
        <v>581</v>
      </c>
      <c r="BB115" s="3" t="s">
        <v>554</v>
      </c>
      <c r="BC115" s="3">
        <v>0</v>
      </c>
      <c r="BD115" s="3">
        <v>0</v>
      </c>
      <c r="BE115" s="3" t="s">
        <v>1289</v>
      </c>
      <c r="BF115" s="3">
        <v>90</v>
      </c>
      <c r="BG115" s="3" t="s">
        <v>932</v>
      </c>
      <c r="BH115" s="3" t="s">
        <v>563</v>
      </c>
      <c r="BI115" s="3"/>
      <c r="BJ115" s="3" t="s">
        <v>685</v>
      </c>
      <c r="BK115" s="3" t="s">
        <v>685</v>
      </c>
      <c r="BL115" s="3" t="s">
        <v>396</v>
      </c>
      <c r="BM115" s="3" t="s">
        <v>396</v>
      </c>
      <c r="BN115" s="3">
        <v>23205722</v>
      </c>
      <c r="BO115" s="3" t="s">
        <v>223</v>
      </c>
      <c r="BP115" s="3" t="s">
        <v>223</v>
      </c>
      <c r="BQ115" s="3" t="s">
        <v>223</v>
      </c>
      <c r="BR115" s="3" t="s">
        <v>1290</v>
      </c>
    </row>
    <row r="116" spans="1:70" x14ac:dyDescent="0.25">
      <c r="A116" s="3" t="s">
        <v>577</v>
      </c>
      <c r="B116" s="3" t="s">
        <v>578</v>
      </c>
      <c r="C116" s="3" t="s">
        <v>1291</v>
      </c>
      <c r="D116" s="3">
        <v>430</v>
      </c>
      <c r="E116" s="4">
        <v>46263</v>
      </c>
      <c r="F116" s="3">
        <v>8</v>
      </c>
      <c r="G116" s="4">
        <v>46256</v>
      </c>
      <c r="H116" s="4">
        <v>46263</v>
      </c>
      <c r="I116" s="3">
        <v>4</v>
      </c>
      <c r="J116" s="3" t="s">
        <v>543</v>
      </c>
      <c r="K116" s="4">
        <v>46265</v>
      </c>
      <c r="L116" s="3">
        <v>5</v>
      </c>
      <c r="M116" s="3" t="s">
        <v>543</v>
      </c>
      <c r="N116" s="3">
        <v>0</v>
      </c>
      <c r="O116" s="3" t="s">
        <v>546</v>
      </c>
      <c r="P116" s="3">
        <v>0</v>
      </c>
      <c r="Q116" s="3">
        <v>1</v>
      </c>
      <c r="R116" s="3" t="s">
        <v>546</v>
      </c>
      <c r="S116" s="4">
        <v>46266</v>
      </c>
      <c r="T116" s="3">
        <v>6</v>
      </c>
      <c r="U116" s="3" t="s">
        <v>544</v>
      </c>
      <c r="V116" s="3">
        <v>11</v>
      </c>
      <c r="W116" s="3" t="s">
        <v>559</v>
      </c>
      <c r="X116" s="4">
        <v>46273</v>
      </c>
      <c r="Y116" s="3">
        <v>5</v>
      </c>
      <c r="Z116" s="3">
        <v>5</v>
      </c>
      <c r="AA116" s="4" t="s">
        <v>544</v>
      </c>
      <c r="AB116" s="4">
        <v>46273</v>
      </c>
      <c r="AC116" s="4">
        <v>46273</v>
      </c>
      <c r="AD116" s="5">
        <v>0</v>
      </c>
      <c r="AE116" s="4">
        <v>46273</v>
      </c>
      <c r="AF116" s="4">
        <v>1</v>
      </c>
      <c r="AG116" s="4" t="s">
        <v>548</v>
      </c>
      <c r="AH116" s="3" t="s">
        <v>93</v>
      </c>
      <c r="AI116" s="3" t="s">
        <v>112</v>
      </c>
      <c r="AJ116" s="3" t="s">
        <v>1292</v>
      </c>
      <c r="AK116" s="3" t="s">
        <v>223</v>
      </c>
      <c r="AL116" s="3">
        <v>6001197</v>
      </c>
      <c r="AM116" s="3" t="s">
        <v>92</v>
      </c>
      <c r="AN116" s="3" t="s">
        <v>410</v>
      </c>
      <c r="AO116" s="3" t="s">
        <v>549</v>
      </c>
      <c r="AP116" s="3"/>
      <c r="AQ116" s="3" t="s">
        <v>550</v>
      </c>
      <c r="AR116" s="3" t="s">
        <v>90</v>
      </c>
      <c r="AS116" s="3"/>
      <c r="AT116" s="3"/>
      <c r="AU116" s="3"/>
      <c r="AV116" s="3"/>
      <c r="AW116" s="3" t="s">
        <v>576</v>
      </c>
      <c r="AX116" s="3" t="s">
        <v>552</v>
      </c>
      <c r="AY116" s="3" t="s">
        <v>607</v>
      </c>
      <c r="AZ116" s="3" t="s">
        <v>1046</v>
      </c>
      <c r="BA116" s="3"/>
      <c r="BB116" s="3" t="s">
        <v>554</v>
      </c>
      <c r="BC116" s="3">
        <v>0</v>
      </c>
      <c r="BD116" s="3">
        <v>99</v>
      </c>
      <c r="BE116" s="3" t="s">
        <v>223</v>
      </c>
      <c r="BF116" s="3">
        <v>90</v>
      </c>
      <c r="BG116" s="3" t="s">
        <v>934</v>
      </c>
      <c r="BH116" s="3" t="s">
        <v>103</v>
      </c>
      <c r="BI116" s="3"/>
      <c r="BJ116" s="3" t="s">
        <v>688</v>
      </c>
      <c r="BK116" s="3" t="s">
        <v>689</v>
      </c>
      <c r="BL116" s="3" t="s">
        <v>415</v>
      </c>
      <c r="BM116" s="3" t="s">
        <v>416</v>
      </c>
      <c r="BN116" s="3">
        <v>471441</v>
      </c>
      <c r="BO116" s="3" t="s">
        <v>1293</v>
      </c>
      <c r="BP116" s="3" t="s">
        <v>1294</v>
      </c>
      <c r="BQ116" s="3" t="s">
        <v>1295</v>
      </c>
      <c r="BR116" s="3" t="s">
        <v>1296</v>
      </c>
    </row>
    <row r="117" spans="1:70" x14ac:dyDescent="0.25">
      <c r="A117" s="3" t="s">
        <v>577</v>
      </c>
      <c r="B117" s="3" t="s">
        <v>578</v>
      </c>
      <c r="C117" s="3" t="s">
        <v>1297</v>
      </c>
      <c r="D117" s="3">
        <v>430</v>
      </c>
      <c r="E117" s="4">
        <v>46255</v>
      </c>
      <c r="F117" s="3">
        <v>8</v>
      </c>
      <c r="G117" s="4">
        <v>46252</v>
      </c>
      <c r="H117" s="4">
        <v>46255</v>
      </c>
      <c r="I117" s="3">
        <v>3</v>
      </c>
      <c r="J117" s="3" t="s">
        <v>579</v>
      </c>
      <c r="K117" s="4">
        <v>46258</v>
      </c>
      <c r="L117" s="3">
        <v>4</v>
      </c>
      <c r="M117" s="3" t="s">
        <v>543</v>
      </c>
      <c r="N117" s="3">
        <v>1</v>
      </c>
      <c r="O117" s="3" t="s">
        <v>546</v>
      </c>
      <c r="P117" s="3">
        <v>1</v>
      </c>
      <c r="Q117" s="3">
        <v>1</v>
      </c>
      <c r="R117" s="3" t="s">
        <v>546</v>
      </c>
      <c r="S117" s="4">
        <v>46259</v>
      </c>
      <c r="T117" s="3">
        <v>5</v>
      </c>
      <c r="U117" s="3" t="s">
        <v>543</v>
      </c>
      <c r="V117" s="3">
        <v>17</v>
      </c>
      <c r="W117" s="3" t="s">
        <v>547</v>
      </c>
      <c r="X117" s="4">
        <v>46275</v>
      </c>
      <c r="Y117" s="3">
        <v>12</v>
      </c>
      <c r="Z117" s="3">
        <v>12</v>
      </c>
      <c r="AA117" s="4" t="s">
        <v>547</v>
      </c>
      <c r="AB117" s="4">
        <v>46275</v>
      </c>
      <c r="AC117" s="4">
        <v>46275</v>
      </c>
      <c r="AD117" s="5">
        <v>0</v>
      </c>
      <c r="AE117" s="4">
        <v>46275</v>
      </c>
      <c r="AF117" s="4">
        <v>1</v>
      </c>
      <c r="AG117" s="4" t="s">
        <v>548</v>
      </c>
      <c r="AH117" s="3" t="s">
        <v>93</v>
      </c>
      <c r="AI117" s="3" t="s">
        <v>112</v>
      </c>
      <c r="AJ117" s="3" t="s">
        <v>1298</v>
      </c>
      <c r="AK117" s="3" t="s">
        <v>223</v>
      </c>
      <c r="AL117" s="3">
        <v>6001198</v>
      </c>
      <c r="AM117" s="3" t="s">
        <v>92</v>
      </c>
      <c r="AN117" s="3" t="s">
        <v>1299</v>
      </c>
      <c r="AO117" s="3" t="s">
        <v>549</v>
      </c>
      <c r="AP117" s="3"/>
      <c r="AQ117" s="3" t="s">
        <v>550</v>
      </c>
      <c r="AR117" s="3" t="s">
        <v>90</v>
      </c>
      <c r="AS117" s="3"/>
      <c r="AT117" s="3" t="s">
        <v>117</v>
      </c>
      <c r="AU117" s="3"/>
      <c r="AV117" s="3" t="s">
        <v>117</v>
      </c>
      <c r="AW117" s="3" t="s">
        <v>576</v>
      </c>
      <c r="AX117" s="3" t="s">
        <v>552</v>
      </c>
      <c r="AY117" s="3" t="s">
        <v>580</v>
      </c>
      <c r="AZ117" s="3"/>
      <c r="BA117" s="3" t="s">
        <v>581</v>
      </c>
      <c r="BB117" s="3" t="s">
        <v>554</v>
      </c>
      <c r="BC117" s="3">
        <v>0</v>
      </c>
      <c r="BD117" s="3">
        <v>0.99</v>
      </c>
      <c r="BE117" s="3" t="s">
        <v>1300</v>
      </c>
      <c r="BF117" s="3">
        <v>90</v>
      </c>
      <c r="BG117" s="3" t="s">
        <v>1301</v>
      </c>
      <c r="BH117" s="3" t="s">
        <v>646</v>
      </c>
      <c r="BI117" s="3"/>
      <c r="BJ117" s="3" t="s">
        <v>1302</v>
      </c>
      <c r="BK117" s="3" t="s">
        <v>558</v>
      </c>
      <c r="BL117" s="3" t="s">
        <v>1303</v>
      </c>
      <c r="BM117" s="3" t="s">
        <v>105</v>
      </c>
      <c r="BN117" s="3">
        <v>2349202</v>
      </c>
      <c r="BO117" s="3" t="s">
        <v>1304</v>
      </c>
      <c r="BP117" s="3" t="s">
        <v>1305</v>
      </c>
      <c r="BQ117" s="3" t="s">
        <v>1306</v>
      </c>
      <c r="BR117" s="3" t="s">
        <v>1307</v>
      </c>
    </row>
    <row r="118" spans="1:70" x14ac:dyDescent="0.25">
      <c r="A118" s="3" t="s">
        <v>577</v>
      </c>
      <c r="B118" s="3" t="s">
        <v>578</v>
      </c>
      <c r="C118" s="3" t="s">
        <v>1308</v>
      </c>
      <c r="D118" s="3">
        <v>430</v>
      </c>
      <c r="E118" s="4">
        <v>46241</v>
      </c>
      <c r="F118" s="3">
        <v>8</v>
      </c>
      <c r="G118" s="4">
        <v>46241</v>
      </c>
      <c r="H118" s="4">
        <v>46241</v>
      </c>
      <c r="I118" s="3">
        <v>0</v>
      </c>
      <c r="J118" s="3" t="s">
        <v>546</v>
      </c>
      <c r="K118" s="4">
        <v>46244</v>
      </c>
      <c r="L118" s="3">
        <v>1</v>
      </c>
      <c r="M118" s="3" t="s">
        <v>546</v>
      </c>
      <c r="N118" s="3">
        <v>1</v>
      </c>
      <c r="O118" s="3" t="s">
        <v>546</v>
      </c>
      <c r="P118" s="3">
        <v>1</v>
      </c>
      <c r="Q118" s="3">
        <v>-46242</v>
      </c>
      <c r="R118" s="3" t="s">
        <v>545</v>
      </c>
      <c r="S118" s="4"/>
      <c r="T118" s="3">
        <v>0</v>
      </c>
      <c r="U118" s="3" t="s">
        <v>569</v>
      </c>
      <c r="V118" s="3">
        <v>17</v>
      </c>
      <c r="W118" s="3" t="s">
        <v>547</v>
      </c>
      <c r="X118" s="4">
        <v>46266</v>
      </c>
      <c r="Y118" s="3" t="s">
        <v>223</v>
      </c>
      <c r="Z118" s="3">
        <v>33046</v>
      </c>
      <c r="AA118" s="4" t="s">
        <v>545</v>
      </c>
      <c r="AB118" s="4"/>
      <c r="AC118" s="4">
        <v>46266</v>
      </c>
      <c r="AD118" s="5" t="s">
        <v>223</v>
      </c>
      <c r="AE118" s="4">
        <v>46266</v>
      </c>
      <c r="AF118" s="4">
        <v>0</v>
      </c>
      <c r="AG118" s="4" t="s">
        <v>548</v>
      </c>
      <c r="AH118" s="3" t="s">
        <v>93</v>
      </c>
      <c r="AI118" s="3" t="s">
        <v>112</v>
      </c>
      <c r="AJ118" s="3" t="s">
        <v>223</v>
      </c>
      <c r="AK118" s="3" t="s">
        <v>223</v>
      </c>
      <c r="AL118" s="3">
        <v>6001166</v>
      </c>
      <c r="AM118" s="3" t="s">
        <v>1309</v>
      </c>
      <c r="AN118" s="3" t="s">
        <v>1310</v>
      </c>
      <c r="AO118" s="3" t="s">
        <v>549</v>
      </c>
      <c r="AP118" s="3"/>
      <c r="AQ118" s="3" t="s">
        <v>1311</v>
      </c>
      <c r="AR118" s="3" t="s">
        <v>90</v>
      </c>
      <c r="AS118" s="3"/>
      <c r="AT118" s="3"/>
      <c r="AU118" s="3"/>
      <c r="AV118" s="3"/>
      <c r="AW118" s="3"/>
      <c r="AX118" s="3" t="s">
        <v>552</v>
      </c>
      <c r="AY118" s="3" t="s">
        <v>223</v>
      </c>
      <c r="AZ118" s="3"/>
      <c r="BA118" s="3"/>
      <c r="BB118" s="3" t="s">
        <v>554</v>
      </c>
      <c r="BC118" s="3">
        <v>0</v>
      </c>
      <c r="BD118" s="3">
        <v>99</v>
      </c>
      <c r="BE118" s="3" t="s">
        <v>1312</v>
      </c>
      <c r="BF118" s="3">
        <v>90</v>
      </c>
      <c r="BG118" s="3" t="s">
        <v>1313</v>
      </c>
      <c r="BH118" s="3" t="s">
        <v>657</v>
      </c>
      <c r="BI118" s="3"/>
      <c r="BJ118" s="3" t="s">
        <v>1314</v>
      </c>
      <c r="BK118" s="3" t="s">
        <v>1315</v>
      </c>
      <c r="BL118" s="3" t="s">
        <v>1316</v>
      </c>
      <c r="BM118" s="3" t="s">
        <v>1317</v>
      </c>
      <c r="BN118" s="3">
        <v>0</v>
      </c>
      <c r="BO118" s="3" t="s">
        <v>1318</v>
      </c>
      <c r="BP118" s="3" t="s">
        <v>223</v>
      </c>
      <c r="BQ118" s="3" t="s">
        <v>223</v>
      </c>
      <c r="BR118" s="3" t="s">
        <v>1319</v>
      </c>
    </row>
    <row r="119" spans="1:70" x14ac:dyDescent="0.25">
      <c r="A119" s="3" t="s">
        <v>577</v>
      </c>
      <c r="B119" s="3" t="s">
        <v>578</v>
      </c>
      <c r="C119" s="3" t="s">
        <v>1320</v>
      </c>
      <c r="D119" s="3">
        <v>430</v>
      </c>
      <c r="E119" s="4">
        <v>46244</v>
      </c>
      <c r="F119" s="3">
        <v>8</v>
      </c>
      <c r="G119" s="4">
        <v>46241</v>
      </c>
      <c r="H119" s="4">
        <v>46244</v>
      </c>
      <c r="I119" s="3">
        <v>1</v>
      </c>
      <c r="J119" s="3" t="s">
        <v>546</v>
      </c>
      <c r="K119" s="4">
        <v>46244</v>
      </c>
      <c r="L119" s="3">
        <v>1</v>
      </c>
      <c r="M119" s="3" t="s">
        <v>546</v>
      </c>
      <c r="N119" s="3">
        <v>0</v>
      </c>
      <c r="O119" s="3" t="s">
        <v>546</v>
      </c>
      <c r="P119" s="3">
        <v>0</v>
      </c>
      <c r="Q119" s="3">
        <v>-46242</v>
      </c>
      <c r="R119" s="3" t="s">
        <v>545</v>
      </c>
      <c r="S119" s="4"/>
      <c r="T119" s="3">
        <v>0</v>
      </c>
      <c r="U119" s="3" t="s">
        <v>569</v>
      </c>
      <c r="V119" s="3">
        <v>17</v>
      </c>
      <c r="W119" s="3" t="s">
        <v>547</v>
      </c>
      <c r="X119" s="4">
        <v>46266</v>
      </c>
      <c r="Y119" s="3" t="s">
        <v>223</v>
      </c>
      <c r="Z119" s="3">
        <v>33046</v>
      </c>
      <c r="AA119" s="4" t="s">
        <v>545</v>
      </c>
      <c r="AB119" s="4"/>
      <c r="AC119" s="4">
        <v>46266</v>
      </c>
      <c r="AD119" s="5" t="s">
        <v>223</v>
      </c>
      <c r="AE119" s="4">
        <v>46266</v>
      </c>
      <c r="AF119" s="4">
        <v>0</v>
      </c>
      <c r="AG119" s="4" t="s">
        <v>548</v>
      </c>
      <c r="AH119" s="3" t="s">
        <v>342</v>
      </c>
      <c r="AI119" s="3" t="s">
        <v>112</v>
      </c>
      <c r="AJ119" s="3" t="s">
        <v>223</v>
      </c>
      <c r="AK119" s="3" t="s">
        <v>223</v>
      </c>
      <c r="AL119" s="3">
        <v>6001178</v>
      </c>
      <c r="AM119" s="3" t="s">
        <v>1309</v>
      </c>
      <c r="AN119" s="3" t="s">
        <v>1310</v>
      </c>
      <c r="AO119" s="3" t="s">
        <v>549</v>
      </c>
      <c r="AP119" s="3"/>
      <c r="AQ119" s="3" t="s">
        <v>1311</v>
      </c>
      <c r="AR119" s="3" t="s">
        <v>90</v>
      </c>
      <c r="AS119" s="3"/>
      <c r="AT119" s="3"/>
      <c r="AU119" s="3"/>
      <c r="AV119" s="3"/>
      <c r="AW119" s="3"/>
      <c r="AX119" s="3" t="s">
        <v>552</v>
      </c>
      <c r="AY119" s="3" t="s">
        <v>223</v>
      </c>
      <c r="AZ119" s="3"/>
      <c r="BA119" s="3"/>
      <c r="BB119" s="3" t="s">
        <v>554</v>
      </c>
      <c r="BC119" s="3">
        <v>0</v>
      </c>
      <c r="BD119" s="3">
        <v>99</v>
      </c>
      <c r="BE119" s="3" t="s">
        <v>1312</v>
      </c>
      <c r="BF119" s="3">
        <v>90</v>
      </c>
      <c r="BG119" s="3" t="s">
        <v>1313</v>
      </c>
      <c r="BH119" s="3" t="s">
        <v>657</v>
      </c>
      <c r="BI119" s="3"/>
      <c r="BJ119" s="3" t="s">
        <v>1314</v>
      </c>
      <c r="BK119" s="3" t="s">
        <v>1315</v>
      </c>
      <c r="BL119" s="3" t="s">
        <v>1316</v>
      </c>
      <c r="BM119" s="3" t="s">
        <v>1317</v>
      </c>
      <c r="BN119" s="3">
        <v>0</v>
      </c>
      <c r="BO119" s="3" t="s">
        <v>795</v>
      </c>
      <c r="BP119" s="3" t="s">
        <v>223</v>
      </c>
      <c r="BQ119" s="3" t="s">
        <v>223</v>
      </c>
      <c r="BR119" s="3" t="s">
        <v>1319</v>
      </c>
    </row>
    <row r="120" spans="1:70" x14ac:dyDescent="0.25">
      <c r="A120" s="3" t="s">
        <v>577</v>
      </c>
      <c r="B120" s="3" t="s">
        <v>578</v>
      </c>
      <c r="C120" s="3" t="s">
        <v>1321</v>
      </c>
      <c r="D120" s="3">
        <v>430</v>
      </c>
      <c r="E120" s="4">
        <v>46248</v>
      </c>
      <c r="F120" s="3">
        <v>8</v>
      </c>
      <c r="G120" s="4">
        <v>46248</v>
      </c>
      <c r="H120" s="4">
        <v>46248</v>
      </c>
      <c r="I120" s="3">
        <v>0</v>
      </c>
      <c r="J120" s="3" t="s">
        <v>546</v>
      </c>
      <c r="K120" s="4">
        <v>46249</v>
      </c>
      <c r="L120" s="3">
        <v>0</v>
      </c>
      <c r="M120" s="3" t="s">
        <v>546</v>
      </c>
      <c r="N120" s="3">
        <v>1</v>
      </c>
      <c r="O120" s="3" t="s">
        <v>546</v>
      </c>
      <c r="P120" s="3">
        <v>1</v>
      </c>
      <c r="Q120" s="3">
        <v>-46247</v>
      </c>
      <c r="R120" s="3" t="s">
        <v>545</v>
      </c>
      <c r="S120" s="4"/>
      <c r="T120" s="3">
        <v>0</v>
      </c>
      <c r="U120" s="3" t="s">
        <v>569</v>
      </c>
      <c r="V120" s="3">
        <v>0</v>
      </c>
      <c r="W120" s="3" t="s">
        <v>569</v>
      </c>
      <c r="X120" s="4" t="s">
        <v>223</v>
      </c>
      <c r="Y120" s="3" t="s">
        <v>223</v>
      </c>
      <c r="Z120" s="3" t="s">
        <v>223</v>
      </c>
      <c r="AA120" s="4" t="s">
        <v>545</v>
      </c>
      <c r="AB120" s="4"/>
      <c r="AC120" s="4" t="s">
        <v>223</v>
      </c>
      <c r="AD120" s="5" t="s">
        <v>223</v>
      </c>
      <c r="AE120" s="4" t="s">
        <v>223</v>
      </c>
      <c r="AF120" s="4">
        <v>0</v>
      </c>
      <c r="AG120" s="4" t="s">
        <v>548</v>
      </c>
      <c r="AH120" s="3" t="s">
        <v>93</v>
      </c>
      <c r="AI120" s="3" t="s">
        <v>112</v>
      </c>
      <c r="AJ120" s="3" t="s">
        <v>223</v>
      </c>
      <c r="AK120" s="3" t="s">
        <v>223</v>
      </c>
      <c r="AL120" s="3">
        <v>6001191</v>
      </c>
      <c r="AM120" s="3" t="s">
        <v>1309</v>
      </c>
      <c r="AN120" s="3" t="s">
        <v>1322</v>
      </c>
      <c r="AO120" s="3" t="s">
        <v>549</v>
      </c>
      <c r="AP120" s="3"/>
      <c r="AQ120" s="3" t="s">
        <v>1311</v>
      </c>
      <c r="AR120" s="3" t="s">
        <v>90</v>
      </c>
      <c r="AS120" s="3"/>
      <c r="AT120" s="3"/>
      <c r="AU120" s="3"/>
      <c r="AV120" s="3"/>
      <c r="AW120" s="3"/>
      <c r="AX120" s="3" t="s">
        <v>552</v>
      </c>
      <c r="AY120" s="3" t="s">
        <v>223</v>
      </c>
      <c r="AZ120" s="3"/>
      <c r="BA120" s="3"/>
      <c r="BB120" s="3" t="s">
        <v>554</v>
      </c>
      <c r="BC120" s="3">
        <v>0</v>
      </c>
      <c r="BD120" s="3">
        <v>0</v>
      </c>
      <c r="BE120" s="3" t="s">
        <v>223</v>
      </c>
      <c r="BF120" s="3">
        <v>90</v>
      </c>
      <c r="BG120" s="3" t="s">
        <v>1323</v>
      </c>
      <c r="BH120" s="3" t="s">
        <v>563</v>
      </c>
      <c r="BI120" s="3"/>
      <c r="BJ120" s="3" t="s">
        <v>558</v>
      </c>
      <c r="BK120" s="3" t="s">
        <v>558</v>
      </c>
      <c r="BL120" s="3" t="s">
        <v>105</v>
      </c>
      <c r="BM120" s="3" t="s">
        <v>105</v>
      </c>
      <c r="BN120" s="3">
        <v>0</v>
      </c>
      <c r="BO120" s="3" t="s">
        <v>1318</v>
      </c>
      <c r="BP120" s="3" t="s">
        <v>223</v>
      </c>
      <c r="BQ120" s="3" t="s">
        <v>223</v>
      </c>
      <c r="BR120" s="3" t="s">
        <v>223</v>
      </c>
    </row>
    <row r="121" spans="1:70" x14ac:dyDescent="0.25">
      <c r="A121" s="3" t="s">
        <v>577</v>
      </c>
      <c r="B121" s="3" t="s">
        <v>578</v>
      </c>
      <c r="C121" s="3" t="s">
        <v>1324</v>
      </c>
      <c r="D121" s="3">
        <v>430</v>
      </c>
      <c r="E121" s="4">
        <v>46261</v>
      </c>
      <c r="F121" s="3">
        <v>8</v>
      </c>
      <c r="G121" s="4">
        <v>46261</v>
      </c>
      <c r="H121" s="4">
        <v>46261</v>
      </c>
      <c r="I121" s="3">
        <v>0</v>
      </c>
      <c r="J121" s="3" t="s">
        <v>546</v>
      </c>
      <c r="K121" s="4">
        <v>46261</v>
      </c>
      <c r="L121" s="3">
        <v>0</v>
      </c>
      <c r="M121" s="3" t="s">
        <v>546</v>
      </c>
      <c r="N121" s="3">
        <v>0</v>
      </c>
      <c r="O121" s="3" t="s">
        <v>546</v>
      </c>
      <c r="P121" s="3">
        <v>0</v>
      </c>
      <c r="Q121" s="3" t="s">
        <v>223</v>
      </c>
      <c r="R121" s="3" t="s">
        <v>545</v>
      </c>
      <c r="S121" s="4" t="s">
        <v>223</v>
      </c>
      <c r="T121" s="3">
        <v>0</v>
      </c>
      <c r="U121" s="3" t="s">
        <v>569</v>
      </c>
      <c r="V121" s="3">
        <v>0</v>
      </c>
      <c r="W121" s="3" t="s">
        <v>569</v>
      </c>
      <c r="X121" s="4" t="s">
        <v>223</v>
      </c>
      <c r="Y121" s="3" t="s">
        <v>223</v>
      </c>
      <c r="Z121" s="3" t="s">
        <v>223</v>
      </c>
      <c r="AA121" s="4" t="s">
        <v>545</v>
      </c>
      <c r="AB121" s="4" t="s">
        <v>223</v>
      </c>
      <c r="AC121" s="4" t="s">
        <v>223</v>
      </c>
      <c r="AD121" s="5" t="s">
        <v>223</v>
      </c>
      <c r="AE121" s="4" t="s">
        <v>223</v>
      </c>
      <c r="AF121" s="4">
        <v>0</v>
      </c>
      <c r="AG121" s="4" t="s">
        <v>548</v>
      </c>
      <c r="AH121" s="3" t="s">
        <v>342</v>
      </c>
      <c r="AI121" s="3" t="s">
        <v>223</v>
      </c>
      <c r="AJ121" s="3" t="s">
        <v>223</v>
      </c>
      <c r="AK121" s="3" t="s">
        <v>223</v>
      </c>
      <c r="AL121" s="3">
        <v>6001249</v>
      </c>
      <c r="AM121" s="3" t="s">
        <v>1309</v>
      </c>
      <c r="AN121" s="3" t="s">
        <v>1322</v>
      </c>
      <c r="AO121" s="3" t="s">
        <v>549</v>
      </c>
      <c r="AP121" s="3"/>
      <c r="AQ121" s="3" t="s">
        <v>1311</v>
      </c>
      <c r="AR121" s="3" t="s">
        <v>90</v>
      </c>
      <c r="AS121" s="3" t="s">
        <v>223</v>
      </c>
      <c r="AT121" s="3" t="s">
        <v>223</v>
      </c>
      <c r="AU121" s="3" t="s">
        <v>223</v>
      </c>
      <c r="AV121" s="3" t="s">
        <v>223</v>
      </c>
      <c r="AW121" s="3" t="s">
        <v>223</v>
      </c>
      <c r="AX121" s="3" t="s">
        <v>552</v>
      </c>
      <c r="AY121" s="3" t="s">
        <v>223</v>
      </c>
      <c r="AZ121" s="3" t="s">
        <v>223</v>
      </c>
      <c r="BA121" s="3" t="s">
        <v>223</v>
      </c>
      <c r="BB121" s="3" t="s">
        <v>554</v>
      </c>
      <c r="BC121" s="3">
        <v>0</v>
      </c>
      <c r="BD121" s="3">
        <v>0</v>
      </c>
      <c r="BE121" s="3" t="s">
        <v>223</v>
      </c>
      <c r="BF121" s="3">
        <v>90</v>
      </c>
      <c r="BG121" s="3" t="s">
        <v>1323</v>
      </c>
      <c r="BH121" s="3" t="s">
        <v>563</v>
      </c>
      <c r="BI121" s="3"/>
      <c r="BJ121" s="3" t="s">
        <v>558</v>
      </c>
      <c r="BK121" s="3" t="s">
        <v>558</v>
      </c>
      <c r="BL121" s="3" t="s">
        <v>105</v>
      </c>
      <c r="BM121" s="3" t="s">
        <v>105</v>
      </c>
      <c r="BN121" s="3">
        <v>0</v>
      </c>
      <c r="BO121" s="3" t="s">
        <v>795</v>
      </c>
      <c r="BP121" s="3" t="s">
        <v>223</v>
      </c>
      <c r="BQ121" s="3" t="s">
        <v>223</v>
      </c>
      <c r="BR121" s="3" t="s">
        <v>223</v>
      </c>
    </row>
  </sheetData>
  <conditionalFormatting sqref="U2:U121 O1:O121">
    <cfRule type="containsText" dxfId="0" priority="1" operator="containsText" text="on time">
      <formula>NOT(ISERROR(SEARCH("on time",O1)))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FINAL</vt:lpstr>
      <vt:lpstr>ABEL</vt:lpstr>
      <vt:lpstr>BASE DE EXCEL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ABCMEX TI</dc:creator>
  <cp:lastModifiedBy>Christian Cristobal carbajal Garcia</cp:lastModifiedBy>
  <dcterms:created xsi:type="dcterms:W3CDTF">2026-05-22T16:58:40Z</dcterms:created>
  <dcterms:modified xsi:type="dcterms:W3CDTF">2026-09-22T00:02:03Z</dcterms:modified>
</cp:coreProperties>
</file>